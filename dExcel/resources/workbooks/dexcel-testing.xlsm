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C04212E4-97D8-44E9-9C89-024810F351FE}" xr6:coauthVersionLast="47" xr6:coauthVersionMax="47" xr10:uidLastSave="{00000000-0000-0000-0000-000000000000}"/>
  <bookViews>
    <workbookView xWindow="-120" yWindow="-120" windowWidth="24240" windowHeight="13140" tabRatio="721" firstSheet="6" activeTab="1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Interest Rates" sheetId="6" r:id="rId11"/>
    <sheet name="Interest Rate Pricers" sheetId="20" r:id="rId12"/>
    <sheet name="Rate Utils" sheetId="17" r:id="rId13"/>
    <sheet name="Curves" sheetId="1" r:id="rId14"/>
    <sheet name="Sinlge Curve Bootstrapping" sheetId="3" r:id="rId15"/>
    <sheet name="Multi Curve Bootstrapping" sheetId="4" r:id="rId16"/>
    <sheet name="HullWhite" sheetId="2" r:id="rId17"/>
    <sheet name="Fixed Income Instruments" sheetId="10" r:id="rId18"/>
    <sheet name="Interest Rate Swaps" sheetId="11" r:id="rId19"/>
    <sheet name="Other" sheetId="7" r:id="rId20"/>
    <sheet name="Fix EMS Links Utils" sheetId="25" r:id="rId21"/>
    <sheet name="Hyperlink Utils" sheetId="24" r:id="rId22"/>
    <sheet name="Test Utils" sheetId="9" r:id="rId23"/>
    <sheet name="Table Formatting" sheetId="5" r:id="rId24"/>
  </sheets>
  <externalReferences>
    <externalReference r:id="rId25"/>
    <externalReference r:id="rId26"/>
  </externalReferences>
  <definedNames>
    <definedName name="Curves.Title" localSheetId="2">Dates!$B$2</definedName>
    <definedName name="Curves.Title" localSheetId="6">'Equity Pricers'!$B$2</definedName>
    <definedName name="Curves.Title" localSheetId="7">'Equity Utils'!$B$2</definedName>
    <definedName name="Curves.Title" localSheetId="9">'FX Pricers'!$B$2</definedName>
    <definedName name="Curves.Title" localSheetId="3">Mathematics!$B$2</definedName>
    <definedName name="Curves.Title" localSheetId="12">'Rate Utils'!$B$2</definedName>
    <definedName name="Curves.Title" localSheetId="4">Stats!$B$2</definedName>
    <definedName name="Curves.Title">Curves!$B$2</definedName>
    <definedName name="Curves.Title.Curves">Curves!$B$2</definedName>
    <definedName name="Curves.Title.d.Curve_Create">Curves!$B$12</definedName>
    <definedName name="Curves.Title.d.Curve_GetDiscountFactors">Curves!$B$36</definedName>
    <definedName name="Curves.Title.d.Curve_GetForwardRates">Curves!$B$74</definedName>
    <definedName name="Curves.Title.d.Curve_GetZeroRates">Curves!$B$60</definedName>
    <definedName name="Curves.Title.Setup">Curves!$B$16</definedName>
    <definedName name="Curves.Title.Test1">Curves!$B$40</definedName>
    <definedName name="Curves.Title.Test2">Curves!$G$40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0">'Fix EMS Links Utils'!#REF!</definedName>
    <definedName name="HyperlinkUtils.Test4.ActionCheck">'Hyperlink Utils'!$E$59</definedName>
    <definedName name="HyperlinkUtils.Test4.Actual" localSheetId="20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0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0">'Fix EMS Links Utils'!$B$2</definedName>
    <definedName name="HyperlinkUtils.Title.HyperlinkUtils">'Hyperlink Utils'!$B$2</definedName>
    <definedName name="HyperlinkUtils.Title.MyHeading" localSheetId="20">'Fix EMS Links Utils'!#REF!</definedName>
    <definedName name="HyperlinkUtils.Title.MyHeading">'Hyperlink Utils'!$T$11</definedName>
    <definedName name="HyperlinkUtils.Title.Test" localSheetId="20">'Fix EMS Links Utils'!#REF!</definedName>
    <definedName name="HyperlinkUtils.Title.Test">'Hyperlink Utils'!$M$8</definedName>
    <definedName name="HyperlinkUtils.Title.Test1" localSheetId="20">'Fix EMS Links Utils'!#REF!</definedName>
    <definedName name="HyperlinkUtils.Title.Test1">'Hyperlink Utils'!$B$14</definedName>
    <definedName name="HyperlinkUtils.Title.Test1SingleCellHeadingwithSingleWord" localSheetId="20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ExceptionTesting">'Sinlge Curve Bootstrapping'!$AS$18</definedName>
    <definedName name="SinlgeCurveBootstrapping.Title.FlatCurve3mJIBAR">'Sinlge Curve Bootstrapping'!$B$20</definedName>
    <definedName name="SinlgeCurveBootstrapping.Title.NonFlatCurveFEDFUND">'Sinlge Curve Bootstrapping'!$AC$20</definedName>
    <definedName name="SinlgeCurveBootstrapping.Title.RealCurve3mJIBAR">'Sinlge Curve Bootstrapping'!$M$20</definedName>
    <definedName name="SinlgeCurveBootstrapping.Title.RealCurveFEDFUND">'Sinlge Curve Bootstrapping'!$AC$20</definedName>
    <definedName name="SinlgeCurveBootstrapping.Title.SingleCurveBootstrapping">'Sinlge Curve Bootstrapping'!$B$2</definedName>
    <definedName name="SinlgeCurveBootstrapping.Title.TestResults">'Sinlge Curve Bootstrapping'!$B$4</definedName>
    <definedName name="SinlgeCurveBootstrapping.Title.Tests">'Sinlge Curve Bootstrapping'!$R$24</definedName>
    <definedName name="SinlgeCurveBootstrapping.Title.USDOISCurveTesting">'Sinlge Curve Bootstrapping'!$AC$18</definedName>
    <definedName name="SinlgeCurveBootstrapping.Title.ZARSwapCurveTesting">'Sinlge Curve Bootstrapping'!$M$18</definedName>
    <definedName name="Summary.AllTests.Reset">Summary!$B$16:$C$16</definedName>
    <definedName name="Summary.AllTests.Run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1" l="1" a="1"/>
  <c r="AE25" i="3" a="1"/>
  <c r="D72" i="24" a="1"/>
  <c r="O25" i="3" a="1"/>
  <c r="D25" i="3" a="1"/>
  <c r="D25" i="3" l="1"/>
  <c r="O25" i="3"/>
  <c r="AE25" i="3"/>
  <c r="C18" i="1"/>
  <c r="D72" i="24"/>
  <c r="D71" i="24" a="1"/>
  <c r="D71" i="24" l="1"/>
  <c r="D59" i="24" a="1"/>
  <c r="C64" i="24" a="1"/>
  <c r="C64" i="24" l="1"/>
  <c r="D59" i="24"/>
  <c r="C52" i="24" a="1"/>
  <c r="D47" i="24" a="1"/>
  <c r="D47" i="24" l="1"/>
  <c r="C52" i="24"/>
  <c r="C40" i="24" a="1"/>
  <c r="D35" i="24" a="1"/>
  <c r="D35" i="24" l="1"/>
  <c r="C40" i="24"/>
  <c r="B50" i="25" a="1"/>
  <c r="D50" i="25" s="1"/>
  <c r="B50" i="25"/>
  <c r="B45" i="25" a="1"/>
  <c r="C46" i="25" s="1"/>
  <c r="D42" i="25" a="1"/>
  <c r="D42" i="25" s="1"/>
  <c r="D39" i="25" a="1"/>
  <c r="D39" i="25" s="1"/>
  <c r="AF31" i="25" a="1"/>
  <c r="AH31" i="25" s="1"/>
  <c r="AF26" i="25" a="1"/>
  <c r="AG27" i="25" s="1"/>
  <c r="AH23" i="25" a="1"/>
  <c r="AH23" i="25" s="1"/>
  <c r="AH20" i="25" a="1"/>
  <c r="AH20" i="25" s="1"/>
  <c r="B31" i="25" a="1"/>
  <c r="D31" i="25" s="1"/>
  <c r="B26" i="25" a="1"/>
  <c r="C27" i="25" s="1"/>
  <c r="D23" i="25" a="1"/>
  <c r="D23" i="25" s="1"/>
  <c r="D20" i="25" a="1"/>
  <c r="D20" i="25" s="1"/>
  <c r="D23" i="24" a="1"/>
  <c r="C28" i="24" a="1"/>
  <c r="C28" i="24" l="1"/>
  <c r="D23" i="24"/>
  <c r="AF27" i="25"/>
  <c r="AH26" i="25"/>
  <c r="AG26" i="25"/>
  <c r="C50" i="25"/>
  <c r="B46" i="25"/>
  <c r="D45" i="25"/>
  <c r="C45" i="25"/>
  <c r="B26" i="25"/>
  <c r="AF26" i="25"/>
  <c r="B45" i="25"/>
  <c r="B31" i="25"/>
  <c r="AF31" i="25"/>
  <c r="C26" i="25"/>
  <c r="C52" i="25"/>
  <c r="AG31" i="25"/>
  <c r="C31" i="25"/>
  <c r="D33" i="25"/>
  <c r="AH33" i="25"/>
  <c r="D52" i="25"/>
  <c r="C33" i="25"/>
  <c r="D28" i="25"/>
  <c r="AH28" i="25"/>
  <c r="C28" i="25"/>
  <c r="AG28" i="25"/>
  <c r="AH32" i="25"/>
  <c r="C47" i="25"/>
  <c r="D51" i="25"/>
  <c r="B27" i="25"/>
  <c r="D26" i="25"/>
  <c r="B28" i="25"/>
  <c r="C32" i="25"/>
  <c r="AF28" i="25"/>
  <c r="AG32" i="25"/>
  <c r="B47" i="25"/>
  <c r="C51" i="25"/>
  <c r="B33" i="25"/>
  <c r="D47" i="25"/>
  <c r="D32" i="25"/>
  <c r="D27" i="25"/>
  <c r="B32" i="25"/>
  <c r="AH27" i="25"/>
  <c r="AF32" i="25"/>
  <c r="D46" i="25"/>
  <c r="B51" i="25"/>
  <c r="AG33" i="25"/>
  <c r="AF33" i="25"/>
  <c r="B52" i="25"/>
  <c r="C16" i="24" a="1"/>
  <c r="AO45" i="3" a="1"/>
  <c r="AO42" i="3" a="1"/>
  <c r="AO44" i="3" a="1"/>
  <c r="AO43" i="3" a="1"/>
  <c r="AO41" i="3" a="1"/>
  <c r="C16" i="24" l="1"/>
  <c r="AO41" i="3"/>
  <c r="AO43" i="3"/>
  <c r="AO45" i="3"/>
  <c r="AO42" i="3"/>
  <c r="AO44" i="3"/>
  <c r="AP45" i="3" a="1"/>
  <c r="AP44" i="3" a="1"/>
  <c r="AP41" i="3" a="1"/>
  <c r="AP42" i="3" a="1"/>
  <c r="AP43" i="3" a="1"/>
  <c r="AP43" i="3" l="1"/>
  <c r="AP41" i="3"/>
  <c r="AP44" i="3"/>
  <c r="AP42" i="3"/>
  <c r="AP45" i="3"/>
  <c r="AJ53" i="3" l="1"/>
  <c r="AJ52" i="3"/>
  <c r="AJ51" i="3"/>
  <c r="AJ50" i="3"/>
  <c r="AJ49" i="3"/>
  <c r="AJ54" i="3"/>
  <c r="T82" i="3"/>
  <c r="T81" i="3"/>
  <c r="T79" i="3"/>
  <c r="T80" i="3"/>
  <c r="T78" i="3"/>
  <c r="T77" i="3"/>
  <c r="R33" i="3" a="1"/>
  <c r="R35" i="3" a="1"/>
  <c r="AF29" i="3" a="1"/>
  <c r="R40" i="3" a="1"/>
  <c r="R36" i="3" a="1"/>
  <c r="R32" i="3" a="1"/>
  <c r="R34" i="3" a="1"/>
  <c r="AF29" i="3" l="1"/>
  <c r="AH25" i="3" s="1"/>
  <c r="AH26" i="3" s="1"/>
  <c r="AH27" i="3" s="1"/>
  <c r="AH28" i="3" s="1"/>
  <c r="AH29" i="3" s="1"/>
  <c r="AH30" i="3" s="1"/>
  <c r="R45" i="3"/>
  <c r="R57" i="3"/>
  <c r="R69" i="3"/>
  <c r="R46" i="3"/>
  <c r="R58" i="3"/>
  <c r="R70" i="3"/>
  <c r="R47" i="3"/>
  <c r="R59" i="3"/>
  <c r="R71" i="3"/>
  <c r="R43" i="3"/>
  <c r="R67" i="3"/>
  <c r="R44" i="3"/>
  <c r="R56" i="3"/>
  <c r="R48" i="3"/>
  <c r="R60" i="3"/>
  <c r="R49" i="3"/>
  <c r="R61" i="3"/>
  <c r="R72" i="3"/>
  <c r="R51" i="3"/>
  <c r="R63" i="3"/>
  <c r="R52" i="3"/>
  <c r="R64" i="3"/>
  <c r="R41" i="3"/>
  <c r="R53" i="3"/>
  <c r="R65" i="3"/>
  <c r="R42" i="3"/>
  <c r="R54" i="3"/>
  <c r="R66" i="3"/>
  <c r="R50" i="3"/>
  <c r="R62" i="3"/>
  <c r="R40" i="3"/>
  <c r="R55" i="3"/>
  <c r="R68" i="3"/>
  <c r="R35" i="3"/>
  <c r="R36" i="3"/>
  <c r="R34" i="3"/>
  <c r="R32" i="3"/>
  <c r="R33" i="3"/>
  <c r="S61" i="3" a="1"/>
  <c r="S54" i="3" a="1"/>
  <c r="S58" i="3" a="1"/>
  <c r="S72" i="3" a="1"/>
  <c r="S63" i="3" a="1"/>
  <c r="S68" i="3" a="1"/>
  <c r="S67" i="3" a="1"/>
  <c r="S53" i="3" a="1"/>
  <c r="S60" i="3" a="1"/>
  <c r="S55" i="3" a="1"/>
  <c r="S62" i="3" a="1"/>
  <c r="S50" i="3" a="1"/>
  <c r="AH34" i="3" a="1"/>
  <c r="S66" i="3" a="1"/>
  <c r="S57" i="3" a="1"/>
  <c r="S64" i="3" a="1"/>
  <c r="S69" i="3" a="1"/>
  <c r="S59" i="3" a="1"/>
  <c r="S70" i="3" a="1"/>
  <c r="S65" i="3" a="1"/>
  <c r="S71" i="3" a="1"/>
  <c r="S56" i="3" a="1"/>
  <c r="D47" i="1" a="1"/>
  <c r="U41" i="3" a="1"/>
  <c r="T41" i="3" a="1"/>
  <c r="AO40" i="3" a="1"/>
  <c r="AO38" i="3" a="1"/>
  <c r="AO33" i="3" a="1"/>
  <c r="AO39" i="3" a="1"/>
  <c r="AO25" i="3" a="1"/>
  <c r="AO32" i="3" a="1"/>
  <c r="AJ25" i="3" a="1"/>
  <c r="AO34" i="3" a="1"/>
  <c r="AO30" i="3" a="1"/>
  <c r="AO26" i="3" a="1"/>
  <c r="Y34" i="3" a="1"/>
  <c r="AO31" i="3" a="1"/>
  <c r="AO35" i="3" a="1"/>
  <c r="AO36" i="3" a="1"/>
  <c r="AO28" i="3" a="1"/>
  <c r="AO37" i="3" a="1"/>
  <c r="AO27" i="3" a="1"/>
  <c r="AO29" i="3" a="1"/>
  <c r="D47" i="1" l="1"/>
  <c r="AJ25" i="3"/>
  <c r="AH34" i="3"/>
  <c r="AH35" i="3"/>
  <c r="AH36" i="3"/>
  <c r="AH37" i="3"/>
  <c r="AH38" i="3"/>
  <c r="AH39" i="3"/>
  <c r="AH40" i="3"/>
  <c r="AH41" i="3"/>
  <c r="AH42" i="3"/>
  <c r="AO25" i="3"/>
  <c r="Y34" i="3"/>
  <c r="AO28" i="3"/>
  <c r="AO29" i="3"/>
  <c r="AO35" i="3"/>
  <c r="AO31" i="3"/>
  <c r="AO37" i="3"/>
  <c r="AO32" i="3"/>
  <c r="AO38" i="3"/>
  <c r="AO33" i="3"/>
  <c r="AO39" i="3"/>
  <c r="AO40" i="3"/>
  <c r="AO30" i="3"/>
  <c r="AO36" i="3"/>
  <c r="AO26" i="3"/>
  <c r="AO27" i="3"/>
  <c r="AO34" i="3"/>
  <c r="U52" i="3"/>
  <c r="U64" i="3"/>
  <c r="U51" i="3"/>
  <c r="U63" i="3"/>
  <c r="U41" i="3"/>
  <c r="U53" i="3"/>
  <c r="U65" i="3"/>
  <c r="U54" i="3"/>
  <c r="U66" i="3"/>
  <c r="U43" i="3"/>
  <c r="U55" i="3"/>
  <c r="U67" i="3"/>
  <c r="U44" i="3"/>
  <c r="U58" i="3"/>
  <c r="U70" i="3"/>
  <c r="U59" i="3"/>
  <c r="U71" i="3"/>
  <c r="U42" i="3"/>
  <c r="U56" i="3"/>
  <c r="U68" i="3"/>
  <c r="U57" i="3"/>
  <c r="U46" i="3"/>
  <c r="U47" i="3"/>
  <c r="U48" i="3"/>
  <c r="U72" i="3"/>
  <c r="U49" i="3"/>
  <c r="U61" i="3"/>
  <c r="U45" i="3"/>
  <c r="U69" i="3"/>
  <c r="U60" i="3"/>
  <c r="U50" i="3"/>
  <c r="U62" i="3"/>
  <c r="T43" i="3"/>
  <c r="T55" i="3"/>
  <c r="T67" i="3"/>
  <c r="T53" i="3"/>
  <c r="T42" i="3"/>
  <c r="T54" i="3"/>
  <c r="T66" i="3"/>
  <c r="T44" i="3"/>
  <c r="T56" i="3"/>
  <c r="T68" i="3"/>
  <c r="T45" i="3"/>
  <c r="T57" i="3"/>
  <c r="T69" i="3"/>
  <c r="T46" i="3"/>
  <c r="T58" i="3"/>
  <c r="T70" i="3"/>
  <c r="T47" i="3"/>
  <c r="T71" i="3"/>
  <c r="T48" i="3"/>
  <c r="T72" i="3"/>
  <c r="T61" i="3"/>
  <c r="T62" i="3"/>
  <c r="T59" i="3"/>
  <c r="T60" i="3"/>
  <c r="T49" i="3"/>
  <c r="T50" i="3"/>
  <c r="T63" i="3"/>
  <c r="T51" i="3"/>
  <c r="T52" i="3"/>
  <c r="T64" i="3"/>
  <c r="T41" i="3"/>
  <c r="T65" i="3"/>
  <c r="S72" i="3"/>
  <c r="S71" i="3"/>
  <c r="S66" i="3"/>
  <c r="S68" i="3"/>
  <c r="S65" i="3"/>
  <c r="S69" i="3"/>
  <c r="S67" i="3"/>
  <c r="S70" i="3"/>
  <c r="S60" i="3"/>
  <c r="S59" i="3"/>
  <c r="S63" i="3"/>
  <c r="S61" i="3"/>
  <c r="S57" i="3"/>
  <c r="S62" i="3"/>
  <c r="S58" i="3"/>
  <c r="S64" i="3"/>
  <c r="S56" i="3"/>
  <c r="S55" i="3"/>
  <c r="S54" i="3"/>
  <c r="S53" i="3"/>
  <c r="S50" i="3"/>
  <c r="AP28" i="3" a="1"/>
  <c r="AP29" i="3" a="1"/>
  <c r="AP37" i="3" a="1"/>
  <c r="AP40" i="3" a="1"/>
  <c r="AP33" i="3" a="1"/>
  <c r="AP30" i="3" a="1"/>
  <c r="AP35" i="3" a="1"/>
  <c r="AP34" i="3" a="1"/>
  <c r="AP27" i="3" a="1"/>
  <c r="AP38" i="3" a="1"/>
  <c r="AP36" i="3" a="1"/>
  <c r="AP32" i="3" a="1"/>
  <c r="AP31" i="3" a="1"/>
  <c r="AP25" i="3" a="1"/>
  <c r="Z34" i="3" a="1"/>
  <c r="AP26" i="3" a="1"/>
  <c r="AP39" i="3" a="1"/>
  <c r="Z34" i="3" l="1"/>
  <c r="AP39" i="3"/>
  <c r="AP32" i="3"/>
  <c r="AP36" i="3"/>
  <c r="AP25" i="3"/>
  <c r="AP38" i="3"/>
  <c r="AP28" i="3"/>
  <c r="AP26" i="3"/>
  <c r="AP29" i="3"/>
  <c r="AP30" i="3"/>
  <c r="AP35" i="3"/>
  <c r="AP31" i="3"/>
  <c r="AP34" i="3"/>
  <c r="AP37" i="3"/>
  <c r="AP40" i="3"/>
  <c r="AP27" i="3"/>
  <c r="AP33" i="3"/>
  <c r="R26" i="3" l="1"/>
  <c r="R31" i="3" a="1"/>
  <c r="S27" i="3" a="1"/>
  <c r="R29" i="3" a="1"/>
  <c r="R30" i="3" a="1"/>
  <c r="R28" i="3" a="1"/>
  <c r="S27" i="3" l="1"/>
  <c r="R29" i="3"/>
  <c r="R30" i="3"/>
  <c r="R28" i="3"/>
  <c r="R31" i="3"/>
  <c r="S45" i="3" a="1"/>
  <c r="S51" i="3" a="1"/>
  <c r="S47" i="3" a="1"/>
  <c r="S48" i="3" a="1"/>
  <c r="S28" i="3" a="1"/>
  <c r="S29" i="3" a="1"/>
  <c r="S41" i="3" a="1"/>
  <c r="S42" i="3" a="1"/>
  <c r="S52" i="3" a="1"/>
  <c r="S43" i="3" a="1"/>
  <c r="S49" i="3" a="1"/>
  <c r="S44" i="3" a="1"/>
  <c r="S46" i="3" a="1"/>
  <c r="Y26" i="3" a="1"/>
  <c r="Y41" i="3" a="1"/>
  <c r="Y39" i="3" a="1"/>
  <c r="Y40" i="3" a="1"/>
  <c r="T33" i="3" a="1"/>
  <c r="Y31" i="3" a="1"/>
  <c r="Y30" i="3" a="1"/>
  <c r="T32" i="3" a="1"/>
  <c r="Y36" i="3" a="1"/>
  <c r="T36" i="3" a="1"/>
  <c r="Y35" i="3" a="1"/>
  <c r="T35" i="3" a="1"/>
  <c r="T27" i="3" a="1"/>
  <c r="Y29" i="3" a="1"/>
  <c r="Y32" i="3" a="1"/>
  <c r="T30" i="3" a="1"/>
  <c r="T26" i="3" a="1"/>
  <c r="Y37" i="3" a="1"/>
  <c r="Y27" i="3" a="1"/>
  <c r="T31" i="3" a="1"/>
  <c r="Y28" i="3" a="1"/>
  <c r="Y38" i="3" a="1"/>
  <c r="Y33" i="3" a="1"/>
  <c r="Y42" i="3" a="1"/>
  <c r="AO24" i="3" a="1"/>
  <c r="T28" i="3" a="1"/>
  <c r="T29" i="3" a="1"/>
  <c r="T34" i="3" a="1"/>
  <c r="AO24" i="3" l="1"/>
  <c r="Y32" i="3"/>
  <c r="Y38" i="3"/>
  <c r="Y26" i="3"/>
  <c r="Y27" i="3"/>
  <c r="Y33" i="3"/>
  <c r="Y39" i="3"/>
  <c r="Y28" i="3"/>
  <c r="Y40" i="3"/>
  <c r="Y29" i="3"/>
  <c r="Y35" i="3"/>
  <c r="Y41" i="3"/>
  <c r="Y30" i="3"/>
  <c r="Y36" i="3"/>
  <c r="Y42" i="3"/>
  <c r="Y31" i="3"/>
  <c r="Y37" i="3"/>
  <c r="T28" i="3"/>
  <c r="T35" i="3"/>
  <c r="T36" i="3"/>
  <c r="T34" i="3"/>
  <c r="T32" i="3"/>
  <c r="T33" i="3"/>
  <c r="T29" i="3"/>
  <c r="T31" i="3"/>
  <c r="T30" i="3"/>
  <c r="S28" i="3"/>
  <c r="S29" i="3"/>
  <c r="T27" i="3"/>
  <c r="T26" i="3"/>
  <c r="S45" i="3"/>
  <c r="S46" i="3"/>
  <c r="S48" i="3"/>
  <c r="S49" i="3"/>
  <c r="S47" i="3"/>
  <c r="S51" i="3"/>
  <c r="S52" i="3"/>
  <c r="S41" i="3"/>
  <c r="S43" i="3"/>
  <c r="S42" i="3"/>
  <c r="S44" i="3"/>
  <c r="S30" i="3" a="1"/>
  <c r="Z26" i="3" a="1"/>
  <c r="Z35" i="3" a="1"/>
  <c r="Z37" i="3" a="1"/>
  <c r="Z30" i="3" a="1"/>
  <c r="Z27" i="3" a="1"/>
  <c r="Z32" i="3" a="1"/>
  <c r="AP24" i="3" a="1"/>
  <c r="Z33" i="3" a="1"/>
  <c r="Z41" i="3" a="1"/>
  <c r="U26" i="3" a="1"/>
  <c r="Z38" i="3" a="1"/>
  <c r="Z42" i="3" a="1"/>
  <c r="Z40" i="3" a="1"/>
  <c r="U29" i="3" a="1"/>
  <c r="Z31" i="3" a="1"/>
  <c r="U28" i="3" a="1"/>
  <c r="Z28" i="3" a="1"/>
  <c r="Z29" i="3" a="1"/>
  <c r="Z36" i="3" a="1"/>
  <c r="Z39" i="3" a="1"/>
  <c r="Z35" i="3" l="1"/>
  <c r="Z40" i="3"/>
  <c r="Z39" i="3"/>
  <c r="Z31" i="3"/>
  <c r="Z26" i="3"/>
  <c r="Z41" i="3"/>
  <c r="Z29" i="3"/>
  <c r="Z28" i="3"/>
  <c r="Z33" i="3"/>
  <c r="Z37" i="3"/>
  <c r="Z27" i="3"/>
  <c r="Z42" i="3"/>
  <c r="Z38" i="3"/>
  <c r="Z36" i="3"/>
  <c r="Z32" i="3"/>
  <c r="Z30" i="3"/>
  <c r="AP24" i="3"/>
  <c r="S82" i="3"/>
  <c r="S81" i="3"/>
  <c r="S80" i="3"/>
  <c r="S79" i="3"/>
  <c r="S78" i="3"/>
  <c r="S77" i="3"/>
  <c r="S30" i="3"/>
  <c r="U29" i="3"/>
  <c r="U28" i="3"/>
  <c r="U26" i="3"/>
  <c r="S31" i="3" a="1"/>
  <c r="U79" i="3" a="1"/>
  <c r="U81" i="3" a="1"/>
  <c r="U80" i="3" a="1"/>
  <c r="U77" i="3" a="1"/>
  <c r="U78" i="3" a="1"/>
  <c r="U82" i="3" a="1"/>
  <c r="U30" i="3" a="1"/>
  <c r="U82" i="3" l="1"/>
  <c r="U81" i="3"/>
  <c r="U79" i="3"/>
  <c r="U80" i="3"/>
  <c r="U77" i="3"/>
  <c r="U78" i="3"/>
  <c r="S31" i="3"/>
  <c r="U30" i="3"/>
  <c r="S32" i="3" a="1"/>
  <c r="U31" i="3" a="1"/>
  <c r="S32" i="3" l="1"/>
  <c r="U31" i="3"/>
  <c r="AH24" i="3"/>
  <c r="BE31" i="3"/>
  <c r="AI28" i="3" a="1"/>
  <c r="AI29" i="3" a="1"/>
  <c r="AI30" i="3" a="1"/>
  <c r="AI25" i="3" a="1"/>
  <c r="AI27" i="3" a="1"/>
  <c r="S33" i="3" a="1"/>
  <c r="AI26" i="3" a="1"/>
  <c r="AJ30" i="3" a="1"/>
  <c r="AJ29" i="3" a="1"/>
  <c r="U32" i="3" a="1"/>
  <c r="AJ28" i="3" a="1"/>
  <c r="AJ24" i="3" a="1"/>
  <c r="BG31" i="3" a="1"/>
  <c r="AJ26" i="3" a="1"/>
  <c r="AJ27" i="3" a="1"/>
  <c r="AI25" i="3" l="1"/>
  <c r="AI30" i="3"/>
  <c r="AI26" i="3"/>
  <c r="AI27" i="3"/>
  <c r="AI29" i="3"/>
  <c r="AI28" i="3"/>
  <c r="U32" i="3"/>
  <c r="S33" i="3"/>
  <c r="AJ24" i="3"/>
  <c r="AJ27" i="3"/>
  <c r="AJ26" i="3"/>
  <c r="AJ29" i="3"/>
  <c r="AJ28" i="3"/>
  <c r="AJ30" i="3"/>
  <c r="BF31" i="3"/>
  <c r="BG31" i="3"/>
  <c r="S34" i="3" a="1"/>
  <c r="U33" i="3" a="1"/>
  <c r="AK30" i="3" a="1"/>
  <c r="BH31" i="3" a="1"/>
  <c r="AK26" i="3" a="1"/>
  <c r="AK25" i="3" a="1"/>
  <c r="AK29" i="3" a="1"/>
  <c r="AK27" i="3" a="1"/>
  <c r="AK24" i="3" a="1"/>
  <c r="AK28" i="3" a="1"/>
  <c r="AK25" i="3" l="1"/>
  <c r="AK28" i="3"/>
  <c r="AK26" i="3"/>
  <c r="AK27" i="3"/>
  <c r="S34" i="3"/>
  <c r="U33" i="3"/>
  <c r="AK24" i="3"/>
  <c r="BH31" i="3"/>
  <c r="AK29" i="3"/>
  <c r="AK30" i="3"/>
  <c r="AF31" i="14" a="1"/>
  <c r="R31" i="14" a="1"/>
  <c r="S35" i="3" a="1"/>
  <c r="U34" i="3" a="1"/>
  <c r="S35" i="3" l="1"/>
  <c r="U34" i="3"/>
  <c r="R31" i="14"/>
  <c r="AF31" i="14"/>
  <c r="AL31" i="14" a="1"/>
  <c r="X31" i="14" a="1"/>
  <c r="S36" i="3" a="1"/>
  <c r="U35" i="3" a="1"/>
  <c r="S36" i="3" l="1"/>
  <c r="U35" i="3"/>
  <c r="AL31" i="14"/>
  <c r="X31" i="14"/>
  <c r="Y39" i="25" a="1"/>
  <c r="Y31" i="25" a="1"/>
  <c r="Y50" i="25" a="1"/>
  <c r="Y42" i="25" a="1"/>
  <c r="Y23" i="25" a="1"/>
  <c r="Y20" i="25" a="1"/>
  <c r="Y45" i="25" a="1"/>
  <c r="Y26" i="25" a="1"/>
  <c r="J23" i="25" a="1"/>
  <c r="J20" i="25" a="1"/>
  <c r="J39" i="25" a="1"/>
  <c r="J42" i="25" a="1"/>
  <c r="U36" i="3" a="1"/>
  <c r="U36" i="3" l="1"/>
  <c r="Y50" i="25"/>
  <c r="J42" i="25"/>
  <c r="J39" i="25"/>
  <c r="Y39" i="25"/>
  <c r="Y45" i="25"/>
  <c r="Y42" i="25"/>
  <c r="J23" i="25"/>
  <c r="J20" i="25"/>
  <c r="Y20" i="25"/>
  <c r="Y23" i="25"/>
  <c r="Y26" i="25"/>
  <c r="Y31" i="25"/>
  <c r="D5" i="8" a="1"/>
  <c r="I27" i="25" a="1"/>
  <c r="J47" i="25" a="1"/>
  <c r="H26" i="25" a="1"/>
  <c r="H51" i="25" a="1"/>
  <c r="I51" i="25" a="1"/>
  <c r="H50" i="25" a="1"/>
  <c r="H28" i="25" a="1"/>
  <c r="J32" i="25" a="1"/>
  <c r="H31" i="25" a="1"/>
  <c r="J28" i="25" a="1"/>
  <c r="H27" i="25" a="1"/>
  <c r="H33" i="25" a="1"/>
  <c r="J26" i="25" a="1"/>
  <c r="H32" i="25" a="1"/>
  <c r="H52" i="25" a="1"/>
  <c r="J33" i="25" a="1"/>
  <c r="J27" i="25" a="1"/>
  <c r="I31" i="25" a="1"/>
  <c r="I52" i="25" a="1"/>
  <c r="I33" i="25" a="1"/>
  <c r="J46" i="25" a="1"/>
  <c r="J50" i="25" a="1"/>
  <c r="I28" i="25" a="1"/>
  <c r="I50" i="25" a="1"/>
  <c r="I26" i="25" a="1"/>
  <c r="J31" i="25" a="1"/>
  <c r="J45" i="25" a="1"/>
  <c r="I45" i="25" a="1"/>
  <c r="H46" i="25" a="1"/>
  <c r="H47" i="25" a="1"/>
  <c r="I46" i="25" a="1"/>
  <c r="I47" i="25" a="1"/>
  <c r="H45" i="25" a="1"/>
  <c r="I32" i="25" a="1"/>
  <c r="J51" i="25" a="1"/>
  <c r="J52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D6" i="8" a="1"/>
  <c r="C8" i="25" a="1"/>
  <c r="C9" i="25" a="1"/>
  <c r="C9" i="25" l="1"/>
  <c r="C8" i="25"/>
  <c r="D6" i="8"/>
  <c r="I31" i="14"/>
  <c r="H31" i="14" a="1"/>
  <c r="C4" i="25" a="1"/>
  <c r="C4" i="25" l="1"/>
  <c r="C39" i="8" s="1"/>
  <c r="H31" i="14"/>
  <c r="J31" i="14" a="1"/>
  <c r="J31" i="14" l="1"/>
  <c r="C26" i="14" a="1"/>
  <c r="C26" i="14" l="1"/>
  <c r="D8" i="14" s="1"/>
  <c r="I51" i="3" l="1"/>
  <c r="I50" i="3"/>
  <c r="E124" i="13" a="1"/>
  <c r="BE22" i="3" a="1"/>
  <c r="AU22" i="3" a="1"/>
  <c r="G34" i="3" a="1"/>
  <c r="H125" i="15" a="1"/>
  <c r="D50" i="15" a="1"/>
  <c r="H116" i="15" a="1"/>
  <c r="G36" i="3" l="1"/>
  <c r="G37" i="3"/>
  <c r="G38" i="3"/>
  <c r="G44" i="3"/>
  <c r="G45" i="3"/>
  <c r="G34" i="3"/>
  <c r="G39" i="3"/>
  <c r="G40" i="3"/>
  <c r="G41" i="3"/>
  <c r="G46" i="3"/>
  <c r="G42" i="3"/>
  <c r="G43" i="3"/>
  <c r="G35" i="3"/>
  <c r="H125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AU22" i="3"/>
  <c r="BE22" i="3"/>
  <c r="H46" i="3" a="1"/>
  <c r="H39" i="3" a="1"/>
  <c r="H42" i="3" a="1"/>
  <c r="H41" i="3" a="1"/>
  <c r="H40" i="3" a="1"/>
  <c r="H43" i="3" a="1"/>
  <c r="H37" i="3" a="1"/>
  <c r="H38" i="3" a="1"/>
  <c r="H36" i="3" a="1"/>
  <c r="H44" i="3" a="1"/>
  <c r="H45" i="3" a="1"/>
  <c r="H35" i="3" a="1"/>
  <c r="J35" i="3" a="1"/>
  <c r="H44" i="3" l="1"/>
  <c r="H46" i="3"/>
  <c r="H45" i="3"/>
  <c r="H43" i="3"/>
  <c r="H39" i="3"/>
  <c r="J35" i="3"/>
  <c r="H38" i="3"/>
  <c r="H36" i="3"/>
  <c r="H37" i="3"/>
  <c r="H42" i="3"/>
  <c r="H41" i="3"/>
  <c r="H40" i="3"/>
  <c r="H35" i="3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AG17" i="21" a="1"/>
  <c r="X17" i="21" a="1"/>
  <c r="C260" i="13" a="1"/>
  <c r="E210" i="13" a="1"/>
  <c r="U22" i="17" a="1"/>
  <c r="X17" i="23" a="1"/>
  <c r="AV20" i="17" a="1"/>
  <c r="C259" i="13" a="1"/>
  <c r="AJ20" i="17" a="1"/>
  <c r="T22" i="17" a="1"/>
  <c r="P24" i="17" a="1"/>
  <c r="R25" i="17" a="1"/>
  <c r="D257" i="13" a="1"/>
  <c r="S23" i="17" a="1"/>
  <c r="T21" i="17" a="1"/>
  <c r="S22" i="17" a="1"/>
  <c r="Q24" i="17" a="1"/>
  <c r="D255" i="13" a="1"/>
  <c r="T23" i="17" a="1"/>
  <c r="E17" i="21" a="1"/>
  <c r="R23" i="17" a="1"/>
  <c r="P21" i="17" a="1"/>
  <c r="C255" i="13" a="1"/>
  <c r="M38" i="17" a="1"/>
  <c r="AG17" i="20" a="1"/>
  <c r="T25" i="17" a="1"/>
  <c r="E17" i="23" a="1"/>
  <c r="BO19" i="14" a="1"/>
  <c r="Q23" i="17" a="1"/>
  <c r="S24" i="17" a="1"/>
  <c r="N17" i="23" a="1"/>
  <c r="Q21" i="17" a="1"/>
  <c r="D258" i="13" a="1"/>
  <c r="F42" i="17" a="1"/>
  <c r="C38" i="13" a="1"/>
  <c r="V17" i="20" a="1"/>
  <c r="S79" i="13" a="1"/>
  <c r="Q22" i="17" a="1"/>
  <c r="S20" i="23" a="1"/>
  <c r="U24" i="17" a="1"/>
  <c r="T24" i="17" a="1"/>
  <c r="F39" i="17" a="1"/>
  <c r="F38" i="17" a="1"/>
  <c r="R19" i="23" a="1"/>
  <c r="R100" i="15" a="1"/>
  <c r="P26" i="17" a="1"/>
  <c r="P22" i="17" a="1"/>
  <c r="E100" i="15" a="1"/>
  <c r="C257" i="13" a="1"/>
  <c r="S21" i="17" a="1"/>
  <c r="E67" i="13" a="1"/>
  <c r="S19" i="23" a="1"/>
  <c r="C258" i="13" a="1"/>
  <c r="P25" i="17" a="1"/>
  <c r="P23" i="17" a="1"/>
  <c r="U26" i="17" a="1"/>
  <c r="E31" i="13" a="1"/>
  <c r="Z79" i="13" a="1"/>
  <c r="F43" i="17" a="1"/>
  <c r="Q26" i="17" a="1"/>
  <c r="R20" i="23" a="1"/>
  <c r="D256" i="13" a="1"/>
  <c r="C261" i="13" a="1"/>
  <c r="F40" i="17" a="1"/>
  <c r="R24" i="17" a="1"/>
  <c r="D261" i="13" a="1"/>
  <c r="AG17" i="23" a="1"/>
  <c r="D260" i="13" a="1"/>
  <c r="U25" i="17" a="1"/>
  <c r="D259" i="13" a="1"/>
  <c r="E55" i="13" a="1"/>
  <c r="L79" i="13" a="1"/>
  <c r="S25" i="17" a="1"/>
  <c r="BA19" i="14" a="1"/>
  <c r="E43" i="13" a="1"/>
  <c r="U21" i="17" a="1"/>
  <c r="R26" i="17" a="1"/>
  <c r="E79" i="13" a="1"/>
  <c r="Q25" i="17" a="1"/>
  <c r="AE100" i="15" a="1"/>
  <c r="C50" i="13" a="1"/>
  <c r="T26" i="17" a="1"/>
  <c r="O17" i="20" a="1"/>
  <c r="S26" i="17" a="1"/>
  <c r="N17" i="21" a="1"/>
  <c r="E17" i="20" a="1"/>
  <c r="F41" i="17" a="1"/>
  <c r="AI79" i="13" a="1"/>
  <c r="S17" i="21" a="1"/>
  <c r="R21" i="17" a="1"/>
  <c r="U23" i="17" a="1"/>
  <c r="E183" i="13" a="1"/>
  <c r="R21" i="23" a="1"/>
  <c r="R22" i="17" a="1"/>
  <c r="C256" i="13" a="1"/>
  <c r="R18" i="23" a="1"/>
  <c r="S17" i="23" a="1"/>
  <c r="S21" i="23" a="1"/>
  <c r="R19" i="21" a="1"/>
  <c r="S19" i="21" a="1"/>
  <c r="S20" i="21" a="1"/>
  <c r="R18" i="21" a="1"/>
  <c r="X50" i="15" a="1"/>
  <c r="BG40" i="5" a="1"/>
  <c r="BD63" i="5" a="1"/>
  <c r="Q23" i="17" l="1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R19" i="21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L21" i="17"/>
  <c r="H21" i="17"/>
  <c r="K21" i="17"/>
  <c r="J21" i="17"/>
  <c r="S79" i="13"/>
  <c r="AI79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AC26" i="17" a="1"/>
  <c r="I18" i="20" a="1"/>
  <c r="AD22" i="17" a="1"/>
  <c r="AB24" i="17" a="1"/>
  <c r="Z23" i="17" a="1"/>
  <c r="Z26" i="17" a="1"/>
  <c r="AA25" i="17" a="1"/>
  <c r="J100" i="15" a="1"/>
  <c r="R17" i="21" a="1"/>
  <c r="BI19" i="14" a="1"/>
  <c r="AA22" i="17" a="1"/>
  <c r="Y22" i="17" a="1"/>
  <c r="AC24" i="17" a="1"/>
  <c r="AD21" i="17" a="1"/>
  <c r="Z21" i="17" a="1"/>
  <c r="J20" i="20" a="1"/>
  <c r="I19" i="20" a="1"/>
  <c r="G55" i="13" a="1"/>
  <c r="AB25" i="17" a="1"/>
  <c r="AB26" i="17" a="1"/>
  <c r="AB23" i="17" a="1"/>
  <c r="BB20" i="17" a="1"/>
  <c r="H40" i="17" a="1"/>
  <c r="I17" i="20" a="1"/>
  <c r="S18" i="21" a="1"/>
  <c r="U100" i="15" a="1"/>
  <c r="AC22" i="17" a="1"/>
  <c r="G43" i="13" a="1"/>
  <c r="I17" i="21" a="1"/>
  <c r="AA26" i="17" a="1"/>
  <c r="Y25" i="17" a="1"/>
  <c r="I17" i="23" a="1"/>
  <c r="H38" i="17" a="1"/>
  <c r="S38" i="17" a="1"/>
  <c r="Z24" i="17" a="1"/>
  <c r="AB21" i="17" a="1"/>
  <c r="H42" i="17" a="1"/>
  <c r="AD25" i="17" a="1"/>
  <c r="AB17" i="23" a="1"/>
  <c r="AM17" i="20" a="1"/>
  <c r="AA24" i="17" a="1"/>
  <c r="S18" i="23" a="1"/>
  <c r="R20" i="21" a="1"/>
  <c r="AK17" i="21" a="1"/>
  <c r="AB17" i="21" a="1"/>
  <c r="AC23" i="17" a="1"/>
  <c r="R17" i="23" a="1"/>
  <c r="AB17" i="20" a="1"/>
  <c r="J19" i="20" a="1"/>
  <c r="H41" i="17" a="1"/>
  <c r="BW19" i="14" a="1"/>
  <c r="AC21" i="17" a="1"/>
  <c r="H43" i="17" a="1"/>
  <c r="AQ79" i="13" a="1"/>
  <c r="Y21" i="17" a="1"/>
  <c r="G67" i="13" a="1"/>
  <c r="AB22" i="17" a="1"/>
  <c r="G31" i="13" a="1"/>
  <c r="Z25" i="17" a="1"/>
  <c r="J18" i="20" a="1"/>
  <c r="H39" i="17" a="1"/>
  <c r="AD24" i="17" a="1"/>
  <c r="Y26" i="17" a="1"/>
  <c r="Y24" i="17" a="1"/>
  <c r="AD26" i="17" a="1"/>
  <c r="AD23" i="17" a="1"/>
  <c r="AA23" i="17" a="1"/>
  <c r="AC25" i="17" a="1"/>
  <c r="Y23" i="17" a="1"/>
  <c r="Z22" i="17" a="1"/>
  <c r="AJ100" i="15" a="1"/>
  <c r="AK17" i="23" a="1"/>
  <c r="I20" i="20" a="1"/>
  <c r="AP20" i="17" a="1"/>
  <c r="N79" i="13" a="1"/>
  <c r="AA21" i="17" a="1"/>
  <c r="E85" i="1" a="1"/>
  <c r="D85" i="1" a="1"/>
  <c r="D49" i="1" a="1"/>
  <c r="S18" i="23" l="1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D49" i="1"/>
  <c r="Z26" i="17"/>
  <c r="AA26" i="17"/>
  <c r="E85" i="1"/>
  <c r="D85" i="1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C12" i="23" a="1"/>
  <c r="C26" i="13" a="1"/>
  <c r="C95" i="15" a="1"/>
  <c r="E257" i="13" a="1"/>
  <c r="E256" i="13" a="1"/>
  <c r="C35" i="17" a="1"/>
  <c r="E258" i="13" a="1"/>
  <c r="J17" i="20" a="1"/>
  <c r="C62" i="13" a="1"/>
  <c r="C12" i="21" a="1"/>
  <c r="E255" i="13" a="1"/>
  <c r="E261" i="13" a="1"/>
  <c r="E259" i="13" a="1"/>
  <c r="E260" i="13" a="1"/>
  <c r="F85" i="1" a="1"/>
  <c r="W85" i="1" a="1"/>
  <c r="N85" i="1" a="1"/>
  <c r="T85" i="1" a="1"/>
  <c r="J85" i="1" a="1"/>
  <c r="Q85" i="1" a="1"/>
  <c r="AE53" i="15" a="1"/>
  <c r="AD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W85" i="1"/>
  <c r="Q85" i="1"/>
  <c r="N85" i="1"/>
  <c r="J85" i="1"/>
  <c r="T85" i="1"/>
  <c r="F85" i="1"/>
  <c r="C35" i="17"/>
  <c r="C31" i="17" a="1"/>
  <c r="C250" i="13" a="1"/>
  <c r="C4" i="23" a="1"/>
  <c r="C4" i="21" a="1"/>
  <c r="Q17" i="20" a="1"/>
  <c r="C4" i="24" a="1"/>
  <c r="C4" i="24" l="1"/>
  <c r="C40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J43" i="14" a="1"/>
  <c r="W19" i="14" a="1"/>
  <c r="AI43" i="14" a="1"/>
  <c r="T20" i="15" a="1"/>
  <c r="F34" i="15" a="1"/>
  <c r="G189" i="13" a="1"/>
  <c r="AF20" i="15" a="1"/>
  <c r="G191" i="13" a="1"/>
  <c r="S94" i="13" a="1"/>
  <c r="L94" i="13" a="1"/>
  <c r="B138" i="13" a="1"/>
  <c r="L166" i="13" a="1"/>
  <c r="O140" i="13" a="1"/>
  <c r="N157" i="13" a="1"/>
  <c r="N138" i="13" a="1"/>
  <c r="S210" i="13" a="1"/>
  <c r="M170" i="13" a="1"/>
  <c r="N150" i="13" a="1"/>
  <c r="N170" i="13" a="1"/>
  <c r="G185" i="13" a="1"/>
  <c r="E35" i="9" a="1"/>
  <c r="W43" i="14" a="1"/>
  <c r="CC19" i="14" a="1"/>
  <c r="O165" i="13" a="1"/>
  <c r="AB94" i="13" a="1"/>
  <c r="B226" i="13" a="1"/>
  <c r="L153" i="13" a="1"/>
  <c r="N159" i="13" a="1"/>
  <c r="O160" i="13" a="1"/>
  <c r="L164" i="13" a="1"/>
  <c r="N169" i="13" a="1"/>
  <c r="M153" i="13" a="1"/>
  <c r="O139" i="13" a="1"/>
  <c r="M164" i="13" a="1"/>
  <c r="L146" i="13" a="1"/>
  <c r="L151" i="13" a="1"/>
  <c r="G188" i="13" a="1"/>
  <c r="AB109" i="13" a="1"/>
  <c r="AE19" i="14" a="1"/>
  <c r="N149" i="13" a="1"/>
  <c r="O149" i="13" a="1"/>
  <c r="M146" i="13" a="1"/>
  <c r="M155" i="13" a="1"/>
  <c r="M158" i="13" a="1"/>
  <c r="L161" i="13" a="1"/>
  <c r="O158" i="13" a="1"/>
  <c r="M156" i="13" a="1"/>
  <c r="M157" i="13" a="1"/>
  <c r="L152" i="13" a="1"/>
  <c r="M124" i="13" a="1"/>
  <c r="C4" i="20" a="1"/>
  <c r="L154" i="13" a="1"/>
  <c r="M160" i="13" a="1"/>
  <c r="M139" i="13" a="1"/>
  <c r="O163" i="13" a="1"/>
  <c r="L158" i="13" a="1"/>
  <c r="M163" i="13" a="1"/>
  <c r="M154" i="13" a="1"/>
  <c r="U124" i="13" a="1"/>
  <c r="N172" i="13" a="1"/>
  <c r="M168" i="13" a="1"/>
  <c r="O155" i="13" a="1"/>
  <c r="O161" i="13" a="1"/>
  <c r="G190" i="13" a="1"/>
  <c r="AA210" i="13" a="1"/>
  <c r="N19" i="14" a="1"/>
  <c r="L162" i="13" a="1"/>
  <c r="N156" i="13" a="1"/>
  <c r="N151" i="13" a="1"/>
  <c r="N141" i="13" a="1"/>
  <c r="O167" i="13" a="1"/>
  <c r="M143" i="13" a="1"/>
  <c r="M141" i="13" a="1"/>
  <c r="N145" i="13" a="1"/>
  <c r="N163" i="13" a="1"/>
  <c r="L183" i="13" a="1"/>
  <c r="L139" i="13" a="1"/>
  <c r="M144" i="13" a="1"/>
  <c r="O157" i="13" a="1"/>
  <c r="N146" i="13" a="1"/>
  <c r="O146" i="13" a="1"/>
  <c r="O145" i="13" a="1"/>
  <c r="M151" i="13" a="1"/>
  <c r="N165" i="13" a="1"/>
  <c r="L170" i="13" a="1"/>
  <c r="O154" i="13" a="1"/>
  <c r="N168" i="13" a="1"/>
  <c r="L150" i="13" a="1"/>
  <c r="G184" i="13" a="1"/>
  <c r="B241" i="13" a="1"/>
  <c r="BM43" i="14" a="1"/>
  <c r="E109" i="13" a="1"/>
  <c r="M166" i="13" a="1"/>
  <c r="N155" i="13" a="1"/>
  <c r="L169" i="13" a="1"/>
  <c r="O153" i="13" a="1"/>
  <c r="O169" i="13" a="1"/>
  <c r="L145" i="13" a="1"/>
  <c r="L140" i="13" a="1"/>
  <c r="L109" i="13" a="1"/>
  <c r="E17" i="19" a="1"/>
  <c r="M167" i="13" a="1"/>
  <c r="O142" i="13" a="1"/>
  <c r="N148" i="13" a="1"/>
  <c r="O168" i="13" a="1"/>
  <c r="F20" i="15" a="1"/>
  <c r="T34" i="15" a="1"/>
  <c r="L210" i="13" a="1"/>
  <c r="N244" i="13" a="1"/>
  <c r="L157" i="13" a="1"/>
  <c r="L243" i="13" a="1"/>
  <c r="L244" i="13" a="1"/>
  <c r="M148" i="13" a="1"/>
  <c r="L165" i="13" a="1"/>
  <c r="M162" i="13" a="1"/>
  <c r="N152" i="13" a="1"/>
  <c r="M171" i="13" a="1"/>
  <c r="N243" i="13" a="1"/>
  <c r="S183" i="13" a="1"/>
  <c r="M161" i="13" a="1"/>
  <c r="N142" i="13" a="1"/>
  <c r="AM19" i="14" a="1"/>
  <c r="AI124" i="13" a="1"/>
  <c r="M140" i="13" a="1"/>
  <c r="M150" i="13" a="1"/>
  <c r="O143" i="13" a="1"/>
  <c r="L171" i="13" a="1"/>
  <c r="N153" i="13" a="1"/>
  <c r="N154" i="13" a="1"/>
  <c r="M152" i="13" a="1"/>
  <c r="L143" i="13" a="1"/>
  <c r="AU43" i="14" a="1"/>
  <c r="AC35" i="15" a="1"/>
  <c r="E94" i="13" a="1"/>
  <c r="G187" i="13" a="1"/>
  <c r="O241" i="13" a="1"/>
  <c r="N144" i="13" a="1"/>
  <c r="M244" i="13" a="1"/>
  <c r="N166" i="13" a="1"/>
  <c r="L149" i="13" a="1"/>
  <c r="L148" i="13" a="1"/>
  <c r="O141" i="13" a="1"/>
  <c r="L156" i="13" a="1"/>
  <c r="L141" i="13" a="1"/>
  <c r="O138" i="13" a="1"/>
  <c r="M147" i="13" a="1"/>
  <c r="O172" i="13" a="1"/>
  <c r="O162" i="13" a="1"/>
  <c r="F19" i="14" a="1"/>
  <c r="S109" i="13" a="1"/>
  <c r="AR20" i="15" a="1"/>
  <c r="O243" i="13" a="1"/>
  <c r="O147" i="13" a="1"/>
  <c r="M172" i="13" a="1"/>
  <c r="L147" i="13" a="1"/>
  <c r="L172" i="13" a="1"/>
  <c r="N158" i="13" a="1"/>
  <c r="M149" i="13" a="1"/>
  <c r="O164" i="13" a="1"/>
  <c r="O166" i="13" a="1"/>
  <c r="M159" i="13" a="1"/>
  <c r="O170" i="13" a="1"/>
  <c r="M145" i="13" a="1"/>
  <c r="M138" i="13" a="1"/>
  <c r="O171" i="13" a="1"/>
  <c r="O150" i="13" a="1"/>
  <c r="N147" i="13" a="1"/>
  <c r="L144" i="13" a="1"/>
  <c r="L167" i="13" a="1"/>
  <c r="L142" i="13" a="1"/>
  <c r="N171" i="13" a="1"/>
  <c r="O152" i="13" a="1"/>
  <c r="M142" i="13" a="1"/>
  <c r="O151" i="13" a="1"/>
  <c r="M165" i="13" a="1"/>
  <c r="L163" i="13" a="1"/>
  <c r="O159" i="13" a="1"/>
  <c r="N167" i="13" a="1"/>
  <c r="N162" i="13" a="1"/>
  <c r="L159" i="13" a="1"/>
  <c r="L155" i="13" a="1"/>
  <c r="N139" i="13" a="1"/>
  <c r="O144" i="13" a="1"/>
  <c r="O156" i="13" a="1"/>
  <c r="N164" i="13" a="1"/>
  <c r="O148" i="13" a="1"/>
  <c r="M169" i="13" a="1"/>
  <c r="N140" i="13" a="1"/>
  <c r="N160" i="13" a="1"/>
  <c r="L168" i="13" a="1"/>
  <c r="N161" i="13" a="1"/>
  <c r="L160" i="13" a="1"/>
  <c r="N242" i="13" a="1"/>
  <c r="M245" i="13" a="1"/>
  <c r="O242" i="13" a="1"/>
  <c r="N245" i="13" a="1"/>
  <c r="O245" i="13" a="1"/>
  <c r="O244" i="13" a="1"/>
  <c r="M242" i="13" a="1"/>
  <c r="M241" i="13" a="1"/>
  <c r="M243" i="13" a="1"/>
  <c r="L242" i="13" a="1"/>
  <c r="L245" i="13" a="1"/>
  <c r="AD36" i="15" a="1"/>
  <c r="T100" i="5" a="1"/>
  <c r="T223" i="5" a="1"/>
  <c r="T103" i="5" a="1"/>
  <c r="W220" i="5" a="1"/>
  <c r="T221" i="5" a="1"/>
  <c r="W219" i="5" a="1"/>
  <c r="V223" i="5" a="1"/>
  <c r="U218" i="5" a="1"/>
  <c r="T219" i="5" a="1"/>
  <c r="X217" i="5" a="1"/>
  <c r="U221" i="5" a="1"/>
  <c r="T217" i="5" a="1"/>
  <c r="X223" i="5" a="1"/>
  <c r="T92" i="5" a="1"/>
  <c r="V219" i="5" a="1"/>
  <c r="U219" i="5" a="1"/>
  <c r="V221" i="5" a="1"/>
  <c r="U220" i="5" a="1"/>
  <c r="M50" i="15" a="1"/>
  <c r="U222" i="5" a="1"/>
  <c r="X219" i="5" a="1"/>
  <c r="V218" i="5" a="1"/>
  <c r="T218" i="5" a="1"/>
  <c r="V220" i="5" a="1"/>
  <c r="W217" i="5" a="1"/>
  <c r="T101" i="5" a="1"/>
  <c r="X220" i="5" a="1"/>
  <c r="V222" i="5" a="1"/>
  <c r="W223" i="5" a="1"/>
  <c r="T96" i="5" a="1"/>
  <c r="T222" i="5" a="1"/>
  <c r="U223" i="5" a="1"/>
  <c r="V217" i="5" a="1"/>
  <c r="T95" i="5" a="1"/>
  <c r="T87" i="5" a="1"/>
  <c r="U217" i="5" a="1"/>
  <c r="X218" i="5" a="1"/>
  <c r="T88" i="5" a="1"/>
  <c r="W222" i="5" a="1"/>
  <c r="X222" i="5" a="1"/>
  <c r="T220" i="5" a="1"/>
  <c r="T94" i="5" a="1"/>
  <c r="T90" i="5" a="1"/>
  <c r="T102" i="5" a="1"/>
  <c r="T89" i="5" a="1"/>
  <c r="T98" i="5" a="1"/>
  <c r="T91" i="5" a="1"/>
  <c r="W218" i="5" a="1"/>
  <c r="X221" i="5" a="1"/>
  <c r="W221" i="5" a="1"/>
  <c r="T93" i="5" a="1"/>
  <c r="T99" i="5" a="1"/>
  <c r="T97" i="5" a="1"/>
  <c r="C4" i="20" l="1"/>
  <c r="C32" i="8" s="1"/>
  <c r="L172" i="13"/>
  <c r="M172" i="13"/>
  <c r="O172" i="13"/>
  <c r="N172" i="13"/>
  <c r="O19" i="19"/>
  <c r="V19" i="19"/>
  <c r="E17" i="19"/>
  <c r="W43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6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4" i="13"/>
  <c r="L243" i="13"/>
  <c r="L242" i="13"/>
  <c r="O243" i="13"/>
  <c r="O245" i="13"/>
  <c r="M241" i="13"/>
  <c r="O244" i="13"/>
  <c r="M242" i="13"/>
  <c r="M244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N243" i="13"/>
  <c r="L166" i="13"/>
  <c r="L142" i="13"/>
  <c r="M165" i="13"/>
  <c r="M159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AC34" i="15" a="1"/>
  <c r="CI19" i="14" a="1"/>
  <c r="N241" i="13" a="1"/>
  <c r="H19" i="14" a="1"/>
  <c r="N189" i="13" a="1"/>
  <c r="AJ109" i="13" a="1"/>
  <c r="N211" i="13" a="1"/>
  <c r="AA183" i="13" a="1"/>
  <c r="H227" i="13" a="1"/>
  <c r="L20" i="15" a="1"/>
  <c r="N192" i="13" a="1"/>
  <c r="G210" i="13" a="1"/>
  <c r="G186" i="13" a="1"/>
  <c r="N194" i="13" a="1"/>
  <c r="X17" i="19" a="1"/>
  <c r="AD79" i="13" a="1"/>
  <c r="O124" i="13" a="1"/>
  <c r="M21" i="15" a="1"/>
  <c r="N143" i="13" a="1"/>
  <c r="AD34" i="15" a="1"/>
  <c r="Y19" i="14" a="1"/>
  <c r="Z20" i="15" a="1"/>
  <c r="BC43" i="14" a="1"/>
  <c r="AG19" i="14" a="1"/>
  <c r="N21" i="15" a="1"/>
  <c r="G211" i="13" a="1"/>
  <c r="L138" i="13" a="1"/>
  <c r="L22" i="15" a="1"/>
  <c r="I228" i="13" a="1"/>
  <c r="L241" i="13" a="1"/>
  <c r="AS124" i="13" a="1"/>
  <c r="I227" i="13" a="1"/>
  <c r="AB35" i="15" a="1"/>
  <c r="N199" i="13" a="1"/>
  <c r="L21" i="15" a="1"/>
  <c r="H228" i="13" a="1"/>
  <c r="N197" i="13" a="1"/>
  <c r="AB34" i="15" a="1"/>
  <c r="W109" i="13" a="1"/>
  <c r="H229" i="13" a="1"/>
  <c r="N186" i="13" a="1"/>
  <c r="AJ94" i="13" a="1"/>
  <c r="AZ20" i="15" a="1"/>
  <c r="G109" i="13" a="1"/>
  <c r="AB36" i="15" a="1"/>
  <c r="U79" i="13" a="1"/>
  <c r="U210" i="13" a="1"/>
  <c r="L43" i="14" a="1"/>
  <c r="N184" i="13" a="1"/>
  <c r="N190" i="13" a="1"/>
  <c r="G213" i="13" a="1"/>
  <c r="G183" i="13" a="1"/>
  <c r="AI210" i="13" a="1"/>
  <c r="H230" i="13" a="1"/>
  <c r="N188" i="13" a="1"/>
  <c r="AU19" i="14" a="1"/>
  <c r="N109" i="13" a="1"/>
  <c r="AK43" i="14" a="1"/>
  <c r="N213" i="13" a="1"/>
  <c r="M34" i="15" a="1"/>
  <c r="G214" i="13" a="1"/>
  <c r="L34" i="15" a="1"/>
  <c r="N183" i="13" a="1"/>
  <c r="I226" i="13" a="1"/>
  <c r="P19" i="14" a="1"/>
  <c r="N198" i="13" a="1"/>
  <c r="Q17" i="19" a="1"/>
  <c r="N94" i="13" a="1"/>
  <c r="M35" i="15" a="1"/>
  <c r="AC36" i="15" a="1"/>
  <c r="N210" i="13" a="1"/>
  <c r="H226" i="13" a="1"/>
  <c r="U212" i="13" a="1"/>
  <c r="U211" i="13" a="1"/>
  <c r="N212" i="13" a="1"/>
  <c r="U214" i="13" a="1"/>
  <c r="AC124" i="13" a="1"/>
  <c r="N214" i="13" a="1"/>
  <c r="N22" i="15" a="1"/>
  <c r="N185" i="13" a="1"/>
  <c r="G94" i="13" a="1"/>
  <c r="N195" i="13" a="1"/>
  <c r="U213" i="13" a="1"/>
  <c r="G79" i="13" a="1"/>
  <c r="I229" i="13" a="1"/>
  <c r="N193" i="13" a="1"/>
  <c r="BU43" i="14" a="1"/>
  <c r="N20" i="15" a="1"/>
  <c r="H17" i="19" a="1"/>
  <c r="N196" i="13" a="1"/>
  <c r="L35" i="15" a="1"/>
  <c r="N200" i="13" a="1"/>
  <c r="M20" i="15" a="1"/>
  <c r="W94" i="13" a="1"/>
  <c r="G212" i="13" a="1"/>
  <c r="AD35" i="15" a="1"/>
  <c r="M22" i="15" a="1"/>
  <c r="Y43" i="14" a="1"/>
  <c r="N191" i="13" a="1"/>
  <c r="N187" i="13" a="1"/>
  <c r="AL20" i="15" a="1"/>
  <c r="G124" i="13" a="1"/>
  <c r="I230" i="13" a="1"/>
  <c r="C203" i="5" a="1"/>
  <c r="AC34" i="15" l="1"/>
  <c r="I228" i="13"/>
  <c r="AB35" i="15"/>
  <c r="I227" i="13"/>
  <c r="N241" i="13"/>
  <c r="AD34" i="15"/>
  <c r="N143" i="13"/>
  <c r="I230" i="13"/>
  <c r="H227" i="13"/>
  <c r="H229" i="13"/>
  <c r="I229" i="13"/>
  <c r="AD35" i="15"/>
  <c r="I226" i="13"/>
  <c r="AB36" i="15"/>
  <c r="M35" i="15"/>
  <c r="BU43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C15" i="15" a="1"/>
  <c r="C38" i="14" a="1"/>
  <c r="C17" i="17" a="1"/>
  <c r="C221" i="13" a="1"/>
  <c r="C74" i="13" a="1"/>
  <c r="C104" i="13" a="1"/>
  <c r="C28" i="15" a="1"/>
  <c r="C178" i="13" a="1"/>
  <c r="C236" i="13" a="1"/>
  <c r="S17" i="19" a="1"/>
  <c r="C133" i="13" a="1"/>
  <c r="C205" i="13" a="1"/>
  <c r="C119" i="13" a="1"/>
  <c r="Z17" i="19" a="1"/>
  <c r="C89" i="13" a="1"/>
  <c r="C14" i="14" a="1"/>
  <c r="J53" i="15" a="1"/>
  <c r="K53" i="15" a="1"/>
  <c r="T53" i="15" a="1"/>
  <c r="S53" i="15" a="1"/>
  <c r="C14" i="14" l="1"/>
  <c r="D7" i="14" s="1"/>
  <c r="C38" i="14"/>
  <c r="D9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C4" i="14" a="1"/>
  <c r="C4" i="13" a="1"/>
  <c r="C12" i="19" a="1"/>
  <c r="C13" i="17" a="1"/>
  <c r="C44" i="15" a="1"/>
  <c r="C13" i="17" l="1"/>
  <c r="D7" i="17" s="1"/>
  <c r="C4" i="14"/>
  <c r="C20" i="8" s="1"/>
  <c r="C4" i="13"/>
  <c r="C19" i="8" s="1"/>
  <c r="C44" i="15"/>
  <c r="E9" i="15" s="1"/>
  <c r="C12" i="19"/>
  <c r="D7" i="19" s="1"/>
  <c r="C4" i="19" a="1"/>
  <c r="C4" i="17" a="1"/>
  <c r="C4" i="15" a="1"/>
  <c r="C4" i="15" l="1"/>
  <c r="C21" i="8" s="1"/>
  <c r="C4" i="17"/>
  <c r="C33" i="8" s="1"/>
  <c r="C4" i="19"/>
  <c r="C25" i="8" s="1"/>
  <c r="B14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5" i="1"/>
  <c r="B71" i="1"/>
  <c r="T71" i="1" s="1"/>
  <c r="B56" i="1"/>
  <c r="C56" i="1" s="1"/>
  <c r="B70" i="1"/>
  <c r="B69" i="1"/>
  <c r="B68" i="1"/>
  <c r="B67" i="1"/>
  <c r="C47" i="1"/>
  <c r="C53" i="1"/>
  <c r="C51" i="1"/>
  <c r="C49" i="1"/>
  <c r="B54" i="1"/>
  <c r="C54" i="1" s="1"/>
  <c r="B52" i="1"/>
  <c r="C52" i="1" s="1"/>
  <c r="B50" i="1"/>
  <c r="B48" i="1"/>
  <c r="B46" i="1"/>
  <c r="I10" i="4"/>
  <c r="I15" i="4" s="1"/>
  <c r="G24" i="3"/>
  <c r="C62" i="2"/>
  <c r="E64" i="2"/>
  <c r="J142" i="9" a="1"/>
  <c r="O76" i="9" a="1"/>
  <c r="C6" i="2" a="1"/>
  <c r="C120" i="9" a="1"/>
  <c r="J54" i="9" a="1"/>
  <c r="O120" i="9" a="1"/>
  <c r="E54" i="9" a="1"/>
  <c r="C230" i="9" a="1"/>
  <c r="C142" i="9" a="1"/>
  <c r="O142" i="9" a="1"/>
  <c r="J164" i="9" a="1"/>
  <c r="C54" i="9" a="1"/>
  <c r="O54" i="9" a="1"/>
  <c r="C32" i="9" a="1"/>
  <c r="J186" i="9" a="1"/>
  <c r="J98" i="9" a="1"/>
  <c r="O230" i="9" a="1"/>
  <c r="O98" i="9" a="1"/>
  <c r="E186" i="9" a="1"/>
  <c r="O186" i="9" a="1"/>
  <c r="E164" i="9" a="1"/>
  <c r="L230" i="9" a="1"/>
  <c r="R230" i="9" a="1"/>
  <c r="J120" i="9" a="1"/>
  <c r="C76" i="9" a="1"/>
  <c r="J76" i="9" a="1"/>
  <c r="E120" i="9" a="1"/>
  <c r="O164" i="9" a="1"/>
  <c r="J32" i="9" a="1"/>
  <c r="F230" i="9" a="1"/>
  <c r="J208" i="9" a="1"/>
  <c r="O208" i="9" a="1"/>
  <c r="E142" i="9" a="1"/>
  <c r="C164" i="9" a="1"/>
  <c r="O32" i="9" a="1"/>
  <c r="E208" i="9" a="1"/>
  <c r="E98" i="9" a="1"/>
  <c r="D5" i="4" a="1"/>
  <c r="D4" i="4" a="1"/>
  <c r="C98" i="9" a="1"/>
  <c r="C208" i="9" a="1"/>
  <c r="C186" i="9" a="1"/>
  <c r="U230" i="9" a="1"/>
  <c r="E76" i="9" a="1"/>
  <c r="I230" i="9" a="1"/>
  <c r="U71" i="1" a="1"/>
  <c r="K67" i="1" a="1"/>
  <c r="K70" i="1" a="1"/>
  <c r="K69" i="1" a="1"/>
  <c r="G46" i="1" a="1"/>
  <c r="G67" i="1" a="1"/>
  <c r="G71" i="1" a="1"/>
  <c r="U67" i="1" a="1"/>
  <c r="K68" i="1" a="1"/>
  <c r="U69" i="1" a="1"/>
  <c r="U68" i="1" a="1"/>
  <c r="K71" i="1" a="1"/>
  <c r="G68" i="1" a="1"/>
  <c r="G69" i="1" a="1"/>
  <c r="U70" i="1" a="1"/>
  <c r="G70" i="1" a="1"/>
  <c r="W98" i="5" a="1"/>
  <c r="W132" i="5" a="1"/>
  <c r="BJ64" i="5" a="1"/>
  <c r="BT39" i="5" a="1"/>
  <c r="T136" i="5" a="1"/>
  <c r="BR67" i="5" a="1"/>
  <c r="BK64" i="5" a="1"/>
  <c r="BL40" i="5" a="1"/>
  <c r="V92" i="5" a="1"/>
  <c r="BQ41" i="5" a="1"/>
  <c r="V135" i="5" a="1"/>
  <c r="V88" i="5" a="1"/>
  <c r="U127" i="5" a="1"/>
  <c r="BG64" i="5" a="1"/>
  <c r="T126" i="5" a="1"/>
  <c r="BG42" i="5" a="1"/>
  <c r="W100" i="5" a="1"/>
  <c r="BM39" i="5" a="1"/>
  <c r="U137" i="5" a="1"/>
  <c r="BH42" i="5" a="1"/>
  <c r="BE40" i="5" a="1"/>
  <c r="L177" i="5" a="1"/>
  <c r="X97" i="5" a="1"/>
  <c r="BN40" i="5" a="1"/>
  <c r="BS63" i="5" a="1"/>
  <c r="BM64" i="5" a="1"/>
  <c r="U128" i="5" a="1"/>
  <c r="K157" i="5" a="1"/>
  <c r="V98" i="5" a="1"/>
  <c r="BM42" i="5" a="1"/>
  <c r="BQ40" i="5" a="1"/>
  <c r="W137" i="5" a="1"/>
  <c r="BR40" i="5" a="1"/>
  <c r="U103" i="5" a="1"/>
  <c r="U124" i="5" a="1"/>
  <c r="BM65" i="5" a="1"/>
  <c r="BD65" i="5" a="1"/>
  <c r="BO64" i="5" a="1"/>
  <c r="L161" i="5" a="1"/>
  <c r="V138" i="5" a="1"/>
  <c r="BQ64" i="5" a="1"/>
  <c r="W93" i="5" a="1"/>
  <c r="BM66" i="5" a="1"/>
  <c r="W103" i="5" a="1"/>
  <c r="BK66" i="5" a="1"/>
  <c r="BH43" i="5" a="1"/>
  <c r="BG43" i="5" a="1"/>
  <c r="T125" i="5" a="1"/>
  <c r="BN43" i="5" a="1"/>
  <c r="BT41" i="5" a="1"/>
  <c r="X96" i="5" a="1"/>
  <c r="T128" i="5" a="1"/>
  <c r="V130" i="5" a="1"/>
  <c r="BS41" i="5" a="1"/>
  <c r="I27" i="11" a="1"/>
  <c r="L180" i="5" a="1"/>
  <c r="W96" i="5" a="1"/>
  <c r="BI65" i="5" a="1"/>
  <c r="U88" i="5" a="1"/>
  <c r="BS67" i="5" a="1"/>
  <c r="W134" i="5" a="1"/>
  <c r="W139" i="5" a="1"/>
  <c r="K179" i="5" a="1"/>
  <c r="BO66" i="5" a="1"/>
  <c r="BP41" i="5" a="1"/>
  <c r="X131" i="5" a="1"/>
  <c r="L181" i="5" a="1"/>
  <c r="X133" i="5" a="1"/>
  <c r="X124" i="5" a="1"/>
  <c r="BI42" i="5" a="1"/>
  <c r="BK39" i="5" a="1"/>
  <c r="X100" i="5" a="1"/>
  <c r="BI43" i="5" a="1"/>
  <c r="BQ65" i="5" a="1"/>
  <c r="V101" i="5" a="1"/>
  <c r="BS40" i="5" a="1"/>
  <c r="T139" i="5" a="1"/>
  <c r="K177" i="5" a="1"/>
  <c r="W130" i="5" a="1"/>
  <c r="BO63" i="5" a="1"/>
  <c r="W126" i="5" a="1"/>
  <c r="BS66" i="5" a="1"/>
  <c r="BQ42" i="5" a="1"/>
  <c r="U126" i="5" a="1"/>
  <c r="BM40" i="5" a="1"/>
  <c r="V91" i="5" a="1"/>
  <c r="V139" i="5" a="1"/>
  <c r="U198" i="5" a="1"/>
  <c r="V126" i="5" a="1"/>
  <c r="X138" i="5" a="1"/>
  <c r="BK41" i="5" a="1"/>
  <c r="V129" i="5" a="1"/>
  <c r="BD67" i="5" a="1"/>
  <c r="BF40" i="5" a="1"/>
  <c r="BO65" i="5" a="1"/>
  <c r="W99" i="5" a="1"/>
  <c r="BT66" i="5" a="1"/>
  <c r="W123" i="5" a="1"/>
  <c r="X129" i="5" a="1"/>
  <c r="X135" i="5" a="1"/>
  <c r="L158" i="5" a="1"/>
  <c r="K180" i="5" a="1"/>
  <c r="W101" i="5" a="1"/>
  <c r="BK67" i="5" a="1"/>
  <c r="BP65" i="5" a="1"/>
  <c r="BR65" i="5" a="1"/>
  <c r="BP67" i="5" a="1"/>
  <c r="W198" i="5" a="1"/>
  <c r="BH65" i="5" a="1"/>
  <c r="BG63" i="5" a="1"/>
  <c r="U123" i="5" a="1"/>
  <c r="U95" i="5" a="1"/>
  <c r="U94" i="5" a="1"/>
  <c r="V102" i="5" a="1"/>
  <c r="BH39" i="5" a="1"/>
  <c r="U136" i="5" a="1"/>
  <c r="W91" i="5" a="1"/>
  <c r="K161" i="5" a="1"/>
  <c r="BN42" i="5" a="1"/>
  <c r="BG41" i="5" a="1"/>
  <c r="X94" i="5" a="1"/>
  <c r="X139" i="5" a="1"/>
  <c r="W138" i="5" a="1"/>
  <c r="BJ42" i="5" a="1"/>
  <c r="BM67" i="5" a="1"/>
  <c r="T129" i="5" a="1"/>
  <c r="T127" i="5" a="1"/>
  <c r="BT67" i="5" a="1"/>
  <c r="T134" i="5" a="1"/>
  <c r="BR43" i="5" a="1"/>
  <c r="K158" i="5" a="1"/>
  <c r="U132" i="5" a="1"/>
  <c r="U125" i="5" a="1"/>
  <c r="BK63" i="5" a="1"/>
  <c r="V124" i="5" a="1"/>
  <c r="BR63" i="5" a="1"/>
  <c r="BQ67" i="5" a="1"/>
  <c r="BP40" i="5" a="1"/>
  <c r="V131" i="5" a="1"/>
  <c r="BE41" i="5" a="1"/>
  <c r="U96" i="5" a="1"/>
  <c r="BK43" i="5" a="1"/>
  <c r="X91" i="5" a="1"/>
  <c r="U91" i="5" a="1"/>
  <c r="X101" i="5" a="1"/>
  <c r="X99" i="5" a="1"/>
  <c r="W128" i="5" a="1"/>
  <c r="BH40" i="5" a="1"/>
  <c r="L159" i="5" a="1"/>
  <c r="BL64" i="5" a="1"/>
  <c r="W136" i="5" a="1"/>
  <c r="V96" i="5" a="1"/>
  <c r="W88" i="5" a="1"/>
  <c r="BF43" i="5" a="1"/>
  <c r="BP64" i="5" a="1"/>
  <c r="X127" i="5" a="1"/>
  <c r="X88" i="5" a="1"/>
  <c r="U130" i="5" a="1"/>
  <c r="BL65" i="5" a="1"/>
  <c r="BN66" i="5" a="1"/>
  <c r="K159" i="5" a="1"/>
  <c r="BF67" i="5" a="1"/>
  <c r="V87" i="5" a="1"/>
  <c r="I22" i="11" a="1"/>
  <c r="BJ66" i="5" a="1"/>
  <c r="X134" i="5" a="1"/>
  <c r="V134" i="5" a="1"/>
  <c r="U102" i="5" a="1"/>
  <c r="BJ41" i="5" a="1"/>
  <c r="BH67" i="5" a="1"/>
  <c r="BK42" i="5" a="1"/>
  <c r="W94" i="5" a="1"/>
  <c r="X126" i="5" a="1"/>
  <c r="V94" i="5" a="1"/>
  <c r="BD40" i="5" a="1"/>
  <c r="K178" i="5" a="1"/>
  <c r="U134" i="5" a="1"/>
  <c r="L157" i="5" a="1"/>
  <c r="BJ40" i="5" a="1"/>
  <c r="BS64" i="5" a="1"/>
  <c r="W95" i="5" a="1"/>
  <c r="U98" i="5" a="1"/>
  <c r="U97" i="5" a="1"/>
  <c r="BG39" i="5" a="1"/>
  <c r="U135" i="5" a="1"/>
  <c r="U197" i="5" a="1"/>
  <c r="U139" i="5" a="1"/>
  <c r="U129" i="5" a="1"/>
  <c r="BQ39" i="5" a="1"/>
  <c r="BO67" i="5" a="1"/>
  <c r="V103" i="5" a="1"/>
  <c r="X136" i="5" a="1"/>
  <c r="V125" i="5" a="1"/>
  <c r="V133" i="5" a="1"/>
  <c r="V127" i="5" a="1"/>
  <c r="V99" i="5" a="1"/>
  <c r="V132" i="5" a="1"/>
  <c r="BN63" i="5" a="1"/>
  <c r="BI41" i="5" a="1"/>
  <c r="V137" i="5" a="1"/>
  <c r="BI40" i="5" a="1"/>
  <c r="BI67" i="5" a="1"/>
  <c r="X102" i="5" a="1"/>
  <c r="BS39" i="5" a="1"/>
  <c r="V197" i="5" a="1"/>
  <c r="W197" i="5" a="1"/>
  <c r="BR39" i="5" a="1"/>
  <c r="BE65" i="5" a="1"/>
  <c r="BQ66" i="5" a="1"/>
  <c r="BF66" i="5" a="1"/>
  <c r="U138" i="5" a="1"/>
  <c r="U131" i="5" a="1"/>
  <c r="T123" i="5" a="1"/>
  <c r="BP42" i="5" a="1"/>
  <c r="BE63" i="5" a="1"/>
  <c r="BE43" i="5" a="1"/>
  <c r="U90" i="5" a="1"/>
  <c r="W125" i="5" a="1"/>
  <c r="U100" i="5" a="1"/>
  <c r="BK65" i="5" a="1"/>
  <c r="U89" i="5" a="1"/>
  <c r="BT64" i="5" a="1"/>
  <c r="U101" i="5" a="1"/>
  <c r="X90" i="5" a="1"/>
  <c r="BH41" i="5" a="1"/>
  <c r="L179" i="5" a="1"/>
  <c r="BM43" i="5" a="1"/>
  <c r="D48" i="1" a="1"/>
  <c r="BT63" i="5" a="1"/>
  <c r="BI39" i="5" a="1"/>
  <c r="T132" i="5" a="1"/>
  <c r="BL43" i="5" a="1"/>
  <c r="BD64" i="5" a="1"/>
  <c r="V198" i="5" a="1"/>
  <c r="BQ63" i="5" a="1"/>
  <c r="BD43" i="5" a="1"/>
  <c r="W90" i="5" a="1"/>
  <c r="T131" i="5" a="1"/>
  <c r="T130" i="5" a="1"/>
  <c r="BP39" i="5" a="1"/>
  <c r="BM63" i="5" a="1"/>
  <c r="T198" i="5" a="1"/>
  <c r="BL66" i="5" a="1"/>
  <c r="BN41" i="5" a="1"/>
  <c r="BK40" i="5" a="1"/>
  <c r="BE42" i="5" a="1"/>
  <c r="BD42" i="5" a="1"/>
  <c r="BT42" i="5" a="1"/>
  <c r="W87" i="5" a="1"/>
  <c r="BD66" i="5" a="1"/>
  <c r="BN65" i="5" a="1"/>
  <c r="BT65" i="5" a="1"/>
  <c r="BG67" i="5" a="1"/>
  <c r="X123" i="5" a="1"/>
  <c r="X137" i="5" a="1"/>
  <c r="W135" i="5" a="1"/>
  <c r="BF41" i="5" a="1"/>
  <c r="T138" i="5" a="1"/>
  <c r="BI66" i="5" a="1"/>
  <c r="BR41" i="5" a="1"/>
  <c r="X95" i="5" a="1"/>
  <c r="W129" i="5" a="1"/>
  <c r="BR42" i="5" a="1"/>
  <c r="BF64" i="5" a="1"/>
  <c r="BH66" i="5" a="1"/>
  <c r="BF63" i="5" a="1"/>
  <c r="X125" i="5" a="1"/>
  <c r="BJ65" i="5" a="1"/>
  <c r="BL42" i="5" a="1"/>
  <c r="T197" i="5" a="1"/>
  <c r="BS43" i="5" a="1"/>
  <c r="BI64" i="5" a="1"/>
  <c r="BG66" i="5" a="1"/>
  <c r="U93" i="5" a="1"/>
  <c r="BH63" i="5" a="1"/>
  <c r="L178" i="5" a="1"/>
  <c r="V93" i="5" a="1"/>
  <c r="BH64" i="5" a="1"/>
  <c r="BO42" i="5" a="1"/>
  <c r="U99" i="5" a="1"/>
  <c r="BP63" i="5" a="1"/>
  <c r="BE64" i="5" a="1"/>
  <c r="W124" i="5" a="1"/>
  <c r="BF39" i="5" a="1"/>
  <c r="BI63" i="5" a="1"/>
  <c r="X92" i="5" a="1"/>
  <c r="BS42" i="5" a="1"/>
  <c r="X89" i="5" a="1"/>
  <c r="W89" i="5" a="1"/>
  <c r="BF42" i="5" a="1"/>
  <c r="BE67" i="5" a="1"/>
  <c r="T133" i="5" a="1"/>
  <c r="BO40" i="5" a="1"/>
  <c r="X103" i="5" a="1"/>
  <c r="BL41" i="5" a="1"/>
  <c r="X128" i="5" a="1"/>
  <c r="BL67" i="5" a="1"/>
  <c r="BP66" i="5" a="1"/>
  <c r="X87" i="5" a="1"/>
  <c r="BD39" i="5" a="1"/>
  <c r="BR64" i="5" a="1"/>
  <c r="V97" i="5" a="1"/>
  <c r="BQ43" i="5" a="1"/>
  <c r="X130" i="5" a="1"/>
  <c r="U92" i="5" a="1"/>
  <c r="BJ63" i="5" a="1"/>
  <c r="X198" i="5" a="1"/>
  <c r="BN64" i="5" a="1"/>
  <c r="BL39" i="5" a="1"/>
  <c r="U87" i="5" a="1"/>
  <c r="BG65" i="5" a="1"/>
  <c r="V90" i="5" a="1"/>
  <c r="BL63" i="5" a="1"/>
  <c r="BM41" i="5" a="1"/>
  <c r="BO43" i="5" a="1"/>
  <c r="BJ67" i="5" a="1"/>
  <c r="BP43" i="5" a="1"/>
  <c r="BE39" i="5" a="1"/>
  <c r="T124" i="5" a="1"/>
  <c r="BD41" i="5" a="1"/>
  <c r="V128" i="5" a="1"/>
  <c r="V95" i="5" a="1"/>
  <c r="D46" i="1" a="1"/>
  <c r="W131" i="5" a="1"/>
  <c r="W102" i="5" a="1"/>
  <c r="BT40" i="5" a="1"/>
  <c r="K160" i="5" a="1"/>
  <c r="L160" i="5" a="1"/>
  <c r="K181" i="5" a="1"/>
  <c r="X197" i="5" a="1"/>
  <c r="W92" i="5" a="1"/>
  <c r="BF65" i="5" a="1"/>
  <c r="W97" i="5" a="1"/>
  <c r="BJ43" i="5" a="1"/>
  <c r="X98" i="5" a="1"/>
  <c r="V123" i="5" a="1"/>
  <c r="BN67" i="5" a="1"/>
  <c r="W127" i="5" a="1"/>
  <c r="V89" i="5" a="1"/>
  <c r="X132" i="5" a="1"/>
  <c r="U133" i="5" a="1"/>
  <c r="BE66" i="5" a="1"/>
  <c r="BO41" i="5" a="1"/>
  <c r="BR66" i="5" a="1"/>
  <c r="BJ39" i="5" a="1"/>
  <c r="X93" i="5" a="1"/>
  <c r="BS65" i="5" a="1"/>
  <c r="BT43" i="5" a="1"/>
  <c r="T135" i="5" a="1"/>
  <c r="V100" i="5" a="1"/>
  <c r="D50" i="1" a="1"/>
  <c r="T137" i="5" a="1"/>
  <c r="V136" i="5" a="1"/>
  <c r="BN39" i="5" a="1"/>
  <c r="W133" i="5" a="1"/>
  <c r="BO39" i="5" a="1"/>
  <c r="I24" i="3" a="1"/>
  <c r="D46" i="1" l="1"/>
  <c r="D48" i="1"/>
  <c r="I24" i="3"/>
  <c r="G46" i="1"/>
  <c r="G25" i="3"/>
  <c r="G26" i="3"/>
  <c r="D50" i="1"/>
  <c r="C50" i="1"/>
  <c r="U68" i="1"/>
  <c r="B81" i="1"/>
  <c r="T67" i="1"/>
  <c r="Q68" i="1"/>
  <c r="B82" i="1"/>
  <c r="T68" i="1"/>
  <c r="B83" i="1"/>
  <c r="T69" i="1"/>
  <c r="T70" i="1"/>
  <c r="B84" i="1"/>
  <c r="U67" i="1"/>
  <c r="U69" i="1"/>
  <c r="U70" i="1"/>
  <c r="U71" i="1"/>
  <c r="K68" i="1"/>
  <c r="K67" i="1"/>
  <c r="K69" i="1"/>
  <c r="K70" i="1"/>
  <c r="K71" i="1"/>
  <c r="J68" i="1"/>
  <c r="J67" i="1"/>
  <c r="J69" i="1"/>
  <c r="J70" i="1"/>
  <c r="J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Q67" i="1"/>
  <c r="I27" i="11"/>
  <c r="I22" i="11"/>
  <c r="C6" i="2"/>
  <c r="G25" i="11"/>
  <c r="G23" i="11"/>
  <c r="G24" i="11"/>
  <c r="G26" i="11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Q69" i="1"/>
  <c r="N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N71" i="1"/>
  <c r="N70" i="1"/>
  <c r="N69" i="1"/>
  <c r="N68" i="1"/>
  <c r="Q70" i="1"/>
  <c r="Q71" i="1"/>
  <c r="C48" i="1"/>
  <c r="I12" i="4"/>
  <c r="J12" i="4" s="1"/>
  <c r="I14" i="4"/>
  <c r="J14" i="4" s="1"/>
  <c r="J15" i="4" s="1"/>
  <c r="D5" i="4"/>
  <c r="I11" i="4"/>
  <c r="J11" i="4" s="1"/>
  <c r="I13" i="4"/>
  <c r="J13" i="4" s="1"/>
  <c r="G27" i="3"/>
  <c r="G28" i="3"/>
  <c r="G29" i="3"/>
  <c r="E62" i="2"/>
  <c r="K12" i="4" a="1"/>
  <c r="D64" i="2" a="1"/>
  <c r="K11" i="4" a="1"/>
  <c r="K13" i="4" a="1"/>
  <c r="D62" i="2" a="1"/>
  <c r="K14" i="4" a="1"/>
  <c r="K10" i="4" a="1"/>
  <c r="K15" i="4" a="1"/>
  <c r="P115" i="9" a="1"/>
  <c r="P71" i="9" a="1"/>
  <c r="F27" i="9" a="1"/>
  <c r="K181" i="9" a="1"/>
  <c r="F93" i="9" a="1"/>
  <c r="L225" i="9" a="1"/>
  <c r="F115" i="9" a="1"/>
  <c r="P203" i="9" a="1"/>
  <c r="F137" i="9" a="1"/>
  <c r="I225" i="9" a="1"/>
  <c r="P27" i="9" a="1"/>
  <c r="F181" i="9" a="1"/>
  <c r="C115" i="9" a="1"/>
  <c r="F71" i="9" a="1"/>
  <c r="K203" i="9" a="1"/>
  <c r="P159" i="9" a="1"/>
  <c r="C225" i="9" a="1"/>
  <c r="O225" i="9" a="1"/>
  <c r="K115" i="9" a="1"/>
  <c r="C181" i="9" a="1"/>
  <c r="C159" i="9" a="1"/>
  <c r="P181" i="9" a="1"/>
  <c r="K137" i="9" a="1"/>
  <c r="C49" i="9" a="1"/>
  <c r="K49" i="9" a="1"/>
  <c r="K93" i="9" a="1"/>
  <c r="P93" i="9" a="1"/>
  <c r="C137" i="9" a="1"/>
  <c r="K159" i="9" a="1"/>
  <c r="H17" i="2" a="1"/>
  <c r="U225" i="9" a="1"/>
  <c r="F225" i="9" a="1"/>
  <c r="C27" i="9" a="1"/>
  <c r="C203" i="9" a="1"/>
  <c r="P137" i="9" a="1"/>
  <c r="K27" i="9" a="1"/>
  <c r="C93" i="9" a="1"/>
  <c r="F203" i="9" a="1"/>
  <c r="K71" i="9" a="1"/>
  <c r="C71" i="9" a="1"/>
  <c r="F49" i="9" a="1"/>
  <c r="F159" i="9" a="1"/>
  <c r="R225" i="9" a="1"/>
  <c r="P49" i="9" a="1"/>
  <c r="O68" i="1" a="1"/>
  <c r="M68" i="1" a="1"/>
  <c r="R67" i="1" a="1"/>
  <c r="I68" i="1" a="1"/>
  <c r="I69" i="1" a="1"/>
  <c r="R71" i="1" a="1"/>
  <c r="V67" i="1" a="1"/>
  <c r="V68" i="1" a="1"/>
  <c r="M67" i="1" a="1"/>
  <c r="I67" i="1" a="1"/>
  <c r="M71" i="1" a="1"/>
  <c r="I70" i="1" a="1"/>
  <c r="M46" i="1" a="1"/>
  <c r="M69" i="1" a="1"/>
  <c r="V69" i="1" a="1"/>
  <c r="O69" i="1" a="1"/>
  <c r="R68" i="1" a="1"/>
  <c r="I71" i="1" a="1"/>
  <c r="M70" i="1" a="1"/>
  <c r="V70" i="1" a="1"/>
  <c r="O67" i="1" a="1"/>
  <c r="R70" i="1" a="1"/>
  <c r="O70" i="1" a="1"/>
  <c r="R69" i="1" a="1"/>
  <c r="V71" i="1" a="1"/>
  <c r="O71" i="1" a="1"/>
  <c r="J22" i="11" a="1"/>
  <c r="D84" i="1" a="1"/>
  <c r="D83" i="1" a="1"/>
  <c r="C186" i="5" a="1"/>
  <c r="D54" i="1" a="1"/>
  <c r="C48" i="5" a="1"/>
  <c r="D51" i="1" a="1"/>
  <c r="C108" i="5" a="1"/>
  <c r="D81" i="1" a="1"/>
  <c r="D55" i="1" a="1"/>
  <c r="C166" i="5" a="1"/>
  <c r="C72" i="5" a="1"/>
  <c r="I24" i="11" a="1"/>
  <c r="I23" i="11" a="1"/>
  <c r="C144" i="5" a="1"/>
  <c r="I26" i="11" a="1"/>
  <c r="D52" i="1" a="1"/>
  <c r="D53" i="1" a="1"/>
  <c r="C24" i="5" a="1"/>
  <c r="D82" i="1" a="1"/>
  <c r="I25" i="11" a="1"/>
  <c r="D56" i="1" a="1"/>
  <c r="J24" i="3" a="1"/>
  <c r="I28" i="3" a="1"/>
  <c r="U27" i="3" a="1"/>
  <c r="I27" i="3" a="1"/>
  <c r="I29" i="3" a="1"/>
  <c r="I25" i="3" a="1"/>
  <c r="I26" i="3" a="1"/>
  <c r="I25" i="3" l="1"/>
  <c r="I26" i="3"/>
  <c r="I28" i="3"/>
  <c r="I27" i="3"/>
  <c r="I29" i="3"/>
  <c r="U27" i="3"/>
  <c r="J24" i="3"/>
  <c r="M46" i="1"/>
  <c r="H42" i="1" s="1"/>
  <c r="H25" i="3"/>
  <c r="H26" i="3"/>
  <c r="H27" i="3"/>
  <c r="C24" i="5"/>
  <c r="C7" i="5" s="1"/>
  <c r="D84" i="1"/>
  <c r="D83" i="1"/>
  <c r="D82" i="1"/>
  <c r="D81" i="1"/>
  <c r="C84" i="1"/>
  <c r="C83" i="1"/>
  <c r="C82" i="1"/>
  <c r="C81" i="1"/>
  <c r="V69" i="1"/>
  <c r="V71" i="1"/>
  <c r="V70" i="1"/>
  <c r="V67" i="1"/>
  <c r="V68" i="1"/>
  <c r="M70" i="1"/>
  <c r="M69" i="1"/>
  <c r="M67" i="1"/>
  <c r="M71" i="1"/>
  <c r="M68" i="1"/>
  <c r="I70" i="1"/>
  <c r="I69" i="1"/>
  <c r="I68" i="1"/>
  <c r="I67" i="1"/>
  <c r="I71" i="1"/>
  <c r="I23" i="11"/>
  <c r="I25" i="11"/>
  <c r="J22" i="11"/>
  <c r="I26" i="11"/>
  <c r="I24" i="11"/>
  <c r="H23" i="11"/>
  <c r="H25" i="11"/>
  <c r="H26" i="11" s="1"/>
  <c r="H24" i="11"/>
  <c r="R71" i="1"/>
  <c r="R70" i="1"/>
  <c r="R69" i="1"/>
  <c r="R68" i="1"/>
  <c r="R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4" i="1"/>
  <c r="D56" i="1"/>
  <c r="D55" i="1"/>
  <c r="D51" i="1"/>
  <c r="D52" i="1"/>
  <c r="D53" i="1"/>
  <c r="O71" i="1"/>
  <c r="O70" i="1"/>
  <c r="O69" i="1"/>
  <c r="O68" i="1"/>
  <c r="O67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C43" i="9" a="1"/>
  <c r="C197" i="9" a="1"/>
  <c r="C109" i="9" a="1"/>
  <c r="C153" i="9" a="1"/>
  <c r="C87" i="9" a="1"/>
  <c r="C21" i="9" a="1"/>
  <c r="G21" i="2" a="1"/>
  <c r="C175" i="9" a="1"/>
  <c r="C65" i="9" a="1"/>
  <c r="C219" i="9" a="1"/>
  <c r="C131" i="9" a="1"/>
  <c r="X81" i="1" a="1"/>
  <c r="S67" i="1" a="1"/>
  <c r="S71" i="1" a="1"/>
  <c r="P69" i="1" a="1"/>
  <c r="O81" i="1" a="1"/>
  <c r="S70" i="1" a="1"/>
  <c r="P70" i="1" a="1"/>
  <c r="G81" i="1" a="1"/>
  <c r="K81" i="1" a="1"/>
  <c r="P71" i="1" a="1"/>
  <c r="P67" i="1" a="1"/>
  <c r="U81" i="1" a="1"/>
  <c r="S68" i="1" a="1"/>
  <c r="S69" i="1" a="1"/>
  <c r="R81" i="1" a="1"/>
  <c r="P68" i="1" a="1"/>
  <c r="E82" i="1" a="1"/>
  <c r="J24" i="11" a="1"/>
  <c r="E47" i="1" a="1"/>
  <c r="E55" i="1" a="1"/>
  <c r="E48" i="1" a="1"/>
  <c r="E51" i="1" a="1"/>
  <c r="C4" i="5" a="1"/>
  <c r="E83" i="1" a="1"/>
  <c r="E81" i="1" a="1"/>
  <c r="E46" i="1" a="1"/>
  <c r="E54" i="1" a="1"/>
  <c r="E52" i="1" a="1"/>
  <c r="J26" i="11" a="1"/>
  <c r="J25" i="11" a="1"/>
  <c r="E50" i="1" a="1"/>
  <c r="J23" i="11" a="1"/>
  <c r="E56" i="1" a="1"/>
  <c r="E53" i="1" a="1"/>
  <c r="E84" i="1" a="1"/>
  <c r="E49" i="1" a="1"/>
  <c r="J26" i="3" a="1"/>
  <c r="J27" i="3" a="1"/>
  <c r="N22" i="3" a="1"/>
  <c r="J25" i="3" a="1"/>
  <c r="N22" i="3" l="1"/>
  <c r="D11" i="3" s="1"/>
  <c r="J27" i="3"/>
  <c r="J26" i="3"/>
  <c r="J25" i="3"/>
  <c r="H28" i="3"/>
  <c r="X81" i="1"/>
  <c r="U81" i="1"/>
  <c r="K81" i="1"/>
  <c r="K82" i="1"/>
  <c r="K83" i="1"/>
  <c r="K84" i="1"/>
  <c r="K85" i="1"/>
  <c r="O81" i="1"/>
  <c r="R81" i="1"/>
  <c r="G85" i="1"/>
  <c r="G81" i="1"/>
  <c r="G84" i="1"/>
  <c r="G82" i="1"/>
  <c r="G83" i="1"/>
  <c r="E84" i="1"/>
  <c r="E82" i="1"/>
  <c r="E83" i="1"/>
  <c r="E81" i="1"/>
  <c r="C4" i="5"/>
  <c r="C41" i="8" s="1"/>
  <c r="J26" i="11"/>
  <c r="J24" i="11"/>
  <c r="J23" i="11"/>
  <c r="J25" i="11"/>
  <c r="H27" i="11"/>
  <c r="E47" i="1"/>
  <c r="E53" i="1"/>
  <c r="E55" i="1"/>
  <c r="E49" i="1"/>
  <c r="P69" i="1"/>
  <c r="E51" i="1"/>
  <c r="E52" i="1"/>
  <c r="P67" i="1"/>
  <c r="P68" i="1"/>
  <c r="E46" i="1"/>
  <c r="P70" i="1"/>
  <c r="E48" i="1"/>
  <c r="S67" i="1"/>
  <c r="P71" i="1"/>
  <c r="E50" i="1"/>
  <c r="S68" i="1"/>
  <c r="S69" i="1"/>
  <c r="E56" i="1"/>
  <c r="S70" i="1"/>
  <c r="E54" i="1"/>
  <c r="S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4" i="9" a="1"/>
  <c r="F83" i="1" a="1"/>
  <c r="C42" i="1" a="1"/>
  <c r="Y85" i="1" a="1"/>
  <c r="T84" i="1" a="1"/>
  <c r="M85" i="1" a="1"/>
  <c r="F84" i="1" a="1"/>
  <c r="S85" i="1" a="1"/>
  <c r="T81" i="1" a="1"/>
  <c r="W83" i="1" a="1"/>
  <c r="N84" i="1" a="1"/>
  <c r="W81" i="1" a="1"/>
  <c r="I85" i="1" a="1"/>
  <c r="N82" i="1" a="1"/>
  <c r="F81" i="1" a="1"/>
  <c r="W82" i="1" a="1"/>
  <c r="Q83" i="1" a="1"/>
  <c r="T83" i="1" a="1"/>
  <c r="J81" i="1" a="1"/>
  <c r="P85" i="1" a="1"/>
  <c r="J83" i="1" a="1"/>
  <c r="Q84" i="1" a="1"/>
  <c r="Q82" i="1" a="1"/>
  <c r="J84" i="1" a="1"/>
  <c r="W84" i="1" a="1"/>
  <c r="T82" i="1" a="1"/>
  <c r="J27" i="11" a="1"/>
  <c r="Q81" i="1" a="1"/>
  <c r="V85" i="1" a="1"/>
  <c r="N81" i="1" a="1"/>
  <c r="N83" i="1" a="1"/>
  <c r="J82" i="1" a="1"/>
  <c r="F82" i="1" a="1"/>
  <c r="J28" i="3" a="1"/>
  <c r="J28" i="3" l="1"/>
  <c r="H29" i="3"/>
  <c r="V85" i="1"/>
  <c r="S85" i="1"/>
  <c r="P85" i="1"/>
  <c r="Y85" i="1"/>
  <c r="J82" i="1"/>
  <c r="Q82" i="1"/>
  <c r="N82" i="1"/>
  <c r="T82" i="1"/>
  <c r="T81" i="1"/>
  <c r="M85" i="1"/>
  <c r="N84" i="1"/>
  <c r="Q84" i="1"/>
  <c r="J84" i="1"/>
  <c r="T84" i="1"/>
  <c r="J81" i="1"/>
  <c r="W81" i="1"/>
  <c r="Q81" i="1"/>
  <c r="W82" i="1"/>
  <c r="W84" i="1"/>
  <c r="N83" i="1"/>
  <c r="Q83" i="1"/>
  <c r="J83" i="1"/>
  <c r="T83" i="1"/>
  <c r="W83" i="1"/>
  <c r="N81" i="1"/>
  <c r="I85" i="1"/>
  <c r="F81" i="1"/>
  <c r="F83" i="1"/>
  <c r="F82" i="1"/>
  <c r="F84" i="1"/>
  <c r="J27" i="11"/>
  <c r="C42" i="1"/>
  <c r="C4" i="9"/>
  <c r="C42" i="8" s="1"/>
  <c r="C58" i="2"/>
  <c r="M84" i="1" a="1"/>
  <c r="I82" i="1" a="1"/>
  <c r="I84" i="1" a="1"/>
  <c r="I81" i="1" a="1"/>
  <c r="C38" i="1" a="1"/>
  <c r="Y82" i="1" a="1"/>
  <c r="Y83" i="1" a="1"/>
  <c r="P82" i="1" a="1"/>
  <c r="S84" i="1" a="1"/>
  <c r="V82" i="1" a="1"/>
  <c r="V84" i="1" a="1"/>
  <c r="C20" i="11" a="1"/>
  <c r="V81" i="1" a="1"/>
  <c r="V83" i="1" a="1"/>
  <c r="S83" i="1" a="1"/>
  <c r="Y81" i="1" a="1"/>
  <c r="S81" i="1" a="1"/>
  <c r="I83" i="1" a="1"/>
  <c r="M82" i="1" a="1"/>
  <c r="M81" i="1" a="1"/>
  <c r="C14" i="1" a="1"/>
  <c r="P84" i="1" a="1"/>
  <c r="P81" i="1" a="1"/>
  <c r="P83" i="1" a="1"/>
  <c r="Y84" i="1" a="1"/>
  <c r="S82" i="1" a="1"/>
  <c r="M83" i="1" a="1"/>
  <c r="J29" i="3" a="1"/>
  <c r="J29" i="3" l="1"/>
  <c r="C38" i="1"/>
  <c r="Y84" i="1"/>
  <c r="P82" i="1"/>
  <c r="Y82" i="1"/>
  <c r="S82" i="1"/>
  <c r="S81" i="1"/>
  <c r="M82" i="1"/>
  <c r="Y81" i="1"/>
  <c r="M81" i="1"/>
  <c r="V84" i="1"/>
  <c r="P81" i="1"/>
  <c r="M84" i="1"/>
  <c r="Y83" i="1"/>
  <c r="S84" i="1"/>
  <c r="V83" i="1"/>
  <c r="P84" i="1"/>
  <c r="M83" i="1"/>
  <c r="S83" i="1"/>
  <c r="V81" i="1"/>
  <c r="P83" i="1"/>
  <c r="V82" i="1"/>
  <c r="I84" i="1"/>
  <c r="I82" i="1"/>
  <c r="I83" i="1"/>
  <c r="I81" i="1"/>
  <c r="C14" i="1"/>
  <c r="C7" i="1" s="1"/>
  <c r="C20" i="11"/>
  <c r="D10" i="11" s="1"/>
  <c r="C76" i="1" a="1"/>
  <c r="C6" i="11" a="1"/>
  <c r="C76" i="1" l="1"/>
  <c r="C9" i="1" s="1"/>
  <c r="C6" i="11"/>
  <c r="D67" i="1" a="1"/>
  <c r="D69" i="1" l="1"/>
  <c r="D67" i="1"/>
  <c r="D68" i="1"/>
  <c r="D70" i="1"/>
  <c r="D71" i="1"/>
  <c r="E69" i="1" a="1"/>
  <c r="E67" i="1" a="1"/>
  <c r="E68" i="1" a="1"/>
  <c r="E70" i="1" a="1"/>
  <c r="E71" i="1" a="1"/>
  <c r="E68" i="1" l="1"/>
  <c r="E67" i="1"/>
  <c r="E69" i="1"/>
  <c r="E71" i="1"/>
  <c r="E70" i="1"/>
  <c r="C62" i="1" a="1"/>
  <c r="C62" i="1" l="1"/>
  <c r="C8" i="1" s="1"/>
  <c r="C4" i="1" a="1"/>
  <c r="C4" i="1" l="1"/>
  <c r="C31" i="8" s="1"/>
  <c r="I35" i="3" a="1"/>
  <c r="I45" i="3" l="1"/>
  <c r="I38" i="3"/>
  <c r="I35" i="3"/>
  <c r="I43" i="3"/>
  <c r="I40" i="3"/>
  <c r="I37" i="3"/>
  <c r="I41" i="3"/>
  <c r="I36" i="3"/>
  <c r="I46" i="3"/>
  <c r="I44" i="3"/>
  <c r="I39" i="3"/>
  <c r="I42" i="3"/>
  <c r="H51" i="3" l="1"/>
  <c r="H50" i="3"/>
  <c r="J51" i="3" a="1"/>
  <c r="J50" i="3" a="1"/>
  <c r="J51" i="3" l="1"/>
  <c r="J50" i="3"/>
  <c r="C22" i="3" a="1"/>
  <c r="C22" i="3" l="1"/>
  <c r="D10" i="3" s="1"/>
  <c r="AJ35" i="3" a="1"/>
  <c r="AJ41" i="3" l="1"/>
  <c r="AJ35" i="3"/>
  <c r="AJ36" i="3"/>
  <c r="AJ40" i="3"/>
  <c r="AJ42" i="3"/>
  <c r="AJ37" i="3"/>
  <c r="AJ38" i="3"/>
  <c r="AJ39" i="3"/>
  <c r="AK35" i="3" a="1"/>
  <c r="AK40" i="3" l="1"/>
  <c r="AK38" i="3"/>
  <c r="AK35" i="3"/>
  <c r="AK41" i="3"/>
  <c r="AK42" i="3"/>
  <c r="AK37" i="3"/>
  <c r="AK36" i="3"/>
  <c r="AK39" i="3"/>
  <c r="AI39" i="3" a="1"/>
  <c r="AI39" i="3" l="1"/>
  <c r="AI37" i="3" a="1"/>
  <c r="AI37" i="3" l="1"/>
  <c r="AI41" i="3" a="1"/>
  <c r="AI41" i="3" l="1"/>
  <c r="AI40" i="3" a="1"/>
  <c r="AI40" i="3" l="1"/>
  <c r="AI36" i="3" a="1"/>
  <c r="AI36" i="3" l="1"/>
  <c r="AI42" i="3" a="1"/>
  <c r="AI42" i="3" l="1"/>
  <c r="AI38" i="3" a="1"/>
  <c r="AI38" i="3" l="1"/>
  <c r="AI35" i="3" a="1"/>
  <c r="AI35" i="3" l="1"/>
  <c r="AI49" i="3" l="1"/>
  <c r="AI52" i="3"/>
  <c r="AI51" i="3"/>
  <c r="AI50" i="3" a="1"/>
  <c r="AI50" i="3" s="1"/>
  <c r="AI54" i="3"/>
  <c r="AI53" i="3"/>
  <c r="AK51" i="3" a="1"/>
  <c r="AK53" i="3" a="1"/>
  <c r="AK50" i="3" a="1"/>
  <c r="AK52" i="3" a="1"/>
  <c r="AK54" i="3" a="1"/>
  <c r="AK49" i="3" a="1"/>
  <c r="AK49" i="3" l="1"/>
  <c r="AK54" i="3"/>
  <c r="AK53" i="3"/>
  <c r="AK51" i="3"/>
  <c r="AK50" i="3"/>
  <c r="AK52" i="3"/>
  <c r="AD22" i="3" a="1"/>
  <c r="AD22" i="3" l="1"/>
  <c r="D14" i="3" s="1"/>
  <c r="C6" i="3" a="1"/>
  <c r="C6" i="3" l="1"/>
  <c r="C34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<sst xmlns="http://schemas.openxmlformats.org/spreadsheetml/2006/main" count="4387" uniqueCount="634">
  <si>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</si>
  <si>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</si>
  <si>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</si>
  <si>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</si>
  <si>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</si>
  <si>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</si>
  <si>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</si>
  <si>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</si>
  <si>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</si>
  <si>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</si>
  <si>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</si>
  <si>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</si>
  <si>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</si>
  <si>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</si>
  <si>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</si>
  <si>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</si>
  <si>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</si>
  <si>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</si>
  <si>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</si>
  <si>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</si>
  <si>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</si>
  <si>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</si>
  <si>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</si>
  <si>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</si>
  <si>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</si>
  <si>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</si>
  <si>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</si>
  <si>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</si>
  <si>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</si>
  <si>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</si>
  <si>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</si>
  <si>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</si>
  <si>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</si>
  <si>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</si>
  <si>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</si>
  <si>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</si>
  <si>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</si>
  <si>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</si>
  <si>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</si>
  <si>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</si>
  <si>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</si>
  <si>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</si>
  <si>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</si>
  <si>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</si>
  <si>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</si>
  <si>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</si>
  <si>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</si>
  <si>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</si>
  <si>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</si>
  <si>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</si>
  <si>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</si>
  <si>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</si>
  <si>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</si>
  <si>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</si>
  <si>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</si>
  <si>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</si>
  <si>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</si>
  <si>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</si>
  <si>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</si>
  <si>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</si>
  <si>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</si>
  <si>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</si>
  <si>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</si>
  <si>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</si>
  <si>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</si>
  <si>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</si>
  <si>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</si>
  <si>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</si>
  <si>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</si>
  <si>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</si>
  <si>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</si>
  <si>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</si>
  <si>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</si>
  <si>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</si>
  <si>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</si>
  <si>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</si>
  <si>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</si>
  <si>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</si>
  <si>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</si>
  <si>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</si>
  <si>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</si>
  <si>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</si>
  <si>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</si>
  <si>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</si>
  <si>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</si>
  <si>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</si>
  <si>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</si>
  <si>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</si>
  <si>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</si>
  <si>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</si>
  <si>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</si>
  <si>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</si>
  <si>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</si>
  <si>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</si>
  <si>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</si>
  <si>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</si>
  <si>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</si>
  <si>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</si>
  <si>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</si>
  <si>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</si>
  <si>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</si>
  <si>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</si>
  <si>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</si>
  <si>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</si>
  <si>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</si>
  <si>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</si>
  <si>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</si>
  <si>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</si>
  <si>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</si>
  <si>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</si>
  <si>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</si>
  <si>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</si>
  <si>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</si>
  <si>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</si>
  <si>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</si>
  <si>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</si>
  <si>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</si>
  <si>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</si>
  <si>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</si>
  <si>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</si>
  <si>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</si>
  <si>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</si>
  <si>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</si>
  <si>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</si>
  <si>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</si>
  <si>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</si>
  <si>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</si>
  <si>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</si>
  <si>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</si>
  <si>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</si>
  <si>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</si>
  <si>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</si>
  <si>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</si>
  <si>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</si>
  <si>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</si>
  <si>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</si>
  <si>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</si>
  <si>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</si>
  <si>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</si>
  <si>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</si>
  <si>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</si>
  <si>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</si>
  <si>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</si>
  <si>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</si>
  <si>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</si>
  <si>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</si>
  <si>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</si>
  <si>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</si>
  <si>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</si>
  <si>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</si>
  <si>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</si>
  <si>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</si>
  <si>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</si>
  <si>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</si>
  <si>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</si>
  <si>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</si>
  <si>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</si>
  <si>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</si>
  <si>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</si>
  <si>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</si>
  <si>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</si>
  <si>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</si>
  <si>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</si>
  <si>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</si>
  <si>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</si>
  <si>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</si>
  <si>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</si>
  <si>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</si>
  <si>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</si>
  <si>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</si>
  <si>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</si>
  <si>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</si>
  <si>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</si>
  <si>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</si>
  <si>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</si>
  <si>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</si>
  <si>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</si>
  <si>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</si>
  <si>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</si>
  <si>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</si>
  <si>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</si>
  <si>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</si>
  <si>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</si>
  <si>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</si>
  <si>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</si>
  <si>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</si>
  <si>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</si>
  <si>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</si>
  <si>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</si>
  <si>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</si>
  <si>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</si>
  <si>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</si>
  <si>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</si>
  <si>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</si>
  <si>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</si>
  <si>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</si>
  <si>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</si>
  <si>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</si>
  <si>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</si>
  <si>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</si>
  <si>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</si>
  <si>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</si>
  <si>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</si>
  <si>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</si>
  <si>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</si>
  <si>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</si>
  <si>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</si>
  <si>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</si>
  <si>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</si>
  <si>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</si>
  <si>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</si>
  <si>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</si>
  <si>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</si>
  <si>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</si>
  <si>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</si>
  <si>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</si>
  <si>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</si>
  <si>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</si>
  <si>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</si>
  <si>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</si>
  <si>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</si>
  <si>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</si>
  <si>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</si>
  <si>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</si>
  <si>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</si>
  <si>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</si>
  <si>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</si>
  <si>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</si>
  <si>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</si>
  <si>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</si>
  <si>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</si>
  <si>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</si>
  <si>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</si>
  <si>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</si>
  <si>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</si>
  <si>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</si>
  <si>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</si>
  <si>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</si>
  <si>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</si>
  <si>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</si>
  <si>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</si>
  <si>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</si>
  <si>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</si>
  <si>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</si>
  <si>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</si>
  <si>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</si>
  <si>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</si>
  <si>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</si>
  <si>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</si>
  <si>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</si>
  <si>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</si>
  <si>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</si>
  <si>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</si>
  <si>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</si>
  <si>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</si>
  <si>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</si>
  <si>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</si>
  <si>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</si>
  <si>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</si>
  <si>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</si>
  <si>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</si>
  <si>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</si>
  <si>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</si>
  <si>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</si>
  <si>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</si>
  <si>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</si>
  <si>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</si>
  <si>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</si>
  <si>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</si>
  <si>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</si>
  <si>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</si>
  <si>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</si>
  <si>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</si>
  <si>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</si>
  <si>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</si>
  <si>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</si>
  <si>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</si>
  <si>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</si>
  <si>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</si>
  <si>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</si>
  <si>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</si>
  <si>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</si>
  <si>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</si>
  <si>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</si>
  <si>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</si>
  <si>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</si>
  <si>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</si>
  <si>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</si>
  <si>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</si>
  <si>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</si>
  <si>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</si>
  <si>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</si>
  <si>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</si>
  <si>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</si>
  <si>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</si>
  <si>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</si>
  <si>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</si>
  <si>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</si>
  <si>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</si>
  <si>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</si>
  <si>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</si>
  <si>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</si>
  <si>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</si>
  <si>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</si>
  <si>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</si>
  <si>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</si>
  <si>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</si>
  <si>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</si>
  <si>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</si>
  <si>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</si>
  <si>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</si>
  <si>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</si>
  <si>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</si>
  <si>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</si>
  <si>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</si>
  <si>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</si>
  <si>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</si>
  <si>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</si>
  <si>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</si>
  <si>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</si>
  <si>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</si>
  <si>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</si>
  <si>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</si>
  <si>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</si>
  <si>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</si>
  <si>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</si>
  <si>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</si>
  <si>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</si>
  <si>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</si>
  <si>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</si>
  <si>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</si>
  <si>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</si>
  <si>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</si>
  <si>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</si>
  <si>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</si>
  <si>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</si>
  <si>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</si>
  <si>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</si>
  <si>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</si>
  <si>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</si>
  <si>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</si>
  <si>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</si>
  <si>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</si>
  <si>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</si>
  <si>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</si>
  <si>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</si>
  <si>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</si>
  <si>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</si>
  <si>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</si>
  <si>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</si>
  <si>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</si>
  <si>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</si>
  <si>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</si>
  <si>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</si>
  <si>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</si>
  <si>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</si>
  <si>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</si>
  <si>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</si>
  <si>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</si>
  <si>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</si>
  <si>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</si>
  <si>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</si>
  <si>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</si>
  <si>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</si>
  <si>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</si>
  <si>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</si>
  <si>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</si>
  <si>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</si>
  <si>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</si>
  <si>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</si>
  <si>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</si>
  <si>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</si>
  <si>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</si>
  <si>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</si>
  <si>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</si>
  <si>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</si>
  <si>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</si>
  <si>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</si>
  <si>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</si>
  <si>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</si>
  <si>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</si>
  <si>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</si>
  <si>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</si>
  <si>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</si>
  <si>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</si>
  <si>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</si>
  <si>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</si>
  <si>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</si>
  <si>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</si>
  <si>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</si>
  <si>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</si>
  <si>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</si>
  <si>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</si>
  <si>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</si>
  <si>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</si>
  <si>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</si>
  <si>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</si>
  <si>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</si>
  <si>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</si>
  <si>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</si>
  <si>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</si>
  <si>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</si>
  <si>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</si>
  <si>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</si>
  <si>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</si>
  <si>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</si>
  <si>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</si>
  <si>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</si>
  <si>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</si>
  <si>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</si>
  <si>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</si>
  <si>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</si>
  <si>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</si>
  <si>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</si>
  <si>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</si>
  <si>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</si>
  <si>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</si>
  <si>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</si>
  <si>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</si>
  <si>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</si>
  <si>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</si>
  <si>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</si>
  <si>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</si>
  <si>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</si>
  <si>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</si>
  <si>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</si>
  <si>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</si>
  <si>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</si>
  <si>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</si>
  <si>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</si>
  <si>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</si>
  <si>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</si>
  <si>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</si>
  <si>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</si>
  <si>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</si>
  <si>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</si>
  <si>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</si>
  <si>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</si>
  <si>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</si>
  <si>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</si>
  <si>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</si>
  <si>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</si>
  <si>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</si>
  <si>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</si>
  <si>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</si>
  <si>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</si>
  <si>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</si>
  <si>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</si>
  <si>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</si>
  <si>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</si>
  <si>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</si>
  <si>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</si>
  <si>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</si>
  <si>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</si>
  <si>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</si>
  <si>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</si>
  <si>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</si>
  <si>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</si>
  <si>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</si>
  <si>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</si>
  <si>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</si>
  <si>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</si>
  <si>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</si>
  <si>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</si>
  <si>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</si>
  <si>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</si>
  <si>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</si>
  <si>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</si>
  <si>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</si>
  <si>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</si>
  <si>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</si>
  <si>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</si>
  <si>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</si>
  <si>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</si>
  <si>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</si>
  <si>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</si>
  <si>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</si>
  <si>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</si>
  <si>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</si>
  <si>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</si>
  <si>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</si>
  <si>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</si>
  <si>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</si>
  <si>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</si>
  <si>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</si>
  <si>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</si>
  <si>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</si>
  <si>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</si>
  <si>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</si>
  <si>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</si>
  <si>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</si>
  <si>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</si>
  <si>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</si>
  <si>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</si>
  <si>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</si>
  <si>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</si>
  <si>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</si>
  <si>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</si>
  <si>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</si>
  <si>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</si>
  <si>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</si>
  <si>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</si>
  <si>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</si>
  <si>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</si>
  <si>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</si>
  <si>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</si>
  <si>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</si>
  <si>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</si>
  <si>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</si>
  <si>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</si>
  <si>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</si>
  <si>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</si>
  <si>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</si>
  <si>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</si>
  <si>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</si>
  <si>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</si>
  <si>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</si>
  <si>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</si>
  <si>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</si>
  <si>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</si>
  <si>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</si>
  <si>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</si>
  <si>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</si>
  <si>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</si>
  <si>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</si>
  <si>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</si>
  <si>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</si>
  <si>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</si>
  <si>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</si>
  <si>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</si>
  <si>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</si>
  <si>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</si>
  <si>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</si>
  <si>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</si>
  <si>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</si>
  <si>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</si>
  <si>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</si>
  <si>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</si>
  <si>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</si>
  <si>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</si>
  <si>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</si>
  <si>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</si>
  <si>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</si>
  <si>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</si>
  <si>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</si>
  <si>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</si>
  <si>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</si>
  <si>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</si>
  <si>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</si>
  <si>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</si>
  <si>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</si>
  <si>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</si>
  <si>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</si>
  <si>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Still under development</t>
    </r>
    <r>
      <rPr>
        <sz val="11"/>
        <color theme="9" tint="-0.249977111117893"/>
        <rFont val="Calibri Light"/>
        <family val="2"/>
        <scheme val="minor"/>
      </rPr>
      <t>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</si>
  <si>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This can be temperamental at times. Navigate to the worksheet and and trying rerunning manually if it fails.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</si>
  <si>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</si>
  <si>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</si>
  <si>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</si>
  <si>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</si>
  <si>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</si>
  <si>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</si>
  <si>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</si>
  <si>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</si>
  <si>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</si>
  <si>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</si>
  <si>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</si>
  <si>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</si>
  <si>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</si>
  <si>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</si>
  <si>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</si>
  <si>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</si>
  <si>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</si>
  <si>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</si>
  <si>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</si>
  <si>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</si>
  <si>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</si>
  <si>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</si>
  <si>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</si>
  <si>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</si>
  <si>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</si>
  <si>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</si>
  <si>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</si>
  <si>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</si>
  <si>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</si>
  <si>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</si>
  <si>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</si>
  <si>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</si>
  <si>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</si>
  <si>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</si>
  <si>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t>0.1.4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</si>
  <si>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</si>
  <si>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</si>
  <si>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</si>
  <si>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</si>
  <si>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</si>
  <si>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</si>
  <si>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</si>
  <si>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</si>
  <si>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</si>
  <si>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</si>
  <si>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</si>
  <si>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</si>
  <si>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</si>
  <si>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</si>
  <si>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</si>
  <si>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</si>
  <si>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</si>
  <si>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</si>
  <si>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</si>
  <si>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</si>
  <si>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</si>
  <si>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</si>
  <si>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</si>
  <si>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</si>
  <si>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r>
      <rPr>
        <b/>
        <sz val="10"/>
        <color theme="9" tint="-0.249977111117893"/>
        <rFont val="Calibri Light"/>
        <family val="2"/>
        <scheme val="minor"/>
      </rPr>
      <t xml:space="preserve">*TODO: </t>
    </r>
    <r>
      <rPr>
        <i/>
        <sz val="10"/>
        <color theme="9" tint="-0.249977111117893"/>
        <rFont val="Calibri Light"/>
        <family val="2"/>
        <scheme val="minor"/>
      </rPr>
      <t>Make it clear this is the interpolation on the discount factors.</t>
    </r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</si>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</sst>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2" formatCode="_-&quot;R&quot;* #,##0_-;\-&quot;R&quot;* #,##0_-;_-&quot;R&quot;* &quot;-&quot;_-;_-@_-"/>
    <numFmt numFmtId="44" formatCode="_-&quot;R&quot;* #,##0.00_-;\-&quot;R&quot;* #,##0.00_-;_-&quot;R&quot;* &quot;-&quot;??_-;_-@_-"/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"/>
    <numFmt numFmtId="176" formatCode="0.00000000000"/>
    <numFmt numFmtId="177" formatCode="#,##0.00000000000"/>
    <numFmt numFmtId="178" formatCode="#,##0.00000"/>
    <numFmt numFmtId="179" formatCode="0.000%"/>
    <numFmt numFmtId="180" formatCode="0.000000%"/>
    <numFmt numFmtId="181" formatCode="#,##0.0000"/>
    <numFmt numFmtId="182" formatCode="#,##0.0"/>
    <numFmt numFmtId="183" formatCode="0.00000%"/>
  </numFmts>
  <fonts count="93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</fills>
  <borders count="182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</borders>
  <cellStyleXfs count="62">
    <xf numFmtId="0" fontId="0" fillId="0" borderId="0"/>
    <xf numFmtId="0" fontId="22" fillId="0" borderId="1" applyNumberFormat="0" applyFill="0" applyAlignment="0" applyProtection="0"/>
    <xf numFmtId="0" fontId="36" fillId="0" borderId="87" applyNumberFormat="0" applyFill="0" applyAlignment="0" applyProtection="0"/>
    <xf numFmtId="0" fontId="37" fillId="0" borderId="88" applyNumberFormat="0" applyFill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4" fillId="0" borderId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0" fontId="71" fillId="0" borderId="0"/>
    <xf numFmtId="0" fontId="71" fillId="17" borderId="0" applyNumberFormat="0" applyBorder="0" applyAlignment="0" applyProtection="0"/>
    <xf numFmtId="0" fontId="71" fillId="19" borderId="0" applyNumberFormat="0" applyBorder="0" applyAlignment="0" applyProtection="0"/>
    <xf numFmtId="0" fontId="71" fillId="21" borderId="0" applyNumberFormat="0" applyBorder="0" applyAlignment="0" applyProtection="0"/>
    <xf numFmtId="0" fontId="71" fillId="23" borderId="0" applyNumberFormat="0" applyBorder="0" applyAlignment="0" applyProtection="0"/>
    <xf numFmtId="0" fontId="71" fillId="25" borderId="0" applyNumberFormat="0" applyBorder="0" applyAlignment="0" applyProtection="0"/>
    <xf numFmtId="0" fontId="71" fillId="27" borderId="0" applyNumberFormat="0" applyBorder="0" applyAlignment="0" applyProtection="0"/>
    <xf numFmtId="0" fontId="72" fillId="28" borderId="0" applyNumberFormat="0" applyBorder="0" applyProtection="0">
      <alignment horizontal="center"/>
    </xf>
    <xf numFmtId="0" fontId="72" fillId="29" borderId="0" applyNumberFormat="0" applyBorder="0" applyProtection="0">
      <alignment horizontal="center"/>
    </xf>
    <xf numFmtId="0" fontId="72" fillId="30" borderId="0" applyNumberFormat="0" applyBorder="0" applyProtection="0">
      <alignment horizontal="center"/>
    </xf>
    <xf numFmtId="0" fontId="72" fillId="31" borderId="0" applyNumberFormat="0" applyBorder="0" applyProtection="0">
      <alignment horizontal="center"/>
    </xf>
    <xf numFmtId="0" fontId="72" fillId="32" borderId="0" applyNumberFormat="0" applyBorder="0" applyProtection="0">
      <alignment horizontal="center"/>
    </xf>
    <xf numFmtId="0" fontId="72" fillId="33" borderId="0" applyNumberFormat="0" applyBorder="0" applyProtection="0">
      <alignment horizontal="center"/>
    </xf>
    <xf numFmtId="0" fontId="72" fillId="34" borderId="0" applyNumberFormat="0" applyBorder="0" applyProtection="0">
      <alignment horizontal="center"/>
    </xf>
    <xf numFmtId="0" fontId="72" fillId="35" borderId="0" applyNumberFormat="0" applyBorder="0" applyProtection="0">
      <alignment horizontal="center"/>
    </xf>
    <xf numFmtId="0" fontId="72" fillId="36" borderId="0" applyNumberFormat="0" applyBorder="0" applyProtection="0">
      <alignment horizontal="center"/>
    </xf>
    <xf numFmtId="0" fontId="72" fillId="37" borderId="0" applyNumberFormat="0" applyBorder="0" applyProtection="0">
      <alignment horizontal="center"/>
    </xf>
    <xf numFmtId="0" fontId="72" fillId="38" borderId="0" applyNumberFormat="0" applyBorder="0" applyProtection="0">
      <alignment horizontal="center"/>
    </xf>
    <xf numFmtId="0" fontId="72" fillId="39" borderId="0" applyNumberFormat="0" applyBorder="0" applyProtection="0">
      <alignment horizontal="center"/>
    </xf>
    <xf numFmtId="0" fontId="72" fillId="16" borderId="0" applyNumberFormat="0" applyBorder="0" applyProtection="0">
      <alignment horizontal="center"/>
    </xf>
    <xf numFmtId="0" fontId="72" fillId="18" borderId="0" applyNumberFormat="0" applyBorder="0" applyProtection="0">
      <alignment horizontal="center"/>
    </xf>
    <xf numFmtId="0" fontId="72" fillId="20" borderId="0" applyNumberFormat="0" applyBorder="0" applyProtection="0">
      <alignment horizontal="center"/>
    </xf>
    <xf numFmtId="0" fontId="72" fillId="22" borderId="0" applyNumberFormat="0" applyBorder="0" applyProtection="0">
      <alignment horizontal="center"/>
    </xf>
    <xf numFmtId="0" fontId="72" fillId="24" borderId="0" applyNumberFormat="0" applyBorder="0" applyProtection="0">
      <alignment horizontal="center"/>
    </xf>
    <xf numFmtId="0" fontId="72" fillId="26" borderId="0" applyNumberFormat="0" applyBorder="0" applyProtection="0">
      <alignment horizontal="center"/>
    </xf>
    <xf numFmtId="0" fontId="73" fillId="11" borderId="0" applyNumberFormat="0" applyBorder="0" applyAlignment="0" applyProtection="0"/>
    <xf numFmtId="0" fontId="74" fillId="14" borderId="174" applyNumberFormat="0" applyAlignment="0" applyProtection="0"/>
    <xf numFmtId="0" fontId="72" fillId="15" borderId="177" applyNumberFormat="0" applyAlignment="0" applyProtection="0"/>
    <xf numFmtId="43" fontId="44" fillId="0" borderId="0" applyFont="0" applyFill="0" applyBorder="0" applyAlignment="0" applyProtection="0"/>
    <xf numFmtId="44" fontId="71" fillId="0" borderId="0" applyFont="0" applyFill="0" applyBorder="0" applyAlignment="0" applyProtection="0"/>
    <xf numFmtId="42" fontId="71" fillId="0" borderId="0" applyFont="0" applyFill="0" applyBorder="0" applyAlignment="0" applyProtection="0"/>
    <xf numFmtId="0" fontId="75" fillId="0" borderId="0" applyNumberFormat="0" applyFill="0" applyBorder="0" applyAlignment="0" applyProtection="0"/>
    <xf numFmtId="0" fontId="76" fillId="10" borderId="0" applyNumberFormat="0" applyBorder="0" applyAlignment="0" applyProtection="0"/>
    <xf numFmtId="0" fontId="77" fillId="0" borderId="0" applyNumberFormat="0" applyFill="0" applyAlignment="0" applyProtection="0"/>
    <xf numFmtId="0" fontId="78" fillId="0" borderId="0" applyFill="0" applyAlignment="0" applyProtection="0"/>
    <xf numFmtId="0" fontId="79" fillId="0" borderId="0" applyFill="0" applyAlignment="0" applyProtection="0"/>
    <xf numFmtId="0" fontId="80" fillId="0" borderId="0" applyFill="0" applyAlignment="0" applyProtection="0"/>
    <xf numFmtId="0" fontId="81" fillId="0" borderId="0" applyFill="0" applyAlignment="0" applyProtection="0"/>
    <xf numFmtId="0" fontId="82" fillId="0" borderId="0" applyNumberFormat="0" applyFill="0" applyAlignment="0" applyProtection="0"/>
    <xf numFmtId="0" fontId="83" fillId="0" borderId="0" applyNumberFormat="0" applyFill="0" applyAlignment="0" applyProtection="0"/>
    <xf numFmtId="0" fontId="84" fillId="0" borderId="0" applyNumberFormat="0" applyFill="0" applyAlignment="0" applyProtection="0"/>
    <xf numFmtId="0" fontId="85" fillId="13" borderId="174" applyNumberFormat="0" applyAlignment="0" applyProtection="0"/>
    <xf numFmtId="0" fontId="86" fillId="0" borderId="176" applyNumberFormat="0" applyFill="0" applyAlignment="0" applyProtection="0"/>
    <xf numFmtId="0" fontId="87" fillId="12" borderId="0" applyNumberFormat="0" applyBorder="0" applyAlignment="0" applyProtection="0"/>
    <xf numFmtId="0" fontId="88" fillId="14" borderId="175" applyNumberFormat="0" applyAlignment="0" applyProtection="0"/>
    <xf numFmtId="10" fontId="33" fillId="0" borderId="0" applyFont="0" applyFill="0" applyBorder="0" applyAlignment="0" applyProtection="0"/>
    <xf numFmtId="0" fontId="89" fillId="0" borderId="0" applyNumberFormat="0" applyFill="0" applyBorder="0" applyProtection="0">
      <alignment horizontal="center"/>
    </xf>
    <xf numFmtId="0" fontId="90" fillId="0" borderId="0" applyNumberFormat="0" applyFill="0" applyBorder="0" applyAlignment="0" applyProtection="0"/>
    <xf numFmtId="0" fontId="82" fillId="0" borderId="178" applyNumberFormat="0" applyFill="0" applyAlignment="0" applyProtection="0"/>
    <xf numFmtId="0" fontId="91" fillId="0" borderId="0" applyNumberFormat="0" applyFill="0" applyBorder="0" applyAlignment="0" applyProtection="0"/>
    <xf numFmtId="0" fontId="43" fillId="0" borderId="0"/>
    <xf numFmtId="0" fontId="92" fillId="12" borderId="0" applyNumberFormat="0" applyBorder="0" applyAlignment="0" applyProtection="0"/>
    <xf numFmtId="9" fontId="43" fillId="0" borderId="0" applyFont="0" applyFill="0" applyBorder="0" applyAlignment="0" applyProtection="0"/>
  </cellStyleXfs>
  <cellXfs count="816">
    <xf numFmtId="0" fontId="0" fillId="0" borderId="0" xfId="0"/>
    <xf numFmtId="14" fontId="0" fillId="0" borderId="0" xfId="0" applyNumberFormat="1"/>
    <xf numFmtId="0" fontId="22" fillId="0" borderId="1" xfId="1"/>
    <xf numFmtId="0" fontId="36" fillId="0" borderId="87" xfId="2"/>
    <xf numFmtId="0" fontId="37" fillId="0" borderId="88" xfId="3"/>
    <xf numFmtId="164" fontId="0" fillId="0" borderId="0" xfId="0" applyNumberFormat="1"/>
    <xf numFmtId="165" fontId="0" fillId="0" borderId="0" xfId="0" applyNumberFormat="1"/>
    <xf numFmtId="0" fontId="23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5" fillId="3" borderId="4" xfId="0" applyFont="1" applyFill="1" applyBorder="1" applyAlignment="1">
      <alignment horizontal="centerContinuous" vertical="center"/>
    </xf>
    <xf numFmtId="0" fontId="25" fillId="3" borderId="5" xfId="0" applyFont="1" applyFill="1" applyBorder="1" applyAlignment="1">
      <alignment horizontal="centerContinuous" vertical="center"/>
    </xf>
    <xf numFmtId="4" fontId="24" fillId="0" borderId="9" xfId="0" applyNumberFormat="1" applyFont="1" applyBorder="1" applyAlignment="1">
      <alignment horizontal="right" vertical="center"/>
    </xf>
    <xf numFmtId="4" fontId="24" fillId="0" borderId="11" xfId="0" applyNumberFormat="1" applyFont="1" applyBorder="1" applyAlignment="1">
      <alignment horizontal="right" vertical="center"/>
    </xf>
    <xf numFmtId="4" fontId="24" fillId="0" borderId="13" xfId="0" applyNumberFormat="1" applyFont="1" applyBorder="1" applyAlignment="1">
      <alignment horizontal="right" vertical="center"/>
    </xf>
    <xf numFmtId="166" fontId="24" fillId="0" borderId="9" xfId="0" applyNumberFormat="1" applyFont="1" applyBorder="1" applyAlignment="1">
      <alignment horizontal="right" vertical="center"/>
    </xf>
    <xf numFmtId="166" fontId="24" fillId="0" borderId="11" xfId="0" applyNumberFormat="1" applyFont="1" applyBorder="1" applyAlignment="1">
      <alignment horizontal="right" vertical="center"/>
    </xf>
    <xf numFmtId="166" fontId="24" fillId="0" borderId="13" xfId="0" applyNumberFormat="1" applyFont="1" applyBorder="1" applyAlignment="1">
      <alignment horizontal="right" vertical="center"/>
    </xf>
    <xf numFmtId="167" fontId="24" fillId="0" borderId="10" xfId="0" applyNumberFormat="1" applyFont="1" applyBorder="1" applyAlignment="1">
      <alignment horizontal="right" vertical="center"/>
    </xf>
    <xf numFmtId="167" fontId="24" fillId="0" borderId="12" xfId="0" applyNumberFormat="1" applyFont="1" applyBorder="1" applyAlignment="1">
      <alignment horizontal="right" vertical="center"/>
    </xf>
    <xf numFmtId="167" fontId="24" fillId="0" borderId="14" xfId="0" applyNumberFormat="1" applyFont="1" applyBorder="1" applyAlignment="1">
      <alignment horizontal="right" vertical="center"/>
    </xf>
    <xf numFmtId="0" fontId="25" fillId="3" borderId="7" xfId="0" applyFont="1" applyFill="1" applyBorder="1" applyAlignment="1">
      <alignment horizontal="centerContinuous" vertical="center"/>
    </xf>
    <xf numFmtId="0" fontId="25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5" fillId="3" borderId="6" xfId="0" applyFont="1" applyFill="1" applyBorder="1" applyAlignment="1">
      <alignment horizontal="centerContinuous" vertical="center"/>
    </xf>
    <xf numFmtId="4" fontId="24" fillId="0" borderId="15" xfId="0" applyNumberFormat="1" applyFont="1" applyBorder="1" applyAlignment="1">
      <alignment horizontal="right" vertical="center"/>
    </xf>
    <xf numFmtId="4" fontId="24" fillId="0" borderId="16" xfId="0" applyNumberFormat="1" applyFont="1" applyBorder="1" applyAlignment="1">
      <alignment horizontal="right" vertical="center"/>
    </xf>
    <xf numFmtId="4" fontId="24" fillId="0" borderId="17" xfId="0" applyNumberFormat="1" applyFont="1" applyBorder="1" applyAlignment="1">
      <alignment horizontal="right" vertical="center"/>
    </xf>
    <xf numFmtId="10" fontId="24" fillId="0" borderId="15" xfId="0" applyNumberFormat="1" applyFont="1" applyBorder="1" applyAlignment="1">
      <alignment horizontal="right" vertical="center"/>
    </xf>
    <xf numFmtId="10" fontId="24" fillId="0" borderId="16" xfId="0" applyNumberFormat="1" applyFont="1" applyBorder="1" applyAlignment="1">
      <alignment horizontal="right" vertical="center"/>
    </xf>
    <xf numFmtId="10" fontId="24" fillId="0" borderId="17" xfId="0" applyNumberFormat="1" applyFont="1" applyBorder="1" applyAlignment="1">
      <alignment horizontal="right" vertical="center"/>
    </xf>
    <xf numFmtId="10" fontId="24" fillId="0" borderId="10" xfId="0" applyNumberFormat="1" applyFont="1" applyBorder="1" applyAlignment="1">
      <alignment horizontal="right" vertical="center"/>
    </xf>
    <xf numFmtId="10" fontId="24" fillId="0" borderId="12" xfId="0" applyNumberFormat="1" applyFont="1" applyBorder="1" applyAlignment="1">
      <alignment horizontal="right" vertical="center"/>
    </xf>
    <xf numFmtId="10" fontId="24" fillId="0" borderId="14" xfId="0" applyNumberFormat="1" applyFont="1" applyBorder="1" applyAlignment="1">
      <alignment horizontal="right" vertical="center"/>
    </xf>
    <xf numFmtId="0" fontId="25" fillId="3" borderId="18" xfId="0" applyFont="1" applyFill="1" applyBorder="1" applyAlignment="1">
      <alignment horizontal="centerContinuous" vertical="center"/>
    </xf>
    <xf numFmtId="0" fontId="25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5" fillId="3" borderId="0" xfId="0" applyFont="1" applyFill="1" applyBorder="1" applyAlignment="1">
      <alignment horizontal="centerContinuous" vertical="center"/>
    </xf>
    <xf numFmtId="0" fontId="24" fillId="0" borderId="0" xfId="0" applyFont="1"/>
    <xf numFmtId="0" fontId="25" fillId="4" borderId="20" xfId="0" applyFont="1" applyFill="1" applyBorder="1" applyAlignment="1">
      <alignment horizontal="center" vertical="center"/>
    </xf>
    <xf numFmtId="0" fontId="25" fillId="4" borderId="21" xfId="0" applyFont="1" applyFill="1" applyBorder="1" applyAlignment="1">
      <alignment horizontal="center" vertical="center"/>
    </xf>
    <xf numFmtId="0" fontId="25" fillId="4" borderId="22" xfId="0" applyFont="1" applyFill="1" applyBorder="1" applyAlignment="1">
      <alignment horizontal="center" vertical="center"/>
    </xf>
    <xf numFmtId="166" fontId="24" fillId="0" borderId="0" xfId="0" applyNumberFormat="1" applyFont="1"/>
    <xf numFmtId="0" fontId="26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4" fillId="0" borderId="0" xfId="0" applyNumberFormat="1" applyFont="1" applyAlignment="1">
      <alignment horizontal="right"/>
    </xf>
    <xf numFmtId="0" fontId="24" fillId="0" borderId="0" xfId="0" applyFont="1" applyFill="1" applyBorder="1"/>
    <xf numFmtId="167" fontId="24" fillId="0" borderId="15" xfId="0" applyNumberFormat="1" applyFont="1" applyBorder="1" applyAlignment="1">
      <alignment horizontal="right" vertical="center"/>
    </xf>
    <xf numFmtId="167" fontId="24" fillId="0" borderId="16" xfId="0" applyNumberFormat="1" applyFont="1" applyBorder="1" applyAlignment="1">
      <alignment horizontal="right" vertical="center"/>
    </xf>
    <xf numFmtId="0" fontId="25" fillId="3" borderId="27" xfId="0" applyFont="1" applyFill="1" applyBorder="1" applyAlignment="1">
      <alignment horizontal="centerContinuous" vertical="center"/>
    </xf>
    <xf numFmtId="0" fontId="25" fillId="3" borderId="28" xfId="0" applyFont="1" applyFill="1" applyBorder="1" applyAlignment="1">
      <alignment horizontal="centerContinuous" vertical="center"/>
    </xf>
    <xf numFmtId="0" fontId="25" fillId="4" borderId="29" xfId="0" applyFont="1" applyFill="1" applyBorder="1" applyAlignment="1">
      <alignment horizontal="center" vertical="center"/>
    </xf>
    <xf numFmtId="0" fontId="25" fillId="4" borderId="30" xfId="0" applyFont="1" applyFill="1" applyBorder="1" applyAlignment="1">
      <alignment horizontal="center" vertical="center"/>
    </xf>
    <xf numFmtId="4" fontId="24" fillId="0" borderId="0" xfId="0" applyNumberFormat="1" applyFont="1"/>
    <xf numFmtId="0" fontId="25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7" fillId="0" borderId="3" xfId="0" applyFont="1" applyBorder="1" applyAlignment="1">
      <alignment horizontal="centerContinuous"/>
    </xf>
    <xf numFmtId="0" fontId="26" fillId="2" borderId="0" xfId="0" applyFont="1" applyFill="1" applyAlignment="1">
      <alignment horizontal="centerContinuous" vertical="center"/>
    </xf>
    <xf numFmtId="0" fontId="29" fillId="0" borderId="0" xfId="0" applyFont="1"/>
    <xf numFmtId="0" fontId="30" fillId="0" borderId="0" xfId="0" applyFont="1"/>
    <xf numFmtId="4" fontId="24" fillId="0" borderId="10" xfId="0" applyNumberFormat="1" applyFont="1" applyBorder="1" applyAlignment="1">
      <alignment horizontal="right" vertical="center"/>
    </xf>
    <xf numFmtId="4" fontId="24" fillId="0" borderId="12" xfId="0" applyNumberFormat="1" applyFont="1" applyBorder="1" applyAlignment="1">
      <alignment horizontal="right" vertical="center"/>
    </xf>
    <xf numFmtId="4" fontId="24" fillId="0" borderId="14" xfId="0" applyNumberFormat="1" applyFont="1" applyBorder="1" applyAlignment="1">
      <alignment horizontal="right" vertical="center"/>
    </xf>
    <xf numFmtId="0" fontId="25" fillId="4" borderId="32" xfId="0" applyFont="1" applyFill="1" applyBorder="1" applyAlignment="1">
      <alignment horizontal="center" vertical="center"/>
    </xf>
    <xf numFmtId="0" fontId="25" fillId="4" borderId="33" xfId="0" applyFont="1" applyFill="1" applyBorder="1" applyAlignment="1">
      <alignment horizontal="center" vertical="center"/>
    </xf>
    <xf numFmtId="0" fontId="25" fillId="4" borderId="34" xfId="0" applyFont="1" applyFill="1" applyBorder="1" applyAlignment="1">
      <alignment horizontal="center" vertical="center"/>
    </xf>
    <xf numFmtId="0" fontId="22" fillId="0" borderId="1" xfId="1" applyFont="1"/>
    <xf numFmtId="9" fontId="24" fillId="0" borderId="38" xfId="0" applyNumberFormat="1" applyFont="1" applyBorder="1" applyAlignment="1">
      <alignment horizontal="right"/>
    </xf>
    <xf numFmtId="9" fontId="24" fillId="0" borderId="40" xfId="0" applyNumberFormat="1" applyFont="1" applyBorder="1" applyAlignment="1">
      <alignment horizontal="right"/>
    </xf>
    <xf numFmtId="166" fontId="24" fillId="0" borderId="35" xfId="0" applyNumberFormat="1" applyFont="1" applyBorder="1"/>
    <xf numFmtId="166" fontId="24" fillId="0" borderId="37" xfId="0" applyNumberFormat="1" applyFont="1" applyBorder="1"/>
    <xf numFmtId="166" fontId="24" fillId="0" borderId="41" xfId="0" applyNumberFormat="1" applyFont="1" applyBorder="1"/>
    <xf numFmtId="166" fontId="24" fillId="0" borderId="42" xfId="0" applyNumberFormat="1" applyFont="1" applyBorder="1"/>
    <xf numFmtId="0" fontId="0" fillId="0" borderId="42" xfId="0" applyBorder="1"/>
    <xf numFmtId="9" fontId="24" fillId="0" borderId="42" xfId="0" applyNumberFormat="1" applyFont="1" applyBorder="1" applyAlignment="1">
      <alignment horizontal="right"/>
    </xf>
    <xf numFmtId="9" fontId="24" fillId="0" borderId="43" xfId="0" applyNumberFormat="1" applyFont="1" applyBorder="1" applyAlignment="1">
      <alignment horizontal="right"/>
    </xf>
    <xf numFmtId="0" fontId="30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30" fillId="0" borderId="48" xfId="0" applyFont="1" applyBorder="1"/>
    <xf numFmtId="0" fontId="0" fillId="0" borderId="49" xfId="0" applyBorder="1"/>
    <xf numFmtId="4" fontId="32" fillId="5" borderId="0" xfId="0" applyNumberFormat="1" applyFont="1" applyFill="1" applyBorder="1" applyAlignment="1">
      <alignment horizontal="left" vertical="center"/>
    </xf>
    <xf numFmtId="0" fontId="25" fillId="4" borderId="50" xfId="0" applyFont="1" applyFill="1" applyBorder="1" applyAlignment="1">
      <alignment horizontal="center" vertical="center"/>
    </xf>
    <xf numFmtId="0" fontId="25" fillId="4" borderId="51" xfId="0" applyFont="1" applyFill="1" applyBorder="1" applyAlignment="1">
      <alignment horizontal="center" vertical="center"/>
    </xf>
    <xf numFmtId="0" fontId="25" fillId="4" borderId="52" xfId="0" applyFont="1" applyFill="1" applyBorder="1" applyAlignment="1">
      <alignment horizontal="center" vertical="center"/>
    </xf>
    <xf numFmtId="166" fontId="24" fillId="0" borderId="36" xfId="0" applyNumberFormat="1" applyFont="1" applyBorder="1"/>
    <xf numFmtId="166" fontId="24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4" fillId="0" borderId="37" xfId="0" applyNumberFormat="1" applyFont="1" applyBorder="1" applyAlignment="1">
      <alignment horizontal="right"/>
    </xf>
    <xf numFmtId="9" fontId="24" fillId="0" borderId="39" xfId="0" applyNumberFormat="1" applyFont="1" applyBorder="1" applyAlignment="1">
      <alignment horizontal="right"/>
    </xf>
    <xf numFmtId="170" fontId="33" fillId="0" borderId="15" xfId="0" applyNumberFormat="1" applyFont="1" applyBorder="1" applyAlignment="1">
      <alignment horizontal="right" vertical="center"/>
    </xf>
    <xf numFmtId="170" fontId="33" fillId="0" borderId="16" xfId="0" applyNumberFormat="1" applyFont="1" applyBorder="1" applyAlignment="1">
      <alignment horizontal="right" vertical="center"/>
    </xf>
    <xf numFmtId="170" fontId="33" fillId="0" borderId="17" xfId="0" applyNumberFormat="1" applyFont="1" applyBorder="1" applyAlignment="1">
      <alignment horizontal="right" vertical="center"/>
    </xf>
    <xf numFmtId="171" fontId="33" fillId="0" borderId="15" xfId="0" applyNumberFormat="1" applyFont="1" applyBorder="1" applyAlignment="1">
      <alignment horizontal="right" vertical="center"/>
    </xf>
    <xf numFmtId="171" fontId="33" fillId="0" borderId="16" xfId="0" applyNumberFormat="1" applyFont="1" applyBorder="1" applyAlignment="1">
      <alignment horizontal="right" vertical="center"/>
    </xf>
    <xf numFmtId="171" fontId="33" fillId="0" borderId="17" xfId="0" applyNumberFormat="1" applyFont="1" applyBorder="1" applyAlignment="1">
      <alignment horizontal="right" vertical="center"/>
    </xf>
    <xf numFmtId="172" fontId="33" fillId="0" borderId="15" xfId="0" applyNumberFormat="1" applyFont="1" applyBorder="1" applyAlignment="1">
      <alignment horizontal="right" vertical="center"/>
    </xf>
    <xf numFmtId="172" fontId="33" fillId="0" borderId="16" xfId="0" applyNumberFormat="1" applyFont="1" applyBorder="1" applyAlignment="1">
      <alignment horizontal="right" vertical="center"/>
    </xf>
    <xf numFmtId="172" fontId="33" fillId="0" borderId="17" xfId="0" applyNumberFormat="1" applyFont="1" applyBorder="1" applyAlignment="1">
      <alignment horizontal="right" vertical="center"/>
    </xf>
    <xf numFmtId="173" fontId="33" fillId="0" borderId="15" xfId="0" applyNumberFormat="1" applyFont="1" applyBorder="1" applyAlignment="1">
      <alignment horizontal="right" vertical="center"/>
    </xf>
    <xf numFmtId="173" fontId="33" fillId="0" borderId="16" xfId="0" applyNumberFormat="1" applyFont="1" applyBorder="1" applyAlignment="1">
      <alignment horizontal="right" vertical="center"/>
    </xf>
    <xf numFmtId="173" fontId="33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6" fontId="21" fillId="0" borderId="15" xfId="0" applyNumberFormat="1" applyFont="1" applyBorder="1" applyAlignment="1">
      <alignment horizontal="right" vertical="center"/>
    </xf>
    <xf numFmtId="166" fontId="21" fillId="0" borderId="16" xfId="0" applyNumberFormat="1" applyFont="1" applyBorder="1" applyAlignment="1">
      <alignment horizontal="right" vertical="center"/>
    </xf>
    <xf numFmtId="166" fontId="21" fillId="0" borderId="17" xfId="0" applyNumberFormat="1" applyFont="1" applyBorder="1" applyAlignment="1">
      <alignment horizontal="right" vertical="center"/>
    </xf>
    <xf numFmtId="4" fontId="32" fillId="5" borderId="0" xfId="0" applyNumberFormat="1" applyFont="1" applyFill="1" applyBorder="1" applyAlignment="1">
      <alignment vertical="center"/>
    </xf>
    <xf numFmtId="3" fontId="32" fillId="5" borderId="0" xfId="0" applyNumberFormat="1" applyFont="1" applyFill="1" applyBorder="1" applyAlignment="1">
      <alignment vertical="center"/>
    </xf>
    <xf numFmtId="0" fontId="34" fillId="4" borderId="32" xfId="0" applyFont="1" applyFill="1" applyBorder="1" applyAlignment="1">
      <alignment horizontal="center" vertical="center"/>
    </xf>
    <xf numFmtId="0" fontId="34" fillId="4" borderId="34" xfId="0" applyFont="1" applyFill="1" applyBorder="1" applyAlignment="1">
      <alignment horizontal="center" vertical="center"/>
    </xf>
    <xf numFmtId="0" fontId="34" fillId="3" borderId="4" xfId="0" applyFont="1" applyFill="1" applyBorder="1" applyAlignment="1">
      <alignment horizontal="centerContinuous" vertical="center"/>
    </xf>
    <xf numFmtId="0" fontId="34" fillId="3" borderId="5" xfId="0" applyFont="1" applyFill="1" applyBorder="1" applyAlignment="1">
      <alignment horizontal="centerContinuous" vertical="center"/>
    </xf>
    <xf numFmtId="4" fontId="33" fillId="0" borderId="9" xfId="0" applyNumberFormat="1" applyFont="1" applyBorder="1" applyAlignment="1">
      <alignment horizontal="center" vertical="center"/>
    </xf>
    <xf numFmtId="4" fontId="33" fillId="0" borderId="10" xfId="0" applyNumberFormat="1" applyFont="1" applyBorder="1" applyAlignment="1">
      <alignment horizontal="center" vertical="center"/>
    </xf>
    <xf numFmtId="4" fontId="33" fillId="0" borderId="11" xfId="0" applyNumberFormat="1" applyFont="1" applyBorder="1" applyAlignment="1">
      <alignment horizontal="center" vertical="center"/>
    </xf>
    <xf numFmtId="4" fontId="33" fillId="0" borderId="12" xfId="0" applyNumberFormat="1" applyFont="1" applyBorder="1" applyAlignment="1">
      <alignment horizontal="center" vertical="center"/>
    </xf>
    <xf numFmtId="4" fontId="33" fillId="0" borderId="13" xfId="0" applyNumberFormat="1" applyFont="1" applyBorder="1" applyAlignment="1">
      <alignment horizontal="center" vertical="center"/>
    </xf>
    <xf numFmtId="4" fontId="33" fillId="0" borderId="14" xfId="0" applyNumberFormat="1" applyFont="1" applyBorder="1" applyAlignment="1">
      <alignment horizontal="center" vertical="center"/>
    </xf>
    <xf numFmtId="0" fontId="41" fillId="0" borderId="46" xfId="4" applyBorder="1" applyAlignment="1">
      <alignment horizontal="centerContinuous" vertical="center"/>
    </xf>
    <xf numFmtId="0" fontId="41" fillId="0" borderId="47" xfId="4" applyBorder="1" applyAlignment="1">
      <alignment horizontal="centerContinuous" vertical="center"/>
    </xf>
    <xf numFmtId="0" fontId="41" fillId="0" borderId="49" xfId="4" applyBorder="1" applyAlignment="1">
      <alignment horizontal="centerContinuous" vertical="center"/>
    </xf>
    <xf numFmtId="0" fontId="41" fillId="0" borderId="48" xfId="4" applyFill="1" applyBorder="1" applyAlignment="1">
      <alignment horizontal="centerContinuous"/>
    </xf>
    <xf numFmtId="0" fontId="41" fillId="0" borderId="49" xfId="4" applyFill="1" applyBorder="1" applyAlignment="1">
      <alignment horizontal="centerContinuous"/>
    </xf>
    <xf numFmtId="0" fontId="25" fillId="3" borderId="53" xfId="0" applyFont="1" applyFill="1" applyBorder="1" applyAlignment="1">
      <alignment horizontal="centerContinuous" vertical="center"/>
    </xf>
    <xf numFmtId="4" fontId="31" fillId="5" borderId="0" xfId="0" applyNumberFormat="1" applyFont="1" applyFill="1" applyBorder="1" applyAlignment="1">
      <alignment horizontal="left" vertical="center"/>
    </xf>
    <xf numFmtId="4" fontId="32" fillId="5" borderId="0" xfId="0" applyNumberFormat="1" applyFont="1" applyFill="1" applyBorder="1" applyAlignment="1">
      <alignment horizontal="left" vertical="center"/>
    </xf>
    <xf numFmtId="4" fontId="25" fillId="3" borderId="5" xfId="0" applyNumberFormat="1" applyFont="1" applyFill="1" applyBorder="1" applyAlignment="1">
      <alignment horizontal="centerContinuous" vertical="center"/>
    </xf>
    <xf numFmtId="4" fontId="25" fillId="4" borderId="34" xfId="0" applyNumberFormat="1" applyFont="1" applyFill="1" applyBorder="1" applyAlignment="1">
      <alignment horizontal="center" vertical="center"/>
    </xf>
    <xf numFmtId="4" fontId="20" fillId="0" borderId="9" xfId="0" applyNumberFormat="1" applyFont="1" applyBorder="1" applyAlignment="1">
      <alignment horizontal="center" vertical="center"/>
    </xf>
    <xf numFmtId="4" fontId="20" fillId="0" borderId="10" xfId="0" applyNumberFormat="1" applyFont="1" applyBorder="1" applyAlignment="1">
      <alignment horizontal="center" vertical="center"/>
    </xf>
    <xf numFmtId="4" fontId="20" fillId="0" borderId="11" xfId="0" applyNumberFormat="1" applyFont="1" applyBorder="1" applyAlignment="1">
      <alignment horizontal="center" vertical="center"/>
    </xf>
    <xf numFmtId="4" fontId="20" fillId="0" borderId="12" xfId="0" applyNumberFormat="1" applyFont="1" applyBorder="1" applyAlignment="1">
      <alignment horizontal="center" vertical="center"/>
    </xf>
    <xf numFmtId="4" fontId="20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30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32" fillId="5" borderId="16" xfId="0" applyNumberFormat="1" applyFont="1" applyFill="1" applyBorder="1" applyAlignment="1">
      <alignment horizontal="right" vertical="center"/>
    </xf>
    <xf numFmtId="171" fontId="32" fillId="5" borderId="16" xfId="0" applyNumberFormat="1" applyFont="1" applyFill="1" applyBorder="1" applyAlignment="1">
      <alignment horizontal="right" vertical="center"/>
    </xf>
    <xf numFmtId="172" fontId="32" fillId="5" borderId="16" xfId="0" applyNumberFormat="1" applyFont="1" applyFill="1" applyBorder="1" applyAlignment="1">
      <alignment horizontal="right" vertical="center"/>
    </xf>
    <xf numFmtId="173" fontId="32" fillId="5" borderId="16" xfId="0" applyNumberFormat="1" applyFont="1" applyFill="1" applyBorder="1" applyAlignment="1">
      <alignment horizontal="right" vertical="center"/>
    </xf>
    <xf numFmtId="10" fontId="32" fillId="5" borderId="16" xfId="0" applyNumberFormat="1" applyFont="1" applyFill="1" applyBorder="1" applyAlignment="1">
      <alignment horizontal="right" vertical="center"/>
    </xf>
    <xf numFmtId="10" fontId="32" fillId="5" borderId="17" xfId="0" applyNumberFormat="1" applyFont="1" applyFill="1" applyBorder="1" applyAlignment="1">
      <alignment horizontal="right" vertical="center"/>
    </xf>
    <xf numFmtId="10" fontId="32" fillId="5" borderId="12" xfId="0" applyNumberFormat="1" applyFont="1" applyFill="1" applyBorder="1" applyAlignment="1">
      <alignment horizontal="right" vertical="center"/>
    </xf>
    <xf numFmtId="10" fontId="32" fillId="5" borderId="14" xfId="0" applyNumberFormat="1" applyFont="1" applyFill="1" applyBorder="1" applyAlignment="1">
      <alignment horizontal="right" vertical="center"/>
    </xf>
    <xf numFmtId="166" fontId="32" fillId="5" borderId="9" xfId="0" applyNumberFormat="1" applyFont="1" applyFill="1" applyBorder="1" applyAlignment="1">
      <alignment horizontal="right" vertical="center"/>
    </xf>
    <xf numFmtId="166" fontId="32" fillId="5" borderId="11" xfId="0" applyNumberFormat="1" applyFont="1" applyFill="1" applyBorder="1" applyAlignment="1">
      <alignment horizontal="right" vertical="center"/>
    </xf>
    <xf numFmtId="166" fontId="32" fillId="5" borderId="15" xfId="0" applyNumberFormat="1" applyFont="1" applyFill="1" applyBorder="1" applyAlignment="1">
      <alignment horizontal="right" vertical="center"/>
    </xf>
    <xf numFmtId="166" fontId="32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4" fillId="4" borderId="56" xfId="0" applyNumberFormat="1" applyFont="1" applyFill="1" applyBorder="1" applyAlignment="1">
      <alignment horizontal="center" vertical="center"/>
    </xf>
    <xf numFmtId="4" fontId="34" fillId="4" borderId="57" xfId="0" applyNumberFormat="1" applyFont="1" applyFill="1" applyBorder="1" applyAlignment="1">
      <alignment horizontal="center" vertical="center"/>
    </xf>
    <xf numFmtId="4" fontId="34" fillId="4" borderId="58" xfId="0" applyNumberFormat="1" applyFont="1" applyFill="1" applyBorder="1" applyAlignment="1">
      <alignment horizontal="center" vertical="center"/>
    </xf>
    <xf numFmtId="170" fontId="32" fillId="5" borderId="11" xfId="0" applyNumberFormat="1" applyFont="1" applyFill="1" applyBorder="1" applyAlignment="1">
      <alignment horizontal="right" vertical="center"/>
    </xf>
    <xf numFmtId="170" fontId="32" fillId="5" borderId="12" xfId="0" applyNumberFormat="1" applyFont="1" applyFill="1" applyBorder="1" applyAlignment="1">
      <alignment horizontal="right" vertical="center"/>
    </xf>
    <xf numFmtId="171" fontId="32" fillId="5" borderId="11" xfId="0" applyNumberFormat="1" applyFont="1" applyFill="1" applyBorder="1" applyAlignment="1">
      <alignment horizontal="right" vertical="center"/>
    </xf>
    <xf numFmtId="171" fontId="32" fillId="5" borderId="12" xfId="0" applyNumberFormat="1" applyFont="1" applyFill="1" applyBorder="1" applyAlignment="1">
      <alignment horizontal="right" vertical="center"/>
    </xf>
    <xf numFmtId="172" fontId="32" fillId="5" borderId="11" xfId="0" applyNumberFormat="1" applyFont="1" applyFill="1" applyBorder="1" applyAlignment="1">
      <alignment horizontal="right" vertical="center"/>
    </xf>
    <xf numFmtId="172" fontId="32" fillId="5" borderId="12" xfId="0" applyNumberFormat="1" applyFont="1" applyFill="1" applyBorder="1" applyAlignment="1">
      <alignment horizontal="right" vertical="center"/>
    </xf>
    <xf numFmtId="173" fontId="32" fillId="5" borderId="11" xfId="0" applyNumberFormat="1" applyFont="1" applyFill="1" applyBorder="1" applyAlignment="1">
      <alignment horizontal="right" vertical="center"/>
    </xf>
    <xf numFmtId="173" fontId="32" fillId="5" borderId="12" xfId="0" applyNumberFormat="1" applyFont="1" applyFill="1" applyBorder="1" applyAlignment="1">
      <alignment horizontal="right" vertical="center"/>
    </xf>
    <xf numFmtId="10" fontId="32" fillId="5" borderId="11" xfId="0" applyNumberFormat="1" applyFont="1" applyFill="1" applyBorder="1" applyAlignment="1">
      <alignment horizontal="right" vertical="center"/>
    </xf>
    <xf numFmtId="10" fontId="32" fillId="5" borderId="13" xfId="0" applyNumberFormat="1" applyFont="1" applyFill="1" applyBorder="1" applyAlignment="1">
      <alignment horizontal="right" vertical="center"/>
    </xf>
    <xf numFmtId="166" fontId="32" fillId="5" borderId="10" xfId="0" applyNumberFormat="1" applyFont="1" applyFill="1" applyBorder="1" applyAlignment="1">
      <alignment horizontal="right" vertical="center"/>
    </xf>
    <xf numFmtId="166" fontId="32" fillId="5" borderId="12" xfId="0" applyNumberFormat="1" applyFont="1" applyFill="1" applyBorder="1" applyAlignment="1">
      <alignment horizontal="right" vertical="center"/>
    </xf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center" vertical="center"/>
    </xf>
    <xf numFmtId="167" fontId="24" fillId="6" borderId="16" xfId="0" applyNumberFormat="1" applyFont="1" applyFill="1" applyBorder="1" applyAlignment="1">
      <alignment horizontal="right" vertical="center"/>
    </xf>
    <xf numFmtId="167" fontId="24" fillId="0" borderId="15" xfId="0" applyNumberFormat="1" applyFont="1" applyBorder="1" applyAlignment="1">
      <alignment horizontal="center" vertical="center"/>
    </xf>
    <xf numFmtId="4" fontId="25" fillId="4" borderId="22" xfId="0" applyNumberFormat="1" applyFont="1" applyFill="1" applyBorder="1" applyAlignment="1">
      <alignment horizontal="center" vertical="center"/>
    </xf>
    <xf numFmtId="0" fontId="41" fillId="8" borderId="0" xfId="4" applyFill="1" applyBorder="1" applyAlignment="1">
      <alignment horizontal="centerContinuous" vertical="center"/>
    </xf>
    <xf numFmtId="0" fontId="25" fillId="3" borderId="60" xfId="0" applyFont="1" applyFill="1" applyBorder="1" applyAlignment="1">
      <alignment horizontal="centerContinuous" vertical="center"/>
    </xf>
    <xf numFmtId="0" fontId="35" fillId="3" borderId="61" xfId="0" applyFont="1" applyFill="1" applyBorder="1" applyAlignment="1">
      <alignment horizontal="center" vertical="center"/>
    </xf>
    <xf numFmtId="0" fontId="25" fillId="3" borderId="62" xfId="0" applyFont="1" applyFill="1" applyBorder="1" applyAlignment="1">
      <alignment horizontal="centerContinuous" vertical="center"/>
    </xf>
    <xf numFmtId="0" fontId="25" fillId="3" borderId="49" xfId="0" applyFont="1" applyFill="1" applyBorder="1" applyAlignment="1">
      <alignment horizontal="centerContinuous" vertical="center"/>
    </xf>
    <xf numFmtId="4" fontId="33" fillId="0" borderId="17" xfId="0" applyNumberFormat="1" applyFont="1" applyBorder="1" applyAlignment="1">
      <alignment horizontal="center" vertical="center"/>
    </xf>
    <xf numFmtId="0" fontId="34" fillId="3" borderId="6" xfId="0" applyFont="1" applyFill="1" applyBorder="1" applyAlignment="1">
      <alignment horizontal="centerContinuous" vertical="center"/>
    </xf>
    <xf numFmtId="4" fontId="32" fillId="5" borderId="9" xfId="0" applyNumberFormat="1" applyFont="1" applyFill="1" applyBorder="1" applyAlignment="1">
      <alignment horizontal="center" vertical="center"/>
    </xf>
    <xf numFmtId="4" fontId="32" fillId="5" borderId="15" xfId="0" applyNumberFormat="1" applyFont="1" applyFill="1" applyBorder="1" applyAlignment="1">
      <alignment horizontal="center" vertical="center"/>
    </xf>
    <xf numFmtId="4" fontId="32" fillId="5" borderId="10" xfId="0" applyNumberFormat="1" applyFont="1" applyFill="1" applyBorder="1" applyAlignment="1">
      <alignment horizontal="center" vertical="center"/>
    </xf>
    <xf numFmtId="4" fontId="32" fillId="5" borderId="13" xfId="0" applyNumberFormat="1" applyFont="1" applyFill="1" applyBorder="1" applyAlignment="1">
      <alignment horizontal="center" vertical="center"/>
    </xf>
    <xf numFmtId="4" fontId="32" fillId="5" borderId="17" xfId="0" applyNumberFormat="1" applyFont="1" applyFill="1" applyBorder="1" applyAlignment="1">
      <alignment horizontal="center" vertical="center"/>
    </xf>
    <xf numFmtId="4" fontId="32" fillId="5" borderId="14" xfId="0" applyNumberFormat="1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Continuous" vertical="center"/>
    </xf>
    <xf numFmtId="0" fontId="35" fillId="3" borderId="18" xfId="0" applyFont="1" applyFill="1" applyBorder="1" applyAlignment="1">
      <alignment horizontal="centerContinuous" vertical="center"/>
    </xf>
    <xf numFmtId="0" fontId="35" fillId="3" borderId="19" xfId="0" applyFont="1" applyFill="1" applyBorder="1" applyAlignment="1">
      <alignment horizontal="centerContinuous" vertical="center"/>
    </xf>
    <xf numFmtId="0" fontId="41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4" fontId="19" fillId="0" borderId="10" xfId="0" applyNumberFormat="1" applyFont="1" applyBorder="1" applyAlignment="1">
      <alignment horizontal="center" vertical="center"/>
    </xf>
    <xf numFmtId="4" fontId="19" fillId="0" borderId="12" xfId="0" applyNumberFormat="1" applyFont="1" applyBorder="1" applyAlignment="1">
      <alignment horizontal="center" vertical="center"/>
    </xf>
    <xf numFmtId="4" fontId="19" fillId="0" borderId="14" xfId="0" applyNumberFormat="1" applyFont="1" applyBorder="1" applyAlignment="1">
      <alignment horizontal="center" vertical="center"/>
    </xf>
    <xf numFmtId="0" fontId="27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8" fillId="0" borderId="0" xfId="0" applyFont="1"/>
    <xf numFmtId="0" fontId="17" fillId="0" borderId="0" xfId="0" applyFont="1"/>
    <xf numFmtId="166" fontId="17" fillId="0" borderId="0" xfId="0" applyNumberFormat="1" applyFont="1" applyAlignment="1">
      <alignment horizontal="right"/>
    </xf>
    <xf numFmtId="166" fontId="16" fillId="0" borderId="0" xfId="0" applyNumberFormat="1" applyFont="1" applyAlignment="1">
      <alignment horizontal="right"/>
    </xf>
    <xf numFmtId="0" fontId="15" fillId="0" borderId="0" xfId="0" applyFont="1"/>
    <xf numFmtId="166" fontId="15" fillId="0" borderId="0" xfId="0" applyNumberFormat="1" applyFont="1" applyAlignment="1">
      <alignment horizontal="right"/>
    </xf>
    <xf numFmtId="4" fontId="14" fillId="0" borderId="9" xfId="0" applyNumberFormat="1" applyFont="1" applyBorder="1" applyAlignment="1">
      <alignment horizontal="center" vertical="center"/>
    </xf>
    <xf numFmtId="4" fontId="14" fillId="0" borderId="10" xfId="0" applyNumberFormat="1" applyFont="1" applyBorder="1" applyAlignment="1">
      <alignment horizontal="center" vertical="center"/>
    </xf>
    <xf numFmtId="4" fontId="14" fillId="0" borderId="13" xfId="0" applyNumberFormat="1" applyFont="1" applyBorder="1" applyAlignment="1">
      <alignment horizontal="center" vertical="center"/>
    </xf>
    <xf numFmtId="4" fontId="14" fillId="0" borderId="14" xfId="0" applyNumberFormat="1" applyFont="1" applyBorder="1" applyAlignment="1">
      <alignment horizontal="center" vertical="center"/>
    </xf>
    <xf numFmtId="166" fontId="14" fillId="0" borderId="10" xfId="0" applyNumberFormat="1" applyFont="1" applyBorder="1" applyAlignment="1">
      <alignment horizontal="center" vertical="center"/>
    </xf>
    <xf numFmtId="4" fontId="14" fillId="0" borderId="12" xfId="0" applyNumberFormat="1" applyFont="1" applyBorder="1" applyAlignment="1">
      <alignment horizontal="center" vertical="center"/>
    </xf>
    <xf numFmtId="10" fontId="14" fillId="0" borderId="15" xfId="0" applyNumberFormat="1" applyFont="1" applyBorder="1" applyAlignment="1">
      <alignment horizontal="right" vertical="center"/>
    </xf>
    <xf numFmtId="10" fontId="14" fillId="0" borderId="16" xfId="0" applyNumberFormat="1" applyFont="1" applyBorder="1" applyAlignment="1">
      <alignment horizontal="right" vertical="center"/>
    </xf>
    <xf numFmtId="10" fontId="14" fillId="0" borderId="17" xfId="0" applyNumberFormat="1" applyFont="1" applyBorder="1" applyAlignment="1">
      <alignment horizontal="right" vertical="center"/>
    </xf>
    <xf numFmtId="4" fontId="14" fillId="0" borderId="20" xfId="0" applyNumberFormat="1" applyFont="1" applyBorder="1" applyAlignment="1">
      <alignment horizontal="center" vertical="center"/>
    </xf>
    <xf numFmtId="4" fontId="14" fillId="0" borderId="22" xfId="0" applyNumberFormat="1" applyFont="1" applyBorder="1" applyAlignment="1">
      <alignment horizontal="center" vertical="center"/>
    </xf>
    <xf numFmtId="10" fontId="14" fillId="0" borderId="21" xfId="0" applyNumberFormat="1" applyFont="1" applyBorder="1" applyAlignment="1">
      <alignment horizontal="right" vertical="center"/>
    </xf>
    <xf numFmtId="166" fontId="14" fillId="0" borderId="9" xfId="0" applyNumberFormat="1" applyFont="1" applyBorder="1" applyAlignment="1">
      <alignment horizontal="right" vertical="center"/>
    </xf>
    <xf numFmtId="166" fontId="14" fillId="0" borderId="11" xfId="0" applyNumberFormat="1" applyFont="1" applyBorder="1" applyAlignment="1">
      <alignment horizontal="right" vertical="center"/>
    </xf>
    <xf numFmtId="166" fontId="14" fillId="0" borderId="13" xfId="0" applyNumberFormat="1" applyFont="1" applyBorder="1" applyAlignment="1">
      <alignment horizontal="right" vertical="center"/>
    </xf>
    <xf numFmtId="0" fontId="34" fillId="3" borderId="4" xfId="2" applyFont="1" applyFill="1" applyBorder="1" applyAlignment="1">
      <alignment horizontal="centerContinuous" vertical="center"/>
    </xf>
    <xf numFmtId="0" fontId="34" fillId="3" borderId="6" xfId="2" applyFont="1" applyFill="1" applyBorder="1" applyAlignment="1">
      <alignment horizontal="centerContinuous" vertical="center"/>
    </xf>
    <xf numFmtId="0" fontId="34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5" fillId="4" borderId="65" xfId="0" applyFont="1" applyFill="1" applyBorder="1" applyAlignment="1">
      <alignment horizontal="centerContinuous" vertical="center"/>
    </xf>
    <xf numFmtId="0" fontId="25" fillId="4" borderId="66" xfId="0" applyFont="1" applyFill="1" applyBorder="1" applyAlignment="1">
      <alignment horizontal="centerContinuous" vertical="center"/>
    </xf>
    <xf numFmtId="0" fontId="25" fillId="4" borderId="67" xfId="0" applyFont="1" applyFill="1" applyBorder="1" applyAlignment="1">
      <alignment horizontal="centerContinuous" vertical="center"/>
    </xf>
    <xf numFmtId="167" fontId="14" fillId="0" borderId="15" xfId="0" applyNumberFormat="1" applyFont="1" applyBorder="1" applyAlignment="1">
      <alignment horizontal="center" vertical="center"/>
    </xf>
    <xf numFmtId="167" fontId="14" fillId="0" borderId="16" xfId="0" applyNumberFormat="1" applyFont="1" applyBorder="1" applyAlignment="1">
      <alignment horizontal="center" vertical="center"/>
    </xf>
    <xf numFmtId="167" fontId="14" fillId="0" borderId="17" xfId="0" applyNumberFormat="1" applyFont="1" applyBorder="1" applyAlignment="1">
      <alignment horizontal="center" vertical="center"/>
    </xf>
    <xf numFmtId="166" fontId="14" fillId="0" borderId="12" xfId="0" applyNumberFormat="1" applyFont="1" applyBorder="1" applyAlignment="1">
      <alignment horizontal="center" vertical="center"/>
    </xf>
    <xf numFmtId="10" fontId="13" fillId="0" borderId="16" xfId="0" applyNumberFormat="1" applyFont="1" applyBorder="1" applyAlignment="1">
      <alignment horizontal="right" vertical="center"/>
    </xf>
    <xf numFmtId="4" fontId="13" fillId="0" borderId="12" xfId="0" applyNumberFormat="1" applyFont="1" applyBorder="1" applyAlignment="1">
      <alignment horizontal="center" vertical="center"/>
    </xf>
    <xf numFmtId="10" fontId="13" fillId="0" borderId="17" xfId="0" applyNumberFormat="1" applyFont="1" applyBorder="1" applyAlignment="1">
      <alignment horizontal="right" vertical="center"/>
    </xf>
    <xf numFmtId="4" fontId="13" fillId="0" borderId="14" xfId="0" applyNumberFormat="1" applyFont="1" applyBorder="1" applyAlignment="1">
      <alignment horizontal="center" vertical="center"/>
    </xf>
    <xf numFmtId="4" fontId="13" fillId="0" borderId="10" xfId="0" applyNumberFormat="1" applyFont="1" applyBorder="1" applyAlignment="1">
      <alignment horizontal="center" vertical="center"/>
    </xf>
    <xf numFmtId="10" fontId="13" fillId="0" borderId="15" xfId="0" applyNumberFormat="1" applyFont="1" applyBorder="1" applyAlignment="1">
      <alignment horizontal="right" vertical="center"/>
    </xf>
    <xf numFmtId="4" fontId="14" fillId="0" borderId="68" xfId="0" applyNumberFormat="1" applyFont="1" applyBorder="1" applyAlignment="1">
      <alignment horizontal="center" vertical="center"/>
    </xf>
    <xf numFmtId="10" fontId="14" fillId="0" borderId="69" xfId="0" applyNumberFormat="1" applyFont="1" applyBorder="1" applyAlignment="1">
      <alignment horizontal="right" vertical="center"/>
    </xf>
    <xf numFmtId="4" fontId="14" fillId="0" borderId="70" xfId="0" applyNumberFormat="1" applyFont="1" applyBorder="1" applyAlignment="1">
      <alignment horizontal="center" vertical="center"/>
    </xf>
    <xf numFmtId="4" fontId="14" fillId="0" borderId="71" xfId="0" applyNumberFormat="1" applyFont="1" applyBorder="1" applyAlignment="1">
      <alignment horizontal="center" vertical="center"/>
    </xf>
    <xf numFmtId="4" fontId="14" fillId="0" borderId="72" xfId="0" applyNumberFormat="1" applyFont="1" applyBorder="1" applyAlignment="1">
      <alignment horizontal="center" vertical="center"/>
    </xf>
    <xf numFmtId="4" fontId="14" fillId="0" borderId="73" xfId="0" applyNumberFormat="1" applyFont="1" applyBorder="1" applyAlignment="1">
      <alignment horizontal="center" vertical="center"/>
    </xf>
    <xf numFmtId="10" fontId="14" fillId="0" borderId="74" xfId="0" applyNumberFormat="1" applyFont="1" applyBorder="1" applyAlignment="1">
      <alignment horizontal="right" vertical="center"/>
    </xf>
    <xf numFmtId="4" fontId="14" fillId="0" borderId="75" xfId="0" applyNumberFormat="1" applyFont="1" applyBorder="1" applyAlignment="1">
      <alignment horizontal="center" vertical="center"/>
    </xf>
    <xf numFmtId="4" fontId="12" fillId="0" borderId="9" xfId="0" applyNumberFormat="1" applyFont="1" applyBorder="1" applyAlignment="1">
      <alignment horizontal="center" vertical="center"/>
    </xf>
    <xf numFmtId="4" fontId="12" fillId="0" borderId="11" xfId="0" applyNumberFormat="1" applyFont="1" applyBorder="1" applyAlignment="1">
      <alignment horizontal="center" vertical="center"/>
    </xf>
    <xf numFmtId="4" fontId="12" fillId="0" borderId="13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11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0" fontId="27" fillId="0" borderId="3" xfId="0" quotePrefix="1" applyFont="1" applyBorder="1" applyAlignment="1">
      <alignment horizontal="centerContinuous" vertical="center"/>
    </xf>
    <xf numFmtId="4" fontId="11" fillId="0" borderId="14" xfId="0" applyNumberFormat="1" applyFont="1" applyBorder="1" applyAlignment="1">
      <alignment horizontal="center" vertical="center"/>
    </xf>
    <xf numFmtId="4" fontId="11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10" fillId="0" borderId="11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174" fontId="41" fillId="0" borderId="0" xfId="4" applyNumberFormat="1"/>
    <xf numFmtId="4" fontId="9" fillId="0" borderId="11" xfId="0" applyNumberFormat="1" applyFont="1" applyBorder="1" applyAlignment="1">
      <alignment horizontal="center" vertical="center"/>
    </xf>
    <xf numFmtId="4" fontId="9" fillId="0" borderId="9" xfId="0" applyNumberFormat="1" applyFont="1" applyBorder="1" applyAlignment="1">
      <alignment horizontal="center" vertical="center"/>
    </xf>
    <xf numFmtId="4" fontId="9" fillId="0" borderId="12" xfId="0" applyNumberFormat="1" applyFont="1" applyBorder="1" applyAlignment="1">
      <alignment horizontal="center" vertical="center"/>
    </xf>
    <xf numFmtId="175" fontId="10" fillId="0" borderId="16" xfId="0" applyNumberFormat="1" applyFont="1" applyBorder="1" applyAlignment="1">
      <alignment horizontal="center" vertical="center"/>
    </xf>
    <xf numFmtId="176" fontId="0" fillId="0" borderId="0" xfId="0" applyNumberFormat="1"/>
    <xf numFmtId="169" fontId="19" fillId="0" borderId="15" xfId="0" applyNumberFormat="1" applyFont="1" applyBorder="1" applyAlignment="1">
      <alignment horizontal="right" vertical="center"/>
    </xf>
    <xf numFmtId="169" fontId="19" fillId="0" borderId="16" xfId="0" applyNumberFormat="1" applyFont="1" applyBorder="1" applyAlignment="1">
      <alignment horizontal="right" vertical="center"/>
    </xf>
    <xf numFmtId="169" fontId="19" fillId="0" borderId="17" xfId="0" applyNumberFormat="1" applyFont="1" applyBorder="1" applyAlignment="1">
      <alignment horizontal="right" vertical="center"/>
    </xf>
    <xf numFmtId="177" fontId="10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4" fontId="33" fillId="0" borderId="16" xfId="0" applyNumberFormat="1" applyFont="1" applyBorder="1" applyAlignment="1">
      <alignment horizontal="center" vertical="center"/>
    </xf>
    <xf numFmtId="4" fontId="33" fillId="0" borderId="59" xfId="0" applyNumberFormat="1" applyFont="1" applyBorder="1" applyAlignment="1">
      <alignment horizontal="center" vertical="center"/>
    </xf>
    <xf numFmtId="4" fontId="33" fillId="0" borderId="79" xfId="0" applyNumberFormat="1" applyFont="1" applyBorder="1" applyAlignment="1">
      <alignment horizontal="center" vertical="center"/>
    </xf>
    <xf numFmtId="0" fontId="34" fillId="4" borderId="20" xfId="0" applyFont="1" applyFill="1" applyBorder="1" applyAlignment="1">
      <alignment horizontal="center" vertical="center"/>
    </xf>
    <xf numFmtId="0" fontId="34" fillId="4" borderId="21" xfId="0" applyFont="1" applyFill="1" applyBorder="1" applyAlignment="1">
      <alignment horizontal="center" vertical="center"/>
    </xf>
    <xf numFmtId="0" fontId="34" fillId="4" borderId="22" xfId="0" applyFont="1" applyFill="1" applyBorder="1" applyAlignment="1">
      <alignment horizontal="center" vertical="center"/>
    </xf>
    <xf numFmtId="4" fontId="33" fillId="0" borderId="80" xfId="0" applyNumberFormat="1" applyFont="1" applyBorder="1" applyAlignment="1">
      <alignment horizontal="center" vertical="center"/>
    </xf>
    <xf numFmtId="4" fontId="33" fillId="0" borderId="81" xfId="0" applyNumberFormat="1" applyFont="1" applyBorder="1" applyAlignment="1">
      <alignment horizontal="center" vertical="center"/>
    </xf>
    <xf numFmtId="4" fontId="33" fillId="0" borderId="82" xfId="0" applyNumberFormat="1" applyFont="1" applyBorder="1" applyAlignment="1">
      <alignment horizontal="center" vertical="center"/>
    </xf>
    <xf numFmtId="0" fontId="34" fillId="4" borderId="76" xfId="0" applyFont="1" applyFill="1" applyBorder="1" applyAlignment="1">
      <alignment horizontal="center" vertical="center"/>
    </xf>
    <xf numFmtId="0" fontId="34" fillId="4" borderId="77" xfId="0" applyFont="1" applyFill="1" applyBorder="1" applyAlignment="1">
      <alignment horizontal="center" vertical="center"/>
    </xf>
    <xf numFmtId="0" fontId="34" fillId="4" borderId="78" xfId="0" applyFont="1" applyFill="1" applyBorder="1" applyAlignment="1">
      <alignment horizontal="center" vertical="center"/>
    </xf>
    <xf numFmtId="0" fontId="34" fillId="4" borderId="33" xfId="0" applyFont="1" applyFill="1" applyBorder="1" applyAlignment="1">
      <alignment horizontal="center" vertical="center"/>
    </xf>
    <xf numFmtId="4" fontId="34" fillId="4" borderId="78" xfId="0" applyNumberFormat="1" applyFont="1" applyFill="1" applyBorder="1" applyAlignment="1">
      <alignment horizontal="center" vertical="center"/>
    </xf>
    <xf numFmtId="4" fontId="32" fillId="5" borderId="0" xfId="0" quotePrefix="1" applyNumberFormat="1" applyFont="1" applyFill="1" applyBorder="1" applyAlignment="1">
      <alignment horizontal="left" vertical="center"/>
    </xf>
    <xf numFmtId="4" fontId="34" fillId="3" borderId="4" xfId="0" applyNumberFormat="1" applyFont="1" applyFill="1" applyBorder="1" applyAlignment="1">
      <alignment horizontal="centerContinuous" vertical="center"/>
    </xf>
    <xf numFmtId="4" fontId="34" fillId="3" borderId="6" xfId="0" applyNumberFormat="1" applyFont="1" applyFill="1" applyBorder="1" applyAlignment="1">
      <alignment horizontal="centerContinuous" vertical="center"/>
    </xf>
    <xf numFmtId="4" fontId="34" fillId="3" borderId="5" xfId="0" applyNumberFormat="1" applyFont="1" applyFill="1" applyBorder="1" applyAlignment="1">
      <alignment horizontal="centerContinuous" vertical="center"/>
    </xf>
    <xf numFmtId="4" fontId="34" fillId="4" borderId="22" xfId="0" applyNumberFormat="1" applyFont="1" applyFill="1" applyBorder="1" applyAlignment="1">
      <alignment horizontal="center" vertical="center"/>
    </xf>
    <xf numFmtId="0" fontId="33" fillId="0" borderId="0" xfId="0" applyFont="1"/>
    <xf numFmtId="166" fontId="33" fillId="0" borderId="0" xfId="0" applyNumberFormat="1" applyFont="1" applyAlignment="1">
      <alignment horizontal="center"/>
    </xf>
    <xf numFmtId="0" fontId="33" fillId="0" borderId="0" xfId="0" applyFont="1" applyAlignment="1">
      <alignment horizontal="center" vertical="center"/>
    </xf>
    <xf numFmtId="166" fontId="33" fillId="0" borderId="10" xfId="0" applyNumberFormat="1" applyFont="1" applyBorder="1" applyAlignment="1">
      <alignment horizontal="center" vertical="center"/>
    </xf>
    <xf numFmtId="0" fontId="25" fillId="4" borderId="83" xfId="0" applyFont="1" applyFill="1" applyBorder="1" applyAlignment="1">
      <alignment horizontal="center" vertical="center"/>
    </xf>
    <xf numFmtId="4" fontId="33" fillId="0" borderId="65" xfId="0" applyNumberFormat="1" applyFont="1" applyBorder="1" applyAlignment="1">
      <alignment horizontal="center" vertical="center"/>
    </xf>
    <xf numFmtId="166" fontId="33" fillId="0" borderId="67" xfId="0" applyNumberFormat="1" applyFont="1" applyBorder="1" applyAlignment="1">
      <alignment horizontal="center" vertical="center"/>
    </xf>
    <xf numFmtId="0" fontId="39" fillId="0" borderId="1" xfId="1" applyFont="1"/>
    <xf numFmtId="0" fontId="40" fillId="0" borderId="87" xfId="2" applyFont="1"/>
    <xf numFmtId="0" fontId="40" fillId="0" borderId="88" xfId="3" applyFont="1"/>
    <xf numFmtId="166" fontId="33" fillId="0" borderId="48" xfId="0" applyNumberFormat="1" applyFont="1" applyBorder="1" applyAlignment="1">
      <alignment horizontal="center"/>
    </xf>
    <xf numFmtId="166" fontId="33" fillId="0" borderId="86" xfId="0" applyNumberFormat="1" applyFont="1" applyBorder="1" applyAlignment="1">
      <alignment horizontal="center"/>
    </xf>
    <xf numFmtId="0" fontId="33" fillId="0" borderId="49" xfId="0" applyFont="1" applyBorder="1" applyAlignment="1">
      <alignment horizontal="center" vertical="center"/>
    </xf>
    <xf numFmtId="166" fontId="8" fillId="0" borderId="84" xfId="0" applyNumberFormat="1" applyFont="1" applyBorder="1" applyAlignment="1">
      <alignment horizontal="center" vertical="center"/>
    </xf>
    <xf numFmtId="166" fontId="8" fillId="0" borderId="85" xfId="0" applyNumberFormat="1" applyFont="1" applyBorder="1" applyAlignment="1">
      <alignment horizontal="center" vertical="center"/>
    </xf>
    <xf numFmtId="166" fontId="33" fillId="0" borderId="12" xfId="0" applyNumberFormat="1" applyFont="1" applyBorder="1" applyAlignment="1">
      <alignment horizontal="center" vertical="center"/>
    </xf>
    <xf numFmtId="166" fontId="33" fillId="0" borderId="9" xfId="0" applyNumberFormat="1" applyFont="1" applyBorder="1" applyAlignment="1">
      <alignment horizontal="center" vertical="center"/>
    </xf>
    <xf numFmtId="166" fontId="33" fillId="0" borderId="15" xfId="0" applyNumberFormat="1" applyFont="1" applyBorder="1" applyAlignment="1">
      <alignment horizontal="center" vertical="center"/>
    </xf>
    <xf numFmtId="166" fontId="33" fillId="0" borderId="11" xfId="0" applyNumberFormat="1" applyFont="1" applyBorder="1" applyAlignment="1">
      <alignment horizontal="center" vertical="center"/>
    </xf>
    <xf numFmtId="166" fontId="33" fillId="0" borderId="16" xfId="0" applyNumberFormat="1" applyFont="1" applyBorder="1" applyAlignment="1">
      <alignment horizontal="center" vertical="center"/>
    </xf>
    <xf numFmtId="166" fontId="33" fillId="0" borderId="13" xfId="0" applyNumberFormat="1" applyFont="1" applyBorder="1" applyAlignment="1">
      <alignment horizontal="center" vertical="center"/>
    </xf>
    <xf numFmtId="166" fontId="33" fillId="0" borderId="17" xfId="0" applyNumberFormat="1" applyFont="1" applyBorder="1" applyAlignment="1">
      <alignment horizontal="center" vertical="center"/>
    </xf>
    <xf numFmtId="4" fontId="33" fillId="0" borderId="15" xfId="0" applyNumberFormat="1" applyFont="1" applyBorder="1" applyAlignment="1">
      <alignment horizontal="center" vertical="center"/>
    </xf>
    <xf numFmtId="166" fontId="33" fillId="0" borderId="14" xfId="0" applyNumberFormat="1" applyFont="1" applyBorder="1" applyAlignment="1">
      <alignment horizontal="center" vertical="center"/>
    </xf>
    <xf numFmtId="4" fontId="34" fillId="4" borderId="32" xfId="0" applyNumberFormat="1" applyFont="1" applyFill="1" applyBorder="1" applyAlignment="1">
      <alignment horizontal="center" vertical="center"/>
    </xf>
    <xf numFmtId="166" fontId="34" fillId="4" borderId="33" xfId="0" applyNumberFormat="1" applyFont="1" applyFill="1" applyBorder="1" applyAlignment="1">
      <alignment horizontal="center" vertical="center"/>
    </xf>
    <xf numFmtId="4" fontId="33" fillId="0" borderId="89" xfId="0" applyNumberFormat="1" applyFont="1" applyBorder="1" applyAlignment="1">
      <alignment horizontal="center" vertical="center"/>
    </xf>
    <xf numFmtId="2" fontId="33" fillId="0" borderId="48" xfId="0" applyNumberFormat="1" applyFont="1" applyBorder="1" applyAlignment="1">
      <alignment horizontal="center"/>
    </xf>
    <xf numFmtId="2" fontId="33" fillId="0" borderId="86" xfId="0" applyNumberFormat="1" applyFont="1" applyBorder="1" applyAlignment="1">
      <alignment horizontal="center"/>
    </xf>
    <xf numFmtId="4" fontId="33" fillId="0" borderId="90" xfId="0" applyNumberFormat="1" applyFont="1" applyBorder="1" applyAlignment="1">
      <alignment horizontal="center" vertical="center"/>
    </xf>
    <xf numFmtId="4" fontId="33" fillId="0" borderId="75" xfId="0" applyNumberFormat="1" applyFont="1" applyBorder="1" applyAlignment="1">
      <alignment horizontal="center" vertical="center"/>
    </xf>
    <xf numFmtId="4" fontId="33" fillId="0" borderId="92" xfId="0" applyNumberFormat="1" applyFont="1" applyBorder="1" applyAlignment="1">
      <alignment horizontal="center" vertical="center"/>
    </xf>
    <xf numFmtId="4" fontId="33" fillId="0" borderId="91" xfId="0" applyNumberFormat="1" applyFont="1" applyBorder="1" applyAlignment="1">
      <alignment horizontal="center" vertical="center"/>
    </xf>
    <xf numFmtId="2" fontId="35" fillId="4" borderId="56" xfId="0" applyNumberFormat="1" applyFont="1" applyFill="1" applyBorder="1" applyAlignment="1">
      <alignment horizontal="center" vertical="center"/>
    </xf>
    <xf numFmtId="0" fontId="34" fillId="3" borderId="18" xfId="0" applyFont="1" applyFill="1" applyBorder="1" applyAlignment="1">
      <alignment horizontal="centerContinuous" vertical="center"/>
    </xf>
    <xf numFmtId="0" fontId="35" fillId="3" borderId="93" xfId="0" applyFont="1" applyFill="1" applyBorder="1" applyAlignment="1">
      <alignment horizontal="centerContinuous" vertical="center"/>
    </xf>
    <xf numFmtId="0" fontId="35" fillId="3" borderId="55" xfId="0" applyFont="1" applyFill="1" applyBorder="1" applyAlignment="1">
      <alignment horizontal="centerContinuous" vertical="center"/>
    </xf>
    <xf numFmtId="0" fontId="35" fillId="3" borderId="7" xfId="0" applyFont="1" applyFill="1" applyBorder="1" applyAlignment="1">
      <alignment horizontal="centerContinuous" vertical="center"/>
    </xf>
    <xf numFmtId="0" fontId="35" fillId="3" borderId="4" xfId="0" applyFont="1" applyFill="1" applyBorder="1" applyAlignment="1">
      <alignment horizontal="centerContinuous" vertical="center"/>
    </xf>
    <xf numFmtId="0" fontId="35" fillId="3" borderId="5" xfId="0" applyFont="1" applyFill="1" applyBorder="1" applyAlignment="1">
      <alignment horizontal="centerContinuous" vertical="center"/>
    </xf>
    <xf numFmtId="4" fontId="33" fillId="0" borderId="22" xfId="0" applyNumberFormat="1" applyFont="1" applyBorder="1" applyAlignment="1">
      <alignment horizontal="center" vertical="center"/>
    </xf>
    <xf numFmtId="0" fontId="35" fillId="3" borderId="6" xfId="0" applyFont="1" applyFill="1" applyBorder="1" applyAlignment="1">
      <alignment horizontal="centerContinuous" vertical="center"/>
    </xf>
    <xf numFmtId="0" fontId="34" fillId="3" borderId="8" xfId="0" applyFont="1" applyFill="1" applyBorder="1" applyAlignment="1">
      <alignment horizontal="centerContinuous" vertical="center"/>
    </xf>
    <xf numFmtId="0" fontId="34" fillId="3" borderId="0" xfId="0" applyFont="1" applyFill="1" applyBorder="1" applyAlignment="1">
      <alignment horizontal="centerContinuous" vertical="center"/>
    </xf>
    <xf numFmtId="0" fontId="34" fillId="4" borderId="94" xfId="0" applyFont="1" applyFill="1" applyBorder="1" applyAlignment="1">
      <alignment horizontal="center" vertical="center"/>
    </xf>
    <xf numFmtId="4" fontId="33" fillId="0" borderId="95" xfId="0" applyNumberFormat="1" applyFont="1" applyBorder="1" applyAlignment="1">
      <alignment horizontal="center" vertical="center"/>
    </xf>
    <xf numFmtId="2" fontId="35" fillId="4" borderId="32" xfId="0" applyNumberFormat="1" applyFont="1" applyFill="1" applyBorder="1" applyAlignment="1">
      <alignment horizontal="center" vertical="center"/>
    </xf>
    <xf numFmtId="2" fontId="35" fillId="4" borderId="33" xfId="0" applyNumberFormat="1" applyFont="1" applyFill="1" applyBorder="1" applyAlignment="1">
      <alignment horizontal="center" vertical="center"/>
    </xf>
    <xf numFmtId="2" fontId="35" fillId="4" borderId="34" xfId="0" applyNumberFormat="1" applyFont="1" applyFill="1" applyBorder="1" applyAlignment="1">
      <alignment horizontal="center" vertical="center"/>
    </xf>
    <xf numFmtId="2" fontId="33" fillId="0" borderId="35" xfId="0" applyNumberFormat="1" applyFont="1" applyBorder="1" applyAlignment="1">
      <alignment horizontal="center"/>
    </xf>
    <xf numFmtId="2" fontId="33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5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5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5" fillId="4" borderId="100" xfId="0" applyNumberFormat="1" applyFont="1" applyFill="1" applyBorder="1" applyAlignment="1">
      <alignment horizontal="center" vertical="center"/>
    </xf>
    <xf numFmtId="4" fontId="33" fillId="0" borderId="101" xfId="0" applyNumberFormat="1" applyFont="1" applyBorder="1" applyAlignment="1">
      <alignment horizontal="center" vertical="center"/>
    </xf>
    <xf numFmtId="4" fontId="34" fillId="4" borderId="20" xfId="0" applyNumberFormat="1" applyFont="1" applyFill="1" applyBorder="1" applyAlignment="1">
      <alignment horizontal="centerContinuous" vertical="center"/>
    </xf>
    <xf numFmtId="4" fontId="34" fillId="4" borderId="21" xfId="0" applyNumberFormat="1" applyFont="1" applyFill="1" applyBorder="1" applyAlignment="1">
      <alignment horizontal="centerContinuous" vertical="center"/>
    </xf>
    <xf numFmtId="4" fontId="34" fillId="4" borderId="22" xfId="0" applyNumberFormat="1" applyFont="1" applyFill="1" applyBorder="1" applyAlignment="1">
      <alignment horizontal="centerContinuous" vertical="center"/>
    </xf>
    <xf numFmtId="4" fontId="33" fillId="0" borderId="102" xfId="0" applyNumberFormat="1" applyFont="1" applyBorder="1" applyAlignment="1">
      <alignment horizontal="center" vertical="center"/>
    </xf>
    <xf numFmtId="4" fontId="33" fillId="0" borderId="103" xfId="0" applyNumberFormat="1" applyFont="1" applyBorder="1" applyAlignment="1">
      <alignment horizontal="center" vertical="center"/>
    </xf>
    <xf numFmtId="4" fontId="33" fillId="0" borderId="104" xfId="0" applyNumberFormat="1" applyFont="1" applyBorder="1" applyAlignment="1">
      <alignment horizontal="center" vertical="center"/>
    </xf>
    <xf numFmtId="4" fontId="33" fillId="0" borderId="105" xfId="0" applyNumberFormat="1" applyFont="1" applyBorder="1" applyAlignment="1">
      <alignment horizontal="center" vertical="center"/>
    </xf>
    <xf numFmtId="4" fontId="33" fillId="0" borderId="106" xfId="0" applyNumberFormat="1" applyFont="1" applyBorder="1" applyAlignment="1">
      <alignment horizontal="center" vertical="center"/>
    </xf>
    <xf numFmtId="4" fontId="33" fillId="0" borderId="107" xfId="0" applyNumberFormat="1" applyFont="1" applyBorder="1" applyAlignment="1">
      <alignment horizontal="center" vertical="center"/>
    </xf>
    <xf numFmtId="0" fontId="35" fillId="4" borderId="32" xfId="0" applyFont="1" applyFill="1" applyBorder="1" applyAlignment="1">
      <alignment horizontal="center" vertical="center"/>
    </xf>
    <xf numFmtId="0" fontId="35" fillId="4" borderId="34" xfId="0" applyFont="1" applyFill="1" applyBorder="1" applyAlignment="1">
      <alignment horizontal="center" vertical="center"/>
    </xf>
    <xf numFmtId="4" fontId="33" fillId="0" borderId="68" xfId="0" applyNumberFormat="1" applyFont="1" applyBorder="1" applyAlignment="1">
      <alignment horizontal="center" vertical="center"/>
    </xf>
    <xf numFmtId="4" fontId="33" fillId="0" borderId="70" xfId="0" applyNumberFormat="1" applyFont="1" applyBorder="1" applyAlignment="1">
      <alignment horizontal="center" vertical="center"/>
    </xf>
    <xf numFmtId="4" fontId="33" fillId="0" borderId="111" xfId="0" applyNumberFormat="1" applyFont="1" applyBorder="1" applyAlignment="1">
      <alignment horizontal="center" vertical="center"/>
    </xf>
    <xf numFmtId="4" fontId="33" fillId="0" borderId="112" xfId="0" applyNumberFormat="1" applyFont="1" applyBorder="1" applyAlignment="1">
      <alignment horizontal="center" vertical="center"/>
    </xf>
    <xf numFmtId="4" fontId="33" fillId="0" borderId="113" xfId="0" applyNumberFormat="1" applyFont="1" applyBorder="1" applyAlignment="1">
      <alignment horizontal="center" vertical="center"/>
    </xf>
    <xf numFmtId="4" fontId="33" fillId="0" borderId="114" xfId="0" applyNumberFormat="1" applyFont="1" applyBorder="1" applyAlignment="1">
      <alignment horizontal="center" vertical="center"/>
    </xf>
    <xf numFmtId="4" fontId="33" fillId="0" borderId="115" xfId="0" applyNumberFormat="1" applyFont="1" applyBorder="1" applyAlignment="1">
      <alignment horizontal="center" vertical="center"/>
    </xf>
    <xf numFmtId="4" fontId="33" fillId="0" borderId="116" xfId="0" applyNumberFormat="1" applyFont="1" applyBorder="1" applyAlignment="1">
      <alignment horizontal="center" vertical="center"/>
    </xf>
    <xf numFmtId="4" fontId="33" fillId="0" borderId="117" xfId="0" applyNumberFormat="1" applyFont="1" applyBorder="1" applyAlignment="1">
      <alignment horizontal="center" vertical="center"/>
    </xf>
    <xf numFmtId="4" fontId="34" fillId="4" borderId="118" xfId="0" applyNumberFormat="1" applyFont="1" applyFill="1" applyBorder="1" applyAlignment="1">
      <alignment horizontal="center" vertical="center"/>
    </xf>
    <xf numFmtId="4" fontId="34" fillId="4" borderId="110" xfId="0" applyNumberFormat="1" applyFont="1" applyFill="1" applyBorder="1" applyAlignment="1">
      <alignment horizontal="center" vertical="center"/>
    </xf>
    <xf numFmtId="4" fontId="34" fillId="4" borderId="95" xfId="0" applyNumberFormat="1" applyFont="1" applyFill="1" applyBorder="1" applyAlignment="1">
      <alignment horizontal="center" vertical="center"/>
    </xf>
    <xf numFmtId="4" fontId="34" fillId="4" borderId="119" xfId="0" applyNumberFormat="1" applyFont="1" applyFill="1" applyBorder="1" applyAlignment="1">
      <alignment horizontal="center" vertical="center"/>
    </xf>
    <xf numFmtId="4" fontId="34" fillId="4" borderId="61" xfId="0" applyNumberFormat="1" applyFont="1" applyFill="1" applyBorder="1" applyAlignment="1">
      <alignment horizontal="center" vertical="center"/>
    </xf>
    <xf numFmtId="4" fontId="33" fillId="0" borderId="120" xfId="0" applyNumberFormat="1" applyFont="1" applyBorder="1" applyAlignment="1">
      <alignment horizontal="center" vertical="center"/>
    </xf>
    <xf numFmtId="4" fontId="33" fillId="0" borderId="121" xfId="0" applyNumberFormat="1" applyFont="1" applyBorder="1" applyAlignment="1">
      <alignment horizontal="center" vertical="center"/>
    </xf>
    <xf numFmtId="4" fontId="33" fillId="0" borderId="47" xfId="0" applyNumberFormat="1" applyFont="1" applyBorder="1" applyAlignment="1">
      <alignment horizontal="center" vertical="center"/>
    </xf>
    <xf numFmtId="4" fontId="33" fillId="0" borderId="122" xfId="0" applyNumberFormat="1" applyFont="1" applyBorder="1" applyAlignment="1">
      <alignment horizontal="center" vertical="center"/>
    </xf>
    <xf numFmtId="4" fontId="33" fillId="0" borderId="123" xfId="0" applyNumberFormat="1" applyFont="1" applyBorder="1" applyAlignment="1">
      <alignment horizontal="center" vertical="center"/>
    </xf>
    <xf numFmtId="4" fontId="33" fillId="0" borderId="124" xfId="0" applyNumberFormat="1" applyFont="1" applyBorder="1" applyAlignment="1">
      <alignment horizontal="center" vertical="center"/>
    </xf>
    <xf numFmtId="0" fontId="35" fillId="4" borderId="5" xfId="0" applyFont="1" applyFill="1" applyBorder="1" applyAlignment="1">
      <alignment horizontal="center" vertical="center"/>
    </xf>
    <xf numFmtId="0" fontId="35" fillId="4" borderId="125" xfId="0" applyFont="1" applyFill="1" applyBorder="1" applyAlignment="1">
      <alignment horizontal="center" vertical="center"/>
    </xf>
    <xf numFmtId="4" fontId="34" fillId="4" borderId="19" xfId="0" applyNumberFormat="1" applyFont="1" applyFill="1" applyBorder="1" applyAlignment="1">
      <alignment horizontal="center" vertical="center"/>
    </xf>
    <xf numFmtId="4" fontId="33" fillId="0" borderId="109" xfId="0" applyNumberFormat="1" applyFont="1" applyBorder="1" applyAlignment="1">
      <alignment horizontal="center" vertical="center"/>
    </xf>
    <xf numFmtId="4" fontId="34" fillId="4" borderId="126" xfId="0" applyNumberFormat="1" applyFont="1" applyFill="1" applyBorder="1" applyAlignment="1">
      <alignment horizontal="center" vertical="center"/>
    </xf>
    <xf numFmtId="4" fontId="33" fillId="0" borderId="128" xfId="0" applyNumberFormat="1" applyFont="1" applyBorder="1" applyAlignment="1">
      <alignment horizontal="center" vertical="center"/>
    </xf>
    <xf numFmtId="4" fontId="33" fillId="0" borderId="127" xfId="0" applyNumberFormat="1" applyFont="1" applyBorder="1" applyAlignment="1">
      <alignment horizontal="center" vertical="center"/>
    </xf>
    <xf numFmtId="4" fontId="33" fillId="0" borderId="129" xfId="0" applyNumberFormat="1" applyFont="1" applyBorder="1" applyAlignment="1">
      <alignment horizontal="center" vertical="center"/>
    </xf>
    <xf numFmtId="4" fontId="33" fillId="0" borderId="131" xfId="0" applyNumberFormat="1" applyFont="1" applyBorder="1" applyAlignment="1">
      <alignment horizontal="center" vertical="center"/>
    </xf>
    <xf numFmtId="4" fontId="33" fillId="0" borderId="130" xfId="0" applyNumberFormat="1" applyFont="1" applyBorder="1" applyAlignment="1">
      <alignment horizontal="center" vertical="center"/>
    </xf>
    <xf numFmtId="4" fontId="33" fillId="0" borderId="132" xfId="0" applyNumberFormat="1" applyFont="1" applyBorder="1" applyAlignment="1">
      <alignment horizontal="center" vertical="center"/>
    </xf>
    <xf numFmtId="0" fontId="34" fillId="3" borderId="53" xfId="0" applyFont="1" applyFill="1" applyBorder="1" applyAlignment="1">
      <alignment horizontal="centerContinuous" vertical="center"/>
    </xf>
    <xf numFmtId="0" fontId="34" fillId="4" borderId="53" xfId="0" applyFont="1" applyFill="1" applyBorder="1" applyAlignment="1">
      <alignment horizontal="center" vertical="center"/>
    </xf>
    <xf numFmtId="4" fontId="33" fillId="0" borderId="20" xfId="0" applyNumberFormat="1" applyFont="1" applyBorder="1" applyAlignment="1">
      <alignment horizontal="center" vertical="center"/>
    </xf>
    <xf numFmtId="3" fontId="33" fillId="0" borderId="61" xfId="0" applyNumberFormat="1" applyFont="1" applyBorder="1" applyAlignment="1">
      <alignment horizontal="center" vertical="center"/>
    </xf>
    <xf numFmtId="0" fontId="41" fillId="0" borderId="0" xfId="4" applyFill="1" applyBorder="1" applyAlignment="1">
      <alignment horizontal="centerContinuous" vertical="center"/>
    </xf>
    <xf numFmtId="0" fontId="41" fillId="0" borderId="0" xfId="4"/>
    <xf numFmtId="0" fontId="41" fillId="0" borderId="48" xfId="4" applyFill="1" applyBorder="1" applyAlignment="1">
      <alignment horizontal="centerContinuous" vertical="center"/>
    </xf>
    <xf numFmtId="0" fontId="41" fillId="0" borderId="49" xfId="4" applyFill="1" applyBorder="1" applyAlignment="1">
      <alignment horizontal="centerContinuous" vertical="center"/>
    </xf>
    <xf numFmtId="4" fontId="41" fillId="0" borderId="54" xfId="4" applyNumberFormat="1" applyBorder="1" applyAlignment="1">
      <alignment horizontal="centerContinuous" vertical="center"/>
    </xf>
    <xf numFmtId="4" fontId="42" fillId="0" borderId="9" xfId="4" applyNumberFormat="1" applyFont="1" applyBorder="1" applyAlignment="1">
      <alignment horizontal="center" vertical="center"/>
    </xf>
    <xf numFmtId="4" fontId="42" fillId="0" borderId="11" xfId="4" applyNumberFormat="1" applyFont="1" applyBorder="1" applyAlignment="1">
      <alignment horizontal="center" vertical="center"/>
    </xf>
    <xf numFmtId="4" fontId="42" fillId="0" borderId="13" xfId="4" applyNumberFormat="1" applyFont="1" applyBorder="1" applyAlignment="1">
      <alignment horizontal="center" vertical="center"/>
    </xf>
    <xf numFmtId="0" fontId="41" fillId="0" borderId="0" xfId="4" applyFill="1" applyAlignment="1">
      <alignment horizontal="centerContinuous"/>
    </xf>
    <xf numFmtId="166" fontId="46" fillId="0" borderId="0" xfId="0" applyNumberFormat="1" applyFont="1" applyAlignment="1">
      <alignment horizontal="left"/>
    </xf>
    <xf numFmtId="0" fontId="0" fillId="0" borderId="0" xfId="0"/>
    <xf numFmtId="0" fontId="34" fillId="3" borderId="4" xfId="6" applyFont="1" applyFill="1" applyBorder="1" applyAlignment="1">
      <alignment horizontal="centerContinuous" vertical="center"/>
    </xf>
    <xf numFmtId="0" fontId="34" fillId="3" borderId="6" xfId="6" applyFont="1" applyFill="1" applyBorder="1" applyAlignment="1">
      <alignment horizontal="centerContinuous" vertical="center"/>
    </xf>
    <xf numFmtId="4" fontId="45" fillId="0" borderId="11" xfId="6" applyNumberFormat="1" applyFont="1" applyBorder="1" applyAlignment="1">
      <alignment horizontal="center" vertical="center"/>
    </xf>
    <xf numFmtId="4" fontId="45" fillId="0" borderId="16" xfId="6" applyNumberFormat="1" applyFont="1" applyBorder="1" applyAlignment="1">
      <alignment horizontal="center" vertical="center"/>
    </xf>
    <xf numFmtId="4" fontId="45" fillId="0" borderId="13" xfId="6" applyNumberFormat="1" applyFont="1" applyBorder="1" applyAlignment="1">
      <alignment horizontal="center" vertical="center"/>
    </xf>
    <xf numFmtId="4" fontId="45" fillId="0" borderId="17" xfId="6" applyNumberFormat="1" applyFont="1" applyBorder="1" applyAlignment="1">
      <alignment horizontal="center" vertical="center"/>
    </xf>
    <xf numFmtId="166" fontId="45" fillId="0" borderId="16" xfId="6" applyNumberFormat="1" applyFont="1" applyBorder="1" applyAlignment="1">
      <alignment horizontal="right" vertical="center"/>
    </xf>
    <xf numFmtId="166" fontId="45" fillId="0" borderId="17" xfId="6" applyNumberFormat="1" applyFont="1" applyBorder="1" applyAlignment="1">
      <alignment horizontal="right" vertical="center"/>
    </xf>
    <xf numFmtId="3" fontId="45" fillId="0" borderId="16" xfId="6" applyNumberFormat="1" applyFont="1" applyBorder="1" applyAlignment="1">
      <alignment horizontal="right" vertical="center"/>
    </xf>
    <xf numFmtId="3" fontId="45" fillId="0" borderId="17" xfId="6" applyNumberFormat="1" applyFont="1" applyBorder="1" applyAlignment="1">
      <alignment horizontal="right" vertical="center"/>
    </xf>
    <xf numFmtId="0" fontId="34" fillId="3" borderId="54" xfId="0" applyFont="1" applyFill="1" applyBorder="1" applyAlignment="1">
      <alignment horizontal="centerContinuous" vertical="center"/>
    </xf>
    <xf numFmtId="0" fontId="35" fillId="3" borderId="49" xfId="0" applyFont="1" applyFill="1" applyBorder="1" applyAlignment="1">
      <alignment horizontal="centerContinuous" vertical="center"/>
    </xf>
    <xf numFmtId="179" fontId="33" fillId="0" borderId="48" xfId="0" applyNumberFormat="1" applyFont="1" applyBorder="1" applyAlignment="1">
      <alignment horizontal="center"/>
    </xf>
    <xf numFmtId="179" fontId="33" fillId="0" borderId="86" xfId="0" applyNumberFormat="1" applyFont="1" applyBorder="1" applyAlignment="1">
      <alignment horizontal="center"/>
    </xf>
    <xf numFmtId="4" fontId="33" fillId="0" borderId="13" xfId="0" applyNumberFormat="1" applyFont="1" applyFill="1" applyBorder="1" applyAlignment="1">
      <alignment horizontal="center" vertical="center"/>
    </xf>
    <xf numFmtId="0" fontId="33" fillId="0" borderId="14" xfId="0" applyNumberFormat="1" applyFont="1" applyBorder="1" applyAlignment="1">
      <alignment horizontal="center" vertical="center"/>
    </xf>
    <xf numFmtId="178" fontId="33" fillId="0" borderId="12" xfId="0" applyNumberFormat="1" applyFont="1" applyBorder="1" applyAlignment="1">
      <alignment horizontal="center" vertical="center"/>
    </xf>
    <xf numFmtId="178" fontId="33" fillId="0" borderId="14" xfId="0" applyNumberFormat="1" applyFont="1" applyBorder="1" applyAlignment="1">
      <alignment horizontal="center" vertical="center"/>
    </xf>
    <xf numFmtId="0" fontId="33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3" fillId="7" borderId="27" xfId="0" applyFont="1" applyFill="1" applyBorder="1" applyAlignment="1">
      <alignment horizontal="centerContinuous"/>
    </xf>
    <xf numFmtId="0" fontId="23" fillId="7" borderId="60" xfId="0" applyFont="1" applyFill="1" applyBorder="1" applyAlignment="1">
      <alignment horizontal="centerContinuous"/>
    </xf>
    <xf numFmtId="0" fontId="23" fillId="7" borderId="46" xfId="0" applyFont="1" applyFill="1" applyBorder="1" applyAlignment="1">
      <alignment horizontal="centerContinuous"/>
    </xf>
    <xf numFmtId="0" fontId="23" fillId="7" borderId="133" xfId="0" applyFont="1" applyFill="1" applyBorder="1" applyAlignment="1">
      <alignment horizontal="centerContinuous"/>
    </xf>
    <xf numFmtId="0" fontId="49" fillId="0" borderId="0" xfId="0" applyFont="1"/>
    <xf numFmtId="0" fontId="50" fillId="0" borderId="0" xfId="0" applyFont="1"/>
    <xf numFmtId="0" fontId="0" fillId="0" borderId="0" xfId="0"/>
    <xf numFmtId="9" fontId="0" fillId="0" borderId="0" xfId="0" applyNumberFormat="1"/>
    <xf numFmtId="4" fontId="38" fillId="8" borderId="9" xfId="6" applyNumberFormat="1" applyFont="1" applyFill="1" applyBorder="1" applyAlignment="1">
      <alignment horizontal="center" vertical="center"/>
    </xf>
    <xf numFmtId="4" fontId="38" fillId="8" borderId="11" xfId="6" applyNumberFormat="1" applyFont="1" applyFill="1" applyBorder="1" applyAlignment="1">
      <alignment horizontal="center" vertical="center"/>
    </xf>
    <xf numFmtId="4" fontId="38" fillId="8" borderId="13" xfId="6" applyNumberFormat="1" applyFont="1" applyFill="1" applyBorder="1" applyAlignment="1">
      <alignment horizontal="center" vertical="center"/>
    </xf>
    <xf numFmtId="4" fontId="33" fillId="0" borderId="21" xfId="0" applyNumberFormat="1" applyFont="1" applyBorder="1" applyAlignment="1">
      <alignment horizontal="center" vertical="center"/>
    </xf>
    <xf numFmtId="0" fontId="7" fillId="0" borderId="0" xfId="0" applyFont="1"/>
    <xf numFmtId="10" fontId="33" fillId="0" borderId="0" xfId="0" applyNumberFormat="1" applyFont="1" applyAlignment="1">
      <alignment horizontal="center"/>
    </xf>
    <xf numFmtId="0" fontId="33" fillId="0" borderId="0" xfId="0" applyFont="1" applyAlignment="1">
      <alignment horizontal="center"/>
    </xf>
    <xf numFmtId="0" fontId="52" fillId="0" borderId="0" xfId="0" applyFont="1"/>
    <xf numFmtId="166" fontId="34" fillId="4" borderId="21" xfId="0" applyNumberFormat="1" applyFont="1" applyFill="1" applyBorder="1" applyAlignment="1">
      <alignment horizontal="center" vertical="center"/>
    </xf>
    <xf numFmtId="0" fontId="53" fillId="0" borderId="0" xfId="0" applyFont="1"/>
    <xf numFmtId="169" fontId="33" fillId="0" borderId="80" xfId="0" applyNumberFormat="1" applyFont="1" applyBorder="1" applyAlignment="1">
      <alignment horizontal="center" vertical="center"/>
    </xf>
    <xf numFmtId="169" fontId="33" fillId="0" borderId="81" xfId="0" applyNumberFormat="1" applyFont="1" applyBorder="1" applyAlignment="1">
      <alignment horizontal="center" vertical="center"/>
    </xf>
    <xf numFmtId="169" fontId="33" fillId="0" borderId="82" xfId="0" applyNumberFormat="1" applyFont="1" applyBorder="1" applyAlignment="1">
      <alignment horizontal="center" vertical="center"/>
    </xf>
    <xf numFmtId="0" fontId="34" fillId="3" borderId="19" xfId="0" applyFont="1" applyFill="1" applyBorder="1" applyAlignment="1">
      <alignment horizontal="centerContinuous" vertical="center"/>
    </xf>
    <xf numFmtId="4" fontId="33" fillId="0" borderId="0" xfId="0" applyNumberFormat="1" applyFont="1" applyAlignment="1">
      <alignment horizontal="center" vertical="center"/>
    </xf>
    <xf numFmtId="4" fontId="33" fillId="0" borderId="9" xfId="0" applyNumberFormat="1" applyFont="1" applyBorder="1" applyAlignment="1">
      <alignment horizontal="centerContinuous" vertical="center"/>
    </xf>
    <xf numFmtId="4" fontId="33" fillId="0" borderId="11" xfId="0" applyNumberFormat="1" applyFont="1" applyBorder="1" applyAlignment="1">
      <alignment horizontal="centerContinuous" vertical="center"/>
    </xf>
    <xf numFmtId="4" fontId="33" fillId="0" borderId="13" xfId="0" applyNumberFormat="1" applyFont="1" applyBorder="1" applyAlignment="1">
      <alignment horizontal="centerContinuous" vertical="center"/>
    </xf>
    <xf numFmtId="4" fontId="33" fillId="0" borderId="20" xfId="0" applyNumberFormat="1" applyFont="1" applyBorder="1" applyAlignment="1">
      <alignment horizontal="centerContinuous" vertical="center"/>
    </xf>
    <xf numFmtId="4" fontId="33" fillId="0" borderId="95" xfId="0" applyNumberFormat="1" applyFont="1" applyBorder="1" applyAlignment="1">
      <alignment horizontal="centerContinuous" vertical="center"/>
    </xf>
    <xf numFmtId="4" fontId="33" fillId="0" borderId="21" xfId="0" applyNumberFormat="1" applyFont="1" applyBorder="1" applyAlignment="1">
      <alignment horizontal="centerContinuous" vertical="center"/>
    </xf>
    <xf numFmtId="4" fontId="33" fillId="0" borderId="31" xfId="0" applyNumberFormat="1" applyFont="1" applyBorder="1" applyAlignment="1">
      <alignment horizontal="centerContinuous" vertical="center"/>
    </xf>
    <xf numFmtId="179" fontId="33" fillId="0" borderId="10" xfId="0" applyNumberFormat="1" applyFont="1" applyBorder="1" applyAlignment="1">
      <alignment horizontal="center" vertical="center"/>
    </xf>
    <xf numFmtId="167" fontId="33" fillId="0" borderId="10" xfId="0" applyNumberFormat="1" applyFont="1" applyBorder="1" applyAlignment="1">
      <alignment horizontal="center" vertical="center"/>
    </xf>
    <xf numFmtId="167" fontId="33" fillId="0" borderId="12" xfId="0" applyNumberFormat="1" applyFont="1" applyBorder="1" applyAlignment="1">
      <alignment horizontal="center" vertical="center"/>
    </xf>
    <xf numFmtId="180" fontId="0" fillId="0" borderId="0" xfId="0" applyNumberFormat="1"/>
    <xf numFmtId="0" fontId="34" fillId="3" borderId="93" xfId="0" applyFont="1" applyFill="1" applyBorder="1" applyAlignment="1">
      <alignment horizontal="centerContinuous" vertical="center"/>
    </xf>
    <xf numFmtId="0" fontId="34" fillId="3" borderId="134" xfId="0" applyFont="1" applyFill="1" applyBorder="1" applyAlignment="1">
      <alignment horizontal="centerContinuous" vertical="center"/>
    </xf>
    <xf numFmtId="0" fontId="34" fillId="3" borderId="110" xfId="0" applyFont="1" applyFill="1" applyBorder="1" applyAlignment="1">
      <alignment horizontal="centerContinuous" vertical="center"/>
    </xf>
    <xf numFmtId="169" fontId="45" fillId="0" borderId="9" xfId="0" applyNumberFormat="1" applyFont="1" applyFill="1" applyBorder="1" applyAlignment="1">
      <alignment horizontal="center" vertical="center"/>
    </xf>
    <xf numFmtId="169" fontId="45" fillId="0" borderId="15" xfId="0" applyNumberFormat="1" applyFont="1" applyFill="1" applyBorder="1" applyAlignment="1">
      <alignment horizontal="center" vertical="center"/>
    </xf>
    <xf numFmtId="169" fontId="45" fillId="0" borderId="10" xfId="0" applyNumberFormat="1" applyFont="1" applyFill="1" applyBorder="1" applyAlignment="1">
      <alignment horizontal="center" vertical="center"/>
    </xf>
    <xf numFmtId="169" fontId="45" fillId="0" borderId="11" xfId="0" applyNumberFormat="1" applyFont="1" applyFill="1" applyBorder="1" applyAlignment="1">
      <alignment horizontal="center" vertical="center"/>
    </xf>
    <xf numFmtId="169" fontId="45" fillId="0" borderId="16" xfId="0" applyNumberFormat="1" applyFont="1" applyFill="1" applyBorder="1" applyAlignment="1">
      <alignment horizontal="center" vertical="center"/>
    </xf>
    <xf numFmtId="169" fontId="45" fillId="0" borderId="12" xfId="0" applyNumberFormat="1" applyFont="1" applyFill="1" applyBorder="1" applyAlignment="1">
      <alignment horizontal="center" vertical="center"/>
    </xf>
    <xf numFmtId="169" fontId="45" fillId="0" borderId="13" xfId="0" applyNumberFormat="1" applyFont="1" applyFill="1" applyBorder="1" applyAlignment="1">
      <alignment horizontal="center" vertical="center"/>
    </xf>
    <xf numFmtId="169" fontId="45" fillId="0" borderId="17" xfId="0" applyNumberFormat="1" applyFont="1" applyFill="1" applyBorder="1" applyAlignment="1">
      <alignment horizontal="center" vertical="center"/>
    </xf>
    <xf numFmtId="169" fontId="45" fillId="0" borderId="14" xfId="0" applyNumberFormat="1" applyFont="1" applyFill="1" applyBorder="1" applyAlignment="1">
      <alignment horizontal="center" vertical="center"/>
    </xf>
    <xf numFmtId="0" fontId="55" fillId="0" borderId="0" xfId="0" applyFont="1"/>
    <xf numFmtId="0" fontId="41" fillId="0" borderId="0" xfId="4" applyAlignment="1">
      <alignment horizontal="center"/>
    </xf>
    <xf numFmtId="0" fontId="56" fillId="0" borderId="0" xfId="0" applyFont="1"/>
    <xf numFmtId="4" fontId="41" fillId="0" borderId="11" xfId="4" applyNumberFormat="1" applyBorder="1" applyAlignment="1">
      <alignment horizontal="center" vertical="center"/>
    </xf>
    <xf numFmtId="4" fontId="41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3" fillId="0" borderId="32" xfId="0" applyNumberFormat="1" applyFont="1" applyBorder="1" applyAlignment="1">
      <alignment horizontal="center" vertical="center"/>
    </xf>
    <xf numFmtId="4" fontId="33" fillId="0" borderId="135" xfId="0" applyNumberFormat="1" applyFont="1" applyBorder="1" applyAlignment="1">
      <alignment horizontal="center" vertical="center"/>
    </xf>
    <xf numFmtId="169" fontId="33" fillId="0" borderId="34" xfId="0" applyNumberFormat="1" applyFont="1" applyBorder="1" applyAlignment="1">
      <alignment horizontal="center" vertical="center"/>
    </xf>
    <xf numFmtId="2" fontId="33" fillId="0" borderId="136" xfId="0" applyNumberFormat="1" applyFont="1" applyBorder="1" applyAlignment="1">
      <alignment horizontal="center" vertical="center"/>
    </xf>
    <xf numFmtId="169" fontId="33" fillId="0" borderId="59" xfId="0" applyNumberFormat="1" applyFont="1" applyBorder="1" applyAlignment="1">
      <alignment horizontal="center" vertical="center"/>
    </xf>
    <xf numFmtId="169" fontId="33" fillId="0" borderId="79" xfId="0" applyNumberFormat="1" applyFont="1" applyBorder="1" applyAlignment="1">
      <alignment horizontal="center" vertical="center"/>
    </xf>
    <xf numFmtId="169" fontId="33" fillId="0" borderId="16" xfId="0" applyNumberFormat="1" applyFont="1" applyBorder="1" applyAlignment="1">
      <alignment horizontal="center" vertical="center"/>
    </xf>
    <xf numFmtId="169" fontId="33" fillId="0" borderId="12" xfId="0" applyNumberFormat="1" applyFont="1" applyBorder="1" applyAlignment="1">
      <alignment horizontal="center" vertical="center"/>
    </xf>
    <xf numFmtId="169" fontId="33" fillId="0" borderId="17" xfId="0" applyNumberFormat="1" applyFont="1" applyBorder="1" applyAlignment="1">
      <alignment horizontal="center" vertical="center"/>
    </xf>
    <xf numFmtId="169" fontId="33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6" fillId="0" borderId="14" xfId="0" applyNumberFormat="1" applyFont="1" applyBorder="1" applyAlignment="1">
      <alignment horizontal="center" vertical="center"/>
    </xf>
    <xf numFmtId="181" fontId="6" fillId="0" borderId="0" xfId="0" applyNumberFormat="1" applyFont="1" applyFill="1" applyBorder="1" applyAlignment="1">
      <alignment horizontal="right" vertical="center"/>
    </xf>
    <xf numFmtId="166" fontId="6" fillId="0" borderId="11" xfId="0" applyNumberFormat="1" applyFont="1" applyBorder="1" applyAlignment="1">
      <alignment horizontal="right" vertical="center"/>
    </xf>
    <xf numFmtId="166" fontId="6" fillId="0" borderId="13" xfId="0" applyNumberFormat="1" applyFont="1" applyBorder="1" applyAlignment="1">
      <alignment horizontal="right" vertical="center"/>
    </xf>
    <xf numFmtId="4" fontId="6" fillId="0" borderId="16" xfId="0" applyNumberFormat="1" applyFont="1" applyBorder="1" applyAlignment="1">
      <alignment horizontal="center" vertical="center"/>
    </xf>
    <xf numFmtId="4" fontId="6" fillId="0" borderId="15" xfId="0" applyNumberFormat="1" applyFont="1" applyBorder="1" applyAlignment="1">
      <alignment horizontal="center" vertical="center"/>
    </xf>
    <xf numFmtId="4" fontId="6" fillId="0" borderId="17" xfId="0" applyNumberFormat="1" applyFont="1" applyBorder="1" applyAlignment="1">
      <alignment horizontal="center" vertical="center"/>
    </xf>
    <xf numFmtId="4" fontId="25" fillId="4" borderId="32" xfId="0" applyNumberFormat="1" applyFont="1" applyFill="1" applyBorder="1" applyAlignment="1">
      <alignment horizontal="center" vertical="center"/>
    </xf>
    <xf numFmtId="4" fontId="25" fillId="4" borderId="33" xfId="0" applyNumberFormat="1" applyFont="1" applyFill="1" applyBorder="1" applyAlignment="1">
      <alignment horizontal="center" vertical="center"/>
    </xf>
    <xf numFmtId="4" fontId="6" fillId="0" borderId="10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0" fontId="6" fillId="0" borderId="15" xfId="0" applyNumberFormat="1" applyFont="1" applyBorder="1" applyAlignment="1">
      <alignment horizontal="right" vertical="center"/>
    </xf>
    <xf numFmtId="10" fontId="6" fillId="0" borderId="16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66" fontId="6" fillId="0" borderId="9" xfId="0" applyNumberFormat="1" applyFont="1" applyBorder="1" applyAlignment="1">
      <alignment horizontal="right" vertical="center"/>
    </xf>
    <xf numFmtId="166" fontId="6" fillId="0" borderId="15" xfId="0" applyNumberFormat="1" applyFont="1" applyBorder="1" applyAlignment="1">
      <alignment horizontal="right" vertical="center"/>
    </xf>
    <xf numFmtId="166" fontId="6" fillId="0" borderId="16" xfId="0" applyNumberFormat="1" applyFont="1" applyBorder="1" applyAlignment="1">
      <alignment horizontal="right" vertical="center"/>
    </xf>
    <xf numFmtId="166" fontId="6" fillId="0" borderId="17" xfId="0" applyNumberFormat="1" applyFont="1" applyBorder="1" applyAlignment="1">
      <alignment horizontal="right" vertical="center"/>
    </xf>
    <xf numFmtId="167" fontId="6" fillId="0" borderId="15" xfId="0" applyNumberFormat="1" applyFont="1" applyBorder="1" applyAlignment="1">
      <alignment horizontal="right" vertical="center"/>
    </xf>
    <xf numFmtId="167" fontId="6" fillId="0" borderId="16" xfId="0" applyNumberFormat="1" applyFont="1" applyBorder="1" applyAlignment="1">
      <alignment horizontal="right" vertical="center"/>
    </xf>
    <xf numFmtId="167" fontId="6" fillId="0" borderId="17" xfId="0" applyNumberFormat="1" applyFont="1" applyBorder="1" applyAlignment="1">
      <alignment horizontal="right" vertical="center"/>
    </xf>
    <xf numFmtId="166" fontId="5" fillId="0" borderId="11" xfId="0" applyNumberFormat="1" applyFont="1" applyBorder="1" applyAlignment="1">
      <alignment horizontal="right" vertical="center"/>
    </xf>
    <xf numFmtId="166" fontId="5" fillId="0" borderId="13" xfId="0" applyNumberFormat="1" applyFont="1" applyBorder="1" applyAlignment="1">
      <alignment horizontal="right" vertical="center"/>
    </xf>
    <xf numFmtId="4" fontId="5" fillId="0" borderId="16" xfId="0" applyNumberFormat="1" applyFont="1" applyBorder="1" applyAlignment="1">
      <alignment horizontal="center" vertical="center"/>
    </xf>
    <xf numFmtId="4" fontId="5" fillId="0" borderId="15" xfId="0" applyNumberFormat="1" applyFont="1" applyBorder="1" applyAlignment="1">
      <alignment horizontal="center" vertical="center"/>
    </xf>
    <xf numFmtId="4" fontId="5" fillId="0" borderId="17" xfId="0" applyNumberFormat="1" applyFont="1" applyBorder="1" applyAlignment="1">
      <alignment horizontal="center" vertical="center"/>
    </xf>
    <xf numFmtId="4" fontId="5" fillId="0" borderId="10" xfId="0" applyNumberFormat="1" applyFont="1" applyBorder="1" applyAlignment="1">
      <alignment horizontal="center" vertical="center"/>
    </xf>
    <xf numFmtId="4" fontId="5" fillId="0" borderId="12" xfId="0" applyNumberFormat="1" applyFont="1" applyBorder="1" applyAlignment="1">
      <alignment horizontal="center" vertical="center"/>
    </xf>
    <xf numFmtId="4" fontId="5" fillId="0" borderId="14" xfId="0" applyNumberFormat="1" applyFont="1" applyBorder="1" applyAlignment="1">
      <alignment horizontal="center" vertical="center"/>
    </xf>
    <xf numFmtId="10" fontId="5" fillId="0" borderId="15" xfId="0" applyNumberFormat="1" applyFont="1" applyBorder="1" applyAlignment="1">
      <alignment horizontal="right" vertical="center"/>
    </xf>
    <xf numFmtId="10" fontId="5" fillId="0" borderId="16" xfId="0" applyNumberFormat="1" applyFont="1" applyBorder="1" applyAlignment="1">
      <alignment horizontal="right" vertical="center"/>
    </xf>
    <xf numFmtId="10" fontId="5" fillId="0" borderId="17" xfId="0" applyNumberFormat="1" applyFont="1" applyBorder="1" applyAlignment="1">
      <alignment horizontal="right" vertical="center"/>
    </xf>
    <xf numFmtId="166" fontId="5" fillId="0" borderId="9" xfId="0" applyNumberFormat="1" applyFont="1" applyBorder="1" applyAlignment="1">
      <alignment horizontal="right" vertical="center"/>
    </xf>
    <xf numFmtId="4" fontId="25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3" fillId="0" borderId="48" xfId="0" applyNumberFormat="1" applyFont="1" applyBorder="1" applyAlignment="1">
      <alignment horizontal="center"/>
    </xf>
    <xf numFmtId="167" fontId="33" fillId="0" borderId="86" xfId="0" applyNumberFormat="1" applyFont="1" applyBorder="1" applyAlignment="1">
      <alignment horizontal="center"/>
    </xf>
    <xf numFmtId="166" fontId="33" fillId="0" borderId="48" xfId="0" applyNumberFormat="1" applyFont="1" applyBorder="1" applyAlignment="1">
      <alignment horizontal="centerContinuous"/>
    </xf>
    <xf numFmtId="166" fontId="33" fillId="0" borderId="86" xfId="0" applyNumberFormat="1" applyFont="1" applyBorder="1" applyAlignment="1">
      <alignment horizontal="centerContinuous"/>
    </xf>
    <xf numFmtId="4" fontId="33" fillId="0" borderId="137" xfId="0" applyNumberFormat="1" applyFont="1" applyBorder="1" applyAlignment="1">
      <alignment horizontal="centerContinuous" vertical="center"/>
    </xf>
    <xf numFmtId="4" fontId="33" fillId="0" borderId="138" xfId="0" applyNumberFormat="1" applyFont="1" applyBorder="1" applyAlignment="1">
      <alignment horizontal="centerContinuous" vertical="center"/>
    </xf>
    <xf numFmtId="4" fontId="33" fillId="0" borderId="139" xfId="0" applyNumberFormat="1" applyFont="1" applyBorder="1" applyAlignment="1">
      <alignment horizontal="centerContinuous" vertical="center"/>
    </xf>
    <xf numFmtId="166" fontId="33" fillId="0" borderId="65" xfId="0" applyNumberFormat="1" applyFont="1" applyBorder="1" applyAlignment="1">
      <alignment horizontal="centerContinuous" vertical="center"/>
    </xf>
    <xf numFmtId="166" fontId="33" fillId="0" borderId="86" xfId="0" applyNumberFormat="1" applyFont="1" applyBorder="1" applyAlignment="1">
      <alignment horizontal="centerContinuous" vertical="center"/>
    </xf>
    <xf numFmtId="166" fontId="33" fillId="0" borderId="67" xfId="0" applyNumberFormat="1" applyFont="1" applyBorder="1" applyAlignment="1">
      <alignment horizontal="centerContinuous" vertical="center"/>
    </xf>
    <xf numFmtId="166" fontId="33" fillId="0" borderId="49" xfId="0" applyNumberFormat="1" applyFont="1" applyBorder="1" applyAlignment="1">
      <alignment horizontal="centerContinuous" vertical="center"/>
    </xf>
    <xf numFmtId="4" fontId="33" fillId="0" borderId="108" xfId="0" applyNumberFormat="1" applyFont="1" applyBorder="1" applyAlignment="1">
      <alignment horizontal="centerContinuous" vertical="center"/>
    </xf>
    <xf numFmtId="4" fontId="33" fillId="0" borderId="133" xfId="0" applyNumberFormat="1" applyFont="1" applyBorder="1" applyAlignment="1">
      <alignment horizontal="centerContinuous" vertical="center"/>
    </xf>
    <xf numFmtId="4" fontId="33" fillId="0" borderId="140" xfId="0" applyNumberFormat="1" applyFont="1" applyBorder="1" applyAlignment="1">
      <alignment horizontal="centerContinuous" vertical="center"/>
    </xf>
    <xf numFmtId="4" fontId="33" fillId="0" borderId="65" xfId="0" applyNumberFormat="1" applyFont="1" applyBorder="1" applyAlignment="1">
      <alignment horizontal="centerContinuous" vertical="center"/>
    </xf>
    <xf numFmtId="4" fontId="33" fillId="0" borderId="141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3" fillId="0" borderId="142" xfId="0" applyNumberFormat="1" applyFont="1" applyBorder="1" applyAlignment="1">
      <alignment horizontal="centerContinuous" vertical="center"/>
    </xf>
    <xf numFmtId="166" fontId="33" fillId="0" borderId="0" xfId="0" applyNumberFormat="1" applyFont="1"/>
    <xf numFmtId="166" fontId="8" fillId="0" borderId="143" xfId="0" applyNumberFormat="1" applyFont="1" applyBorder="1" applyAlignment="1">
      <alignment horizontal="center" vertical="center"/>
    </xf>
    <xf numFmtId="166" fontId="8" fillId="0" borderId="144" xfId="0" applyNumberFormat="1" applyFont="1" applyBorder="1" applyAlignment="1">
      <alignment horizontal="center" vertical="center"/>
    </xf>
    <xf numFmtId="166" fontId="8" fillId="0" borderId="145" xfId="0" applyNumberFormat="1" applyFont="1" applyBorder="1" applyAlignment="1">
      <alignment horizontal="center" vertical="center"/>
    </xf>
    <xf numFmtId="166" fontId="8" fillId="0" borderId="146" xfId="0" applyNumberFormat="1" applyFont="1" applyBorder="1" applyAlignment="1">
      <alignment horizontal="center" vertical="center"/>
    </xf>
    <xf numFmtId="0" fontId="25" fillId="4" borderId="147" xfId="0" applyFont="1" applyFill="1" applyBorder="1" applyAlignment="1">
      <alignment horizontal="center" vertical="center"/>
    </xf>
    <xf numFmtId="0" fontId="25" fillId="4" borderId="148" xfId="0" applyFont="1" applyFill="1" applyBorder="1" applyAlignment="1">
      <alignment horizontal="center" vertical="center"/>
    </xf>
    <xf numFmtId="4" fontId="33" fillId="0" borderId="149" xfId="0" applyNumberFormat="1" applyFont="1" applyBorder="1" applyAlignment="1">
      <alignment horizontal="center" vertical="center"/>
    </xf>
    <xf numFmtId="2" fontId="33" fillId="0" borderId="48" xfId="0" applyNumberFormat="1" applyFont="1" applyBorder="1" applyAlignment="1">
      <alignment horizontal="centerContinuous"/>
    </xf>
    <xf numFmtId="2" fontId="33" fillId="0" borderId="86" xfId="0" applyNumberFormat="1" applyFont="1" applyBorder="1" applyAlignment="1">
      <alignment horizontal="centerContinuous"/>
    </xf>
    <xf numFmtId="0" fontId="34" fillId="4" borderId="54" xfId="0" applyFont="1" applyFill="1" applyBorder="1" applyAlignment="1">
      <alignment horizontal="centerContinuous" vertical="center"/>
    </xf>
    <xf numFmtId="0" fontId="34" fillId="4" borderId="150" xfId="0" applyFont="1" applyFill="1" applyBorder="1" applyAlignment="1">
      <alignment horizontal="centerContinuous" vertical="center"/>
    </xf>
    <xf numFmtId="182" fontId="0" fillId="0" borderId="27" xfId="0" applyNumberFormat="1" applyBorder="1" applyAlignment="1">
      <alignment horizontal="center"/>
    </xf>
    <xf numFmtId="182" fontId="0" fillId="0" borderId="28" xfId="0" applyNumberFormat="1" applyBorder="1" applyAlignment="1">
      <alignment horizontal="center"/>
    </xf>
    <xf numFmtId="182" fontId="0" fillId="0" borderId="46" xfId="0" applyNumberFormat="1" applyBorder="1" applyAlignment="1">
      <alignment horizontal="center"/>
    </xf>
    <xf numFmtId="182" fontId="0" fillId="0" borderId="47" xfId="0" applyNumberFormat="1" applyBorder="1" applyAlignment="1">
      <alignment horizontal="center"/>
    </xf>
    <xf numFmtId="182" fontId="0" fillId="0" borderId="60" xfId="0" applyNumberFormat="1" applyBorder="1" applyAlignment="1">
      <alignment horizontal="center"/>
    </xf>
    <xf numFmtId="182" fontId="0" fillId="0" borderId="133" xfId="0" applyNumberFormat="1" applyBorder="1" applyAlignment="1">
      <alignment horizontal="center"/>
    </xf>
    <xf numFmtId="4" fontId="33" fillId="0" borderId="151" xfId="0" applyNumberFormat="1" applyFont="1" applyBorder="1" applyAlignment="1">
      <alignment horizontal="centerContinuous" vertical="center"/>
    </xf>
    <xf numFmtId="4" fontId="33" fillId="0" borderId="66" xfId="0" applyNumberFormat="1" applyFont="1" applyBorder="1" applyAlignment="1">
      <alignment horizontal="centerContinuous" vertical="center"/>
    </xf>
    <xf numFmtId="9" fontId="33" fillId="0" borderId="10" xfId="0" applyNumberFormat="1" applyFont="1" applyBorder="1" applyAlignment="1">
      <alignment horizontal="center" vertical="center"/>
    </xf>
    <xf numFmtId="9" fontId="33" fillId="0" borderId="12" xfId="0" applyNumberFormat="1" applyFont="1" applyBorder="1" applyAlignment="1">
      <alignment horizontal="center" vertical="center"/>
    </xf>
    <xf numFmtId="4" fontId="41" fillId="0" borderId="101" xfId="4" applyNumberFormat="1" applyBorder="1" applyAlignment="1">
      <alignment horizontal="center" vertical="center"/>
    </xf>
    <xf numFmtId="174" fontId="33" fillId="0" borderId="14" xfId="0" applyNumberFormat="1" applyFont="1" applyBorder="1" applyAlignment="1">
      <alignment horizontal="center" vertical="center"/>
    </xf>
    <xf numFmtId="175" fontId="33" fillId="0" borderId="10" xfId="0" applyNumberFormat="1" applyFont="1" applyBorder="1" applyAlignment="1">
      <alignment horizontal="center" vertical="center"/>
    </xf>
    <xf numFmtId="175" fontId="33" fillId="0" borderId="12" xfId="0" applyNumberFormat="1" applyFont="1" applyBorder="1" applyAlignment="1">
      <alignment horizontal="center" vertical="center"/>
    </xf>
    <xf numFmtId="175" fontId="33" fillId="0" borderId="14" xfId="0" applyNumberFormat="1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174" fontId="33" fillId="0" borderId="13" xfId="0" applyNumberFormat="1" applyFont="1" applyBorder="1" applyAlignment="1">
      <alignment horizontal="center" vertical="center"/>
    </xf>
    <xf numFmtId="0" fontId="34" fillId="3" borderId="48" xfId="0" applyFont="1" applyFill="1" applyBorder="1" applyAlignment="1">
      <alignment horizontal="centerContinuous" vertical="center"/>
    </xf>
    <xf numFmtId="0" fontId="34" fillId="3" borderId="152" xfId="0" applyFont="1" applyFill="1" applyBorder="1" applyAlignment="1">
      <alignment horizontal="centerContinuous" vertical="center"/>
    </xf>
    <xf numFmtId="0" fontId="34" fillId="3" borderId="150" xfId="0" applyFont="1" applyFill="1" applyBorder="1" applyAlignment="1">
      <alignment horizontal="centerContinuous" vertical="center"/>
    </xf>
    <xf numFmtId="0" fontId="34" fillId="3" borderId="86" xfId="0" applyFont="1" applyFill="1" applyBorder="1" applyAlignment="1">
      <alignment horizontal="centerContinuous" vertical="center"/>
    </xf>
    <xf numFmtId="174" fontId="33" fillId="0" borderId="13" xfId="0" applyNumberFormat="1" applyFont="1" applyBorder="1" applyAlignment="1">
      <alignment horizontal="centerContinuous" vertical="center"/>
    </xf>
    <xf numFmtId="174" fontId="33" fillId="0" borderId="139" xfId="0" applyNumberFormat="1" applyFont="1" applyBorder="1" applyAlignment="1">
      <alignment horizontal="centerContinuous" vertical="center"/>
    </xf>
    <xf numFmtId="174" fontId="33" fillId="0" borderId="153" xfId="0" applyNumberFormat="1" applyFont="1" applyBorder="1" applyAlignment="1">
      <alignment horizontal="centerContinuous" vertical="center"/>
    </xf>
    <xf numFmtId="174" fontId="33" fillId="0" borderId="154" xfId="0" applyNumberFormat="1" applyFont="1" applyBorder="1" applyAlignment="1">
      <alignment horizontal="centerContinuous" vertical="center"/>
    </xf>
    <xf numFmtId="4" fontId="33" fillId="0" borderId="19" xfId="0" applyNumberFormat="1" applyFont="1" applyBorder="1" applyAlignment="1">
      <alignment horizontal="center" vertical="center"/>
    </xf>
    <xf numFmtId="0" fontId="59" fillId="0" borderId="0" xfId="0" applyFont="1" applyBorder="1"/>
    <xf numFmtId="0" fontId="59" fillId="0" borderId="0" xfId="0" applyFont="1"/>
    <xf numFmtId="0" fontId="0" fillId="0" borderId="0" xfId="0" applyBorder="1" applyAlignment="1">
      <alignment horizontal="left"/>
    </xf>
    <xf numFmtId="0" fontId="61" fillId="0" borderId="0" xfId="0" applyFont="1" applyFill="1" applyBorder="1" applyAlignment="1">
      <alignment horizontal="left" vertical="center"/>
    </xf>
    <xf numFmtId="0" fontId="41" fillId="0" borderId="0" xfId="4" applyFill="1" applyAlignment="1">
      <alignment horizontal="center"/>
    </xf>
    <xf numFmtId="4" fontId="41" fillId="0" borderId="155" xfId="4" applyNumberFormat="1" applyBorder="1" applyAlignment="1">
      <alignment horizontal="center" vertical="center"/>
    </xf>
    <xf numFmtId="0" fontId="41" fillId="0" borderId="156" xfId="4" applyFill="1" applyBorder="1" applyAlignment="1">
      <alignment horizontal="centerContinuous" vertical="center"/>
    </xf>
    <xf numFmtId="0" fontId="41" fillId="0" borderId="157" xfId="4" applyFill="1" applyBorder="1" applyAlignment="1">
      <alignment horizontal="centerContinuous" vertical="center"/>
    </xf>
    <xf numFmtId="4" fontId="41" fillId="0" borderId="158" xfId="4" applyNumberFormat="1" applyBorder="1" applyAlignment="1">
      <alignment horizontal="centerContinuous" vertical="center"/>
    </xf>
    <xf numFmtId="0" fontId="41" fillId="0" borderId="159" xfId="4" applyBorder="1" applyAlignment="1">
      <alignment horizontal="centerContinuous" vertical="center"/>
    </xf>
    <xf numFmtId="0" fontId="41" fillId="0" borderId="50" xfId="4" applyFill="1" applyBorder="1" applyAlignment="1">
      <alignment horizontal="center"/>
    </xf>
    <xf numFmtId="0" fontId="41" fillId="0" borderId="52" xfId="4" applyFill="1" applyBorder="1" applyAlignment="1">
      <alignment horizontal="center"/>
    </xf>
    <xf numFmtId="3" fontId="0" fillId="0" borderId="0" xfId="0" applyNumberFormat="1"/>
    <xf numFmtId="0" fontId="41" fillId="0" borderId="160" xfId="4" applyBorder="1" applyAlignment="1">
      <alignment horizontal="centerContinuous"/>
    </xf>
    <xf numFmtId="0" fontId="41" fillId="0" borderId="161" xfId="4" applyBorder="1" applyAlignment="1">
      <alignment horizontal="centerContinuous"/>
    </xf>
    <xf numFmtId="0" fontId="41" fillId="0" borderId="162" xfId="4" applyBorder="1" applyAlignment="1">
      <alignment horizontal="centerContinuous"/>
    </xf>
    <xf numFmtId="0" fontId="41" fillId="0" borderId="159" xfId="4" applyBorder="1" applyAlignment="1">
      <alignment horizontal="centerContinuous"/>
    </xf>
    <xf numFmtId="10" fontId="33" fillId="0" borderId="16" xfId="0" applyNumberFormat="1" applyFont="1" applyBorder="1" applyAlignment="1">
      <alignment horizontal="right" vertical="center"/>
    </xf>
    <xf numFmtId="10" fontId="33" fillId="0" borderId="17" xfId="0" applyNumberFormat="1" applyFont="1" applyBorder="1" applyAlignment="1">
      <alignment horizontal="right" vertical="center"/>
    </xf>
    <xf numFmtId="166" fontId="33" fillId="0" borderId="9" xfId="0" applyNumberFormat="1" applyFont="1" applyBorder="1" applyAlignment="1">
      <alignment horizontal="right" vertical="center"/>
    </xf>
    <xf numFmtId="166" fontId="33" fillId="0" borderId="11" xfId="0" applyNumberFormat="1" applyFont="1" applyBorder="1" applyAlignment="1">
      <alignment horizontal="right" vertical="center"/>
    </xf>
    <xf numFmtId="166" fontId="33" fillId="0" borderId="13" xfId="0" applyNumberFormat="1" applyFont="1" applyBorder="1" applyAlignment="1">
      <alignment horizontal="right" vertic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0" fillId="0" borderId="0" xfId="0" applyFont="1"/>
    <xf numFmtId="0" fontId="68" fillId="0" borderId="0" xfId="0" applyFont="1"/>
    <xf numFmtId="166" fontId="24" fillId="0" borderId="163" xfId="0" applyNumberFormat="1" applyFont="1" applyBorder="1" applyAlignment="1">
      <alignment horizontal="right" vertical="center"/>
    </xf>
    <xf numFmtId="167" fontId="24" fillId="0" borderId="164" xfId="0" applyNumberFormat="1" applyFont="1" applyBorder="1" applyAlignment="1">
      <alignment horizontal="center" vertical="center"/>
    </xf>
    <xf numFmtId="166" fontId="24" fillId="6" borderId="71" xfId="0" applyNumberFormat="1" applyFont="1" applyFill="1" applyBorder="1" applyAlignment="1">
      <alignment horizontal="right" vertical="center"/>
    </xf>
    <xf numFmtId="166" fontId="24" fillId="0" borderId="71" xfId="0" applyNumberFormat="1" applyFont="1" applyBorder="1" applyAlignment="1">
      <alignment horizontal="right" vertical="center"/>
    </xf>
    <xf numFmtId="166" fontId="24" fillId="0" borderId="73" xfId="0" applyNumberFormat="1" applyFont="1" applyBorder="1" applyAlignment="1">
      <alignment horizontal="right" vertical="center"/>
    </xf>
    <xf numFmtId="167" fontId="24" fillId="0" borderId="74" xfId="0" applyNumberFormat="1" applyFont="1" applyBorder="1" applyAlignment="1">
      <alignment horizontal="right" vertical="center"/>
    </xf>
    <xf numFmtId="167" fontId="24" fillId="0" borderId="30" xfId="0" applyNumberFormat="1" applyFont="1" applyBorder="1" applyAlignment="1">
      <alignment horizontal="center" vertical="center"/>
    </xf>
    <xf numFmtId="4" fontId="34" fillId="4" borderId="33" xfId="0" applyNumberFormat="1" applyFont="1" applyFill="1" applyBorder="1" applyAlignment="1">
      <alignment horizontal="center" vertical="center"/>
    </xf>
    <xf numFmtId="4" fontId="34" fillId="4" borderId="34" xfId="0" applyNumberFormat="1" applyFont="1" applyFill="1" applyBorder="1" applyAlignment="1">
      <alignment horizontal="center" vertical="center"/>
    </xf>
    <xf numFmtId="4" fontId="31" fillId="5" borderId="9" xfId="0" applyNumberFormat="1" applyFont="1" applyFill="1" applyBorder="1" applyAlignment="1">
      <alignment horizontal="center" vertical="center"/>
    </xf>
    <xf numFmtId="4" fontId="32" fillId="5" borderId="13" xfId="0" applyNumberFormat="1" applyFont="1" applyFill="1" applyBorder="1" applyAlignment="1">
      <alignment horizontal="centerContinuous" vertical="center"/>
    </xf>
    <xf numFmtId="4" fontId="32" fillId="5" borderId="17" xfId="0" applyNumberFormat="1" applyFont="1" applyFill="1" applyBorder="1" applyAlignment="1">
      <alignment horizontal="centerContinuous" vertical="center"/>
    </xf>
    <xf numFmtId="0" fontId="0" fillId="0" borderId="86" xfId="0" applyBorder="1" applyAlignment="1">
      <alignment horizontal="centerContinuous" vertical="center"/>
    </xf>
    <xf numFmtId="4" fontId="25" fillId="4" borderId="93" xfId="0" applyNumberFormat="1" applyFont="1" applyFill="1" applyBorder="1" applyAlignment="1">
      <alignment horizontal="centerContinuous" vertical="center"/>
    </xf>
    <xf numFmtId="0" fontId="33" fillId="0" borderId="138" xfId="0" applyFont="1" applyBorder="1" applyAlignment="1">
      <alignment horizontal="center" vertical="center"/>
    </xf>
    <xf numFmtId="0" fontId="33" fillId="0" borderId="165" xfId="0" applyFont="1" applyBorder="1" applyAlignment="1">
      <alignment horizontal="center" vertical="center"/>
    </xf>
    <xf numFmtId="0" fontId="25" fillId="4" borderId="62" xfId="0" applyFont="1" applyFill="1" applyBorder="1" applyAlignment="1">
      <alignment horizontal="centerContinuous" vertical="center"/>
    </xf>
    <xf numFmtId="0" fontId="33" fillId="0" borderId="166" xfId="0" applyFont="1" applyBorder="1" applyAlignment="1">
      <alignment horizontal="centerContinuous"/>
    </xf>
    <xf numFmtId="0" fontId="33" fillId="0" borderId="157" xfId="0" applyFont="1" applyBorder="1" applyAlignment="1">
      <alignment horizontal="centerContinuous"/>
    </xf>
    <xf numFmtId="0" fontId="33" fillId="0" borderId="167" xfId="0" applyFont="1" applyBorder="1" applyAlignment="1">
      <alignment horizontal="centerContinuous"/>
    </xf>
    <xf numFmtId="0" fontId="33" fillId="0" borderId="159" xfId="0" applyFont="1" applyBorder="1" applyAlignment="1">
      <alignment horizontal="centerContinuous"/>
    </xf>
    <xf numFmtId="166" fontId="34" fillId="4" borderId="33" xfId="0" applyNumberFormat="1" applyFont="1" applyFill="1" applyBorder="1" applyAlignment="1">
      <alignment horizontal="centerContinuous" vertical="center"/>
    </xf>
    <xf numFmtId="166" fontId="34" fillId="4" borderId="168" xfId="0" applyNumberFormat="1" applyFont="1" applyFill="1" applyBorder="1" applyAlignment="1">
      <alignment horizontal="centerContinuous" vertical="center"/>
    </xf>
    <xf numFmtId="4" fontId="33" fillId="0" borderId="74" xfId="0" applyNumberFormat="1" applyFont="1" applyBorder="1" applyAlignment="1">
      <alignment horizontal="center" vertical="center"/>
    </xf>
    <xf numFmtId="169" fontId="33" fillId="0" borderId="9" xfId="0" applyNumberFormat="1" applyFont="1" applyBorder="1" applyAlignment="1">
      <alignment horizontal="center" vertical="center"/>
    </xf>
    <xf numFmtId="169" fontId="33" fillId="0" borderId="15" xfId="0" applyNumberFormat="1" applyFont="1" applyBorder="1" applyAlignment="1">
      <alignment horizontal="center" vertical="center"/>
    </xf>
    <xf numFmtId="169" fontId="33" fillId="0" borderId="11" xfId="0" applyNumberFormat="1" applyFont="1" applyBorder="1" applyAlignment="1">
      <alignment horizontal="center" vertical="center"/>
    </xf>
    <xf numFmtId="183" fontId="7" fillId="0" borderId="0" xfId="0" applyNumberFormat="1" applyFont="1"/>
    <xf numFmtId="169" fontId="33" fillId="0" borderId="164" xfId="0" applyNumberFormat="1" applyFont="1" applyBorder="1" applyAlignment="1">
      <alignment horizontal="center" vertical="center"/>
    </xf>
    <xf numFmtId="169" fontId="33" fillId="0" borderId="72" xfId="0" applyNumberFormat="1" applyFont="1" applyBorder="1" applyAlignment="1">
      <alignment horizontal="center" vertical="center"/>
    </xf>
    <xf numFmtId="169" fontId="33" fillId="0" borderId="90" xfId="0" applyNumberFormat="1" applyFont="1" applyBorder="1" applyAlignment="1">
      <alignment horizontal="center" vertical="center"/>
    </xf>
    <xf numFmtId="169" fontId="33" fillId="0" borderId="74" xfId="0" applyNumberFormat="1" applyFont="1" applyBorder="1" applyAlignment="1">
      <alignment horizontal="center" vertical="center"/>
    </xf>
    <xf numFmtId="169" fontId="33" fillId="0" borderId="75" xfId="0" applyNumberFormat="1" applyFont="1" applyBorder="1" applyAlignment="1">
      <alignment horizontal="center" vertical="center"/>
    </xf>
    <xf numFmtId="4" fontId="41" fillId="0" borderId="9" xfId="4" applyNumberFormat="1" applyBorder="1" applyAlignment="1">
      <alignment horizontal="center" vertical="center"/>
    </xf>
    <xf numFmtId="4" fontId="33" fillId="0" borderId="0" xfId="0" applyNumberFormat="1" applyFont="1"/>
    <xf numFmtId="3" fontId="33" fillId="0" borderId="0" xfId="0" applyNumberFormat="1" applyFont="1"/>
    <xf numFmtId="0" fontId="33" fillId="0" borderId="35" xfId="0" applyFont="1" applyBorder="1" applyAlignment="1">
      <alignment horizontal="centerContinuous"/>
    </xf>
    <xf numFmtId="0" fontId="33" fillId="0" borderId="169" xfId="0" applyFont="1" applyBorder="1" applyAlignment="1">
      <alignment horizontal="centerContinuous"/>
    </xf>
    <xf numFmtId="0" fontId="33" fillId="0" borderId="39" xfId="0" applyFont="1" applyBorder="1" applyAlignment="1">
      <alignment horizontal="centerContinuous"/>
    </xf>
    <xf numFmtId="0" fontId="33" fillId="0" borderId="170" xfId="0" applyFont="1" applyBorder="1" applyAlignment="1">
      <alignment horizontal="centerContinuous"/>
    </xf>
    <xf numFmtId="3" fontId="33" fillId="0" borderId="27" xfId="0" applyNumberFormat="1" applyFont="1" applyBorder="1"/>
    <xf numFmtId="3" fontId="33" fillId="0" borderId="60" xfId="0" applyNumberFormat="1" applyFont="1" applyBorder="1"/>
    <xf numFmtId="3" fontId="33" fillId="0" borderId="28" xfId="0" applyNumberFormat="1" applyFont="1" applyBorder="1"/>
    <xf numFmtId="3" fontId="33" fillId="0" borderId="44" xfId="0" applyNumberFormat="1" applyFont="1" applyBorder="1"/>
    <xf numFmtId="3" fontId="33" fillId="0" borderId="0" xfId="0" applyNumberFormat="1" applyFont="1" applyBorder="1"/>
    <xf numFmtId="3" fontId="33" fillId="0" borderId="45" xfId="0" applyNumberFormat="1" applyFont="1" applyBorder="1"/>
    <xf numFmtId="3" fontId="33" fillId="0" borderId="46" xfId="0" applyNumberFormat="1" applyFont="1" applyBorder="1"/>
    <xf numFmtId="3" fontId="33" fillId="0" borderId="133" xfId="0" applyNumberFormat="1" applyFont="1" applyBorder="1"/>
    <xf numFmtId="3" fontId="33" fillId="0" borderId="47" xfId="0" applyNumberFormat="1" applyFont="1" applyBorder="1"/>
    <xf numFmtId="3" fontId="33" fillId="0" borderId="48" xfId="0" applyNumberFormat="1" applyFont="1" applyBorder="1"/>
    <xf numFmtId="3" fontId="33" fillId="0" borderId="86" xfId="0" applyNumberFormat="1" applyFont="1" applyBorder="1"/>
    <xf numFmtId="3" fontId="33" fillId="0" borderId="49" xfId="0" applyNumberFormat="1" applyFont="1" applyBorder="1"/>
    <xf numFmtId="4" fontId="33" fillId="9" borderId="48" xfId="0" applyNumberFormat="1" applyFont="1" applyFill="1" applyBorder="1" applyAlignment="1">
      <alignment horizontal="center" vertical="center"/>
    </xf>
    <xf numFmtId="4" fontId="33" fillId="9" borderId="49" xfId="0" applyNumberFormat="1" applyFont="1" applyFill="1" applyBorder="1" applyAlignment="1">
      <alignment horizontal="center" vertical="center"/>
    </xf>
    <xf numFmtId="0" fontId="33" fillId="0" borderId="48" xfId="0" applyFont="1" applyBorder="1"/>
    <xf numFmtId="0" fontId="33" fillId="0" borderId="86" xfId="0" applyFont="1" applyBorder="1"/>
    <xf numFmtId="0" fontId="33" fillId="0" borderId="49" xfId="0" applyFont="1" applyBorder="1"/>
    <xf numFmtId="0" fontId="33" fillId="0" borderId="60" xfId="0" applyFont="1" applyBorder="1"/>
    <xf numFmtId="0" fontId="33" fillId="0" borderId="28" xfId="0" applyFont="1" applyBorder="1"/>
    <xf numFmtId="0" fontId="33" fillId="0" borderId="0" xfId="0" applyFont="1" applyBorder="1"/>
    <xf numFmtId="0" fontId="33" fillId="0" borderId="45" xfId="0" applyFont="1" applyBorder="1"/>
    <xf numFmtId="0" fontId="33" fillId="0" borderId="133" xfId="0" applyFont="1" applyBorder="1"/>
    <xf numFmtId="0" fontId="33" fillId="0" borderId="47" xfId="0" applyFont="1" applyBorder="1"/>
    <xf numFmtId="0" fontId="33" fillId="0" borderId="27" xfId="0" applyFont="1" applyBorder="1"/>
    <xf numFmtId="0" fontId="33" fillId="0" borderId="44" xfId="0" applyFont="1" applyBorder="1"/>
    <xf numFmtId="0" fontId="33" fillId="0" borderId="46" xfId="0" applyFont="1" applyBorder="1"/>
    <xf numFmtId="4" fontId="34" fillId="4" borderId="20" xfId="0" applyNumberFormat="1" applyFont="1" applyFill="1" applyBorder="1" applyAlignment="1">
      <alignment horizontal="center" vertical="center"/>
    </xf>
    <xf numFmtId="4" fontId="34" fillId="4" borderId="21" xfId="0" applyNumberFormat="1" applyFont="1" applyFill="1" applyBorder="1" applyAlignment="1">
      <alignment horizontal="center" vertical="center"/>
    </xf>
    <xf numFmtId="4" fontId="32" fillId="5" borderId="16" xfId="0" applyNumberFormat="1" applyFont="1" applyFill="1" applyBorder="1" applyAlignment="1">
      <alignment horizontal="center" vertical="center"/>
    </xf>
    <xf numFmtId="4" fontId="32" fillId="5" borderId="12" xfId="0" applyNumberFormat="1" applyFont="1" applyFill="1" applyBorder="1" applyAlignment="1">
      <alignment horizontal="center" vertical="center"/>
    </xf>
    <xf numFmtId="170" fontId="32" fillId="5" borderId="15" xfId="0" applyNumberFormat="1" applyFont="1" applyFill="1" applyBorder="1" applyAlignment="1">
      <alignment horizontal="right" vertical="center"/>
    </xf>
    <xf numFmtId="170" fontId="32" fillId="5" borderId="17" xfId="0" applyNumberFormat="1" applyFont="1" applyFill="1" applyBorder="1" applyAlignment="1">
      <alignment horizontal="right" vertical="center"/>
    </xf>
    <xf numFmtId="171" fontId="32" fillId="5" borderId="15" xfId="0" applyNumberFormat="1" applyFont="1" applyFill="1" applyBorder="1" applyAlignment="1">
      <alignment horizontal="right" vertical="center"/>
    </xf>
    <xf numFmtId="171" fontId="32" fillId="5" borderId="17" xfId="0" applyNumberFormat="1" applyFont="1" applyFill="1" applyBorder="1" applyAlignment="1">
      <alignment horizontal="right" vertical="center"/>
    </xf>
    <xf numFmtId="172" fontId="32" fillId="5" borderId="15" xfId="0" applyNumberFormat="1" applyFont="1" applyFill="1" applyBorder="1" applyAlignment="1">
      <alignment horizontal="right" vertical="center"/>
    </xf>
    <xf numFmtId="172" fontId="32" fillId="5" borderId="17" xfId="0" applyNumberFormat="1" applyFont="1" applyFill="1" applyBorder="1" applyAlignment="1">
      <alignment horizontal="right" vertical="center"/>
    </xf>
    <xf numFmtId="173" fontId="32" fillId="5" borderId="15" xfId="0" applyNumberFormat="1" applyFont="1" applyFill="1" applyBorder="1" applyAlignment="1">
      <alignment horizontal="right" vertical="center"/>
    </xf>
    <xf numFmtId="173" fontId="32" fillId="5" borderId="17" xfId="0" applyNumberFormat="1" applyFont="1" applyFill="1" applyBorder="1" applyAlignment="1">
      <alignment horizontal="right" vertical="center"/>
    </xf>
    <xf numFmtId="10" fontId="32" fillId="5" borderId="15" xfId="0" applyNumberFormat="1" applyFont="1" applyFill="1" applyBorder="1" applyAlignment="1">
      <alignment horizontal="right" vertical="center"/>
    </xf>
    <xf numFmtId="10" fontId="32" fillId="5" borderId="10" xfId="0" applyNumberFormat="1" applyFont="1" applyFill="1" applyBorder="1" applyAlignment="1">
      <alignment horizontal="right" vertical="center"/>
    </xf>
    <xf numFmtId="166" fontId="32" fillId="5" borderId="13" xfId="0" applyNumberFormat="1" applyFont="1" applyFill="1" applyBorder="1" applyAlignment="1">
      <alignment horizontal="right" vertical="center"/>
    </xf>
    <xf numFmtId="166" fontId="32" fillId="5" borderId="17" xfId="0" applyNumberFormat="1" applyFont="1" applyFill="1" applyBorder="1" applyAlignment="1">
      <alignment horizontal="right" vertical="center"/>
    </xf>
    <xf numFmtId="4" fontId="34" fillId="4" borderId="76" xfId="0" applyNumberFormat="1" applyFont="1" applyFill="1" applyBorder="1" applyAlignment="1">
      <alignment horizontal="center" vertical="center"/>
    </xf>
    <xf numFmtId="4" fontId="34" fillId="4" borderId="77" xfId="0" applyNumberFormat="1" applyFont="1" applyFill="1" applyBorder="1" applyAlignment="1">
      <alignment horizontal="center" vertical="center"/>
    </xf>
    <xf numFmtId="4" fontId="32" fillId="5" borderId="59" xfId="0" applyNumberFormat="1" applyFont="1" applyFill="1" applyBorder="1" applyAlignment="1">
      <alignment horizontal="center" vertical="center"/>
    </xf>
    <xf numFmtId="4" fontId="32" fillId="5" borderId="79" xfId="0" applyNumberFormat="1" applyFont="1" applyFill="1" applyBorder="1" applyAlignment="1">
      <alignment horizontal="center" vertical="center"/>
    </xf>
    <xf numFmtId="4" fontId="32" fillId="5" borderId="80" xfId="0" applyNumberFormat="1" applyFont="1" applyFill="1" applyBorder="1" applyAlignment="1">
      <alignment horizontal="center" vertical="center"/>
    </xf>
    <xf numFmtId="4" fontId="32" fillId="5" borderId="81" xfId="0" applyNumberFormat="1" applyFont="1" applyFill="1" applyBorder="1" applyAlignment="1">
      <alignment horizontal="center" vertical="center"/>
    </xf>
    <xf numFmtId="4" fontId="32" fillId="5" borderId="82" xfId="0" applyNumberFormat="1" applyFont="1" applyFill="1" applyBorder="1" applyAlignment="1">
      <alignment horizontal="center" vertical="center"/>
    </xf>
    <xf numFmtId="4" fontId="4" fillId="0" borderId="68" xfId="0" applyNumberFormat="1" applyFont="1" applyBorder="1" applyAlignment="1">
      <alignment horizontal="center" vertical="center"/>
    </xf>
    <xf numFmtId="179" fontId="14" fillId="0" borderId="69" xfId="0" applyNumberFormat="1" applyFont="1" applyBorder="1" applyAlignment="1">
      <alignment horizontal="right" vertical="center"/>
    </xf>
    <xf numFmtId="179" fontId="14" fillId="0" borderId="16" xfId="0" applyNumberFormat="1" applyFont="1" applyBorder="1" applyAlignment="1">
      <alignment horizontal="right" vertical="center"/>
    </xf>
    <xf numFmtId="179" fontId="14" fillId="0" borderId="74" xfId="0" applyNumberFormat="1" applyFont="1" applyBorder="1" applyAlignment="1">
      <alignment horizontal="right" vertical="center"/>
    </xf>
    <xf numFmtId="4" fontId="12" fillId="0" borderId="0" xfId="0" applyNumberFormat="1" applyFont="1" applyBorder="1" applyAlignment="1">
      <alignment horizontal="center" vertical="center"/>
    </xf>
    <xf numFmtId="10" fontId="13" fillId="0" borderId="0" xfId="0" applyNumberFormat="1" applyFont="1" applyBorder="1" applyAlignment="1">
      <alignment horizontal="right" vertical="center"/>
    </xf>
    <xf numFmtId="4" fontId="13" fillId="0" borderId="0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179" fontId="13" fillId="0" borderId="15" xfId="0" applyNumberFormat="1" applyFont="1" applyBorder="1" applyAlignment="1">
      <alignment horizontal="right" vertical="center"/>
    </xf>
    <xf numFmtId="179" fontId="13" fillId="0" borderId="16" xfId="0" applyNumberFormat="1" applyFont="1" applyBorder="1" applyAlignment="1">
      <alignment horizontal="right" vertical="center"/>
    </xf>
    <xf numFmtId="179" fontId="13" fillId="0" borderId="17" xfId="0" applyNumberFormat="1" applyFont="1" applyBorder="1" applyAlignment="1">
      <alignment horizontal="right" vertical="center"/>
    </xf>
    <xf numFmtId="4" fontId="4" fillId="0" borderId="9" xfId="0" applyNumberFormat="1" applyFont="1" applyBorder="1" applyAlignment="1">
      <alignment horizontal="center" vertical="center"/>
    </xf>
    <xf numFmtId="179" fontId="14" fillId="0" borderId="15" xfId="0" applyNumberFormat="1" applyFont="1" applyBorder="1" applyAlignment="1">
      <alignment horizontal="right" vertical="center"/>
    </xf>
    <xf numFmtId="179" fontId="14" fillId="0" borderId="17" xfId="0" applyNumberFormat="1" applyFont="1" applyBorder="1" applyAlignment="1">
      <alignment horizontal="right" vertical="center"/>
    </xf>
    <xf numFmtId="10" fontId="33" fillId="0" borderId="59" xfId="0" applyNumberFormat="1" applyFont="1" applyBorder="1" applyAlignment="1">
      <alignment horizontal="right" vertical="center"/>
    </xf>
    <xf numFmtId="4" fontId="33" fillId="9" borderId="171" xfId="0" applyNumberFormat="1" applyFont="1" applyFill="1" applyBorder="1" applyAlignment="1">
      <alignment horizontal="center" vertical="center"/>
    </xf>
    <xf numFmtId="166" fontId="33" fillId="0" borderId="68" xfId="0" applyNumberFormat="1" applyFont="1" applyBorder="1" applyAlignment="1">
      <alignment horizontal="right" vertical="center"/>
    </xf>
    <xf numFmtId="4" fontId="33" fillId="9" borderId="172" xfId="0" applyNumberFormat="1" applyFont="1" applyFill="1" applyBorder="1" applyAlignment="1">
      <alignment horizontal="center" vertical="center"/>
    </xf>
    <xf numFmtId="166" fontId="33" fillId="0" borderId="71" xfId="0" applyNumberFormat="1" applyFont="1" applyBorder="1" applyAlignment="1">
      <alignment horizontal="right" vertical="center"/>
    </xf>
    <xf numFmtId="4" fontId="33" fillId="0" borderId="173" xfId="0" applyNumberFormat="1" applyFont="1" applyBorder="1" applyAlignment="1">
      <alignment horizontal="center" vertical="center"/>
    </xf>
    <xf numFmtId="4" fontId="33" fillId="0" borderId="72" xfId="0" applyNumberFormat="1" applyFont="1" applyBorder="1" applyAlignment="1">
      <alignment horizontal="center" vertical="center"/>
    </xf>
    <xf numFmtId="166" fontId="33" fillId="0" borderId="73" xfId="0" applyNumberFormat="1" applyFont="1" applyBorder="1" applyAlignment="1">
      <alignment horizontal="right" vertical="center"/>
    </xf>
    <xf numFmtId="10" fontId="33" fillId="0" borderId="74" xfId="0" applyNumberFormat="1" applyFont="1" applyBorder="1" applyAlignment="1">
      <alignment horizontal="right" vertical="center"/>
    </xf>
    <xf numFmtId="4" fontId="4" fillId="0" borderId="12" xfId="0" applyNumberFormat="1" applyFont="1" applyBorder="1" applyAlignment="1">
      <alignment horizontal="center" vertical="center"/>
    </xf>
    <xf numFmtId="174" fontId="14" fillId="0" borderId="16" xfId="0" applyNumberFormat="1" applyFont="1" applyBorder="1" applyAlignment="1">
      <alignment horizontal="center" vertical="center"/>
    </xf>
    <xf numFmtId="174" fontId="14" fillId="0" borderId="17" xfId="0" applyNumberFormat="1" applyFont="1" applyBorder="1" applyAlignment="1">
      <alignment horizontal="center" vertical="center"/>
    </xf>
    <xf numFmtId="174" fontId="14" fillId="0" borderId="15" xfId="0" applyNumberFormat="1" applyFont="1" applyBorder="1" applyAlignment="1">
      <alignment horizontal="center" vertical="center"/>
    </xf>
    <xf numFmtId="0" fontId="69" fillId="0" borderId="0" xfId="0" applyFont="1"/>
    <xf numFmtId="0" fontId="69" fillId="0" borderId="0" xfId="0" applyFont="1" applyAlignment="1">
      <alignment horizontal="right"/>
    </xf>
    <xf numFmtId="169" fontId="32" fillId="5" borderId="15" xfId="0" applyNumberFormat="1" applyFont="1" applyFill="1" applyBorder="1" applyAlignment="1">
      <alignment horizontal="center" vertical="center"/>
    </xf>
    <xf numFmtId="169" fontId="32" fillId="5" borderId="17" xfId="0" applyNumberFormat="1" applyFont="1" applyFill="1" applyBorder="1" applyAlignment="1">
      <alignment horizontal="centerContinuous" vertical="center"/>
    </xf>
    <xf numFmtId="174" fontId="10" fillId="0" borderId="15" xfId="0" applyNumberFormat="1" applyFont="1" applyBorder="1" applyAlignment="1">
      <alignment horizontal="center" vertical="center"/>
    </xf>
    <xf numFmtId="174" fontId="10" fillId="0" borderId="16" xfId="0" applyNumberFormat="1" applyFont="1" applyBorder="1" applyAlignment="1">
      <alignment horizontal="center" vertical="center"/>
    </xf>
    <xf numFmtId="4" fontId="14" fillId="0" borderId="0" xfId="0" applyNumberFormat="1" applyFont="1" applyBorder="1" applyAlignment="1">
      <alignment horizontal="center" vertical="center"/>
    </xf>
    <xf numFmtId="4" fontId="3" fillId="0" borderId="11" xfId="0" applyNumberFormat="1" applyFont="1" applyBorder="1" applyAlignment="1">
      <alignment horizontal="center" vertical="center"/>
    </xf>
    <xf numFmtId="4" fontId="3" fillId="0" borderId="13" xfId="0" applyNumberFormat="1" applyFont="1" applyBorder="1" applyAlignment="1">
      <alignment horizontal="center" vertical="center"/>
    </xf>
    <xf numFmtId="4" fontId="32" fillId="5" borderId="11" xfId="0" applyNumberFormat="1" applyFont="1" applyFill="1" applyBorder="1" applyAlignment="1">
      <alignment horizontal="centerContinuous" vertical="center"/>
    </xf>
    <xf numFmtId="169" fontId="32" fillId="5" borderId="16" xfId="0" applyNumberFormat="1" applyFont="1" applyFill="1" applyBorder="1" applyAlignment="1">
      <alignment horizontal="centerContinuous" vertical="center"/>
    </xf>
    <xf numFmtId="4" fontId="31" fillId="5" borderId="11" xfId="0" applyNumberFormat="1" applyFont="1" applyFill="1" applyBorder="1" applyAlignment="1">
      <alignment horizontal="center" vertical="center"/>
    </xf>
    <xf numFmtId="169" fontId="32" fillId="5" borderId="16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0" fontId="25" fillId="4" borderId="21" xfId="9" applyFont="1" applyFill="1" applyBorder="1" applyAlignment="1" applyProtection="1">
      <alignment horizontal="center" vertical="center"/>
      <protection hidden="1"/>
    </xf>
    <xf numFmtId="4" fontId="3" fillId="0" borderId="12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166" fontId="3" fillId="0" borderId="9" xfId="9" applyNumberFormat="1" applyFont="1" applyBorder="1" applyAlignment="1" applyProtection="1">
      <alignment horizontal="right" vertical="center"/>
      <protection hidden="1"/>
    </xf>
    <xf numFmtId="166" fontId="3" fillId="0" borderId="11" xfId="9" applyNumberFormat="1" applyFont="1" applyBorder="1" applyAlignment="1" applyProtection="1">
      <alignment horizontal="right" vertical="center"/>
      <protection hidden="1"/>
    </xf>
    <xf numFmtId="166" fontId="3" fillId="0" borderId="13" xfId="9" applyNumberFormat="1" applyFont="1" applyBorder="1" applyAlignment="1" applyProtection="1">
      <alignment horizontal="right" vertical="center"/>
      <protection hidden="1"/>
    </xf>
    <xf numFmtId="0" fontId="25" fillId="4" borderId="4" xfId="9" applyFont="1" applyFill="1" applyBorder="1" applyAlignment="1" applyProtection="1">
      <alignment horizontal="center" vertical="center"/>
      <protection hidden="1"/>
    </xf>
    <xf numFmtId="0" fontId="25" fillId="4" borderId="5" xfId="0" applyFont="1" applyFill="1" applyBorder="1" applyAlignment="1">
      <alignment horizontal="center" vertical="center"/>
    </xf>
    <xf numFmtId="0" fontId="34" fillId="3" borderId="168" xfId="0" applyFont="1" applyFill="1" applyBorder="1" applyAlignment="1">
      <alignment horizontal="centerContinuous" vertical="center"/>
    </xf>
    <xf numFmtId="0" fontId="34" fillId="3" borderId="94" xfId="0" applyFont="1" applyFill="1" applyBorder="1" applyAlignment="1">
      <alignment horizontal="centerContinuous" vertical="center"/>
    </xf>
    <xf numFmtId="167" fontId="3" fillId="0" borderId="15" xfId="37" applyNumberFormat="1" applyFont="1" applyBorder="1" applyAlignment="1" applyProtection="1">
      <alignment horizontal="center" vertical="center"/>
      <protection hidden="1"/>
    </xf>
    <xf numFmtId="167" fontId="3" fillId="0" borderId="15" xfId="0" applyNumberFormat="1" applyFont="1" applyBorder="1" applyAlignment="1">
      <alignment horizontal="center" vertical="center"/>
    </xf>
    <xf numFmtId="167" fontId="3" fillId="0" borderId="16" xfId="37" applyNumberFormat="1" applyFont="1" applyBorder="1" applyAlignment="1" applyProtection="1">
      <alignment horizontal="center" vertical="center"/>
      <protection hidden="1"/>
    </xf>
    <xf numFmtId="167" fontId="3" fillId="0" borderId="16" xfId="0" applyNumberFormat="1" applyFont="1" applyBorder="1" applyAlignment="1">
      <alignment horizontal="center" vertical="center"/>
    </xf>
    <xf numFmtId="167" fontId="3" fillId="0" borderId="17" xfId="37" applyNumberFormat="1" applyFont="1" applyBorder="1" applyAlignment="1" applyProtection="1">
      <alignment horizontal="center" vertical="center"/>
      <protection hidden="1"/>
    </xf>
    <xf numFmtId="167" fontId="3" fillId="0" borderId="17" xfId="0" applyNumberFormat="1" applyFont="1" applyBorder="1" applyAlignment="1">
      <alignment horizontal="center" vertical="center"/>
    </xf>
    <xf numFmtId="166" fontId="9" fillId="0" borderId="10" xfId="0" applyNumberFormat="1" applyFont="1" applyBorder="1" applyAlignment="1">
      <alignment horizontal="center" vertical="center"/>
    </xf>
    <xf numFmtId="0" fontId="25" fillId="4" borderId="179" xfId="0" applyFont="1" applyFill="1" applyBorder="1" applyAlignment="1">
      <alignment horizontal="center" vertical="center"/>
    </xf>
    <xf numFmtId="0" fontId="25" fillId="4" borderId="180" xfId="0" applyFont="1" applyFill="1" applyBorder="1" applyAlignment="1">
      <alignment horizontal="center" vertical="center"/>
    </xf>
    <xf numFmtId="0" fontId="25" fillId="4" borderId="181" xfId="0" applyFont="1" applyFill="1" applyBorder="1" applyAlignment="1">
      <alignment horizontal="center" vertical="center"/>
    </xf>
    <xf numFmtId="166" fontId="10" fillId="0" borderId="163" xfId="0" applyNumberFormat="1" applyFont="1" applyBorder="1" applyAlignment="1">
      <alignment horizontal="right" vertical="center"/>
    </xf>
    <xf numFmtId="4" fontId="10" fillId="0" borderId="164" xfId="0" applyNumberFormat="1" applyFont="1" applyBorder="1" applyAlignment="1">
      <alignment horizontal="center" vertical="center"/>
    </xf>
    <xf numFmtId="166" fontId="10" fillId="0" borderId="71" xfId="0" applyNumberFormat="1" applyFont="1" applyBorder="1" applyAlignment="1">
      <alignment horizontal="right" vertical="center"/>
    </xf>
    <xf numFmtId="4" fontId="10" fillId="0" borderId="72" xfId="0" applyNumberFormat="1" applyFont="1" applyBorder="1" applyAlignment="1">
      <alignment horizontal="center" vertical="center"/>
    </xf>
    <xf numFmtId="166" fontId="10" fillId="0" borderId="73" xfId="0" applyNumberFormat="1" applyFont="1" applyBorder="1" applyAlignment="1">
      <alignment horizontal="right" vertical="center"/>
    </xf>
    <xf numFmtId="174" fontId="10" fillId="0" borderId="74" xfId="0" applyNumberFormat="1" applyFont="1" applyBorder="1" applyAlignment="1">
      <alignment horizontal="center" vertical="center"/>
    </xf>
    <xf numFmtId="4" fontId="10" fillId="0" borderId="75" xfId="0" applyNumberFormat="1" applyFont="1" applyBorder="1" applyAlignment="1">
      <alignment horizontal="center" vertical="center"/>
    </xf>
    <xf numFmtId="169" fontId="0" fillId="0" borderId="0" xfId="61" applyNumberFormat="1" applyFont="1"/>
    <xf numFmtId="166" fontId="2" fillId="0" borderId="9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166" fontId="33" fillId="0" borderId="62" xfId="0" applyNumberFormat="1" applyFont="1" applyBorder="1" applyAlignment="1">
      <alignment horizontal="right" vertical="center"/>
    </xf>
    <xf numFmtId="166" fontId="3" fillId="0" borderId="68" xfId="9" applyNumberFormat="1" applyFont="1" applyBorder="1" applyAlignment="1" applyProtection="1">
      <alignment horizontal="right" vertical="center"/>
      <protection hidden="1"/>
    </xf>
    <xf numFmtId="167" fontId="3" fillId="0" borderId="69" xfId="0" applyNumberFormat="1" applyFont="1" applyBorder="1" applyAlignment="1">
      <alignment horizontal="center" vertical="center"/>
    </xf>
    <xf numFmtId="167" fontId="3" fillId="0" borderId="70" xfId="0" applyNumberFormat="1" applyFont="1" applyBorder="1" applyAlignment="1">
      <alignment horizontal="center" vertical="center"/>
    </xf>
    <xf numFmtId="166" fontId="3" fillId="0" borderId="71" xfId="9" applyNumberFormat="1" applyFont="1" applyBorder="1" applyAlignment="1" applyProtection="1">
      <alignment horizontal="right" vertical="center"/>
      <protection hidden="1"/>
    </xf>
    <xf numFmtId="167" fontId="3" fillId="0" borderId="72" xfId="0" applyNumberFormat="1" applyFont="1" applyBorder="1" applyAlignment="1">
      <alignment horizontal="center" vertical="center"/>
    </xf>
    <xf numFmtId="166" fontId="3" fillId="0" borderId="73" xfId="9" applyNumberFormat="1" applyFont="1" applyBorder="1" applyAlignment="1" applyProtection="1">
      <alignment horizontal="right" vertical="center"/>
      <protection hidden="1"/>
    </xf>
    <xf numFmtId="167" fontId="3" fillId="0" borderId="74" xfId="0" applyNumberFormat="1" applyFont="1" applyBorder="1" applyAlignment="1">
      <alignment horizontal="center" vertical="center"/>
    </xf>
    <xf numFmtId="167" fontId="3" fillId="0" borderId="75" xfId="0" applyNumberFormat="1" applyFont="1" applyBorder="1" applyAlignment="1">
      <alignment horizontal="center" vertical="center"/>
    </xf>
    <xf numFmtId="4" fontId="54" fillId="0" borderId="6" xfId="0" applyNumberFormat="1" applyFont="1" applyBorder="1" applyAlignment="1">
      <alignment horizontal="center" vertical="center"/>
    </xf>
    <xf numFmtId="4" fontId="54" fillId="0" borderId="0" xfId="0" applyNumberFormat="1" applyFont="1" applyBorder="1" applyAlignment="1">
      <alignment horizontal="center" vertical="center"/>
    </xf>
    <xf numFmtId="0" fontId="34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4" fillId="3" borderId="4" xfId="0" applyNumberFormat="1" applyFont="1" applyFill="1" applyBorder="1" applyAlignment="1">
      <alignment horizontal="center" vertical="center" textRotation="90"/>
    </xf>
    <xf numFmtId="0" fontId="34" fillId="3" borderId="7" xfId="0" applyFont="1" applyFill="1" applyBorder="1" applyAlignment="1">
      <alignment horizontal="center" vertical="center" textRotation="90"/>
    </xf>
    <xf numFmtId="0" fontId="34" fillId="3" borderId="55" xfId="0" applyFont="1" applyFill="1" applyBorder="1" applyAlignment="1">
      <alignment horizontal="center" vertical="center" textRotation="90"/>
    </xf>
    <xf numFmtId="0" fontId="25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  <xf numFmtId="179" fontId="0" fillId="0" borderId="0" xfId="0" applyNumberFormat="1" applyBorder="1"/>
    <xf numFmtId="11" fontId="14" fillId="0" borderId="2" xfId="0" applyNumberFormat="1" applyFont="1" applyBorder="1" applyAlignment="1">
      <alignment horizontal="center" vertical="center"/>
    </xf>
  </cellXfs>
  <cellStyles count="62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789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4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44"/>
  <sheetViews>
    <sheetView showGridLines="0" topLeftCell="A19" zoomScaleNormal="100" workbookViewId="0">
      <selection activeCell="B34" sqref="B34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120</v>
      </c>
      <c r="C2" s="2"/>
      <c r="D2" s="2"/>
    </row>
    <row r="3" spans="2:9" x14ac:dyDescent="0.25">
      <c r="B3" s="453" t="str">
        <f>IF(D6="Error","!!!Note: This workbook was tested against a different version of ∂Excel to what you have installed. This may resulted in unexpected behaviour.!!!","")</f>
        <v/>
      </c>
    </row>
    <row r="4" spans="2:9" s="427" customFormat="1" x14ac:dyDescent="0.25">
      <c r="B4" s="449" t="s">
        <v>426</v>
      </c>
      <c r="C4" s="450"/>
      <c r="D4" s="447" t="s">
        <v>589</v>
      </c>
      <c r="I4" s="455"/>
    </row>
    <row r="5" spans="2:9" s="427" customFormat="1" x14ac:dyDescent="0.25">
      <c r="B5" s="451" t="s">
        <v>427</v>
      </c>
      <c r="C5" s="452"/>
      <c r="D5" s="448" t="str" cm="1">
        <f t="array" ref="D5">_xll.d.Debug_GetAssemblyVersion()</f>
        <v>0.1.4</v>
      </c>
      <c r="I5" s="455"/>
    </row>
    <row r="6" spans="2:9" s="427" customFormat="1" x14ac:dyDescent="0.25">
      <c r="B6" s="210" t="s">
        <v>428</v>
      </c>
      <c r="C6" s="211"/>
      <c r="D6" s="174" t="str" cm="1">
        <f t="array" ref="D6">_xll.d.TestUtils_Equal(D4,D5,,TRUE)</f>
        <v>Ok</v>
      </c>
      <c r="I6" s="455"/>
    </row>
    <row r="7" spans="2:9" s="427" customFormat="1" x14ac:dyDescent="0.25"/>
    <row r="8" spans="2:9" s="427" customFormat="1" x14ac:dyDescent="0.25"/>
    <row r="9" spans="2:9" s="455" customFormat="1" x14ac:dyDescent="0.25">
      <c r="B9" s="210" t="s">
        <v>463</v>
      </c>
      <c r="C9" s="210"/>
    </row>
    <row r="10" spans="2:9" s="455" customFormat="1" ht="18.75" customHeight="1" x14ac:dyDescent="0.25">
      <c r="B10" s="804" t="str" cm="1">
        <f t="array" aca="1" ref="B10" ca="1">_xll.d.TestUtils_And(C19:C21,C24:C25,C28,C31:C34,C39:C42)</f>
        <v>Error</v>
      </c>
      <c r="C10" s="804"/>
    </row>
    <row r="11" spans="2:9" s="455" customFormat="1" ht="15" customHeight="1" x14ac:dyDescent="0.25">
      <c r="B11" s="805"/>
      <c r="C11" s="805"/>
    </row>
    <row r="12" spans="2:9" s="455" customFormat="1" x14ac:dyDescent="0.25"/>
    <row r="13" spans="2:9" s="455" customFormat="1" x14ac:dyDescent="0.25"/>
    <row r="14" spans="2:9" x14ac:dyDescent="0.25">
      <c r="B14" s="210" t="s">
        <v>112</v>
      </c>
      <c r="C14" s="211"/>
    </row>
    <row r="15" spans="2:9" x14ac:dyDescent="0.25">
      <c r="B15" s="619" t="s">
        <v>568</v>
      </c>
      <c r="C15" s="620"/>
    </row>
    <row r="16" spans="2:9" x14ac:dyDescent="0.25">
      <c r="B16" s="621" t="s">
        <v>569</v>
      </c>
      <c r="C16" s="622"/>
    </row>
    <row r="18" spans="2:9" x14ac:dyDescent="0.25">
      <c r="B18" s="131" t="s">
        <v>258</v>
      </c>
      <c r="C18" s="132"/>
    </row>
    <row r="19" spans="2:9" x14ac:dyDescent="0.25">
      <c r="B19" s="422" t="s">
        <v>0</v>
      </c>
      <c r="C19" s="134" t="str">
        <f>Dates!C4</f>
        <v>Ok</v>
      </c>
    </row>
    <row r="20" spans="2:9" x14ac:dyDescent="0.25">
      <c r="B20" s="423" t="s">
        <v>354</v>
      </c>
      <c r="C20" s="136" t="str">
        <f>Mathematics!C4</f>
        <v>Ok</v>
      </c>
      <c r="I20" s="455"/>
    </row>
    <row r="21" spans="2:9" x14ac:dyDescent="0.25">
      <c r="B21" s="424" t="s">
        <v>377</v>
      </c>
      <c r="C21" s="138" t="str">
        <f ca="1">Stats!C4</f>
        <v>Ok</v>
      </c>
      <c r="I21" s="455"/>
    </row>
    <row r="22" spans="2:9" x14ac:dyDescent="0.25">
      <c r="I22" s="455"/>
    </row>
    <row r="23" spans="2:9" x14ac:dyDescent="0.25">
      <c r="B23" s="438" t="s">
        <v>407</v>
      </c>
      <c r="C23" s="439"/>
    </row>
    <row r="24" spans="2:9" x14ac:dyDescent="0.25">
      <c r="B24" s="611" t="s">
        <v>534</v>
      </c>
      <c r="C24" s="310" t="str">
        <f>'Equity Pricers'!C4</f>
        <v>Ok</v>
      </c>
    </row>
    <row r="25" spans="2:9" s="455" customFormat="1" x14ac:dyDescent="0.25">
      <c r="B25" s="424" t="s">
        <v>408</v>
      </c>
      <c r="C25" s="310" t="str">
        <f>'Equity Utils'!C4</f>
        <v>Ok</v>
      </c>
    </row>
    <row r="26" spans="2:9" x14ac:dyDescent="0.25">
      <c r="C26" s="308"/>
      <c r="D26" s="455"/>
    </row>
    <row r="27" spans="2:9" s="455" customFormat="1" x14ac:dyDescent="0.25">
      <c r="B27" s="438" t="s">
        <v>538</v>
      </c>
      <c r="C27" s="439"/>
    </row>
    <row r="28" spans="2:9" s="455" customFormat="1" x14ac:dyDescent="0.25">
      <c r="B28" s="499" t="s">
        <v>537</v>
      </c>
      <c r="C28" s="310" t="str">
        <f>'FX Pricers'!C4</f>
        <v>Ok</v>
      </c>
    </row>
    <row r="29" spans="2:9" s="455" customFormat="1" x14ac:dyDescent="0.25"/>
    <row r="30" spans="2:9" x14ac:dyDescent="0.25">
      <c r="B30" s="131" t="s">
        <v>257</v>
      </c>
      <c r="C30" s="202"/>
      <c r="D30" s="455"/>
    </row>
    <row r="31" spans="2:9" x14ac:dyDescent="0.25">
      <c r="B31" s="422" t="s">
        <v>1</v>
      </c>
      <c r="C31" s="330" t="str">
        <f ca="1">Curves!C4</f>
        <v>Error</v>
      </c>
      <c r="D31" s="455"/>
    </row>
    <row r="32" spans="2:9" s="455" customFormat="1" x14ac:dyDescent="0.25">
      <c r="B32" s="590" t="s">
        <v>520</v>
      </c>
      <c r="C32" s="290" t="str">
        <f>'Interest Rate Pricers'!C4</f>
        <v>Ok</v>
      </c>
    </row>
    <row r="33" spans="2:5" x14ac:dyDescent="0.25">
      <c r="B33" s="423" t="s">
        <v>404</v>
      </c>
      <c r="C33" s="289" t="str">
        <f>'Rate Utils'!C4</f>
        <v>Ok</v>
      </c>
      <c r="D33" s="455"/>
    </row>
    <row r="34" spans="2:5" x14ac:dyDescent="0.25">
      <c r="B34" s="498" t="s">
        <v>21</v>
      </c>
      <c r="C34" s="289" t="str">
        <f ca="1">'Sinlge Curve Bootstrapping'!C6</f>
        <v>Ok</v>
      </c>
      <c r="D34" s="455"/>
    </row>
    <row r="35" spans="2:5" x14ac:dyDescent="0.25">
      <c r="B35" s="498" t="s">
        <v>58</v>
      </c>
      <c r="C35" s="289" t="s">
        <v>239</v>
      </c>
      <c r="D35" s="607" t="s">
        <v>553</v>
      </c>
    </row>
    <row r="36" spans="2:5" x14ac:dyDescent="0.25">
      <c r="B36" s="499" t="s">
        <v>11</v>
      </c>
      <c r="C36" s="201" t="s">
        <v>239</v>
      </c>
      <c r="D36" s="607" t="s">
        <v>553</v>
      </c>
    </row>
    <row r="37" spans="2:5" x14ac:dyDescent="0.25">
      <c r="D37" s="455"/>
    </row>
    <row r="38" spans="2:5" x14ac:dyDescent="0.25">
      <c r="B38" s="131" t="s">
        <v>121</v>
      </c>
      <c r="C38" s="132"/>
      <c r="D38" s="455"/>
    </row>
    <row r="39" spans="2:5" x14ac:dyDescent="0.25">
      <c r="B39" s="666" t="s">
        <v>582</v>
      </c>
      <c r="C39" s="330" t="str">
        <f>'Fix EMS Links Utils'!C4</f>
        <v>Ok</v>
      </c>
      <c r="D39" s="607" t="s">
        <v>553</v>
      </c>
    </row>
    <row r="40" spans="2:5" x14ac:dyDescent="0.25">
      <c r="B40" s="498" t="s">
        <v>555</v>
      </c>
      <c r="C40" s="289" t="str">
        <f ca="1">'Hyperlink Utils'!C4</f>
        <v>Ok</v>
      </c>
      <c r="D40" s="607" t="s">
        <v>554</v>
      </c>
    </row>
    <row r="41" spans="2:5" x14ac:dyDescent="0.25">
      <c r="B41" s="498" t="s">
        <v>84</v>
      </c>
      <c r="C41" s="647" t="str">
        <f ca="1">'Table Formatting'!C4</f>
        <v>Error</v>
      </c>
      <c r="D41" s="607" t="s">
        <v>554</v>
      </c>
    </row>
    <row r="42" spans="2:5" x14ac:dyDescent="0.25">
      <c r="B42" s="424" t="s">
        <v>169</v>
      </c>
      <c r="C42" s="648" t="str">
        <f>'Test Utils'!C4</f>
        <v>Ok</v>
      </c>
    </row>
    <row r="44" spans="2:5" x14ac:dyDescent="0.25">
      <c r="E44" s="174"/>
    </row>
  </sheetData>
  <mergeCells count="1">
    <mergeCell ref="B10:C11"/>
  </mergeCells>
  <conditionalFormatting sqref="C19 C25">
    <cfRule type="cellIs" dxfId="788" priority="41" stopIfTrue="1" operator="equal">
      <formula>"ERROR"</formula>
    </cfRule>
    <cfRule type="cellIs" dxfId="787" priority="42" stopIfTrue="1" operator="equal">
      <formula>"OK"</formula>
    </cfRule>
    <cfRule type="cellIs" dxfId="786" priority="43" stopIfTrue="1" operator="equal">
      <formula>"WARNING"</formula>
    </cfRule>
  </conditionalFormatting>
  <conditionalFormatting sqref="C20">
    <cfRule type="cellIs" dxfId="785" priority="34" stopIfTrue="1" operator="equal">
      <formula>"ERROR"</formula>
    </cfRule>
    <cfRule type="cellIs" dxfId="784" priority="35" stopIfTrue="1" operator="equal">
      <formula>"OK"</formula>
    </cfRule>
    <cfRule type="cellIs" dxfId="783" priority="36" stopIfTrue="1" operator="equal">
      <formula>"WARNING"</formula>
    </cfRule>
  </conditionalFormatting>
  <conditionalFormatting sqref="C21">
    <cfRule type="cellIs" dxfId="782" priority="31" stopIfTrue="1" operator="equal">
      <formula>"ERROR"</formula>
    </cfRule>
    <cfRule type="cellIs" dxfId="781" priority="32" stopIfTrue="1" operator="equal">
      <formula>"OK"</formula>
    </cfRule>
    <cfRule type="cellIs" dxfId="780" priority="33" stopIfTrue="1" operator="equal">
      <formula>"WARNING"</formula>
    </cfRule>
  </conditionalFormatting>
  <conditionalFormatting sqref="D6">
    <cfRule type="cellIs" dxfId="779" priority="47" stopIfTrue="1" operator="equal">
      <formula>"ERROR"</formula>
    </cfRule>
    <cfRule type="cellIs" dxfId="778" priority="48" stopIfTrue="1" operator="equal">
      <formula>"OK"</formula>
    </cfRule>
    <cfRule type="cellIs" dxfId="777" priority="49" stopIfTrue="1" operator="equal">
      <formula>"WARNING"</formula>
    </cfRule>
  </conditionalFormatting>
  <conditionalFormatting sqref="C33">
    <cfRule type="cellIs" dxfId="776" priority="28" stopIfTrue="1" operator="equal">
      <formula>"ERROR"</formula>
    </cfRule>
    <cfRule type="cellIs" dxfId="775" priority="29" stopIfTrue="1" operator="equal">
      <formula>"OK"</formula>
    </cfRule>
    <cfRule type="cellIs" dxfId="774" priority="30" stopIfTrue="1" operator="equal">
      <formula>"WARNING"</formula>
    </cfRule>
  </conditionalFormatting>
  <conditionalFormatting sqref="B10:C11">
    <cfRule type="cellIs" dxfId="773" priority="25" stopIfTrue="1" operator="equal">
      <formula>"ERROR"</formula>
    </cfRule>
    <cfRule type="cellIs" dxfId="772" priority="26" stopIfTrue="1" operator="equal">
      <formula>"OK"</formula>
    </cfRule>
    <cfRule type="cellIs" dxfId="771" priority="27" stopIfTrue="1" operator="equal">
      <formula>"WARNING"</formula>
    </cfRule>
  </conditionalFormatting>
  <conditionalFormatting sqref="C31:C32">
    <cfRule type="cellIs" dxfId="770" priority="50" stopIfTrue="1" operator="equal">
      <formula>"ERROR"</formula>
    </cfRule>
    <cfRule type="cellIs" dxfId="769" priority="51" stopIfTrue="1" operator="equal">
      <formula>"OK"</formula>
    </cfRule>
    <cfRule type="cellIs" dxfId="768" priority="52" stopIfTrue="1" operator="equal">
      <formula>"WARNING"</formula>
    </cfRule>
  </conditionalFormatting>
  <conditionalFormatting sqref="C34">
    <cfRule type="cellIs" dxfId="767" priority="53" stopIfTrue="1" operator="equal">
      <formula>"ERROR"</formula>
    </cfRule>
    <cfRule type="cellIs" dxfId="766" priority="54" stopIfTrue="1" operator="equal">
      <formula>"OK"</formula>
    </cfRule>
    <cfRule type="cellIs" dxfId="765" priority="55" stopIfTrue="1" operator="equal">
      <formula>"WARNING"</formula>
    </cfRule>
  </conditionalFormatting>
  <conditionalFormatting sqref="C35">
    <cfRule type="cellIs" dxfId="764" priority="16" stopIfTrue="1" operator="equal">
      <formula>"ERROR"</formula>
    </cfRule>
    <cfRule type="cellIs" dxfId="763" priority="17" stopIfTrue="1" operator="equal">
      <formula>"OK"</formula>
    </cfRule>
    <cfRule type="cellIs" dxfId="762" priority="18" stopIfTrue="1" operator="equal">
      <formula>"WARNING"</formula>
    </cfRule>
  </conditionalFormatting>
  <conditionalFormatting sqref="C24">
    <cfRule type="cellIs" dxfId="761" priority="13" stopIfTrue="1" operator="equal">
      <formula>"ERROR"</formula>
    </cfRule>
    <cfRule type="cellIs" dxfId="760" priority="14" stopIfTrue="1" operator="equal">
      <formula>"OK"</formula>
    </cfRule>
    <cfRule type="cellIs" dxfId="759" priority="15" stopIfTrue="1" operator="equal">
      <formula>"WARNING"</formula>
    </cfRule>
  </conditionalFormatting>
  <conditionalFormatting sqref="C28">
    <cfRule type="cellIs" dxfId="758" priority="10" stopIfTrue="1" operator="equal">
      <formula>"ERROR"</formula>
    </cfRule>
    <cfRule type="cellIs" dxfId="757" priority="11" stopIfTrue="1" operator="equal">
      <formula>"OK"</formula>
    </cfRule>
    <cfRule type="cellIs" dxfId="756" priority="12" stopIfTrue="1" operator="equal">
      <formula>"WARNING"</formula>
    </cfRule>
  </conditionalFormatting>
  <conditionalFormatting sqref="C39:C40">
    <cfRule type="cellIs" dxfId="755" priority="7" stopIfTrue="1" operator="equal">
      <formula>"ERROR"</formula>
    </cfRule>
    <cfRule type="cellIs" dxfId="754" priority="8" stopIfTrue="1" operator="equal">
      <formula>"OK"</formula>
    </cfRule>
    <cfRule type="cellIs" dxfId="753" priority="9" stopIfTrue="1" operator="equal">
      <formula>"WARNING"</formula>
    </cfRule>
  </conditionalFormatting>
  <conditionalFormatting sqref="C42">
    <cfRule type="cellIs" dxfId="752" priority="4" stopIfTrue="1" operator="equal">
      <formula>"ERROR"</formula>
    </cfRule>
    <cfRule type="cellIs" dxfId="751" priority="5" stopIfTrue="1" operator="equal">
      <formula>"OK"</formula>
    </cfRule>
    <cfRule type="cellIs" dxfId="750" priority="6" stopIfTrue="1" operator="equal">
      <formula>"WARNING"</formula>
    </cfRule>
  </conditionalFormatting>
  <conditionalFormatting sqref="C41">
    <cfRule type="cellIs" dxfId="749" priority="1" stopIfTrue="1" operator="equal">
      <formula>"ERROR"</formula>
    </cfRule>
    <cfRule type="cellIs" dxfId="748" priority="2" stopIfTrue="1" operator="equal">
      <formula>"OK"</formula>
    </cfRule>
    <cfRule type="cellIs" dxfId="747" priority="3" stopIfTrue="1" operator="equal">
      <formula>"WARNING"</formula>
    </cfRule>
  </conditionalFormatting>
  <hyperlinks>
    <hyperlink ref="B31" location="Curves.Title" display="Curves" xr:uid="{55B00831-142E-4799-B620-B8B79F221D3E}"/>
    <hyperlink ref="B41" location="TableFormatting.Title" display="Table Formatting" xr:uid="{36F5A4C0-4058-4EAB-B9F0-3120B1D828EB}"/>
    <hyperlink ref="B42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3" location="'Rate Utils'!A1" display="'Rate Utils'!A1" xr:uid="{6865330E-4314-49F8-9ECC-C7A098D85B5E}"/>
    <hyperlink ref="B25" location="'Equity Utils'!A1" display="'Equity Utils'!A1" xr:uid="{233267BC-3445-4D37-B566-C8265B4B7E59}"/>
    <hyperlink ref="B34" location="'Sinlge Curve Bootstrapping'!A1" display="'Sinlge Curve Bootstrapping'!A1" xr:uid="{F91BBC8F-0528-489F-A403-1736F6EFE17D}"/>
    <hyperlink ref="B35" location="'Multi Curve Bootstrapping'!A1" display="'Multi Curve Bootstrapping'!A1" xr:uid="{DA0A3CD7-37D7-40E8-A325-6C0293965A45}"/>
    <hyperlink ref="B36" location="'HullWhite'!A1" display="'HullWhite'!A1" xr:uid="{6AB32900-68A8-42A4-90E7-C1FDC2A0E7BF}"/>
    <hyperlink ref="B32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Equity Pricers'!A1" display="'Equity Pricers'!A1" xr:uid="{ACCFF503-7305-4516-B506-922039E56CDB}"/>
    <hyperlink ref="B40" location="'Hyperlink Utils'!A1" display="'Hyperlink Utils'!A1" xr:uid="{3E859666-F850-4055-8256-44616CA0E893}"/>
    <hyperlink ref="B39" location="'Fix EMS Links Utils'!A1" display="'Fix EMS Links Utils'!A1" xr:uid="{79C4CFED-2F49-4516-A231-9E295BC89BB4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6"/>
  <sheetViews>
    <sheetView showGridLines="0" zoomScaleNormal="100" workbookViewId="0">
      <selection activeCell="B1" sqref="B1"/>
    </sheetView>
  </sheetViews>
  <sheetFormatPr defaultColWidth="9" defaultRowHeight="12.75" x14ac:dyDescent="0.2"/>
  <cols>
    <col min="1" max="1" width="3.75" style="308" customWidth="1"/>
    <col min="2" max="2" width="17.125" style="308" customWidth="1"/>
    <col min="3" max="3" width="17" style="308" customWidth="1"/>
    <col min="4" max="4" width="13.875" style="308" bestFit="1" customWidth="1"/>
    <col min="5" max="5" width="17.375" style="308" customWidth="1"/>
    <col min="6" max="6" width="13.875" style="308" bestFit="1" customWidth="1"/>
    <col min="7" max="7" width="12.375" style="308" customWidth="1"/>
    <col min="8" max="8" width="11.625" style="308" customWidth="1"/>
    <col min="9" max="10" width="9.75" style="308" customWidth="1"/>
    <col min="11" max="11" width="9.625" style="308" customWidth="1"/>
    <col min="12" max="12" width="12.625" style="308" customWidth="1"/>
    <col min="13" max="13" width="13.875" style="308" bestFit="1" customWidth="1"/>
    <col min="14" max="14" width="9.375" style="308" customWidth="1"/>
    <col min="15" max="15" width="10" style="308" customWidth="1"/>
    <col min="16" max="16" width="16" style="308" customWidth="1"/>
    <col min="17" max="17" width="8.875" style="308" bestFit="1" customWidth="1"/>
    <col min="18" max="18" width="10.625" style="308" customWidth="1"/>
    <col min="19" max="20" width="9.375" style="308" customWidth="1"/>
    <col min="21" max="22" width="8.75" style="308" customWidth="1"/>
    <col min="23" max="27" width="9.25" style="308" customWidth="1"/>
    <col min="28" max="16384" width="9" style="308"/>
  </cols>
  <sheetData>
    <row r="1" spans="2:43" x14ac:dyDescent="0.2">
      <c r="B1" s="418" t="s">
        <v>403</v>
      </c>
    </row>
    <row r="2" spans="2:43" ht="26.25" x14ac:dyDescent="0.4">
      <c r="B2" s="2" t="s">
        <v>0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</row>
    <row r="4" spans="2:43" x14ac:dyDescent="0.2">
      <c r="B4" s="59" t="s">
        <v>155</v>
      </c>
      <c r="C4" s="310" t="str" cm="1">
        <f t="array" ref="C4">_xll.d.TestUtils_And(D7:D20)</f>
        <v>Ok</v>
      </c>
    </row>
    <row r="6" spans="2:43" x14ac:dyDescent="0.2">
      <c r="B6" s="199" t="s">
        <v>225</v>
      </c>
      <c r="C6" s="199"/>
      <c r="D6" s="200" t="s">
        <v>10</v>
      </c>
    </row>
    <row r="7" spans="2:43" x14ac:dyDescent="0.2">
      <c r="B7" s="425" t="s">
        <v>513</v>
      </c>
      <c r="C7" s="425"/>
      <c r="D7" s="310" t="str">
        <f>C26</f>
        <v>Ok</v>
      </c>
    </row>
    <row r="8" spans="2:43" x14ac:dyDescent="0.2">
      <c r="B8" s="425" t="s">
        <v>479</v>
      </c>
      <c r="C8" s="425"/>
      <c r="D8" s="310" t="str">
        <f>C38</f>
        <v>Ok</v>
      </c>
    </row>
    <row r="9" spans="2:43" x14ac:dyDescent="0.2">
      <c r="B9" s="425" t="s">
        <v>483</v>
      </c>
      <c r="C9" s="425"/>
      <c r="D9" s="310" t="str">
        <f>C50</f>
        <v>Ok</v>
      </c>
    </row>
    <row r="10" spans="2:43" x14ac:dyDescent="0.2">
      <c r="B10" s="425" t="s">
        <v>477</v>
      </c>
      <c r="C10" s="425"/>
      <c r="D10" s="310" t="str">
        <f>C62</f>
        <v>Ok</v>
      </c>
    </row>
    <row r="11" spans="2:43" x14ac:dyDescent="0.2">
      <c r="B11" s="425" t="s">
        <v>394</v>
      </c>
      <c r="C11" s="425"/>
      <c r="D11" s="310" t="str">
        <f>C74</f>
        <v>Ok</v>
      </c>
    </row>
    <row r="12" spans="2:43" x14ac:dyDescent="0.2">
      <c r="B12" s="425" t="s">
        <v>395</v>
      </c>
      <c r="C12" s="425"/>
      <c r="D12" s="310" t="str">
        <f>C89</f>
        <v>Ok</v>
      </c>
    </row>
    <row r="13" spans="2:43" x14ac:dyDescent="0.2">
      <c r="B13" s="425" t="s">
        <v>396</v>
      </c>
      <c r="C13" s="425"/>
      <c r="D13" s="310" t="str">
        <f>C104</f>
        <v>Ok</v>
      </c>
    </row>
    <row r="14" spans="2:43" x14ac:dyDescent="0.2">
      <c r="B14" s="425" t="s">
        <v>397</v>
      </c>
      <c r="C14" s="425"/>
      <c r="D14" s="310" t="str">
        <f>C119</f>
        <v>Ok</v>
      </c>
    </row>
    <row r="15" spans="2:43" x14ac:dyDescent="0.2">
      <c r="B15" s="425" t="s">
        <v>398</v>
      </c>
      <c r="C15" s="425"/>
      <c r="D15" s="310" t="str">
        <f>C133</f>
        <v>Ok</v>
      </c>
    </row>
    <row r="16" spans="2:43" x14ac:dyDescent="0.2">
      <c r="B16" s="425" t="s">
        <v>399</v>
      </c>
      <c r="C16" s="425"/>
      <c r="D16" s="310" t="str">
        <f>C178</f>
        <v>Ok</v>
      </c>
    </row>
    <row r="17" spans="2:7" x14ac:dyDescent="0.2">
      <c r="B17" s="425" t="s">
        <v>400</v>
      </c>
      <c r="C17" s="425"/>
      <c r="D17" s="310" t="str">
        <f>C205</f>
        <v>Ok</v>
      </c>
    </row>
    <row r="18" spans="2:7" x14ac:dyDescent="0.2">
      <c r="B18" s="425" t="s">
        <v>401</v>
      </c>
      <c r="C18" s="425"/>
      <c r="D18" s="310" t="str">
        <f>C221</f>
        <v>Ok</v>
      </c>
    </row>
    <row r="19" spans="2:7" x14ac:dyDescent="0.2">
      <c r="B19" s="425" t="s">
        <v>402</v>
      </c>
      <c r="C19" s="425"/>
      <c r="D19" s="310" t="str">
        <f>C236</f>
        <v>Ok</v>
      </c>
    </row>
    <row r="20" spans="2:7" x14ac:dyDescent="0.2">
      <c r="B20" s="425" t="s">
        <v>470</v>
      </c>
      <c r="C20" s="425"/>
      <c r="D20" s="310" t="str">
        <f>C250</f>
        <v>Ok</v>
      </c>
    </row>
    <row r="24" spans="2:7" ht="18.75" x14ac:dyDescent="0.3">
      <c r="B24" s="3" t="s">
        <v>513</v>
      </c>
      <c r="C24" s="316"/>
      <c r="D24" s="316"/>
      <c r="E24" s="316"/>
      <c r="F24" s="316"/>
      <c r="G24" s="316"/>
    </row>
    <row r="26" spans="2:7" x14ac:dyDescent="0.2">
      <c r="B26" s="59" t="s">
        <v>155</v>
      </c>
      <c r="C26" s="310" t="str" cm="1">
        <f t="array" ref="C26">_xll.d.TestUtils_And(G31)</f>
        <v>Ok</v>
      </c>
    </row>
    <row r="27" spans="2:7" x14ac:dyDescent="0.2">
      <c r="G27" s="309"/>
    </row>
    <row r="28" spans="2:7" ht="15.75" x14ac:dyDescent="0.25">
      <c r="B28" s="4" t="s">
        <v>105</v>
      </c>
      <c r="C28" s="317"/>
      <c r="D28" s="317"/>
      <c r="E28" s="317"/>
      <c r="F28" s="317"/>
      <c r="G28" s="317"/>
    </row>
    <row r="30" spans="2:7" x14ac:dyDescent="0.2">
      <c r="B30" s="131" t="s">
        <v>241</v>
      </c>
      <c r="C30" s="132"/>
      <c r="E30" s="131" t="s">
        <v>129</v>
      </c>
      <c r="F30" s="131" t="s">
        <v>243</v>
      </c>
      <c r="G30" s="131" t="s">
        <v>83</v>
      </c>
    </row>
    <row r="31" spans="2:7" x14ac:dyDescent="0.2">
      <c r="B31" s="133" t="s">
        <v>247</v>
      </c>
      <c r="C31" s="311">
        <v>44742</v>
      </c>
      <c r="E31" s="550" cm="1">
        <f t="array" ref="E31">_xll.d.Dates_Act360(C31,C32)</f>
        <v>0.25555555555555554</v>
      </c>
      <c r="F31" s="551">
        <v>0.25555555555555554</v>
      </c>
      <c r="G31" s="320" t="str" cm="1">
        <f t="array" ref="G31">_xll.d.TestUtils_Equal(E31,F31)</f>
        <v>Ok</v>
      </c>
    </row>
    <row r="32" spans="2:7" x14ac:dyDescent="0.2">
      <c r="B32" s="137" t="s">
        <v>248</v>
      </c>
      <c r="C32" s="331">
        <f>EDATE(C31,3)</f>
        <v>44834</v>
      </c>
    </row>
    <row r="36" spans="2:7" ht="18.75" x14ac:dyDescent="0.3">
      <c r="B36" s="3" t="s">
        <v>479</v>
      </c>
      <c r="C36" s="316"/>
      <c r="D36" s="316"/>
      <c r="E36" s="316"/>
      <c r="F36" s="316"/>
      <c r="G36" s="316"/>
    </row>
    <row r="38" spans="2:7" x14ac:dyDescent="0.2">
      <c r="B38" s="59" t="s">
        <v>155</v>
      </c>
      <c r="C38" s="310" t="str" cm="1">
        <f t="array" ref="C38">_xll.d.TestUtils_And(G46,N46,U46,AB46)</f>
        <v>Ok</v>
      </c>
    </row>
    <row r="39" spans="2:7" x14ac:dyDescent="0.2">
      <c r="G39" s="309"/>
    </row>
    <row r="40" spans="2:7" ht="15.75" x14ac:dyDescent="0.25">
      <c r="B40" s="4" t="s">
        <v>105</v>
      </c>
      <c r="C40" s="317"/>
      <c r="D40" s="317"/>
      <c r="E40" s="317"/>
      <c r="F40" s="317"/>
      <c r="G40" s="317"/>
    </row>
    <row r="42" spans="2:7" x14ac:dyDescent="0.2">
      <c r="B42" s="131" t="s">
        <v>241</v>
      </c>
      <c r="C42" s="132"/>
      <c r="E42" s="131" t="s">
        <v>129</v>
      </c>
      <c r="F42" s="131" t="s">
        <v>243</v>
      </c>
      <c r="G42" s="131" t="s">
        <v>83</v>
      </c>
    </row>
    <row r="43" spans="2:7" x14ac:dyDescent="0.2">
      <c r="B43" s="133" t="s">
        <v>247</v>
      </c>
      <c r="C43" s="311">
        <v>44742</v>
      </c>
      <c r="E43" s="550" cm="1">
        <f t="array" ref="E43">_xll.d.Dates_Act360(C43,C44)</f>
        <v>0.25555555555555554</v>
      </c>
      <c r="F43" s="551">
        <f>(C44-C43)/360</f>
        <v>0.25555555555555554</v>
      </c>
      <c r="G43" s="320" t="str" cm="1">
        <f t="array" ref="G43">_xll.d.TestUtils_Equal(E43,F43)</f>
        <v>Ok</v>
      </c>
    </row>
    <row r="44" spans="2:7" x14ac:dyDescent="0.2">
      <c r="B44" s="137" t="s">
        <v>248</v>
      </c>
      <c r="C44" s="331">
        <f>EDATE(C43,3)</f>
        <v>44834</v>
      </c>
    </row>
    <row r="48" spans="2:7" ht="18.75" x14ac:dyDescent="0.3">
      <c r="B48" s="3" t="s">
        <v>483</v>
      </c>
      <c r="C48" s="316"/>
      <c r="D48" s="316"/>
      <c r="E48" s="316"/>
      <c r="F48" s="316"/>
      <c r="G48" s="316"/>
    </row>
    <row r="50" spans="2:7" x14ac:dyDescent="0.2">
      <c r="B50" s="59" t="s">
        <v>155</v>
      </c>
      <c r="C50" s="310" t="str" cm="1">
        <f t="array" ref="C50">_xll.d.TestUtils_And(G58,N58,U58,AB58)</f>
        <v>Ok</v>
      </c>
    </row>
    <row r="51" spans="2:7" x14ac:dyDescent="0.2">
      <c r="G51" s="309"/>
    </row>
    <row r="52" spans="2:7" ht="15.75" x14ac:dyDescent="0.25">
      <c r="B52" s="4" t="s">
        <v>105</v>
      </c>
      <c r="C52" s="317"/>
      <c r="D52" s="317"/>
      <c r="E52" s="317"/>
      <c r="F52" s="317"/>
      <c r="G52" s="317"/>
    </row>
    <row r="54" spans="2:7" x14ac:dyDescent="0.2">
      <c r="B54" s="131" t="s">
        <v>241</v>
      </c>
      <c r="C54" s="132"/>
      <c r="E54" s="131" t="s">
        <v>129</v>
      </c>
      <c r="F54" s="131" t="s">
        <v>243</v>
      </c>
      <c r="G54" s="131" t="s">
        <v>83</v>
      </c>
    </row>
    <row r="55" spans="2:7" x14ac:dyDescent="0.2">
      <c r="B55" s="133" t="s">
        <v>247</v>
      </c>
      <c r="C55" s="311">
        <v>44742</v>
      </c>
      <c r="E55" s="550" cm="1">
        <f t="array" ref="E55">_xll.d.Dates_Act364(C55,C56)</f>
        <v>0.25274725274725274</v>
      </c>
      <c r="F55" s="551">
        <f>(C56-C55)/364</f>
        <v>0.25274725274725274</v>
      </c>
      <c r="G55" s="320" t="str" cm="1">
        <f t="array" ref="G55">_xll.d.TestUtils_Equal(E55,F55)</f>
        <v>Ok</v>
      </c>
    </row>
    <row r="56" spans="2:7" x14ac:dyDescent="0.2">
      <c r="B56" s="137" t="s">
        <v>248</v>
      </c>
      <c r="C56" s="331">
        <f>EDATE(C55,3)</f>
        <v>44834</v>
      </c>
    </row>
    <row r="60" spans="2:7" ht="18.75" x14ac:dyDescent="0.3">
      <c r="B60" s="3" t="s">
        <v>477</v>
      </c>
      <c r="C60" s="316"/>
      <c r="D60" s="316"/>
      <c r="E60" s="316"/>
      <c r="F60" s="316"/>
      <c r="G60" s="316"/>
    </row>
    <row r="62" spans="2:7" x14ac:dyDescent="0.2">
      <c r="B62" s="59" t="s">
        <v>155</v>
      </c>
      <c r="C62" s="310" t="str" cm="1">
        <f t="array" ref="C62">_xll.d.TestUtils_And(G67,N67,U67,AB67)</f>
        <v>Ok</v>
      </c>
    </row>
    <row r="63" spans="2:7" x14ac:dyDescent="0.2">
      <c r="G63" s="309"/>
    </row>
    <row r="64" spans="2:7" ht="15.75" x14ac:dyDescent="0.25">
      <c r="B64" s="4" t="s">
        <v>105</v>
      </c>
      <c r="C64" s="317"/>
      <c r="D64" s="317"/>
      <c r="E64" s="317"/>
      <c r="F64" s="317"/>
      <c r="G64" s="317"/>
    </row>
    <row r="66" spans="2:43" x14ac:dyDescent="0.2">
      <c r="B66" s="131" t="s">
        <v>241</v>
      </c>
      <c r="C66" s="132"/>
      <c r="E66" s="131" t="s">
        <v>129</v>
      </c>
      <c r="F66" s="131" t="s">
        <v>243</v>
      </c>
      <c r="G66" s="131" t="s">
        <v>83</v>
      </c>
    </row>
    <row r="67" spans="2:43" x14ac:dyDescent="0.2">
      <c r="B67" s="133" t="s">
        <v>247</v>
      </c>
      <c r="C67" s="311">
        <v>44742</v>
      </c>
      <c r="E67" s="550" cm="1">
        <f t="array" ref="E67">_xll.d.Dates_Act365(C67,C68)</f>
        <v>0.25205479452054796</v>
      </c>
      <c r="F67" s="551">
        <f>(C68-C67)/365</f>
        <v>0.25205479452054796</v>
      </c>
      <c r="G67" s="320" t="str" cm="1">
        <f t="array" ref="G67">_xll.d.TestUtils_Equal(E67,F67)</f>
        <v>Ok</v>
      </c>
    </row>
    <row r="68" spans="2:43" x14ac:dyDescent="0.2">
      <c r="B68" s="137" t="s">
        <v>248</v>
      </c>
      <c r="C68" s="331">
        <f>EDATE(C67,3)</f>
        <v>44834</v>
      </c>
    </row>
    <row r="72" spans="2:43" ht="18.75" x14ac:dyDescent="0.3">
      <c r="B72" s="3" t="s">
        <v>394</v>
      </c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316"/>
      <c r="S72" s="316"/>
      <c r="T72" s="316"/>
      <c r="U72" s="316"/>
      <c r="V72" s="316"/>
      <c r="W72" s="316"/>
      <c r="X72" s="316"/>
      <c r="Y72" s="316"/>
      <c r="Z72" s="316"/>
      <c r="AA72" s="316"/>
      <c r="AB72" s="316"/>
      <c r="AC72" s="316"/>
      <c r="AD72" s="316"/>
      <c r="AE72" s="316"/>
      <c r="AF72" s="316"/>
      <c r="AG72" s="316"/>
      <c r="AH72" s="316"/>
      <c r="AI72" s="316"/>
      <c r="AJ72" s="316"/>
    </row>
    <row r="74" spans="2:43" x14ac:dyDescent="0.2">
      <c r="B74" s="59" t="s">
        <v>155</v>
      </c>
      <c r="C74" s="310" t="str" cm="1">
        <f t="array" ref="C74">_xll.d.TestUtils_And(G79,N79,U79,AD79,AQ79)</f>
        <v>Ok</v>
      </c>
    </row>
    <row r="75" spans="2:43" x14ac:dyDescent="0.2">
      <c r="G75" s="309"/>
    </row>
    <row r="76" spans="2:43" ht="15.75" x14ac:dyDescent="0.25">
      <c r="B76" s="4" t="s">
        <v>242</v>
      </c>
      <c r="C76" s="317"/>
      <c r="D76" s="317"/>
      <c r="E76" s="317"/>
      <c r="F76" s="317"/>
      <c r="G76" s="317"/>
      <c r="I76" s="4" t="s">
        <v>492</v>
      </c>
      <c r="J76" s="317"/>
      <c r="K76" s="317"/>
      <c r="L76" s="317"/>
      <c r="M76" s="317"/>
      <c r="N76" s="317"/>
      <c r="P76" s="4" t="s">
        <v>490</v>
      </c>
      <c r="Q76" s="4"/>
      <c r="R76" s="317"/>
      <c r="S76" s="317"/>
      <c r="T76" s="317"/>
      <c r="U76" s="317"/>
      <c r="W76" s="4" t="s">
        <v>491</v>
      </c>
      <c r="X76" s="317"/>
      <c r="Y76" s="317"/>
      <c r="Z76" s="317"/>
      <c r="AA76" s="317"/>
      <c r="AB76" s="317"/>
      <c r="AC76" s="317"/>
      <c r="AD76" s="317"/>
      <c r="AF76" s="4" t="s">
        <v>489</v>
      </c>
      <c r="AG76" s="317"/>
      <c r="AH76" s="317"/>
      <c r="AI76" s="317"/>
      <c r="AJ76" s="317"/>
      <c r="AK76" s="317"/>
      <c r="AL76" s="317"/>
      <c r="AM76" s="317"/>
      <c r="AN76" s="317"/>
      <c r="AO76" s="317"/>
      <c r="AP76" s="317"/>
      <c r="AQ76" s="317"/>
    </row>
    <row r="77" spans="2:43" x14ac:dyDescent="0.2">
      <c r="G77" s="309"/>
    </row>
    <row r="78" spans="2:43" x14ac:dyDescent="0.2">
      <c r="B78" s="131" t="s">
        <v>241</v>
      </c>
      <c r="C78" s="132"/>
      <c r="E78" s="131" t="s">
        <v>129</v>
      </c>
      <c r="F78" s="131" t="s">
        <v>243</v>
      </c>
      <c r="G78" s="131" t="s">
        <v>83</v>
      </c>
      <c r="I78" s="131" t="s">
        <v>241</v>
      </c>
      <c r="J78" s="132"/>
      <c r="L78" s="131" t="s">
        <v>129</v>
      </c>
      <c r="M78" s="131" t="s">
        <v>243</v>
      </c>
      <c r="N78" s="131" t="s">
        <v>83</v>
      </c>
      <c r="P78" s="131" t="s">
        <v>241</v>
      </c>
      <c r="Q78" s="132"/>
      <c r="S78" s="131" t="s">
        <v>129</v>
      </c>
      <c r="T78" s="131" t="s">
        <v>243</v>
      </c>
      <c r="U78" s="131" t="s">
        <v>83</v>
      </c>
      <c r="W78" s="131" t="s">
        <v>241</v>
      </c>
      <c r="X78" s="132"/>
      <c r="Z78" s="131" t="s">
        <v>129</v>
      </c>
      <c r="AA78" s="131"/>
      <c r="AB78" s="131" t="s">
        <v>243</v>
      </c>
      <c r="AC78" s="131"/>
      <c r="AD78" s="131" t="s">
        <v>83</v>
      </c>
      <c r="AF78" s="131" t="s">
        <v>241</v>
      </c>
      <c r="AG78" s="132"/>
      <c r="AI78" s="131" t="s">
        <v>129</v>
      </c>
      <c r="AJ78" s="131"/>
      <c r="AK78" s="131"/>
      <c r="AL78" s="131"/>
      <c r="AM78" s="131" t="s">
        <v>243</v>
      </c>
      <c r="AN78" s="131"/>
      <c r="AO78" s="131"/>
      <c r="AP78" s="131"/>
      <c r="AQ78" s="131" t="s">
        <v>83</v>
      </c>
    </row>
    <row r="79" spans="2:43" x14ac:dyDescent="0.2">
      <c r="B79" s="313" t="s">
        <v>34</v>
      </c>
      <c r="C79" s="314">
        <v>44742</v>
      </c>
      <c r="E79" s="318" cm="1">
        <f t="array" ref="E79">_xll.d.Dates_FolDay(C79,B81:B83)</f>
        <v>44743</v>
      </c>
      <c r="F79" s="319">
        <v>44743</v>
      </c>
      <c r="G79" s="320" t="str" cm="1">
        <f t="array" ref="G79">_xll.d.TestUtils_Equal(E79,F79)</f>
        <v>Ok</v>
      </c>
      <c r="I79" s="313" t="s">
        <v>34</v>
      </c>
      <c r="J79" s="314">
        <v>44742</v>
      </c>
      <c r="L79" s="318" cm="1">
        <f t="array" ref="L79">_xll.d.Dates_FolDay(J79,I81:J83)</f>
        <v>44746</v>
      </c>
      <c r="M79" s="319">
        <v>44746</v>
      </c>
      <c r="N79" s="320" t="str" cm="1">
        <f t="array" ref="N79">_xll.d.TestUtils_Equal(L79,M79)</f>
        <v>Ok</v>
      </c>
      <c r="P79" s="133" t="s">
        <v>34</v>
      </c>
      <c r="Q79" s="311">
        <v>44728</v>
      </c>
      <c r="S79" s="318" cm="1">
        <f t="array" ref="S79">_xll.d.Dates_FolDay(Q79,Q80)</f>
        <v>44729</v>
      </c>
      <c r="T79" s="319">
        <v>44729</v>
      </c>
      <c r="U79" s="320" t="str" cm="1">
        <f t="array" ref="U79">_xll.d.TestUtils_Equal(S79,T79)</f>
        <v>Ok</v>
      </c>
      <c r="W79" s="133" t="s">
        <v>34</v>
      </c>
      <c r="X79" s="311">
        <v>44746</v>
      </c>
      <c r="Z79" s="552" cm="1">
        <f t="array" ref="Z79">_xll.d.Dates_FolDay(X79,X80)</f>
        <v>44747</v>
      </c>
      <c r="AA79" s="553"/>
      <c r="AB79" s="553">
        <v>44747</v>
      </c>
      <c r="AC79" s="553"/>
      <c r="AD79" s="320" t="str" cm="1">
        <f t="array" ref="AD79">_xll.d.TestUtils_Equal(Z79,AB79)</f>
        <v>Ok</v>
      </c>
      <c r="AF79" s="133" t="s">
        <v>34</v>
      </c>
      <c r="AG79" s="311">
        <v>44746</v>
      </c>
      <c r="AI79" s="552" t="str" cm="1">
        <f t="array" ref="AI79">_xll.d.Dates_FolDay(AG79,AG80)</f>
        <v>#∂Excel Error: Unsupported calendar: 'WRE'</v>
      </c>
      <c r="AJ79" s="553"/>
      <c r="AK79" s="553"/>
      <c r="AL79" s="553"/>
      <c r="AM79" s="553" t="s">
        <v>480</v>
      </c>
      <c r="AN79" s="553"/>
      <c r="AO79" s="553"/>
      <c r="AP79" s="553"/>
      <c r="AQ79" s="320" t="str" cm="1">
        <f t="array" ref="AQ79">_xll.d.TestUtils_Equal(AI79,AM79)</f>
        <v>Ok</v>
      </c>
    </row>
    <row r="80" spans="2:43" x14ac:dyDescent="0.2">
      <c r="G80" s="309"/>
      <c r="I80" s="466" t="s">
        <v>493</v>
      </c>
      <c r="P80" s="137" t="s">
        <v>230</v>
      </c>
      <c r="Q80" s="138" t="s">
        <v>69</v>
      </c>
      <c r="W80" s="137" t="s">
        <v>230</v>
      </c>
      <c r="X80" s="138" t="s">
        <v>246</v>
      </c>
      <c r="AF80" s="137" t="s">
        <v>230</v>
      </c>
      <c r="AG80" s="138" t="s">
        <v>252</v>
      </c>
    </row>
    <row r="81" spans="2:36" x14ac:dyDescent="0.2">
      <c r="B81" s="312" t="s">
        <v>240</v>
      </c>
      <c r="G81" s="309"/>
      <c r="I81" s="573" t="s">
        <v>487</v>
      </c>
      <c r="J81" s="574" t="s">
        <v>488</v>
      </c>
    </row>
    <row r="82" spans="2:36" x14ac:dyDescent="0.2">
      <c r="B82" s="321">
        <v>44742</v>
      </c>
      <c r="I82" s="569">
        <v>44742</v>
      </c>
      <c r="J82" s="570">
        <v>44743</v>
      </c>
    </row>
    <row r="83" spans="2:36" x14ac:dyDescent="0.2">
      <c r="B83" s="322">
        <v>44920</v>
      </c>
      <c r="E83" s="568"/>
      <c r="F83" s="568"/>
      <c r="G83" s="309"/>
      <c r="I83" s="571">
        <v>44920</v>
      </c>
      <c r="J83" s="572"/>
      <c r="AA83" s="568"/>
    </row>
    <row r="84" spans="2:36" x14ac:dyDescent="0.2">
      <c r="G84" s="309"/>
      <c r="S84" s="568"/>
      <c r="T84" s="568"/>
      <c r="U84" s="568"/>
      <c r="W84" s="568"/>
      <c r="X84" s="568"/>
    </row>
    <row r="85" spans="2:36" x14ac:dyDescent="0.2">
      <c r="G85" s="309"/>
      <c r="S85" s="568"/>
      <c r="T85" s="568"/>
      <c r="U85" s="568"/>
      <c r="W85" s="568"/>
      <c r="X85" s="568"/>
    </row>
    <row r="86" spans="2:36" x14ac:dyDescent="0.2">
      <c r="G86" s="309"/>
      <c r="U86" s="568"/>
    </row>
    <row r="87" spans="2:36" ht="18.75" x14ac:dyDescent="0.3">
      <c r="B87" s="3" t="s">
        <v>395</v>
      </c>
      <c r="C87" s="316"/>
      <c r="D87" s="316"/>
      <c r="E87" s="316"/>
      <c r="F87" s="316"/>
      <c r="G87" s="316"/>
      <c r="H87" s="316"/>
      <c r="I87" s="316"/>
      <c r="J87" s="316"/>
      <c r="K87" s="316"/>
      <c r="L87" s="316"/>
      <c r="M87" s="316"/>
      <c r="N87" s="316"/>
      <c r="O87" s="316"/>
      <c r="P87" s="316"/>
      <c r="Q87" s="316"/>
      <c r="R87" s="316"/>
      <c r="S87" s="316"/>
      <c r="T87" s="316"/>
      <c r="U87" s="316"/>
      <c r="V87" s="316"/>
      <c r="W87" s="316"/>
      <c r="X87" s="316"/>
      <c r="Y87" s="316"/>
      <c r="Z87" s="316"/>
      <c r="AA87" s="316"/>
      <c r="AB87" s="316"/>
    </row>
    <row r="89" spans="2:36" x14ac:dyDescent="0.2">
      <c r="B89" s="59" t="s">
        <v>155</v>
      </c>
      <c r="C89" s="310" t="str" cm="1">
        <f t="array" ref="C89">_xll.d.TestUtils_And(G94,N94,W94,AJ94)</f>
        <v>Ok</v>
      </c>
    </row>
    <row r="91" spans="2:36" ht="15.75" x14ac:dyDescent="0.25">
      <c r="B91" s="4" t="s">
        <v>242</v>
      </c>
      <c r="C91" s="317"/>
      <c r="D91" s="317"/>
      <c r="E91" s="317"/>
      <c r="F91" s="317"/>
      <c r="G91" s="317"/>
      <c r="I91" s="4" t="s">
        <v>244</v>
      </c>
      <c r="J91" s="4"/>
      <c r="K91" s="317"/>
      <c r="L91" s="317"/>
      <c r="M91" s="317"/>
      <c r="N91" s="317"/>
      <c r="P91" s="4" t="s">
        <v>245</v>
      </c>
      <c r="Q91" s="317"/>
      <c r="R91" s="317"/>
      <c r="S91" s="317"/>
      <c r="T91" s="317"/>
      <c r="U91" s="317"/>
      <c r="V91" s="317"/>
      <c r="W91" s="317"/>
      <c r="Y91" s="4" t="s">
        <v>251</v>
      </c>
      <c r="Z91" s="317"/>
      <c r="AA91" s="317"/>
      <c r="AB91" s="317"/>
      <c r="AC91" s="317"/>
      <c r="AD91" s="317"/>
      <c r="AE91" s="317"/>
      <c r="AF91" s="317"/>
      <c r="AG91" s="317"/>
      <c r="AH91" s="317"/>
      <c r="AI91" s="317"/>
      <c r="AJ91" s="317"/>
    </row>
    <row r="92" spans="2:36" x14ac:dyDescent="0.2">
      <c r="G92" s="309"/>
    </row>
    <row r="93" spans="2:36" x14ac:dyDescent="0.2">
      <c r="B93" s="131" t="s">
        <v>241</v>
      </c>
      <c r="C93" s="132"/>
      <c r="E93" s="131" t="s">
        <v>129</v>
      </c>
      <c r="F93" s="131" t="s">
        <v>243</v>
      </c>
      <c r="G93" s="131" t="s">
        <v>83</v>
      </c>
      <c r="I93" s="131" t="s">
        <v>241</v>
      </c>
      <c r="J93" s="132"/>
      <c r="L93" s="131" t="s">
        <v>129</v>
      </c>
      <c r="M93" s="131" t="s">
        <v>243</v>
      </c>
      <c r="N93" s="131" t="s">
        <v>83</v>
      </c>
      <c r="P93" s="131" t="s">
        <v>241</v>
      </c>
      <c r="Q93" s="132"/>
      <c r="S93" s="131" t="s">
        <v>129</v>
      </c>
      <c r="T93" s="131"/>
      <c r="U93" s="131" t="s">
        <v>243</v>
      </c>
      <c r="V93" s="131"/>
      <c r="W93" s="131" t="s">
        <v>83</v>
      </c>
      <c r="Y93" s="131" t="s">
        <v>241</v>
      </c>
      <c r="Z93" s="132"/>
      <c r="AB93" s="131" t="s">
        <v>129</v>
      </c>
      <c r="AC93" s="131"/>
      <c r="AD93" s="131"/>
      <c r="AE93" s="131"/>
      <c r="AF93" s="131" t="s">
        <v>243</v>
      </c>
      <c r="AG93" s="131"/>
      <c r="AH93" s="131"/>
      <c r="AI93" s="131"/>
      <c r="AJ93" s="131" t="s">
        <v>83</v>
      </c>
    </row>
    <row r="94" spans="2:36" x14ac:dyDescent="0.2">
      <c r="B94" s="313" t="s">
        <v>34</v>
      </c>
      <c r="C94" s="314">
        <v>44742</v>
      </c>
      <c r="E94" s="318" cm="1">
        <f t="array" ref="E94">_xll.d.Dates_ModFolDay(C94,B96:B98)</f>
        <v>44741</v>
      </c>
      <c r="F94" s="319">
        <v>44741</v>
      </c>
      <c r="G94" s="320" t="str" cm="1">
        <f t="array" ref="G94">_xll.d.TestUtils_Equal(E94,F94)</f>
        <v>Ok</v>
      </c>
      <c r="I94" s="133" t="s">
        <v>34</v>
      </c>
      <c r="J94" s="311">
        <v>44728</v>
      </c>
      <c r="L94" s="318" cm="1">
        <f t="array" ref="L94">_xll.d.Dates_ModFolDay(J94,J95)</f>
        <v>44729</v>
      </c>
      <c r="M94" s="319">
        <v>44729</v>
      </c>
      <c r="N94" s="320" t="str" cm="1">
        <f t="array" ref="N94">_xll.d.TestUtils_Equal(L94,M94)</f>
        <v>Ok</v>
      </c>
      <c r="P94" s="133" t="s">
        <v>34</v>
      </c>
      <c r="Q94" s="311">
        <v>44746</v>
      </c>
      <c r="S94" s="552" cm="1">
        <f t="array" ref="S94">_xll.d.Dates_ModFolDay(Q94,Q95)</f>
        <v>44747</v>
      </c>
      <c r="T94" s="553"/>
      <c r="U94" s="553">
        <v>44747</v>
      </c>
      <c r="V94" s="553"/>
      <c r="W94" s="320" t="str" cm="1">
        <f t="array" ref="W94">_xll.d.TestUtils_Equal(S94,U94)</f>
        <v>Ok</v>
      </c>
      <c r="Y94" s="133" t="s">
        <v>34</v>
      </c>
      <c r="Z94" s="311">
        <v>44746</v>
      </c>
      <c r="AB94" s="552" t="str" cm="1">
        <f t="array" ref="AB94">_xll.d.Dates_ModFolDay(Z94,Z95)</f>
        <v>#∂Excel Error: Unsupported calendar: 'WRE'</v>
      </c>
      <c r="AC94" s="553"/>
      <c r="AD94" s="553"/>
      <c r="AE94" s="553"/>
      <c r="AF94" s="553" t="s">
        <v>480</v>
      </c>
      <c r="AG94" s="553"/>
      <c r="AH94" s="553"/>
      <c r="AI94" s="553"/>
      <c r="AJ94" s="320" t="str" cm="1">
        <f t="array" ref="AJ94">_xll.d.TestUtils_Equal(AB94,AF94)</f>
        <v>Ok</v>
      </c>
    </row>
    <row r="95" spans="2:36" x14ac:dyDescent="0.2">
      <c r="G95" s="309"/>
      <c r="I95" s="137" t="s">
        <v>230</v>
      </c>
      <c r="J95" s="138" t="s">
        <v>69</v>
      </c>
      <c r="P95" s="137" t="s">
        <v>230</v>
      </c>
      <c r="Q95" s="138" t="s">
        <v>246</v>
      </c>
      <c r="Y95" s="137" t="s">
        <v>230</v>
      </c>
      <c r="Z95" s="138" t="s">
        <v>252</v>
      </c>
    </row>
    <row r="96" spans="2:36" x14ac:dyDescent="0.2">
      <c r="B96" s="312" t="s">
        <v>240</v>
      </c>
      <c r="G96" s="309"/>
    </row>
    <row r="97" spans="2:36" x14ac:dyDescent="0.2">
      <c r="B97" s="321">
        <v>44742</v>
      </c>
      <c r="D97" s="568"/>
      <c r="E97" s="568"/>
      <c r="F97" s="568"/>
      <c r="G97" s="568"/>
    </row>
    <row r="98" spans="2:36" x14ac:dyDescent="0.2">
      <c r="B98" s="322">
        <v>44920</v>
      </c>
      <c r="D98" s="568"/>
      <c r="E98" s="568"/>
      <c r="F98" s="568"/>
      <c r="G98" s="309"/>
    </row>
    <row r="99" spans="2:36" x14ac:dyDescent="0.2">
      <c r="D99" s="568"/>
      <c r="E99" s="568"/>
      <c r="F99" s="568"/>
      <c r="G99" s="309"/>
    </row>
    <row r="100" spans="2:36" x14ac:dyDescent="0.2">
      <c r="G100" s="309"/>
    </row>
    <row r="101" spans="2:36" x14ac:dyDescent="0.2">
      <c r="G101" s="309"/>
    </row>
    <row r="102" spans="2:36" ht="18.75" x14ac:dyDescent="0.3">
      <c r="B102" s="3" t="s">
        <v>396</v>
      </c>
      <c r="C102" s="316"/>
      <c r="D102" s="316"/>
      <c r="E102" s="316"/>
      <c r="F102" s="316"/>
      <c r="G102" s="316"/>
      <c r="H102" s="316"/>
      <c r="I102" s="316"/>
      <c r="J102" s="316"/>
      <c r="K102" s="316"/>
      <c r="L102" s="316"/>
      <c r="M102" s="316"/>
      <c r="N102" s="316"/>
      <c r="O102" s="316"/>
      <c r="P102" s="316"/>
      <c r="Q102" s="316"/>
      <c r="R102" s="316"/>
      <c r="S102" s="316"/>
      <c r="T102" s="316"/>
      <c r="U102" s="316"/>
      <c r="V102" s="316"/>
      <c r="W102" s="316"/>
      <c r="X102" s="316"/>
      <c r="Y102" s="316"/>
      <c r="Z102" s="316"/>
      <c r="AA102" s="316"/>
      <c r="AB102" s="316"/>
      <c r="AC102" s="316"/>
      <c r="AD102" s="316"/>
      <c r="AE102" s="316"/>
      <c r="AF102" s="316"/>
      <c r="AG102" s="316"/>
      <c r="AH102" s="316"/>
      <c r="AI102" s="316"/>
      <c r="AJ102" s="316"/>
    </row>
    <row r="104" spans="2:36" x14ac:dyDescent="0.2">
      <c r="B104" s="59" t="s">
        <v>155</v>
      </c>
      <c r="C104" s="310" t="str" cm="1">
        <f t="array" ref="C104">_xll.d.TestUtils_And(G109,N109,W109,AJ109)</f>
        <v>Ok</v>
      </c>
    </row>
    <row r="105" spans="2:36" x14ac:dyDescent="0.2">
      <c r="G105" s="309"/>
    </row>
    <row r="106" spans="2:36" ht="15.75" x14ac:dyDescent="0.25">
      <c r="B106" s="4" t="s">
        <v>242</v>
      </c>
      <c r="C106" s="317"/>
      <c r="D106" s="317"/>
      <c r="E106" s="317"/>
      <c r="F106" s="317"/>
      <c r="G106" s="317"/>
      <c r="I106" s="4" t="s">
        <v>244</v>
      </c>
      <c r="J106" s="4"/>
      <c r="K106" s="317"/>
      <c r="L106" s="317"/>
      <c r="M106" s="317"/>
      <c r="N106" s="317"/>
      <c r="P106" s="4" t="s">
        <v>245</v>
      </c>
      <c r="Q106" s="317"/>
      <c r="R106" s="317"/>
      <c r="S106" s="317"/>
      <c r="T106" s="317"/>
      <c r="U106" s="317"/>
      <c r="V106" s="317"/>
      <c r="W106" s="317"/>
      <c r="Y106" s="4" t="s">
        <v>251</v>
      </c>
      <c r="Z106" s="317"/>
      <c r="AA106" s="317"/>
      <c r="AB106" s="317"/>
      <c r="AC106" s="317"/>
      <c r="AD106" s="317"/>
      <c r="AE106" s="317"/>
      <c r="AF106" s="317"/>
      <c r="AG106" s="317"/>
      <c r="AH106" s="317"/>
      <c r="AI106" s="317"/>
      <c r="AJ106" s="317"/>
    </row>
    <row r="107" spans="2:36" x14ac:dyDescent="0.2">
      <c r="G107" s="309"/>
    </row>
    <row r="108" spans="2:36" x14ac:dyDescent="0.2">
      <c r="B108" s="131" t="s">
        <v>241</v>
      </c>
      <c r="C108" s="132"/>
      <c r="E108" s="131" t="s">
        <v>129</v>
      </c>
      <c r="F108" s="131" t="s">
        <v>243</v>
      </c>
      <c r="G108" s="131" t="s">
        <v>83</v>
      </c>
      <c r="I108" s="131" t="s">
        <v>241</v>
      </c>
      <c r="J108" s="132"/>
      <c r="L108" s="131" t="s">
        <v>129</v>
      </c>
      <c r="M108" s="131" t="s">
        <v>243</v>
      </c>
      <c r="N108" s="131" t="s">
        <v>83</v>
      </c>
      <c r="P108" s="131" t="s">
        <v>241</v>
      </c>
      <c r="Q108" s="132"/>
      <c r="S108" s="131" t="s">
        <v>129</v>
      </c>
      <c r="T108" s="131"/>
      <c r="U108" s="131" t="s">
        <v>243</v>
      </c>
      <c r="V108" s="131"/>
      <c r="W108" s="131" t="s">
        <v>83</v>
      </c>
      <c r="Y108" s="131" t="s">
        <v>241</v>
      </c>
      <c r="Z108" s="132"/>
      <c r="AB108" s="131" t="s">
        <v>129</v>
      </c>
      <c r="AC108" s="131"/>
      <c r="AD108" s="131"/>
      <c r="AE108" s="131"/>
      <c r="AF108" s="131" t="s">
        <v>243</v>
      </c>
      <c r="AG108" s="131"/>
      <c r="AH108" s="131"/>
      <c r="AI108" s="131"/>
      <c r="AJ108" s="131" t="s">
        <v>83</v>
      </c>
    </row>
    <row r="109" spans="2:36" x14ac:dyDescent="0.2">
      <c r="B109" s="313" t="s">
        <v>34</v>
      </c>
      <c r="C109" s="314">
        <v>44742</v>
      </c>
      <c r="E109" s="318" cm="1">
        <f t="array" ref="E109">_xll.d.Dates_PrevDay(C109,B111:B113)</f>
        <v>44741</v>
      </c>
      <c r="F109" s="319">
        <v>44741</v>
      </c>
      <c r="G109" s="320" t="str" cm="1">
        <f t="array" ref="G109">_xll.d.TestUtils_Equal(E109,F109)</f>
        <v>Ok</v>
      </c>
      <c r="I109" s="133" t="s">
        <v>34</v>
      </c>
      <c r="J109" s="311">
        <v>44728</v>
      </c>
      <c r="L109" s="318" cm="1">
        <f t="array" ref="L109">_xll.d.Dates_PrevDay(J109,J110)</f>
        <v>44727</v>
      </c>
      <c r="M109" s="319">
        <v>44727</v>
      </c>
      <c r="N109" s="320" t="str" cm="1">
        <f t="array" ref="N109">_xll.d.TestUtils_Equal(L109,M109)</f>
        <v>Ok</v>
      </c>
      <c r="P109" s="133" t="s">
        <v>34</v>
      </c>
      <c r="Q109" s="311">
        <v>44746</v>
      </c>
      <c r="S109" s="552" cm="1">
        <f t="array" ref="S109">_xll.d.Dates_PrevDay(Q109,Q110)</f>
        <v>44743</v>
      </c>
      <c r="T109" s="553"/>
      <c r="U109" s="553">
        <v>44743</v>
      </c>
      <c r="V109" s="553"/>
      <c r="W109" s="320" t="str" cm="1">
        <f t="array" ref="W109">_xll.d.TestUtils_Equal(S109,U109)</f>
        <v>Ok</v>
      </c>
      <c r="Y109" s="133" t="s">
        <v>34</v>
      </c>
      <c r="Z109" s="311">
        <v>44746</v>
      </c>
      <c r="AB109" s="552" t="str" cm="1">
        <f t="array" ref="AB109">_xll.d.Dates_PrevDay(Z109,Z110)</f>
        <v>#∂Excel Error: Unsupported calendar: 'WRE'</v>
      </c>
      <c r="AC109" s="553"/>
      <c r="AD109" s="553"/>
      <c r="AE109" s="553"/>
      <c r="AF109" s="553" t="s">
        <v>480</v>
      </c>
      <c r="AG109" s="553"/>
      <c r="AH109" s="553"/>
      <c r="AI109" s="553"/>
      <c r="AJ109" s="320" t="str" cm="1">
        <f t="array" ref="AJ109">_xll.d.TestUtils_Equal(AB109,AF109)</f>
        <v>Ok</v>
      </c>
    </row>
    <row r="110" spans="2:36" x14ac:dyDescent="0.2">
      <c r="G110" s="309"/>
      <c r="I110" s="137" t="s">
        <v>230</v>
      </c>
      <c r="J110" s="138" t="s">
        <v>69</v>
      </c>
      <c r="P110" s="137" t="s">
        <v>230</v>
      </c>
      <c r="Q110" s="138" t="s">
        <v>246</v>
      </c>
      <c r="Y110" s="137" t="s">
        <v>230</v>
      </c>
      <c r="Z110" s="138" t="s">
        <v>252</v>
      </c>
    </row>
    <row r="111" spans="2:36" x14ac:dyDescent="0.2">
      <c r="B111" s="312" t="s">
        <v>240</v>
      </c>
      <c r="G111" s="309"/>
    </row>
    <row r="112" spans="2:36" x14ac:dyDescent="0.2">
      <c r="B112" s="321">
        <v>44742</v>
      </c>
    </row>
    <row r="113" spans="2:45" x14ac:dyDescent="0.2">
      <c r="B113" s="322">
        <v>44920</v>
      </c>
      <c r="G113" s="309"/>
    </row>
    <row r="114" spans="2:45" x14ac:dyDescent="0.2">
      <c r="G114" s="309"/>
    </row>
    <row r="115" spans="2:45" x14ac:dyDescent="0.2">
      <c r="G115" s="309"/>
    </row>
    <row r="116" spans="2:45" x14ac:dyDescent="0.2">
      <c r="G116" s="309"/>
    </row>
    <row r="117" spans="2:45" ht="18.75" x14ac:dyDescent="0.3">
      <c r="B117" s="3" t="s">
        <v>397</v>
      </c>
      <c r="C117" s="316"/>
      <c r="D117" s="316"/>
      <c r="E117" s="316"/>
      <c r="F117" s="316"/>
      <c r="G117" s="316"/>
      <c r="H117" s="316"/>
      <c r="I117" s="316"/>
      <c r="J117" s="316"/>
      <c r="K117" s="316"/>
      <c r="L117" s="316"/>
      <c r="M117" s="316"/>
      <c r="N117" s="316"/>
      <c r="O117" s="316"/>
      <c r="P117" s="316"/>
      <c r="Q117" s="316"/>
      <c r="R117" s="316"/>
      <c r="S117" s="316"/>
      <c r="T117" s="316"/>
      <c r="U117" s="316"/>
      <c r="V117" s="316"/>
      <c r="W117" s="316"/>
      <c r="X117" s="316"/>
      <c r="Y117" s="316"/>
      <c r="Z117" s="316"/>
      <c r="AA117" s="316"/>
      <c r="AB117" s="316"/>
      <c r="AC117" s="316"/>
      <c r="AD117" s="316"/>
      <c r="AE117" s="316"/>
      <c r="AF117" s="316"/>
      <c r="AG117" s="316"/>
      <c r="AH117" s="316"/>
      <c r="AI117" s="316"/>
      <c r="AJ117" s="316"/>
      <c r="AK117" s="316"/>
      <c r="AL117" s="316"/>
      <c r="AM117" s="316"/>
      <c r="AN117" s="316"/>
      <c r="AO117" s="316"/>
      <c r="AP117" s="316"/>
      <c r="AQ117" s="316"/>
      <c r="AR117" s="316"/>
      <c r="AS117" s="316"/>
    </row>
    <row r="119" spans="2:45" x14ac:dyDescent="0.2">
      <c r="B119" s="59" t="s">
        <v>155</v>
      </c>
      <c r="C119" s="310" t="str" cm="1">
        <f t="array" ref="C119">_xll.d.TestUtils_And(G124,O124,AC124,AS124)</f>
        <v>Ok</v>
      </c>
    </row>
    <row r="121" spans="2:45" ht="15.75" x14ac:dyDescent="0.25">
      <c r="B121" s="4" t="s">
        <v>249</v>
      </c>
      <c r="C121" s="317"/>
      <c r="D121" s="317"/>
      <c r="E121" s="317"/>
      <c r="F121" s="317"/>
      <c r="G121" s="317"/>
      <c r="I121" s="4" t="s">
        <v>250</v>
      </c>
      <c r="J121" s="4"/>
      <c r="K121" s="317"/>
      <c r="L121" s="317"/>
      <c r="M121" s="317"/>
      <c r="N121" s="317"/>
      <c r="O121" s="317"/>
      <c r="Q121" s="4" t="s">
        <v>254</v>
      </c>
      <c r="R121" s="4"/>
      <c r="S121" s="317"/>
      <c r="T121" s="317"/>
      <c r="U121" s="317"/>
      <c r="V121" s="317"/>
      <c r="W121" s="317"/>
      <c r="X121" s="317"/>
      <c r="Y121" s="317"/>
      <c r="Z121" s="317"/>
      <c r="AA121" s="317"/>
      <c r="AB121" s="317"/>
      <c r="AC121" s="317"/>
      <c r="AE121" s="4" t="s">
        <v>255</v>
      </c>
      <c r="AF121" s="4"/>
      <c r="AG121" s="317"/>
      <c r="AH121" s="317"/>
      <c r="AI121" s="317"/>
      <c r="AJ121" s="317"/>
      <c r="AK121" s="317"/>
      <c r="AL121" s="317"/>
      <c r="AM121" s="317"/>
      <c r="AN121" s="317"/>
      <c r="AO121" s="317"/>
      <c r="AP121" s="317"/>
      <c r="AQ121" s="317"/>
      <c r="AR121" s="317"/>
      <c r="AS121" s="317"/>
    </row>
    <row r="123" spans="2:45" x14ac:dyDescent="0.2">
      <c r="B123" s="131" t="s">
        <v>241</v>
      </c>
      <c r="C123" s="132"/>
      <c r="E123" s="12" t="s">
        <v>129</v>
      </c>
      <c r="F123" s="27" t="s">
        <v>243</v>
      </c>
      <c r="G123" s="132" t="s">
        <v>83</v>
      </c>
      <c r="I123" s="131" t="s">
        <v>241</v>
      </c>
      <c r="J123" s="202"/>
      <c r="K123" s="132"/>
      <c r="M123" s="12" t="s">
        <v>129</v>
      </c>
      <c r="N123" s="27" t="s">
        <v>243</v>
      </c>
      <c r="O123" s="132" t="s">
        <v>83</v>
      </c>
      <c r="Q123" s="131" t="s">
        <v>241</v>
      </c>
      <c r="R123" s="202"/>
      <c r="S123" s="132"/>
      <c r="U123" s="12" t="s">
        <v>129</v>
      </c>
      <c r="V123" s="27"/>
      <c r="W123" s="27"/>
      <c r="X123" s="27"/>
      <c r="Y123" s="27" t="s">
        <v>243</v>
      </c>
      <c r="Z123" s="27"/>
      <c r="AA123" s="27"/>
      <c r="AB123" s="27"/>
      <c r="AC123" s="132" t="s">
        <v>83</v>
      </c>
      <c r="AE123" s="131" t="s">
        <v>241</v>
      </c>
      <c r="AF123" s="202"/>
      <c r="AG123" s="132"/>
      <c r="AI123" s="12" t="s">
        <v>129</v>
      </c>
      <c r="AJ123" s="27"/>
      <c r="AK123" s="27"/>
      <c r="AL123" s="27"/>
      <c r="AM123" s="27"/>
      <c r="AN123" s="27" t="s">
        <v>243</v>
      </c>
      <c r="AO123" s="27"/>
      <c r="AP123" s="27"/>
      <c r="AQ123" s="27"/>
      <c r="AR123" s="27"/>
      <c r="AS123" s="132" t="s">
        <v>83</v>
      </c>
    </row>
    <row r="124" spans="2:45" x14ac:dyDescent="0.2">
      <c r="B124" s="133" t="s">
        <v>34</v>
      </c>
      <c r="C124" s="311">
        <v>44562</v>
      </c>
      <c r="E124" s="318" cm="1">
        <f t="array" ref="E124">_xll.d.Dates_AddTenorToDate(C124,C125,C126,C127)</f>
        <v>44652</v>
      </c>
      <c r="F124" s="319">
        <v>44652</v>
      </c>
      <c r="G124" s="320" t="str" cm="1">
        <f t="array" ref="G124">_xll.d.TestUtils_Equal(E124,F124)</f>
        <v>Ok</v>
      </c>
      <c r="I124" s="472" t="s">
        <v>34</v>
      </c>
      <c r="J124" s="554"/>
      <c r="K124" s="311">
        <v>44562</v>
      </c>
      <c r="M124" s="318" cm="1">
        <f t="array" ref="M124">_xll.d.Dates_AddTenorToDate(K124,K125,K126,K127)</f>
        <v>44652</v>
      </c>
      <c r="N124" s="319">
        <v>44652</v>
      </c>
      <c r="O124" s="320" t="str" cm="1">
        <f t="array" ref="O124">_xll.d.TestUtils_Equal(M124,N124)</f>
        <v>Ok</v>
      </c>
      <c r="Q124" s="472" t="s">
        <v>34</v>
      </c>
      <c r="R124" s="554"/>
      <c r="S124" s="311">
        <v>44562</v>
      </c>
      <c r="U124" s="552" t="str" cm="1">
        <f t="array" ref="U124">_xll.d.Dates_AddTenorToDate(S124,S125,S126,S127)</f>
        <v>#∂Excel Error: Unsupported calendar: 'WRE'</v>
      </c>
      <c r="V124" s="553"/>
      <c r="W124" s="553"/>
      <c r="X124" s="553"/>
      <c r="Y124" s="553" t="s">
        <v>480</v>
      </c>
      <c r="Z124" s="553"/>
      <c r="AA124" s="553"/>
      <c r="AB124" s="553"/>
      <c r="AC124" s="320" t="str" cm="1">
        <f t="array" ref="AC124">_xll.d.TestUtils_Equal(U124,Y124)</f>
        <v>Ok</v>
      </c>
      <c r="AE124" s="472" t="s">
        <v>34</v>
      </c>
      <c r="AF124" s="554"/>
      <c r="AG124" s="311">
        <v>44562</v>
      </c>
      <c r="AI124" s="552" t="str" cm="1">
        <f t="array" ref="AI124">_xll.d.Dates_AddTenorToDate(AG124,AG125,AG126,AG127)</f>
        <v>#∂Excel Error: Unsupported business day convention: 'ASD'</v>
      </c>
      <c r="AJ124" s="553"/>
      <c r="AK124" s="553"/>
      <c r="AL124" s="553"/>
      <c r="AM124" s="553"/>
      <c r="AN124" s="553" t="s">
        <v>481</v>
      </c>
      <c r="AO124" s="553"/>
      <c r="AP124" s="553"/>
      <c r="AQ124" s="553"/>
      <c r="AR124" s="553"/>
      <c r="AS124" s="320" t="str" cm="1">
        <f t="array" ref="AS124">_xll.d.TestUtils_Equal(AI124,AN124)</f>
        <v>Ok</v>
      </c>
    </row>
    <row r="125" spans="2:45" x14ac:dyDescent="0.2">
      <c r="B125" s="135" t="s">
        <v>23</v>
      </c>
      <c r="C125" s="323" t="s">
        <v>25</v>
      </c>
      <c r="I125" s="473" t="s">
        <v>23</v>
      </c>
      <c r="J125" s="555"/>
      <c r="K125" s="323" t="s">
        <v>25</v>
      </c>
      <c r="Q125" s="473" t="s">
        <v>23</v>
      </c>
      <c r="R125" s="555"/>
      <c r="S125" s="323" t="s">
        <v>25</v>
      </c>
      <c r="AE125" s="473" t="s">
        <v>23</v>
      </c>
      <c r="AF125" s="555"/>
      <c r="AG125" s="323" t="s">
        <v>25</v>
      </c>
    </row>
    <row r="126" spans="2:45" x14ac:dyDescent="0.2">
      <c r="B126" s="135" t="s">
        <v>230</v>
      </c>
      <c r="C126" s="323" t="s">
        <v>69</v>
      </c>
      <c r="E126" s="568"/>
      <c r="I126" s="473" t="s">
        <v>230</v>
      </c>
      <c r="J126" s="555"/>
      <c r="K126" s="323" t="s">
        <v>246</v>
      </c>
      <c r="Q126" s="473" t="s">
        <v>230</v>
      </c>
      <c r="R126" s="555"/>
      <c r="S126" s="323" t="s">
        <v>252</v>
      </c>
      <c r="AE126" s="473" t="s">
        <v>230</v>
      </c>
      <c r="AF126" s="555"/>
      <c r="AG126" s="323" t="s">
        <v>246</v>
      </c>
    </row>
    <row r="127" spans="2:45" x14ac:dyDescent="0.2">
      <c r="B127" s="137" t="s">
        <v>231</v>
      </c>
      <c r="C127" s="138" t="s">
        <v>232</v>
      </c>
      <c r="E127" s="568"/>
      <c r="I127" s="474" t="s">
        <v>231</v>
      </c>
      <c r="J127" s="556"/>
      <c r="K127" s="138" t="s">
        <v>232</v>
      </c>
      <c r="Q127" s="474" t="s">
        <v>231</v>
      </c>
      <c r="R127" s="556"/>
      <c r="S127" s="138" t="s">
        <v>232</v>
      </c>
      <c r="AE127" s="474" t="s">
        <v>231</v>
      </c>
      <c r="AF127" s="556"/>
      <c r="AG127" s="138" t="s">
        <v>256</v>
      </c>
    </row>
    <row r="128" spans="2:45" x14ac:dyDescent="0.2">
      <c r="B128" s="209"/>
    </row>
    <row r="129" spans="2:30" x14ac:dyDescent="0.2">
      <c r="B129" s="209"/>
    </row>
    <row r="131" spans="2:30" ht="18.75" x14ac:dyDescent="0.3">
      <c r="B131" s="3" t="s">
        <v>398</v>
      </c>
      <c r="C131" s="316"/>
      <c r="D131" s="316"/>
      <c r="E131" s="316"/>
      <c r="F131" s="316"/>
      <c r="G131" s="316"/>
      <c r="H131" s="316"/>
      <c r="I131" s="316"/>
      <c r="J131" s="316"/>
      <c r="K131" s="316"/>
      <c r="L131" s="316"/>
      <c r="M131" s="316"/>
      <c r="N131" s="316"/>
      <c r="O131" s="316"/>
      <c r="P131" s="316"/>
      <c r="Q131" s="316"/>
      <c r="R131" s="316"/>
      <c r="S131" s="316"/>
      <c r="T131" s="316"/>
      <c r="U131" s="316"/>
      <c r="V131" s="316"/>
      <c r="W131" s="316"/>
      <c r="X131" s="316"/>
      <c r="Y131" s="316"/>
      <c r="Z131" s="316"/>
      <c r="AA131" s="316"/>
      <c r="AB131" s="316"/>
      <c r="AC131" s="316"/>
      <c r="AD131" s="316"/>
    </row>
    <row r="133" spans="2:30" x14ac:dyDescent="0.2">
      <c r="B133" s="59" t="s">
        <v>155</v>
      </c>
      <c r="C133" s="310" t="str" cm="1">
        <f t="array" ref="C133">_xll.d.TestUtils_And(L138:O172)</f>
        <v>Ok</v>
      </c>
    </row>
    <row r="135" spans="2:30" ht="15.75" x14ac:dyDescent="0.25">
      <c r="B135" s="4" t="s">
        <v>105</v>
      </c>
      <c r="C135" s="317"/>
      <c r="D135" s="317"/>
      <c r="E135" s="317"/>
      <c r="F135" s="317"/>
      <c r="G135" s="317"/>
      <c r="H135" s="317"/>
      <c r="I135" s="317"/>
      <c r="J135" s="317"/>
      <c r="K135" s="317"/>
      <c r="L135" s="317"/>
      <c r="M135" s="317"/>
      <c r="N135" s="317"/>
      <c r="O135" s="317"/>
    </row>
    <row r="137" spans="2:30" x14ac:dyDescent="0.2">
      <c r="B137" s="131" t="s">
        <v>129</v>
      </c>
      <c r="C137" s="202"/>
      <c r="D137" s="202"/>
      <c r="E137" s="132"/>
      <c r="G137" s="131" t="s">
        <v>243</v>
      </c>
      <c r="H137" s="202"/>
      <c r="I137" s="202"/>
      <c r="J137" s="132"/>
      <c r="L137" s="131" t="s">
        <v>204</v>
      </c>
      <c r="M137" s="202"/>
      <c r="N137" s="202"/>
      <c r="O137" s="132"/>
    </row>
    <row r="138" spans="2:30" x14ac:dyDescent="0.2">
      <c r="B138" s="129" t="str" cm="1">
        <f t="array" ref="B138:E172">_xll.d.Dates_GetListOfCalendars()</f>
        <v>Variant 1</v>
      </c>
      <c r="C138" s="301" t="str">
        <v>Variant 2</v>
      </c>
      <c r="D138" s="301" t="str">
        <v>Variant 3</v>
      </c>
      <c r="E138" s="130" t="str">
        <v>Variant 4</v>
      </c>
      <c r="G138" s="129" t="s">
        <v>259</v>
      </c>
      <c r="H138" s="301" t="s">
        <v>260</v>
      </c>
      <c r="I138" s="301" t="s">
        <v>269</v>
      </c>
      <c r="J138" s="130" t="s">
        <v>270</v>
      </c>
      <c r="L138" s="310" t="str" cm="1">
        <f t="array" ref="L138">_xll.d.TestUtils_Equal(B138,G138)</f>
        <v>Ok</v>
      </c>
      <c r="M138" s="310" t="str" cm="1">
        <f t="array" ref="M138">_xll.d.TestUtils_Equal(C138,H138)</f>
        <v>Ok</v>
      </c>
      <c r="N138" s="310" t="str" cm="1">
        <f t="array" ref="N138">_xll.d.TestUtils_Equal(D138,I138)</f>
        <v>Ok</v>
      </c>
      <c r="O138" s="310" t="str" cm="1">
        <f t="array" ref="O138">_xll.d.TestUtils_Equal(E138,J138)</f>
        <v>Ok</v>
      </c>
    </row>
    <row r="139" spans="2:30" x14ac:dyDescent="0.2">
      <c r="B139" s="133" t="str">
        <v>ARS</v>
      </c>
      <c r="C139" s="330" t="str">
        <v>Argentina</v>
      </c>
      <c r="D139" s="330" t="str">
        <v/>
      </c>
      <c r="E139" s="134" t="str">
        <v/>
      </c>
      <c r="G139" s="133" t="s">
        <v>281</v>
      </c>
      <c r="H139" s="330" t="s">
        <v>282</v>
      </c>
      <c r="I139" s="330" t="s">
        <v>273</v>
      </c>
      <c r="J139" s="134" t="s">
        <v>273</v>
      </c>
      <c r="L139" s="310" t="str" cm="1">
        <f t="array" ref="L139">_xll.d.TestUtils_Equal(B139,G139)</f>
        <v>Ok</v>
      </c>
      <c r="M139" s="310" t="str" cm="1">
        <f t="array" ref="M139">_xll.d.TestUtils_Equal(C139,H139)</f>
        <v>Ok</v>
      </c>
      <c r="N139" s="310" t="str" cm="1">
        <f t="array" ref="N139">_xll.d.TestUtils_Equal(D139,I139)</f>
        <v>Ok</v>
      </c>
      <c r="O139" s="310" t="str" cm="1">
        <f t="array" ref="O139">_xll.d.TestUtils_Equal(E139,J139)</f>
        <v>Ok</v>
      </c>
    </row>
    <row r="140" spans="2:30" x14ac:dyDescent="0.2">
      <c r="B140" s="135" t="str">
        <v>AUD</v>
      </c>
      <c r="C140" s="289" t="str">
        <v>Australia</v>
      </c>
      <c r="D140" s="289" t="str">
        <v/>
      </c>
      <c r="E140" s="136" t="str">
        <v/>
      </c>
      <c r="G140" s="135" t="s">
        <v>283</v>
      </c>
      <c r="H140" s="289" t="s">
        <v>284</v>
      </c>
      <c r="I140" s="289" t="s">
        <v>273</v>
      </c>
      <c r="J140" s="136" t="s">
        <v>273</v>
      </c>
      <c r="L140" s="310" t="str" cm="1">
        <f t="array" ref="L140">_xll.d.TestUtils_Equal(B140,G140)</f>
        <v>Ok</v>
      </c>
      <c r="M140" s="310" t="str" cm="1">
        <f t="array" ref="M140">_xll.d.TestUtils_Equal(C140,H140)</f>
        <v>Ok</v>
      </c>
      <c r="N140" s="310" t="str" cm="1">
        <f t="array" ref="N140">_xll.d.TestUtils_Equal(D140,I140)</f>
        <v>Ok</v>
      </c>
      <c r="O140" s="310" t="str" cm="1">
        <f t="array" ref="O140">_xll.d.TestUtils_Equal(E140,J140)</f>
        <v>Ok</v>
      </c>
    </row>
    <row r="141" spans="2:30" x14ac:dyDescent="0.2">
      <c r="B141" s="135" t="str">
        <v>BWP</v>
      </c>
      <c r="C141" s="289" t="str">
        <v>Botswana</v>
      </c>
      <c r="D141" s="289" t="str">
        <v/>
      </c>
      <c r="E141" s="136" t="str">
        <v/>
      </c>
      <c r="G141" s="135" t="s">
        <v>285</v>
      </c>
      <c r="H141" s="289" t="s">
        <v>286</v>
      </c>
      <c r="I141" s="289" t="s">
        <v>273</v>
      </c>
      <c r="J141" s="136" t="s">
        <v>273</v>
      </c>
      <c r="L141" s="310" t="str" cm="1">
        <f t="array" ref="L141">_xll.d.TestUtils_Equal(B141,G141)</f>
        <v>Ok</v>
      </c>
      <c r="M141" s="310" t="str" cm="1">
        <f t="array" ref="M141">_xll.d.TestUtils_Equal(C141,H141)</f>
        <v>Ok</v>
      </c>
      <c r="N141" s="310" t="str" cm="1">
        <f t="array" ref="N141">_xll.d.TestUtils_Equal(D141,I141)</f>
        <v>Ok</v>
      </c>
      <c r="O141" s="310" t="str" cm="1">
        <f t="array" ref="O141">_xll.d.TestUtils_Equal(E141,J141)</f>
        <v>Ok</v>
      </c>
    </row>
    <row r="142" spans="2:30" x14ac:dyDescent="0.2">
      <c r="B142" s="135" t="str">
        <v>BRL</v>
      </c>
      <c r="C142" s="289" t="str">
        <v>Brazil</v>
      </c>
      <c r="D142" s="289" t="str">
        <v/>
      </c>
      <c r="E142" s="136" t="str">
        <v/>
      </c>
      <c r="G142" s="135" t="s">
        <v>287</v>
      </c>
      <c r="H142" s="289" t="s">
        <v>288</v>
      </c>
      <c r="I142" s="289" t="s">
        <v>273</v>
      </c>
      <c r="J142" s="136" t="s">
        <v>273</v>
      </c>
      <c r="L142" s="310" t="str" cm="1">
        <f t="array" ref="L142">_xll.d.TestUtils_Equal(B142,G142)</f>
        <v>Ok</v>
      </c>
      <c r="M142" s="310" t="str" cm="1">
        <f t="array" ref="M142">_xll.d.TestUtils_Equal(C142,H142)</f>
        <v>Ok</v>
      </c>
      <c r="N142" s="310" t="str" cm="1">
        <f t="array" ref="N142">_xll.d.TestUtils_Equal(D142,I142)</f>
        <v>Ok</v>
      </c>
      <c r="O142" s="310" t="str" cm="1">
        <f t="array" ref="O142">_xll.d.TestUtils_Equal(E142,J142)</f>
        <v>Ok</v>
      </c>
    </row>
    <row r="143" spans="2:30" x14ac:dyDescent="0.2">
      <c r="B143" s="135" t="str">
        <v>CAD</v>
      </c>
      <c r="C143" s="289" t="str">
        <v>Canada</v>
      </c>
      <c r="D143" s="289" t="str">
        <v/>
      </c>
      <c r="E143" s="136" t="str">
        <v/>
      </c>
      <c r="G143" s="135" t="s">
        <v>289</v>
      </c>
      <c r="H143" s="289" t="s">
        <v>290</v>
      </c>
      <c r="I143" s="289" t="s">
        <v>273</v>
      </c>
      <c r="J143" s="136" t="s">
        <v>273</v>
      </c>
      <c r="L143" s="310" t="str" cm="1">
        <f t="array" ref="L143">_xll.d.TestUtils_Equal(B143,G143)</f>
        <v>Ok</v>
      </c>
      <c r="M143" s="310" t="str" cm="1">
        <f t="array" ref="M143">_xll.d.TestUtils_Equal(C143,H143)</f>
        <v>Ok</v>
      </c>
      <c r="N143" s="310" t="str" cm="1">
        <f t="array" ref="N143">_xll.d.TestUtils_Equal(D143,I143)</f>
        <v>Ok</v>
      </c>
      <c r="O143" s="310" t="str" cm="1">
        <f t="array" ref="O143">_xll.d.TestUtils_Equal(E143,J143)</f>
        <v>Ok</v>
      </c>
    </row>
    <row r="144" spans="2:30" x14ac:dyDescent="0.2">
      <c r="B144" s="135" t="str">
        <v>CHF</v>
      </c>
      <c r="C144" s="289" t="str">
        <v>Switzerland</v>
      </c>
      <c r="D144" s="289" t="str">
        <v/>
      </c>
      <c r="E144" s="136" t="str">
        <v/>
      </c>
      <c r="G144" s="135" t="s">
        <v>291</v>
      </c>
      <c r="H144" s="289" t="s">
        <v>292</v>
      </c>
      <c r="I144" s="289" t="s">
        <v>273</v>
      </c>
      <c r="J144" s="136" t="s">
        <v>273</v>
      </c>
      <c r="L144" s="310" t="str" cm="1">
        <f t="array" ref="L144">_xll.d.TestUtils_Equal(B144,G144)</f>
        <v>Ok</v>
      </c>
      <c r="M144" s="310" t="str" cm="1">
        <f t="array" ref="M144">_xll.d.TestUtils_Equal(C144,H144)</f>
        <v>Ok</v>
      </c>
      <c r="N144" s="310" t="str" cm="1">
        <f t="array" ref="N144">_xll.d.TestUtils_Equal(D144,I144)</f>
        <v>Ok</v>
      </c>
      <c r="O144" s="310" t="str" cm="1">
        <f t="array" ref="O144">_xll.d.TestUtils_Equal(E144,J144)</f>
        <v>Ok</v>
      </c>
    </row>
    <row r="145" spans="2:15" x14ac:dyDescent="0.2">
      <c r="B145" s="135" t="str">
        <v>CNH</v>
      </c>
      <c r="C145" s="289" t="str">
        <v>China</v>
      </c>
      <c r="D145" s="289" t="str">
        <v/>
      </c>
      <c r="E145" s="136" t="str">
        <v/>
      </c>
      <c r="G145" s="135" t="s">
        <v>293</v>
      </c>
      <c r="H145" s="289" t="s">
        <v>294</v>
      </c>
      <c r="I145" s="289" t="s">
        <v>273</v>
      </c>
      <c r="J145" s="136" t="s">
        <v>273</v>
      </c>
      <c r="L145" s="310" t="str" cm="1">
        <f t="array" ref="L145">_xll.d.TestUtils_Equal(B145,G145)</f>
        <v>Ok</v>
      </c>
      <c r="M145" s="310" t="str" cm="1">
        <f t="array" ref="M145">_xll.d.TestUtils_Equal(C145,H145)</f>
        <v>Ok</v>
      </c>
      <c r="N145" s="310" t="str" cm="1">
        <f t="array" ref="N145">_xll.d.TestUtils_Equal(D145,I145)</f>
        <v>Ok</v>
      </c>
      <c r="O145" s="310" t="str" cm="1">
        <f t="array" ref="O145">_xll.d.TestUtils_Equal(E145,J145)</f>
        <v>Ok</v>
      </c>
    </row>
    <row r="146" spans="2:15" x14ac:dyDescent="0.2">
      <c r="B146" s="135" t="str">
        <v>CZK</v>
      </c>
      <c r="C146" s="289" t="str">
        <v>Czech Republic</v>
      </c>
      <c r="D146" s="289" t="str">
        <v/>
      </c>
      <c r="E146" s="136" t="str">
        <v/>
      </c>
      <c r="G146" s="135" t="s">
        <v>295</v>
      </c>
      <c r="H146" s="289" t="s">
        <v>296</v>
      </c>
      <c r="I146" s="289" t="s">
        <v>273</v>
      </c>
      <c r="J146" s="136" t="s">
        <v>273</v>
      </c>
      <c r="L146" s="310" t="str" cm="1">
        <f t="array" ref="L146">_xll.d.TestUtils_Equal(B146,G146)</f>
        <v>Ok</v>
      </c>
      <c r="M146" s="310" t="str" cm="1">
        <f t="array" ref="M146">_xll.d.TestUtils_Equal(C146,H146)</f>
        <v>Ok</v>
      </c>
      <c r="N146" s="310" t="str" cm="1">
        <f t="array" ref="N146">_xll.d.TestUtils_Equal(D146,I146)</f>
        <v>Ok</v>
      </c>
      <c r="O146" s="310" t="str" cm="1">
        <f t="array" ref="O146">_xll.d.TestUtils_Equal(E146,J146)</f>
        <v>Ok</v>
      </c>
    </row>
    <row r="147" spans="2:15" x14ac:dyDescent="0.2">
      <c r="B147" s="135" t="str">
        <v>DKK</v>
      </c>
      <c r="C147" s="289" t="str">
        <v>Denmark</v>
      </c>
      <c r="D147" s="289" t="str">
        <v/>
      </c>
      <c r="E147" s="136" t="str">
        <v/>
      </c>
      <c r="G147" s="135" t="s">
        <v>297</v>
      </c>
      <c r="H147" s="289" t="s">
        <v>298</v>
      </c>
      <c r="I147" s="289" t="s">
        <v>273</v>
      </c>
      <c r="J147" s="136" t="s">
        <v>273</v>
      </c>
      <c r="L147" s="310" t="str" cm="1">
        <f t="array" ref="L147">_xll.d.TestUtils_Equal(B147,G147)</f>
        <v>Ok</v>
      </c>
      <c r="M147" s="310" t="str" cm="1">
        <f t="array" ref="M147">_xll.d.TestUtils_Equal(C147,H147)</f>
        <v>Ok</v>
      </c>
      <c r="N147" s="310" t="str" cm="1">
        <f t="array" ref="N147">_xll.d.TestUtils_Equal(D147,I147)</f>
        <v>Ok</v>
      </c>
      <c r="O147" s="310" t="str" cm="1">
        <f t="array" ref="O147">_xll.d.TestUtils_Equal(E147,J147)</f>
        <v>Ok</v>
      </c>
    </row>
    <row r="148" spans="2:15" x14ac:dyDescent="0.2">
      <c r="B148" s="135" t="str">
        <v>EUR</v>
      </c>
      <c r="C148" s="289" t="str">
        <v>Euro</v>
      </c>
      <c r="D148" s="289" t="str">
        <v/>
      </c>
      <c r="E148" s="136" t="str">
        <v/>
      </c>
      <c r="G148" s="135" t="s">
        <v>299</v>
      </c>
      <c r="H148" s="289" t="s">
        <v>300</v>
      </c>
      <c r="I148" s="289" t="s">
        <v>273</v>
      </c>
      <c r="J148" s="136" t="s">
        <v>273</v>
      </c>
      <c r="L148" s="310" t="str" cm="1">
        <f t="array" ref="L148">_xll.d.TestUtils_Equal(B148,G148)</f>
        <v>Ok</v>
      </c>
      <c r="M148" s="310" t="str" cm="1">
        <f t="array" ref="M148">_xll.d.TestUtils_Equal(C148,H148)</f>
        <v>Ok</v>
      </c>
      <c r="N148" s="310" t="str" cm="1">
        <f t="array" ref="N148">_xll.d.TestUtils_Equal(D148,I148)</f>
        <v>Ok</v>
      </c>
      <c r="O148" s="310" t="str" cm="1">
        <f t="array" ref="O148">_xll.d.TestUtils_Equal(E148,J148)</f>
        <v>Ok</v>
      </c>
    </row>
    <row r="149" spans="2:15" x14ac:dyDescent="0.2">
      <c r="B149" s="135" t="str">
        <v>GBP</v>
      </c>
      <c r="C149" s="289" t="str">
        <v>Great Britain</v>
      </c>
      <c r="D149" s="289" t="str">
        <v/>
      </c>
      <c r="E149" s="136" t="str">
        <v/>
      </c>
      <c r="G149" s="135" t="s">
        <v>301</v>
      </c>
      <c r="H149" s="289" t="s">
        <v>302</v>
      </c>
      <c r="I149" s="289" t="s">
        <v>273</v>
      </c>
      <c r="J149" s="136" t="s">
        <v>273</v>
      </c>
      <c r="L149" s="310" t="str" cm="1">
        <f t="array" ref="L149">_xll.d.TestUtils_Equal(B149,G149)</f>
        <v>Ok</v>
      </c>
      <c r="M149" s="310" t="str" cm="1">
        <f t="array" ref="M149">_xll.d.TestUtils_Equal(C149,H149)</f>
        <v>Ok</v>
      </c>
      <c r="N149" s="310" t="str" cm="1">
        <f t="array" ref="N149">_xll.d.TestUtils_Equal(D149,I149)</f>
        <v>Ok</v>
      </c>
      <c r="O149" s="310" t="str" cm="1">
        <f t="array" ref="O149">_xll.d.TestUtils_Equal(E149,J149)</f>
        <v>Ok</v>
      </c>
    </row>
    <row r="150" spans="2:15" x14ac:dyDescent="0.2">
      <c r="B150" s="135" t="str">
        <v>Germany</v>
      </c>
      <c r="C150" s="289" t="str">
        <v/>
      </c>
      <c r="D150" s="289" t="str">
        <v/>
      </c>
      <c r="E150" s="136" t="str">
        <v/>
      </c>
      <c r="G150" s="135" t="s">
        <v>303</v>
      </c>
      <c r="H150" s="289" t="s">
        <v>273</v>
      </c>
      <c r="I150" s="289" t="s">
        <v>273</v>
      </c>
      <c r="J150" s="136" t="s">
        <v>273</v>
      </c>
      <c r="L150" s="310" t="str" cm="1">
        <f t="array" ref="L150">_xll.d.TestUtils_Equal(B150,G150)</f>
        <v>Ok</v>
      </c>
      <c r="M150" s="310" t="str" cm="1">
        <f t="array" ref="M150">_xll.d.TestUtils_Equal(C150,H150)</f>
        <v>Ok</v>
      </c>
      <c r="N150" s="310" t="str" cm="1">
        <f t="array" ref="N150">_xll.d.TestUtils_Equal(D150,I150)</f>
        <v>Ok</v>
      </c>
      <c r="O150" s="310" t="str" cm="1">
        <f t="array" ref="O150">_xll.d.TestUtils_Equal(E150,J150)</f>
        <v>Ok</v>
      </c>
    </row>
    <row r="151" spans="2:15" x14ac:dyDescent="0.2">
      <c r="B151" s="135" t="str">
        <v>HUF</v>
      </c>
      <c r="C151" s="289" t="str">
        <v>Hungary</v>
      </c>
      <c r="D151" s="289" t="str">
        <v/>
      </c>
      <c r="E151" s="136" t="str">
        <v/>
      </c>
      <c r="G151" s="135" t="s">
        <v>304</v>
      </c>
      <c r="H151" s="289" t="s">
        <v>305</v>
      </c>
      <c r="I151" s="289" t="s">
        <v>273</v>
      </c>
      <c r="J151" s="136" t="s">
        <v>273</v>
      </c>
      <c r="L151" s="310" t="str" cm="1">
        <f t="array" ref="L151">_xll.d.TestUtils_Equal(B151,G151)</f>
        <v>Ok</v>
      </c>
      <c r="M151" s="310" t="str" cm="1">
        <f t="array" ref="M151">_xll.d.TestUtils_Equal(C151,H151)</f>
        <v>Ok</v>
      </c>
      <c r="N151" s="310" t="str" cm="1">
        <f t="array" ref="N151">_xll.d.TestUtils_Equal(D151,I151)</f>
        <v>Ok</v>
      </c>
      <c r="O151" s="310" t="str" cm="1">
        <f t="array" ref="O151">_xll.d.TestUtils_Equal(E151,J151)</f>
        <v>Ok</v>
      </c>
    </row>
    <row r="152" spans="2:15" x14ac:dyDescent="0.2">
      <c r="B152" s="135" t="str">
        <v>INR</v>
      </c>
      <c r="C152" s="289" t="str">
        <v>India</v>
      </c>
      <c r="D152" s="289" t="str">
        <v/>
      </c>
      <c r="E152" s="136" t="str">
        <v/>
      </c>
      <c r="G152" s="135" t="s">
        <v>306</v>
      </c>
      <c r="H152" s="289" t="s">
        <v>307</v>
      </c>
      <c r="I152" s="289" t="s">
        <v>273</v>
      </c>
      <c r="J152" s="136" t="s">
        <v>273</v>
      </c>
      <c r="L152" s="310" t="str" cm="1">
        <f t="array" ref="L152">_xll.d.TestUtils_Equal(B152,G152)</f>
        <v>Ok</v>
      </c>
      <c r="M152" s="310" t="str" cm="1">
        <f t="array" ref="M152">_xll.d.TestUtils_Equal(C152,H152)</f>
        <v>Ok</v>
      </c>
      <c r="N152" s="310" t="str" cm="1">
        <f t="array" ref="N152">_xll.d.TestUtils_Equal(D152,I152)</f>
        <v>Ok</v>
      </c>
      <c r="O152" s="310" t="str" cm="1">
        <f t="array" ref="O152">_xll.d.TestUtils_Equal(E152,J152)</f>
        <v>Ok</v>
      </c>
    </row>
    <row r="153" spans="2:15" x14ac:dyDescent="0.2">
      <c r="B153" s="135" t="str">
        <v>ILS</v>
      </c>
      <c r="C153" s="289" t="str">
        <v>Israel</v>
      </c>
      <c r="D153" s="289" t="str">
        <v/>
      </c>
      <c r="E153" s="136" t="str">
        <v/>
      </c>
      <c r="G153" s="135" t="s">
        <v>308</v>
      </c>
      <c r="H153" s="289" t="s">
        <v>309</v>
      </c>
      <c r="I153" s="289" t="s">
        <v>273</v>
      </c>
      <c r="J153" s="136" t="s">
        <v>273</v>
      </c>
      <c r="L153" s="310" t="str" cm="1">
        <f t="array" ref="L153">_xll.d.TestUtils_Equal(B153,G153)</f>
        <v>Ok</v>
      </c>
      <c r="M153" s="310" t="str" cm="1">
        <f t="array" ref="M153">_xll.d.TestUtils_Equal(C153,H153)</f>
        <v>Ok</v>
      </c>
      <c r="N153" s="310" t="str" cm="1">
        <f t="array" ref="N153">_xll.d.TestUtils_Equal(D153,I153)</f>
        <v>Ok</v>
      </c>
      <c r="O153" s="310" t="str" cm="1">
        <f t="array" ref="O153">_xll.d.TestUtils_Equal(E153,J153)</f>
        <v>Ok</v>
      </c>
    </row>
    <row r="154" spans="2:15" x14ac:dyDescent="0.2">
      <c r="B154" s="135" t="str">
        <v>Italy</v>
      </c>
      <c r="C154" s="289" t="str">
        <v/>
      </c>
      <c r="D154" s="289" t="str">
        <v/>
      </c>
      <c r="E154" s="136" t="str">
        <v/>
      </c>
      <c r="G154" s="135" t="s">
        <v>310</v>
      </c>
      <c r="H154" s="289" t="s">
        <v>273</v>
      </c>
      <c r="I154" s="289" t="s">
        <v>273</v>
      </c>
      <c r="J154" s="136" t="s">
        <v>273</v>
      </c>
      <c r="L154" s="310" t="str" cm="1">
        <f t="array" ref="L154">_xll.d.TestUtils_Equal(B154,G154)</f>
        <v>Ok</v>
      </c>
      <c r="M154" s="310" t="str" cm="1">
        <f t="array" ref="M154">_xll.d.TestUtils_Equal(C154,H154)</f>
        <v>Ok</v>
      </c>
      <c r="N154" s="310" t="str" cm="1">
        <f t="array" ref="N154">_xll.d.TestUtils_Equal(D154,I154)</f>
        <v>Ok</v>
      </c>
      <c r="O154" s="310" t="str" cm="1">
        <f t="array" ref="O154">_xll.d.TestUtils_Equal(E154,J154)</f>
        <v>Ok</v>
      </c>
    </row>
    <row r="155" spans="2:15" x14ac:dyDescent="0.2">
      <c r="B155" s="135" t="str">
        <v>JPY</v>
      </c>
      <c r="C155" s="289" t="str">
        <v>Japan</v>
      </c>
      <c r="D155" s="289" t="str">
        <v/>
      </c>
      <c r="E155" s="136" t="str">
        <v/>
      </c>
      <c r="G155" s="135" t="s">
        <v>311</v>
      </c>
      <c r="H155" s="289" t="s">
        <v>312</v>
      </c>
      <c r="I155" s="289" t="s">
        <v>273</v>
      </c>
      <c r="J155" s="136" t="s">
        <v>273</v>
      </c>
      <c r="L155" s="310" t="str" cm="1">
        <f t="array" ref="L155">_xll.d.TestUtils_Equal(B155,G155)</f>
        <v>Ok</v>
      </c>
      <c r="M155" s="310" t="str" cm="1">
        <f t="array" ref="M155">_xll.d.TestUtils_Equal(C155,H155)</f>
        <v>Ok</v>
      </c>
      <c r="N155" s="310" t="str" cm="1">
        <f t="array" ref="N155">_xll.d.TestUtils_Equal(D155,I155)</f>
        <v>Ok</v>
      </c>
      <c r="O155" s="310" t="str" cm="1">
        <f t="array" ref="O155">_xll.d.TestUtils_Equal(E155,J155)</f>
        <v>Ok</v>
      </c>
    </row>
    <row r="156" spans="2:15" x14ac:dyDescent="0.2">
      <c r="B156" s="135" t="str">
        <v>KRW</v>
      </c>
      <c r="C156" s="289" t="str">
        <v>South Korea</v>
      </c>
      <c r="D156" s="289" t="str">
        <v/>
      </c>
      <c r="E156" s="136" t="str">
        <v/>
      </c>
      <c r="G156" s="135" t="s">
        <v>313</v>
      </c>
      <c r="H156" s="289" t="s">
        <v>314</v>
      </c>
      <c r="I156" s="289" t="s">
        <v>273</v>
      </c>
      <c r="J156" s="136" t="s">
        <v>273</v>
      </c>
      <c r="L156" s="310" t="str" cm="1">
        <f t="array" ref="L156">_xll.d.TestUtils_Equal(B156,G156)</f>
        <v>Ok</v>
      </c>
      <c r="M156" s="310" t="str" cm="1">
        <f t="array" ref="M156">_xll.d.TestUtils_Equal(C156,H156)</f>
        <v>Ok</v>
      </c>
      <c r="N156" s="310" t="str" cm="1">
        <f t="array" ref="N156">_xll.d.TestUtils_Equal(D156,I156)</f>
        <v>Ok</v>
      </c>
      <c r="O156" s="310" t="str" cm="1">
        <f t="array" ref="O156">_xll.d.TestUtils_Equal(E156,J156)</f>
        <v>Ok</v>
      </c>
    </row>
    <row r="157" spans="2:15" x14ac:dyDescent="0.2">
      <c r="B157" s="135" t="str">
        <v>MXN</v>
      </c>
      <c r="C157" s="289" t="str">
        <v>Mexico</v>
      </c>
      <c r="D157" s="289" t="str">
        <v/>
      </c>
      <c r="E157" s="136" t="str">
        <v/>
      </c>
      <c r="G157" s="135" t="s">
        <v>315</v>
      </c>
      <c r="H157" s="289" t="s">
        <v>316</v>
      </c>
      <c r="I157" s="289" t="s">
        <v>273</v>
      </c>
      <c r="J157" s="136" t="s">
        <v>273</v>
      </c>
      <c r="L157" s="310" t="str" cm="1">
        <f t="array" ref="L157">_xll.d.TestUtils_Equal(B157,G157)</f>
        <v>Ok</v>
      </c>
      <c r="M157" s="310" t="str" cm="1">
        <f t="array" ref="M157">_xll.d.TestUtils_Equal(C157,H157)</f>
        <v>Ok</v>
      </c>
      <c r="N157" s="310" t="str" cm="1">
        <f t="array" ref="N157">_xll.d.TestUtils_Equal(D157,I157)</f>
        <v>Ok</v>
      </c>
      <c r="O157" s="310" t="str" cm="1">
        <f t="array" ref="O157">_xll.d.TestUtils_Equal(E157,J157)</f>
        <v>Ok</v>
      </c>
    </row>
    <row r="158" spans="2:15" x14ac:dyDescent="0.2">
      <c r="B158" s="135" t="str">
        <v>NOK</v>
      </c>
      <c r="C158" s="289" t="str">
        <v>Norway</v>
      </c>
      <c r="D158" s="289" t="str">
        <v/>
      </c>
      <c r="E158" s="136" t="str">
        <v/>
      </c>
      <c r="G158" s="135" t="s">
        <v>317</v>
      </c>
      <c r="H158" s="289" t="s">
        <v>318</v>
      </c>
      <c r="I158" s="289" t="s">
        <v>273</v>
      </c>
      <c r="J158" s="136" t="s">
        <v>273</v>
      </c>
      <c r="L158" s="310" t="str" cm="1">
        <f t="array" ref="L158">_xll.d.TestUtils_Equal(B158,G158)</f>
        <v>Ok</v>
      </c>
      <c r="M158" s="310" t="str" cm="1">
        <f t="array" ref="M158">_xll.d.TestUtils_Equal(C158,H158)</f>
        <v>Ok</v>
      </c>
      <c r="N158" s="310" t="str" cm="1">
        <f t="array" ref="N158">_xll.d.TestUtils_Equal(D158,I158)</f>
        <v>Ok</v>
      </c>
      <c r="O158" s="310" t="str" cm="1">
        <f t="array" ref="O158">_xll.d.TestUtils_Equal(E158,J158)</f>
        <v>Ok</v>
      </c>
    </row>
    <row r="159" spans="2:15" x14ac:dyDescent="0.2">
      <c r="B159" s="135" t="str">
        <v>NZD</v>
      </c>
      <c r="C159" s="289" t="str">
        <v>New Zealand</v>
      </c>
      <c r="D159" s="289" t="str">
        <v/>
      </c>
      <c r="E159" s="136" t="str">
        <v/>
      </c>
      <c r="G159" s="135" t="s">
        <v>319</v>
      </c>
      <c r="H159" s="289" t="s">
        <v>320</v>
      </c>
      <c r="I159" s="289" t="s">
        <v>273</v>
      </c>
      <c r="J159" s="136" t="s">
        <v>273</v>
      </c>
      <c r="L159" s="310" t="str" cm="1">
        <f t="array" ref="L159">_xll.d.TestUtils_Equal(B159,G159)</f>
        <v>Ok</v>
      </c>
      <c r="M159" s="310" t="str" cm="1">
        <f t="array" ref="M159">_xll.d.TestUtils_Equal(C159,H159)</f>
        <v>Ok</v>
      </c>
      <c r="N159" s="310" t="str" cm="1">
        <f t="array" ref="N159">_xll.d.TestUtils_Equal(D159,I159)</f>
        <v>Ok</v>
      </c>
      <c r="O159" s="310" t="str" cm="1">
        <f t="array" ref="O159">_xll.d.TestUtils_Equal(E159,J159)</f>
        <v>Ok</v>
      </c>
    </row>
    <row r="160" spans="2:15" x14ac:dyDescent="0.2">
      <c r="B160" s="135" t="str">
        <v>PLN</v>
      </c>
      <c r="C160" s="289" t="str">
        <v>Poland</v>
      </c>
      <c r="D160" s="289" t="str">
        <v/>
      </c>
      <c r="E160" s="136" t="str">
        <v/>
      </c>
      <c r="G160" s="135" t="s">
        <v>321</v>
      </c>
      <c r="H160" s="289" t="s">
        <v>322</v>
      </c>
      <c r="I160" s="289" t="s">
        <v>273</v>
      </c>
      <c r="J160" s="136" t="s">
        <v>273</v>
      </c>
      <c r="L160" s="310" t="str" cm="1">
        <f t="array" ref="L160">_xll.d.TestUtils_Equal(B160,G160)</f>
        <v>Ok</v>
      </c>
      <c r="M160" s="310" t="str" cm="1">
        <f t="array" ref="M160">_xll.d.TestUtils_Equal(C160,H160)</f>
        <v>Ok</v>
      </c>
      <c r="N160" s="310" t="str" cm="1">
        <f t="array" ref="N160">_xll.d.TestUtils_Equal(D160,I160)</f>
        <v>Ok</v>
      </c>
      <c r="O160" s="310" t="str" cm="1">
        <f t="array" ref="O160">_xll.d.TestUtils_Equal(E160,J160)</f>
        <v>Ok</v>
      </c>
    </row>
    <row r="161" spans="2:27" x14ac:dyDescent="0.2">
      <c r="B161" s="135" t="str">
        <v>RON</v>
      </c>
      <c r="C161" s="289" t="str">
        <v>Romania</v>
      </c>
      <c r="D161" s="289" t="str">
        <v/>
      </c>
      <c r="E161" s="136" t="str">
        <v/>
      </c>
      <c r="G161" s="135" t="s">
        <v>323</v>
      </c>
      <c r="H161" s="289" t="s">
        <v>324</v>
      </c>
      <c r="I161" s="289" t="s">
        <v>273</v>
      </c>
      <c r="J161" s="136" t="s">
        <v>273</v>
      </c>
      <c r="L161" s="310" t="str" cm="1">
        <f t="array" ref="L161">_xll.d.TestUtils_Equal(B161,G161)</f>
        <v>Ok</v>
      </c>
      <c r="M161" s="310" t="str" cm="1">
        <f t="array" ref="M161">_xll.d.TestUtils_Equal(C161,H161)</f>
        <v>Ok</v>
      </c>
      <c r="N161" s="310" t="str" cm="1">
        <f t="array" ref="N161">_xll.d.TestUtils_Equal(D161,I161)</f>
        <v>Ok</v>
      </c>
      <c r="O161" s="310" t="str" cm="1">
        <f t="array" ref="O161">_xll.d.TestUtils_Equal(E161,J161)</f>
        <v>Ok</v>
      </c>
    </row>
    <row r="162" spans="2:27" x14ac:dyDescent="0.2">
      <c r="B162" s="135" t="str">
        <v>RUB</v>
      </c>
      <c r="C162" s="289" t="str">
        <v>Russia</v>
      </c>
      <c r="D162" s="289" t="str">
        <v/>
      </c>
      <c r="E162" s="136" t="str">
        <v/>
      </c>
      <c r="G162" s="135" t="s">
        <v>325</v>
      </c>
      <c r="H162" s="289" t="s">
        <v>326</v>
      </c>
      <c r="I162" s="289" t="s">
        <v>273</v>
      </c>
      <c r="J162" s="136" t="s">
        <v>273</v>
      </c>
      <c r="L162" s="310" t="str" cm="1">
        <f t="array" ref="L162">_xll.d.TestUtils_Equal(B162,G162)</f>
        <v>Ok</v>
      </c>
      <c r="M162" s="310" t="str" cm="1">
        <f t="array" ref="M162">_xll.d.TestUtils_Equal(C162,H162)</f>
        <v>Ok</v>
      </c>
      <c r="N162" s="310" t="str" cm="1">
        <f t="array" ref="N162">_xll.d.TestUtils_Equal(D162,I162)</f>
        <v>Ok</v>
      </c>
      <c r="O162" s="310" t="str" cm="1">
        <f t="array" ref="O162">_xll.d.TestUtils_Equal(E162,J162)</f>
        <v>Ok</v>
      </c>
    </row>
    <row r="163" spans="2:27" x14ac:dyDescent="0.2">
      <c r="B163" s="135" t="str">
        <v>SGD</v>
      </c>
      <c r="C163" s="289" t="str">
        <v>Singapore</v>
      </c>
      <c r="D163" s="289" t="str">
        <v/>
      </c>
      <c r="E163" s="136" t="str">
        <v/>
      </c>
      <c r="G163" s="135" t="s">
        <v>327</v>
      </c>
      <c r="H163" s="289" t="s">
        <v>328</v>
      </c>
      <c r="I163" s="289" t="s">
        <v>273</v>
      </c>
      <c r="J163" s="136" t="s">
        <v>273</v>
      </c>
      <c r="L163" s="310" t="str" cm="1">
        <f t="array" ref="L163">_xll.d.TestUtils_Equal(B163,G163)</f>
        <v>Ok</v>
      </c>
      <c r="M163" s="310" t="str" cm="1">
        <f t="array" ref="M163">_xll.d.TestUtils_Equal(C163,H163)</f>
        <v>Ok</v>
      </c>
      <c r="N163" s="310" t="str" cm="1">
        <f t="array" ref="N163">_xll.d.TestUtils_Equal(D163,I163)</f>
        <v>Ok</v>
      </c>
      <c r="O163" s="310" t="str" cm="1">
        <f t="array" ref="O163">_xll.d.TestUtils_Equal(E163,J163)</f>
        <v>Ok</v>
      </c>
    </row>
    <row r="164" spans="2:27" x14ac:dyDescent="0.2">
      <c r="B164" s="135" t="str">
        <v>SKK</v>
      </c>
      <c r="C164" s="289" t="str">
        <v>Sweden</v>
      </c>
      <c r="D164" s="289" t="str">
        <v/>
      </c>
      <c r="E164" s="136" t="str">
        <v/>
      </c>
      <c r="G164" s="135" t="s">
        <v>329</v>
      </c>
      <c r="H164" s="289" t="s">
        <v>330</v>
      </c>
      <c r="I164" s="289" t="s">
        <v>273</v>
      </c>
      <c r="J164" s="136" t="s">
        <v>273</v>
      </c>
      <c r="L164" s="310" t="str" cm="1">
        <f t="array" ref="L164">_xll.d.TestUtils_Equal(B164,G164)</f>
        <v>Ok</v>
      </c>
      <c r="M164" s="310" t="str" cm="1">
        <f t="array" ref="M164">_xll.d.TestUtils_Equal(C164,H164)</f>
        <v>Ok</v>
      </c>
      <c r="N164" s="310" t="str" cm="1">
        <f t="array" ref="N164">_xll.d.TestUtils_Equal(D164,I164)</f>
        <v>Ok</v>
      </c>
      <c r="O164" s="310" t="str" cm="1">
        <f t="array" ref="O164">_xll.d.TestUtils_Equal(E164,J164)</f>
        <v>Ok</v>
      </c>
    </row>
    <row r="165" spans="2:27" x14ac:dyDescent="0.2">
      <c r="B165" s="135" t="str">
        <v>SLOVAKIA</v>
      </c>
      <c r="C165" s="289" t="str">
        <v/>
      </c>
      <c r="D165" s="289" t="str">
        <v/>
      </c>
      <c r="E165" s="136" t="str">
        <v/>
      </c>
      <c r="G165" s="135" t="s">
        <v>331</v>
      </c>
      <c r="H165" s="289" t="s">
        <v>273</v>
      </c>
      <c r="I165" s="289" t="s">
        <v>273</v>
      </c>
      <c r="J165" s="136" t="s">
        <v>273</v>
      </c>
      <c r="L165" s="310" t="str" cm="1">
        <f t="array" ref="L165">_xll.d.TestUtils_Equal(B165,G165)</f>
        <v>Ok</v>
      </c>
      <c r="M165" s="310" t="str" cm="1">
        <f t="array" ref="M165">_xll.d.TestUtils_Equal(C165,H165)</f>
        <v>Ok</v>
      </c>
      <c r="N165" s="310" t="str" cm="1">
        <f t="array" ref="N165">_xll.d.TestUtils_Equal(D165,I165)</f>
        <v>Ok</v>
      </c>
      <c r="O165" s="310" t="str" cm="1">
        <f t="array" ref="O165">_xll.d.TestUtils_Equal(E165,J165)</f>
        <v>Ok</v>
      </c>
    </row>
    <row r="166" spans="2:27" x14ac:dyDescent="0.2">
      <c r="B166" s="135" t="str">
        <v>THB</v>
      </c>
      <c r="C166" s="289" t="str">
        <v>Thailand</v>
      </c>
      <c r="D166" s="289" t="str">
        <v/>
      </c>
      <c r="E166" s="136" t="str">
        <v/>
      </c>
      <c r="G166" s="135" t="s">
        <v>332</v>
      </c>
      <c r="H166" s="289" t="s">
        <v>333</v>
      </c>
      <c r="I166" s="289" t="s">
        <v>273</v>
      </c>
      <c r="J166" s="136" t="s">
        <v>273</v>
      </c>
      <c r="L166" s="310" t="str" cm="1">
        <f t="array" ref="L166">_xll.d.TestUtils_Equal(B166,G166)</f>
        <v>Ok</v>
      </c>
      <c r="M166" s="310" t="str" cm="1">
        <f t="array" ref="M166">_xll.d.TestUtils_Equal(C166,H166)</f>
        <v>Ok</v>
      </c>
      <c r="N166" s="310" t="str" cm="1">
        <f t="array" ref="N166">_xll.d.TestUtils_Equal(D166,I166)</f>
        <v>Ok</v>
      </c>
      <c r="O166" s="310" t="str" cm="1">
        <f t="array" ref="O166">_xll.d.TestUtils_Equal(E166,J166)</f>
        <v>Ok</v>
      </c>
    </row>
    <row r="167" spans="2:27" x14ac:dyDescent="0.2">
      <c r="B167" s="135" t="str">
        <v>TRY</v>
      </c>
      <c r="C167" s="289" t="str">
        <v>Turkey</v>
      </c>
      <c r="D167" s="289" t="str">
        <v/>
      </c>
      <c r="E167" s="136" t="str">
        <v/>
      </c>
      <c r="G167" s="135" t="s">
        <v>334</v>
      </c>
      <c r="H167" s="289" t="s">
        <v>335</v>
      </c>
      <c r="I167" s="289" t="s">
        <v>273</v>
      </c>
      <c r="J167" s="136" t="s">
        <v>273</v>
      </c>
      <c r="L167" s="310" t="str" cm="1">
        <f t="array" ref="L167">_xll.d.TestUtils_Equal(B167,G167)</f>
        <v>Ok</v>
      </c>
      <c r="M167" s="310" t="str" cm="1">
        <f t="array" ref="M167">_xll.d.TestUtils_Equal(C167,H167)</f>
        <v>Ok</v>
      </c>
      <c r="N167" s="310" t="str" cm="1">
        <f t="array" ref="N167">_xll.d.TestUtils_Equal(D167,I167)</f>
        <v>Ok</v>
      </c>
      <c r="O167" s="310" t="str" cm="1">
        <f t="array" ref="O167">_xll.d.TestUtils_Equal(E167,J167)</f>
        <v>Ok</v>
      </c>
    </row>
    <row r="168" spans="2:27" x14ac:dyDescent="0.2">
      <c r="B168" s="135" t="str">
        <v>TWD</v>
      </c>
      <c r="C168" s="289" t="str">
        <v>Taiwan</v>
      </c>
      <c r="D168" s="289" t="str">
        <v/>
      </c>
      <c r="E168" s="136" t="str">
        <v/>
      </c>
      <c r="G168" s="135" t="s">
        <v>336</v>
      </c>
      <c r="H168" s="289" t="s">
        <v>337</v>
      </c>
      <c r="I168" s="289" t="s">
        <v>273</v>
      </c>
      <c r="J168" s="136" t="s">
        <v>273</v>
      </c>
      <c r="L168" s="310" t="str" cm="1">
        <f t="array" ref="L168">_xll.d.TestUtils_Equal(B168,G168)</f>
        <v>Ok</v>
      </c>
      <c r="M168" s="310" t="str" cm="1">
        <f t="array" ref="M168">_xll.d.TestUtils_Equal(C168,H168)</f>
        <v>Ok</v>
      </c>
      <c r="N168" s="310" t="str" cm="1">
        <f t="array" ref="N168">_xll.d.TestUtils_Equal(D168,I168)</f>
        <v>Ok</v>
      </c>
      <c r="O168" s="310" t="str" cm="1">
        <f t="array" ref="O168">_xll.d.TestUtils_Equal(E168,J168)</f>
        <v>Ok</v>
      </c>
    </row>
    <row r="169" spans="2:27" x14ac:dyDescent="0.2">
      <c r="B169" s="135" t="str">
        <v>UAH</v>
      </c>
      <c r="C169" s="289" t="str">
        <v>Ukraine</v>
      </c>
      <c r="D169" s="289" t="str">
        <v/>
      </c>
      <c r="E169" s="136" t="str">
        <v/>
      </c>
      <c r="G169" s="135" t="s">
        <v>338</v>
      </c>
      <c r="H169" s="289" t="s">
        <v>339</v>
      </c>
      <c r="I169" s="289" t="s">
        <v>273</v>
      </c>
      <c r="J169" s="136" t="s">
        <v>273</v>
      </c>
      <c r="L169" s="310" t="str" cm="1">
        <f t="array" ref="L169">_xll.d.TestUtils_Equal(B169,G169)</f>
        <v>Ok</v>
      </c>
      <c r="M169" s="310" t="str" cm="1">
        <f t="array" ref="M169">_xll.d.TestUtils_Equal(C169,H169)</f>
        <v>Ok</v>
      </c>
      <c r="N169" s="310" t="str" cm="1">
        <f t="array" ref="N169">_xll.d.TestUtils_Equal(D169,I169)</f>
        <v>Ok</v>
      </c>
      <c r="O169" s="310" t="str" cm="1">
        <f t="array" ref="O169">_xll.d.TestUtils_Equal(E169,J169)</f>
        <v>Ok</v>
      </c>
    </row>
    <row r="170" spans="2:27" x14ac:dyDescent="0.2">
      <c r="B170" s="135" t="str">
        <v>USD</v>
      </c>
      <c r="C170" s="289" t="str">
        <v>USA</v>
      </c>
      <c r="D170" s="289" t="str">
        <v>United States</v>
      </c>
      <c r="E170" s="136" t="str">
        <v>United States of America</v>
      </c>
      <c r="G170" s="135" t="s">
        <v>340</v>
      </c>
      <c r="H170" s="289" t="s">
        <v>341</v>
      </c>
      <c r="I170" s="289" t="s">
        <v>342</v>
      </c>
      <c r="J170" s="136" t="s">
        <v>343</v>
      </c>
      <c r="L170" s="310" t="str" cm="1">
        <f t="array" ref="L170">_xll.d.TestUtils_Equal(B170,G170)</f>
        <v>Ok</v>
      </c>
      <c r="M170" s="310" t="str" cm="1">
        <f t="array" ref="M170">_xll.d.TestUtils_Equal(C170,H170)</f>
        <v>Ok</v>
      </c>
      <c r="N170" s="310" t="str" cm="1">
        <f t="array" ref="N170">_xll.d.TestUtils_Equal(D170,I170)</f>
        <v>Ok</v>
      </c>
      <c r="O170" s="310" t="str" cm="1">
        <f t="array" ref="O170">_xll.d.TestUtils_Equal(E170,J170)</f>
        <v>Ok</v>
      </c>
    </row>
    <row r="171" spans="2:27" x14ac:dyDescent="0.2">
      <c r="B171" s="135" t="str">
        <v>WEEKENDSONLY</v>
      </c>
      <c r="C171" s="289" t="str">
        <v/>
      </c>
      <c r="D171" s="289" t="str">
        <v/>
      </c>
      <c r="E171" s="136" t="str">
        <v/>
      </c>
      <c r="G171" s="135" t="s">
        <v>482</v>
      </c>
      <c r="H171" s="289" t="s">
        <v>273</v>
      </c>
      <c r="I171" s="289" t="s">
        <v>273</v>
      </c>
      <c r="J171" s="136" t="s">
        <v>273</v>
      </c>
      <c r="L171" s="310" t="str" cm="1">
        <f t="array" ref="L171">_xll.d.TestUtils_Equal(B171,G171)</f>
        <v>Ok</v>
      </c>
      <c r="M171" s="310" t="str" cm="1">
        <f t="array" ref="M171">_xll.d.TestUtils_Equal(C171,H171)</f>
        <v>Ok</v>
      </c>
      <c r="N171" s="310" t="str" cm="1">
        <f t="array" ref="N171">_xll.d.TestUtils_Equal(D171,I171)</f>
        <v>Ok</v>
      </c>
      <c r="O171" s="310" t="str" cm="1">
        <f t="array" ref="O171">_xll.d.TestUtils_Equal(E171,J171)</f>
        <v>Ok</v>
      </c>
    </row>
    <row r="172" spans="2:27" x14ac:dyDescent="0.2">
      <c r="B172" s="137" t="str">
        <v>ZAR</v>
      </c>
      <c r="C172" s="201" t="str">
        <v>South Africa</v>
      </c>
      <c r="D172" s="201" t="str">
        <v/>
      </c>
      <c r="E172" s="138" t="str">
        <v/>
      </c>
      <c r="G172" s="137" t="s">
        <v>69</v>
      </c>
      <c r="H172" s="201" t="s">
        <v>344</v>
      </c>
      <c r="I172" s="201" t="s">
        <v>273</v>
      </c>
      <c r="J172" s="138" t="s">
        <v>273</v>
      </c>
      <c r="L172" s="310" t="str" cm="1">
        <f t="array" ref="L172">_xll.d.TestUtils_Equal(B172,G172)</f>
        <v>Ok</v>
      </c>
      <c r="M172" s="310" t="str" cm="1">
        <f t="array" ref="M172">_xll.d.TestUtils_Equal(C172,H172)</f>
        <v>Ok</v>
      </c>
      <c r="N172" s="310" t="str" cm="1">
        <f t="array" ref="N172">_xll.d.TestUtils_Equal(D172,I172)</f>
        <v>Ok</v>
      </c>
      <c r="O172" s="310" t="str" cm="1">
        <f t="array" ref="O172">_xll.d.TestUtils_Equal(E172,J172)</f>
        <v>Ok</v>
      </c>
    </row>
    <row r="176" spans="2:27" ht="18.75" x14ac:dyDescent="0.3">
      <c r="B176" s="3" t="s">
        <v>399</v>
      </c>
      <c r="C176" s="316"/>
      <c r="D176" s="316"/>
      <c r="E176" s="316"/>
      <c r="F176" s="316"/>
      <c r="G176" s="316"/>
      <c r="H176" s="316"/>
      <c r="I176" s="316"/>
      <c r="J176" s="316"/>
      <c r="K176" s="316"/>
      <c r="L176" s="316"/>
      <c r="M176" s="316"/>
      <c r="N176" s="316"/>
      <c r="O176" s="316"/>
      <c r="P176" s="316"/>
      <c r="Q176" s="316"/>
      <c r="R176" s="316"/>
      <c r="S176" s="316"/>
      <c r="T176" s="316"/>
      <c r="U176" s="316"/>
      <c r="V176" s="316"/>
      <c r="W176" s="316"/>
      <c r="X176" s="316"/>
      <c r="Y176" s="316"/>
      <c r="Z176" s="316"/>
      <c r="AA176" s="316"/>
    </row>
    <row r="178" spans="2:27" x14ac:dyDescent="0.2">
      <c r="B178" s="59" t="s">
        <v>155</v>
      </c>
      <c r="C178" s="310" t="str" cm="1">
        <f t="array" ref="C178">_xll.d.TestUtils_And(G183:G191,N183:N200,AA183)</f>
        <v>Ok</v>
      </c>
    </row>
    <row r="180" spans="2:27" ht="15.75" x14ac:dyDescent="0.25">
      <c r="B180" s="4" t="s">
        <v>249</v>
      </c>
      <c r="C180" s="317"/>
      <c r="D180" s="317"/>
      <c r="E180" s="317"/>
      <c r="F180" s="317"/>
      <c r="G180" s="317"/>
      <c r="I180" s="4" t="s">
        <v>250</v>
      </c>
      <c r="J180" s="317"/>
      <c r="K180" s="317"/>
      <c r="L180" s="317"/>
      <c r="M180" s="317"/>
      <c r="N180" s="317"/>
      <c r="P180" s="4" t="s">
        <v>254</v>
      </c>
      <c r="Q180" s="317"/>
      <c r="R180" s="317"/>
      <c r="S180" s="317"/>
      <c r="T180" s="317"/>
      <c r="U180" s="317"/>
      <c r="V180" s="317"/>
      <c r="W180" s="317"/>
      <c r="X180" s="317"/>
      <c r="Y180" s="317"/>
      <c r="Z180" s="317"/>
      <c r="AA180" s="317"/>
    </row>
    <row r="181" spans="2:27" x14ac:dyDescent="0.2">
      <c r="G181" s="309"/>
      <c r="N181" s="309"/>
    </row>
    <row r="182" spans="2:27" x14ac:dyDescent="0.2">
      <c r="B182" s="131" t="s">
        <v>241</v>
      </c>
      <c r="C182" s="132"/>
      <c r="E182" s="12" t="s">
        <v>129</v>
      </c>
      <c r="F182" s="27" t="s">
        <v>243</v>
      </c>
      <c r="G182" s="132" t="s">
        <v>83</v>
      </c>
      <c r="I182" s="131" t="s">
        <v>241</v>
      </c>
      <c r="J182" s="132"/>
      <c r="L182" s="12" t="s">
        <v>129</v>
      </c>
      <c r="M182" s="27" t="s">
        <v>243</v>
      </c>
      <c r="N182" s="132" t="s">
        <v>83</v>
      </c>
      <c r="P182" s="131" t="s">
        <v>241</v>
      </c>
      <c r="Q182" s="132"/>
      <c r="S182" s="12" t="s">
        <v>129</v>
      </c>
      <c r="T182" s="27"/>
      <c r="U182" s="27"/>
      <c r="V182" s="27"/>
      <c r="W182" s="27" t="s">
        <v>243</v>
      </c>
      <c r="X182" s="27"/>
      <c r="Y182" s="27"/>
      <c r="Z182" s="27"/>
      <c r="AA182" s="132" t="s">
        <v>83</v>
      </c>
    </row>
    <row r="183" spans="2:27" x14ac:dyDescent="0.2">
      <c r="B183" s="133" t="s">
        <v>247</v>
      </c>
      <c r="C183" s="311">
        <v>44562</v>
      </c>
      <c r="E183" s="324" cm="1">
        <f t="array" ref="E183:E191">_xll.d.Dates_GetListOfHolidays(C183,C184,C185)</f>
        <v>44641</v>
      </c>
      <c r="F183" s="325">
        <v>44641</v>
      </c>
      <c r="G183" s="134" t="str" cm="1">
        <f t="array" ref="G183">_xll.d.TestUtils_Equal(E183,F183)</f>
        <v>Ok</v>
      </c>
      <c r="I183" s="133" t="s">
        <v>247</v>
      </c>
      <c r="J183" s="311">
        <v>44562</v>
      </c>
      <c r="L183" s="324" cm="1">
        <f t="array" ref="L183:L200">_xll.d.Dates_GetListOfHolidays(J183,J184,J185)</f>
        <v>44578</v>
      </c>
      <c r="M183" s="325">
        <v>44578</v>
      </c>
      <c r="N183" s="134" t="str" cm="1">
        <f t="array" ref="N183">_xll.d.TestUtils_Equal(L183,M183)</f>
        <v>Ok</v>
      </c>
      <c r="P183" s="133" t="s">
        <v>247</v>
      </c>
      <c r="Q183" s="311">
        <v>44562</v>
      </c>
      <c r="S183" s="552" t="str" cm="1">
        <f t="array" ref="S183">_xll.d.Dates_GetListOfHolidays(Q183,Q184,Q185)</f>
        <v>#∂Excel Error: Unsupported calendar: 'WRE'</v>
      </c>
      <c r="T183" s="553"/>
      <c r="U183" s="553"/>
      <c r="V183" s="553"/>
      <c r="W183" s="553" t="s">
        <v>480</v>
      </c>
      <c r="X183" s="553"/>
      <c r="Y183" s="553"/>
      <c r="Z183" s="553"/>
      <c r="AA183" s="320" t="str" cm="1">
        <f t="array" ref="AA183">_xll.d.TestUtils_Equal(S183,W183)</f>
        <v>Ok</v>
      </c>
    </row>
    <row r="184" spans="2:27" x14ac:dyDescent="0.2">
      <c r="B184" s="135" t="s">
        <v>248</v>
      </c>
      <c r="C184" s="323">
        <v>44926</v>
      </c>
      <c r="E184" s="326">
        <v>44666</v>
      </c>
      <c r="F184" s="327">
        <v>44666</v>
      </c>
      <c r="G184" s="136" t="str" cm="1">
        <f t="array" ref="G184">_xll.d.TestUtils_Equal(E184,F184)</f>
        <v>Ok</v>
      </c>
      <c r="I184" s="135" t="s">
        <v>248</v>
      </c>
      <c r="J184" s="323">
        <v>44926</v>
      </c>
      <c r="L184" s="326">
        <v>44613</v>
      </c>
      <c r="M184" s="327">
        <v>44613</v>
      </c>
      <c r="N184" s="136" t="str" cm="1">
        <f t="array" ref="N184">_xll.d.TestUtils_Equal(L184,M184)</f>
        <v>Ok</v>
      </c>
      <c r="P184" s="135" t="s">
        <v>248</v>
      </c>
      <c r="Q184" s="323">
        <v>44926</v>
      </c>
    </row>
    <row r="185" spans="2:27" x14ac:dyDescent="0.2">
      <c r="B185" s="137" t="s">
        <v>230</v>
      </c>
      <c r="C185" s="138" t="s">
        <v>69</v>
      </c>
      <c r="E185" s="326">
        <v>44669</v>
      </c>
      <c r="F185" s="327">
        <v>44669</v>
      </c>
      <c r="G185" s="136" t="str" cm="1">
        <f t="array" ref="G185">_xll.d.TestUtils_Equal(E185,F185)</f>
        <v>Ok</v>
      </c>
      <c r="I185" s="137" t="s">
        <v>230</v>
      </c>
      <c r="J185" s="138" t="s">
        <v>246</v>
      </c>
      <c r="L185" s="326">
        <v>44641</v>
      </c>
      <c r="M185" s="327">
        <v>44641</v>
      </c>
      <c r="N185" s="136" t="str" cm="1">
        <f t="array" ref="N185">_xll.d.TestUtils_Equal(L185,M185)</f>
        <v>Ok</v>
      </c>
      <c r="P185" s="137" t="s">
        <v>230</v>
      </c>
      <c r="Q185" s="138" t="s">
        <v>252</v>
      </c>
    </row>
    <row r="186" spans="2:27" x14ac:dyDescent="0.2">
      <c r="E186" s="326">
        <v>44678</v>
      </c>
      <c r="F186" s="327">
        <v>44678</v>
      </c>
      <c r="G186" s="136" t="str" cm="1">
        <f t="array" ref="G186">_xll.d.TestUtils_Equal(E186,F186)</f>
        <v>Ok</v>
      </c>
      <c r="L186" s="326">
        <v>44666</v>
      </c>
      <c r="M186" s="327">
        <v>44666</v>
      </c>
      <c r="N186" s="136" t="str" cm="1">
        <f t="array" ref="N186">_xll.d.TestUtils_Equal(L186,M186)</f>
        <v>Ok</v>
      </c>
    </row>
    <row r="187" spans="2:27" x14ac:dyDescent="0.2">
      <c r="E187" s="326">
        <v>44683</v>
      </c>
      <c r="F187" s="327">
        <v>44683</v>
      </c>
      <c r="G187" s="136" t="str" cm="1">
        <f t="array" ref="G187">_xll.d.TestUtils_Equal(E187,F187)</f>
        <v>Ok</v>
      </c>
      <c r="L187" s="326">
        <v>44669</v>
      </c>
      <c r="M187" s="327">
        <v>44669</v>
      </c>
      <c r="N187" s="136" t="str" cm="1">
        <f t="array" ref="N187">_xll.d.TestUtils_Equal(L187,M187)</f>
        <v>Ok</v>
      </c>
    </row>
    <row r="188" spans="2:27" x14ac:dyDescent="0.2">
      <c r="E188" s="326">
        <v>44728</v>
      </c>
      <c r="F188" s="327">
        <v>44728</v>
      </c>
      <c r="G188" s="136" t="str" cm="1">
        <f t="array" ref="G188">_xll.d.TestUtils_Equal(E188,F188)</f>
        <v>Ok</v>
      </c>
      <c r="L188" s="326">
        <v>44678</v>
      </c>
      <c r="M188" s="327">
        <v>44678</v>
      </c>
      <c r="N188" s="136" t="str" cm="1">
        <f t="array" ref="N188">_xll.d.TestUtils_Equal(L188,M188)</f>
        <v>Ok</v>
      </c>
    </row>
    <row r="189" spans="2:27" x14ac:dyDescent="0.2">
      <c r="E189" s="326">
        <v>44782</v>
      </c>
      <c r="F189" s="327">
        <v>44782</v>
      </c>
      <c r="G189" s="136" t="str" cm="1">
        <f t="array" ref="G189">_xll.d.TestUtils_Equal(E189,F189)</f>
        <v>Ok</v>
      </c>
      <c r="L189" s="326">
        <v>44683</v>
      </c>
      <c r="M189" s="327">
        <v>44683</v>
      </c>
      <c r="N189" s="136" t="str" cm="1">
        <f t="array" ref="N189">_xll.d.TestUtils_Equal(L189,M189)</f>
        <v>Ok</v>
      </c>
    </row>
    <row r="190" spans="2:27" x14ac:dyDescent="0.2">
      <c r="E190" s="326">
        <v>44911</v>
      </c>
      <c r="F190" s="327">
        <v>44911</v>
      </c>
      <c r="G190" s="136" t="str" cm="1">
        <f t="array" ref="G190">_xll.d.TestUtils_Equal(E190,F190)</f>
        <v>Ok</v>
      </c>
      <c r="L190" s="326">
        <v>44711</v>
      </c>
      <c r="M190" s="327">
        <v>44711</v>
      </c>
      <c r="N190" s="136" t="str" cm="1">
        <f t="array" ref="N190">_xll.d.TestUtils_Equal(L190,M190)</f>
        <v>Ok</v>
      </c>
    </row>
    <row r="191" spans="2:27" x14ac:dyDescent="0.2">
      <c r="E191" s="328">
        <v>44921</v>
      </c>
      <c r="F191" s="329">
        <v>44921</v>
      </c>
      <c r="G191" s="138" t="str" cm="1">
        <f t="array" ref="G191">_xll.d.TestUtils_Equal(E191,F191)</f>
        <v>Ok</v>
      </c>
      <c r="L191" s="326">
        <v>44728</v>
      </c>
      <c r="M191" s="327">
        <v>44728</v>
      </c>
      <c r="N191" s="136" t="str" cm="1">
        <f t="array" ref="N191">_xll.d.TestUtils_Equal(L191,M191)</f>
        <v>Ok</v>
      </c>
    </row>
    <row r="192" spans="2:27" x14ac:dyDescent="0.2">
      <c r="G192" s="309"/>
      <c r="L192" s="326">
        <v>44732</v>
      </c>
      <c r="M192" s="327">
        <v>44732</v>
      </c>
      <c r="N192" s="136" t="str" cm="1">
        <f t="array" ref="N192">_xll.d.TestUtils_Equal(L192,M192)</f>
        <v>Ok</v>
      </c>
    </row>
    <row r="193" spans="2:35" x14ac:dyDescent="0.2">
      <c r="G193" s="309"/>
      <c r="L193" s="326">
        <v>44746</v>
      </c>
      <c r="M193" s="327">
        <v>44746</v>
      </c>
      <c r="N193" s="136" t="str" cm="1">
        <f t="array" ref="N193">_xll.d.TestUtils_Equal(L193,M193)</f>
        <v>Ok</v>
      </c>
    </row>
    <row r="194" spans="2:35" x14ac:dyDescent="0.2">
      <c r="G194" s="309"/>
      <c r="L194" s="326">
        <v>44782</v>
      </c>
      <c r="M194" s="327">
        <v>44782</v>
      </c>
      <c r="N194" s="136" t="str" cm="1">
        <f t="array" ref="N194">_xll.d.TestUtils_Equal(L194,M194)</f>
        <v>Ok</v>
      </c>
    </row>
    <row r="195" spans="2:35" x14ac:dyDescent="0.2">
      <c r="G195" s="309"/>
      <c r="L195" s="326">
        <v>44809</v>
      </c>
      <c r="M195" s="327">
        <v>44809</v>
      </c>
      <c r="N195" s="136" t="str" cm="1">
        <f t="array" ref="N195">_xll.d.TestUtils_Equal(L195,M195)</f>
        <v>Ok</v>
      </c>
    </row>
    <row r="196" spans="2:35" x14ac:dyDescent="0.2">
      <c r="G196" s="309"/>
      <c r="L196" s="326">
        <v>44844</v>
      </c>
      <c r="M196" s="327">
        <v>44844</v>
      </c>
      <c r="N196" s="136" t="str" cm="1">
        <f t="array" ref="N196">_xll.d.TestUtils_Equal(L196,M196)</f>
        <v>Ok</v>
      </c>
    </row>
    <row r="197" spans="2:35" x14ac:dyDescent="0.2">
      <c r="G197" s="309"/>
      <c r="L197" s="326">
        <v>44876</v>
      </c>
      <c r="M197" s="327">
        <v>44876</v>
      </c>
      <c r="N197" s="136" t="str" cm="1">
        <f t="array" ref="N197">_xll.d.TestUtils_Equal(L197,M197)</f>
        <v>Ok</v>
      </c>
    </row>
    <row r="198" spans="2:35" x14ac:dyDescent="0.2">
      <c r="G198" s="309"/>
      <c r="L198" s="326">
        <v>44889</v>
      </c>
      <c r="M198" s="327">
        <v>44889</v>
      </c>
      <c r="N198" s="136" t="str" cm="1">
        <f t="array" ref="N198">_xll.d.TestUtils_Equal(L198,M198)</f>
        <v>Ok</v>
      </c>
    </row>
    <row r="199" spans="2:35" x14ac:dyDescent="0.2">
      <c r="G199" s="309"/>
      <c r="L199" s="326">
        <v>44911</v>
      </c>
      <c r="M199" s="327">
        <v>44911</v>
      </c>
      <c r="N199" s="136" t="str" cm="1">
        <f t="array" ref="N199">_xll.d.TestUtils_Equal(L199,M199)</f>
        <v>Ok</v>
      </c>
    </row>
    <row r="200" spans="2:35" x14ac:dyDescent="0.2">
      <c r="G200" s="309"/>
      <c r="L200" s="328">
        <v>44921</v>
      </c>
      <c r="M200" s="329">
        <v>44921</v>
      </c>
      <c r="N200" s="138" t="str" cm="1">
        <f t="array" ref="N200">_xll.d.TestUtils_Equal(L200,M200)</f>
        <v>Ok</v>
      </c>
    </row>
    <row r="203" spans="2:35" ht="18.75" x14ac:dyDescent="0.3">
      <c r="B203" s="3" t="s">
        <v>400</v>
      </c>
      <c r="C203" s="316"/>
      <c r="D203" s="316"/>
      <c r="E203" s="316"/>
      <c r="F203" s="316"/>
      <c r="G203" s="316"/>
      <c r="H203" s="316"/>
      <c r="I203" s="316"/>
      <c r="J203" s="316"/>
      <c r="K203" s="316"/>
      <c r="L203" s="316"/>
      <c r="M203" s="316"/>
      <c r="N203" s="316"/>
      <c r="O203" s="316"/>
      <c r="P203" s="316"/>
      <c r="Q203" s="316"/>
      <c r="R203" s="316"/>
      <c r="S203" s="316"/>
      <c r="T203" s="316"/>
      <c r="U203" s="316"/>
      <c r="V203" s="316"/>
      <c r="W203" s="316"/>
      <c r="X203" s="316"/>
      <c r="Y203" s="316"/>
      <c r="Z203" s="316"/>
      <c r="AA203" s="316"/>
      <c r="AB203" s="316"/>
      <c r="AC203" s="316"/>
      <c r="AD203" s="316"/>
      <c r="AE203" s="316"/>
      <c r="AF203" s="316"/>
      <c r="AG203" s="316"/>
      <c r="AH203" s="316"/>
      <c r="AI203" s="316"/>
    </row>
    <row r="205" spans="2:35" x14ac:dyDescent="0.2">
      <c r="B205" s="59" t="s">
        <v>155</v>
      </c>
      <c r="C205" s="310" t="str" cm="1">
        <f t="array" ref="C205">_xll.d.TestUtils_And(G210:G214,N210:N214,U210:U214)</f>
        <v>Ok</v>
      </c>
    </row>
    <row r="207" spans="2:35" ht="15.75" x14ac:dyDescent="0.25">
      <c r="B207" s="4" t="s">
        <v>349</v>
      </c>
      <c r="C207" s="317"/>
      <c r="D207" s="317"/>
      <c r="E207" s="317"/>
      <c r="F207" s="317"/>
      <c r="G207" s="317"/>
      <c r="I207" s="4" t="s">
        <v>351</v>
      </c>
      <c r="J207" s="317"/>
      <c r="K207" s="317"/>
      <c r="L207" s="317"/>
      <c r="M207" s="317"/>
      <c r="N207" s="317"/>
      <c r="P207" s="4" t="s">
        <v>352</v>
      </c>
      <c r="Q207" s="317"/>
      <c r="R207" s="317"/>
      <c r="S207" s="317"/>
      <c r="T207" s="317"/>
      <c r="U207" s="317"/>
      <c r="W207" s="4" t="s">
        <v>254</v>
      </c>
      <c r="X207" s="4"/>
      <c r="Y207" s="317"/>
      <c r="Z207" s="317"/>
      <c r="AA207" s="317"/>
      <c r="AB207" s="317"/>
      <c r="AC207" s="317"/>
      <c r="AD207" s="317"/>
      <c r="AE207" s="317"/>
      <c r="AF207" s="317"/>
      <c r="AG207" s="317"/>
      <c r="AH207" s="317"/>
      <c r="AI207" s="317"/>
    </row>
    <row r="209" spans="2:35" x14ac:dyDescent="0.2">
      <c r="B209" s="131" t="s">
        <v>241</v>
      </c>
      <c r="C209" s="132"/>
      <c r="E209" s="131" t="s">
        <v>129</v>
      </c>
      <c r="F209" s="132" t="s">
        <v>243</v>
      </c>
      <c r="G209" s="132" t="s">
        <v>83</v>
      </c>
      <c r="I209" s="131" t="s">
        <v>241</v>
      </c>
      <c r="J209" s="132"/>
      <c r="L209" s="131" t="s">
        <v>129</v>
      </c>
      <c r="M209" s="132" t="s">
        <v>243</v>
      </c>
      <c r="N209" s="132" t="s">
        <v>83</v>
      </c>
      <c r="P209" s="131" t="s">
        <v>241</v>
      </c>
      <c r="Q209" s="132"/>
      <c r="S209" s="131" t="s">
        <v>129</v>
      </c>
      <c r="T209" s="132" t="s">
        <v>243</v>
      </c>
      <c r="U209" s="132" t="s">
        <v>83</v>
      </c>
      <c r="W209" s="131" t="s">
        <v>241</v>
      </c>
      <c r="X209" s="202"/>
      <c r="Y209" s="132"/>
      <c r="AA209" s="131" t="s">
        <v>129</v>
      </c>
      <c r="AB209" s="202"/>
      <c r="AC209" s="202"/>
      <c r="AD209" s="202"/>
      <c r="AE209" s="132" t="s">
        <v>243</v>
      </c>
      <c r="AF209" s="132"/>
      <c r="AG209" s="132"/>
      <c r="AH209" s="132"/>
      <c r="AI209" s="132" t="s">
        <v>83</v>
      </c>
    </row>
    <row r="210" spans="2:35" x14ac:dyDescent="0.2">
      <c r="B210" s="133" t="s">
        <v>247</v>
      </c>
      <c r="C210" s="311">
        <v>44743</v>
      </c>
      <c r="E210" s="324">
        <f t="array" ref="E210:E214">_xll.d.Dates_GenerateSchedule(C210,C211,C212,C213,C214,C215)</f>
        <v>44743</v>
      </c>
      <c r="F210" s="311">
        <v>44743</v>
      </c>
      <c r="G210" s="310" t="str" cm="1">
        <f t="array" ref="G210">_xll.d.TestUtils_Equal(E210,F210)</f>
        <v>Ok</v>
      </c>
      <c r="I210" s="133" t="s">
        <v>247</v>
      </c>
      <c r="J210" s="311">
        <v>44743</v>
      </c>
      <c r="L210" s="324">
        <f t="array" ref="L210:L214">_xll.d.Dates_GenerateSchedule(J210,J211,J212,J213,J214,J215)</f>
        <v>44743</v>
      </c>
      <c r="M210" s="311">
        <v>44743</v>
      </c>
      <c r="N210" s="310" t="str" cm="1">
        <f t="array" ref="N210">_xll.d.TestUtils_Equal(L210,M210)</f>
        <v>Ok</v>
      </c>
      <c r="P210" s="133" t="s">
        <v>247</v>
      </c>
      <c r="Q210" s="311">
        <v>44743</v>
      </c>
      <c r="S210" s="324">
        <f t="array" ref="S210:S214">_xll.d.Dates_GenerateSchedule(Q210,Q211,Q212,Q213,Q214,Q215)</f>
        <v>44743</v>
      </c>
      <c r="T210" s="311">
        <v>44743</v>
      </c>
      <c r="U210" s="310" t="str" cm="1">
        <f t="array" ref="U210">_xll.d.TestUtils_Equal(S210,T210)</f>
        <v>Ok</v>
      </c>
      <c r="W210" s="472" t="s">
        <v>247</v>
      </c>
      <c r="X210" s="554"/>
      <c r="Y210" s="311">
        <v>44743</v>
      </c>
      <c r="AA210" s="557" t="str" cm="1">
        <f t="array" ref="AA210">_xll.d.Dates_GenerateSchedule(Y210,Y211,Y212,Y213,Y214,Y215)</f>
        <v>#∂Excel Error: Unsupported calendar: 'WRE'</v>
      </c>
      <c r="AB210" s="558"/>
      <c r="AC210" s="558"/>
      <c r="AD210" s="558"/>
      <c r="AE210" s="559" t="s">
        <v>253</v>
      </c>
      <c r="AF210" s="558"/>
      <c r="AG210" s="558"/>
      <c r="AH210" s="560"/>
      <c r="AI210" s="310" t="str" cm="1">
        <f t="array" ref="AI210">_xll.d.TestUtils_Equal(AA210,AE210)</f>
        <v>Error</v>
      </c>
    </row>
    <row r="211" spans="2:35" x14ac:dyDescent="0.2">
      <c r="B211" s="135" t="s">
        <v>248</v>
      </c>
      <c r="C211" s="323">
        <v>45474</v>
      </c>
      <c r="E211" s="326">
        <v>44837</v>
      </c>
      <c r="F211" s="323">
        <v>44837</v>
      </c>
      <c r="G211" s="310" t="str" cm="1">
        <f t="array" ref="G211">_xll.d.TestUtils_Equal(E211,F211)</f>
        <v>Ok</v>
      </c>
      <c r="I211" s="135" t="s">
        <v>248</v>
      </c>
      <c r="J211" s="323">
        <v>45108</v>
      </c>
      <c r="L211" s="326">
        <v>44837</v>
      </c>
      <c r="M211" s="323">
        <v>44837</v>
      </c>
      <c r="N211" s="310" t="str" cm="1">
        <f t="array" ref="N211">_xll.d.TestUtils_Equal(L211,M211)</f>
        <v>Ok</v>
      </c>
      <c r="P211" s="135" t="s">
        <v>248</v>
      </c>
      <c r="Q211" s="323">
        <v>45108</v>
      </c>
      <c r="S211" s="326">
        <v>44824</v>
      </c>
      <c r="T211" s="323">
        <v>44824</v>
      </c>
      <c r="U211" s="310" t="str" cm="1">
        <f t="array" ref="U211">_xll.d.TestUtils_Equal(S211,T211)</f>
        <v>Ok</v>
      </c>
      <c r="W211" s="473" t="s">
        <v>248</v>
      </c>
      <c r="X211" s="555"/>
      <c r="Y211" s="323">
        <v>45108</v>
      </c>
    </row>
    <row r="212" spans="2:35" x14ac:dyDescent="0.2">
      <c r="B212" s="135" t="s">
        <v>345</v>
      </c>
      <c r="C212" s="136" t="s">
        <v>25</v>
      </c>
      <c r="E212" s="326">
        <v>44929</v>
      </c>
      <c r="F212" s="323">
        <v>44929</v>
      </c>
      <c r="G212" s="310" t="str" cm="1">
        <f t="array" ref="G212">_xll.d.TestUtils_Equal(E212,F212)</f>
        <v>Ok</v>
      </c>
      <c r="I212" s="135" t="s">
        <v>345</v>
      </c>
      <c r="J212" s="136" t="s">
        <v>25</v>
      </c>
      <c r="L212" s="326">
        <v>44929</v>
      </c>
      <c r="M212" s="323">
        <v>44929</v>
      </c>
      <c r="N212" s="310" t="str" cm="1">
        <f t="array" ref="N212">_xll.d.TestUtils_Equal(L212,M212)</f>
        <v>Ok</v>
      </c>
      <c r="P212" s="135" t="s">
        <v>345</v>
      </c>
      <c r="Q212" s="136" t="s">
        <v>25</v>
      </c>
      <c r="S212" s="326">
        <v>44915</v>
      </c>
      <c r="T212" s="323">
        <v>44915</v>
      </c>
      <c r="U212" s="310" t="str" cm="1">
        <f t="array" ref="U212">_xll.d.TestUtils_Equal(S212,T212)</f>
        <v>Ok</v>
      </c>
      <c r="W212" s="473" t="s">
        <v>345</v>
      </c>
      <c r="X212" s="555"/>
      <c r="Y212" s="136" t="s">
        <v>25</v>
      </c>
    </row>
    <row r="213" spans="2:35" x14ac:dyDescent="0.2">
      <c r="B213" s="135" t="s">
        <v>346</v>
      </c>
      <c r="C213" s="136" t="s">
        <v>246</v>
      </c>
      <c r="E213" s="326">
        <v>45019</v>
      </c>
      <c r="F213" s="323">
        <v>45019</v>
      </c>
      <c r="G213" s="310" t="str" cm="1">
        <f t="array" ref="G213">_xll.d.TestUtils_Equal(E213,F213)</f>
        <v>Ok</v>
      </c>
      <c r="I213" s="135" t="s">
        <v>346</v>
      </c>
      <c r="J213" s="136" t="s">
        <v>246</v>
      </c>
      <c r="L213" s="326">
        <v>45019</v>
      </c>
      <c r="M213" s="323">
        <v>45019</v>
      </c>
      <c r="N213" s="310" t="str" cm="1">
        <f t="array" ref="N213">_xll.d.TestUtils_Equal(L213,M213)</f>
        <v>Ok</v>
      </c>
      <c r="P213" s="135" t="s">
        <v>346</v>
      </c>
      <c r="Q213" s="136" t="s">
        <v>246</v>
      </c>
      <c r="S213" s="326">
        <v>45005</v>
      </c>
      <c r="T213" s="323">
        <v>45005</v>
      </c>
      <c r="U213" s="310" t="str" cm="1">
        <f t="array" ref="U213">_xll.d.TestUtils_Equal(S213,T213)</f>
        <v>Ok</v>
      </c>
      <c r="W213" s="473" t="s">
        <v>346</v>
      </c>
      <c r="X213" s="555"/>
      <c r="Y213" s="136" t="s">
        <v>252</v>
      </c>
    </row>
    <row r="214" spans="2:35" x14ac:dyDescent="0.2">
      <c r="B214" s="135" t="s">
        <v>231</v>
      </c>
      <c r="C214" s="136" t="s">
        <v>232</v>
      </c>
      <c r="E214" s="328">
        <v>45110</v>
      </c>
      <c r="F214" s="331">
        <v>45110</v>
      </c>
      <c r="G214" s="310" t="str" cm="1">
        <f t="array" ref="G214">_xll.d.TestUtils_Equal(E214,F214)</f>
        <v>Ok</v>
      </c>
      <c r="I214" s="135" t="s">
        <v>231</v>
      </c>
      <c r="J214" s="136" t="s">
        <v>232</v>
      </c>
      <c r="L214" s="328">
        <v>45110</v>
      </c>
      <c r="M214" s="331">
        <v>45110</v>
      </c>
      <c r="N214" s="310" t="str" cm="1">
        <f t="array" ref="N214">_xll.d.TestUtils_Equal(L214,M214)</f>
        <v>Ok</v>
      </c>
      <c r="P214" s="135" t="s">
        <v>231</v>
      </c>
      <c r="Q214" s="136" t="s">
        <v>232</v>
      </c>
      <c r="S214" s="328">
        <v>45097</v>
      </c>
      <c r="T214" s="331">
        <v>45097</v>
      </c>
      <c r="U214" s="310" t="str" cm="1">
        <f t="array" ref="U214">_xll.d.TestUtils_Equal(S214,T214)</f>
        <v>Ok</v>
      </c>
      <c r="W214" s="473" t="s">
        <v>231</v>
      </c>
      <c r="X214" s="555"/>
      <c r="Y214" s="136" t="s">
        <v>232</v>
      </c>
    </row>
    <row r="215" spans="2:35" x14ac:dyDescent="0.2">
      <c r="B215" s="137" t="s">
        <v>347</v>
      </c>
      <c r="C215" s="138" t="s">
        <v>348</v>
      </c>
      <c r="I215" s="137" t="s">
        <v>347</v>
      </c>
      <c r="J215" s="138" t="s">
        <v>350</v>
      </c>
      <c r="P215" s="137" t="s">
        <v>347</v>
      </c>
      <c r="Q215" s="138" t="s">
        <v>353</v>
      </c>
      <c r="W215" s="474" t="s">
        <v>347</v>
      </c>
      <c r="X215" s="556"/>
      <c r="Y215" s="138" t="s">
        <v>353</v>
      </c>
    </row>
    <row r="219" spans="2:35" ht="18.75" x14ac:dyDescent="0.3">
      <c r="B219" s="3" t="s">
        <v>401</v>
      </c>
      <c r="C219" s="316"/>
      <c r="D219" s="316"/>
      <c r="E219" s="316"/>
      <c r="F219" s="316"/>
      <c r="G219" s="316"/>
      <c r="H219" s="316"/>
      <c r="I219" s="316"/>
      <c r="J219" s="316"/>
      <c r="K219" s="316"/>
      <c r="L219" s="316"/>
      <c r="M219" s="316"/>
      <c r="N219" s="316"/>
      <c r="O219" s="316"/>
      <c r="P219" s="316"/>
      <c r="Q219" s="316"/>
      <c r="R219" s="316"/>
      <c r="S219" s="316"/>
      <c r="T219" s="316"/>
      <c r="U219" s="316"/>
    </row>
    <row r="221" spans="2:35" x14ac:dyDescent="0.2">
      <c r="B221" s="59" t="s">
        <v>155</v>
      </c>
      <c r="C221" s="310" t="str" cm="1">
        <f t="array" ref="C221">_xll.d.TestUtils_And(H226:I230)</f>
        <v>Ok</v>
      </c>
    </row>
    <row r="223" spans="2:35" ht="15.75" x14ac:dyDescent="0.25">
      <c r="B223" s="4" t="s">
        <v>105</v>
      </c>
      <c r="C223" s="317"/>
      <c r="D223" s="317"/>
      <c r="E223" s="317"/>
      <c r="F223" s="317"/>
      <c r="G223" s="317"/>
      <c r="H223" s="317"/>
      <c r="I223" s="317"/>
    </row>
    <row r="225" spans="2:21" x14ac:dyDescent="0.2">
      <c r="B225" s="131" t="s">
        <v>129</v>
      </c>
      <c r="C225" s="132"/>
      <c r="E225" s="131" t="s">
        <v>243</v>
      </c>
      <c r="F225" s="132"/>
      <c r="H225" s="131" t="s">
        <v>83</v>
      </c>
      <c r="I225" s="132"/>
    </row>
    <row r="226" spans="2:21" x14ac:dyDescent="0.2">
      <c r="B226" s="129" t="str" cm="1">
        <f t="array" ref="B226:C230">_xll.d.Dates_GetAvailableBusinessDayConventions()</f>
        <v>Variant 1</v>
      </c>
      <c r="C226" s="130" t="str">
        <v>Variant 2</v>
      </c>
      <c r="E226" s="129" t="s">
        <v>259</v>
      </c>
      <c r="F226" s="130" t="s">
        <v>260</v>
      </c>
      <c r="H226" s="310" t="str" cm="1">
        <f t="array" ref="H226">_xll.d.TestUtils_Equal(B226,E226)</f>
        <v>Ok</v>
      </c>
      <c r="I226" s="310" t="str" cm="1">
        <f t="array" ref="I226">_xll.d.TestUtils_Equal(C226,F226)</f>
        <v>Ok</v>
      </c>
    </row>
    <row r="227" spans="2:21" x14ac:dyDescent="0.2">
      <c r="B227" s="133" t="str">
        <v>Fol</v>
      </c>
      <c r="C227" s="134" t="str">
        <v>Following</v>
      </c>
      <c r="E227" s="133" t="s">
        <v>261</v>
      </c>
      <c r="F227" s="134" t="s">
        <v>262</v>
      </c>
      <c r="H227" s="310" t="str" cm="1">
        <f t="array" ref="H227">_xll.d.TestUtils_Equal(B227,E227)</f>
        <v>Ok</v>
      </c>
      <c r="I227" s="310" t="str" cm="1">
        <f t="array" ref="I227">_xll.d.TestUtils_Equal(C227,F227)</f>
        <v>Ok</v>
      </c>
    </row>
    <row r="228" spans="2:21" x14ac:dyDescent="0.2">
      <c r="B228" s="135" t="str">
        <v>ModFol</v>
      </c>
      <c r="C228" s="136" t="str">
        <v>ModifiedFollowing</v>
      </c>
      <c r="E228" s="135" t="s">
        <v>263</v>
      </c>
      <c r="F228" s="136" t="s">
        <v>264</v>
      </c>
      <c r="H228" s="310" t="str" cm="1">
        <f t="array" ref="H228">_xll.d.TestUtils_Equal(B228,E228)</f>
        <v>Ok</v>
      </c>
      <c r="I228" s="310" t="str" cm="1">
        <f t="array" ref="I228">_xll.d.TestUtils_Equal(C228,F228)</f>
        <v>Ok</v>
      </c>
    </row>
    <row r="229" spans="2:21" x14ac:dyDescent="0.2">
      <c r="B229" s="135" t="str">
        <v>ModPrec</v>
      </c>
      <c r="C229" s="136" t="str">
        <v>ModPreceding</v>
      </c>
      <c r="E229" s="135" t="s">
        <v>265</v>
      </c>
      <c r="F229" s="136" t="s">
        <v>266</v>
      </c>
      <c r="H229" s="310" t="str" cm="1">
        <f t="array" ref="H229">_xll.d.TestUtils_Equal(B229,E229)</f>
        <v>Ok</v>
      </c>
      <c r="I229" s="310" t="str" cm="1">
        <f t="array" ref="I229">_xll.d.TestUtils_Equal(C229,F229)</f>
        <v>Ok</v>
      </c>
    </row>
    <row r="230" spans="2:21" x14ac:dyDescent="0.2">
      <c r="B230" s="137" t="str">
        <v>Prec</v>
      </c>
      <c r="C230" s="138" t="str">
        <v>Preceding</v>
      </c>
      <c r="E230" s="137" t="s">
        <v>267</v>
      </c>
      <c r="F230" s="138" t="s">
        <v>268</v>
      </c>
      <c r="H230" s="310" t="str" cm="1">
        <f t="array" ref="H230">_xll.d.TestUtils_Equal(B230,E230)</f>
        <v>Ok</v>
      </c>
      <c r="I230" s="310" t="str" cm="1">
        <f t="array" ref="I230">_xll.d.TestUtils_Equal(C230,F230)</f>
        <v>Ok</v>
      </c>
    </row>
    <row r="234" spans="2:21" ht="18.75" x14ac:dyDescent="0.3">
      <c r="B234" s="3" t="s">
        <v>402</v>
      </c>
      <c r="C234" s="316"/>
      <c r="D234" s="316"/>
      <c r="E234" s="316"/>
      <c r="F234" s="316"/>
      <c r="G234" s="316"/>
      <c r="H234" s="316"/>
      <c r="I234" s="316"/>
      <c r="J234" s="316"/>
      <c r="K234" s="316"/>
      <c r="L234" s="316"/>
      <c r="M234" s="316"/>
      <c r="N234" s="316"/>
      <c r="O234" s="316"/>
      <c r="P234" s="316"/>
      <c r="Q234" s="316"/>
      <c r="R234" s="316"/>
      <c r="S234" s="316"/>
      <c r="T234" s="316"/>
      <c r="U234" s="316"/>
    </row>
    <row r="236" spans="2:21" x14ac:dyDescent="0.2">
      <c r="B236" s="59" t="s">
        <v>155</v>
      </c>
      <c r="C236" s="310" t="str" cm="1">
        <f t="array" ref="C236">_xll.d.TestUtils_And(L241:O245)</f>
        <v>Ok</v>
      </c>
    </row>
    <row r="238" spans="2:21" ht="15.75" x14ac:dyDescent="0.25">
      <c r="B238" s="4" t="s">
        <v>105</v>
      </c>
      <c r="C238" s="317"/>
      <c r="D238" s="317"/>
      <c r="E238" s="317"/>
      <c r="F238" s="317"/>
      <c r="G238" s="317"/>
      <c r="H238" s="317"/>
      <c r="I238" s="317"/>
    </row>
    <row r="240" spans="2:21" x14ac:dyDescent="0.2">
      <c r="B240" s="131" t="s">
        <v>129</v>
      </c>
      <c r="C240" s="202"/>
      <c r="D240" s="202"/>
      <c r="E240" s="132"/>
      <c r="G240" s="131" t="s">
        <v>129</v>
      </c>
      <c r="H240" s="202"/>
      <c r="I240" s="202"/>
      <c r="J240" s="132"/>
      <c r="L240" s="131" t="s">
        <v>83</v>
      </c>
      <c r="M240" s="132"/>
      <c r="N240" s="132"/>
      <c r="O240" s="132"/>
    </row>
    <row r="241" spans="2:15" x14ac:dyDescent="0.2">
      <c r="B241" s="129" t="str" cm="1">
        <f t="array" ref="B241:E245">_xll.d.Dates_GetAvailableDayCountConventions()</f>
        <v>Variant 1</v>
      </c>
      <c r="C241" s="301" t="str">
        <v>Variant 2</v>
      </c>
      <c r="D241" s="301" t="str">
        <v>Variant 3</v>
      </c>
      <c r="E241" s="130" t="str">
        <v>Variant 4</v>
      </c>
      <c r="G241" s="129" t="s">
        <v>259</v>
      </c>
      <c r="H241" s="301" t="s">
        <v>260</v>
      </c>
      <c r="I241" s="301" t="s">
        <v>269</v>
      </c>
      <c r="J241" s="130" t="s">
        <v>270</v>
      </c>
      <c r="L241" s="310" t="str" cm="1">
        <f t="array" ref="L241">_xll.d.TestUtils_Equal(B241,G241)</f>
        <v>Ok</v>
      </c>
      <c r="M241" s="310" t="str" cm="1">
        <f t="array" ref="M241">_xll.d.TestUtils_Equal(C241,H241)</f>
        <v>Ok</v>
      </c>
      <c r="N241" s="310" t="str" cm="1">
        <f t="array" ref="N241">_xll.d.TestUtils_Equal(D241,I241)</f>
        <v>Ok</v>
      </c>
      <c r="O241" s="310" t="str" cm="1">
        <f t="array" ref="O241">_xll.d.TestUtils_Equal(E241,J241)</f>
        <v>Ok</v>
      </c>
    </row>
    <row r="242" spans="2:15" x14ac:dyDescent="0.2">
      <c r="B242" s="133" t="str">
        <v>Act360</v>
      </c>
      <c r="C242" s="330" t="str">
        <v>Actual360</v>
      </c>
      <c r="D242" s="330" t="str">
        <v/>
      </c>
      <c r="E242" s="134" t="str">
        <v/>
      </c>
      <c r="G242" s="133" t="s">
        <v>271</v>
      </c>
      <c r="H242" s="330" t="s">
        <v>272</v>
      </c>
      <c r="I242" s="330" t="s">
        <v>273</v>
      </c>
      <c r="J242" s="134" t="s">
        <v>273</v>
      </c>
      <c r="L242" s="310" t="str" cm="1">
        <f t="array" ref="L242">_xll.d.TestUtils_Equal(B242,G242)</f>
        <v>Ok</v>
      </c>
      <c r="M242" s="310" t="str" cm="1">
        <f t="array" ref="M242">_xll.d.TestUtils_Equal(C242,H242)</f>
        <v>Ok</v>
      </c>
      <c r="N242" s="310" t="str" cm="1">
        <f t="array" ref="N242">_xll.d.TestUtils_Equal(D242,I242)</f>
        <v>Ok</v>
      </c>
      <c r="O242" s="310" t="str" cm="1">
        <f t="array" ref="O242">_xll.d.TestUtils_Equal(E242,J242)</f>
        <v>Ok</v>
      </c>
    </row>
    <row r="243" spans="2:15" x14ac:dyDescent="0.2">
      <c r="B243" s="135" t="str">
        <v>Act365</v>
      </c>
      <c r="C243" s="289" t="str">
        <v>Act365F</v>
      </c>
      <c r="D243" s="289" t="str">
        <v>Actual365</v>
      </c>
      <c r="E243" s="136" t="str">
        <v>Actual365F</v>
      </c>
      <c r="G243" s="135" t="s">
        <v>274</v>
      </c>
      <c r="H243" s="289" t="s">
        <v>275</v>
      </c>
      <c r="I243" s="289" t="s">
        <v>71</v>
      </c>
      <c r="J243" s="136" t="s">
        <v>276</v>
      </c>
      <c r="L243" s="310" t="str" cm="1">
        <f t="array" ref="L243">_xll.d.TestUtils_Equal(B243,G243)</f>
        <v>Ok</v>
      </c>
      <c r="M243" s="310" t="str" cm="1">
        <f t="array" ref="M243">_xll.d.TestUtils_Equal(C243,H243)</f>
        <v>Ok</v>
      </c>
      <c r="N243" s="310" t="str" cm="1">
        <f t="array" ref="N243">_xll.d.TestUtils_Equal(D243,I243)</f>
        <v>Ok</v>
      </c>
      <c r="O243" s="310" t="str" cm="1">
        <f t="array" ref="O243">_xll.d.TestUtils_Equal(E243,J243)</f>
        <v>Ok</v>
      </c>
    </row>
    <row r="244" spans="2:15" x14ac:dyDescent="0.2">
      <c r="B244" s="135" t="str">
        <v>ActAct</v>
      </c>
      <c r="C244" s="289" t="str">
        <v>ActualActual</v>
      </c>
      <c r="D244" s="289" t="str">
        <v/>
      </c>
      <c r="E244" s="136" t="str">
        <v/>
      </c>
      <c r="G244" s="135" t="s">
        <v>277</v>
      </c>
      <c r="H244" s="289" t="s">
        <v>278</v>
      </c>
      <c r="I244" s="289" t="s">
        <v>273</v>
      </c>
      <c r="J244" s="136" t="s">
        <v>273</v>
      </c>
      <c r="L244" s="310" t="str" cm="1">
        <f t="array" ref="L244">_xll.d.TestUtils_Equal(B244,G244)</f>
        <v>Ok</v>
      </c>
      <c r="M244" s="310" t="str" cm="1">
        <f t="array" ref="M244">_xll.d.TestUtils_Equal(C244,H244)</f>
        <v>Ok</v>
      </c>
      <c r="N244" s="310" t="str" cm="1">
        <f t="array" ref="N244">_xll.d.TestUtils_Equal(D244,I244)</f>
        <v>Ok</v>
      </c>
      <c r="O244" s="310" t="str" cm="1">
        <f t="array" ref="O244">_xll.d.TestUtils_Equal(E244,J244)</f>
        <v>Ok</v>
      </c>
    </row>
    <row r="245" spans="2:15" x14ac:dyDescent="0.2">
      <c r="B245" s="137" t="str">
        <v>Bus252</v>
      </c>
      <c r="C245" s="201" t="str">
        <v>Business252</v>
      </c>
      <c r="D245" s="201" t="str">
        <v/>
      </c>
      <c r="E245" s="138" t="str">
        <v/>
      </c>
      <c r="G245" s="137" t="s">
        <v>279</v>
      </c>
      <c r="H245" s="201" t="s">
        <v>280</v>
      </c>
      <c r="I245" s="201" t="s">
        <v>273</v>
      </c>
      <c r="J245" s="138" t="s">
        <v>273</v>
      </c>
      <c r="L245" s="310" t="str" cm="1">
        <f t="array" ref="L245">_xll.d.TestUtils_Equal(B245,G245)</f>
        <v>Ok</v>
      </c>
      <c r="M245" s="310" t="str" cm="1">
        <f t="array" ref="M245">_xll.d.TestUtils_Equal(C245,H245)</f>
        <v>Ok</v>
      </c>
      <c r="N245" s="310" t="str" cm="1">
        <f t="array" ref="N245">_xll.d.TestUtils_Equal(D245,I245)</f>
        <v>Ok</v>
      </c>
      <c r="O245" s="310" t="str" cm="1">
        <f t="array" ref="O245">_xll.d.TestUtils_Equal(E245,J245)</f>
        <v>Ok</v>
      </c>
    </row>
    <row r="248" spans="2:15" ht="18.75" x14ac:dyDescent="0.3">
      <c r="B248" s="3" t="s">
        <v>470</v>
      </c>
      <c r="C248" s="316"/>
      <c r="D248" s="316"/>
      <c r="E248" s="316"/>
    </row>
    <row r="250" spans="2:15" x14ac:dyDescent="0.2">
      <c r="B250" s="59" t="s">
        <v>155</v>
      </c>
      <c r="C250" s="310" t="str" cm="1">
        <f t="array" ref="C250">_xll.d.TestUtils_And(E255:E261)</f>
        <v>Ok</v>
      </c>
    </row>
    <row r="252" spans="2:15" ht="15.75" x14ac:dyDescent="0.25">
      <c r="B252" s="4" t="s">
        <v>105</v>
      </c>
      <c r="C252" s="317"/>
      <c r="D252" s="317"/>
      <c r="E252" s="317"/>
    </row>
    <row r="254" spans="2:15" x14ac:dyDescent="0.2">
      <c r="B254" s="131" t="s">
        <v>34</v>
      </c>
      <c r="C254" s="202" t="s">
        <v>129</v>
      </c>
      <c r="D254" s="202" t="s">
        <v>243</v>
      </c>
      <c r="E254" s="132" t="s">
        <v>83</v>
      </c>
    </row>
    <row r="255" spans="2:15" x14ac:dyDescent="0.2">
      <c r="B255" s="324">
        <v>44893</v>
      </c>
      <c r="C255" s="330" t="str" cm="1">
        <f t="array" ref="C255">_xll.d.Dates_GetWeekday(B255)</f>
        <v>Monday</v>
      </c>
      <c r="D255" s="330" t="str" cm="1">
        <f t="array" ref="D255">_xll.d.Dates_GetWeekday(B255)</f>
        <v>Monday</v>
      </c>
      <c r="E255" s="134" t="str" cm="1">
        <f t="array" ref="E255">_xll.d.TestUtils_Equal(C255,D255)</f>
        <v>Ok</v>
      </c>
    </row>
    <row r="256" spans="2:15" x14ac:dyDescent="0.2">
      <c r="B256" s="326">
        <v>44894</v>
      </c>
      <c r="C256" s="289" t="str" cm="1">
        <f t="array" ref="C256">_xll.d.Dates_GetWeekday(B256)</f>
        <v>Tuesday</v>
      </c>
      <c r="D256" s="289" t="str" cm="1">
        <f t="array" ref="D256">_xll.d.Dates_GetWeekday(B256)</f>
        <v>Tuesday</v>
      </c>
      <c r="E256" s="136" t="str" cm="1">
        <f t="array" ref="E256">_xll.d.TestUtils_Equal(C256,D256)</f>
        <v>Ok</v>
      </c>
    </row>
    <row r="257" spans="2:5" x14ac:dyDescent="0.2">
      <c r="B257" s="326">
        <v>44895</v>
      </c>
      <c r="C257" s="289" t="str" cm="1">
        <f t="array" ref="C257">_xll.d.Dates_GetWeekday(B257)</f>
        <v>Wednesday</v>
      </c>
      <c r="D257" s="289" t="str" cm="1">
        <f t="array" ref="D257">_xll.d.Dates_GetWeekday(B257)</f>
        <v>Wednesday</v>
      </c>
      <c r="E257" s="136" t="str" cm="1">
        <f t="array" ref="E257">_xll.d.TestUtils_Equal(C257,D257)</f>
        <v>Ok</v>
      </c>
    </row>
    <row r="258" spans="2:5" x14ac:dyDescent="0.2">
      <c r="B258" s="326">
        <v>44896</v>
      </c>
      <c r="C258" s="289" t="str" cm="1">
        <f t="array" ref="C258">_xll.d.Dates_GetWeekday(B258)</f>
        <v>Thursday</v>
      </c>
      <c r="D258" s="289" t="str" cm="1">
        <f t="array" ref="D258">_xll.d.Dates_GetWeekday(B258)</f>
        <v>Thursday</v>
      </c>
      <c r="E258" s="136" t="str" cm="1">
        <f t="array" ref="E258">_xll.d.TestUtils_Equal(C258,D258)</f>
        <v>Ok</v>
      </c>
    </row>
    <row r="259" spans="2:5" x14ac:dyDescent="0.2">
      <c r="B259" s="326">
        <v>44897</v>
      </c>
      <c r="C259" s="289" t="str" cm="1">
        <f t="array" ref="C259">_xll.d.Dates_GetWeekday(B259)</f>
        <v>Friday</v>
      </c>
      <c r="D259" s="289" t="str" cm="1">
        <f t="array" ref="D259">_xll.d.Dates_GetWeekday(B259)</f>
        <v>Friday</v>
      </c>
      <c r="E259" s="136" t="str" cm="1">
        <f t="array" ref="E259">_xll.d.TestUtils_Equal(C259,D259)</f>
        <v>Ok</v>
      </c>
    </row>
    <row r="260" spans="2:5" x14ac:dyDescent="0.2">
      <c r="B260" s="326">
        <v>44898</v>
      </c>
      <c r="C260" s="289" t="str" cm="1">
        <f t="array" ref="C260">_xll.d.Dates_GetWeekday(B260)</f>
        <v>Saturday</v>
      </c>
      <c r="D260" s="289" t="str" cm="1">
        <f t="array" ref="D260">_xll.d.Dates_GetWeekday(B260)</f>
        <v>Saturday</v>
      </c>
      <c r="E260" s="136" t="str" cm="1">
        <f t="array" ref="E260">_xll.d.TestUtils_Equal(C260,D260)</f>
        <v>Ok</v>
      </c>
    </row>
    <row r="261" spans="2:5" x14ac:dyDescent="0.2">
      <c r="B261" s="328">
        <v>44899</v>
      </c>
      <c r="C261" s="201" t="str" cm="1">
        <f t="array" ref="C261">_xll.d.Dates_GetWeekday(B261)</f>
        <v>Sunday</v>
      </c>
      <c r="D261" s="201" t="str" cm="1">
        <f t="array" ref="D261">_xll.d.Dates_GetWeekday(B261)</f>
        <v>Sunday</v>
      </c>
      <c r="E261" s="138" t="str" cm="1">
        <f t="array" ref="E261">_xll.d.TestUtils_Equal(C261,D261)</f>
        <v>Ok</v>
      </c>
    </row>
    <row r="271" spans="2:5" x14ac:dyDescent="0.2">
      <c r="D271" s="568"/>
      <c r="E271" s="568"/>
    </row>
    <row r="272" spans="2:5" x14ac:dyDescent="0.2">
      <c r="D272" s="568"/>
      <c r="E272" s="568"/>
    </row>
    <row r="273" spans="2:5" x14ac:dyDescent="0.2">
      <c r="B273" s="568"/>
      <c r="D273" s="568"/>
      <c r="E273" s="568"/>
    </row>
    <row r="274" spans="2:5" x14ac:dyDescent="0.2">
      <c r="B274" s="568"/>
      <c r="D274" s="568"/>
      <c r="E274" s="568"/>
    </row>
    <row r="275" spans="2:5" x14ac:dyDescent="0.2">
      <c r="D275" s="568"/>
      <c r="E275" s="568"/>
    </row>
    <row r="276" spans="2:5" x14ac:dyDescent="0.2">
      <c r="E276" s="568"/>
    </row>
  </sheetData>
  <conditionalFormatting sqref="D11:D17">
    <cfRule type="cellIs" dxfId="746" priority="165" stopIfTrue="1" operator="equal">
      <formula>"ERROR"</formula>
    </cfRule>
    <cfRule type="cellIs" dxfId="745" priority="166" stopIfTrue="1" operator="equal">
      <formula>"OK"</formula>
    </cfRule>
    <cfRule type="cellIs" dxfId="744" priority="167" stopIfTrue="1" operator="equal">
      <formula>"WARNING"</formula>
    </cfRule>
  </conditionalFormatting>
  <conditionalFormatting sqref="C4">
    <cfRule type="cellIs" dxfId="743" priority="139" stopIfTrue="1" operator="equal">
      <formula>"ERROR"</formula>
    </cfRule>
    <cfRule type="cellIs" dxfId="742" priority="140" stopIfTrue="1" operator="equal">
      <formula>"OK"</formula>
    </cfRule>
    <cfRule type="cellIs" dxfId="741" priority="141" stopIfTrue="1" operator="equal">
      <formula>"WARNING"</formula>
    </cfRule>
  </conditionalFormatting>
  <conditionalFormatting sqref="C74">
    <cfRule type="cellIs" dxfId="740" priority="133" stopIfTrue="1" operator="equal">
      <formula>"ERROR"</formula>
    </cfRule>
  </conditionalFormatting>
  <conditionalFormatting sqref="C74">
    <cfRule type="cellIs" dxfId="739" priority="134" stopIfTrue="1" operator="equal">
      <formula>"OK"</formula>
    </cfRule>
  </conditionalFormatting>
  <conditionalFormatting sqref="C74">
    <cfRule type="cellIs" dxfId="738" priority="135" stopIfTrue="1" operator="equal">
      <formula>"WARNING"</formula>
    </cfRule>
  </conditionalFormatting>
  <conditionalFormatting sqref="G79">
    <cfRule type="cellIs" dxfId="737" priority="168" stopIfTrue="1" operator="equal">
      <formula>"ERROR"</formula>
    </cfRule>
    <cfRule type="cellIs" dxfId="736" priority="169" stopIfTrue="1" operator="equal">
      <formula>"OK"</formula>
    </cfRule>
    <cfRule type="cellIs" dxfId="735" priority="170" stopIfTrue="1" operator="equal">
      <formula>"WARNING"</formula>
    </cfRule>
  </conditionalFormatting>
  <conditionalFormatting sqref="U79">
    <cfRule type="cellIs" dxfId="734" priority="130" stopIfTrue="1" operator="equal">
      <formula>"ERROR"</formula>
    </cfRule>
    <cfRule type="cellIs" dxfId="733" priority="131" stopIfTrue="1" operator="equal">
      <formula>"OK"</formula>
    </cfRule>
    <cfRule type="cellIs" dxfId="732" priority="132" stopIfTrue="1" operator="equal">
      <formula>"WARNING"</formula>
    </cfRule>
  </conditionalFormatting>
  <conditionalFormatting sqref="AD79">
    <cfRule type="cellIs" dxfId="731" priority="127" stopIfTrue="1" operator="equal">
      <formula>"ERROR"</formula>
    </cfRule>
    <cfRule type="cellIs" dxfId="730" priority="128" stopIfTrue="1" operator="equal">
      <formula>"OK"</formula>
    </cfRule>
    <cfRule type="cellIs" dxfId="729" priority="129" stopIfTrue="1" operator="equal">
      <formula>"WARNING"</formula>
    </cfRule>
  </conditionalFormatting>
  <conditionalFormatting sqref="G183:G191">
    <cfRule type="cellIs" dxfId="728" priority="171" stopIfTrue="1" operator="equal">
      <formula>"ERROR"</formula>
    </cfRule>
    <cfRule type="cellIs" dxfId="727" priority="172" stopIfTrue="1" operator="equal">
      <formula>"OK"</formula>
    </cfRule>
    <cfRule type="cellIs" dxfId="726" priority="173" stopIfTrue="1" operator="equal">
      <formula>"WARNING"</formula>
    </cfRule>
  </conditionalFormatting>
  <conditionalFormatting sqref="C178">
    <cfRule type="cellIs" dxfId="725" priority="124" stopIfTrue="1" operator="equal">
      <formula>"ERROR"</formula>
    </cfRule>
  </conditionalFormatting>
  <conditionalFormatting sqref="C178">
    <cfRule type="cellIs" dxfId="724" priority="125" stopIfTrue="1" operator="equal">
      <formula>"OK"</formula>
    </cfRule>
  </conditionalFormatting>
  <conditionalFormatting sqref="C178">
    <cfRule type="cellIs" dxfId="723" priority="126" stopIfTrue="1" operator="equal">
      <formula>"WARNING"</formula>
    </cfRule>
  </conditionalFormatting>
  <conditionalFormatting sqref="N183:N200">
    <cfRule type="cellIs" dxfId="722" priority="121" stopIfTrue="1" operator="equal">
      <formula>"ERROR"</formula>
    </cfRule>
    <cfRule type="cellIs" dxfId="721" priority="122" stopIfTrue="1" operator="equal">
      <formula>"OK"</formula>
    </cfRule>
    <cfRule type="cellIs" dxfId="720" priority="123" stopIfTrue="1" operator="equal">
      <formula>"WARNING"</formula>
    </cfRule>
  </conditionalFormatting>
  <conditionalFormatting sqref="AQ79">
    <cfRule type="cellIs" dxfId="719" priority="118" stopIfTrue="1" operator="equal">
      <formula>"ERROR"</formula>
    </cfRule>
    <cfRule type="cellIs" dxfId="718" priority="119" stopIfTrue="1" operator="equal">
      <formula>"OK"</formula>
    </cfRule>
    <cfRule type="cellIs" dxfId="717" priority="120" stopIfTrue="1" operator="equal">
      <formula>"WARNING"</formula>
    </cfRule>
  </conditionalFormatting>
  <conditionalFormatting sqref="C89">
    <cfRule type="cellIs" dxfId="716" priority="112" stopIfTrue="1" operator="equal">
      <formula>"ERROR"</formula>
    </cfRule>
  </conditionalFormatting>
  <conditionalFormatting sqref="C89">
    <cfRule type="cellIs" dxfId="715" priority="113" stopIfTrue="1" operator="equal">
      <formula>"OK"</formula>
    </cfRule>
  </conditionalFormatting>
  <conditionalFormatting sqref="C89">
    <cfRule type="cellIs" dxfId="714" priority="114" stopIfTrue="1" operator="equal">
      <formula>"WARNING"</formula>
    </cfRule>
  </conditionalFormatting>
  <conditionalFormatting sqref="G94">
    <cfRule type="cellIs" dxfId="713" priority="115" stopIfTrue="1" operator="equal">
      <formula>"ERROR"</formula>
    </cfRule>
    <cfRule type="cellIs" dxfId="712" priority="116" stopIfTrue="1" operator="equal">
      <formula>"OK"</formula>
    </cfRule>
    <cfRule type="cellIs" dxfId="711" priority="117" stopIfTrue="1" operator="equal">
      <formula>"WARNING"</formula>
    </cfRule>
  </conditionalFormatting>
  <conditionalFormatting sqref="N94">
    <cfRule type="cellIs" dxfId="710" priority="109" stopIfTrue="1" operator="equal">
      <formula>"ERROR"</formula>
    </cfRule>
    <cfRule type="cellIs" dxfId="709" priority="110" stopIfTrue="1" operator="equal">
      <formula>"OK"</formula>
    </cfRule>
    <cfRule type="cellIs" dxfId="708" priority="111" stopIfTrue="1" operator="equal">
      <formula>"WARNING"</formula>
    </cfRule>
  </conditionalFormatting>
  <conditionalFormatting sqref="W94">
    <cfRule type="cellIs" dxfId="707" priority="106" stopIfTrue="1" operator="equal">
      <formula>"ERROR"</formula>
    </cfRule>
    <cfRule type="cellIs" dxfId="706" priority="107" stopIfTrue="1" operator="equal">
      <formula>"OK"</formula>
    </cfRule>
    <cfRule type="cellIs" dxfId="705" priority="108" stopIfTrue="1" operator="equal">
      <formula>"WARNING"</formula>
    </cfRule>
  </conditionalFormatting>
  <conditionalFormatting sqref="AJ94">
    <cfRule type="cellIs" dxfId="704" priority="103" stopIfTrue="1" operator="equal">
      <formula>"ERROR"</formula>
    </cfRule>
    <cfRule type="cellIs" dxfId="703" priority="104" stopIfTrue="1" operator="equal">
      <formula>"OK"</formula>
    </cfRule>
    <cfRule type="cellIs" dxfId="702" priority="105" stopIfTrue="1" operator="equal">
      <formula>"WARNING"</formula>
    </cfRule>
  </conditionalFormatting>
  <conditionalFormatting sqref="C104">
    <cfRule type="cellIs" dxfId="701" priority="97" stopIfTrue="1" operator="equal">
      <formula>"ERROR"</formula>
    </cfRule>
  </conditionalFormatting>
  <conditionalFormatting sqref="C104">
    <cfRule type="cellIs" dxfId="700" priority="98" stopIfTrue="1" operator="equal">
      <formula>"OK"</formula>
    </cfRule>
  </conditionalFormatting>
  <conditionalFormatting sqref="C104">
    <cfRule type="cellIs" dxfId="699" priority="99" stopIfTrue="1" operator="equal">
      <formula>"WARNING"</formula>
    </cfRule>
  </conditionalFormatting>
  <conditionalFormatting sqref="G109">
    <cfRule type="cellIs" dxfId="698" priority="100" stopIfTrue="1" operator="equal">
      <formula>"ERROR"</formula>
    </cfRule>
    <cfRule type="cellIs" dxfId="697" priority="101" stopIfTrue="1" operator="equal">
      <formula>"OK"</formula>
    </cfRule>
    <cfRule type="cellIs" dxfId="696" priority="102" stopIfTrue="1" operator="equal">
      <formula>"WARNING"</formula>
    </cfRule>
  </conditionalFormatting>
  <conditionalFormatting sqref="N109">
    <cfRule type="cellIs" dxfId="695" priority="94" stopIfTrue="1" operator="equal">
      <formula>"ERROR"</formula>
    </cfRule>
    <cfRule type="cellIs" dxfId="694" priority="95" stopIfTrue="1" operator="equal">
      <formula>"OK"</formula>
    </cfRule>
    <cfRule type="cellIs" dxfId="693" priority="96" stopIfTrue="1" operator="equal">
      <formula>"WARNING"</formula>
    </cfRule>
  </conditionalFormatting>
  <conditionalFormatting sqref="W109">
    <cfRule type="cellIs" dxfId="692" priority="91" stopIfTrue="1" operator="equal">
      <formula>"ERROR"</formula>
    </cfRule>
    <cfRule type="cellIs" dxfId="691" priority="92" stopIfTrue="1" operator="equal">
      <formula>"OK"</formula>
    </cfRule>
    <cfRule type="cellIs" dxfId="690" priority="93" stopIfTrue="1" operator="equal">
      <formula>"WARNING"</formula>
    </cfRule>
  </conditionalFormatting>
  <conditionalFormatting sqref="AJ109">
    <cfRule type="cellIs" dxfId="689" priority="88" stopIfTrue="1" operator="equal">
      <formula>"ERROR"</formula>
    </cfRule>
    <cfRule type="cellIs" dxfId="688" priority="89" stopIfTrue="1" operator="equal">
      <formula>"OK"</formula>
    </cfRule>
    <cfRule type="cellIs" dxfId="687" priority="90" stopIfTrue="1" operator="equal">
      <formula>"WARNING"</formula>
    </cfRule>
  </conditionalFormatting>
  <conditionalFormatting sqref="G124">
    <cfRule type="cellIs" dxfId="686" priority="82" stopIfTrue="1" operator="equal">
      <formula>"ERROR"</formula>
    </cfRule>
    <cfRule type="cellIs" dxfId="685" priority="83" stopIfTrue="1" operator="equal">
      <formula>"OK"</formula>
    </cfRule>
    <cfRule type="cellIs" dxfId="684" priority="84" stopIfTrue="1" operator="equal">
      <formula>"WARNING"</formula>
    </cfRule>
  </conditionalFormatting>
  <conditionalFormatting sqref="C119">
    <cfRule type="cellIs" dxfId="683" priority="79" stopIfTrue="1" operator="equal">
      <formula>"ERROR"</formula>
    </cfRule>
  </conditionalFormatting>
  <conditionalFormatting sqref="C119">
    <cfRule type="cellIs" dxfId="682" priority="80" stopIfTrue="1" operator="equal">
      <formula>"OK"</formula>
    </cfRule>
  </conditionalFormatting>
  <conditionalFormatting sqref="C119">
    <cfRule type="cellIs" dxfId="681" priority="81" stopIfTrue="1" operator="equal">
      <formula>"WARNING"</formula>
    </cfRule>
  </conditionalFormatting>
  <conditionalFormatting sqref="O124">
    <cfRule type="cellIs" dxfId="680" priority="76" stopIfTrue="1" operator="equal">
      <formula>"ERROR"</formula>
    </cfRule>
    <cfRule type="cellIs" dxfId="679" priority="77" stopIfTrue="1" operator="equal">
      <formula>"OK"</formula>
    </cfRule>
    <cfRule type="cellIs" dxfId="678" priority="78" stopIfTrue="1" operator="equal">
      <formula>"WARNING"</formula>
    </cfRule>
  </conditionalFormatting>
  <conditionalFormatting sqref="AC124">
    <cfRule type="cellIs" dxfId="677" priority="73" stopIfTrue="1" operator="equal">
      <formula>"ERROR"</formula>
    </cfRule>
    <cfRule type="cellIs" dxfId="676" priority="74" stopIfTrue="1" operator="equal">
      <formula>"OK"</formula>
    </cfRule>
    <cfRule type="cellIs" dxfId="675" priority="75" stopIfTrue="1" operator="equal">
      <formula>"WARNING"</formula>
    </cfRule>
  </conditionalFormatting>
  <conditionalFormatting sqref="AS124">
    <cfRule type="cellIs" dxfId="674" priority="70" stopIfTrue="1" operator="equal">
      <formula>"ERROR"</formula>
    </cfRule>
    <cfRule type="cellIs" dxfId="673" priority="71" stopIfTrue="1" operator="equal">
      <formula>"OK"</formula>
    </cfRule>
    <cfRule type="cellIs" dxfId="672" priority="72" stopIfTrue="1" operator="equal">
      <formula>"WARNING"</formula>
    </cfRule>
  </conditionalFormatting>
  <conditionalFormatting sqref="AA183">
    <cfRule type="cellIs" dxfId="671" priority="67" stopIfTrue="1" operator="equal">
      <formula>"ERROR"</formula>
    </cfRule>
    <cfRule type="cellIs" dxfId="670" priority="68" stopIfTrue="1" operator="equal">
      <formula>"OK"</formula>
    </cfRule>
    <cfRule type="cellIs" dxfId="669" priority="69" stopIfTrue="1" operator="equal">
      <formula>"WARNING"</formula>
    </cfRule>
  </conditionalFormatting>
  <conditionalFormatting sqref="C221">
    <cfRule type="cellIs" dxfId="668" priority="64" stopIfTrue="1" operator="equal">
      <formula>"ERROR"</formula>
    </cfRule>
  </conditionalFormatting>
  <conditionalFormatting sqref="C221">
    <cfRule type="cellIs" dxfId="667" priority="65" stopIfTrue="1" operator="equal">
      <formula>"OK"</formula>
    </cfRule>
  </conditionalFormatting>
  <conditionalFormatting sqref="C221">
    <cfRule type="cellIs" dxfId="666" priority="66" stopIfTrue="1" operator="equal">
      <formula>"WARNING"</formula>
    </cfRule>
  </conditionalFormatting>
  <conditionalFormatting sqref="H226:I230">
    <cfRule type="cellIs" dxfId="665" priority="174" stopIfTrue="1" operator="equal">
      <formula>"ERROR"</formula>
    </cfRule>
  </conditionalFormatting>
  <conditionalFormatting sqref="H226:I230">
    <cfRule type="cellIs" dxfId="664" priority="175" stopIfTrue="1" operator="equal">
      <formula>"OK"</formula>
    </cfRule>
  </conditionalFormatting>
  <conditionalFormatting sqref="H226:I230">
    <cfRule type="cellIs" dxfId="663" priority="176" stopIfTrue="1" operator="equal">
      <formula>"WARNING"</formula>
    </cfRule>
  </conditionalFormatting>
  <conditionalFormatting sqref="D16:D17">
    <cfRule type="cellIs" dxfId="662" priority="177" stopIfTrue="1" operator="equal">
      <formula>"ERROR"</formula>
    </cfRule>
    <cfRule type="cellIs" dxfId="661" priority="178" stopIfTrue="1" operator="equal">
      <formula>"OK"</formula>
    </cfRule>
    <cfRule type="cellIs" dxfId="660" priority="179" stopIfTrue="1" operator="equal">
      <formula>"WARNING"</formula>
    </cfRule>
  </conditionalFormatting>
  <conditionalFormatting sqref="D18:D19">
    <cfRule type="cellIs" dxfId="659" priority="180" stopIfTrue="1" operator="equal">
      <formula>"ERROR"</formula>
    </cfRule>
    <cfRule type="cellIs" dxfId="658" priority="181" stopIfTrue="1" operator="equal">
      <formula>"OK"</formula>
    </cfRule>
    <cfRule type="cellIs" dxfId="657" priority="182" stopIfTrue="1" operator="equal">
      <formula>"WARNING"</formula>
    </cfRule>
  </conditionalFormatting>
  <conditionalFormatting sqref="C236">
    <cfRule type="cellIs" dxfId="656" priority="58" stopIfTrue="1" operator="equal">
      <formula>"ERROR"</formula>
    </cfRule>
  </conditionalFormatting>
  <conditionalFormatting sqref="C236">
    <cfRule type="cellIs" dxfId="655" priority="59" stopIfTrue="1" operator="equal">
      <formula>"OK"</formula>
    </cfRule>
  </conditionalFormatting>
  <conditionalFormatting sqref="C236">
    <cfRule type="cellIs" dxfId="654" priority="60" stopIfTrue="1" operator="equal">
      <formula>"WARNING"</formula>
    </cfRule>
  </conditionalFormatting>
  <conditionalFormatting sqref="L241:O245">
    <cfRule type="cellIs" dxfId="653" priority="61" stopIfTrue="1" operator="equal">
      <formula>"ERROR"</formula>
    </cfRule>
  </conditionalFormatting>
  <conditionalFormatting sqref="L241:O245">
    <cfRule type="cellIs" dxfId="652" priority="62" stopIfTrue="1" operator="equal">
      <formula>"OK"</formula>
    </cfRule>
  </conditionalFormatting>
  <conditionalFormatting sqref="L241:O245">
    <cfRule type="cellIs" dxfId="651" priority="63" stopIfTrue="1" operator="equal">
      <formula>"WARNING"</formula>
    </cfRule>
  </conditionalFormatting>
  <conditionalFormatting sqref="C133">
    <cfRule type="cellIs" dxfId="650" priority="55" stopIfTrue="1" operator="equal">
      <formula>"ERROR"</formula>
    </cfRule>
  </conditionalFormatting>
  <conditionalFormatting sqref="C133">
    <cfRule type="cellIs" dxfId="649" priority="56" stopIfTrue="1" operator="equal">
      <formula>"OK"</formula>
    </cfRule>
  </conditionalFormatting>
  <conditionalFormatting sqref="C133">
    <cfRule type="cellIs" dxfId="648" priority="57" stopIfTrue="1" operator="equal">
      <formula>"WARNING"</formula>
    </cfRule>
  </conditionalFormatting>
  <conditionalFormatting sqref="L138:O172">
    <cfRule type="cellIs" dxfId="647" priority="183" stopIfTrue="1" operator="equal">
      <formula>"ERROR"</formula>
    </cfRule>
  </conditionalFormatting>
  <conditionalFormatting sqref="L138:O172">
    <cfRule type="cellIs" dxfId="646" priority="184" stopIfTrue="1" operator="equal">
      <formula>"OK"</formula>
    </cfRule>
  </conditionalFormatting>
  <conditionalFormatting sqref="L138:O172">
    <cfRule type="cellIs" dxfId="645" priority="185" stopIfTrue="1" operator="equal">
      <formula>"WARNING"</formula>
    </cfRule>
  </conditionalFormatting>
  <conditionalFormatting sqref="C205">
    <cfRule type="cellIs" dxfId="644" priority="52" stopIfTrue="1" operator="equal">
      <formula>"ERROR"</formula>
    </cfRule>
  </conditionalFormatting>
  <conditionalFormatting sqref="C205">
    <cfRule type="cellIs" dxfId="643" priority="53" stopIfTrue="1" operator="equal">
      <formula>"OK"</formula>
    </cfRule>
  </conditionalFormatting>
  <conditionalFormatting sqref="C205">
    <cfRule type="cellIs" dxfId="642" priority="54" stopIfTrue="1" operator="equal">
      <formula>"WARNING"</formula>
    </cfRule>
  </conditionalFormatting>
  <conditionalFormatting sqref="G210:G214">
    <cfRule type="cellIs" dxfId="641" priority="186" stopIfTrue="1" operator="equal">
      <formula>"ERROR"</formula>
    </cfRule>
  </conditionalFormatting>
  <conditionalFormatting sqref="G210:G214">
    <cfRule type="cellIs" dxfId="640" priority="187" stopIfTrue="1" operator="equal">
      <formula>"OK"</formula>
    </cfRule>
  </conditionalFormatting>
  <conditionalFormatting sqref="G210:G214">
    <cfRule type="cellIs" dxfId="639" priority="188" stopIfTrue="1" operator="equal">
      <formula>"WARNING"</formula>
    </cfRule>
  </conditionalFormatting>
  <conditionalFormatting sqref="N210:N214">
    <cfRule type="cellIs" dxfId="638" priority="49" stopIfTrue="1" operator="equal">
      <formula>"ERROR"</formula>
    </cfRule>
  </conditionalFormatting>
  <conditionalFormatting sqref="N210:N214">
    <cfRule type="cellIs" dxfId="637" priority="50" stopIfTrue="1" operator="equal">
      <formula>"OK"</formula>
    </cfRule>
  </conditionalFormatting>
  <conditionalFormatting sqref="N210:N214">
    <cfRule type="cellIs" dxfId="636" priority="51" stopIfTrue="1" operator="equal">
      <formula>"WARNING"</formula>
    </cfRule>
  </conditionalFormatting>
  <conditionalFormatting sqref="U210:U214">
    <cfRule type="cellIs" dxfId="635" priority="46" stopIfTrue="1" operator="equal">
      <formula>"ERROR"</formula>
    </cfRule>
  </conditionalFormatting>
  <conditionalFormatting sqref="U210:U214">
    <cfRule type="cellIs" dxfId="634" priority="47" stopIfTrue="1" operator="equal">
      <formula>"OK"</formula>
    </cfRule>
  </conditionalFormatting>
  <conditionalFormatting sqref="U210:U214">
    <cfRule type="cellIs" dxfId="633" priority="48" stopIfTrue="1" operator="equal">
      <formula>"WARNING"</formula>
    </cfRule>
  </conditionalFormatting>
  <conditionalFormatting sqref="AI210">
    <cfRule type="cellIs" dxfId="632" priority="43" stopIfTrue="1" operator="equal">
      <formula>"ERROR"</formula>
    </cfRule>
  </conditionalFormatting>
  <conditionalFormatting sqref="AI210">
    <cfRule type="cellIs" dxfId="631" priority="44" stopIfTrue="1" operator="equal">
      <formula>"OK"</formula>
    </cfRule>
  </conditionalFormatting>
  <conditionalFormatting sqref="AI210">
    <cfRule type="cellIs" dxfId="630" priority="45" stopIfTrue="1" operator="equal">
      <formula>"WARNING"</formula>
    </cfRule>
  </conditionalFormatting>
  <conditionalFormatting sqref="C250">
    <cfRule type="cellIs" dxfId="629" priority="40" stopIfTrue="1" operator="equal">
      <formula>"ERROR"</formula>
    </cfRule>
  </conditionalFormatting>
  <conditionalFormatting sqref="C250">
    <cfRule type="cellIs" dxfId="628" priority="41" stopIfTrue="1" operator="equal">
      <formula>"OK"</formula>
    </cfRule>
  </conditionalFormatting>
  <conditionalFormatting sqref="C250">
    <cfRule type="cellIs" dxfId="627" priority="42" stopIfTrue="1" operator="equal">
      <formula>"WARNING"</formula>
    </cfRule>
  </conditionalFormatting>
  <conditionalFormatting sqref="E255:E261">
    <cfRule type="cellIs" dxfId="626" priority="189" stopIfTrue="1" operator="equal">
      <formula>"ERROR"</formula>
    </cfRule>
  </conditionalFormatting>
  <conditionalFormatting sqref="E255:E261">
    <cfRule type="cellIs" dxfId="625" priority="190" stopIfTrue="1" operator="equal">
      <formula>"OK"</formula>
    </cfRule>
  </conditionalFormatting>
  <conditionalFormatting sqref="E255:E261">
    <cfRule type="cellIs" dxfId="624" priority="191" stopIfTrue="1" operator="equal">
      <formula>"WARNING"</formula>
    </cfRule>
  </conditionalFormatting>
  <conditionalFormatting sqref="D20">
    <cfRule type="cellIs" dxfId="623" priority="37" stopIfTrue="1" operator="equal">
      <formula>"ERROR"</formula>
    </cfRule>
    <cfRule type="cellIs" dxfId="622" priority="38" stopIfTrue="1" operator="equal">
      <formula>"OK"</formula>
    </cfRule>
    <cfRule type="cellIs" dxfId="621" priority="39" stopIfTrue="1" operator="equal">
      <formula>"WARNING"</formula>
    </cfRule>
  </conditionalFormatting>
  <conditionalFormatting sqref="C62">
    <cfRule type="cellIs" dxfId="620" priority="34" stopIfTrue="1" operator="equal">
      <formula>"ERROR"</formula>
    </cfRule>
  </conditionalFormatting>
  <conditionalFormatting sqref="C62">
    <cfRule type="cellIs" dxfId="619" priority="35" stopIfTrue="1" operator="equal">
      <formula>"OK"</formula>
    </cfRule>
  </conditionalFormatting>
  <conditionalFormatting sqref="C62">
    <cfRule type="cellIs" dxfId="618" priority="36" stopIfTrue="1" operator="equal">
      <formula>"WARNING"</formula>
    </cfRule>
  </conditionalFormatting>
  <conditionalFormatting sqref="G67">
    <cfRule type="cellIs" dxfId="617" priority="31" stopIfTrue="1" operator="equal">
      <formula>"ERROR"</formula>
    </cfRule>
    <cfRule type="cellIs" dxfId="616" priority="32" stopIfTrue="1" operator="equal">
      <formula>"OK"</formula>
    </cfRule>
    <cfRule type="cellIs" dxfId="615" priority="33" stopIfTrue="1" operator="equal">
      <formula>"WARNING"</formula>
    </cfRule>
  </conditionalFormatting>
  <conditionalFormatting sqref="C38">
    <cfRule type="cellIs" dxfId="614" priority="28" stopIfTrue="1" operator="equal">
      <formula>"ERROR"</formula>
    </cfRule>
  </conditionalFormatting>
  <conditionalFormatting sqref="C38">
    <cfRule type="cellIs" dxfId="613" priority="29" stopIfTrue="1" operator="equal">
      <formula>"OK"</formula>
    </cfRule>
  </conditionalFormatting>
  <conditionalFormatting sqref="C38">
    <cfRule type="cellIs" dxfId="612" priority="30" stopIfTrue="1" operator="equal">
      <formula>"WARNING"</formula>
    </cfRule>
  </conditionalFormatting>
  <conditionalFormatting sqref="G43">
    <cfRule type="cellIs" dxfId="611" priority="25" stopIfTrue="1" operator="equal">
      <formula>"ERROR"</formula>
    </cfRule>
    <cfRule type="cellIs" dxfId="610" priority="26" stopIfTrue="1" operator="equal">
      <formula>"OK"</formula>
    </cfRule>
    <cfRule type="cellIs" dxfId="609" priority="27" stopIfTrue="1" operator="equal">
      <formula>"WARNING"</formula>
    </cfRule>
  </conditionalFormatting>
  <conditionalFormatting sqref="D8:D10">
    <cfRule type="cellIs" dxfId="608" priority="22" stopIfTrue="1" operator="equal">
      <formula>"ERROR"</formula>
    </cfRule>
    <cfRule type="cellIs" dxfId="607" priority="23" stopIfTrue="1" operator="equal">
      <formula>"OK"</formula>
    </cfRule>
    <cfRule type="cellIs" dxfId="606" priority="24" stopIfTrue="1" operator="equal">
      <formula>"WARNING"</formula>
    </cfRule>
  </conditionalFormatting>
  <conditionalFormatting sqref="C50">
    <cfRule type="cellIs" dxfId="605" priority="19" stopIfTrue="1" operator="equal">
      <formula>"ERROR"</formula>
    </cfRule>
  </conditionalFormatting>
  <conditionalFormatting sqref="C50">
    <cfRule type="cellIs" dxfId="604" priority="20" stopIfTrue="1" operator="equal">
      <formula>"OK"</formula>
    </cfRule>
  </conditionalFormatting>
  <conditionalFormatting sqref="C50">
    <cfRule type="cellIs" dxfId="603" priority="21" stopIfTrue="1" operator="equal">
      <formula>"WARNING"</formula>
    </cfRule>
  </conditionalFormatting>
  <conditionalFormatting sqref="G55">
    <cfRule type="cellIs" dxfId="602" priority="16" stopIfTrue="1" operator="equal">
      <formula>"ERROR"</formula>
    </cfRule>
    <cfRule type="cellIs" dxfId="601" priority="17" stopIfTrue="1" operator="equal">
      <formula>"OK"</formula>
    </cfRule>
    <cfRule type="cellIs" dxfId="600" priority="18" stopIfTrue="1" operator="equal">
      <formula>"WARNING"</formula>
    </cfRule>
  </conditionalFormatting>
  <conditionalFormatting sqref="N79">
    <cfRule type="cellIs" dxfId="599" priority="13" stopIfTrue="1" operator="equal">
      <formula>"ERROR"</formula>
    </cfRule>
    <cfRule type="cellIs" dxfId="598" priority="14" stopIfTrue="1" operator="equal">
      <formula>"OK"</formula>
    </cfRule>
    <cfRule type="cellIs" dxfId="597" priority="15" stopIfTrue="1" operator="equal">
      <formula>"WARNING"</formula>
    </cfRule>
  </conditionalFormatting>
  <conditionalFormatting sqref="C26">
    <cfRule type="cellIs" dxfId="596" priority="10" stopIfTrue="1" operator="equal">
      <formula>"ERROR"</formula>
    </cfRule>
  </conditionalFormatting>
  <conditionalFormatting sqref="C26">
    <cfRule type="cellIs" dxfId="595" priority="11" stopIfTrue="1" operator="equal">
      <formula>"OK"</formula>
    </cfRule>
  </conditionalFormatting>
  <conditionalFormatting sqref="C26">
    <cfRule type="cellIs" dxfId="594" priority="12" stopIfTrue="1" operator="equal">
      <formula>"WARNING"</formula>
    </cfRule>
  </conditionalFormatting>
  <conditionalFormatting sqref="G31">
    <cfRule type="cellIs" dxfId="593" priority="7" stopIfTrue="1" operator="equal">
      <formula>"ERROR"</formula>
    </cfRule>
    <cfRule type="cellIs" dxfId="592" priority="8" stopIfTrue="1" operator="equal">
      <formula>"OK"</formula>
    </cfRule>
    <cfRule type="cellIs" dxfId="591" priority="9" stopIfTrue="1" operator="equal">
      <formula>"WARNING"</formula>
    </cfRule>
  </conditionalFormatting>
  <conditionalFormatting sqref="D7">
    <cfRule type="cellIs" dxfId="590" priority="1" stopIfTrue="1" operator="equal">
      <formula>"ERROR"</formula>
    </cfRule>
    <cfRule type="cellIs" dxfId="589" priority="2" stopIfTrue="1" operator="equal">
      <formula>"OK"</formula>
    </cfRule>
    <cfRule type="cellIs" dxfId="588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topLeftCell="A19" zoomScaleNormal="100" workbookViewId="0">
      <selection activeCell="C26" sqref="C26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18" t="s">
        <v>403</v>
      </c>
    </row>
    <row r="2" spans="1:87" ht="26.25" x14ac:dyDescent="0.4">
      <c r="B2" s="2" t="s">
        <v>354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5"/>
      <c r="BM2" s="315"/>
      <c r="BN2" s="315"/>
      <c r="BO2" s="315"/>
      <c r="BP2" s="315"/>
      <c r="BQ2" s="315"/>
      <c r="BR2" s="315"/>
      <c r="BS2" s="315"/>
      <c r="BT2" s="315"/>
      <c r="BU2" s="315"/>
      <c r="BV2" s="315"/>
      <c r="BW2" s="315"/>
      <c r="BX2" s="315"/>
      <c r="BY2" s="315"/>
      <c r="BZ2" s="315"/>
      <c r="CA2" s="315"/>
      <c r="CB2" s="315"/>
      <c r="CC2" s="315"/>
      <c r="CD2" s="315"/>
      <c r="CE2" s="315"/>
      <c r="CF2" s="315"/>
      <c r="CG2" s="315"/>
      <c r="CH2" s="315"/>
      <c r="CI2" s="315"/>
    </row>
    <row r="3" spans="1:87" x14ac:dyDescent="0.25">
      <c r="BR3" s="455"/>
      <c r="BS3" s="455"/>
      <c r="BT3" s="455"/>
      <c r="BU3" s="455"/>
      <c r="BV3" s="455"/>
      <c r="BW3" s="455"/>
    </row>
    <row r="4" spans="1:87" x14ac:dyDescent="0.25">
      <c r="B4" s="59" t="s">
        <v>155</v>
      </c>
      <c r="C4" s="310" t="str" cm="1">
        <f t="array" ref="C4">_xll.d.TestUtils_And(D7:D9)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BR4" s="455"/>
      <c r="BS4" s="455"/>
      <c r="BT4" s="455"/>
      <c r="BU4" s="455"/>
      <c r="BV4" s="455"/>
      <c r="BW4" s="455"/>
    </row>
    <row r="5" spans="1:87" x14ac:dyDescent="0.25">
      <c r="BR5" s="455"/>
      <c r="BS5" s="455"/>
      <c r="BT5" s="455"/>
      <c r="BU5" s="455"/>
      <c r="BV5" s="455"/>
      <c r="BW5" s="455"/>
    </row>
    <row r="6" spans="1:87" x14ac:dyDescent="0.25">
      <c r="B6" s="199" t="s">
        <v>225</v>
      </c>
      <c r="C6" s="199"/>
      <c r="D6" s="200" t="s">
        <v>10</v>
      </c>
      <c r="E6" s="308"/>
      <c r="F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BR6" s="455"/>
      <c r="BS6" s="455"/>
      <c r="BT6" s="455"/>
      <c r="BU6" s="455"/>
      <c r="BV6" s="455"/>
      <c r="BW6" s="455"/>
    </row>
    <row r="7" spans="1:87" x14ac:dyDescent="0.25">
      <c r="B7" s="417" t="s">
        <v>355</v>
      </c>
      <c r="C7" s="212"/>
      <c r="D7" s="310" t="str">
        <f>C14</f>
        <v>Ok</v>
      </c>
      <c r="E7" s="308"/>
      <c r="F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BR7" s="455"/>
      <c r="BS7" s="455"/>
      <c r="BT7" s="455"/>
      <c r="BU7" s="455"/>
      <c r="BV7" s="455"/>
      <c r="BW7" s="455"/>
    </row>
    <row r="8" spans="1:87" s="455" customFormat="1" x14ac:dyDescent="0.25">
      <c r="B8" s="417" t="s">
        <v>587</v>
      </c>
      <c r="C8" s="212"/>
      <c r="D8" s="310" t="str">
        <f>C26</f>
        <v>Ok</v>
      </c>
      <c r="E8" s="308"/>
      <c r="F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</row>
    <row r="9" spans="1:87" x14ac:dyDescent="0.25">
      <c r="B9" s="417" t="s">
        <v>371</v>
      </c>
      <c r="C9" s="212"/>
      <c r="D9" s="310" t="str">
        <f>C38</f>
        <v>Ok</v>
      </c>
      <c r="E9" s="308"/>
      <c r="F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BR9" s="455"/>
      <c r="BS9" s="455"/>
      <c r="BT9" s="455"/>
      <c r="BU9" s="455"/>
      <c r="BV9" s="455"/>
      <c r="BW9" s="455"/>
    </row>
    <row r="10" spans="1:87" x14ac:dyDescent="0.25">
      <c r="BR10" s="455"/>
      <c r="BS10" s="455"/>
      <c r="BT10" s="455"/>
      <c r="BU10" s="455"/>
      <c r="BV10" s="455"/>
      <c r="BW10" s="455"/>
    </row>
    <row r="11" spans="1:87" x14ac:dyDescent="0.25">
      <c r="BR11" s="455"/>
      <c r="BS11" s="455"/>
      <c r="BT11" s="455"/>
      <c r="BU11" s="455"/>
      <c r="BV11" s="455"/>
      <c r="BW11" s="455"/>
    </row>
    <row r="12" spans="1:87" s="308" customFormat="1" ht="18.75" x14ac:dyDescent="0.3">
      <c r="A12"/>
      <c r="B12" s="3" t="s">
        <v>355</v>
      </c>
      <c r="C12" s="316"/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316"/>
      <c r="O12" s="316"/>
      <c r="P12" s="316"/>
      <c r="Q12" s="316"/>
      <c r="R12" s="316"/>
      <c r="S12" s="316"/>
      <c r="T12" s="316"/>
      <c r="U12" s="316"/>
      <c r="V12" s="316"/>
      <c r="W12" s="316"/>
      <c r="X12" s="316"/>
      <c r="Y12" s="316"/>
      <c r="Z12" s="316"/>
      <c r="AA12" s="316"/>
      <c r="AB12" s="316"/>
      <c r="AC12" s="316"/>
      <c r="AD12" s="316"/>
      <c r="AE12" s="316"/>
      <c r="AF12" s="316"/>
      <c r="AG12" s="316"/>
      <c r="AH12" s="316"/>
      <c r="AI12" s="316"/>
      <c r="AJ12" s="316"/>
      <c r="AK12" s="316"/>
      <c r="AL12" s="316"/>
      <c r="AM12" s="316"/>
      <c r="AN12" s="316"/>
      <c r="AO12" s="316"/>
      <c r="AP12" s="316"/>
      <c r="AQ12" s="316"/>
      <c r="AR12" s="316"/>
      <c r="AS12" s="316"/>
      <c r="AT12" s="316"/>
      <c r="AU12" s="316"/>
      <c r="AV12" s="316"/>
      <c r="AW12" s="316"/>
      <c r="AX12" s="316"/>
      <c r="AY12" s="316"/>
      <c r="AZ12" s="316"/>
      <c r="BA12" s="316"/>
      <c r="BB12" s="316"/>
      <c r="BC12" s="316"/>
      <c r="BD12" s="316"/>
      <c r="BE12" s="316"/>
      <c r="BF12" s="316"/>
      <c r="BG12" s="316"/>
      <c r="BH12" s="316"/>
      <c r="BI12" s="316"/>
      <c r="BJ12" s="316"/>
      <c r="BK12" s="316"/>
      <c r="BL12" s="316"/>
      <c r="BM12" s="316"/>
      <c r="BN12" s="316"/>
      <c r="BO12" s="316"/>
      <c r="BP12" s="316"/>
      <c r="BQ12" s="316"/>
      <c r="BR12" s="316"/>
      <c r="BS12" s="316"/>
      <c r="BT12" s="316"/>
      <c r="BU12" s="316"/>
      <c r="BV12" s="316"/>
      <c r="BW12" s="316"/>
      <c r="BX12" s="316"/>
      <c r="BY12" s="316"/>
      <c r="BZ12" s="316"/>
      <c r="CA12" s="316"/>
      <c r="CB12" s="316"/>
      <c r="CC12" s="316"/>
      <c r="CD12" s="316"/>
      <c r="CE12" s="316"/>
      <c r="CF12" s="316"/>
      <c r="CG12" s="316"/>
      <c r="CH12" s="316"/>
      <c r="CI12" s="316"/>
    </row>
    <row r="13" spans="1:87" x14ac:dyDescent="0.25">
      <c r="BR13" s="455"/>
      <c r="BS13" s="455"/>
      <c r="BT13" s="455"/>
      <c r="BU13" s="455"/>
      <c r="BV13" s="455"/>
      <c r="BW13" s="455"/>
    </row>
    <row r="14" spans="1:87" x14ac:dyDescent="0.25">
      <c r="B14" s="59" t="s">
        <v>155</v>
      </c>
      <c r="C14" s="310" t="str" cm="1">
        <f t="array" ref="C14">_xll.d.TestUtils_And(H19,P19,Y19,AG19,AU19,BI19,BW19,CI19)</f>
        <v>Ok</v>
      </c>
      <c r="D14" s="308"/>
      <c r="E14" s="308"/>
      <c r="F14" s="308"/>
      <c r="G14" s="308"/>
      <c r="AN14" s="455"/>
      <c r="AO14" s="455"/>
      <c r="AP14" s="455"/>
      <c r="AR14" s="455"/>
      <c r="AS14" s="455"/>
      <c r="AT14" s="455"/>
      <c r="BD14" s="455"/>
      <c r="BH14" s="455"/>
      <c r="BR14" s="455"/>
      <c r="BS14" s="455"/>
      <c r="BT14" s="455"/>
      <c r="BU14" s="455"/>
      <c r="BV14" s="455"/>
      <c r="BW14" s="455"/>
      <c r="BX14" s="455"/>
      <c r="BY14" s="455"/>
      <c r="BZ14" s="455"/>
      <c r="CA14" s="455"/>
      <c r="CB14" s="455"/>
      <c r="CC14" s="455"/>
      <c r="CD14" s="455"/>
    </row>
    <row r="15" spans="1:87" x14ac:dyDescent="0.25">
      <c r="B15" s="308"/>
      <c r="C15" s="308"/>
      <c r="D15" s="308"/>
      <c r="E15" s="308"/>
      <c r="F15" s="308"/>
      <c r="G15" s="309"/>
      <c r="AN15" s="455"/>
      <c r="AO15" s="455"/>
      <c r="AP15" s="455"/>
      <c r="AR15" s="455"/>
      <c r="AS15" s="455"/>
      <c r="AT15" s="455"/>
      <c r="BB15" s="455"/>
      <c r="BC15" s="455"/>
      <c r="BD15" s="455"/>
      <c r="BF15" s="455"/>
      <c r="BG15" s="455"/>
      <c r="BH15" s="455"/>
      <c r="BK15" s="455"/>
      <c r="BL15" s="455"/>
      <c r="BM15" s="455"/>
      <c r="BN15" s="455"/>
      <c r="BO15" s="455"/>
      <c r="BP15" s="455"/>
      <c r="BQ15" s="455"/>
      <c r="BR15" s="455"/>
      <c r="BS15" s="455"/>
      <c r="BT15" s="455"/>
      <c r="BU15" s="455"/>
      <c r="BV15" s="455"/>
      <c r="BW15" s="455"/>
      <c r="BX15" s="455"/>
      <c r="CD15" s="455"/>
      <c r="CE15" s="455"/>
      <c r="CF15" s="455"/>
      <c r="CG15" s="455"/>
      <c r="CH15" s="455"/>
      <c r="CI15" s="455"/>
    </row>
    <row r="16" spans="1:87" ht="15.75" x14ac:dyDescent="0.25">
      <c r="B16" s="4" t="s">
        <v>356</v>
      </c>
      <c r="C16" s="317"/>
      <c r="D16" s="317"/>
      <c r="E16" s="317"/>
      <c r="F16" s="317"/>
      <c r="G16" s="317"/>
      <c r="H16" s="317"/>
      <c r="J16" s="4" t="s">
        <v>360</v>
      </c>
      <c r="K16" s="317"/>
      <c r="L16" s="317"/>
      <c r="M16" s="317"/>
      <c r="N16" s="317"/>
      <c r="O16" s="317"/>
      <c r="P16" s="317"/>
      <c r="R16" s="4" t="s">
        <v>362</v>
      </c>
      <c r="S16" s="317"/>
      <c r="T16" s="317"/>
      <c r="U16" s="317"/>
      <c r="V16" s="317"/>
      <c r="W16" s="317"/>
      <c r="X16" s="317"/>
      <c r="Y16" s="317"/>
      <c r="AA16" s="4" t="s">
        <v>363</v>
      </c>
      <c r="AB16" s="317"/>
      <c r="AC16" s="317"/>
      <c r="AD16" s="317"/>
      <c r="AE16" s="317"/>
      <c r="AF16" s="317"/>
      <c r="AG16" s="317"/>
      <c r="AI16" s="4" t="s">
        <v>364</v>
      </c>
      <c r="AJ16" s="317"/>
      <c r="AK16" s="317"/>
      <c r="AL16" s="317"/>
      <c r="AM16" s="317"/>
      <c r="AN16" s="317"/>
      <c r="AO16" s="317"/>
      <c r="AP16" s="317"/>
      <c r="AQ16" s="317"/>
      <c r="AR16" s="317"/>
      <c r="AS16" s="317"/>
      <c r="AT16" s="317"/>
      <c r="AU16" s="317"/>
      <c r="AW16" s="4" t="s">
        <v>496</v>
      </c>
      <c r="AX16" s="317"/>
      <c r="AY16" s="317"/>
      <c r="AZ16" s="317"/>
      <c r="BA16" s="317"/>
      <c r="BB16" s="317"/>
      <c r="BC16" s="317"/>
      <c r="BD16" s="317"/>
      <c r="BE16" s="317"/>
      <c r="BF16" s="317"/>
      <c r="BG16" s="317"/>
      <c r="BH16" s="317"/>
      <c r="BI16" s="317"/>
      <c r="BK16" s="4" t="s">
        <v>497</v>
      </c>
      <c r="BL16" s="317"/>
      <c r="BM16" s="317"/>
      <c r="BN16" s="317"/>
      <c r="BO16" s="317"/>
      <c r="BP16" s="317"/>
      <c r="BQ16" s="317"/>
      <c r="BR16" s="317"/>
      <c r="BS16" s="317"/>
      <c r="BT16" s="317"/>
      <c r="BU16" s="317"/>
      <c r="BV16" s="317"/>
      <c r="BW16" s="317"/>
      <c r="BX16" s="455"/>
      <c r="BY16" s="4" t="s">
        <v>500</v>
      </c>
      <c r="BZ16" s="317"/>
      <c r="CA16" s="317"/>
      <c r="CB16" s="317"/>
      <c r="CC16" s="317"/>
      <c r="CD16" s="317"/>
      <c r="CE16" s="317"/>
      <c r="CF16" s="317"/>
      <c r="CG16" s="317"/>
      <c r="CH16" s="317"/>
      <c r="CI16" s="317"/>
    </row>
    <row r="17" spans="2:87" x14ac:dyDescent="0.25">
      <c r="B17" s="308"/>
      <c r="C17" s="308"/>
      <c r="D17" s="308"/>
      <c r="E17" s="308"/>
      <c r="F17" s="308"/>
      <c r="G17" s="309"/>
      <c r="J17" s="308"/>
      <c r="K17" s="308"/>
      <c r="L17" s="308"/>
      <c r="M17" s="308"/>
      <c r="N17" s="308"/>
      <c r="O17" s="309"/>
      <c r="R17" s="308"/>
      <c r="S17" s="308"/>
      <c r="T17" s="308"/>
      <c r="U17" s="308"/>
      <c r="V17" s="308"/>
      <c r="W17" s="308"/>
      <c r="X17" s="309"/>
      <c r="AA17" s="308"/>
      <c r="AB17" s="308"/>
      <c r="AC17" s="308"/>
      <c r="AD17" s="308"/>
      <c r="AE17" s="308"/>
      <c r="AF17" s="309"/>
      <c r="AI17" s="308"/>
      <c r="AJ17" s="308"/>
      <c r="AK17" s="308"/>
      <c r="AL17" s="308"/>
      <c r="AM17" s="308"/>
      <c r="AN17" s="308"/>
      <c r="AO17" s="308"/>
      <c r="AP17" s="308"/>
      <c r="AQ17" s="309"/>
      <c r="AR17" s="309"/>
      <c r="AS17" s="309"/>
      <c r="AT17" s="309"/>
      <c r="AW17" s="308"/>
      <c r="AX17" s="308"/>
      <c r="AY17" s="308"/>
      <c r="AZ17" s="308"/>
      <c r="BA17" s="308"/>
      <c r="BB17" s="308"/>
      <c r="BC17" s="308"/>
      <c r="BD17" s="308"/>
      <c r="BE17" s="309"/>
      <c r="BF17" s="309"/>
      <c r="BG17" s="309"/>
      <c r="BH17" s="309"/>
      <c r="BK17" s="308"/>
      <c r="BL17" s="308"/>
      <c r="BM17" s="308"/>
      <c r="BN17" s="455"/>
      <c r="BO17" s="455"/>
      <c r="BP17" s="455"/>
      <c r="BQ17" s="455"/>
      <c r="BR17" s="455"/>
      <c r="BS17" s="455"/>
      <c r="BT17" s="455"/>
      <c r="BU17" s="455"/>
      <c r="BV17" s="455"/>
      <c r="BW17" s="455"/>
      <c r="BX17" s="455"/>
      <c r="BY17" s="308"/>
      <c r="BZ17" s="308"/>
      <c r="CA17" s="308"/>
      <c r="CB17" s="308"/>
      <c r="CC17" s="308"/>
      <c r="CD17" s="308"/>
      <c r="CE17" s="308"/>
      <c r="CF17" s="309"/>
      <c r="CG17" s="309"/>
      <c r="CH17" s="309"/>
    </row>
    <row r="18" spans="2:87" x14ac:dyDescent="0.25">
      <c r="B18" s="131" t="s">
        <v>241</v>
      </c>
      <c r="C18" s="202"/>
      <c r="D18" s="132"/>
      <c r="F18" s="131" t="s">
        <v>129</v>
      </c>
      <c r="G18" s="131" t="s">
        <v>243</v>
      </c>
      <c r="H18" s="131" t="s">
        <v>83</v>
      </c>
      <c r="J18" s="131" t="s">
        <v>241</v>
      </c>
      <c r="K18" s="202"/>
      <c r="L18" s="132"/>
      <c r="N18" s="131" t="s">
        <v>129</v>
      </c>
      <c r="O18" s="131" t="s">
        <v>243</v>
      </c>
      <c r="P18" s="131" t="s">
        <v>83</v>
      </c>
      <c r="R18" s="131" t="s">
        <v>241</v>
      </c>
      <c r="S18" s="202"/>
      <c r="T18" s="202"/>
      <c r="U18" s="132"/>
      <c r="W18" s="131" t="s">
        <v>129</v>
      </c>
      <c r="X18" s="131" t="s">
        <v>243</v>
      </c>
      <c r="Y18" s="131" t="s">
        <v>83</v>
      </c>
      <c r="AA18" s="131" t="s">
        <v>241</v>
      </c>
      <c r="AB18" s="202"/>
      <c r="AC18" s="132"/>
      <c r="AE18" s="131" t="s">
        <v>129</v>
      </c>
      <c r="AF18" s="131" t="s">
        <v>243</v>
      </c>
      <c r="AG18" s="131" t="s">
        <v>83</v>
      </c>
      <c r="AI18" s="131" t="s">
        <v>241</v>
      </c>
      <c r="AJ18" s="202"/>
      <c r="AK18" s="132"/>
      <c r="AM18" s="131" t="s">
        <v>129</v>
      </c>
      <c r="AN18" s="131"/>
      <c r="AO18" s="131"/>
      <c r="AP18" s="131"/>
      <c r="AQ18" s="131" t="s">
        <v>243</v>
      </c>
      <c r="AR18" s="131"/>
      <c r="AS18" s="131"/>
      <c r="AT18" s="131"/>
      <c r="AU18" s="131" t="s">
        <v>83</v>
      </c>
      <c r="AW18" s="131" t="s">
        <v>241</v>
      </c>
      <c r="AX18" s="202"/>
      <c r="AY18" s="132"/>
      <c r="BA18" s="131" t="s">
        <v>129</v>
      </c>
      <c r="BB18" s="131"/>
      <c r="BC18" s="131"/>
      <c r="BD18" s="131"/>
      <c r="BE18" s="131" t="s">
        <v>243</v>
      </c>
      <c r="BF18" s="131"/>
      <c r="BG18" s="131"/>
      <c r="BH18" s="131"/>
      <c r="BI18" s="131" t="s">
        <v>83</v>
      </c>
      <c r="BK18" s="131" t="s">
        <v>241</v>
      </c>
      <c r="BL18" s="202"/>
      <c r="BM18" s="132"/>
      <c r="BN18" s="455"/>
      <c r="BO18" s="131" t="s">
        <v>129</v>
      </c>
      <c r="BP18" s="131"/>
      <c r="BQ18" s="131"/>
      <c r="BR18" s="131"/>
      <c r="BS18" s="131" t="s">
        <v>243</v>
      </c>
      <c r="BT18" s="131"/>
      <c r="BU18" s="131"/>
      <c r="BV18" s="131"/>
      <c r="BW18" s="131" t="s">
        <v>83</v>
      </c>
      <c r="BX18" s="455"/>
      <c r="BY18" s="131" t="s">
        <v>241</v>
      </c>
      <c r="BZ18" s="202"/>
      <c r="CA18" s="132"/>
      <c r="CC18" s="131" t="s">
        <v>129</v>
      </c>
      <c r="CD18" s="131"/>
      <c r="CE18" s="131"/>
      <c r="CF18" s="131" t="s">
        <v>243</v>
      </c>
      <c r="CG18" s="131"/>
      <c r="CH18" s="131"/>
      <c r="CI18" s="131" t="s">
        <v>83</v>
      </c>
    </row>
    <row r="19" spans="2:87" x14ac:dyDescent="0.25">
      <c r="B19" s="332" t="s">
        <v>357</v>
      </c>
      <c r="C19" s="333" t="s">
        <v>358</v>
      </c>
      <c r="D19" s="130" t="s">
        <v>359</v>
      </c>
      <c r="F19" s="335" cm="1">
        <f t="array" ref="F19">_xll.d.Math_Interpolate(B20:B21,C20:C21,D20,"linear")</f>
        <v>7.5000000000000011E-2</v>
      </c>
      <c r="G19" s="336">
        <f>(C21-C20)/(B21-B20)*(D20-B20)+C20</f>
        <v>7.5000000000000011E-2</v>
      </c>
      <c r="H19" s="320" t="str" cm="1">
        <f t="array" ref="H19">_xll.d.TestUtils_Equal(F19,G19)</f>
        <v>Ok</v>
      </c>
      <c r="J19" s="332" t="s">
        <v>357</v>
      </c>
      <c r="K19" s="333" t="s">
        <v>358</v>
      </c>
      <c r="L19" s="130" t="s">
        <v>359</v>
      </c>
      <c r="N19" s="335" cm="1">
        <f t="array" ref="N19">_xll.d.Math_Interpolate(J20:J21,K20:K21,L20,"exponential")</f>
        <v>7.0710678118654766E-2</v>
      </c>
      <c r="O19" s="336">
        <f>EXP((LN(K21/K20))/(J21-J20)*(L20-J20)+LN(K20))</f>
        <v>7.0710678118654766E-2</v>
      </c>
      <c r="P19" s="320" t="str" cm="1">
        <f t="array" ref="P19">_xll.d.TestUtils_Equal(N19,O19)</f>
        <v>Ok</v>
      </c>
      <c r="R19" s="332" t="s">
        <v>357</v>
      </c>
      <c r="S19" s="333" t="s">
        <v>358</v>
      </c>
      <c r="T19" s="333" t="s">
        <v>361</v>
      </c>
      <c r="U19" s="130" t="s">
        <v>359</v>
      </c>
      <c r="W19" s="335" cm="1">
        <f t="array" ref="W19">_xll.d.Math_Interpolate(R20:R21,T20:T21,U20,"exponential")-EXP(_xll.d.Math_Interpolate(R20:R21,S20:S21,U20,"linear"))</f>
        <v>0</v>
      </c>
      <c r="X19" s="336">
        <v>0</v>
      </c>
      <c r="Y19" s="320" t="str" cm="1">
        <f t="array" ref="Y19">_xll.d.TestUtils_Equal(W19,X19)</f>
        <v>Ok</v>
      </c>
      <c r="AA19" s="332" t="s">
        <v>357</v>
      </c>
      <c r="AB19" s="333" t="s">
        <v>358</v>
      </c>
      <c r="AC19" s="130" t="s">
        <v>359</v>
      </c>
      <c r="AE19" s="335" cm="1">
        <f t="array" ref="AE19">_xll.d.Math_Interpolate(AA20:AA21,AB20:AB21,AC20,"flat")</f>
        <v>0.05</v>
      </c>
      <c r="AF19" s="336">
        <f>IF(AC20&lt;AA21,AB20,AB21)</f>
        <v>0.05</v>
      </c>
      <c r="AG19" s="320" t="str" cm="1">
        <f t="array" ref="AG19">_xll.d.TestUtils_Equal(AE19,AF19)</f>
        <v>Ok</v>
      </c>
      <c r="AI19" s="332" t="s">
        <v>357</v>
      </c>
      <c r="AJ19" s="333" t="s">
        <v>358</v>
      </c>
      <c r="AK19" s="130" t="s">
        <v>359</v>
      </c>
      <c r="AM19" s="576" t="str" cm="1">
        <f t="array" ref="AM19">_xll.d.Math_Interpolate(AI20,AJ20:AJ21,AK20,"linear")</f>
        <v>#∂Excel Error: Dimensions of x and y ranges don't match.</v>
      </c>
      <c r="AN19" s="577"/>
      <c r="AO19" s="577"/>
      <c r="AP19" s="577"/>
      <c r="AQ19" s="577" t="s">
        <v>494</v>
      </c>
      <c r="AR19" s="577"/>
      <c r="AS19" s="577"/>
      <c r="AT19" s="577"/>
      <c r="AU19" s="320" t="str" cm="1">
        <f t="array" ref="AU19">_xll.d.TestUtils_Equal(AM19,AQ19)</f>
        <v>Ok</v>
      </c>
      <c r="AW19" s="332" t="s">
        <v>357</v>
      </c>
      <c r="AX19" s="333" t="s">
        <v>358</v>
      </c>
      <c r="AY19" s="130" t="s">
        <v>359</v>
      </c>
      <c r="BA19" s="576" t="str" cm="1">
        <f t="array" ref="BA19">_xll.d.Math_Interpolate(AW20:AX21,AX20:AX21,AY20,"linear")</f>
        <v>#∂Excel Error: x-value range has too many dimensions.</v>
      </c>
      <c r="BB19" s="577"/>
      <c r="BC19" s="577"/>
      <c r="BD19" s="577"/>
      <c r="BE19" s="577" t="s">
        <v>495</v>
      </c>
      <c r="BF19" s="577"/>
      <c r="BG19" s="577"/>
      <c r="BH19" s="577"/>
      <c r="BI19" s="320" t="str" cm="1">
        <f t="array" ref="BI19">_xll.d.TestUtils_Equal(BA19,BE19)</f>
        <v>Ok</v>
      </c>
      <c r="BK19" s="332" t="s">
        <v>357</v>
      </c>
      <c r="BL19" s="333" t="s">
        <v>358</v>
      </c>
      <c r="BM19" s="130" t="s">
        <v>359</v>
      </c>
      <c r="BN19" s="455"/>
      <c r="BO19" s="576" t="str" cm="1">
        <f t="array" ref="BO19">_xll.d.Math_Interpolate(BK20:BK22,BL20:BL22,BM20,"magic")</f>
        <v>#∂Excel Error: Duplicate values in x-values range.</v>
      </c>
      <c r="BP19" s="577"/>
      <c r="BQ19" s="577"/>
      <c r="BR19" s="577"/>
      <c r="BS19" s="577" t="s">
        <v>498</v>
      </c>
      <c r="BT19" s="577"/>
      <c r="BU19" s="577"/>
      <c r="BV19" s="577"/>
      <c r="BW19" s="320" t="str" cm="1">
        <f t="array" ref="BW19">_xll.d.TestUtils_Equal(BO19,BS19)</f>
        <v>Ok</v>
      </c>
      <c r="BX19" s="455"/>
      <c r="BY19" s="332" t="s">
        <v>357</v>
      </c>
      <c r="BZ19" s="333" t="s">
        <v>358</v>
      </c>
      <c r="CA19" s="130" t="s">
        <v>359</v>
      </c>
      <c r="CC19" s="576" t="str" cm="1">
        <f t="array" ref="CC19">_xll.d.Math_Interpolate(BY20:BY21,BZ20:BZ21,CA20,"magic")</f>
        <v>#∂Excel Error: Unsupported interpolation: 'magic'</v>
      </c>
      <c r="CD19" s="577"/>
      <c r="CE19" s="577"/>
      <c r="CF19" s="577" t="s">
        <v>484</v>
      </c>
      <c r="CG19" s="577"/>
      <c r="CH19" s="577"/>
      <c r="CI19" s="320" t="str" cm="1">
        <f t="array" ref="CI19">_xll.d.TestUtils_Equal(CC19,CF19)</f>
        <v>Ok</v>
      </c>
    </row>
    <row r="20" spans="2:87" x14ac:dyDescent="0.25">
      <c r="B20" s="133">
        <v>1</v>
      </c>
      <c r="C20" s="330">
        <v>0.05</v>
      </c>
      <c r="D20" s="334">
        <v>1.5</v>
      </c>
      <c r="E20" s="308"/>
      <c r="F20" s="308"/>
      <c r="G20" s="309"/>
      <c r="J20" s="133">
        <v>1</v>
      </c>
      <c r="K20" s="330">
        <v>0.05</v>
      </c>
      <c r="L20" s="334">
        <v>1.5</v>
      </c>
      <c r="M20" s="308"/>
      <c r="N20" s="308"/>
      <c r="O20" s="309"/>
      <c r="R20" s="133">
        <v>1</v>
      </c>
      <c r="S20" s="330">
        <v>0.05</v>
      </c>
      <c r="T20" s="330">
        <f>EXP(S20)</f>
        <v>1.0512710963760241</v>
      </c>
      <c r="U20" s="334">
        <v>1.5</v>
      </c>
      <c r="V20" s="308"/>
      <c r="W20" s="308"/>
      <c r="X20" s="309"/>
      <c r="AA20" s="133">
        <v>1</v>
      </c>
      <c r="AB20" s="330">
        <v>0.05</v>
      </c>
      <c r="AC20" s="334">
        <v>1.5</v>
      </c>
      <c r="AD20" s="308"/>
      <c r="AE20" s="308"/>
      <c r="AF20" s="309"/>
      <c r="AI20" s="415">
        <v>1</v>
      </c>
      <c r="AJ20" s="330">
        <v>0.05</v>
      </c>
      <c r="AK20" s="334">
        <v>1.5</v>
      </c>
      <c r="AL20" s="308"/>
      <c r="AM20" s="308"/>
      <c r="AN20" s="308"/>
      <c r="AO20" s="308"/>
      <c r="AP20" s="308"/>
      <c r="AQ20" s="309"/>
      <c r="AR20" s="309"/>
      <c r="AS20" s="309"/>
      <c r="AT20" s="309"/>
      <c r="AW20" s="133">
        <v>1</v>
      </c>
      <c r="AX20" s="330">
        <v>0.05</v>
      </c>
      <c r="AY20" s="334">
        <v>1.5</v>
      </c>
      <c r="AZ20" s="308"/>
      <c r="BA20" s="308"/>
      <c r="BB20" s="308"/>
      <c r="BC20" s="308"/>
      <c r="BD20" s="308"/>
      <c r="BE20" s="309"/>
      <c r="BF20" s="309"/>
      <c r="BG20" s="309"/>
      <c r="BH20" s="309"/>
      <c r="BK20" s="133">
        <v>1</v>
      </c>
      <c r="BL20" s="330">
        <v>0.05</v>
      </c>
      <c r="BM20" s="334">
        <v>1.5</v>
      </c>
      <c r="BN20" s="455"/>
      <c r="BO20" s="455"/>
      <c r="BP20" s="455"/>
      <c r="BQ20" s="455"/>
      <c r="BR20" s="455"/>
      <c r="BS20" s="455"/>
      <c r="BT20" s="455"/>
      <c r="BU20" s="455"/>
      <c r="BV20" s="455"/>
      <c r="BW20" s="455"/>
      <c r="BX20" s="455"/>
      <c r="BY20" s="133">
        <v>1</v>
      </c>
      <c r="BZ20" s="330">
        <v>0.05</v>
      </c>
      <c r="CA20" s="334">
        <v>1.5</v>
      </c>
      <c r="CB20" s="308"/>
      <c r="CC20" s="308"/>
      <c r="CD20" s="308"/>
      <c r="CE20" s="308"/>
      <c r="CF20" s="309"/>
      <c r="CG20" s="309"/>
      <c r="CH20" s="309"/>
    </row>
    <row r="21" spans="2:87" x14ac:dyDescent="0.25">
      <c r="B21" s="337">
        <v>2</v>
      </c>
      <c r="C21" s="338">
        <v>0.1</v>
      </c>
      <c r="E21" s="308"/>
      <c r="F21" s="308"/>
      <c r="G21" s="309"/>
      <c r="J21" s="337">
        <v>2</v>
      </c>
      <c r="K21" s="338">
        <v>0.1</v>
      </c>
      <c r="M21" s="308"/>
      <c r="N21" s="308"/>
      <c r="O21" s="309"/>
      <c r="R21" s="337">
        <v>2</v>
      </c>
      <c r="S21" s="340">
        <v>0.1</v>
      </c>
      <c r="T21" s="339">
        <f>EXP(S21)</f>
        <v>1.1051709180756477</v>
      </c>
      <c r="V21" s="308"/>
      <c r="W21" s="308"/>
      <c r="X21" s="309"/>
      <c r="AA21" s="337">
        <v>2</v>
      </c>
      <c r="AB21" s="338">
        <v>0.1</v>
      </c>
      <c r="AD21" s="308"/>
      <c r="AE21" s="308"/>
      <c r="AF21" s="309"/>
      <c r="AI21" s="455"/>
      <c r="AJ21" s="575">
        <v>0.1</v>
      </c>
      <c r="AL21" s="308"/>
      <c r="AM21" s="308"/>
      <c r="AN21" s="308"/>
      <c r="AO21" s="308"/>
      <c r="AP21" s="308"/>
      <c r="AQ21" s="309"/>
      <c r="AR21" s="309"/>
      <c r="AS21" s="309"/>
      <c r="AT21" s="309"/>
      <c r="AW21" s="337">
        <v>2</v>
      </c>
      <c r="AX21" s="338">
        <v>0.1</v>
      </c>
      <c r="AZ21" s="308"/>
      <c r="BA21" s="308"/>
      <c r="BB21" s="308"/>
      <c r="BC21" s="308"/>
      <c r="BD21" s="308"/>
      <c r="BE21" s="309"/>
      <c r="BF21" s="309"/>
      <c r="BG21" s="309"/>
      <c r="BH21" s="309"/>
      <c r="BK21" s="135">
        <v>1</v>
      </c>
      <c r="BL21" s="136">
        <v>0.1</v>
      </c>
      <c r="BM21" s="455"/>
      <c r="BN21" s="455"/>
      <c r="BO21" s="455"/>
      <c r="BP21" s="455"/>
      <c r="BQ21" s="455"/>
      <c r="BR21" s="455"/>
      <c r="BS21" s="455"/>
      <c r="BT21" s="455"/>
      <c r="BU21" s="455"/>
      <c r="BV21" s="455"/>
      <c r="BW21" s="455"/>
      <c r="BX21" s="455"/>
      <c r="BY21" s="337">
        <v>2</v>
      </c>
      <c r="BZ21" s="338">
        <v>0.1</v>
      </c>
      <c r="CB21" s="308"/>
      <c r="CC21" s="308"/>
      <c r="CD21" s="308"/>
      <c r="CE21" s="308"/>
      <c r="CF21" s="309"/>
      <c r="CG21" s="309"/>
      <c r="CH21" s="309"/>
    </row>
    <row r="22" spans="2:87" x14ac:dyDescent="0.25">
      <c r="B22" s="308"/>
      <c r="C22" s="308"/>
      <c r="D22" s="308"/>
      <c r="E22" s="308"/>
      <c r="F22" s="308"/>
      <c r="G22" s="309"/>
      <c r="AN22" s="455"/>
      <c r="AO22" s="455"/>
      <c r="AP22" s="455"/>
      <c r="AR22" s="455"/>
      <c r="AS22" s="455"/>
      <c r="AT22" s="455"/>
      <c r="BB22" s="455"/>
      <c r="BC22" s="455"/>
      <c r="BD22" s="455"/>
      <c r="BF22" s="455"/>
      <c r="BG22" s="455"/>
      <c r="BH22" s="455"/>
      <c r="BK22" s="337">
        <v>2</v>
      </c>
      <c r="BL22" s="338">
        <v>0.15</v>
      </c>
      <c r="BM22" s="455"/>
      <c r="BN22" s="455"/>
      <c r="BO22" s="455"/>
      <c r="BP22" s="455"/>
      <c r="BQ22" s="455"/>
      <c r="BR22" s="455"/>
      <c r="BS22" s="455"/>
      <c r="BT22" s="455"/>
      <c r="BU22" s="455"/>
      <c r="BV22" s="455"/>
      <c r="BW22" s="455"/>
      <c r="BX22" s="455"/>
      <c r="CD22" s="455"/>
      <c r="CE22" s="455"/>
    </row>
    <row r="23" spans="2:87" x14ac:dyDescent="0.25">
      <c r="B23" s="308"/>
      <c r="C23" s="308"/>
      <c r="D23" s="308"/>
      <c r="E23" s="308"/>
      <c r="F23" s="308"/>
      <c r="G23" s="309"/>
      <c r="AN23" s="455"/>
      <c r="AO23" s="455"/>
      <c r="AP23" s="455"/>
      <c r="AR23" s="455"/>
      <c r="AS23" s="455"/>
      <c r="AT23" s="455"/>
      <c r="BB23" s="455"/>
      <c r="BC23" s="455"/>
      <c r="BD23" s="455"/>
      <c r="BF23" s="455"/>
      <c r="BG23" s="455"/>
      <c r="BH23" s="455"/>
      <c r="BK23" s="455"/>
      <c r="BL23" s="455"/>
      <c r="BM23" s="455"/>
      <c r="BN23" s="455"/>
      <c r="BO23" s="455"/>
      <c r="BP23" s="455"/>
      <c r="BQ23" s="455"/>
      <c r="BR23" s="455"/>
      <c r="BS23" s="455"/>
      <c r="BT23" s="455"/>
      <c r="BU23" s="455"/>
      <c r="BV23" s="455"/>
      <c r="BW23" s="455"/>
      <c r="BX23" s="455"/>
      <c r="CD23" s="455"/>
      <c r="CE23" s="455"/>
    </row>
    <row r="24" spans="2:87" s="455" customFormat="1" ht="18.75" x14ac:dyDescent="0.3">
      <c r="B24" s="3" t="s">
        <v>587</v>
      </c>
      <c r="C24" s="316"/>
      <c r="D24" s="316"/>
      <c r="E24" s="316"/>
      <c r="F24" s="316"/>
      <c r="G24" s="316"/>
      <c r="H24" s="316"/>
      <c r="I24" s="316"/>
      <c r="J24" s="316"/>
      <c r="K24" s="316"/>
      <c r="L24" s="316"/>
      <c r="M24" s="316"/>
      <c r="N24" s="316"/>
      <c r="O24" s="316"/>
      <c r="P24" s="316"/>
      <c r="Q24" s="316"/>
      <c r="R24" s="316"/>
      <c r="S24" s="316"/>
      <c r="T24" s="316"/>
      <c r="U24" s="316"/>
      <c r="V24" s="316"/>
      <c r="W24" s="316"/>
      <c r="X24" s="316"/>
      <c r="Y24" s="316"/>
      <c r="Z24" s="316"/>
      <c r="AA24" s="316"/>
      <c r="AB24" s="316"/>
      <c r="AC24" s="316"/>
      <c r="AD24" s="316"/>
      <c r="AE24" s="316"/>
      <c r="AF24" s="316"/>
      <c r="AG24" s="316"/>
      <c r="AH24" s="316"/>
      <c r="AI24" s="316"/>
      <c r="AJ24" s="316"/>
      <c r="AK24" s="316"/>
      <c r="AL24" s="316"/>
    </row>
    <row r="25" spans="2:87" s="455" customFormat="1" x14ac:dyDescent="0.25"/>
    <row r="26" spans="2:87" s="455" customFormat="1" x14ac:dyDescent="0.25">
      <c r="B26" s="59" t="s">
        <v>155</v>
      </c>
      <c r="C26" s="310" t="str" cm="1">
        <f t="array" ref="C26">_xll.d.TestUtils_And(J31,X31,AL31)</f>
        <v>Ok</v>
      </c>
      <c r="D26" s="308"/>
      <c r="E26" s="308"/>
      <c r="F26" s="308"/>
      <c r="G26" s="308"/>
    </row>
    <row r="27" spans="2:87" s="455" customFormat="1" x14ac:dyDescent="0.25">
      <c r="B27" s="308"/>
      <c r="C27" s="308"/>
      <c r="D27" s="308"/>
      <c r="E27" s="308"/>
      <c r="F27" s="308"/>
      <c r="G27" s="309"/>
    </row>
    <row r="28" spans="2:87" s="455" customFormat="1" ht="15.75" x14ac:dyDescent="0.25">
      <c r="B28" s="4" t="s">
        <v>356</v>
      </c>
      <c r="C28" s="317"/>
      <c r="D28" s="317"/>
      <c r="E28" s="317"/>
      <c r="F28" s="317"/>
      <c r="G28" s="317"/>
      <c r="H28" s="317"/>
      <c r="I28" s="317"/>
      <c r="J28" s="317"/>
      <c r="L28" s="4" t="s">
        <v>602</v>
      </c>
      <c r="M28" s="317"/>
      <c r="N28" s="317"/>
      <c r="O28" s="317"/>
      <c r="P28" s="317"/>
      <c r="Q28" s="317"/>
      <c r="R28" s="317"/>
      <c r="S28" s="317"/>
      <c r="T28" s="317"/>
      <c r="U28" s="317"/>
      <c r="V28" s="317"/>
      <c r="W28" s="317"/>
      <c r="X28" s="317"/>
      <c r="Z28" s="4" t="s">
        <v>604</v>
      </c>
      <c r="AA28" s="317"/>
      <c r="AB28" s="317"/>
      <c r="AC28" s="317"/>
      <c r="AD28" s="317"/>
      <c r="AE28" s="317"/>
      <c r="AF28" s="317"/>
      <c r="AG28" s="317"/>
      <c r="AH28" s="317"/>
      <c r="AI28" s="317"/>
      <c r="AJ28" s="317"/>
      <c r="AK28" s="317"/>
      <c r="AL28" s="317"/>
    </row>
    <row r="29" spans="2:87" s="455" customFormat="1" x14ac:dyDescent="0.25">
      <c r="B29" s="308"/>
      <c r="C29" s="308"/>
      <c r="D29" s="308"/>
      <c r="E29" s="308"/>
      <c r="F29" s="308"/>
      <c r="G29" s="308"/>
      <c r="H29" s="308"/>
      <c r="I29" s="309"/>
    </row>
    <row r="30" spans="2:87" s="455" customFormat="1" x14ac:dyDescent="0.25">
      <c r="B30" s="131" t="s">
        <v>241</v>
      </c>
      <c r="C30" s="202"/>
      <c r="D30" s="202"/>
      <c r="E30" s="202"/>
      <c r="F30" s="132"/>
      <c r="H30" s="131" t="s">
        <v>129</v>
      </c>
      <c r="I30" s="131" t="s">
        <v>243</v>
      </c>
      <c r="J30" s="131" t="s">
        <v>83</v>
      </c>
      <c r="L30" s="131" t="s">
        <v>241</v>
      </c>
      <c r="M30" s="202"/>
      <c r="N30" s="202"/>
      <c r="O30" s="202"/>
      <c r="P30" s="132"/>
      <c r="R30" s="131" t="s">
        <v>129</v>
      </c>
      <c r="S30" s="131"/>
      <c r="T30" s="131"/>
      <c r="U30" s="131" t="s">
        <v>243</v>
      </c>
      <c r="V30" s="131"/>
      <c r="W30" s="131"/>
      <c r="X30" s="131" t="s">
        <v>83</v>
      </c>
      <c r="Z30" s="131" t="s">
        <v>241</v>
      </c>
      <c r="AA30" s="202"/>
      <c r="AB30" s="202"/>
      <c r="AC30" s="202"/>
      <c r="AD30" s="132"/>
      <c r="AF30" s="131" t="s">
        <v>129</v>
      </c>
      <c r="AG30" s="131"/>
      <c r="AH30" s="131"/>
      <c r="AI30" s="131" t="s">
        <v>243</v>
      </c>
      <c r="AJ30" s="131"/>
      <c r="AK30" s="131"/>
      <c r="AL30" s="131" t="s">
        <v>83</v>
      </c>
    </row>
    <row r="31" spans="2:87" s="455" customFormat="1" x14ac:dyDescent="0.25">
      <c r="B31" s="332" t="s">
        <v>357</v>
      </c>
      <c r="C31" s="654" t="s">
        <v>588</v>
      </c>
      <c r="D31" s="655"/>
      <c r="E31" s="655"/>
      <c r="F31" s="130" t="s">
        <v>359</v>
      </c>
      <c r="H31" s="335" cm="1">
        <f t="array" ref="H31">_xll.d.Math_InterpolateChosenColumn(B32:B33,C32:E33,1,F32,"linear")</f>
        <v>7.5000000000000011E-2</v>
      </c>
      <c r="I31" s="336">
        <f>(D33-D32)/(B33-B32)*(F32-B32)+D32</f>
        <v>7.5000000000000011E-2</v>
      </c>
      <c r="J31" s="320" t="str" cm="1">
        <f t="array" ref="J31">_xll.d.TestUtils_Equal(H31,I31)</f>
        <v>Ok</v>
      </c>
      <c r="L31" s="332" t="s">
        <v>357</v>
      </c>
      <c r="M31" s="654" t="s">
        <v>588</v>
      </c>
      <c r="N31" s="655"/>
      <c r="O31" s="655"/>
      <c r="P31" s="130" t="s">
        <v>359</v>
      </c>
      <c r="R31" s="576" t="str" cm="1">
        <f t="array" ref="R31">_xll.d.Math_InterpolateChosenColumn(L32:L33,M32:O33,-1,P32,"linear")</f>
        <v>#∂Excel Error: Column index &lt; 0. Must be between 0 and 2.</v>
      </c>
      <c r="S31" s="577"/>
      <c r="T31" s="577"/>
      <c r="U31" s="577" t="s">
        <v>603</v>
      </c>
      <c r="V31" s="577"/>
      <c r="W31" s="577"/>
      <c r="X31" s="320" t="str" cm="1">
        <f t="array" ref="X31">_xll.d.TestUtils_Equal(R31,U31)</f>
        <v>Ok</v>
      </c>
      <c r="Z31" s="332" t="s">
        <v>357</v>
      </c>
      <c r="AA31" s="654" t="s">
        <v>588</v>
      </c>
      <c r="AB31" s="655"/>
      <c r="AC31" s="655"/>
      <c r="AD31" s="130" t="s">
        <v>359</v>
      </c>
      <c r="AF31" s="576" t="str" cm="1">
        <f t="array" ref="AF31">_xll.d.Math_InterpolateChosenColumn(Z32:Z33,AA32:AC33,3,AD32,"linear")</f>
        <v>#∂Excel Error: Column index ≥ 3. Must be between 0 and 2.</v>
      </c>
      <c r="AG31" s="577"/>
      <c r="AH31" s="577"/>
      <c r="AI31" s="577" t="s">
        <v>605</v>
      </c>
      <c r="AJ31" s="577"/>
      <c r="AK31" s="577"/>
      <c r="AL31" s="320" t="str" cm="1">
        <f t="array" ref="AL31">_xll.d.TestUtils_Equal(AF31,AI31)</f>
        <v>Ok</v>
      </c>
    </row>
    <row r="32" spans="2:87" s="455" customFormat="1" x14ac:dyDescent="0.25">
      <c r="B32" s="133">
        <v>1</v>
      </c>
      <c r="C32" s="330">
        <v>0.23</v>
      </c>
      <c r="D32" s="330">
        <v>0.05</v>
      </c>
      <c r="E32" s="330">
        <v>0.13</v>
      </c>
      <c r="F32" s="334">
        <v>1.5</v>
      </c>
      <c r="G32" s="308"/>
      <c r="H32" s="308"/>
      <c r="I32" s="309"/>
      <c r="L32" s="133">
        <v>1</v>
      </c>
      <c r="M32" s="330">
        <v>0.23</v>
      </c>
      <c r="N32" s="330">
        <v>0.05</v>
      </c>
      <c r="O32" s="330">
        <v>0.13</v>
      </c>
      <c r="P32" s="334">
        <v>1.5</v>
      </c>
      <c r="Q32" s="308"/>
      <c r="R32" s="308"/>
      <c r="S32" s="308"/>
      <c r="T32" s="308"/>
      <c r="U32" s="309"/>
      <c r="V32" s="309"/>
      <c r="W32" s="309"/>
      <c r="Z32" s="133">
        <v>1</v>
      </c>
      <c r="AA32" s="330">
        <v>0.23</v>
      </c>
      <c r="AB32" s="330">
        <v>0.05</v>
      </c>
      <c r="AC32" s="330">
        <v>0.13</v>
      </c>
      <c r="AD32" s="334">
        <v>1.5</v>
      </c>
      <c r="AE32" s="308"/>
      <c r="AF32" s="308"/>
      <c r="AG32" s="308"/>
      <c r="AH32" s="308"/>
      <c r="AI32" s="309"/>
      <c r="AJ32" s="309"/>
      <c r="AK32" s="309"/>
    </row>
    <row r="33" spans="1:82" s="455" customFormat="1" x14ac:dyDescent="0.25">
      <c r="B33" s="337">
        <v>2</v>
      </c>
      <c r="C33" s="656">
        <v>0.9</v>
      </c>
      <c r="D33" s="656">
        <v>0.1</v>
      </c>
      <c r="E33" s="338">
        <v>0.89</v>
      </c>
      <c r="G33" s="308"/>
      <c r="H33" s="308"/>
      <c r="I33" s="309"/>
      <c r="L33" s="337">
        <v>2</v>
      </c>
      <c r="M33" s="656">
        <v>0.9</v>
      </c>
      <c r="N33" s="656">
        <v>0.1</v>
      </c>
      <c r="O33" s="338">
        <v>0.89</v>
      </c>
      <c r="Q33" s="308"/>
      <c r="R33" s="308"/>
      <c r="S33" s="308"/>
      <c r="T33" s="308"/>
      <c r="U33" s="309"/>
      <c r="V33" s="309"/>
      <c r="W33" s="309"/>
      <c r="Z33" s="337">
        <v>2</v>
      </c>
      <c r="AA33" s="656">
        <v>0.9</v>
      </c>
      <c r="AB33" s="656">
        <v>0.1</v>
      </c>
      <c r="AC33" s="338">
        <v>0.89</v>
      </c>
      <c r="AE33" s="308"/>
      <c r="AF33" s="308"/>
      <c r="AG33" s="308"/>
      <c r="AH33" s="308"/>
      <c r="AI33" s="309"/>
      <c r="AJ33" s="309"/>
      <c r="AK33" s="309"/>
    </row>
    <row r="34" spans="1:82" s="455" customFormat="1" x14ac:dyDescent="0.25">
      <c r="B34" s="308"/>
      <c r="C34" s="308"/>
      <c r="D34" s="308"/>
      <c r="E34" s="308"/>
      <c r="F34" s="308"/>
      <c r="G34" s="308"/>
      <c r="H34" s="308"/>
      <c r="I34" s="309"/>
    </row>
    <row r="35" spans="1:82" s="455" customFormat="1" x14ac:dyDescent="0.25">
      <c r="B35" s="308"/>
      <c r="C35" s="308"/>
      <c r="D35" s="308"/>
      <c r="E35" s="308"/>
      <c r="F35" s="308"/>
      <c r="G35" s="309"/>
    </row>
    <row r="36" spans="1:82" s="308" customFormat="1" ht="18.75" x14ac:dyDescent="0.3">
      <c r="A36"/>
      <c r="B36" s="3" t="s">
        <v>371</v>
      </c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316"/>
      <c r="S36" s="316"/>
      <c r="T36" s="316"/>
      <c r="U36" s="316"/>
      <c r="V36" s="316"/>
      <c r="W36" s="316"/>
      <c r="X36" s="316"/>
      <c r="Y36" s="316"/>
      <c r="Z36" s="316"/>
      <c r="AA36" s="316"/>
      <c r="AB36" s="316"/>
      <c r="AC36" s="316"/>
      <c r="AD36" s="316"/>
      <c r="AE36" s="316"/>
      <c r="AF36" s="316"/>
      <c r="AG36" s="316"/>
      <c r="AH36" s="316"/>
      <c r="AI36" s="316"/>
      <c r="AJ36" s="316"/>
      <c r="AK36" s="316"/>
      <c r="AL36" s="316"/>
      <c r="AM36" s="316"/>
      <c r="AN36" s="316"/>
      <c r="AO36" s="316"/>
      <c r="AP36" s="316"/>
      <c r="AQ36" s="316"/>
      <c r="AR36" s="316"/>
      <c r="AS36" s="316"/>
      <c r="AT36" s="316"/>
      <c r="AU36" s="316"/>
      <c r="AV36" s="316"/>
      <c r="AW36" s="316"/>
      <c r="AX36" s="316"/>
      <c r="AY36" s="316"/>
      <c r="AZ36" s="316"/>
      <c r="BA36" s="316"/>
      <c r="BB36" s="316"/>
      <c r="BC36" s="316"/>
      <c r="BD36" s="316"/>
      <c r="BE36" s="316"/>
      <c r="BF36" s="316"/>
      <c r="BG36" s="316"/>
      <c r="BH36" s="316"/>
      <c r="BI36" s="316"/>
      <c r="BJ36" s="316"/>
      <c r="BK36" s="316"/>
      <c r="BL36" s="316"/>
      <c r="BM36" s="316"/>
      <c r="BN36" s="316"/>
      <c r="BO36" s="316"/>
      <c r="BP36" s="316"/>
      <c r="BQ36" s="316"/>
      <c r="BR36" s="316"/>
      <c r="BS36" s="316"/>
      <c r="BT36" s="316"/>
      <c r="BU36" s="316"/>
    </row>
    <row r="37" spans="1:82" x14ac:dyDescent="0.25">
      <c r="BJ37" s="455"/>
      <c r="BK37" s="455"/>
      <c r="BL37" s="455"/>
      <c r="BM37" s="455"/>
      <c r="BN37" s="455"/>
      <c r="BO37" s="455"/>
      <c r="BP37" s="455"/>
      <c r="BQ37" s="455"/>
      <c r="BR37" s="455"/>
      <c r="BS37" s="455"/>
      <c r="BT37" s="455"/>
      <c r="BU37" s="455"/>
    </row>
    <row r="38" spans="1:82" s="308" customFormat="1" x14ac:dyDescent="0.25">
      <c r="A38"/>
      <c r="B38" s="59" t="s">
        <v>155</v>
      </c>
      <c r="C38" s="310" t="str" cm="1">
        <f t="array" ref="C38">_xll.d.TestUtils_And(L43,Y43,AK43,BC43,BU43)</f>
        <v>Ok</v>
      </c>
    </row>
    <row r="39" spans="1:82" x14ac:dyDescent="0.25">
      <c r="AV39" s="455"/>
      <c r="AW39" s="455"/>
      <c r="AX39" s="455"/>
      <c r="AZ39" s="455"/>
      <c r="BA39" s="455"/>
      <c r="BB39" s="455"/>
      <c r="BJ39" s="455"/>
      <c r="BK39" s="455"/>
      <c r="BL39" s="455"/>
      <c r="BM39" s="455"/>
      <c r="BN39" s="455"/>
      <c r="BO39" s="455"/>
      <c r="BP39" s="455"/>
      <c r="BQ39" s="455"/>
      <c r="BR39" s="455"/>
      <c r="BS39" s="455"/>
      <c r="BT39" s="455"/>
      <c r="BU39" s="455"/>
      <c r="BY39" s="455"/>
      <c r="BZ39" s="455"/>
      <c r="CA39" s="455"/>
    </row>
    <row r="40" spans="1:82" ht="15.75" x14ac:dyDescent="0.25">
      <c r="B40" s="4" t="s">
        <v>372</v>
      </c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N40" s="4" t="s">
        <v>373</v>
      </c>
      <c r="O40" s="317"/>
      <c r="P40" s="317"/>
      <c r="Q40" s="317"/>
      <c r="R40" s="317"/>
      <c r="S40" s="317"/>
      <c r="T40" s="317"/>
      <c r="U40" s="317"/>
      <c r="V40" s="317"/>
      <c r="W40" s="317"/>
      <c r="X40" s="317"/>
      <c r="Y40" s="317"/>
      <c r="AA40" s="4" t="s">
        <v>374</v>
      </c>
      <c r="AB40" s="317"/>
      <c r="AC40" s="317"/>
      <c r="AD40" s="317"/>
      <c r="AE40" s="317"/>
      <c r="AF40" s="317"/>
      <c r="AG40" s="317"/>
      <c r="AH40" s="317"/>
      <c r="AI40" s="317"/>
      <c r="AJ40" s="317"/>
      <c r="AK40" s="317"/>
      <c r="AM40" s="4" t="s">
        <v>375</v>
      </c>
      <c r="AN40" s="317"/>
      <c r="AO40" s="317"/>
      <c r="AP40" s="317"/>
      <c r="AQ40" s="317"/>
      <c r="AR40" s="317"/>
      <c r="AS40" s="317"/>
      <c r="AT40" s="317"/>
      <c r="AU40" s="317"/>
      <c r="AV40" s="317"/>
      <c r="AW40" s="317"/>
      <c r="AX40" s="317"/>
      <c r="AY40" s="317"/>
      <c r="AZ40" s="317"/>
      <c r="BA40" s="317"/>
      <c r="BB40" s="317"/>
      <c r="BC40" s="317"/>
      <c r="BE40" s="4" t="s">
        <v>365</v>
      </c>
      <c r="BF40" s="317"/>
      <c r="BG40" s="317"/>
      <c r="BH40" s="317"/>
      <c r="BI40" s="317"/>
      <c r="BJ40" s="317"/>
      <c r="BK40" s="317"/>
      <c r="BL40" s="317"/>
      <c r="BM40" s="317"/>
      <c r="BN40" s="317"/>
      <c r="BO40" s="317"/>
      <c r="BP40" s="317"/>
      <c r="BQ40" s="317"/>
      <c r="BR40" s="317"/>
      <c r="BS40" s="317"/>
      <c r="BT40" s="317"/>
      <c r="BU40" s="317"/>
      <c r="CB40" s="455"/>
      <c r="CC40" s="455"/>
      <c r="CD40" s="455"/>
    </row>
    <row r="41" spans="1:82" x14ac:dyDescent="0.25">
      <c r="B41" s="308"/>
      <c r="C41" s="308"/>
      <c r="D41" s="308"/>
      <c r="E41" s="308"/>
      <c r="F41" s="308"/>
      <c r="G41" s="309"/>
      <c r="N41" s="308"/>
      <c r="O41" s="308"/>
      <c r="P41" s="308"/>
      <c r="Q41" s="308"/>
      <c r="R41" s="308"/>
      <c r="S41" s="309"/>
      <c r="AA41" s="308"/>
      <c r="AB41" s="308"/>
      <c r="AC41" s="308"/>
      <c r="AD41" s="308"/>
      <c r="AE41" s="308"/>
      <c r="AF41" s="309"/>
      <c r="AM41" s="308"/>
      <c r="AN41" s="308"/>
      <c r="AO41" s="308"/>
      <c r="AP41" s="308"/>
      <c r="AQ41" s="308"/>
      <c r="AR41" s="309"/>
      <c r="AV41" s="455"/>
      <c r="AW41" s="455"/>
      <c r="AX41" s="455"/>
      <c r="AZ41" s="455"/>
      <c r="BA41" s="455"/>
      <c r="BB41" s="455"/>
      <c r="BE41" s="308"/>
      <c r="BF41" s="308"/>
      <c r="BG41" s="308"/>
      <c r="BH41" s="308"/>
      <c r="BI41" s="308"/>
      <c r="BJ41" s="309"/>
      <c r="BN41" s="455"/>
      <c r="BO41" s="455"/>
      <c r="BP41" s="455"/>
      <c r="BR41" s="455"/>
      <c r="BS41" s="455"/>
      <c r="BT41" s="455"/>
    </row>
    <row r="42" spans="1:82" x14ac:dyDescent="0.25">
      <c r="A42" s="146"/>
      <c r="B42" s="342" t="s">
        <v>241</v>
      </c>
      <c r="C42" s="202"/>
      <c r="D42" s="202"/>
      <c r="E42" s="349"/>
      <c r="F42" s="349"/>
      <c r="G42" s="343"/>
      <c r="H42" s="211"/>
      <c r="J42" s="131" t="s">
        <v>129</v>
      </c>
      <c r="K42" s="131" t="s">
        <v>243</v>
      </c>
      <c r="L42" s="131" t="s">
        <v>83</v>
      </c>
      <c r="N42" s="342" t="s">
        <v>241</v>
      </c>
      <c r="O42" s="202"/>
      <c r="P42" s="202"/>
      <c r="Q42" s="349"/>
      <c r="R42" s="349"/>
      <c r="S42" s="343"/>
      <c r="T42" s="211"/>
      <c r="W42" s="131" t="s">
        <v>129</v>
      </c>
      <c r="X42" s="131" t="s">
        <v>243</v>
      </c>
      <c r="Y42" s="131" t="s">
        <v>83</v>
      </c>
      <c r="AA42" s="342" t="s">
        <v>241</v>
      </c>
      <c r="AB42" s="202"/>
      <c r="AC42" s="202"/>
      <c r="AD42" s="349"/>
      <c r="AE42" s="349"/>
      <c r="AF42" s="343"/>
      <c r="AG42" s="211"/>
      <c r="AI42" s="131" t="s">
        <v>129</v>
      </c>
      <c r="AJ42" s="131" t="s">
        <v>243</v>
      </c>
      <c r="AK42" s="131" t="s">
        <v>83</v>
      </c>
      <c r="AM42" s="342" t="s">
        <v>241</v>
      </c>
      <c r="AN42" s="202"/>
      <c r="AO42" s="202"/>
      <c r="AP42" s="349"/>
      <c r="AQ42" s="349"/>
      <c r="AR42" s="343"/>
      <c r="AS42" s="211"/>
      <c r="AU42" s="131" t="s">
        <v>129</v>
      </c>
      <c r="AV42" s="131"/>
      <c r="AW42" s="131"/>
      <c r="AX42" s="131"/>
      <c r="AY42" s="131" t="s">
        <v>243</v>
      </c>
      <c r="AZ42" s="131"/>
      <c r="BA42" s="131"/>
      <c r="BB42" s="131"/>
      <c r="BC42" s="131" t="s">
        <v>83</v>
      </c>
      <c r="BE42" s="342" t="s">
        <v>241</v>
      </c>
      <c r="BF42" s="202"/>
      <c r="BG42" s="202"/>
      <c r="BH42" s="349"/>
      <c r="BI42" s="349"/>
      <c r="BJ42" s="343"/>
      <c r="BK42" s="211"/>
      <c r="BM42" s="131" t="s">
        <v>129</v>
      </c>
      <c r="BN42" s="131"/>
      <c r="BO42" s="131"/>
      <c r="BP42" s="131"/>
      <c r="BQ42" s="131" t="s">
        <v>243</v>
      </c>
      <c r="BR42" s="131"/>
      <c r="BS42" s="131"/>
      <c r="BT42" s="131"/>
      <c r="BU42" s="131" t="s">
        <v>83</v>
      </c>
    </row>
    <row r="43" spans="1:82" x14ac:dyDescent="0.25">
      <c r="A43" s="146"/>
      <c r="B43" s="344"/>
      <c r="C43" s="346" t="s">
        <v>369</v>
      </c>
      <c r="D43" s="349"/>
      <c r="E43" s="349"/>
      <c r="F43" s="347"/>
      <c r="G43" s="351" t="s">
        <v>370</v>
      </c>
      <c r="H43" s="350"/>
      <c r="J43" s="335" cm="1">
        <f t="array" ref="J43">_xll.d.Math_Interpolate2D(B44:F49,G45,H45,"linear")</f>
        <v>9.5</v>
      </c>
      <c r="K43" s="336">
        <v>9.5</v>
      </c>
      <c r="L43" s="320" t="str" cm="1">
        <f t="array" ref="L43">_xll.d.TestUtils_Equal(J43,K43)</f>
        <v>Ok</v>
      </c>
      <c r="N43" s="344"/>
      <c r="O43" s="346" t="s">
        <v>369</v>
      </c>
      <c r="P43" s="349"/>
      <c r="Q43" s="349"/>
      <c r="R43" s="347"/>
      <c r="S43" s="351" t="s">
        <v>370</v>
      </c>
      <c r="T43" s="350"/>
      <c r="W43" s="335" cm="1">
        <f t="array" ref="W43">_xll.d.Math_Interpolate2D(N44:R49,S45,T45,"exponential")</f>
        <v>9.2723643716594051</v>
      </c>
      <c r="X43" s="336">
        <v>9.272364616394043</v>
      </c>
      <c r="Y43" s="320" t="str" cm="1">
        <f t="array" ref="Y43">_xll.d.TestUtils_Equal(W43,X43,0.00001)</f>
        <v>Ok</v>
      </c>
      <c r="AA43" s="344"/>
      <c r="AB43" s="346" t="s">
        <v>369</v>
      </c>
      <c r="AC43" s="349"/>
      <c r="AD43" s="349"/>
      <c r="AE43" s="347"/>
      <c r="AF43" s="351" t="s">
        <v>370</v>
      </c>
      <c r="AG43" s="350"/>
      <c r="AI43" s="335" cm="1">
        <f t="array" ref="AI43">_xll.d.Math_Interpolate2D(AA44:AE49,AF45,AG45,"flat")</f>
        <v>7</v>
      </c>
      <c r="AJ43" s="336">
        <v>7</v>
      </c>
      <c r="AK43" s="320" t="str" cm="1">
        <f t="array" ref="AK43">_xll.d.TestUtils_Equal(AI43,AJ43)</f>
        <v>Ok</v>
      </c>
      <c r="AM43" s="344"/>
      <c r="AN43" s="346" t="s">
        <v>369</v>
      </c>
      <c r="AO43" s="349"/>
      <c r="AP43" s="349"/>
      <c r="AQ43" s="347"/>
      <c r="AR43" s="351" t="s">
        <v>370</v>
      </c>
      <c r="AS43" s="350"/>
      <c r="AU43" s="576" t="str" cm="1">
        <f t="array" ref="AU43">_xll.d.Math_Interpolate2D(AM44:AQ49,AR45,AS45,"linear")</f>
        <v>#∂Excel Error: Extrapolation not supported.</v>
      </c>
      <c r="AV43" s="577"/>
      <c r="AW43" s="577"/>
      <c r="AX43" s="577"/>
      <c r="AY43" s="577" t="s">
        <v>376</v>
      </c>
      <c r="AZ43" s="577"/>
      <c r="BA43" s="577"/>
      <c r="BB43" s="577"/>
      <c r="BC43" s="320" t="str" cm="1">
        <f t="array" ref="BC43">_xll.d.TestUtils_Equal(AU43,AY43)</f>
        <v>Ok</v>
      </c>
      <c r="BE43" s="344"/>
      <c r="BF43" s="346" t="s">
        <v>369</v>
      </c>
      <c r="BG43" s="349"/>
      <c r="BH43" s="349"/>
      <c r="BI43" s="347"/>
      <c r="BJ43" s="351" t="s">
        <v>370</v>
      </c>
      <c r="BK43" s="350"/>
      <c r="BM43" s="576" t="str" cm="1">
        <f t="array" ref="BM43">_xll.d.Math_Interpolate2D(BE44:BI49,BJ45,BK45,"magic")</f>
        <v>#∂Excel Error: Unsupported interpolation: 'magic'</v>
      </c>
      <c r="BN43" s="577"/>
      <c r="BO43" s="577"/>
      <c r="BP43" s="577"/>
      <c r="BQ43" s="577" t="s">
        <v>484</v>
      </c>
      <c r="BR43" s="577"/>
      <c r="BS43" s="577"/>
      <c r="BT43" s="577"/>
      <c r="BU43" s="320" t="str" cm="1">
        <f t="array" ref="BU43">_xll.d.TestUtils_Equal(BM43,BQ43)</f>
        <v>Ok</v>
      </c>
    </row>
    <row r="44" spans="1:82" x14ac:dyDescent="0.25">
      <c r="A44" s="146"/>
      <c r="B44" s="345" t="s">
        <v>368</v>
      </c>
      <c r="C44" s="354">
        <v>0</v>
      </c>
      <c r="D44" s="355">
        <v>1</v>
      </c>
      <c r="E44" s="355">
        <v>2</v>
      </c>
      <c r="F44" s="356">
        <v>3</v>
      </c>
      <c r="G44" s="352" t="s">
        <v>367</v>
      </c>
      <c r="H44" s="130" t="s">
        <v>366</v>
      </c>
      <c r="N44" s="345" t="s">
        <v>368</v>
      </c>
      <c r="O44" s="354">
        <v>0</v>
      </c>
      <c r="P44" s="355">
        <v>1</v>
      </c>
      <c r="Q44" s="355">
        <v>2</v>
      </c>
      <c r="R44" s="356">
        <v>3</v>
      </c>
      <c r="S44" s="352" t="s">
        <v>367</v>
      </c>
      <c r="T44" s="130" t="s">
        <v>366</v>
      </c>
      <c r="AA44" s="345" t="s">
        <v>368</v>
      </c>
      <c r="AB44" s="354">
        <v>0</v>
      </c>
      <c r="AC44" s="355">
        <v>1</v>
      </c>
      <c r="AD44" s="355">
        <v>2</v>
      </c>
      <c r="AE44" s="356">
        <v>3</v>
      </c>
      <c r="AF44" s="352" t="s">
        <v>367</v>
      </c>
      <c r="AG44" s="130" t="s">
        <v>366</v>
      </c>
      <c r="AM44" s="345" t="s">
        <v>368</v>
      </c>
      <c r="AN44" s="354">
        <v>0</v>
      </c>
      <c r="AO44" s="355">
        <v>1</v>
      </c>
      <c r="AP44" s="355">
        <v>2</v>
      </c>
      <c r="AQ44" s="356">
        <v>3</v>
      </c>
      <c r="AR44" s="352" t="s">
        <v>367</v>
      </c>
      <c r="AS44" s="130" t="s">
        <v>366</v>
      </c>
      <c r="AV44" s="455"/>
      <c r="AW44" s="455"/>
      <c r="AX44" s="455"/>
      <c r="AZ44" s="455"/>
      <c r="BA44" s="455"/>
      <c r="BB44" s="455"/>
      <c r="BE44" s="345" t="s">
        <v>368</v>
      </c>
      <c r="BF44" s="354">
        <v>0</v>
      </c>
      <c r="BG44" s="355">
        <v>1</v>
      </c>
      <c r="BH44" s="355">
        <v>2</v>
      </c>
      <c r="BI44" s="356">
        <v>3</v>
      </c>
      <c r="BJ44" s="352" t="s">
        <v>367</v>
      </c>
      <c r="BK44" s="130" t="s">
        <v>366</v>
      </c>
      <c r="BN44" s="455"/>
      <c r="BO44" s="455"/>
      <c r="BP44" s="455"/>
      <c r="BQ44" s="455"/>
      <c r="BS44" s="455"/>
      <c r="BT44" s="455"/>
      <c r="BU44" s="455"/>
    </row>
    <row r="45" spans="1:82" x14ac:dyDescent="0.25">
      <c r="B45" s="341">
        <v>0</v>
      </c>
      <c r="C45" s="357">
        <v>1</v>
      </c>
      <c r="D45" s="358">
        <v>2</v>
      </c>
      <c r="E45" s="359">
        <v>3</v>
      </c>
      <c r="F45" s="360">
        <v>4</v>
      </c>
      <c r="G45" s="353">
        <v>2.5</v>
      </c>
      <c r="H45" s="348">
        <v>1.5</v>
      </c>
      <c r="N45" s="341">
        <v>0</v>
      </c>
      <c r="O45" s="357">
        <v>1</v>
      </c>
      <c r="P45" s="358">
        <v>2</v>
      </c>
      <c r="Q45" s="359">
        <v>3</v>
      </c>
      <c r="R45" s="360">
        <v>4</v>
      </c>
      <c r="S45" s="353">
        <v>2.5</v>
      </c>
      <c r="T45" s="348">
        <v>1.5</v>
      </c>
      <c r="AA45" s="341">
        <v>0</v>
      </c>
      <c r="AB45" s="357">
        <v>1</v>
      </c>
      <c r="AC45" s="358">
        <v>2</v>
      </c>
      <c r="AD45" s="359">
        <v>3</v>
      </c>
      <c r="AE45" s="360">
        <v>4</v>
      </c>
      <c r="AF45" s="353">
        <v>2.5</v>
      </c>
      <c r="AG45" s="348">
        <v>1.5</v>
      </c>
      <c r="AM45" s="341">
        <v>0</v>
      </c>
      <c r="AN45" s="357">
        <v>1</v>
      </c>
      <c r="AO45" s="358">
        <v>2</v>
      </c>
      <c r="AP45" s="359">
        <v>3</v>
      </c>
      <c r="AQ45" s="360">
        <v>4</v>
      </c>
      <c r="AR45" s="353">
        <v>5</v>
      </c>
      <c r="AS45" s="348">
        <v>5</v>
      </c>
      <c r="AV45" s="455"/>
      <c r="AW45" s="455"/>
      <c r="AX45" s="455"/>
      <c r="AZ45" s="455"/>
      <c r="BA45" s="455"/>
      <c r="BB45" s="455"/>
      <c r="BE45" s="341">
        <v>0</v>
      </c>
      <c r="BF45" s="357">
        <v>1</v>
      </c>
      <c r="BG45" s="358">
        <v>2</v>
      </c>
      <c r="BH45" s="359">
        <v>3</v>
      </c>
      <c r="BI45" s="360">
        <v>4</v>
      </c>
      <c r="BJ45" s="353">
        <v>2.5</v>
      </c>
      <c r="BK45" s="348">
        <v>1.5</v>
      </c>
      <c r="BN45" s="455"/>
      <c r="BO45" s="455"/>
      <c r="BP45" s="455"/>
      <c r="BQ45" s="455"/>
      <c r="BS45" s="455"/>
      <c r="BT45" s="455"/>
      <c r="BU45" s="455"/>
    </row>
    <row r="46" spans="1:82" x14ac:dyDescent="0.25">
      <c r="B46" s="365">
        <v>1</v>
      </c>
      <c r="C46" s="366">
        <v>5</v>
      </c>
      <c r="D46" s="367">
        <v>6</v>
      </c>
      <c r="E46" s="367">
        <v>7</v>
      </c>
      <c r="F46" s="368">
        <v>8</v>
      </c>
      <c r="N46" s="365">
        <v>1</v>
      </c>
      <c r="O46" s="366">
        <v>5</v>
      </c>
      <c r="P46" s="367">
        <v>6</v>
      </c>
      <c r="Q46" s="367">
        <v>7</v>
      </c>
      <c r="R46" s="368">
        <v>8</v>
      </c>
      <c r="AA46" s="365">
        <v>1</v>
      </c>
      <c r="AB46" s="366">
        <v>5</v>
      </c>
      <c r="AC46" s="367">
        <v>6</v>
      </c>
      <c r="AD46" s="367">
        <v>7</v>
      </c>
      <c r="AE46" s="368">
        <v>8</v>
      </c>
      <c r="AM46" s="365">
        <v>1</v>
      </c>
      <c r="AN46" s="366">
        <v>5</v>
      </c>
      <c r="AO46" s="367">
        <v>6</v>
      </c>
      <c r="AP46" s="367">
        <v>7</v>
      </c>
      <c r="AQ46" s="368">
        <v>8</v>
      </c>
      <c r="AV46" s="455"/>
      <c r="AW46" s="455"/>
      <c r="AX46" s="455"/>
      <c r="AZ46" s="455"/>
      <c r="BA46" s="455"/>
      <c r="BB46" s="455"/>
      <c r="BE46" s="365">
        <v>1</v>
      </c>
      <c r="BF46" s="366">
        <v>5</v>
      </c>
      <c r="BG46" s="367">
        <v>6</v>
      </c>
      <c r="BH46" s="367">
        <v>7</v>
      </c>
      <c r="BI46" s="368">
        <v>8</v>
      </c>
      <c r="BN46" s="455"/>
      <c r="BO46" s="455"/>
      <c r="BP46" s="455"/>
      <c r="BQ46" s="455"/>
      <c r="BS46" s="455"/>
      <c r="BT46" s="455"/>
      <c r="BU46" s="455"/>
    </row>
    <row r="47" spans="1:82" x14ac:dyDescent="0.25">
      <c r="B47" s="369">
        <v>2</v>
      </c>
      <c r="C47" s="366">
        <v>9</v>
      </c>
      <c r="D47" s="367">
        <v>10</v>
      </c>
      <c r="E47" s="367">
        <v>11</v>
      </c>
      <c r="F47" s="368">
        <v>12</v>
      </c>
      <c r="N47" s="369">
        <v>2</v>
      </c>
      <c r="O47" s="366">
        <v>9</v>
      </c>
      <c r="P47" s="367">
        <v>10</v>
      </c>
      <c r="Q47" s="367">
        <v>11</v>
      </c>
      <c r="R47" s="368">
        <v>12</v>
      </c>
      <c r="AA47" s="369">
        <v>2</v>
      </c>
      <c r="AB47" s="366">
        <v>9</v>
      </c>
      <c r="AC47" s="367">
        <v>10</v>
      </c>
      <c r="AD47" s="367">
        <v>11</v>
      </c>
      <c r="AE47" s="368">
        <v>12</v>
      </c>
      <c r="AM47" s="369">
        <v>2</v>
      </c>
      <c r="AN47" s="366">
        <v>9</v>
      </c>
      <c r="AO47" s="367">
        <v>10</v>
      </c>
      <c r="AP47" s="367">
        <v>11</v>
      </c>
      <c r="AQ47" s="368">
        <v>12</v>
      </c>
      <c r="AV47" s="455"/>
      <c r="AW47" s="455"/>
      <c r="AX47" s="455"/>
      <c r="AZ47" s="455"/>
      <c r="BA47" s="455"/>
      <c r="BB47" s="455"/>
      <c r="BE47" s="369">
        <v>2</v>
      </c>
      <c r="BF47" s="366">
        <v>9</v>
      </c>
      <c r="BG47" s="367">
        <v>10</v>
      </c>
      <c r="BH47" s="367">
        <v>11</v>
      </c>
      <c r="BI47" s="368">
        <v>12</v>
      </c>
      <c r="BN47" s="455"/>
      <c r="BO47" s="455"/>
      <c r="BP47" s="455"/>
      <c r="BQ47" s="455"/>
      <c r="BS47" s="455"/>
      <c r="BT47" s="455"/>
      <c r="BU47" s="455"/>
    </row>
    <row r="48" spans="1:82" x14ac:dyDescent="0.25">
      <c r="B48" s="369">
        <v>3</v>
      </c>
      <c r="C48" s="366">
        <v>13</v>
      </c>
      <c r="D48" s="367">
        <v>14</v>
      </c>
      <c r="E48" s="367">
        <v>15</v>
      </c>
      <c r="F48" s="368">
        <v>16</v>
      </c>
      <c r="N48" s="369">
        <v>3</v>
      </c>
      <c r="O48" s="366">
        <v>13</v>
      </c>
      <c r="P48" s="367">
        <v>14</v>
      </c>
      <c r="Q48" s="367">
        <v>15</v>
      </c>
      <c r="R48" s="368">
        <v>16</v>
      </c>
      <c r="AA48" s="369">
        <v>3</v>
      </c>
      <c r="AB48" s="366">
        <v>13</v>
      </c>
      <c r="AC48" s="367">
        <v>14</v>
      </c>
      <c r="AD48" s="367">
        <v>15</v>
      </c>
      <c r="AE48" s="368">
        <v>16</v>
      </c>
      <c r="AM48" s="369">
        <v>3</v>
      </c>
      <c r="AN48" s="366">
        <v>13</v>
      </c>
      <c r="AO48" s="367">
        <v>14</v>
      </c>
      <c r="AP48" s="367">
        <v>15</v>
      </c>
      <c r="AQ48" s="368">
        <v>16</v>
      </c>
      <c r="AV48" s="455"/>
      <c r="AW48" s="455"/>
      <c r="AX48" s="455"/>
      <c r="AZ48" s="455"/>
      <c r="BA48" s="455"/>
      <c r="BB48" s="455"/>
      <c r="BE48" s="369">
        <v>3</v>
      </c>
      <c r="BF48" s="366">
        <v>13</v>
      </c>
      <c r="BG48" s="367">
        <v>14</v>
      </c>
      <c r="BH48" s="367">
        <v>15</v>
      </c>
      <c r="BI48" s="368">
        <v>16</v>
      </c>
      <c r="BN48" s="455"/>
      <c r="BO48" s="455"/>
      <c r="BP48" s="455"/>
      <c r="BQ48" s="455"/>
      <c r="BS48" s="455"/>
      <c r="BT48" s="455"/>
      <c r="BU48" s="455"/>
    </row>
    <row r="49" spans="2:73" x14ac:dyDescent="0.25">
      <c r="B49" s="361">
        <v>4</v>
      </c>
      <c r="C49" s="362">
        <v>17</v>
      </c>
      <c r="D49" s="363">
        <v>18</v>
      </c>
      <c r="E49" s="363">
        <v>19</v>
      </c>
      <c r="F49" s="364">
        <v>20</v>
      </c>
      <c r="N49" s="361">
        <v>4</v>
      </c>
      <c r="O49" s="362">
        <v>17</v>
      </c>
      <c r="P49" s="363">
        <v>18</v>
      </c>
      <c r="Q49" s="363">
        <v>19</v>
      </c>
      <c r="R49" s="364">
        <v>20</v>
      </c>
      <c r="AA49" s="361">
        <v>4</v>
      </c>
      <c r="AB49" s="362">
        <v>17</v>
      </c>
      <c r="AC49" s="363">
        <v>18</v>
      </c>
      <c r="AD49" s="363">
        <v>19</v>
      </c>
      <c r="AE49" s="364">
        <v>20</v>
      </c>
      <c r="AM49" s="361">
        <v>4</v>
      </c>
      <c r="AN49" s="362">
        <v>17</v>
      </c>
      <c r="AO49" s="363">
        <v>18</v>
      </c>
      <c r="AP49" s="363">
        <v>19</v>
      </c>
      <c r="AQ49" s="364">
        <v>20</v>
      </c>
      <c r="AV49" s="455"/>
      <c r="AW49" s="455"/>
      <c r="AX49" s="455"/>
      <c r="AZ49" s="455"/>
      <c r="BA49" s="455"/>
      <c r="BB49" s="455"/>
      <c r="BE49" s="361">
        <v>4</v>
      </c>
      <c r="BF49" s="362">
        <v>17</v>
      </c>
      <c r="BG49" s="363">
        <v>18</v>
      </c>
      <c r="BH49" s="363">
        <v>19</v>
      </c>
      <c r="BI49" s="364">
        <v>20</v>
      </c>
      <c r="BN49" s="455"/>
      <c r="BO49" s="455"/>
      <c r="BP49" s="455"/>
      <c r="BQ49" s="455"/>
      <c r="BS49" s="455"/>
      <c r="BT49" s="455"/>
      <c r="BU49" s="455"/>
    </row>
    <row r="50" spans="2:73" x14ac:dyDescent="0.25">
      <c r="AV50" s="455"/>
      <c r="AW50" s="455"/>
      <c r="AX50" s="455"/>
      <c r="AZ50" s="455"/>
      <c r="BA50" s="455"/>
      <c r="BB50" s="455"/>
      <c r="BN50" s="455"/>
      <c r="BO50" s="455"/>
      <c r="BP50" s="455"/>
      <c r="BQ50" s="455"/>
      <c r="BS50" s="455"/>
      <c r="BT50" s="455"/>
      <c r="BU50" s="455"/>
    </row>
    <row r="51" spans="2:73" x14ac:dyDescent="0.25">
      <c r="AV51" s="455"/>
      <c r="AW51" s="455"/>
      <c r="AX51" s="455"/>
      <c r="AZ51" s="455"/>
      <c r="BA51" s="455"/>
      <c r="BB51" s="455"/>
      <c r="BS51" s="455"/>
      <c r="BT51" s="455"/>
      <c r="BU51" s="455"/>
    </row>
    <row r="52" spans="2:73" x14ac:dyDescent="0.25">
      <c r="AZ52" s="455"/>
      <c r="BA52" s="455"/>
      <c r="BB52" s="455"/>
      <c r="BS52" s="455"/>
      <c r="BT52" s="455"/>
      <c r="BU52" s="455"/>
    </row>
    <row r="53" spans="2:73" x14ac:dyDescent="0.25">
      <c r="AZ53" s="455"/>
      <c r="BA53" s="455"/>
      <c r="BB53" s="455"/>
      <c r="BS53" s="455"/>
      <c r="BT53" s="455"/>
      <c r="BU53" s="455"/>
    </row>
    <row r="54" spans="2:73" x14ac:dyDescent="0.25">
      <c r="AZ54" s="455"/>
      <c r="BA54" s="455"/>
      <c r="BB54" s="455"/>
    </row>
    <row r="55" spans="2:73" x14ac:dyDescent="0.25">
      <c r="AZ55" s="455"/>
      <c r="BA55" s="455"/>
      <c r="BB55" s="455"/>
    </row>
    <row r="56" spans="2:73" x14ac:dyDescent="0.25">
      <c r="AZ56" s="455"/>
      <c r="BA56" s="455"/>
      <c r="BB56" s="455"/>
    </row>
  </sheetData>
  <conditionalFormatting sqref="D7:D9">
    <cfRule type="cellIs" dxfId="587" priority="145" stopIfTrue="1" operator="equal">
      <formula>"ERROR"</formula>
    </cfRule>
    <cfRule type="cellIs" dxfId="586" priority="146" stopIfTrue="1" operator="equal">
      <formula>"OK"</formula>
    </cfRule>
    <cfRule type="cellIs" dxfId="585" priority="147" stopIfTrue="1" operator="equal">
      <formula>"WARNING"</formula>
    </cfRule>
  </conditionalFormatting>
  <conditionalFormatting sqref="C4">
    <cfRule type="cellIs" dxfId="584" priority="142" stopIfTrue="1" operator="equal">
      <formula>"ERROR"</formula>
    </cfRule>
    <cfRule type="cellIs" dxfId="583" priority="143" stopIfTrue="1" operator="equal">
      <formula>"OK"</formula>
    </cfRule>
    <cfRule type="cellIs" dxfId="582" priority="144" stopIfTrue="1" operator="equal">
      <formula>"WARNING"</formula>
    </cfRule>
  </conditionalFormatting>
  <conditionalFormatting sqref="C14">
    <cfRule type="cellIs" dxfId="581" priority="139" stopIfTrue="1" operator="equal">
      <formula>"ERROR"</formula>
    </cfRule>
  </conditionalFormatting>
  <conditionalFormatting sqref="C14">
    <cfRule type="cellIs" dxfId="580" priority="140" stopIfTrue="1" operator="equal">
      <formula>"OK"</formula>
    </cfRule>
  </conditionalFormatting>
  <conditionalFormatting sqref="C14">
    <cfRule type="cellIs" dxfId="579" priority="141" stopIfTrue="1" operator="equal">
      <formula>"WARNING"</formula>
    </cfRule>
  </conditionalFormatting>
  <conditionalFormatting sqref="H19">
    <cfRule type="cellIs" dxfId="578" priority="148" stopIfTrue="1" operator="equal">
      <formula>"ERROR"</formula>
    </cfRule>
    <cfRule type="cellIs" dxfId="577" priority="149" stopIfTrue="1" operator="equal">
      <formula>"OK"</formula>
    </cfRule>
    <cfRule type="cellIs" dxfId="576" priority="150" stopIfTrue="1" operator="equal">
      <formula>"WARNING"</formula>
    </cfRule>
  </conditionalFormatting>
  <conditionalFormatting sqref="C38">
    <cfRule type="cellIs" dxfId="575" priority="118" stopIfTrue="1" operator="equal">
      <formula>"ERROR"</formula>
    </cfRule>
  </conditionalFormatting>
  <conditionalFormatting sqref="C38">
    <cfRule type="cellIs" dxfId="574" priority="119" stopIfTrue="1" operator="equal">
      <formula>"OK"</formula>
    </cfRule>
  </conditionalFormatting>
  <conditionalFormatting sqref="C38">
    <cfRule type="cellIs" dxfId="573" priority="120" stopIfTrue="1" operator="equal">
      <formula>"WARNING"</formula>
    </cfRule>
  </conditionalFormatting>
  <conditionalFormatting sqref="P19">
    <cfRule type="cellIs" dxfId="572" priority="49" stopIfTrue="1" operator="equal">
      <formula>"ERROR"</formula>
    </cfRule>
    <cfRule type="cellIs" dxfId="571" priority="50" stopIfTrue="1" operator="equal">
      <formula>"OK"</formula>
    </cfRule>
    <cfRule type="cellIs" dxfId="570" priority="51" stopIfTrue="1" operator="equal">
      <formula>"WARNING"</formula>
    </cfRule>
  </conditionalFormatting>
  <conditionalFormatting sqref="Y19">
    <cfRule type="cellIs" dxfId="569" priority="46" stopIfTrue="1" operator="equal">
      <formula>"ERROR"</formula>
    </cfRule>
    <cfRule type="cellIs" dxfId="568" priority="47" stopIfTrue="1" operator="equal">
      <formula>"OK"</formula>
    </cfRule>
    <cfRule type="cellIs" dxfId="567" priority="48" stopIfTrue="1" operator="equal">
      <formula>"WARNING"</formula>
    </cfRule>
  </conditionalFormatting>
  <conditionalFormatting sqref="AG19">
    <cfRule type="cellIs" dxfId="566" priority="43" stopIfTrue="1" operator="equal">
      <formula>"ERROR"</formula>
    </cfRule>
    <cfRule type="cellIs" dxfId="565" priority="44" stopIfTrue="1" operator="equal">
      <formula>"OK"</formula>
    </cfRule>
    <cfRule type="cellIs" dxfId="564" priority="45" stopIfTrue="1" operator="equal">
      <formula>"WARNING"</formula>
    </cfRule>
  </conditionalFormatting>
  <conditionalFormatting sqref="AU19">
    <cfRule type="cellIs" dxfId="563" priority="40" stopIfTrue="1" operator="equal">
      <formula>"ERROR"</formula>
    </cfRule>
    <cfRule type="cellIs" dxfId="562" priority="41" stopIfTrue="1" operator="equal">
      <formula>"OK"</formula>
    </cfRule>
    <cfRule type="cellIs" dxfId="561" priority="42" stopIfTrue="1" operator="equal">
      <formula>"WARNING"</formula>
    </cfRule>
  </conditionalFormatting>
  <conditionalFormatting sqref="BI19">
    <cfRule type="cellIs" dxfId="560" priority="37" stopIfTrue="1" operator="equal">
      <formula>"ERROR"</formula>
    </cfRule>
    <cfRule type="cellIs" dxfId="559" priority="38" stopIfTrue="1" operator="equal">
      <formula>"OK"</formula>
    </cfRule>
    <cfRule type="cellIs" dxfId="558" priority="39" stopIfTrue="1" operator="equal">
      <formula>"WARNING"</formula>
    </cfRule>
  </conditionalFormatting>
  <conditionalFormatting sqref="CI19">
    <cfRule type="cellIs" dxfId="557" priority="34" stopIfTrue="1" operator="equal">
      <formula>"ERROR"</formula>
    </cfRule>
    <cfRule type="cellIs" dxfId="556" priority="35" stopIfTrue="1" operator="equal">
      <formula>"OK"</formula>
    </cfRule>
    <cfRule type="cellIs" dxfId="555" priority="36" stopIfTrue="1" operator="equal">
      <formula>"WARNING"</formula>
    </cfRule>
  </conditionalFormatting>
  <conditionalFormatting sqref="L43">
    <cfRule type="cellIs" dxfId="554" priority="28" stopIfTrue="1" operator="equal">
      <formula>"ERROR"</formula>
    </cfRule>
    <cfRule type="cellIs" dxfId="553" priority="29" stopIfTrue="1" operator="equal">
      <formula>"OK"</formula>
    </cfRule>
    <cfRule type="cellIs" dxfId="552" priority="30" stopIfTrue="1" operator="equal">
      <formula>"WARNING"</formula>
    </cfRule>
  </conditionalFormatting>
  <conditionalFormatting sqref="Y43">
    <cfRule type="cellIs" dxfId="551" priority="25" stopIfTrue="1" operator="equal">
      <formula>"ERROR"</formula>
    </cfRule>
    <cfRule type="cellIs" dxfId="550" priority="26" stopIfTrue="1" operator="equal">
      <formula>"OK"</formula>
    </cfRule>
    <cfRule type="cellIs" dxfId="549" priority="27" stopIfTrue="1" operator="equal">
      <formula>"WARNING"</formula>
    </cfRule>
  </conditionalFormatting>
  <conditionalFormatting sqref="AK43">
    <cfRule type="cellIs" dxfId="548" priority="22" stopIfTrue="1" operator="equal">
      <formula>"ERROR"</formula>
    </cfRule>
    <cfRule type="cellIs" dxfId="547" priority="23" stopIfTrue="1" operator="equal">
      <formula>"OK"</formula>
    </cfRule>
    <cfRule type="cellIs" dxfId="546" priority="24" stopIfTrue="1" operator="equal">
      <formula>"WARNING"</formula>
    </cfRule>
  </conditionalFormatting>
  <conditionalFormatting sqref="BC43">
    <cfRule type="cellIs" dxfId="545" priority="19" stopIfTrue="1" operator="equal">
      <formula>"ERROR"</formula>
    </cfRule>
    <cfRule type="cellIs" dxfId="544" priority="20" stopIfTrue="1" operator="equal">
      <formula>"OK"</formula>
    </cfRule>
    <cfRule type="cellIs" dxfId="543" priority="21" stopIfTrue="1" operator="equal">
      <formula>"WARNING"</formula>
    </cfRule>
  </conditionalFormatting>
  <conditionalFormatting sqref="BU43">
    <cfRule type="cellIs" dxfId="542" priority="16" stopIfTrue="1" operator="equal">
      <formula>"ERROR"</formula>
    </cfRule>
    <cfRule type="cellIs" dxfId="541" priority="17" stopIfTrue="1" operator="equal">
      <formula>"OK"</formula>
    </cfRule>
    <cfRule type="cellIs" dxfId="540" priority="18" stopIfTrue="1" operator="equal">
      <formula>"WARNING"</formula>
    </cfRule>
  </conditionalFormatting>
  <conditionalFormatting sqref="BW19">
    <cfRule type="cellIs" dxfId="539" priority="13" stopIfTrue="1" operator="equal">
      <formula>"ERROR"</formula>
    </cfRule>
    <cfRule type="cellIs" dxfId="538" priority="14" stopIfTrue="1" operator="equal">
      <formula>"OK"</formula>
    </cfRule>
    <cfRule type="cellIs" dxfId="537" priority="15" stopIfTrue="1" operator="equal">
      <formula>"WARNING"</formula>
    </cfRule>
  </conditionalFormatting>
  <conditionalFormatting sqref="C26">
    <cfRule type="cellIs" dxfId="536" priority="7" stopIfTrue="1" operator="equal">
      <formula>"ERROR"</formula>
    </cfRule>
  </conditionalFormatting>
  <conditionalFormatting sqref="C26">
    <cfRule type="cellIs" dxfId="535" priority="8" stopIfTrue="1" operator="equal">
      <formula>"OK"</formula>
    </cfRule>
  </conditionalFormatting>
  <conditionalFormatting sqref="C26">
    <cfRule type="cellIs" dxfId="534" priority="9" stopIfTrue="1" operator="equal">
      <formula>"WARNING"</formula>
    </cfRule>
  </conditionalFormatting>
  <conditionalFormatting sqref="J31">
    <cfRule type="cellIs" dxfId="533" priority="10" stopIfTrue="1" operator="equal">
      <formula>"ERROR"</formula>
    </cfRule>
    <cfRule type="cellIs" dxfId="532" priority="11" stopIfTrue="1" operator="equal">
      <formula>"OK"</formula>
    </cfRule>
    <cfRule type="cellIs" dxfId="531" priority="12" stopIfTrue="1" operator="equal">
      <formula>"WARNING"</formula>
    </cfRule>
  </conditionalFormatting>
  <conditionalFormatting sqref="X31">
    <cfRule type="cellIs" dxfId="530" priority="4" stopIfTrue="1" operator="equal">
      <formula>"ERROR"</formula>
    </cfRule>
    <cfRule type="cellIs" dxfId="529" priority="5" stopIfTrue="1" operator="equal">
      <formula>"OK"</formula>
    </cfRule>
    <cfRule type="cellIs" dxfId="528" priority="6" stopIfTrue="1" operator="equal">
      <formula>"WARNING"</formula>
    </cfRule>
  </conditionalFormatting>
  <conditionalFormatting sqref="AL31">
    <cfRule type="cellIs" dxfId="527" priority="1" stopIfTrue="1" operator="equal">
      <formula>"ERROR"</formula>
    </cfRule>
    <cfRule type="cellIs" dxfId="526" priority="2" stopIfTrue="1" operator="equal">
      <formula>"OK"</formula>
    </cfRule>
    <cfRule type="cellIs" dxfId="525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18" t="s">
        <v>403</v>
      </c>
    </row>
    <row r="2" spans="1:52" ht="26.25" x14ac:dyDescent="0.4">
      <c r="B2" s="2" t="s">
        <v>377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</row>
    <row r="4" spans="1:52" x14ac:dyDescent="0.25">
      <c r="B4" s="59" t="s">
        <v>155</v>
      </c>
      <c r="C4" s="310" t="str" cm="1">
        <f t="array" aca="1" ref="C4" ca="1">_xll.d.TestUtils_And(E7:E10)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</row>
    <row r="6" spans="1:52" x14ac:dyDescent="0.25">
      <c r="B6" s="199" t="s">
        <v>225</v>
      </c>
      <c r="C6" s="199"/>
      <c r="D6" s="199"/>
      <c r="E6" s="200" t="s">
        <v>10</v>
      </c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</row>
    <row r="7" spans="1:52" x14ac:dyDescent="0.25">
      <c r="B7" s="417" t="s">
        <v>378</v>
      </c>
      <c r="C7" s="212"/>
      <c r="D7" s="212"/>
      <c r="E7" s="310" t="str">
        <f>C15</f>
        <v>Ok</v>
      </c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</row>
    <row r="8" spans="1:52" x14ac:dyDescent="0.25">
      <c r="B8" s="417" t="s">
        <v>379</v>
      </c>
      <c r="C8" s="212"/>
      <c r="D8" s="212"/>
      <c r="E8" s="310" t="str">
        <f>C28</f>
        <v>Ok</v>
      </c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</row>
    <row r="9" spans="1:52" x14ac:dyDescent="0.25">
      <c r="B9" s="417" t="s">
        <v>380</v>
      </c>
      <c r="C9" s="212"/>
      <c r="D9" s="212"/>
      <c r="E9" s="310" t="str">
        <f ca="1">C44</f>
        <v>Ok</v>
      </c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</row>
    <row r="10" spans="1:52" x14ac:dyDescent="0.25">
      <c r="B10" s="212" t="s">
        <v>505</v>
      </c>
      <c r="C10" s="212"/>
      <c r="D10" s="212"/>
      <c r="E10" s="310" t="str">
        <f>C95</f>
        <v>Ok</v>
      </c>
    </row>
    <row r="11" spans="1:52" s="455" customFormat="1" x14ac:dyDescent="0.25"/>
    <row r="13" spans="1:52" s="308" customFormat="1" ht="18.75" x14ac:dyDescent="0.3">
      <c r="A13"/>
      <c r="B13" s="3" t="s">
        <v>378</v>
      </c>
      <c r="C13" s="316"/>
      <c r="D13" s="316"/>
      <c r="E13" s="316"/>
      <c r="F13" s="316"/>
      <c r="G13" s="316"/>
      <c r="H13" s="316"/>
      <c r="I13" s="316"/>
      <c r="J13" s="316"/>
      <c r="K13" s="316"/>
      <c r="L13" s="316"/>
      <c r="M13" s="316"/>
      <c r="N13" s="316"/>
      <c r="O13" s="316"/>
      <c r="P13" s="316"/>
      <c r="Q13" s="316"/>
      <c r="R13" s="316"/>
      <c r="S13" s="316"/>
      <c r="T13" s="316"/>
      <c r="U13" s="316"/>
      <c r="V13" s="316"/>
      <c r="W13" s="316"/>
      <c r="X13" s="316"/>
      <c r="Y13" s="316"/>
      <c r="Z13" s="316"/>
      <c r="AA13" s="316"/>
      <c r="AB13" s="316"/>
      <c r="AC13" s="316"/>
      <c r="AD13" s="316"/>
      <c r="AE13" s="316"/>
      <c r="AF13" s="316"/>
      <c r="AG13" s="316"/>
      <c r="AH13" s="316"/>
      <c r="AI13" s="316"/>
      <c r="AJ13" s="316"/>
      <c r="AK13" s="316"/>
      <c r="AL13" s="316"/>
      <c r="AM13" s="316"/>
      <c r="AN13" s="316"/>
      <c r="AO13" s="316"/>
      <c r="AP13" s="316"/>
      <c r="AQ13" s="316"/>
      <c r="AR13" s="316"/>
      <c r="AS13" s="316"/>
      <c r="AT13" s="316"/>
      <c r="AU13" s="316"/>
      <c r="AV13" s="316"/>
      <c r="AW13" s="316"/>
      <c r="AX13" s="316"/>
      <c r="AY13" s="316"/>
      <c r="AZ13" s="316"/>
    </row>
    <row r="14" spans="1:52" x14ac:dyDescent="0.25">
      <c r="AX14" s="455"/>
    </row>
    <row r="15" spans="1:52" x14ac:dyDescent="0.25">
      <c r="B15" s="59" t="s">
        <v>155</v>
      </c>
      <c r="C15" s="310" t="str" cm="1">
        <f t="array" ref="C15">_xll.d.TestUtils_And(L20:N22,Z20,AL20,AZ20)</f>
        <v>Ok</v>
      </c>
      <c r="D15" s="308"/>
      <c r="E15" s="308"/>
      <c r="F15" s="308"/>
      <c r="G15" s="308"/>
      <c r="H15" s="308"/>
      <c r="I15" s="308"/>
      <c r="J15" s="308"/>
      <c r="K15" s="308"/>
      <c r="U15" s="455"/>
      <c r="V15" s="455"/>
      <c r="W15" s="455"/>
      <c r="Y15" s="455"/>
      <c r="Z15" s="455"/>
      <c r="AA15" s="455"/>
      <c r="AI15" s="455"/>
      <c r="AJ15" s="455"/>
      <c r="AK15" s="455"/>
      <c r="AX15" s="455"/>
    </row>
    <row r="16" spans="1:52" x14ac:dyDescent="0.25">
      <c r="B16" s="308"/>
      <c r="C16" s="308"/>
      <c r="D16" s="308"/>
      <c r="E16" s="308"/>
      <c r="F16" s="308"/>
      <c r="G16" s="308"/>
      <c r="H16" s="308"/>
      <c r="I16" s="309"/>
      <c r="J16" s="309"/>
      <c r="K16" s="309"/>
      <c r="U16" s="455"/>
      <c r="V16" s="455"/>
      <c r="W16" s="455"/>
      <c r="Y16" s="455"/>
      <c r="Z16" s="455"/>
      <c r="AA16" s="455"/>
      <c r="AI16" s="455"/>
      <c r="AJ16" s="455"/>
      <c r="AK16" s="455"/>
      <c r="AL16" s="455"/>
      <c r="AX16" s="455"/>
    </row>
    <row r="17" spans="2:53" ht="15.75" x14ac:dyDescent="0.25">
      <c r="B17" s="4" t="s">
        <v>381</v>
      </c>
      <c r="C17" s="317"/>
      <c r="D17" s="317"/>
      <c r="E17" s="317"/>
      <c r="F17" s="317"/>
      <c r="G17" s="317"/>
      <c r="H17" s="317"/>
      <c r="I17" s="317"/>
      <c r="J17" s="317"/>
      <c r="K17" s="317"/>
      <c r="L17" s="317"/>
      <c r="M17" s="317"/>
      <c r="N17" s="317"/>
      <c r="P17" s="4" t="s">
        <v>383</v>
      </c>
      <c r="Q17" s="317"/>
      <c r="R17" s="317"/>
      <c r="S17" s="317"/>
      <c r="T17" s="317"/>
      <c r="U17" s="317"/>
      <c r="V17" s="317"/>
      <c r="W17" s="317"/>
      <c r="X17" s="317"/>
      <c r="Y17" s="317"/>
      <c r="Z17" s="317"/>
      <c r="AB17" s="4" t="s">
        <v>384</v>
      </c>
      <c r="AC17" s="317"/>
      <c r="AD17" s="317"/>
      <c r="AE17" s="317"/>
      <c r="AF17" s="317"/>
      <c r="AG17" s="317"/>
      <c r="AH17" s="317"/>
      <c r="AI17" s="317"/>
      <c r="AJ17" s="317"/>
      <c r="AK17" s="317"/>
      <c r="AL17" s="317"/>
      <c r="AN17" s="4" t="s">
        <v>385</v>
      </c>
      <c r="AO17" s="317"/>
      <c r="AP17" s="317"/>
      <c r="AQ17" s="317"/>
      <c r="AR17" s="317"/>
      <c r="AS17" s="317"/>
      <c r="AT17" s="317"/>
      <c r="AU17" s="317"/>
      <c r="AV17" s="317"/>
      <c r="AW17" s="317"/>
      <c r="AX17" s="317"/>
      <c r="AY17" s="317"/>
      <c r="AZ17" s="317"/>
    </row>
    <row r="18" spans="2:53" x14ac:dyDescent="0.25">
      <c r="B18" s="308"/>
      <c r="C18" s="308"/>
      <c r="D18" s="308"/>
      <c r="E18" s="308"/>
      <c r="F18" s="308"/>
      <c r="G18" s="308"/>
      <c r="H18" s="308"/>
      <c r="I18" s="309"/>
      <c r="J18" s="309"/>
      <c r="K18" s="309"/>
      <c r="P18" s="308"/>
      <c r="Q18" s="308"/>
      <c r="R18" s="308"/>
      <c r="S18" s="308"/>
      <c r="T18" s="308"/>
      <c r="U18" s="308"/>
      <c r="V18" s="308"/>
      <c r="W18" s="309"/>
      <c r="X18" s="309"/>
      <c r="Y18" s="309"/>
      <c r="AB18" s="308"/>
      <c r="AC18" s="308"/>
      <c r="AD18" s="308"/>
      <c r="AE18" s="308"/>
      <c r="AF18" s="308"/>
      <c r="AG18" s="308"/>
      <c r="AH18" s="308"/>
      <c r="AI18" s="308"/>
      <c r="AJ18" s="308"/>
      <c r="AK18" s="309"/>
      <c r="AN18" s="308"/>
      <c r="AO18" s="308"/>
      <c r="AP18" s="308"/>
      <c r="AQ18" s="308"/>
      <c r="AR18" s="308"/>
      <c r="AS18" s="308"/>
      <c r="AT18" s="308"/>
      <c r="AU18" s="308"/>
      <c r="AV18" s="308"/>
      <c r="AW18" s="309"/>
      <c r="AX18" s="309"/>
      <c r="AY18" s="309"/>
      <c r="AZ18" s="309"/>
      <c r="BA18" s="309"/>
    </row>
    <row r="19" spans="2:53" x14ac:dyDescent="0.25">
      <c r="B19" s="131" t="s">
        <v>241</v>
      </c>
      <c r="C19" s="202"/>
      <c r="D19" s="132"/>
      <c r="F19" s="131" t="s">
        <v>129</v>
      </c>
      <c r="G19" s="131"/>
      <c r="H19" s="131"/>
      <c r="I19" s="131" t="s">
        <v>243</v>
      </c>
      <c r="J19" s="131"/>
      <c r="K19" s="131"/>
      <c r="L19" s="131" t="s">
        <v>83</v>
      </c>
      <c r="M19" s="351"/>
      <c r="N19" s="351"/>
      <c r="P19" s="131" t="s">
        <v>241</v>
      </c>
      <c r="Q19" s="202"/>
      <c r="R19" s="132"/>
      <c r="T19" s="131" t="s">
        <v>129</v>
      </c>
      <c r="U19" s="131"/>
      <c r="V19" s="131"/>
      <c r="W19" s="131" t="s">
        <v>243</v>
      </c>
      <c r="X19" s="131"/>
      <c r="Y19" s="131"/>
      <c r="Z19" s="131" t="s">
        <v>83</v>
      </c>
      <c r="AB19" s="131" t="s">
        <v>241</v>
      </c>
      <c r="AC19" s="202"/>
      <c r="AD19" s="132"/>
      <c r="AF19" s="131" t="s">
        <v>129</v>
      </c>
      <c r="AG19" s="131"/>
      <c r="AH19" s="131"/>
      <c r="AI19" s="131" t="s">
        <v>243</v>
      </c>
      <c r="AJ19" s="131"/>
      <c r="AK19" s="131"/>
      <c r="AL19" s="131" t="s">
        <v>83</v>
      </c>
      <c r="AN19" s="131" t="s">
        <v>241</v>
      </c>
      <c r="AO19" s="202"/>
      <c r="AP19" s="132"/>
      <c r="AR19" s="131" t="s">
        <v>129</v>
      </c>
      <c r="AS19" s="131"/>
      <c r="AT19" s="131"/>
      <c r="AU19" s="131"/>
      <c r="AV19" s="131" t="s">
        <v>243</v>
      </c>
      <c r="AW19" s="131"/>
      <c r="AX19" s="131"/>
      <c r="AY19" s="131"/>
      <c r="AZ19" s="131" t="s">
        <v>83</v>
      </c>
    </row>
    <row r="20" spans="2:53" x14ac:dyDescent="0.25">
      <c r="B20" s="371" t="s">
        <v>382</v>
      </c>
      <c r="C20" s="372"/>
      <c r="D20" s="373"/>
      <c r="F20" s="370">
        <f t="array" ref="F20:H22">_xll.d.Stats_Cholesky(B21:D23)</f>
        <v>1</v>
      </c>
      <c r="G20" s="290">
        <v>0.75</v>
      </c>
      <c r="H20" s="291">
        <v>0.5</v>
      </c>
      <c r="I20" s="370">
        <v>1</v>
      </c>
      <c r="J20" s="290">
        <v>0.75</v>
      </c>
      <c r="K20" s="291">
        <v>0.5</v>
      </c>
      <c r="L20" s="320" t="str" cm="1">
        <f t="array" ref="L20">_xll.d.TestUtils_Equal(F20,I20)</f>
        <v>Ok</v>
      </c>
      <c r="M20" s="320" t="str" cm="1">
        <f t="array" ref="M20">_xll.d.TestUtils_Equal(G20,J20)</f>
        <v>Ok</v>
      </c>
      <c r="N20" s="320" t="str" cm="1">
        <f t="array" ref="N20">_xll.d.TestUtils_Equal(H20,K20)</f>
        <v>Ok</v>
      </c>
      <c r="P20" s="371" t="s">
        <v>382</v>
      </c>
      <c r="Q20" s="372"/>
      <c r="R20" s="373"/>
      <c r="T20" s="561" t="str" cm="1">
        <f t="array" ref="T20">_xll.d.Stats_Cholesky(P21:R22)</f>
        <v>#∂Excel Error: Matrix is not square.</v>
      </c>
      <c r="U20" s="563"/>
      <c r="V20" s="563"/>
      <c r="W20" s="563" t="s">
        <v>485</v>
      </c>
      <c r="X20" s="563"/>
      <c r="Y20" s="563"/>
      <c r="Z20" s="320" t="str" cm="1">
        <f t="array" ref="Z20">_xll.d.TestUtils_Equal(T20,W20)</f>
        <v>Ok</v>
      </c>
      <c r="AB20" s="371" t="s">
        <v>382</v>
      </c>
      <c r="AC20" s="372"/>
      <c r="AD20" s="373"/>
      <c r="AF20" s="564" t="str" cm="1">
        <f t="array" ref="AF20">_xll.d.Stats_Cholesky(AB21:AD23)</f>
        <v>#∂Excel Error: Matrix is not symmetric.</v>
      </c>
      <c r="AG20" s="565"/>
      <c r="AH20" s="565"/>
      <c r="AI20" s="567" t="s">
        <v>486</v>
      </c>
      <c r="AJ20" s="565"/>
      <c r="AK20" s="566"/>
      <c r="AL20" s="320" t="str" cm="1">
        <f t="array" ref="AL20">_xll.d.TestUtils_Equal(AF20,AI20)</f>
        <v>Ok</v>
      </c>
      <c r="AN20" s="371" t="s">
        <v>382</v>
      </c>
      <c r="AO20" s="372"/>
      <c r="AP20" s="373"/>
      <c r="AR20" s="564" t="str" cm="1">
        <f t="array" ref="AR20">_xll.d.Stats_Cholesky(AN21:AP23)</f>
        <v>#∂Excel Error: Diagonal elements of the correlation matrix must be 1.</v>
      </c>
      <c r="AS20" s="565"/>
      <c r="AT20" s="565"/>
      <c r="AU20" s="565"/>
      <c r="AV20" s="565" t="s">
        <v>511</v>
      </c>
      <c r="AW20" s="566"/>
      <c r="AX20" s="562"/>
      <c r="AY20" s="562"/>
      <c r="AZ20" s="320" t="str" cm="1">
        <f t="array" ref="AZ20">_xll.d.TestUtils_Equal(AR20,AV20)</f>
        <v>Ok</v>
      </c>
    </row>
    <row r="21" spans="2:53" x14ac:dyDescent="0.25">
      <c r="B21" s="370">
        <v>1</v>
      </c>
      <c r="C21" s="290">
        <v>0.75</v>
      </c>
      <c r="D21" s="291">
        <v>0.5</v>
      </c>
      <c r="E21" s="308"/>
      <c r="F21" s="377">
        <v>0</v>
      </c>
      <c r="G21" s="378">
        <v>0.66143782776614768</v>
      </c>
      <c r="H21" s="379">
        <v>0.56694670951384085</v>
      </c>
      <c r="I21" s="377">
        <v>0</v>
      </c>
      <c r="J21" s="378">
        <v>0.66143782776614768</v>
      </c>
      <c r="K21" s="379">
        <v>0.56694670951384085</v>
      </c>
      <c r="L21" s="320" t="str" cm="1">
        <f t="array" ref="L21">_xll.d.TestUtils_Equal(F21,I21)</f>
        <v>Ok</v>
      </c>
      <c r="M21" s="320" t="str" cm="1">
        <f t="array" ref="M21">_xll.d.TestUtils_Equal(G21,J21)</f>
        <v>Ok</v>
      </c>
      <c r="N21" s="320" t="str" cm="1">
        <f t="array" ref="N21">_xll.d.TestUtils_Equal(H21,K21)</f>
        <v>Ok</v>
      </c>
      <c r="P21" s="370">
        <v>1</v>
      </c>
      <c r="Q21" s="290">
        <v>0.75</v>
      </c>
      <c r="R21" s="291">
        <v>0.5</v>
      </c>
      <c r="S21" s="308"/>
      <c r="U21" s="455"/>
      <c r="V21" s="455"/>
      <c r="X21" s="455"/>
      <c r="Y21" s="455"/>
      <c r="AB21" s="370">
        <v>1</v>
      </c>
      <c r="AC21" s="290">
        <v>0.75</v>
      </c>
      <c r="AD21" s="291">
        <v>10</v>
      </c>
      <c r="AE21" s="308"/>
      <c r="AG21" s="455"/>
      <c r="AH21" s="455"/>
      <c r="AI21" s="455"/>
      <c r="AJ21" s="455"/>
      <c r="AN21" s="370">
        <v>1</v>
      </c>
      <c r="AO21" s="290">
        <v>2</v>
      </c>
      <c r="AP21" s="291">
        <v>3</v>
      </c>
      <c r="AQ21" s="308"/>
      <c r="AS21" s="455"/>
      <c r="AT21" s="455"/>
      <c r="AU21" s="455"/>
      <c r="AW21" s="455"/>
      <c r="AX21" s="455"/>
      <c r="AY21" s="455"/>
    </row>
    <row r="22" spans="2:53" x14ac:dyDescent="0.25">
      <c r="B22" s="377">
        <v>0.75</v>
      </c>
      <c r="C22" s="378">
        <v>1</v>
      </c>
      <c r="D22" s="379">
        <v>0.75</v>
      </c>
      <c r="E22" s="308"/>
      <c r="F22" s="374">
        <v>0</v>
      </c>
      <c r="G22" s="375">
        <v>0</v>
      </c>
      <c r="H22" s="376">
        <v>0.65465367070797709</v>
      </c>
      <c r="I22" s="374">
        <v>0</v>
      </c>
      <c r="J22" s="375">
        <v>0</v>
      </c>
      <c r="K22" s="376">
        <v>0.65465367070797709</v>
      </c>
      <c r="L22" s="320" t="str" cm="1">
        <f t="array" ref="L22">_xll.d.TestUtils_Equal(F22,I22)</f>
        <v>Ok</v>
      </c>
      <c r="M22" s="320" t="str" cm="1">
        <f t="array" ref="M22">_xll.d.TestUtils_Equal(G22,J22)</f>
        <v>Ok</v>
      </c>
      <c r="N22" s="320" t="str" cm="1">
        <f t="array" ref="N22">_xll.d.TestUtils_Equal(H22,K22)</f>
        <v>Ok</v>
      </c>
      <c r="P22" s="374">
        <v>0.75</v>
      </c>
      <c r="Q22" s="375">
        <v>1</v>
      </c>
      <c r="R22" s="376">
        <v>0.75</v>
      </c>
      <c r="S22" s="308"/>
      <c r="U22" s="455"/>
      <c r="V22" s="455"/>
      <c r="X22" s="455"/>
      <c r="Y22" s="455"/>
      <c r="AB22" s="377">
        <v>0.75</v>
      </c>
      <c r="AC22" s="378">
        <v>1</v>
      </c>
      <c r="AD22" s="379">
        <v>0.75</v>
      </c>
      <c r="AE22" s="308"/>
      <c r="AG22" s="455"/>
      <c r="AH22" s="455"/>
      <c r="AI22" s="455"/>
      <c r="AJ22" s="455"/>
      <c r="AN22" s="377">
        <v>2</v>
      </c>
      <c r="AO22" s="378">
        <v>3</v>
      </c>
      <c r="AP22" s="379">
        <v>4</v>
      </c>
      <c r="AQ22" s="308"/>
      <c r="AS22" s="455"/>
      <c r="AT22" s="455"/>
      <c r="AU22" s="455"/>
      <c r="AV22" s="455"/>
      <c r="AX22" s="455"/>
      <c r="AY22" s="455"/>
      <c r="AZ22" s="455"/>
      <c r="BA22" s="455"/>
    </row>
    <row r="23" spans="2:53" x14ac:dyDescent="0.25">
      <c r="B23" s="374">
        <v>0.5</v>
      </c>
      <c r="C23" s="375">
        <v>0.75</v>
      </c>
      <c r="D23" s="376">
        <v>1</v>
      </c>
      <c r="U23" s="455"/>
      <c r="V23" s="455"/>
      <c r="X23" s="455"/>
      <c r="Y23" s="455"/>
      <c r="AB23" s="374">
        <v>0.5</v>
      </c>
      <c r="AC23" s="375">
        <v>0.75</v>
      </c>
      <c r="AD23" s="376">
        <v>1</v>
      </c>
      <c r="AG23" s="455"/>
      <c r="AH23" s="455"/>
      <c r="AI23" s="455"/>
      <c r="AJ23" s="455"/>
      <c r="AN23" s="374">
        <v>3</v>
      </c>
      <c r="AO23" s="375">
        <v>4</v>
      </c>
      <c r="AP23" s="376">
        <v>5</v>
      </c>
      <c r="AS23" s="455"/>
      <c r="AT23" s="455"/>
      <c r="AU23" s="455"/>
      <c r="AV23" s="455"/>
      <c r="AX23" s="455"/>
      <c r="AY23" s="455"/>
      <c r="AZ23" s="455"/>
      <c r="BA23" s="455"/>
    </row>
    <row r="24" spans="2:53" x14ac:dyDescent="0.25">
      <c r="U24" s="455"/>
      <c r="V24" s="455"/>
      <c r="W24" s="455"/>
      <c r="Y24" s="455"/>
      <c r="Z24" s="455"/>
      <c r="AH24" s="455"/>
      <c r="AI24" s="455"/>
      <c r="AJ24" s="455"/>
      <c r="AK24" s="455"/>
      <c r="AS24" s="455"/>
      <c r="AT24" s="455"/>
      <c r="AU24" s="455"/>
      <c r="AW24" s="455"/>
      <c r="AX24" s="455"/>
      <c r="AY24" s="455"/>
    </row>
    <row r="25" spans="2:53" x14ac:dyDescent="0.25">
      <c r="U25" s="455"/>
      <c r="V25" s="455"/>
      <c r="W25" s="455"/>
      <c r="Y25" s="455"/>
      <c r="Z25" s="455"/>
      <c r="AA25" s="455"/>
      <c r="AI25" s="455"/>
      <c r="AJ25" s="455"/>
      <c r="AL25" s="455"/>
      <c r="AS25" s="455"/>
      <c r="AT25" s="455"/>
      <c r="AU25" s="455"/>
      <c r="AW25" s="455"/>
      <c r="AX25" s="455"/>
      <c r="AY25" s="455"/>
    </row>
    <row r="26" spans="2:53" ht="18.75" x14ac:dyDescent="0.3">
      <c r="B26" s="3" t="s">
        <v>379</v>
      </c>
      <c r="C26" s="316"/>
      <c r="D26" s="316"/>
      <c r="E26" s="316"/>
      <c r="F26" s="316"/>
      <c r="G26" s="316"/>
      <c r="H26" s="316"/>
      <c r="I26" s="316"/>
      <c r="J26" s="316"/>
      <c r="K26" s="316"/>
      <c r="L26" s="316"/>
      <c r="M26" s="316"/>
      <c r="N26" s="316"/>
      <c r="O26" s="316"/>
      <c r="P26" s="316"/>
      <c r="Q26" s="316"/>
      <c r="R26" s="316"/>
      <c r="S26" s="316"/>
      <c r="T26" s="316"/>
      <c r="U26" s="316"/>
      <c r="V26" s="316"/>
      <c r="W26" s="316"/>
      <c r="X26" s="316"/>
      <c r="Y26" s="316"/>
      <c r="Z26" s="316"/>
      <c r="AA26" s="316"/>
      <c r="AB26" s="316"/>
      <c r="AC26" s="316"/>
      <c r="AD26" s="316"/>
      <c r="AE26" s="316"/>
      <c r="AF26" s="316"/>
      <c r="AG26" s="316"/>
      <c r="AH26" s="316"/>
      <c r="AI26" s="316"/>
      <c r="AJ26" s="316"/>
      <c r="AK26" s="316"/>
      <c r="AL26" s="316"/>
      <c r="AS26" s="455"/>
      <c r="AT26" s="455"/>
      <c r="AU26" s="455"/>
    </row>
    <row r="28" spans="2:53" x14ac:dyDescent="0.25">
      <c r="B28" s="59" t="s">
        <v>155</v>
      </c>
      <c r="C28" s="310" t="str" cm="1">
        <f t="array" ref="C28">_xll.d.TestUtils_And(L34:M35,AB34:AD36)</f>
        <v>Ok</v>
      </c>
      <c r="D28" s="308"/>
      <c r="E28" s="308"/>
      <c r="F28" s="308"/>
      <c r="G28" s="308"/>
      <c r="H28" s="308"/>
      <c r="I28" s="308"/>
      <c r="J28" s="308"/>
      <c r="K28" s="308"/>
    </row>
    <row r="29" spans="2:53" x14ac:dyDescent="0.25">
      <c r="B29" s="308"/>
      <c r="C29" s="308"/>
      <c r="D29" s="308"/>
      <c r="E29" s="308"/>
      <c r="F29" s="308"/>
      <c r="G29" s="308"/>
      <c r="H29" s="308"/>
      <c r="I29" s="309"/>
      <c r="J29" s="309"/>
      <c r="K29" s="309"/>
    </row>
    <row r="30" spans="2:53" ht="15.75" x14ac:dyDescent="0.25">
      <c r="B30" s="4" t="s">
        <v>386</v>
      </c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O30" s="4" t="s">
        <v>388</v>
      </c>
      <c r="P30" s="317"/>
      <c r="Q30" s="317"/>
      <c r="R30" s="317"/>
      <c r="S30" s="317"/>
      <c r="T30" s="317"/>
      <c r="U30" s="317"/>
      <c r="V30" s="317"/>
      <c r="W30" s="317"/>
      <c r="X30" s="317"/>
      <c r="Y30" s="317"/>
      <c r="Z30" s="317"/>
    </row>
    <row r="31" spans="2:53" x14ac:dyDescent="0.25">
      <c r="B31" s="308"/>
      <c r="C31" s="308"/>
      <c r="D31" s="308"/>
      <c r="E31" s="308"/>
      <c r="F31" s="308"/>
      <c r="G31" s="308"/>
      <c r="H31" s="308"/>
      <c r="I31" s="309"/>
      <c r="J31" s="309"/>
      <c r="K31" s="309"/>
      <c r="O31" s="308"/>
      <c r="P31" s="308"/>
      <c r="Q31" s="308"/>
      <c r="R31" s="308"/>
      <c r="S31" s="308"/>
      <c r="T31" s="308"/>
      <c r="U31" s="308"/>
      <c r="V31" s="309"/>
      <c r="W31" s="309"/>
      <c r="X31" s="309"/>
    </row>
    <row r="32" spans="2:53" x14ac:dyDescent="0.25">
      <c r="B32" s="131" t="s">
        <v>241</v>
      </c>
      <c r="C32" s="202"/>
      <c r="E32" s="131" t="s">
        <v>129</v>
      </c>
      <c r="F32" s="131"/>
      <c r="G32" s="131"/>
      <c r="H32" s="131" t="s">
        <v>243</v>
      </c>
      <c r="I32" s="131"/>
      <c r="J32" s="131"/>
      <c r="K32" s="131" t="s">
        <v>83</v>
      </c>
      <c r="L32" s="351"/>
      <c r="M32" s="351"/>
      <c r="O32" s="131" t="s">
        <v>241</v>
      </c>
      <c r="P32" s="202"/>
      <c r="Q32" s="351"/>
      <c r="S32" s="131" t="s">
        <v>129</v>
      </c>
      <c r="T32" s="131"/>
      <c r="U32" s="131"/>
      <c r="V32" s="131"/>
      <c r="W32" s="131" t="s">
        <v>243</v>
      </c>
      <c r="X32" s="131"/>
      <c r="Y32" s="131"/>
      <c r="Z32" s="131"/>
      <c r="AA32" s="131" t="s">
        <v>83</v>
      </c>
      <c r="AB32" s="351"/>
      <c r="AC32" s="351"/>
      <c r="AD32" s="351"/>
    </row>
    <row r="33" spans="2:31" x14ac:dyDescent="0.25">
      <c r="B33" s="380" t="s">
        <v>367</v>
      </c>
      <c r="C33" s="381" t="s">
        <v>366</v>
      </c>
      <c r="E33" s="395"/>
      <c r="F33" s="393" t="s">
        <v>367</v>
      </c>
      <c r="G33" s="307" t="s">
        <v>366</v>
      </c>
      <c r="H33" s="395"/>
      <c r="I33" s="393" t="s">
        <v>367</v>
      </c>
      <c r="J33" s="307" t="s">
        <v>366</v>
      </c>
      <c r="K33" s="395"/>
      <c r="L33" s="393" t="s">
        <v>367</v>
      </c>
      <c r="M33" s="307" t="s">
        <v>366</v>
      </c>
      <c r="O33" s="380" t="s">
        <v>367</v>
      </c>
      <c r="P33" s="403" t="s">
        <v>366</v>
      </c>
      <c r="Q33" s="402" t="s">
        <v>387</v>
      </c>
      <c r="S33" s="395"/>
      <c r="T33" s="393" t="s">
        <v>367</v>
      </c>
      <c r="U33" s="406" t="s">
        <v>366</v>
      </c>
      <c r="V33" s="404" t="s">
        <v>387</v>
      </c>
      <c r="W33" s="395"/>
      <c r="X33" s="393" t="s">
        <v>367</v>
      </c>
      <c r="Y33" s="406" t="s">
        <v>366</v>
      </c>
      <c r="Z33" s="404" t="s">
        <v>387</v>
      </c>
      <c r="AA33" s="395"/>
      <c r="AB33" s="393" t="s">
        <v>367</v>
      </c>
      <c r="AC33" s="406" t="s">
        <v>366</v>
      </c>
      <c r="AD33" s="404" t="s">
        <v>387</v>
      </c>
    </row>
    <row r="34" spans="2:31" x14ac:dyDescent="0.25">
      <c r="B34" s="382">
        <v>1</v>
      </c>
      <c r="C34" s="383">
        <v>0.5</v>
      </c>
      <c r="D34" s="308"/>
      <c r="E34" s="394" t="s">
        <v>367</v>
      </c>
      <c r="F34" s="389" cm="1">
        <f t="array" ref="F34:G35">_xll.d.Stats_CorrelationMatrix(B34:C39)</f>
        <v>1</v>
      </c>
      <c r="G34" s="388">
        <v>0.9855793842654561</v>
      </c>
      <c r="H34" s="394" t="s">
        <v>367</v>
      </c>
      <c r="I34" s="389">
        <f>CORREL(B34:B39,B34:B39)</f>
        <v>1</v>
      </c>
      <c r="J34" s="388">
        <f>CORREL(B34:B39,C34:C39)</f>
        <v>0.98557938426545633</v>
      </c>
      <c r="K34" s="394" t="s">
        <v>367</v>
      </c>
      <c r="L34" s="320" t="str" cm="1">
        <f t="array" ref="L34">_xll.d.TestUtils_Equal(F34,I34)</f>
        <v>Ok</v>
      </c>
      <c r="M34" s="320" t="str" cm="1">
        <f t="array" ref="M34">_xll.d.TestUtils_Equal(G34,J34)</f>
        <v>Ok</v>
      </c>
      <c r="O34" s="382">
        <v>1</v>
      </c>
      <c r="P34" s="399">
        <v>0.5</v>
      </c>
      <c r="Q34" s="396">
        <v>6.5</v>
      </c>
      <c r="R34" s="308"/>
      <c r="S34" s="394" t="s">
        <v>367</v>
      </c>
      <c r="T34" s="389" cm="1">
        <f t="array" ref="T34:V36">_xll.d.Stats_CorrelationMatrix(O34:Q39)</f>
        <v>1</v>
      </c>
      <c r="U34" s="408">
        <v>0.9855793842654561</v>
      </c>
      <c r="V34" s="407">
        <v>-0.96679334300694564</v>
      </c>
      <c r="W34" s="394" t="s">
        <v>367</v>
      </c>
      <c r="X34" s="389">
        <f>CORREL($O$34:$O$39,O$34:O$39)</f>
        <v>1</v>
      </c>
      <c r="Y34" s="408">
        <f>CORREL($O$34:$O$39,P$34:P$39)</f>
        <v>0.98557938426545633</v>
      </c>
      <c r="Z34" s="407">
        <f>CORREL($O$34:$O$39,Q$34:Q$39)</f>
        <v>-0.96679334300694575</v>
      </c>
      <c r="AA34" s="394" t="s">
        <v>367</v>
      </c>
      <c r="AB34" s="320" t="str" cm="1">
        <f t="array" ref="AB34">_xll.d.TestUtils_Equal(T34,X34)</f>
        <v>Ok</v>
      </c>
      <c r="AC34" s="320" t="str" cm="1">
        <f t="array" ref="AC34">_xll.d.TestUtils_Equal(U34,Y34)</f>
        <v>Ok</v>
      </c>
      <c r="AD34" s="320" t="str" cm="1">
        <f t="array" ref="AD34">_xll.d.TestUtils_Equal(V34,Z34)</f>
        <v>Ok</v>
      </c>
    </row>
    <row r="35" spans="2:31" x14ac:dyDescent="0.25">
      <c r="B35" s="384">
        <v>2</v>
      </c>
      <c r="C35" s="385">
        <v>2.2000000000000002</v>
      </c>
      <c r="D35" s="308"/>
      <c r="E35" s="302" t="s">
        <v>366</v>
      </c>
      <c r="F35" s="390">
        <v>0.9855793842654561</v>
      </c>
      <c r="G35" s="376">
        <v>1</v>
      </c>
      <c r="H35" s="302" t="s">
        <v>366</v>
      </c>
      <c r="I35" s="390">
        <f>CORREL(B34:B39,C34:C39)</f>
        <v>0.98557938426545633</v>
      </c>
      <c r="J35" s="376">
        <f>CORREL(C34:C39,C34:C39)</f>
        <v>1.0000000000000002</v>
      </c>
      <c r="K35" s="302" t="s">
        <v>366</v>
      </c>
      <c r="L35" s="320" t="str" cm="1">
        <f t="array" ref="L35">_xll.d.TestUtils_Equal(F35,I35)</f>
        <v>Ok</v>
      </c>
      <c r="M35" s="320" t="str" cm="1">
        <f t="array" ref="M35">_xll.d.TestUtils_Equal(G35,J35)</f>
        <v>Ok</v>
      </c>
      <c r="O35" s="384">
        <v>2</v>
      </c>
      <c r="P35" s="400">
        <v>2.2000000000000002</v>
      </c>
      <c r="Q35" s="397">
        <v>5.2</v>
      </c>
      <c r="R35" s="308"/>
      <c r="S35" s="391" t="s">
        <v>366</v>
      </c>
      <c r="T35" s="409">
        <v>0.9855793842654561</v>
      </c>
      <c r="U35" s="411">
        <v>1</v>
      </c>
      <c r="V35" s="412">
        <v>-0.9461544177169412</v>
      </c>
      <c r="W35" s="391" t="s">
        <v>366</v>
      </c>
      <c r="X35" s="409">
        <f>CORREL(O$34:O$39,$P$34:$P$39)</f>
        <v>0.98557938426545633</v>
      </c>
      <c r="Y35" s="411">
        <f>CORREL(P$34:P$39,$P$34:$P$39)</f>
        <v>1.0000000000000002</v>
      </c>
      <c r="Z35" s="412">
        <f>CORREL(Q$34:Q$39,$P$34:$P$39)</f>
        <v>-0.94615441771694131</v>
      </c>
      <c r="AA35" s="391" t="s">
        <v>366</v>
      </c>
      <c r="AB35" s="320" t="str" cm="1">
        <f t="array" ref="AB35">_xll.d.TestUtils_Equal(T35,X35)</f>
        <v>Ok</v>
      </c>
      <c r="AC35" s="320" t="str" cm="1">
        <f t="array" ref="AC35">_xll.d.TestUtils_Equal(U35,Y35)</f>
        <v>Ok</v>
      </c>
      <c r="AD35" s="320" t="str" cm="1">
        <f t="array" ref="AD35">_xll.d.TestUtils_Equal(V35,Z35)</f>
        <v>Ok</v>
      </c>
    </row>
    <row r="36" spans="2:31" x14ac:dyDescent="0.25">
      <c r="B36" s="384">
        <v>3</v>
      </c>
      <c r="C36" s="385">
        <v>2.9</v>
      </c>
      <c r="O36" s="384">
        <v>3</v>
      </c>
      <c r="P36" s="400">
        <v>2.9</v>
      </c>
      <c r="Q36" s="397">
        <v>4.9000000000000004</v>
      </c>
      <c r="S36" s="392" t="s">
        <v>387</v>
      </c>
      <c r="T36" s="390">
        <v>-0.96679334300694564</v>
      </c>
      <c r="U36" s="410">
        <v>-0.9461544177169412</v>
      </c>
      <c r="V36" s="405">
        <v>1</v>
      </c>
      <c r="W36" s="392" t="s">
        <v>387</v>
      </c>
      <c r="X36" s="390">
        <f>CORREL(O$34:O$39,$Q$34:$Q$39)</f>
        <v>-0.96679334300694575</v>
      </c>
      <c r="Y36" s="410">
        <f>CORREL(P$34:P$39,$Q$34:$Q$39)</f>
        <v>-0.94615441771694131</v>
      </c>
      <c r="Z36" s="405">
        <f>CORREL(Q$34:Q$39,$Q$34:$Q$39)</f>
        <v>0.99999999999999978</v>
      </c>
      <c r="AA36" s="392" t="s">
        <v>387</v>
      </c>
      <c r="AB36" s="320" t="str" cm="1">
        <f t="array" ref="AB36">_xll.d.TestUtils_Equal(T36,X36)</f>
        <v>Ok</v>
      </c>
      <c r="AC36" s="320" t="str" cm="1">
        <f t="array" ref="AC36">_xll.d.TestUtils_Equal(U36,Y36)</f>
        <v>Ok</v>
      </c>
      <c r="AD36" s="320" t="str" cm="1">
        <f t="array" ref="AD36">_xll.d.TestUtils_Equal(V36,Z36)</f>
        <v>Ok</v>
      </c>
    </row>
    <row r="37" spans="2:31" x14ac:dyDescent="0.25">
      <c r="B37" s="384">
        <v>4</v>
      </c>
      <c r="C37" s="385">
        <v>4.2</v>
      </c>
      <c r="O37" s="384">
        <v>4</v>
      </c>
      <c r="P37" s="400">
        <v>4.2</v>
      </c>
      <c r="Q37" s="397">
        <v>4</v>
      </c>
    </row>
    <row r="38" spans="2:31" x14ac:dyDescent="0.25">
      <c r="B38" s="384">
        <v>5</v>
      </c>
      <c r="C38" s="385">
        <v>5</v>
      </c>
      <c r="O38" s="384">
        <v>5</v>
      </c>
      <c r="P38" s="400">
        <v>5</v>
      </c>
      <c r="Q38" s="397">
        <v>3.8</v>
      </c>
    </row>
    <row r="39" spans="2:31" x14ac:dyDescent="0.25">
      <c r="B39" s="386">
        <v>6</v>
      </c>
      <c r="C39" s="387">
        <v>5.5</v>
      </c>
      <c r="O39" s="386">
        <v>6</v>
      </c>
      <c r="P39" s="401">
        <v>5.5</v>
      </c>
      <c r="Q39" s="398">
        <v>1.9</v>
      </c>
    </row>
    <row r="42" spans="2:31" ht="18.75" x14ac:dyDescent="0.3">
      <c r="B42" s="3" t="s">
        <v>380</v>
      </c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316"/>
      <c r="S42" s="316"/>
      <c r="T42" s="316"/>
      <c r="U42" s="316"/>
      <c r="V42" s="316"/>
      <c r="W42" s="316"/>
      <c r="X42" s="316"/>
      <c r="Y42" s="316"/>
      <c r="Z42" s="316"/>
      <c r="AA42" s="316"/>
      <c r="AB42" s="316"/>
      <c r="AC42" s="316"/>
      <c r="AD42" s="316"/>
      <c r="AE42" s="316"/>
    </row>
    <row r="44" spans="2:31" x14ac:dyDescent="0.25">
      <c r="B44" s="59" t="s">
        <v>155</v>
      </c>
      <c r="C44" s="310" t="str" cm="1">
        <f t="array" aca="1" ref="C44" ca="1">_xll.d.TestUtils_And(J53:K53,S53:T53,AD53:AE53)</f>
        <v>Ok</v>
      </c>
      <c r="D44" s="308"/>
      <c r="E44" s="308"/>
      <c r="F44" s="308"/>
      <c r="G44" s="308"/>
      <c r="H44" s="308"/>
      <c r="I44" s="308"/>
      <c r="J44" s="308"/>
      <c r="K44" s="308"/>
    </row>
    <row r="45" spans="2:31" x14ac:dyDescent="0.25">
      <c r="B45" s="308"/>
      <c r="C45" s="308"/>
      <c r="D45" s="308"/>
      <c r="E45" s="308"/>
      <c r="F45" s="308"/>
      <c r="G45" s="308"/>
      <c r="H45" s="308"/>
      <c r="I45" s="309"/>
      <c r="J45" s="309"/>
      <c r="K45" s="309"/>
    </row>
    <row r="46" spans="2:31" ht="15.75" x14ac:dyDescent="0.25">
      <c r="B46" s="4" t="s">
        <v>392</v>
      </c>
      <c r="C46" s="317"/>
      <c r="D46" s="317"/>
      <c r="E46" s="317"/>
      <c r="F46" s="317"/>
      <c r="G46" s="317"/>
      <c r="H46" s="317"/>
      <c r="I46" s="317"/>
      <c r="J46" s="317"/>
      <c r="K46" s="317"/>
      <c r="M46" s="4" t="s">
        <v>393</v>
      </c>
      <c r="N46" s="317"/>
      <c r="O46" s="317"/>
      <c r="P46" s="317"/>
      <c r="Q46" s="317"/>
      <c r="R46" s="317"/>
      <c r="S46" s="317"/>
      <c r="T46" s="317"/>
      <c r="V46" s="4" t="s">
        <v>499</v>
      </c>
      <c r="W46" s="317"/>
      <c r="X46" s="317"/>
      <c r="Y46" s="317"/>
      <c r="Z46" s="317"/>
      <c r="AA46" s="317"/>
      <c r="AB46" s="317"/>
      <c r="AC46" s="317"/>
      <c r="AD46" s="317"/>
      <c r="AE46" s="317"/>
    </row>
    <row r="47" spans="2:31" x14ac:dyDescent="0.25">
      <c r="B47" s="497" t="s">
        <v>504</v>
      </c>
      <c r="V47" s="497" t="s">
        <v>503</v>
      </c>
      <c r="W47" s="455"/>
      <c r="X47" s="455"/>
      <c r="Y47" s="455"/>
      <c r="Z47" s="455"/>
      <c r="AA47" s="455"/>
      <c r="AB47" s="455"/>
      <c r="AC47" s="455"/>
      <c r="AD47" s="455"/>
      <c r="AE47" s="455"/>
    </row>
    <row r="48" spans="2:31" s="455" customFormat="1" x14ac:dyDescent="0.25">
      <c r="B48" s="497" t="s">
        <v>501</v>
      </c>
      <c r="V48" s="497" t="s">
        <v>502</v>
      </c>
    </row>
    <row r="49" spans="2:31" x14ac:dyDescent="0.25">
      <c r="B49" s="413" t="s">
        <v>241</v>
      </c>
      <c r="D49" s="131" t="s">
        <v>129</v>
      </c>
      <c r="E49" s="202"/>
      <c r="F49" s="202"/>
      <c r="G49" s="202"/>
      <c r="H49" s="132"/>
      <c r="J49" s="131" t="s">
        <v>390</v>
      </c>
      <c r="K49" s="132" t="s">
        <v>391</v>
      </c>
      <c r="M49" s="131" t="s">
        <v>129</v>
      </c>
      <c r="N49" s="202"/>
      <c r="O49" s="202"/>
      <c r="P49" s="202"/>
      <c r="Q49" s="132"/>
      <c r="S49" s="131" t="s">
        <v>390</v>
      </c>
      <c r="T49" s="132" t="s">
        <v>391</v>
      </c>
      <c r="V49" s="413" t="s">
        <v>241</v>
      </c>
      <c r="W49" s="455"/>
      <c r="X49" s="131" t="s">
        <v>129</v>
      </c>
      <c r="Y49" s="202"/>
      <c r="Z49" s="202"/>
      <c r="AA49" s="202"/>
      <c r="AB49" s="132"/>
      <c r="AC49" s="455"/>
      <c r="AD49" s="131" t="s">
        <v>390</v>
      </c>
      <c r="AE49" s="132" t="s">
        <v>391</v>
      </c>
    </row>
    <row r="50" spans="2:31" x14ac:dyDescent="0.25">
      <c r="B50" s="414" t="s">
        <v>389</v>
      </c>
      <c r="D50" s="133">
        <f t="array" aca="1" ref="D50:H89" ca="1">_xll.d.Stats_NormalRandomNumbers(B51)</f>
        <v>-0.63711590014289476</v>
      </c>
      <c r="E50" s="330">
        <f ca="1"/>
        <v>0.70685522048944815</v>
      </c>
      <c r="F50" s="330">
        <f ca="1"/>
        <v>-0.31907668375768672</v>
      </c>
      <c r="G50" s="330">
        <f ca="1"/>
        <v>-0.40991003456258013</v>
      </c>
      <c r="H50" s="134">
        <f ca="1"/>
        <v>0.59461000541069997</v>
      </c>
      <c r="J50" s="415">
        <f ca="1">AVERAGE(D50:H89)</f>
        <v>9.2097931892436341E-2</v>
      </c>
      <c r="K50" s="348">
        <f ca="1">_xlfn.STDEV.S(D50:H89)</f>
        <v>0.96390177576967329</v>
      </c>
      <c r="M50" s="133">
        <f t="array" aca="1" ref="M50:Q89" ca="1">_xll.d.Stats_NormalRandomNumbers()</f>
        <v>0.12266422347557041</v>
      </c>
      <c r="N50" s="330">
        <f ca="1"/>
        <v>2.0260143493047735</v>
      </c>
      <c r="O50" s="330">
        <f ca="1"/>
        <v>-0.3597744598482463</v>
      </c>
      <c r="P50" s="330">
        <f ca="1"/>
        <v>-0.99870179068510367</v>
      </c>
      <c r="Q50" s="134">
        <f ca="1"/>
        <v>-0.47334600318902004</v>
      </c>
      <c r="S50" s="415">
        <f ca="1">AVERAGE(M50:Q89)</f>
        <v>4.7218542374995965E-3</v>
      </c>
      <c r="T50" s="348">
        <f ca="1">_xlfn.STDEV.S(M50:Q89)</f>
        <v>0.98785286456205679</v>
      </c>
      <c r="V50" s="414" t="s">
        <v>389</v>
      </c>
      <c r="W50" s="455"/>
      <c r="X50" s="133" cm="1">
        <f t="array" aca="1" ref="X50:AB89" ca="1">_xll.d.Stats_NormalRandomNumbers(V51,40,5)</f>
        <v>-0.63711590014289476</v>
      </c>
      <c r="Y50" s="330">
        <f ca="1"/>
        <v>0.70685522048944815</v>
      </c>
      <c r="Z50" s="330">
        <f ca="1"/>
        <v>-0.31907668375768672</v>
      </c>
      <c r="AA50" s="330">
        <f ca="1"/>
        <v>-0.40991003456258013</v>
      </c>
      <c r="AB50" s="134">
        <f ca="1"/>
        <v>0.59461000541069997</v>
      </c>
      <c r="AC50" s="455"/>
      <c r="AD50" s="415">
        <f ca="1">AVERAGE(X50:AB89)</f>
        <v>9.2097931892436341E-2</v>
      </c>
      <c r="AE50" s="348">
        <f ca="1">_xlfn.STDEV.S(X50:AB89)</f>
        <v>0.96390177576967329</v>
      </c>
    </row>
    <row r="51" spans="2:31" x14ac:dyDescent="0.25">
      <c r="B51" s="416">
        <v>1337</v>
      </c>
      <c r="D51" s="135">
        <f ca="1"/>
        <v>0.15231246463563991</v>
      </c>
      <c r="E51" s="289">
        <f ca="1"/>
        <v>-0.33198021492010854</v>
      </c>
      <c r="F51" s="289">
        <f ca="1"/>
        <v>0.33468800840166441</v>
      </c>
      <c r="G51" s="289">
        <f ca="1"/>
        <v>2.1988514227094039E-2</v>
      </c>
      <c r="H51" s="136">
        <f ca="1"/>
        <v>-1.570800215687598</v>
      </c>
      <c r="M51" s="135">
        <f ca="1"/>
        <v>0.23486854106592239</v>
      </c>
      <c r="N51" s="289">
        <f ca="1"/>
        <v>-6.6203161185735923E-2</v>
      </c>
      <c r="O51" s="289">
        <f ca="1"/>
        <v>0.2873124687136604</v>
      </c>
      <c r="P51" s="289">
        <f ca="1"/>
        <v>-0.41790683497977721</v>
      </c>
      <c r="Q51" s="136">
        <f ca="1"/>
        <v>1.1773691096913981</v>
      </c>
      <c r="V51" s="416">
        <v>1337</v>
      </c>
      <c r="W51" s="455"/>
      <c r="X51" s="135">
        <f ca="1"/>
        <v>0.15231246463563991</v>
      </c>
      <c r="Y51" s="289">
        <f ca="1"/>
        <v>-0.33198021492010854</v>
      </c>
      <c r="Z51" s="289">
        <f ca="1"/>
        <v>0.33468800840166441</v>
      </c>
      <c r="AA51" s="289">
        <f ca="1"/>
        <v>2.1988514227094039E-2</v>
      </c>
      <c r="AB51" s="136">
        <f ca="1"/>
        <v>-1.570800215687598</v>
      </c>
      <c r="AC51" s="455"/>
      <c r="AD51" s="455"/>
      <c r="AE51" s="455"/>
    </row>
    <row r="52" spans="2:31" x14ac:dyDescent="0.25">
      <c r="D52" s="135">
        <f ca="1"/>
        <v>-0.9998813019474484</v>
      </c>
      <c r="E52" s="289">
        <f ca="1"/>
        <v>-0.88600131746401845</v>
      </c>
      <c r="F52" s="289">
        <f ca="1"/>
        <v>0.50499676151927686</v>
      </c>
      <c r="G52" s="289">
        <f ca="1"/>
        <v>0.59135175634258896</v>
      </c>
      <c r="H52" s="136">
        <f ca="1"/>
        <v>0.81695537082956271</v>
      </c>
      <c r="J52" s="131" t="s">
        <v>83</v>
      </c>
      <c r="K52" s="131"/>
      <c r="M52" s="135">
        <f ca="1"/>
        <v>0.56860936194591039</v>
      </c>
      <c r="N52" s="289">
        <f ca="1"/>
        <v>0.83861948605974246</v>
      </c>
      <c r="O52" s="289">
        <f ca="1"/>
        <v>-0.15849862338941334</v>
      </c>
      <c r="P52" s="289">
        <f ca="1"/>
        <v>-1.2245355120079864</v>
      </c>
      <c r="Q52" s="136">
        <f ca="1"/>
        <v>-0.21659244148250961</v>
      </c>
      <c r="S52" s="131" t="s">
        <v>83</v>
      </c>
      <c r="T52" s="131"/>
      <c r="V52" s="455"/>
      <c r="W52" s="455"/>
      <c r="X52" s="135">
        <f ca="1"/>
        <v>-0.9998813019474484</v>
      </c>
      <c r="Y52" s="289">
        <f ca="1"/>
        <v>-0.88600131746401845</v>
      </c>
      <c r="Z52" s="289">
        <f ca="1"/>
        <v>0.50499676151927686</v>
      </c>
      <c r="AA52" s="289">
        <f ca="1"/>
        <v>0.59135175634258896</v>
      </c>
      <c r="AB52" s="136">
        <f ca="1"/>
        <v>0.81695537082956271</v>
      </c>
      <c r="AC52" s="455"/>
      <c r="AD52" s="131" t="s">
        <v>83</v>
      </c>
      <c r="AE52" s="131"/>
    </row>
    <row r="53" spans="2:31" x14ac:dyDescent="0.25">
      <c r="D53" s="135">
        <f ca="1"/>
        <v>-0.79747485963926357</v>
      </c>
      <c r="E53" s="289">
        <f ca="1"/>
        <v>-6.1108551057670997E-2</v>
      </c>
      <c r="F53" s="289">
        <f ca="1"/>
        <v>0.863608628387463</v>
      </c>
      <c r="G53" s="289">
        <f ca="1"/>
        <v>-1.0507271193416956</v>
      </c>
      <c r="H53" s="136">
        <f ca="1"/>
        <v>0.4991414877992304</v>
      </c>
      <c r="J53" s="320" t="str" cm="1">
        <f t="array" aca="1" ref="J53" ca="1">_xll.d.TestUtils_Equal(ABS(J50-0)&lt;0.1,TRUE)</f>
        <v>Ok</v>
      </c>
      <c r="K53" s="320" t="str" cm="1">
        <f t="array" aca="1" ref="K53" ca="1">_xll.d.TestUtils_Equal(ABS(K50-1)&lt;0.1,TRUE)</f>
        <v>Ok</v>
      </c>
      <c r="M53" s="135">
        <f ca="1"/>
        <v>1.0121454543304982</v>
      </c>
      <c r="N53" s="289">
        <f ca="1"/>
        <v>0.84487883078025894</v>
      </c>
      <c r="O53" s="289">
        <f ca="1"/>
        <v>1.2950504002461061</v>
      </c>
      <c r="P53" s="289">
        <f ca="1"/>
        <v>0.45307414049496852</v>
      </c>
      <c r="Q53" s="136">
        <f ca="1"/>
        <v>1.3933001203930773</v>
      </c>
      <c r="S53" s="320" t="str" cm="1">
        <f t="array" aca="1" ref="S53" ca="1">_xll.d.TestUtils_Equal(ABS(S50-0)&lt;0.1,TRUE)</f>
        <v>Ok</v>
      </c>
      <c r="T53" s="320" t="str" cm="1">
        <f t="array" aca="1" ref="T53" ca="1">_xll.d.TestUtils_Equal(ABS(T50-1)&lt;0.1,TRUE)</f>
        <v>Ok</v>
      </c>
      <c r="V53" s="455"/>
      <c r="W53" s="455"/>
      <c r="X53" s="135">
        <f ca="1"/>
        <v>-0.79747485963926357</v>
      </c>
      <c r="Y53" s="289">
        <f ca="1"/>
        <v>-6.1108551057670997E-2</v>
      </c>
      <c r="Z53" s="289">
        <f ca="1"/>
        <v>0.863608628387463</v>
      </c>
      <c r="AA53" s="289">
        <f ca="1"/>
        <v>-1.0507271193416956</v>
      </c>
      <c r="AB53" s="136">
        <f ca="1"/>
        <v>0.4991414877992304</v>
      </c>
      <c r="AC53" s="455"/>
      <c r="AD53" s="320" t="str" cm="1">
        <f t="array" aca="1" ref="AD53" ca="1">_xll.d.TestUtils_Equal(ABS(AD50-0)&lt;0.1,TRUE)</f>
        <v>Ok</v>
      </c>
      <c r="AE53" s="320" t="str" cm="1">
        <f t="array" aca="1" ref="AE53" ca="1">_xll.d.TestUtils_Equal(ABS(AE50-1)&lt;0.1,TRUE)</f>
        <v>Ok</v>
      </c>
    </row>
    <row r="54" spans="2:31" x14ac:dyDescent="0.25">
      <c r="D54" s="135">
        <f ca="1"/>
        <v>-0.5884160994078016</v>
      </c>
      <c r="E54" s="289">
        <f ca="1"/>
        <v>-0.55874715130596764</v>
      </c>
      <c r="F54" s="289">
        <f ca="1"/>
        <v>-2.7587630599172877</v>
      </c>
      <c r="G54" s="289">
        <f ca="1"/>
        <v>-2.2939473468112239</v>
      </c>
      <c r="H54" s="136">
        <f ca="1"/>
        <v>-0.38120894845031827</v>
      </c>
      <c r="M54" s="135">
        <f ca="1"/>
        <v>0.26050629623141941</v>
      </c>
      <c r="N54" s="289">
        <f ca="1"/>
        <v>-9.6707447133391369E-2</v>
      </c>
      <c r="O54" s="289">
        <f ca="1"/>
        <v>0.51759967418338659</v>
      </c>
      <c r="P54" s="289">
        <f ca="1"/>
        <v>0.40246639382141203</v>
      </c>
      <c r="Q54" s="136">
        <f ca="1"/>
        <v>-1.5208598870893701</v>
      </c>
      <c r="V54" s="455"/>
      <c r="W54" s="455"/>
      <c r="X54" s="135">
        <f ca="1"/>
        <v>-0.5884160994078016</v>
      </c>
      <c r="Y54" s="289">
        <f ca="1"/>
        <v>-0.55874715130596764</v>
      </c>
      <c r="Z54" s="289">
        <f ca="1"/>
        <v>-2.7587630599172877</v>
      </c>
      <c r="AA54" s="289">
        <f ca="1"/>
        <v>-2.2939473468112239</v>
      </c>
      <c r="AB54" s="136">
        <f ca="1"/>
        <v>-0.38120894845031827</v>
      </c>
      <c r="AC54" s="455"/>
      <c r="AD54" s="455"/>
      <c r="AE54" s="455"/>
    </row>
    <row r="55" spans="2:31" x14ac:dyDescent="0.25">
      <c r="D55" s="135">
        <f ca="1"/>
        <v>0.10819798524690837</v>
      </c>
      <c r="E55" s="289">
        <f ca="1"/>
        <v>1.0965073943909254</v>
      </c>
      <c r="F55" s="289">
        <f ca="1"/>
        <v>0.46240265761130123</v>
      </c>
      <c r="G55" s="289">
        <f ca="1"/>
        <v>0.48984251587331651</v>
      </c>
      <c r="H55" s="136">
        <f ca="1"/>
        <v>-2.25076658419695</v>
      </c>
      <c r="M55" s="135">
        <f ca="1"/>
        <v>1.0711349389745428</v>
      </c>
      <c r="N55" s="289">
        <f ca="1"/>
        <v>5.1351992091935056E-2</v>
      </c>
      <c r="O55" s="289">
        <f ca="1"/>
        <v>-1.2856629896340797</v>
      </c>
      <c r="P55" s="289">
        <f ca="1"/>
        <v>-0.47553809167663869</v>
      </c>
      <c r="Q55" s="136">
        <f ca="1"/>
        <v>-0.78297078820803756</v>
      </c>
      <c r="V55" s="455"/>
      <c r="W55" s="455"/>
      <c r="X55" s="135">
        <f ca="1"/>
        <v>0.10819798524690837</v>
      </c>
      <c r="Y55" s="289">
        <f ca="1"/>
        <v>1.0965073943909254</v>
      </c>
      <c r="Z55" s="289">
        <f ca="1"/>
        <v>0.46240265761130123</v>
      </c>
      <c r="AA55" s="289">
        <f ca="1"/>
        <v>0.48984251587331651</v>
      </c>
      <c r="AB55" s="136">
        <f ca="1"/>
        <v>-2.25076658419695</v>
      </c>
      <c r="AC55" s="455"/>
      <c r="AD55" s="455"/>
      <c r="AE55" s="455"/>
    </row>
    <row r="56" spans="2:31" x14ac:dyDescent="0.25">
      <c r="D56" s="135">
        <f ca="1"/>
        <v>-0.10215483425175563</v>
      </c>
      <c r="E56" s="289">
        <f ca="1"/>
        <v>0.44051757578957157</v>
      </c>
      <c r="F56" s="289">
        <f ca="1"/>
        <v>-0.33389589259671326</v>
      </c>
      <c r="G56" s="289">
        <f ca="1"/>
        <v>0.70615194140562998</v>
      </c>
      <c r="H56" s="136">
        <f ca="1"/>
        <v>1.3386245087251876</v>
      </c>
      <c r="M56" s="135">
        <f ca="1"/>
        <v>0.11274383783052491</v>
      </c>
      <c r="N56" s="289">
        <f ca="1"/>
        <v>0.77398164003109893</v>
      </c>
      <c r="O56" s="289">
        <f ca="1"/>
        <v>-1.5528836522498293</v>
      </c>
      <c r="P56" s="289">
        <f ca="1"/>
        <v>-1.0885193500170471</v>
      </c>
      <c r="Q56" s="136">
        <f ca="1"/>
        <v>0.50286987657510207</v>
      </c>
      <c r="V56" s="455"/>
      <c r="W56" s="455"/>
      <c r="X56" s="135">
        <f ca="1"/>
        <v>-0.10215483425175563</v>
      </c>
      <c r="Y56" s="289">
        <f ca="1"/>
        <v>0.44051757578957157</v>
      </c>
      <c r="Z56" s="289">
        <f ca="1"/>
        <v>-0.33389589259671326</v>
      </c>
      <c r="AA56" s="289">
        <f ca="1"/>
        <v>0.70615194140562998</v>
      </c>
      <c r="AB56" s="136">
        <f ca="1"/>
        <v>1.3386245087251876</v>
      </c>
      <c r="AC56" s="455"/>
      <c r="AD56" s="455"/>
      <c r="AE56" s="455"/>
    </row>
    <row r="57" spans="2:31" x14ac:dyDescent="0.25">
      <c r="D57" s="135">
        <f ca="1"/>
        <v>-1.8253861328037648</v>
      </c>
      <c r="E57" s="289">
        <f ca="1"/>
        <v>-0.24037216180075424</v>
      </c>
      <c r="F57" s="289">
        <f ca="1"/>
        <v>1.028058069270616</v>
      </c>
      <c r="G57" s="289">
        <f ca="1"/>
        <v>1.2259167836294167</v>
      </c>
      <c r="H57" s="136">
        <f ca="1"/>
        <v>-0.33280389867021648</v>
      </c>
      <c r="M57" s="135">
        <f ca="1"/>
        <v>1.0247174529864618</v>
      </c>
      <c r="N57" s="289">
        <f ca="1"/>
        <v>0.46456788825317025</v>
      </c>
      <c r="O57" s="289">
        <f ca="1"/>
        <v>1.8779948997892317</v>
      </c>
      <c r="P57" s="289">
        <f ca="1"/>
        <v>0.7666173840357986</v>
      </c>
      <c r="Q57" s="136">
        <f ca="1"/>
        <v>0.16413830370427598</v>
      </c>
      <c r="V57" s="455"/>
      <c r="W57" s="455"/>
      <c r="X57" s="135">
        <f ca="1"/>
        <v>-1.8253861328037648</v>
      </c>
      <c r="Y57" s="289">
        <f ca="1"/>
        <v>-0.24037216180075424</v>
      </c>
      <c r="Z57" s="289">
        <f ca="1"/>
        <v>1.028058069270616</v>
      </c>
      <c r="AA57" s="289">
        <f ca="1"/>
        <v>1.2259167836294167</v>
      </c>
      <c r="AB57" s="136">
        <f ca="1"/>
        <v>-0.33280389867021648</v>
      </c>
      <c r="AC57" s="455"/>
      <c r="AD57" s="455"/>
      <c r="AE57" s="455"/>
    </row>
    <row r="58" spans="2:31" x14ac:dyDescent="0.25">
      <c r="D58" s="135">
        <f ca="1"/>
        <v>-0.46490277119672319</v>
      </c>
      <c r="E58" s="289">
        <f ca="1"/>
        <v>-8.8166823894022877E-4</v>
      </c>
      <c r="F58" s="289">
        <f ca="1"/>
        <v>-1.5659571515789519</v>
      </c>
      <c r="G58" s="289">
        <f ca="1"/>
        <v>0.44378998344608472</v>
      </c>
      <c r="H58" s="136">
        <f ca="1"/>
        <v>0.56184004420843314</v>
      </c>
      <c r="M58" s="135">
        <f ca="1"/>
        <v>-0.19255231433210082</v>
      </c>
      <c r="N58" s="289">
        <f ca="1"/>
        <v>-1.1836570492378735</v>
      </c>
      <c r="O58" s="289">
        <f ca="1"/>
        <v>0.43100246597129827</v>
      </c>
      <c r="P58" s="289">
        <f ca="1"/>
        <v>-0.8538922151022309</v>
      </c>
      <c r="Q58" s="136">
        <f ca="1"/>
        <v>0.16772820889067627</v>
      </c>
      <c r="V58" s="455"/>
      <c r="W58" s="455"/>
      <c r="X58" s="135">
        <f ca="1"/>
        <v>-0.46490277119672319</v>
      </c>
      <c r="Y58" s="289">
        <f ca="1"/>
        <v>-8.8166823894022877E-4</v>
      </c>
      <c r="Z58" s="289">
        <f ca="1"/>
        <v>-1.5659571515789519</v>
      </c>
      <c r="AA58" s="289">
        <f ca="1"/>
        <v>0.44378998344608472</v>
      </c>
      <c r="AB58" s="136">
        <f ca="1"/>
        <v>0.56184004420843314</v>
      </c>
      <c r="AC58" s="455"/>
      <c r="AD58" s="455"/>
      <c r="AE58" s="455"/>
    </row>
    <row r="59" spans="2:31" x14ac:dyDescent="0.25">
      <c r="D59" s="135">
        <f ca="1"/>
        <v>-0.72121450340504112</v>
      </c>
      <c r="E59" s="289">
        <f ca="1"/>
        <v>-0.14969739262215401</v>
      </c>
      <c r="F59" s="289">
        <f ca="1"/>
        <v>0.70609350471998489</v>
      </c>
      <c r="G59" s="289">
        <f ca="1"/>
        <v>9.6224928363146583E-2</v>
      </c>
      <c r="H59" s="136">
        <f ca="1"/>
        <v>0.2296039222600787</v>
      </c>
      <c r="M59" s="135">
        <f ca="1"/>
        <v>0.31485387088312511</v>
      </c>
      <c r="N59" s="289">
        <f ca="1"/>
        <v>0.58472194344902539</v>
      </c>
      <c r="O59" s="289">
        <f ca="1"/>
        <v>0.39381187617256991</v>
      </c>
      <c r="P59" s="289">
        <f ca="1"/>
        <v>1.6407087043700077</v>
      </c>
      <c r="Q59" s="136">
        <f ca="1"/>
        <v>1.1035350664825012</v>
      </c>
      <c r="V59" s="455"/>
      <c r="W59" s="455"/>
      <c r="X59" s="135">
        <f ca="1"/>
        <v>-0.72121450340504112</v>
      </c>
      <c r="Y59" s="289">
        <f ca="1"/>
        <v>-0.14969739262215401</v>
      </c>
      <c r="Z59" s="289">
        <f ca="1"/>
        <v>0.70609350471998489</v>
      </c>
      <c r="AA59" s="289">
        <f ca="1"/>
        <v>9.6224928363146583E-2</v>
      </c>
      <c r="AB59" s="136">
        <f ca="1"/>
        <v>0.2296039222600787</v>
      </c>
      <c r="AC59" s="455"/>
      <c r="AD59" s="455"/>
      <c r="AE59" s="455"/>
    </row>
    <row r="60" spans="2:31" x14ac:dyDescent="0.25">
      <c r="D60" s="135">
        <f ca="1"/>
        <v>4.6120309846438508E-2</v>
      </c>
      <c r="E60" s="289">
        <f ca="1"/>
        <v>-0.92083350795883689</v>
      </c>
      <c r="F60" s="289">
        <f ca="1"/>
        <v>0.80411972151375544</v>
      </c>
      <c r="G60" s="289">
        <f ca="1"/>
        <v>-0.8762556877814629</v>
      </c>
      <c r="H60" s="136">
        <f ca="1"/>
        <v>1.2660233063563722</v>
      </c>
      <c r="M60" s="135">
        <f ca="1"/>
        <v>0.37425881531768923</v>
      </c>
      <c r="N60" s="289">
        <f ca="1"/>
        <v>0.35824768314912758</v>
      </c>
      <c r="O60" s="289">
        <f ca="1"/>
        <v>0.44167520776730484</v>
      </c>
      <c r="P60" s="289">
        <f ca="1"/>
        <v>-0.33523167286972566</v>
      </c>
      <c r="Q60" s="136">
        <f ca="1"/>
        <v>-0.6268173301884129</v>
      </c>
      <c r="V60" s="455"/>
      <c r="W60" s="455"/>
      <c r="X60" s="135">
        <f ca="1"/>
        <v>4.6120309846438508E-2</v>
      </c>
      <c r="Y60" s="289">
        <f ca="1"/>
        <v>-0.92083350795883689</v>
      </c>
      <c r="Z60" s="289">
        <f ca="1"/>
        <v>0.80411972151375544</v>
      </c>
      <c r="AA60" s="289">
        <f ca="1"/>
        <v>-0.8762556877814629</v>
      </c>
      <c r="AB60" s="136">
        <f ca="1"/>
        <v>1.2660233063563722</v>
      </c>
      <c r="AC60" s="455"/>
      <c r="AD60" s="455"/>
      <c r="AE60" s="455"/>
    </row>
    <row r="61" spans="2:31" x14ac:dyDescent="0.25">
      <c r="D61" s="135">
        <f ca="1"/>
        <v>0.23298387080043784</v>
      </c>
      <c r="E61" s="289">
        <f ca="1"/>
        <v>-1.0764899712107359</v>
      </c>
      <c r="F61" s="289">
        <f ca="1"/>
        <v>1.7547755576057253</v>
      </c>
      <c r="G61" s="289">
        <f ca="1"/>
        <v>0.72810708935373014</v>
      </c>
      <c r="H61" s="136">
        <f ca="1"/>
        <v>-4.9122462980273743E-2</v>
      </c>
      <c r="M61" s="135">
        <f ca="1"/>
        <v>-0.2939927852261236</v>
      </c>
      <c r="N61" s="289">
        <f ca="1"/>
        <v>0.20706330738635537</v>
      </c>
      <c r="O61" s="289">
        <f ca="1"/>
        <v>-0.95057695384843033</v>
      </c>
      <c r="P61" s="289">
        <f ca="1"/>
        <v>0.41936929060152378</v>
      </c>
      <c r="Q61" s="136">
        <f ca="1"/>
        <v>2.248374531742604E-2</v>
      </c>
      <c r="V61" s="455"/>
      <c r="W61" s="455"/>
      <c r="X61" s="135">
        <f ca="1"/>
        <v>0.23298387080043784</v>
      </c>
      <c r="Y61" s="289">
        <f ca="1"/>
        <v>-1.0764899712107359</v>
      </c>
      <c r="Z61" s="289">
        <f ca="1"/>
        <v>1.7547755576057253</v>
      </c>
      <c r="AA61" s="289">
        <f ca="1"/>
        <v>0.72810708935373014</v>
      </c>
      <c r="AB61" s="136">
        <f ca="1"/>
        <v>-4.9122462980273743E-2</v>
      </c>
      <c r="AC61" s="455"/>
      <c r="AD61" s="455"/>
      <c r="AE61" s="455"/>
    </row>
    <row r="62" spans="2:31" x14ac:dyDescent="0.25">
      <c r="D62" s="135">
        <f ca="1"/>
        <v>-0.63736695093064755</v>
      </c>
      <c r="E62" s="289">
        <f ca="1"/>
        <v>-0.21947173866600425</v>
      </c>
      <c r="F62" s="289">
        <f ca="1"/>
        <v>-0.3859436116857301</v>
      </c>
      <c r="G62" s="289">
        <f ca="1"/>
        <v>0.43017177828252023</v>
      </c>
      <c r="H62" s="136">
        <f ca="1"/>
        <v>-0.20136053851420513</v>
      </c>
      <c r="M62" s="135">
        <f ca="1"/>
        <v>-0.15708936381720576</v>
      </c>
      <c r="N62" s="289">
        <f ca="1"/>
        <v>-1.0653743242702789</v>
      </c>
      <c r="O62" s="289">
        <f ca="1"/>
        <v>-0.80509454519587287</v>
      </c>
      <c r="P62" s="289">
        <f ca="1"/>
        <v>0.91915684812891307</v>
      </c>
      <c r="Q62" s="136">
        <f ca="1"/>
        <v>5.8307248146102324E-2</v>
      </c>
      <c r="V62" s="455"/>
      <c r="W62" s="455"/>
      <c r="X62" s="135">
        <f ca="1"/>
        <v>-0.63736695093064755</v>
      </c>
      <c r="Y62" s="289">
        <f ca="1"/>
        <v>-0.21947173866600425</v>
      </c>
      <c r="Z62" s="289">
        <f ca="1"/>
        <v>-0.3859436116857301</v>
      </c>
      <c r="AA62" s="289">
        <f ca="1"/>
        <v>0.43017177828252023</v>
      </c>
      <c r="AB62" s="136">
        <f ca="1"/>
        <v>-0.20136053851420513</v>
      </c>
      <c r="AC62" s="455"/>
      <c r="AD62" s="455"/>
      <c r="AE62" s="455"/>
    </row>
    <row r="63" spans="2:31" x14ac:dyDescent="0.25">
      <c r="D63" s="135">
        <f ca="1"/>
        <v>-0.42607435867377447</v>
      </c>
      <c r="E63" s="289">
        <f ca="1"/>
        <v>0.91605467339775526</v>
      </c>
      <c r="F63" s="289">
        <f ca="1"/>
        <v>-1.6169891726572032</v>
      </c>
      <c r="G63" s="289">
        <f ca="1"/>
        <v>-9.9853780857881491E-2</v>
      </c>
      <c r="H63" s="136">
        <f ca="1"/>
        <v>-0.83075713527444417</v>
      </c>
      <c r="M63" s="135">
        <f ca="1"/>
        <v>-0.53150451916000441</v>
      </c>
      <c r="N63" s="289">
        <f ca="1"/>
        <v>9.3818238275564306E-2</v>
      </c>
      <c r="O63" s="289">
        <f ca="1"/>
        <v>-0.36340235823986</v>
      </c>
      <c r="P63" s="289">
        <f ca="1"/>
        <v>-2.2094510474666582</v>
      </c>
      <c r="Q63" s="136">
        <f ca="1"/>
        <v>1.3833613776168325</v>
      </c>
      <c r="V63" s="455"/>
      <c r="W63" s="455"/>
      <c r="X63" s="135">
        <f ca="1"/>
        <v>-0.42607435867377447</v>
      </c>
      <c r="Y63" s="289">
        <f ca="1"/>
        <v>0.91605467339775526</v>
      </c>
      <c r="Z63" s="289">
        <f ca="1"/>
        <v>-1.6169891726572032</v>
      </c>
      <c r="AA63" s="289">
        <f ca="1"/>
        <v>-9.9853780857881491E-2</v>
      </c>
      <c r="AB63" s="136">
        <f ca="1"/>
        <v>-0.83075713527444417</v>
      </c>
      <c r="AC63" s="455"/>
      <c r="AD63" s="455"/>
      <c r="AE63" s="455"/>
    </row>
    <row r="64" spans="2:31" x14ac:dyDescent="0.25">
      <c r="D64" s="135">
        <f ca="1"/>
        <v>1.9788808392213517</v>
      </c>
      <c r="E64" s="289">
        <f ca="1"/>
        <v>-0.8444992802006771</v>
      </c>
      <c r="F64" s="289">
        <f ca="1"/>
        <v>0.53167290579956916</v>
      </c>
      <c r="G64" s="289">
        <f ca="1"/>
        <v>1.3476990609315769</v>
      </c>
      <c r="H64" s="136">
        <f ca="1"/>
        <v>-8.1515249102279419E-2</v>
      </c>
      <c r="M64" s="135">
        <f ca="1"/>
        <v>1.2360122870119385</v>
      </c>
      <c r="N64" s="289">
        <f ca="1"/>
        <v>1.5952239593837385</v>
      </c>
      <c r="O64" s="289">
        <f ca="1"/>
        <v>-1.1314812360535402</v>
      </c>
      <c r="P64" s="289">
        <f ca="1"/>
        <v>-1.2982467961229738</v>
      </c>
      <c r="Q64" s="136">
        <f ca="1"/>
        <v>-1.3168735554115905</v>
      </c>
      <c r="V64" s="455"/>
      <c r="W64" s="455"/>
      <c r="X64" s="135">
        <f ca="1"/>
        <v>1.9788808392213517</v>
      </c>
      <c r="Y64" s="289">
        <f ca="1"/>
        <v>-0.8444992802006771</v>
      </c>
      <c r="Z64" s="289">
        <f ca="1"/>
        <v>0.53167290579956916</v>
      </c>
      <c r="AA64" s="289">
        <f ca="1"/>
        <v>1.3476990609315769</v>
      </c>
      <c r="AB64" s="136">
        <f ca="1"/>
        <v>-8.1515249102279419E-2</v>
      </c>
      <c r="AC64" s="455"/>
      <c r="AD64" s="455"/>
      <c r="AE64" s="455"/>
    </row>
    <row r="65" spans="4:31" x14ac:dyDescent="0.25">
      <c r="D65" s="135">
        <f ca="1"/>
        <v>-0.61135617247427165</v>
      </c>
      <c r="E65" s="289">
        <f ca="1"/>
        <v>1.2682963768981825</v>
      </c>
      <c r="F65" s="289">
        <f ca="1"/>
        <v>6.5443228707294687E-2</v>
      </c>
      <c r="G65" s="289">
        <f ca="1"/>
        <v>0.43254942321321643</v>
      </c>
      <c r="H65" s="136">
        <f ca="1"/>
        <v>0.42060061179352987</v>
      </c>
      <c r="M65" s="135">
        <f ca="1"/>
        <v>-1.5829803137914036</v>
      </c>
      <c r="N65" s="289">
        <f ca="1"/>
        <v>0.70185633990212082</v>
      </c>
      <c r="O65" s="289">
        <f ca="1"/>
        <v>0.67665051211608307</v>
      </c>
      <c r="P65" s="289">
        <f ca="1"/>
        <v>0.31296426265648503</v>
      </c>
      <c r="Q65" s="136">
        <f ca="1"/>
        <v>1.4129012007575132</v>
      </c>
      <c r="V65" s="455"/>
      <c r="W65" s="455"/>
      <c r="X65" s="135">
        <f ca="1"/>
        <v>-0.61135617247427165</v>
      </c>
      <c r="Y65" s="289">
        <f ca="1"/>
        <v>1.2682963768981825</v>
      </c>
      <c r="Z65" s="289">
        <f ca="1"/>
        <v>6.5443228707294687E-2</v>
      </c>
      <c r="AA65" s="289">
        <f ca="1"/>
        <v>0.43254942321321643</v>
      </c>
      <c r="AB65" s="136">
        <f ca="1"/>
        <v>0.42060061179352987</v>
      </c>
      <c r="AC65" s="455"/>
      <c r="AD65" s="455"/>
      <c r="AE65" s="455"/>
    </row>
    <row r="66" spans="4:31" x14ac:dyDescent="0.25">
      <c r="D66" s="135">
        <f ca="1"/>
        <v>0.62134768002507634</v>
      </c>
      <c r="E66" s="289">
        <f ca="1"/>
        <v>7.9542410013188777E-2</v>
      </c>
      <c r="F66" s="289">
        <f ca="1"/>
        <v>-2.1987215358931604E-2</v>
      </c>
      <c r="G66" s="289">
        <f ca="1"/>
        <v>-0.98579270828865395</v>
      </c>
      <c r="H66" s="136">
        <f ca="1"/>
        <v>1.3042580425018544</v>
      </c>
      <c r="M66" s="135">
        <f ca="1"/>
        <v>1.7948696412447682</v>
      </c>
      <c r="N66" s="289">
        <f ca="1"/>
        <v>5.4793042142818014E-2</v>
      </c>
      <c r="O66" s="289">
        <f ca="1"/>
        <v>-0.48052138707036213</v>
      </c>
      <c r="P66" s="289">
        <f ca="1"/>
        <v>0.98604672095167512</v>
      </c>
      <c r="Q66" s="136">
        <f ca="1"/>
        <v>0.19153430097807242</v>
      </c>
      <c r="V66" s="455"/>
      <c r="W66" s="455"/>
      <c r="X66" s="135">
        <f ca="1"/>
        <v>0.62134768002507634</v>
      </c>
      <c r="Y66" s="289">
        <f ca="1"/>
        <v>7.9542410013188777E-2</v>
      </c>
      <c r="Z66" s="289">
        <f ca="1"/>
        <v>-2.1987215358931604E-2</v>
      </c>
      <c r="AA66" s="289">
        <f ca="1"/>
        <v>-0.98579270828865395</v>
      </c>
      <c r="AB66" s="136">
        <f ca="1"/>
        <v>1.3042580425018544</v>
      </c>
      <c r="AC66" s="455"/>
      <c r="AD66" s="455"/>
      <c r="AE66" s="455"/>
    </row>
    <row r="67" spans="4:31" x14ac:dyDescent="0.25">
      <c r="D67" s="135">
        <f ca="1"/>
        <v>-0.50308335820540317</v>
      </c>
      <c r="E67" s="289">
        <f ca="1"/>
        <v>1.4640300463756799</v>
      </c>
      <c r="F67" s="289">
        <f ca="1"/>
        <v>0.46256721575986759</v>
      </c>
      <c r="G67" s="289">
        <f ca="1"/>
        <v>0.13757711286725449</v>
      </c>
      <c r="H67" s="136">
        <f ca="1"/>
        <v>1.903663328597879</v>
      </c>
      <c r="M67" s="135">
        <f ca="1"/>
        <v>-0.60479895355841384</v>
      </c>
      <c r="N67" s="289">
        <f ca="1"/>
        <v>-1.2485896144281661</v>
      </c>
      <c r="O67" s="289">
        <f ca="1"/>
        <v>0.27366943766787372</v>
      </c>
      <c r="P67" s="289">
        <f ca="1"/>
        <v>0.45004119380308644</v>
      </c>
      <c r="Q67" s="136">
        <f ca="1"/>
        <v>-1.3844360616948774</v>
      </c>
      <c r="V67" s="455"/>
      <c r="W67" s="455"/>
      <c r="X67" s="135">
        <f ca="1"/>
        <v>-0.50308335820540317</v>
      </c>
      <c r="Y67" s="289">
        <f ca="1"/>
        <v>1.4640300463756799</v>
      </c>
      <c r="Z67" s="289">
        <f ca="1"/>
        <v>0.46256721575986759</v>
      </c>
      <c r="AA67" s="289">
        <f ca="1"/>
        <v>0.13757711286725449</v>
      </c>
      <c r="AB67" s="136">
        <f ca="1"/>
        <v>1.903663328597879</v>
      </c>
      <c r="AC67" s="455"/>
      <c r="AD67" s="455"/>
      <c r="AE67" s="455"/>
    </row>
    <row r="68" spans="4:31" x14ac:dyDescent="0.25">
      <c r="D68" s="135">
        <f ca="1"/>
        <v>-1.198947290104817</v>
      </c>
      <c r="E68" s="289">
        <f ca="1"/>
        <v>0.96357590104857871</v>
      </c>
      <c r="F68" s="289">
        <f ca="1"/>
        <v>1.9247923185797389</v>
      </c>
      <c r="G68" s="289">
        <f ca="1"/>
        <v>1.3443248184039669</v>
      </c>
      <c r="H68" s="136">
        <f ca="1"/>
        <v>0.34126673979749322</v>
      </c>
      <c r="M68" s="135">
        <f ca="1"/>
        <v>-0.29645445691204342</v>
      </c>
      <c r="N68" s="289">
        <f ca="1"/>
        <v>-0.21556879453095484</v>
      </c>
      <c r="O68" s="289">
        <f ca="1"/>
        <v>-0.34855748958572064</v>
      </c>
      <c r="P68" s="289">
        <f ca="1"/>
        <v>-1.3041078808768987</v>
      </c>
      <c r="Q68" s="136">
        <f ca="1"/>
        <v>1.4705694003542786</v>
      </c>
      <c r="V68" s="455"/>
      <c r="W68" s="455"/>
      <c r="X68" s="135">
        <f ca="1"/>
        <v>-1.198947290104817</v>
      </c>
      <c r="Y68" s="289">
        <f ca="1"/>
        <v>0.96357590104857871</v>
      </c>
      <c r="Z68" s="289">
        <f ca="1"/>
        <v>1.9247923185797389</v>
      </c>
      <c r="AA68" s="289">
        <f ca="1"/>
        <v>1.3443248184039669</v>
      </c>
      <c r="AB68" s="136">
        <f ca="1"/>
        <v>0.34126673979749322</v>
      </c>
      <c r="AC68" s="455"/>
      <c r="AD68" s="455"/>
      <c r="AE68" s="455"/>
    </row>
    <row r="69" spans="4:31" x14ac:dyDescent="0.25">
      <c r="D69" s="135">
        <f ca="1"/>
        <v>0.85011456561901899</v>
      </c>
      <c r="E69" s="289">
        <f ca="1"/>
        <v>0.30429192596407545</v>
      </c>
      <c r="F69" s="289">
        <f ca="1"/>
        <v>0.67152742633508133</v>
      </c>
      <c r="G69" s="289">
        <f ca="1"/>
        <v>0.80782203516718254</v>
      </c>
      <c r="H69" s="136">
        <f ca="1"/>
        <v>-8.2646524328612386E-2</v>
      </c>
      <c r="M69" s="135">
        <f ca="1"/>
        <v>-5.601454099387887E-2</v>
      </c>
      <c r="N69" s="289">
        <f ca="1"/>
        <v>-6.6222296794066063E-2</v>
      </c>
      <c r="O69" s="289">
        <f ca="1"/>
        <v>-0.45363097528494672</v>
      </c>
      <c r="P69" s="289">
        <f ca="1"/>
        <v>1.9101803048964361</v>
      </c>
      <c r="Q69" s="136">
        <f ca="1"/>
        <v>-0.58963239539706591</v>
      </c>
      <c r="V69" s="455"/>
      <c r="W69" s="455"/>
      <c r="X69" s="135">
        <f ca="1"/>
        <v>0.85011456561901899</v>
      </c>
      <c r="Y69" s="289">
        <f ca="1"/>
        <v>0.30429192596407545</v>
      </c>
      <c r="Z69" s="289">
        <f ca="1"/>
        <v>0.67152742633508133</v>
      </c>
      <c r="AA69" s="289">
        <f ca="1"/>
        <v>0.80782203516718254</v>
      </c>
      <c r="AB69" s="136">
        <f ca="1"/>
        <v>-8.2646524328612386E-2</v>
      </c>
      <c r="AC69" s="455"/>
      <c r="AD69" s="455"/>
      <c r="AE69" s="455"/>
    </row>
    <row r="70" spans="4:31" x14ac:dyDescent="0.25">
      <c r="D70" s="135">
        <f ca="1"/>
        <v>-0.28904080804777654</v>
      </c>
      <c r="E70" s="289">
        <f ca="1"/>
        <v>-0.89553364635263466</v>
      </c>
      <c r="F70" s="289">
        <f ca="1"/>
        <v>0.9780203880833418</v>
      </c>
      <c r="G70" s="289">
        <f ca="1"/>
        <v>-0.45554694662875511</v>
      </c>
      <c r="H70" s="136">
        <f ca="1"/>
        <v>8.2384361896065766E-2</v>
      </c>
      <c r="M70" s="135">
        <f ca="1"/>
        <v>0.81242129145400976</v>
      </c>
      <c r="N70" s="289">
        <f ca="1"/>
        <v>-0.62936332454492938</v>
      </c>
      <c r="O70" s="289">
        <f ca="1"/>
        <v>0.17687516295823891</v>
      </c>
      <c r="P70" s="289">
        <f ca="1"/>
        <v>1.9855701869412921</v>
      </c>
      <c r="Q70" s="136">
        <f ca="1"/>
        <v>-0.47170424056666821</v>
      </c>
      <c r="V70" s="455"/>
      <c r="W70" s="455"/>
      <c r="X70" s="135">
        <f ca="1"/>
        <v>-0.28904080804777654</v>
      </c>
      <c r="Y70" s="289">
        <f ca="1"/>
        <v>-0.89553364635263466</v>
      </c>
      <c r="Z70" s="289">
        <f ca="1"/>
        <v>0.9780203880833418</v>
      </c>
      <c r="AA70" s="289">
        <f ca="1"/>
        <v>-0.45554694662875511</v>
      </c>
      <c r="AB70" s="136">
        <f ca="1"/>
        <v>8.2384361896065766E-2</v>
      </c>
      <c r="AC70" s="455"/>
      <c r="AD70" s="455"/>
      <c r="AE70" s="455"/>
    </row>
    <row r="71" spans="4:31" x14ac:dyDescent="0.25">
      <c r="D71" s="135">
        <f ca="1"/>
        <v>-1.3097052116291188</v>
      </c>
      <c r="E71" s="289">
        <f ca="1"/>
        <v>1.7215300670511962</v>
      </c>
      <c r="F71" s="289">
        <f ca="1"/>
        <v>9.7776697591451453E-2</v>
      </c>
      <c r="G71" s="289">
        <f ca="1"/>
        <v>1.1490936456210052</v>
      </c>
      <c r="H71" s="136">
        <f ca="1"/>
        <v>-2.069075586550726</v>
      </c>
      <c r="M71" s="135">
        <f ca="1"/>
        <v>0.88591645744064973</v>
      </c>
      <c r="N71" s="289">
        <f ca="1"/>
        <v>-0.89149310470618126</v>
      </c>
      <c r="O71" s="289">
        <f ca="1"/>
        <v>-1.7692578677541684</v>
      </c>
      <c r="P71" s="289">
        <f ca="1"/>
        <v>1.1660034196083535</v>
      </c>
      <c r="Q71" s="136">
        <f ca="1"/>
        <v>-2.3511914329550483</v>
      </c>
      <c r="V71" s="455"/>
      <c r="W71" s="455"/>
      <c r="X71" s="135">
        <f ca="1"/>
        <v>-1.3097052116291188</v>
      </c>
      <c r="Y71" s="289">
        <f ca="1"/>
        <v>1.7215300670511962</v>
      </c>
      <c r="Z71" s="289">
        <f ca="1"/>
        <v>9.7776697591451453E-2</v>
      </c>
      <c r="AA71" s="289">
        <f ca="1"/>
        <v>1.1490936456210052</v>
      </c>
      <c r="AB71" s="136">
        <f ca="1"/>
        <v>-2.069075586550726</v>
      </c>
      <c r="AC71" s="455"/>
      <c r="AD71" s="455"/>
      <c r="AE71" s="455"/>
    </row>
    <row r="72" spans="4:31" x14ac:dyDescent="0.25">
      <c r="D72" s="135">
        <f ca="1"/>
        <v>0.32788629545256831</v>
      </c>
      <c r="E72" s="289">
        <f ca="1"/>
        <v>1.720830635000675</v>
      </c>
      <c r="F72" s="289">
        <f ca="1"/>
        <v>0.27993766822148569</v>
      </c>
      <c r="G72" s="289">
        <f ca="1"/>
        <v>0.52525898259965065</v>
      </c>
      <c r="H72" s="136">
        <f ca="1"/>
        <v>-0.71433261283908289</v>
      </c>
      <c r="M72" s="135">
        <f ca="1"/>
        <v>7.249226999462359E-2</v>
      </c>
      <c r="N72" s="289">
        <f ca="1"/>
        <v>0.75286236290794595</v>
      </c>
      <c r="O72" s="289">
        <f ca="1"/>
        <v>-0.15451583480191308</v>
      </c>
      <c r="P72" s="289">
        <f ca="1"/>
        <v>-7.8660836787310617E-2</v>
      </c>
      <c r="Q72" s="136">
        <f ca="1"/>
        <v>0.43277360942751136</v>
      </c>
      <c r="V72" s="455"/>
      <c r="W72" s="455"/>
      <c r="X72" s="135">
        <f ca="1"/>
        <v>0.32788629545256831</v>
      </c>
      <c r="Y72" s="289">
        <f ca="1"/>
        <v>1.720830635000675</v>
      </c>
      <c r="Z72" s="289">
        <f ca="1"/>
        <v>0.27993766822148569</v>
      </c>
      <c r="AA72" s="289">
        <f ca="1"/>
        <v>0.52525898259965065</v>
      </c>
      <c r="AB72" s="136">
        <f ca="1"/>
        <v>-0.71433261283908289</v>
      </c>
      <c r="AC72" s="455"/>
      <c r="AD72" s="455"/>
      <c r="AE72" s="455"/>
    </row>
    <row r="73" spans="4:31" x14ac:dyDescent="0.25">
      <c r="D73" s="135">
        <f ca="1"/>
        <v>-0.35007770185857218</v>
      </c>
      <c r="E73" s="289">
        <f ca="1"/>
        <v>1.1800027393927328</v>
      </c>
      <c r="F73" s="289">
        <f ca="1"/>
        <v>-0.62779716766341387</v>
      </c>
      <c r="G73" s="289">
        <f ca="1"/>
        <v>1.0849418236383948</v>
      </c>
      <c r="H73" s="136">
        <f ca="1"/>
        <v>-0.6285170754115107</v>
      </c>
      <c r="M73" s="135">
        <f ca="1"/>
        <v>-5.02108783691224E-2</v>
      </c>
      <c r="N73" s="289">
        <f ca="1"/>
        <v>0.63387309695275007</v>
      </c>
      <c r="O73" s="289">
        <f ca="1"/>
        <v>0.34319483017443847</v>
      </c>
      <c r="P73" s="289">
        <f ca="1"/>
        <v>2.4127062990016889E-2</v>
      </c>
      <c r="Q73" s="136">
        <f ca="1"/>
        <v>1.0041302391154621</v>
      </c>
      <c r="V73" s="455"/>
      <c r="W73" s="455"/>
      <c r="X73" s="135">
        <f ca="1"/>
        <v>-0.35007770185857218</v>
      </c>
      <c r="Y73" s="289">
        <f ca="1"/>
        <v>1.1800027393927328</v>
      </c>
      <c r="Z73" s="289">
        <f ca="1"/>
        <v>-0.62779716766341387</v>
      </c>
      <c r="AA73" s="289">
        <f ca="1"/>
        <v>1.0849418236383948</v>
      </c>
      <c r="AB73" s="136">
        <f ca="1"/>
        <v>-0.6285170754115107</v>
      </c>
      <c r="AC73" s="455"/>
      <c r="AD73" s="455"/>
      <c r="AE73" s="455"/>
    </row>
    <row r="74" spans="4:31" x14ac:dyDescent="0.25">
      <c r="D74" s="135">
        <f ca="1"/>
        <v>-1.1500680545803554</v>
      </c>
      <c r="E74" s="289">
        <f ca="1"/>
        <v>-0.18806037521523697</v>
      </c>
      <c r="F74" s="289">
        <f ca="1"/>
        <v>0.16243660080584485</v>
      </c>
      <c r="G74" s="289">
        <f ca="1"/>
        <v>-0.62663170461412543</v>
      </c>
      <c r="H74" s="136">
        <f ca="1"/>
        <v>1.6118611296858081</v>
      </c>
      <c r="M74" s="135">
        <f ca="1"/>
        <v>0.17139794249924944</v>
      </c>
      <c r="N74" s="289">
        <f ca="1"/>
        <v>-0.11013706678339194</v>
      </c>
      <c r="O74" s="289">
        <f ca="1"/>
        <v>2.2692630137464183</v>
      </c>
      <c r="P74" s="289">
        <f ca="1"/>
        <v>1.9910279149762391</v>
      </c>
      <c r="Q74" s="136">
        <f ca="1"/>
        <v>-1.1179327323040036</v>
      </c>
      <c r="V74" s="455"/>
      <c r="W74" s="455"/>
      <c r="X74" s="135">
        <f ca="1"/>
        <v>-1.1500680545803554</v>
      </c>
      <c r="Y74" s="289">
        <f ca="1"/>
        <v>-0.18806037521523697</v>
      </c>
      <c r="Z74" s="289">
        <f ca="1"/>
        <v>0.16243660080584485</v>
      </c>
      <c r="AA74" s="289">
        <f ca="1"/>
        <v>-0.62663170461412543</v>
      </c>
      <c r="AB74" s="136">
        <f ca="1"/>
        <v>1.6118611296858081</v>
      </c>
      <c r="AC74" s="455"/>
      <c r="AD74" s="455"/>
      <c r="AE74" s="455"/>
    </row>
    <row r="75" spans="4:31" x14ac:dyDescent="0.25">
      <c r="D75" s="135">
        <f ca="1"/>
        <v>0.64691193539250558</v>
      </c>
      <c r="E75" s="289">
        <f ca="1"/>
        <v>0.89115808668949248</v>
      </c>
      <c r="F75" s="289">
        <f ca="1"/>
        <v>0.9860723619258096</v>
      </c>
      <c r="G75" s="289">
        <f ca="1"/>
        <v>-0.506742454491937</v>
      </c>
      <c r="H75" s="136">
        <f ca="1"/>
        <v>7.2347348245717744E-2</v>
      </c>
      <c r="M75" s="135">
        <f ca="1"/>
        <v>-0.27206819213014455</v>
      </c>
      <c r="N75" s="289">
        <f ca="1"/>
        <v>-0.78389672192767001</v>
      </c>
      <c r="O75" s="289">
        <f ca="1"/>
        <v>1.7386209358168976</v>
      </c>
      <c r="P75" s="289">
        <f ca="1"/>
        <v>-1.5918011760197763</v>
      </c>
      <c r="Q75" s="136">
        <f ca="1"/>
        <v>0.37770234866728736</v>
      </c>
      <c r="V75" s="455"/>
      <c r="W75" s="455"/>
      <c r="X75" s="135">
        <f ca="1"/>
        <v>0.64691193539250558</v>
      </c>
      <c r="Y75" s="289">
        <f ca="1"/>
        <v>0.89115808668949248</v>
      </c>
      <c r="Z75" s="289">
        <f ca="1"/>
        <v>0.9860723619258096</v>
      </c>
      <c r="AA75" s="289">
        <f ca="1"/>
        <v>-0.506742454491937</v>
      </c>
      <c r="AB75" s="136">
        <f ca="1"/>
        <v>7.2347348245717744E-2</v>
      </c>
      <c r="AC75" s="455"/>
      <c r="AD75" s="455"/>
      <c r="AE75" s="455"/>
    </row>
    <row r="76" spans="4:31" x14ac:dyDescent="0.25">
      <c r="D76" s="135">
        <f ca="1"/>
        <v>2.1332675037689501</v>
      </c>
      <c r="E76" s="289">
        <f ca="1"/>
        <v>1.0044329379325341E-2</v>
      </c>
      <c r="F76" s="289">
        <f ca="1"/>
        <v>2.7930281231195897</v>
      </c>
      <c r="G76" s="289">
        <f ca="1"/>
        <v>4.7540172641717976E-2</v>
      </c>
      <c r="H76" s="136">
        <f ca="1"/>
        <v>0.14952454772362248</v>
      </c>
      <c r="M76" s="135">
        <f ca="1"/>
        <v>1.4437591604313265</v>
      </c>
      <c r="N76" s="289">
        <f ca="1"/>
        <v>0.17238851165673519</v>
      </c>
      <c r="O76" s="289">
        <f ca="1"/>
        <v>-1.2699860097416114</v>
      </c>
      <c r="P76" s="289">
        <f ca="1"/>
        <v>0.26590942794695149</v>
      </c>
      <c r="Q76" s="136">
        <f ca="1"/>
        <v>0.57196512132722011</v>
      </c>
      <c r="V76" s="455"/>
      <c r="W76" s="455"/>
      <c r="X76" s="135">
        <f ca="1"/>
        <v>2.1332675037689501</v>
      </c>
      <c r="Y76" s="289">
        <f ca="1"/>
        <v>1.0044329379325341E-2</v>
      </c>
      <c r="Z76" s="289">
        <f ca="1"/>
        <v>2.7930281231195897</v>
      </c>
      <c r="AA76" s="289">
        <f ca="1"/>
        <v>4.7540172641717976E-2</v>
      </c>
      <c r="AB76" s="136">
        <f ca="1"/>
        <v>0.14952454772362248</v>
      </c>
      <c r="AC76" s="455"/>
      <c r="AD76" s="455"/>
      <c r="AE76" s="455"/>
    </row>
    <row r="77" spans="4:31" x14ac:dyDescent="0.25">
      <c r="D77" s="135">
        <f ca="1"/>
        <v>-0.99466901445455624</v>
      </c>
      <c r="E77" s="289">
        <f ca="1"/>
        <v>0.50225278398034379</v>
      </c>
      <c r="F77" s="289">
        <f ca="1"/>
        <v>0.62792680297973469</v>
      </c>
      <c r="G77" s="289">
        <f ca="1"/>
        <v>2.0691183604794094</v>
      </c>
      <c r="H77" s="136">
        <f ca="1"/>
        <v>-1.04703872441546</v>
      </c>
      <c r="M77" s="135">
        <f ca="1"/>
        <v>0.97846890675398013</v>
      </c>
      <c r="N77" s="289">
        <f ca="1"/>
        <v>-1.1020582544619302</v>
      </c>
      <c r="O77" s="289">
        <f ca="1"/>
        <v>0.39286477148360299</v>
      </c>
      <c r="P77" s="289">
        <f ca="1"/>
        <v>-0.1227331305528255</v>
      </c>
      <c r="Q77" s="136">
        <f ca="1"/>
        <v>1.0001710109068307</v>
      </c>
      <c r="V77" s="455"/>
      <c r="W77" s="455"/>
      <c r="X77" s="135">
        <f ca="1"/>
        <v>-0.99466901445455624</v>
      </c>
      <c r="Y77" s="289">
        <f ca="1"/>
        <v>0.50225278398034379</v>
      </c>
      <c r="Z77" s="289">
        <f ca="1"/>
        <v>0.62792680297973469</v>
      </c>
      <c r="AA77" s="289">
        <f ca="1"/>
        <v>2.0691183604794094</v>
      </c>
      <c r="AB77" s="136">
        <f ca="1"/>
        <v>-1.04703872441546</v>
      </c>
      <c r="AC77" s="455"/>
      <c r="AD77" s="455"/>
      <c r="AE77" s="455"/>
    </row>
    <row r="78" spans="4:31" x14ac:dyDescent="0.25">
      <c r="D78" s="135">
        <f ca="1"/>
        <v>-0.14279798956905393</v>
      </c>
      <c r="E78" s="289">
        <f ca="1"/>
        <v>2.6249780866021383E-2</v>
      </c>
      <c r="F78" s="289">
        <f ca="1"/>
        <v>-0.65969703489988807</v>
      </c>
      <c r="G78" s="289">
        <f ca="1"/>
        <v>-0.925057575262345</v>
      </c>
      <c r="H78" s="136">
        <f ca="1"/>
        <v>0.69780853400880927</v>
      </c>
      <c r="M78" s="135">
        <f ca="1"/>
        <v>-1.4681182045982457</v>
      </c>
      <c r="N78" s="289">
        <f ca="1"/>
        <v>-2.0794109376992451</v>
      </c>
      <c r="O78" s="289">
        <f ca="1"/>
        <v>-0.8103248144499442</v>
      </c>
      <c r="P78" s="289">
        <f ca="1"/>
        <v>0.64107672193829024</v>
      </c>
      <c r="Q78" s="136">
        <f ca="1"/>
        <v>-0.5551205874134405</v>
      </c>
      <c r="V78" s="455"/>
      <c r="W78" s="455"/>
      <c r="X78" s="135">
        <f ca="1"/>
        <v>-0.14279798956905393</v>
      </c>
      <c r="Y78" s="289">
        <f ca="1"/>
        <v>2.6249780866021383E-2</v>
      </c>
      <c r="Z78" s="289">
        <f ca="1"/>
        <v>-0.65969703489988807</v>
      </c>
      <c r="AA78" s="289">
        <f ca="1"/>
        <v>-0.925057575262345</v>
      </c>
      <c r="AB78" s="136">
        <f ca="1"/>
        <v>0.69780853400880927</v>
      </c>
      <c r="AC78" s="455"/>
      <c r="AD78" s="455"/>
      <c r="AE78" s="455"/>
    </row>
    <row r="79" spans="4:31" x14ac:dyDescent="0.25">
      <c r="D79" s="135">
        <f ca="1"/>
        <v>1.092291704880513</v>
      </c>
      <c r="E79" s="289">
        <f ca="1"/>
        <v>0.50433622145908918</v>
      </c>
      <c r="F79" s="289">
        <f ca="1"/>
        <v>1.0826951457065646</v>
      </c>
      <c r="G79" s="289">
        <f ca="1"/>
        <v>0.59345089881883117</v>
      </c>
      <c r="H79" s="136">
        <f ca="1"/>
        <v>1.1610661581658341E-2</v>
      </c>
      <c r="M79" s="135">
        <f ca="1"/>
        <v>-0.41957997007360187</v>
      </c>
      <c r="N79" s="289">
        <f ca="1"/>
        <v>-0.45615015179100066</v>
      </c>
      <c r="O79" s="289">
        <f ca="1"/>
        <v>0.34528217502908681</v>
      </c>
      <c r="P79" s="289">
        <f ca="1"/>
        <v>-2.0540035856533874</v>
      </c>
      <c r="Q79" s="136">
        <f ca="1"/>
        <v>-0.62883004396016451</v>
      </c>
      <c r="V79" s="455"/>
      <c r="W79" s="455"/>
      <c r="X79" s="135">
        <f ca="1"/>
        <v>1.092291704880513</v>
      </c>
      <c r="Y79" s="289">
        <f ca="1"/>
        <v>0.50433622145908918</v>
      </c>
      <c r="Z79" s="289">
        <f ca="1"/>
        <v>1.0826951457065646</v>
      </c>
      <c r="AA79" s="289">
        <f ca="1"/>
        <v>0.59345089881883117</v>
      </c>
      <c r="AB79" s="136">
        <f ca="1"/>
        <v>1.1610661581658341E-2</v>
      </c>
      <c r="AC79" s="455"/>
      <c r="AD79" s="455"/>
      <c r="AE79" s="455"/>
    </row>
    <row r="80" spans="4:31" x14ac:dyDescent="0.25">
      <c r="D80" s="135">
        <f ca="1"/>
        <v>0.80488972711453355</v>
      </c>
      <c r="E80" s="289">
        <f ca="1"/>
        <v>-2.1496502133888749</v>
      </c>
      <c r="F80" s="289">
        <f ca="1"/>
        <v>-2.1868193390200261</v>
      </c>
      <c r="G80" s="289">
        <f ca="1"/>
        <v>-8.0685653261843113E-2</v>
      </c>
      <c r="H80" s="136">
        <f ca="1"/>
        <v>-0.71874440154847874</v>
      </c>
      <c r="M80" s="135">
        <f ca="1"/>
        <v>-1.3586466223513398</v>
      </c>
      <c r="N80" s="289">
        <f ca="1"/>
        <v>0.29927661185537396</v>
      </c>
      <c r="O80" s="289">
        <f ca="1"/>
        <v>-0.98909017881296901</v>
      </c>
      <c r="P80" s="289">
        <f ca="1"/>
        <v>-1.7601901121971923</v>
      </c>
      <c r="Q80" s="136">
        <f ca="1"/>
        <v>-0.90326978799681523</v>
      </c>
      <c r="V80" s="455"/>
      <c r="W80" s="455"/>
      <c r="X80" s="135">
        <f ca="1"/>
        <v>0.80488972711453355</v>
      </c>
      <c r="Y80" s="289">
        <f ca="1"/>
        <v>-2.1496502133888749</v>
      </c>
      <c r="Z80" s="289">
        <f ca="1"/>
        <v>-2.1868193390200261</v>
      </c>
      <c r="AA80" s="289">
        <f ca="1"/>
        <v>-8.0685653261843113E-2</v>
      </c>
      <c r="AB80" s="136">
        <f ca="1"/>
        <v>-0.71874440154847874</v>
      </c>
      <c r="AC80" s="455"/>
      <c r="AD80" s="455"/>
      <c r="AE80" s="455"/>
    </row>
    <row r="81" spans="2:36" x14ac:dyDescent="0.25">
      <c r="D81" s="135">
        <f ca="1"/>
        <v>0.80605770412109401</v>
      </c>
      <c r="E81" s="289">
        <f ca="1"/>
        <v>0.98500956747093471</v>
      </c>
      <c r="F81" s="289">
        <f ca="1"/>
        <v>-0.51374156559767825</v>
      </c>
      <c r="G81" s="289">
        <f ca="1"/>
        <v>-0.10210221862083954</v>
      </c>
      <c r="H81" s="136">
        <f ca="1"/>
        <v>-0.52081378098183195</v>
      </c>
      <c r="M81" s="135">
        <f ca="1"/>
        <v>0.38038958191513106</v>
      </c>
      <c r="N81" s="289">
        <f ca="1"/>
        <v>-1.0378288827691335</v>
      </c>
      <c r="O81" s="289">
        <f ca="1"/>
        <v>2.5971214142627637</v>
      </c>
      <c r="P81" s="289">
        <f ca="1"/>
        <v>-0.14663282522262747</v>
      </c>
      <c r="Q81" s="136">
        <f ca="1"/>
        <v>-0.25899188301456494</v>
      </c>
      <c r="V81" s="455"/>
      <c r="W81" s="455"/>
      <c r="X81" s="135">
        <f ca="1"/>
        <v>0.80605770412109401</v>
      </c>
      <c r="Y81" s="289">
        <f ca="1"/>
        <v>0.98500956747093471</v>
      </c>
      <c r="Z81" s="289">
        <f ca="1"/>
        <v>-0.51374156559767825</v>
      </c>
      <c r="AA81" s="289">
        <f ca="1"/>
        <v>-0.10210221862083954</v>
      </c>
      <c r="AB81" s="136">
        <f ca="1"/>
        <v>-0.52081378098183195</v>
      </c>
      <c r="AC81" s="455"/>
      <c r="AD81" s="455"/>
      <c r="AE81" s="455"/>
    </row>
    <row r="82" spans="2:36" x14ac:dyDescent="0.25">
      <c r="D82" s="135">
        <f ca="1"/>
        <v>0.82079536005409337</v>
      </c>
      <c r="E82" s="289">
        <f ca="1"/>
        <v>0.61793246371250865</v>
      </c>
      <c r="F82" s="289">
        <f ca="1"/>
        <v>-1.3466588678274796</v>
      </c>
      <c r="G82" s="289">
        <f ca="1"/>
        <v>-0.12827791600451344</v>
      </c>
      <c r="H82" s="136">
        <f ca="1"/>
        <v>-0.17698844504820233</v>
      </c>
      <c r="M82" s="135">
        <f ca="1"/>
        <v>-2.0492589722121508</v>
      </c>
      <c r="N82" s="289">
        <f ca="1"/>
        <v>0.28478540431095722</v>
      </c>
      <c r="O82" s="289">
        <f ca="1"/>
        <v>0.39372598320848995</v>
      </c>
      <c r="P82" s="289">
        <f ca="1"/>
        <v>-0.5745230326962294</v>
      </c>
      <c r="Q82" s="136">
        <f ca="1"/>
        <v>0.21858397895859533</v>
      </c>
      <c r="V82" s="455"/>
      <c r="W82" s="455"/>
      <c r="X82" s="135">
        <f ca="1"/>
        <v>0.82079536005409337</v>
      </c>
      <c r="Y82" s="289">
        <f ca="1"/>
        <v>0.61793246371250865</v>
      </c>
      <c r="Z82" s="289">
        <f ca="1"/>
        <v>-1.3466588678274796</v>
      </c>
      <c r="AA82" s="289">
        <f ca="1"/>
        <v>-0.12827791600451344</v>
      </c>
      <c r="AB82" s="136">
        <f ca="1"/>
        <v>-0.17698844504820233</v>
      </c>
      <c r="AC82" s="455"/>
      <c r="AD82" s="455"/>
      <c r="AE82" s="455"/>
    </row>
    <row r="83" spans="2:36" x14ac:dyDescent="0.25">
      <c r="D83" s="135">
        <f ca="1"/>
        <v>-2.5528312879719279</v>
      </c>
      <c r="E83" s="289">
        <f ca="1"/>
        <v>0.29691031563146875</v>
      </c>
      <c r="F83" s="289">
        <f ca="1"/>
        <v>0.27808394980380907</v>
      </c>
      <c r="G83" s="289">
        <f ca="1"/>
        <v>0.44539774631615076</v>
      </c>
      <c r="H83" s="136">
        <f ca="1"/>
        <v>-0.31079358334370855</v>
      </c>
      <c r="M83" s="135">
        <f ca="1"/>
        <v>-0.33651429357523716</v>
      </c>
      <c r="N83" s="289">
        <f ca="1"/>
        <v>-0.76437673134373885</v>
      </c>
      <c r="O83" s="289">
        <f ca="1"/>
        <v>0.20662935169266924</v>
      </c>
      <c r="P83" s="289">
        <f ca="1"/>
        <v>2.0452873304035442</v>
      </c>
      <c r="Q83" s="136">
        <f ca="1"/>
        <v>0.13279307440324442</v>
      </c>
      <c r="V83" s="455"/>
      <c r="W83" s="455"/>
      <c r="X83" s="135">
        <f ca="1"/>
        <v>-2.5528312879719279</v>
      </c>
      <c r="Y83" s="289">
        <f ca="1"/>
        <v>0.29691031563146875</v>
      </c>
      <c r="Z83" s="289">
        <f ca="1"/>
        <v>0.27808394980380907</v>
      </c>
      <c r="AA83" s="289">
        <f ca="1"/>
        <v>0.44539774631615076</v>
      </c>
      <c r="AB83" s="136">
        <f ca="1"/>
        <v>-0.31079358334370855</v>
      </c>
      <c r="AC83" s="455"/>
      <c r="AD83" s="455"/>
      <c r="AE83" s="455"/>
    </row>
    <row r="84" spans="2:36" x14ac:dyDescent="0.25">
      <c r="D84" s="135">
        <f ca="1"/>
        <v>-0.35508869593067621</v>
      </c>
      <c r="E84" s="289">
        <f ca="1"/>
        <v>2.473226548926343</v>
      </c>
      <c r="F84" s="289">
        <f ca="1"/>
        <v>1.5462889736876682</v>
      </c>
      <c r="G84" s="289">
        <f ca="1"/>
        <v>-0.26354671448282113</v>
      </c>
      <c r="H84" s="136">
        <f ca="1"/>
        <v>-0.26861340529971534</v>
      </c>
      <c r="M84" s="135">
        <f ca="1"/>
        <v>0.96456983493745785</v>
      </c>
      <c r="N84" s="289">
        <f ca="1"/>
        <v>0.2974381744348194</v>
      </c>
      <c r="O84" s="289">
        <f ca="1"/>
        <v>-0.66416735827039775</v>
      </c>
      <c r="P84" s="289">
        <f ca="1"/>
        <v>-1.1740047346845341</v>
      </c>
      <c r="Q84" s="136">
        <f ca="1"/>
        <v>-2.0515326737820851</v>
      </c>
      <c r="V84" s="455"/>
      <c r="W84" s="455"/>
      <c r="X84" s="135">
        <f ca="1"/>
        <v>-0.35508869593067621</v>
      </c>
      <c r="Y84" s="289">
        <f ca="1"/>
        <v>2.473226548926343</v>
      </c>
      <c r="Z84" s="289">
        <f ca="1"/>
        <v>1.5462889736876682</v>
      </c>
      <c r="AA84" s="289">
        <f ca="1"/>
        <v>-0.26354671448282113</v>
      </c>
      <c r="AB84" s="136">
        <f ca="1"/>
        <v>-0.26861340529971534</v>
      </c>
      <c r="AC84" s="455"/>
      <c r="AD84" s="455"/>
      <c r="AE84" s="455"/>
    </row>
    <row r="85" spans="2:36" x14ac:dyDescent="0.25">
      <c r="D85" s="135">
        <f ca="1"/>
        <v>-9.1431096942242635E-2</v>
      </c>
      <c r="E85" s="289">
        <f ca="1"/>
        <v>0.42641284474781083</v>
      </c>
      <c r="F85" s="289">
        <f ca="1"/>
        <v>-0.5923458699002222</v>
      </c>
      <c r="G85" s="289">
        <f ca="1"/>
        <v>1.2013235212028235</v>
      </c>
      <c r="H85" s="136">
        <f ca="1"/>
        <v>2.3611673657222285</v>
      </c>
      <c r="M85" s="135">
        <f ca="1"/>
        <v>1.7185865011779202</v>
      </c>
      <c r="N85" s="289">
        <f ca="1"/>
        <v>-0.2884818052458844</v>
      </c>
      <c r="O85" s="289">
        <f ca="1"/>
        <v>-0.21632146817917425</v>
      </c>
      <c r="P85" s="289">
        <f ca="1"/>
        <v>-0.3599440989690163</v>
      </c>
      <c r="Q85" s="136">
        <f ca="1"/>
        <v>-0.97435375802600133</v>
      </c>
      <c r="V85" s="455"/>
      <c r="W85" s="455"/>
      <c r="X85" s="135">
        <f ca="1"/>
        <v>-9.1431096942242635E-2</v>
      </c>
      <c r="Y85" s="289">
        <f ca="1"/>
        <v>0.42641284474781083</v>
      </c>
      <c r="Z85" s="289">
        <f ca="1"/>
        <v>-0.5923458699002222</v>
      </c>
      <c r="AA85" s="289">
        <f ca="1"/>
        <v>1.2013235212028235</v>
      </c>
      <c r="AB85" s="136">
        <f ca="1"/>
        <v>2.3611673657222285</v>
      </c>
      <c r="AC85" s="455"/>
      <c r="AD85" s="455"/>
      <c r="AE85" s="455"/>
    </row>
    <row r="86" spans="2:36" x14ac:dyDescent="0.25">
      <c r="D86" s="135">
        <f ca="1"/>
        <v>-0.21187073507578053</v>
      </c>
      <c r="E86" s="289">
        <f ca="1"/>
        <v>-0.98270009982047668</v>
      </c>
      <c r="F86" s="289">
        <f ca="1"/>
        <v>1.9342596462199904</v>
      </c>
      <c r="G86" s="289">
        <f ca="1"/>
        <v>0.81312021724325545</v>
      </c>
      <c r="H86" s="136">
        <f ca="1"/>
        <v>2.6847701181165196E-2</v>
      </c>
      <c r="M86" s="135">
        <f ca="1"/>
        <v>0.76598288450363161</v>
      </c>
      <c r="N86" s="289">
        <f ca="1"/>
        <v>1.5870388345993123</v>
      </c>
      <c r="O86" s="289">
        <f ca="1"/>
        <v>-8.4546987876763791E-2</v>
      </c>
      <c r="P86" s="289">
        <f ca="1"/>
        <v>-0.53553436856164371</v>
      </c>
      <c r="Q86" s="136">
        <f ca="1"/>
        <v>0.94998486438860852</v>
      </c>
      <c r="V86" s="455"/>
      <c r="W86" s="455"/>
      <c r="X86" s="135">
        <f ca="1"/>
        <v>-0.21187073507578053</v>
      </c>
      <c r="Y86" s="289">
        <f ca="1"/>
        <v>-0.98270009982047668</v>
      </c>
      <c r="Z86" s="289">
        <f ca="1"/>
        <v>1.9342596462199904</v>
      </c>
      <c r="AA86" s="289">
        <f ca="1"/>
        <v>0.81312021724325545</v>
      </c>
      <c r="AB86" s="136">
        <f ca="1"/>
        <v>2.6847701181165196E-2</v>
      </c>
      <c r="AC86" s="455"/>
      <c r="AD86" s="455"/>
      <c r="AE86" s="455"/>
    </row>
    <row r="87" spans="2:36" x14ac:dyDescent="0.25">
      <c r="D87" s="135">
        <f ca="1"/>
        <v>-0.30267530359008576</v>
      </c>
      <c r="E87" s="289">
        <f ca="1"/>
        <v>-0.10619811325803392</v>
      </c>
      <c r="F87" s="289">
        <f ca="1"/>
        <v>1.1920352851635663</v>
      </c>
      <c r="G87" s="289">
        <f ca="1"/>
        <v>-4.2323241996771725E-2</v>
      </c>
      <c r="H87" s="136">
        <f ca="1"/>
        <v>0.82332740776042657</v>
      </c>
      <c r="M87" s="135">
        <f ca="1"/>
        <v>-1.0787446958523739</v>
      </c>
      <c r="N87" s="289">
        <f ca="1"/>
        <v>1.2965006471377027</v>
      </c>
      <c r="O87" s="289">
        <f ca="1"/>
        <v>-6.3466530546962094E-2</v>
      </c>
      <c r="P87" s="289">
        <f ca="1"/>
        <v>-4.7911125790783098E-2</v>
      </c>
      <c r="Q87" s="136">
        <f ca="1"/>
        <v>-0.33236165203571055</v>
      </c>
      <c r="V87" s="455"/>
      <c r="W87" s="455"/>
      <c r="X87" s="135">
        <f ca="1"/>
        <v>-0.30267530359008576</v>
      </c>
      <c r="Y87" s="289">
        <f ca="1"/>
        <v>-0.10619811325803392</v>
      </c>
      <c r="Z87" s="289">
        <f ca="1"/>
        <v>1.1920352851635663</v>
      </c>
      <c r="AA87" s="289">
        <f ca="1"/>
        <v>-4.2323241996771725E-2</v>
      </c>
      <c r="AB87" s="136">
        <f ca="1"/>
        <v>0.82332740776042657</v>
      </c>
      <c r="AC87" s="455"/>
      <c r="AD87" s="455"/>
      <c r="AE87" s="455"/>
    </row>
    <row r="88" spans="2:36" x14ac:dyDescent="0.25">
      <c r="D88" s="135">
        <f ca="1"/>
        <v>0.21279899182954726</v>
      </c>
      <c r="E88" s="289">
        <f ca="1"/>
        <v>-1.1424438777784323</v>
      </c>
      <c r="F88" s="289">
        <f ca="1"/>
        <v>-2.1354251794755204E-2</v>
      </c>
      <c r="G88" s="289">
        <f ca="1"/>
        <v>-1.6548896512828936E-2</v>
      </c>
      <c r="H88" s="136">
        <f ca="1"/>
        <v>-1.1483938988369959</v>
      </c>
      <c r="M88" s="135">
        <f ca="1"/>
        <v>1.1264485430315012</v>
      </c>
      <c r="N88" s="289">
        <f ca="1"/>
        <v>0.47279505230548646</v>
      </c>
      <c r="O88" s="289">
        <f ca="1"/>
        <v>-0.69213719375978666</v>
      </c>
      <c r="P88" s="289">
        <f ca="1"/>
        <v>-1.1813708606478739</v>
      </c>
      <c r="Q88" s="136">
        <f ca="1"/>
        <v>-2.5974834642072446</v>
      </c>
      <c r="V88" s="455"/>
      <c r="W88" s="455"/>
      <c r="X88" s="135">
        <f ca="1"/>
        <v>0.21279899182954726</v>
      </c>
      <c r="Y88" s="289">
        <f ca="1"/>
        <v>-1.1424438777784323</v>
      </c>
      <c r="Z88" s="289">
        <f ca="1"/>
        <v>-2.1354251794755204E-2</v>
      </c>
      <c r="AA88" s="289">
        <f ca="1"/>
        <v>-1.6548896512828936E-2</v>
      </c>
      <c r="AB88" s="136">
        <f ca="1"/>
        <v>-1.1483938988369959</v>
      </c>
      <c r="AC88" s="455"/>
      <c r="AD88" s="455"/>
      <c r="AE88" s="455"/>
    </row>
    <row r="89" spans="2:36" x14ac:dyDescent="0.25">
      <c r="D89" s="137">
        <f ca="1"/>
        <v>5.1409210374823731E-2</v>
      </c>
      <c r="E89" s="201">
        <f ca="1"/>
        <v>-0.21243260074195636</v>
      </c>
      <c r="F89" s="201">
        <f ca="1"/>
        <v>-0.55942050834103574</v>
      </c>
      <c r="G89" s="201">
        <f ca="1"/>
        <v>-0.21798606731311601</v>
      </c>
      <c r="H89" s="138">
        <f ca="1"/>
        <v>-0.77437601649928833</v>
      </c>
      <c r="M89" s="137">
        <f ca="1"/>
        <v>1.126803671515602</v>
      </c>
      <c r="N89" s="201">
        <f ca="1"/>
        <v>-0.12578769910307161</v>
      </c>
      <c r="O89" s="201">
        <f ca="1"/>
        <v>0.31471271671617157</v>
      </c>
      <c r="P89" s="201">
        <f ca="1"/>
        <v>0.49205901100567589</v>
      </c>
      <c r="Q89" s="138">
        <f ca="1"/>
        <v>-1.051816981198425</v>
      </c>
      <c r="V89" s="455"/>
      <c r="W89" s="455"/>
      <c r="X89" s="137">
        <f ca="1"/>
        <v>5.1409210374823731E-2</v>
      </c>
      <c r="Y89" s="201">
        <f ca="1"/>
        <v>-0.21243260074195636</v>
      </c>
      <c r="Z89" s="201">
        <f ca="1"/>
        <v>-0.55942050834103574</v>
      </c>
      <c r="AA89" s="201">
        <f ca="1"/>
        <v>-0.21798606731311601</v>
      </c>
      <c r="AB89" s="138">
        <f ca="1"/>
        <v>-0.77437601649928833</v>
      </c>
      <c r="AC89" s="455"/>
      <c r="AD89" s="455"/>
      <c r="AE89" s="455"/>
    </row>
    <row r="93" spans="2:36" ht="18.75" x14ac:dyDescent="0.3">
      <c r="B93" s="3" t="s">
        <v>505</v>
      </c>
      <c r="C93" s="316"/>
      <c r="D93" s="316"/>
      <c r="E93" s="316"/>
      <c r="F93" s="316"/>
      <c r="G93" s="316"/>
      <c r="H93" s="316"/>
      <c r="I93" s="316"/>
      <c r="J93" s="316"/>
      <c r="K93" s="316"/>
      <c r="L93" s="316"/>
      <c r="M93" s="316"/>
      <c r="N93" s="316"/>
      <c r="O93" s="316"/>
      <c r="P93" s="316"/>
      <c r="Q93" s="316"/>
      <c r="R93" s="316"/>
      <c r="S93" s="316"/>
      <c r="T93" s="316"/>
      <c r="U93" s="316"/>
      <c r="V93" s="316"/>
      <c r="W93" s="316"/>
      <c r="X93" s="316"/>
      <c r="Y93" s="316"/>
      <c r="Z93" s="316"/>
      <c r="AA93" s="316"/>
      <c r="AB93" s="316"/>
      <c r="AC93" s="316"/>
      <c r="AD93" s="316"/>
      <c r="AE93" s="316"/>
      <c r="AF93" s="316"/>
      <c r="AG93" s="316"/>
      <c r="AH93" s="316"/>
      <c r="AI93" s="316"/>
      <c r="AJ93" s="316"/>
    </row>
    <row r="94" spans="2:36" x14ac:dyDescent="0.25">
      <c r="B94" s="455"/>
      <c r="C94" s="455"/>
      <c r="D94" s="455"/>
      <c r="E94" s="455"/>
      <c r="F94" s="455"/>
      <c r="G94" s="455"/>
      <c r="H94" s="455"/>
      <c r="I94" s="455"/>
      <c r="J94" s="455"/>
      <c r="K94" s="455"/>
    </row>
    <row r="95" spans="2:36" x14ac:dyDescent="0.25">
      <c r="B95" s="59" t="s">
        <v>155</v>
      </c>
      <c r="C95" s="310" t="str" cm="1">
        <f t="array" ref="C95">_xll.d.TestUtils_And(J100,U100)</f>
        <v>Ok</v>
      </c>
      <c r="D95" s="308"/>
      <c r="E95" s="308"/>
      <c r="F95" s="308"/>
      <c r="G95" s="308"/>
      <c r="H95" s="308"/>
      <c r="I95" s="308"/>
      <c r="J95" s="308"/>
      <c r="K95" s="308"/>
    </row>
    <row r="96" spans="2:36" x14ac:dyDescent="0.25">
      <c r="B96" s="308"/>
      <c r="C96" s="308"/>
      <c r="D96" s="308"/>
      <c r="E96" s="308"/>
      <c r="F96" s="308"/>
      <c r="G96" s="308"/>
      <c r="H96" s="308"/>
      <c r="I96" s="309"/>
      <c r="J96" s="309"/>
      <c r="K96" s="455"/>
    </row>
    <row r="97" spans="2:36" ht="15.75" x14ac:dyDescent="0.25">
      <c r="B97" s="4" t="s">
        <v>510</v>
      </c>
      <c r="C97" s="317"/>
      <c r="D97" s="317"/>
      <c r="E97" s="317"/>
      <c r="F97" s="317"/>
      <c r="G97" s="317"/>
      <c r="H97" s="317"/>
      <c r="I97" s="317"/>
      <c r="J97" s="317"/>
      <c r="K97" s="455"/>
      <c r="L97" s="4" t="s">
        <v>509</v>
      </c>
      <c r="M97" s="317"/>
      <c r="N97" s="317"/>
      <c r="O97" s="317"/>
      <c r="P97" s="317"/>
      <c r="Q97" s="317"/>
      <c r="R97" s="317"/>
      <c r="S97" s="317"/>
      <c r="T97" s="317"/>
      <c r="U97" s="317"/>
      <c r="W97" s="4" t="s">
        <v>512</v>
      </c>
      <c r="X97" s="317"/>
      <c r="Y97" s="317"/>
      <c r="Z97" s="317"/>
      <c r="AA97" s="317"/>
      <c r="AB97" s="317"/>
      <c r="AC97" s="317"/>
      <c r="AD97" s="317"/>
      <c r="AE97" s="317"/>
      <c r="AF97" s="317"/>
      <c r="AG97" s="317"/>
      <c r="AH97" s="317"/>
      <c r="AI97" s="317"/>
      <c r="AJ97" s="317"/>
    </row>
    <row r="98" spans="2:36" x14ac:dyDescent="0.25">
      <c r="G98" s="455"/>
      <c r="H98" s="455"/>
      <c r="I98" s="455"/>
      <c r="K98" s="455"/>
      <c r="W98" s="455"/>
      <c r="X98" s="455"/>
      <c r="Y98" s="455"/>
      <c r="Z98" s="455"/>
      <c r="AA98" s="455"/>
      <c r="AB98" s="455"/>
      <c r="AC98" s="455"/>
      <c r="AD98" s="455"/>
      <c r="AE98" s="455"/>
      <c r="AF98" s="455"/>
    </row>
    <row r="99" spans="2:36" x14ac:dyDescent="0.25">
      <c r="B99" s="413" t="s">
        <v>241</v>
      </c>
      <c r="C99" s="455"/>
      <c r="D99" s="455"/>
      <c r="E99" s="131" t="s">
        <v>129</v>
      </c>
      <c r="F99" s="132"/>
      <c r="H99" s="132" t="s">
        <v>508</v>
      </c>
      <c r="I99" s="131" t="s">
        <v>507</v>
      </c>
      <c r="J99" s="131" t="s">
        <v>83</v>
      </c>
      <c r="K99" s="455"/>
      <c r="L99" s="413" t="s">
        <v>241</v>
      </c>
      <c r="M99" s="455"/>
      <c r="N99" s="455"/>
      <c r="O99" s="132" t="s">
        <v>82</v>
      </c>
      <c r="P99" s="202"/>
      <c r="Q99" s="202"/>
      <c r="R99" s="131" t="s">
        <v>81</v>
      </c>
      <c r="S99" s="131"/>
      <c r="T99" s="131"/>
      <c r="U99" s="131" t="s">
        <v>83</v>
      </c>
      <c r="W99" s="413" t="s">
        <v>241</v>
      </c>
      <c r="X99" s="455"/>
      <c r="Y99" s="455"/>
      <c r="Z99" s="132" t="s">
        <v>82</v>
      </c>
      <c r="AA99" s="202"/>
      <c r="AB99" s="202"/>
      <c r="AC99" s="202"/>
      <c r="AD99" s="202"/>
      <c r="AE99" s="131" t="s">
        <v>81</v>
      </c>
      <c r="AF99" s="131"/>
      <c r="AG99" s="131"/>
      <c r="AH99" s="131"/>
      <c r="AI99" s="131"/>
      <c r="AJ99" s="131" t="s">
        <v>83</v>
      </c>
    </row>
    <row r="100" spans="2:36" x14ac:dyDescent="0.25">
      <c r="B100" s="414" t="s">
        <v>389</v>
      </c>
      <c r="C100" s="455"/>
      <c r="D100" s="455"/>
      <c r="E100" s="133" cm="1">
        <f t="array" ref="E100:F1099">_xll.d.Stats_CorrelatedNormalRandomNumbers(B101,1000,B104:C105)</f>
        <v>-0.63711590014289476</v>
      </c>
      <c r="F100" s="134">
        <v>0.84456194899566184</v>
      </c>
      <c r="H100" s="415">
        <v>0.02</v>
      </c>
      <c r="I100" s="460">
        <f>CORREL(E100:E1099,F100:F1099)</f>
        <v>0.48560602595764718</v>
      </c>
      <c r="J100" s="320" t="str" cm="1">
        <f t="array" ref="J100">_xll.d.TestUtils_Equal(I100,C104,H100)</f>
        <v>Ok</v>
      </c>
      <c r="K100" s="455"/>
      <c r="L100" s="414" t="s">
        <v>389</v>
      </c>
      <c r="M100" s="455"/>
      <c r="N100" s="455"/>
      <c r="O100" s="564" t="s">
        <v>485</v>
      </c>
      <c r="P100" s="586"/>
      <c r="Q100" s="586"/>
      <c r="R100" s="587" t="str" cm="1">
        <f t="array" ref="R100">_xll.d.Stats_CorrelatedNormalRandomNumbers(L101,10000,L104:N105)</f>
        <v>#∂Excel Error: Matrix is not square.</v>
      </c>
      <c r="S100" s="547"/>
      <c r="T100" s="566"/>
      <c r="U100" s="320" t="str" cm="1">
        <f t="array" ref="U100">_xll.d.TestUtils_Equal(O100,R100)</f>
        <v>Ok</v>
      </c>
      <c r="W100" s="414" t="s">
        <v>389</v>
      </c>
      <c r="X100" s="455"/>
      <c r="Y100" s="455"/>
      <c r="Z100" s="564" t="s">
        <v>511</v>
      </c>
      <c r="AA100" s="586"/>
      <c r="AB100" s="586"/>
      <c r="AC100" s="586"/>
      <c r="AD100" s="586"/>
      <c r="AE100" s="587" t="str" cm="1">
        <f t="array" ref="AE100">_xll.d.Stats_CorrelatedNormalRandomNumbers(W101,10000,W104:X105)</f>
        <v>#∂Excel Error: Diagonal elements of the correlation matrix must be 1.</v>
      </c>
      <c r="AF100" s="547"/>
      <c r="AG100" s="566"/>
      <c r="AH100" s="566"/>
      <c r="AI100" s="566"/>
      <c r="AJ100" s="320" t="str" cm="1">
        <f t="array" ref="AJ100">_xll.d.TestUtils_Equal(Z100,AE100)</f>
        <v>Ok</v>
      </c>
    </row>
    <row r="101" spans="2:36" x14ac:dyDescent="0.25">
      <c r="B101" s="416">
        <v>1337</v>
      </c>
      <c r="C101" s="455"/>
      <c r="D101" s="455"/>
      <c r="E101" s="135">
        <v>0.15231246463563991</v>
      </c>
      <c r="F101" s="136">
        <v>0.47829429270237378</v>
      </c>
      <c r="G101" s="455"/>
      <c r="H101" s="455"/>
      <c r="I101" s="455"/>
      <c r="K101" s="455"/>
      <c r="L101" s="416">
        <v>1337</v>
      </c>
      <c r="M101" s="455"/>
      <c r="N101" s="455"/>
      <c r="O101" s="455"/>
      <c r="P101" s="455"/>
      <c r="Q101" s="455"/>
      <c r="R101" s="455"/>
      <c r="S101" s="455"/>
      <c r="T101" s="455"/>
      <c r="U101" s="455"/>
      <c r="V101" s="455"/>
      <c r="W101" s="416">
        <v>1337</v>
      </c>
      <c r="X101" s="455"/>
      <c r="Y101" s="455"/>
      <c r="Z101" s="455"/>
      <c r="AA101" s="455"/>
      <c r="AB101" s="455"/>
      <c r="AC101" s="455"/>
      <c r="AD101" s="455"/>
      <c r="AE101" s="455"/>
      <c r="AF101" s="455"/>
      <c r="AG101" s="455"/>
      <c r="AH101" s="455"/>
    </row>
    <row r="102" spans="2:36" x14ac:dyDescent="0.25">
      <c r="B102" s="455"/>
      <c r="C102" s="455"/>
      <c r="D102" s="455"/>
      <c r="E102" s="135">
        <v>-0.9998813019474484</v>
      </c>
      <c r="F102" s="136">
        <v>-0.42248079145312911</v>
      </c>
      <c r="G102" s="455"/>
      <c r="I102" s="455"/>
      <c r="J102" s="455"/>
      <c r="K102" s="455"/>
      <c r="L102" s="455"/>
      <c r="M102" s="455"/>
      <c r="N102" s="455"/>
      <c r="O102" s="455"/>
      <c r="P102" s="455"/>
      <c r="Q102" s="455"/>
      <c r="R102" s="455"/>
      <c r="S102" s="455"/>
      <c r="T102" s="455"/>
      <c r="W102" s="455"/>
      <c r="X102" s="455"/>
      <c r="Y102" s="455"/>
      <c r="Z102" s="455"/>
      <c r="AA102" s="455"/>
      <c r="AB102" s="455"/>
      <c r="AC102" s="455"/>
      <c r="AD102" s="455"/>
      <c r="AE102" s="455"/>
      <c r="AF102" s="455"/>
    </row>
    <row r="103" spans="2:36" x14ac:dyDescent="0.25">
      <c r="B103" s="578" t="s">
        <v>506</v>
      </c>
      <c r="C103" s="579"/>
      <c r="D103" s="455"/>
      <c r="E103" s="135">
        <v>-0.79747485963926357</v>
      </c>
      <c r="F103" s="136">
        <v>-9.5083842356327608E-2</v>
      </c>
      <c r="G103" s="455"/>
      <c r="I103" s="455"/>
      <c r="J103" s="455"/>
      <c r="K103" s="455"/>
      <c r="L103" s="578" t="s">
        <v>506</v>
      </c>
      <c r="M103" s="579"/>
      <c r="N103" s="579"/>
      <c r="O103" s="455"/>
      <c r="P103" s="455"/>
      <c r="Q103" s="455"/>
      <c r="R103" s="455"/>
      <c r="S103" s="455"/>
      <c r="T103" s="455"/>
      <c r="W103" s="578" t="s">
        <v>506</v>
      </c>
      <c r="X103" s="579"/>
      <c r="Z103" s="455"/>
      <c r="AA103" s="455"/>
      <c r="AB103" s="455"/>
      <c r="AC103" s="455"/>
      <c r="AD103" s="455"/>
      <c r="AE103" s="455"/>
      <c r="AF103" s="455"/>
    </row>
    <row r="104" spans="2:36" x14ac:dyDescent="0.25">
      <c r="B104" s="580">
        <v>1</v>
      </c>
      <c r="C104" s="581">
        <v>0.5</v>
      </c>
      <c r="D104" s="455"/>
      <c r="E104" s="135">
        <v>-0.5884160994078016</v>
      </c>
      <c r="F104" s="136">
        <v>-0.9023636271852018</v>
      </c>
      <c r="G104" s="455"/>
      <c r="H104" s="455"/>
      <c r="I104" s="455"/>
      <c r="J104" s="455"/>
      <c r="K104" s="455"/>
      <c r="L104" s="580">
        <v>1</v>
      </c>
      <c r="M104" s="584">
        <v>0.5</v>
      </c>
      <c r="N104" s="581">
        <v>0.1</v>
      </c>
      <c r="O104" s="455"/>
      <c r="P104" s="455"/>
      <c r="Q104" s="455"/>
      <c r="R104" s="455"/>
      <c r="S104" s="455"/>
      <c r="T104" s="455"/>
      <c r="W104" s="580">
        <v>1</v>
      </c>
      <c r="X104" s="581">
        <v>0.5</v>
      </c>
      <c r="Z104" s="455"/>
      <c r="AA104" s="455"/>
      <c r="AB104" s="455"/>
      <c r="AC104" s="455"/>
      <c r="AD104" s="455"/>
      <c r="AE104" s="455"/>
      <c r="AF104" s="455"/>
    </row>
    <row r="105" spans="2:36" x14ac:dyDescent="0.25">
      <c r="B105" s="582">
        <v>0.5</v>
      </c>
      <c r="C105" s="583">
        <v>1</v>
      </c>
      <c r="D105" s="455"/>
      <c r="E105" s="135">
        <v>0.10819798524690837</v>
      </c>
      <c r="F105" s="136">
        <v>-0.16053601760642122</v>
      </c>
      <c r="G105" s="455"/>
      <c r="H105" s="455"/>
      <c r="I105" s="455"/>
      <c r="L105" s="582">
        <v>0.5</v>
      </c>
      <c r="M105" s="585">
        <v>1</v>
      </c>
      <c r="N105" s="583">
        <v>0.1</v>
      </c>
      <c r="O105" s="455"/>
      <c r="P105" s="455"/>
      <c r="Q105" s="455"/>
      <c r="R105" s="455"/>
      <c r="S105" s="455"/>
      <c r="T105" s="455"/>
      <c r="W105" s="582">
        <v>0.5</v>
      </c>
      <c r="X105" s="583">
        <v>0.1</v>
      </c>
      <c r="Z105" s="455"/>
      <c r="AA105" s="455"/>
      <c r="AB105" s="455"/>
      <c r="AC105" s="455"/>
      <c r="AD105" s="455"/>
      <c r="AE105" s="455"/>
      <c r="AF105" s="455"/>
    </row>
    <row r="106" spans="2:36" x14ac:dyDescent="0.25">
      <c r="B106" s="455"/>
      <c r="C106" s="455"/>
      <c r="D106" s="455"/>
      <c r="E106" s="135">
        <v>-0.10215483425175563</v>
      </c>
      <c r="F106" s="136">
        <v>0.82298047661168872</v>
      </c>
      <c r="G106" s="455"/>
      <c r="H106" s="455"/>
      <c r="I106" s="455"/>
      <c r="J106" s="455"/>
      <c r="K106" s="455"/>
      <c r="L106" s="455"/>
      <c r="M106" s="455"/>
      <c r="N106" s="455"/>
      <c r="O106" s="455"/>
      <c r="P106" s="455"/>
      <c r="Q106" s="455"/>
      <c r="R106" s="455"/>
      <c r="S106" s="455"/>
      <c r="T106" s="455"/>
    </row>
    <row r="107" spans="2:36" x14ac:dyDescent="0.25">
      <c r="B107" s="455"/>
      <c r="C107" s="455"/>
      <c r="D107" s="455"/>
      <c r="E107" s="135">
        <v>-1.8253861328037648</v>
      </c>
      <c r="F107" s="136">
        <v>-1.602159433313876</v>
      </c>
      <c r="G107" s="455"/>
      <c r="H107" s="455"/>
      <c r="I107" s="455"/>
      <c r="J107" s="455"/>
      <c r="O107" s="455"/>
      <c r="P107" s="455"/>
    </row>
    <row r="108" spans="2:36" x14ac:dyDescent="0.25">
      <c r="B108" s="455"/>
      <c r="C108" s="455"/>
      <c r="D108" s="455"/>
      <c r="E108" s="135">
        <v>-0.46490277119672319</v>
      </c>
      <c r="F108" s="136">
        <v>0.54743340516363714</v>
      </c>
      <c r="G108" s="455"/>
      <c r="H108" s="455"/>
      <c r="I108" s="455"/>
      <c r="O108" s="455"/>
      <c r="P108" s="455"/>
    </row>
    <row r="109" spans="2:36" x14ac:dyDescent="0.25">
      <c r="B109" s="455"/>
      <c r="C109" s="455"/>
      <c r="D109" s="455"/>
      <c r="E109" s="135">
        <v>-0.72121450340504112</v>
      </c>
      <c r="F109" s="136">
        <v>-0.64315233368067881</v>
      </c>
      <c r="G109" s="455"/>
      <c r="H109" s="455"/>
      <c r="I109" s="455"/>
      <c r="O109" s="455"/>
      <c r="P109" s="455"/>
    </row>
    <row r="110" spans="2:36" x14ac:dyDescent="0.25">
      <c r="B110" s="455"/>
      <c r="C110" s="455"/>
      <c r="D110" s="455"/>
      <c r="E110" s="135">
        <v>4.6120309846438508E-2</v>
      </c>
      <c r="F110" s="136">
        <v>-0.5928001919386181</v>
      </c>
      <c r="G110" s="455"/>
      <c r="H110" s="455"/>
      <c r="I110" s="455"/>
    </row>
    <row r="111" spans="2:36" x14ac:dyDescent="0.25">
      <c r="B111" s="455"/>
      <c r="C111" s="455"/>
      <c r="D111" s="455"/>
      <c r="E111" s="135">
        <v>0.23298387080043784</v>
      </c>
      <c r="F111" s="136">
        <v>1.1894164015965809</v>
      </c>
      <c r="G111" s="455"/>
      <c r="H111" s="455"/>
      <c r="I111" s="455"/>
    </row>
    <row r="112" spans="2:36" x14ac:dyDescent="0.25">
      <c r="B112" s="455"/>
      <c r="C112" s="455"/>
      <c r="D112" s="455"/>
      <c r="E112" s="135">
        <v>-0.63736695093064755</v>
      </c>
      <c r="F112" s="136">
        <v>0.66553663357392834</v>
      </c>
      <c r="G112" s="455"/>
      <c r="H112" s="455"/>
      <c r="I112" s="455"/>
    </row>
    <row r="113" spans="2:11" x14ac:dyDescent="0.25">
      <c r="B113" s="455"/>
      <c r="C113" s="455"/>
      <c r="D113" s="455"/>
      <c r="E113" s="135">
        <v>-0.42607435867377447</v>
      </c>
      <c r="F113" s="136">
        <v>-1.8109423534872184</v>
      </c>
      <c r="G113" s="455"/>
      <c r="H113" s="455"/>
      <c r="I113" s="455"/>
    </row>
    <row r="114" spans="2:11" x14ac:dyDescent="0.25">
      <c r="B114" s="455"/>
      <c r="C114" s="455"/>
      <c r="D114" s="455"/>
      <c r="E114" s="135">
        <v>1.9788808392213517</v>
      </c>
      <c r="F114" s="136">
        <v>0.59982135212765764</v>
      </c>
      <c r="G114" s="455"/>
      <c r="H114" s="455">
        <v>999</v>
      </c>
      <c r="I114" s="455"/>
    </row>
    <row r="115" spans="2:11" x14ac:dyDescent="0.25">
      <c r="B115" s="455"/>
      <c r="C115" s="455"/>
      <c r="D115" s="455"/>
      <c r="E115" s="135">
        <v>-0.61135617247427165</v>
      </c>
      <c r="F115" s="136">
        <v>-0.16199824588518494</v>
      </c>
      <c r="G115" s="455"/>
      <c r="H115" s="455"/>
      <c r="I115" s="455"/>
    </row>
    <row r="116" spans="2:11" x14ac:dyDescent="0.25">
      <c r="B116" s="455"/>
      <c r="C116" s="455"/>
      <c r="D116" s="455"/>
      <c r="E116" s="135">
        <v>0.62134768002507634</v>
      </c>
      <c r="F116" s="136">
        <v>5.0881786810330065E-2</v>
      </c>
      <c r="G116" s="455"/>
      <c r="H116" s="455">
        <f t="array" aca="1" ref="H116:K121" ca="1">_xll.d.Stats_NormalRandomNumbers(H114)</f>
        <v>0.85392973639129077</v>
      </c>
      <c r="I116" s="455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 x14ac:dyDescent="0.25">
      <c r="B117" s="455"/>
      <c r="C117" s="455"/>
      <c r="D117" s="455"/>
      <c r="E117" s="135">
        <v>-0.50308335820540317</v>
      </c>
      <c r="F117" s="136">
        <v>-1.7375185163355833</v>
      </c>
      <c r="G117" s="455"/>
      <c r="H117" s="455">
        <f ca="1"/>
        <v>-1.0322023815188879</v>
      </c>
      <c r="I117" s="455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 x14ac:dyDescent="0.25">
      <c r="B118" s="455"/>
      <c r="C118" s="455"/>
      <c r="D118" s="455"/>
      <c r="E118" s="135">
        <v>-1.198947290104817</v>
      </c>
      <c r="F118" s="136">
        <v>-0.80776135102045443</v>
      </c>
      <c r="G118" s="455"/>
      <c r="H118" s="455">
        <f ca="1"/>
        <v>6.9042963498172613E-2</v>
      </c>
      <c r="I118" s="455">
        <f ca="1"/>
        <v>-1.3350788697713949</v>
      </c>
      <c r="J118">
        <f ca="1"/>
        <v>0.13675004093725446</v>
      </c>
      <c r="K118">
        <f ca="1"/>
        <v>0.80624669458561615</v>
      </c>
    </row>
    <row r="119" spans="2:11" x14ac:dyDescent="0.25">
      <c r="B119" s="455"/>
      <c r="C119" s="455"/>
      <c r="D119" s="455"/>
      <c r="E119" s="135">
        <v>0.85011456561901899</v>
      </c>
      <c r="F119" s="136">
        <v>0.75433223195935672</v>
      </c>
      <c r="G119" s="455"/>
      <c r="H119" s="455">
        <f ca="1"/>
        <v>2.6411542062581432</v>
      </c>
      <c r="I119" s="455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 x14ac:dyDescent="0.25">
      <c r="B120" s="455"/>
      <c r="C120" s="455"/>
      <c r="D120" s="455"/>
      <c r="E120" s="135">
        <v>-0.28904080804777654</v>
      </c>
      <c r="F120" s="136">
        <v>-0.13114332596663178</v>
      </c>
      <c r="G120" s="455"/>
      <c r="H120" s="455">
        <f ca="1"/>
        <v>-1.1794402126118952</v>
      </c>
      <c r="I120" s="455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 x14ac:dyDescent="0.25">
      <c r="B121" s="455"/>
      <c r="C121" s="455"/>
      <c r="D121" s="455"/>
      <c r="E121" s="135">
        <v>-1.3097052116291188</v>
      </c>
      <c r="F121" s="136">
        <v>-0.77132035795250675</v>
      </c>
      <c r="G121" s="455"/>
      <c r="H121" s="455">
        <f ca="1"/>
        <v>-0.7897459322874546</v>
      </c>
      <c r="I121" s="455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 x14ac:dyDescent="0.25">
      <c r="B122" s="455"/>
      <c r="C122" s="455"/>
      <c r="D122" s="455"/>
      <c r="E122" s="135">
        <v>0.32788629545256831</v>
      </c>
      <c r="F122" s="136">
        <v>-0.44640862778964918</v>
      </c>
      <c r="G122" s="455"/>
      <c r="H122" s="455"/>
      <c r="I122" s="455"/>
    </row>
    <row r="123" spans="2:11" x14ac:dyDescent="0.25">
      <c r="B123" s="455"/>
      <c r="C123" s="455"/>
      <c r="D123" s="455"/>
      <c r="E123" s="135">
        <v>-0.35007770185857218</v>
      </c>
      <c r="F123" s="136">
        <v>-0.2158987628205247</v>
      </c>
      <c r="G123" s="455"/>
      <c r="H123" s="455"/>
      <c r="I123" s="455"/>
    </row>
    <row r="124" spans="2:11" x14ac:dyDescent="0.25">
      <c r="B124" s="455"/>
      <c r="C124" s="455"/>
      <c r="D124" s="455"/>
      <c r="E124" s="135">
        <v>-1.1500680545803554</v>
      </c>
      <c r="F124" s="136">
        <v>-0.6318260811190054</v>
      </c>
      <c r="G124" s="455"/>
      <c r="H124" s="455"/>
      <c r="I124" s="455"/>
    </row>
    <row r="125" spans="2:11" x14ac:dyDescent="0.25">
      <c r="B125" s="455"/>
      <c r="C125" s="455"/>
      <c r="D125" s="455"/>
      <c r="E125" s="135">
        <v>0.64691193539250558</v>
      </c>
      <c r="F125" s="136">
        <v>0.16330750234458277</v>
      </c>
      <c r="G125" s="455"/>
      <c r="H125" s="455" cm="1">
        <f t="array" aca="1" ref="H125:J126" ca="1">_xll.d.Stats_NormalRandomNumbers(H114,2,3)</f>
        <v>0.85392973639129077</v>
      </c>
      <c r="I125" s="455">
        <f ca="1"/>
        <v>6.9042963498172613E-2</v>
      </c>
      <c r="J125">
        <f ca="1"/>
        <v>-1.1794402126118952</v>
      </c>
    </row>
    <row r="126" spans="2:11" x14ac:dyDescent="0.25">
      <c r="B126" s="455"/>
      <c r="C126" s="455"/>
      <c r="D126" s="455"/>
      <c r="E126" s="135">
        <v>2.1332675037689501</v>
      </c>
      <c r="F126" s="136">
        <v>0.5141581185646944</v>
      </c>
      <c r="G126" s="455"/>
      <c r="H126" s="455">
        <f ca="1"/>
        <v>-1.0322023815188879</v>
      </c>
      <c r="I126" s="455">
        <f ca="1"/>
        <v>2.6411542062581432</v>
      </c>
      <c r="J126">
        <f ca="1"/>
        <v>-0.7897459322874546</v>
      </c>
    </row>
    <row r="127" spans="2:11" x14ac:dyDescent="0.25">
      <c r="B127" s="455"/>
      <c r="C127" s="455"/>
      <c r="D127" s="455"/>
      <c r="E127" s="135">
        <v>-0.99466901445455624</v>
      </c>
      <c r="F127" s="136">
        <v>-0.79085024171276141</v>
      </c>
      <c r="G127" s="455"/>
      <c r="H127" s="455"/>
      <c r="I127" s="455"/>
    </row>
    <row r="128" spans="2:11" x14ac:dyDescent="0.25">
      <c r="B128" s="455"/>
      <c r="C128" s="455"/>
      <c r="D128" s="455"/>
      <c r="E128" s="135">
        <v>-0.14279798956905393</v>
      </c>
      <c r="F128" s="136">
        <v>-0.31071129788837526</v>
      </c>
      <c r="G128" s="455"/>
      <c r="H128" s="455"/>
      <c r="I128" s="455"/>
    </row>
    <row r="129" spans="2:9" x14ac:dyDescent="0.25">
      <c r="B129" s="455"/>
      <c r="C129" s="455"/>
      <c r="D129" s="455"/>
      <c r="E129" s="135">
        <v>1.092291704880513</v>
      </c>
      <c r="F129" s="136">
        <v>0.93315283024169848</v>
      </c>
      <c r="G129" s="455"/>
      <c r="H129" s="455"/>
      <c r="I129" s="455"/>
    </row>
    <row r="130" spans="2:9" x14ac:dyDescent="0.25">
      <c r="B130" s="455"/>
      <c r="C130" s="455"/>
      <c r="D130" s="455"/>
      <c r="E130" s="135">
        <v>0.80488972711453355</v>
      </c>
      <c r="F130" s="136">
        <v>1.4541362445210737</v>
      </c>
      <c r="G130" s="455"/>
      <c r="H130" s="455"/>
      <c r="I130" s="455"/>
    </row>
    <row r="131" spans="2:9" x14ac:dyDescent="0.25">
      <c r="B131" s="455"/>
      <c r="C131" s="455"/>
      <c r="D131" s="455"/>
      <c r="E131" s="135">
        <v>0.80605770412109401</v>
      </c>
      <c r="F131" s="136">
        <v>0.30077271057027066</v>
      </c>
      <c r="G131" s="455"/>
      <c r="H131" s="455"/>
      <c r="I131" s="455"/>
    </row>
    <row r="132" spans="2:9" x14ac:dyDescent="0.25">
      <c r="B132" s="455"/>
      <c r="C132" s="455"/>
      <c r="D132" s="455"/>
      <c r="E132" s="135">
        <v>0.82079536005409337</v>
      </c>
      <c r="F132" s="136">
        <v>6.0340443408998967E-2</v>
      </c>
      <c r="G132" s="455"/>
      <c r="H132" s="455"/>
      <c r="I132" s="455"/>
    </row>
    <row r="133" spans="2:9" x14ac:dyDescent="0.25">
      <c r="B133" s="455"/>
      <c r="C133" s="455"/>
      <c r="D133" s="455"/>
      <c r="E133" s="135">
        <v>-2.5528312879719279</v>
      </c>
      <c r="F133" s="136">
        <v>-0.93906848741894711</v>
      </c>
      <c r="G133" s="455"/>
      <c r="H133" s="455"/>
      <c r="I133" s="455"/>
    </row>
    <row r="134" spans="2:9" x14ac:dyDescent="0.25">
      <c r="B134" s="455"/>
      <c r="C134" s="455"/>
      <c r="D134" s="455"/>
      <c r="E134" s="135">
        <v>-0.35508869593067621</v>
      </c>
      <c r="F134" s="136">
        <v>-1.1014430688808257</v>
      </c>
      <c r="G134" s="455"/>
      <c r="H134" s="455"/>
      <c r="I134" s="455"/>
    </row>
    <row r="135" spans="2:9" x14ac:dyDescent="0.25">
      <c r="B135" s="455"/>
      <c r="C135" s="455"/>
      <c r="D135" s="455"/>
      <c r="E135" s="135">
        <v>-9.1431096942242635E-2</v>
      </c>
      <c r="F135" s="136">
        <v>1.2131612383010271</v>
      </c>
      <c r="G135" s="455"/>
      <c r="H135" s="455"/>
      <c r="I135" s="455"/>
    </row>
    <row r="136" spans="2:9" x14ac:dyDescent="0.25">
      <c r="B136" s="455"/>
      <c r="C136" s="455"/>
      <c r="D136" s="455"/>
      <c r="E136" s="135">
        <v>-0.21187073507578053</v>
      </c>
      <c r="F136" s="136">
        <v>0.41328272517271725</v>
      </c>
      <c r="G136" s="455"/>
      <c r="H136" s="455"/>
      <c r="I136" s="455"/>
    </row>
    <row r="137" spans="2:9" x14ac:dyDescent="0.25">
      <c r="B137" s="455"/>
      <c r="C137" s="455"/>
      <c r="D137" s="455"/>
      <c r="E137" s="135">
        <v>-0.30267530359008576</v>
      </c>
      <c r="F137" s="136">
        <v>-1.288533726326472</v>
      </c>
      <c r="G137" s="455"/>
      <c r="H137" s="455"/>
      <c r="I137" s="455"/>
    </row>
    <row r="138" spans="2:9" x14ac:dyDescent="0.25">
      <c r="B138" s="455"/>
      <c r="C138" s="455"/>
      <c r="D138" s="455"/>
      <c r="E138" s="135">
        <v>0.21279899182954726</v>
      </c>
      <c r="F138" s="136">
        <v>-0.3789423448663205</v>
      </c>
      <c r="G138" s="455"/>
      <c r="H138" s="455"/>
      <c r="I138" s="455"/>
    </row>
    <row r="139" spans="2:9" x14ac:dyDescent="0.25">
      <c r="B139" s="455"/>
      <c r="C139" s="455"/>
      <c r="D139" s="455"/>
      <c r="E139" s="135">
        <v>5.1409210374823731E-2</v>
      </c>
      <c r="F139" s="136">
        <v>-1.8738822833676356</v>
      </c>
      <c r="G139" s="455"/>
      <c r="H139" s="455"/>
      <c r="I139" s="455"/>
    </row>
    <row r="140" spans="2:9" x14ac:dyDescent="0.25">
      <c r="D140" s="455"/>
      <c r="E140" s="135">
        <v>0.70685522048944815</v>
      </c>
      <c r="F140" s="136">
        <v>1.0028923126608638</v>
      </c>
      <c r="G140" s="455"/>
      <c r="H140" s="455"/>
      <c r="I140" s="455"/>
    </row>
    <row r="141" spans="2:9" x14ac:dyDescent="0.25">
      <c r="E141" s="135">
        <v>-0.33198021492010854</v>
      </c>
      <c r="F141" s="136">
        <v>-0.74412006725614055</v>
      </c>
    </row>
    <row r="142" spans="2:9" x14ac:dyDescent="0.25">
      <c r="E142" s="135">
        <v>-0.88600131746401845</v>
      </c>
      <c r="F142" s="136">
        <v>1.931276287589698</v>
      </c>
    </row>
    <row r="143" spans="2:9" x14ac:dyDescent="0.25">
      <c r="E143" s="135">
        <v>-6.1108551057670997E-2</v>
      </c>
      <c r="F143" s="136">
        <v>0.38857864712905388</v>
      </c>
    </row>
    <row r="144" spans="2:9" x14ac:dyDescent="0.25">
      <c r="E144" s="135">
        <v>-0.55874715130596764</v>
      </c>
      <c r="F144" s="136">
        <v>-0.15289113445596356</v>
      </c>
    </row>
    <row r="145" spans="5:6" x14ac:dyDescent="0.25">
      <c r="E145" s="135">
        <v>1.0965073943909254</v>
      </c>
      <c r="F145" s="136">
        <v>0.22389670655705418</v>
      </c>
    </row>
    <row r="146" spans="5:6" x14ac:dyDescent="0.25">
      <c r="E146" s="135">
        <v>0.44051757578957157</v>
      </c>
      <c r="F146" s="136">
        <v>-0.59697631692200226</v>
      </c>
    </row>
    <row r="147" spans="5:6" x14ac:dyDescent="0.25">
      <c r="E147" s="135">
        <v>-0.24037216180075424</v>
      </c>
      <c r="F147" s="136">
        <v>-1.0904447104487331</v>
      </c>
    </row>
    <row r="148" spans="5:6" x14ac:dyDescent="0.25">
      <c r="E148" s="135">
        <v>-8.8166823894022877E-4</v>
      </c>
      <c r="F148" s="136">
        <v>-0.14206662939394221</v>
      </c>
    </row>
    <row r="149" spans="5:6" x14ac:dyDescent="0.25">
      <c r="E149" s="135">
        <v>-0.14969739262215401</v>
      </c>
      <c r="F149" s="136">
        <v>-0.54389019516318227</v>
      </c>
    </row>
    <row r="150" spans="5:6" x14ac:dyDescent="0.25">
      <c r="E150" s="135">
        <v>-0.92083350795883689</v>
      </c>
      <c r="F150" s="136">
        <v>-0.6532211587259702</v>
      </c>
    </row>
    <row r="151" spans="5:6" x14ac:dyDescent="0.25">
      <c r="E151" s="135">
        <v>-1.0764899712107359</v>
      </c>
      <c r="F151" s="136">
        <v>-0.62558832667807129</v>
      </c>
    </row>
    <row r="152" spans="5:6" x14ac:dyDescent="0.25">
      <c r="E152" s="135">
        <v>-0.21947173866600425</v>
      </c>
      <c r="F152" s="136">
        <v>-1.9825498064517193</v>
      </c>
    </row>
    <row r="153" spans="5:6" x14ac:dyDescent="0.25">
      <c r="E153" s="135">
        <v>0.91605467339775526</v>
      </c>
      <c r="F153" s="136">
        <v>2.0018973536605671</v>
      </c>
    </row>
    <row r="154" spans="5:6" x14ac:dyDescent="0.25">
      <c r="E154" s="135">
        <v>-0.8444992802006771</v>
      </c>
      <c r="F154" s="136">
        <v>-1.6568717233794024</v>
      </c>
    </row>
    <row r="155" spans="5:6" x14ac:dyDescent="0.25">
      <c r="E155" s="135">
        <v>1.2682963768981825</v>
      </c>
      <c r="F155" s="136">
        <v>-0.31174255977801213</v>
      </c>
    </row>
    <row r="156" spans="5:6" x14ac:dyDescent="0.25">
      <c r="E156" s="135">
        <v>7.9542410013188777E-2</v>
      </c>
      <c r="F156" s="136">
        <v>0.46488023069332784</v>
      </c>
    </row>
    <row r="157" spans="5:6" x14ac:dyDescent="0.25">
      <c r="E157" s="135">
        <v>1.4640300463756799</v>
      </c>
      <c r="F157" s="136">
        <v>0.15418034983715145</v>
      </c>
    </row>
    <row r="158" spans="5:6" x14ac:dyDescent="0.25">
      <c r="E158" s="135">
        <v>0.96357590104857871</v>
      </c>
      <c r="F158" s="136">
        <v>0.58988453502361859</v>
      </c>
    </row>
    <row r="159" spans="5:6" x14ac:dyDescent="0.25">
      <c r="E159" s="135">
        <v>0.30429192596407545</v>
      </c>
      <c r="F159" s="136">
        <v>-0.5658548187915855</v>
      </c>
    </row>
    <row r="160" spans="5:6" x14ac:dyDescent="0.25">
      <c r="E160" s="135">
        <v>-0.89553364635263466</v>
      </c>
      <c r="F160" s="136">
        <v>0.84636171659955217</v>
      </c>
    </row>
    <row r="161" spans="5:6" x14ac:dyDescent="0.25">
      <c r="E161" s="135">
        <v>1.7215300670511962</v>
      </c>
      <c r="F161" s="136">
        <v>9.7436835425233292E-2</v>
      </c>
    </row>
    <row r="162" spans="5:6" x14ac:dyDescent="0.25">
      <c r="E162" s="135">
        <v>1.720830635000675</v>
      </c>
      <c r="F162" s="136">
        <v>1.0680493815912231</v>
      </c>
    </row>
    <row r="163" spans="5:6" x14ac:dyDescent="0.25">
      <c r="E163" s="135">
        <v>1.1800027393927328</v>
      </c>
      <c r="F163" s="136">
        <v>-0.68984026678608856</v>
      </c>
    </row>
    <row r="164" spans="5:6" x14ac:dyDescent="0.25">
      <c r="E164" s="135">
        <v>-0.18806037521523697</v>
      </c>
      <c r="F164" s="136">
        <v>0.33552774842138905</v>
      </c>
    </row>
    <row r="165" spans="5:6" x14ac:dyDescent="0.25">
      <c r="E165" s="135">
        <v>0.89115808668949248</v>
      </c>
      <c r="F165" s="136">
        <v>1.6116385324900733</v>
      </c>
    </row>
    <row r="166" spans="5:6" x14ac:dyDescent="0.25">
      <c r="E166" s="135">
        <v>1.0044329379325341E-2</v>
      </c>
      <c r="F166" s="136">
        <v>8.7580589072781836E-2</v>
      </c>
    </row>
    <row r="167" spans="5:6" x14ac:dyDescent="0.25">
      <c r="E167" s="135">
        <v>0.50225278398034379</v>
      </c>
      <c r="F167" s="136">
        <v>-1.0459785177088876</v>
      </c>
    </row>
    <row r="168" spans="5:6" x14ac:dyDescent="0.25">
      <c r="E168" s="135">
        <v>2.6249780866021383E-2</v>
      </c>
      <c r="F168" s="136">
        <v>0.18348089637100526</v>
      </c>
    </row>
    <row r="169" spans="5:6" x14ac:dyDescent="0.25">
      <c r="E169" s="135">
        <v>0.50433622145908918</v>
      </c>
      <c r="F169" s="136">
        <v>-0.79726646667356205</v>
      </c>
    </row>
    <row r="170" spans="5:6" x14ac:dyDescent="0.25">
      <c r="E170" s="135">
        <v>-2.1496502133888749</v>
      </c>
      <c r="F170" s="136">
        <v>-2.6038828407039869</v>
      </c>
    </row>
    <row r="171" spans="5:6" x14ac:dyDescent="0.25">
      <c r="E171" s="135">
        <v>0.98500956747093471</v>
      </c>
      <c r="F171" s="136">
        <v>0.25895359302116328</v>
      </c>
    </row>
    <row r="172" spans="5:6" x14ac:dyDescent="0.25">
      <c r="E172" s="135">
        <v>0.61793246371250865</v>
      </c>
      <c r="F172" s="136">
        <v>-0.26116679452390029</v>
      </c>
    </row>
    <row r="173" spans="5:6" x14ac:dyDescent="0.25">
      <c r="E173" s="135">
        <v>0.29691031563146875</v>
      </c>
      <c r="F173" s="136">
        <v>-0.36719619291951078</v>
      </c>
    </row>
    <row r="174" spans="5:6" x14ac:dyDescent="0.25">
      <c r="E174" s="135">
        <v>2.473226548926343</v>
      </c>
      <c r="F174" s="136">
        <v>1.4788301555563361</v>
      </c>
    </row>
    <row r="175" spans="5:6" x14ac:dyDescent="0.25">
      <c r="E175" s="135">
        <v>0.42641284474781083</v>
      </c>
      <c r="F175" s="136">
        <v>0.9917780957273985</v>
      </c>
    </row>
    <row r="176" spans="5:6" x14ac:dyDescent="0.25">
      <c r="E176" s="135">
        <v>-0.98270009982047668</v>
      </c>
      <c r="F176" s="136">
        <v>-1.7597574684440569</v>
      </c>
    </row>
    <row r="177" spans="5:6" x14ac:dyDescent="0.25">
      <c r="E177" s="135">
        <v>-0.10619811325803392</v>
      </c>
      <c r="F177" s="136">
        <v>0.78540808588238253</v>
      </c>
    </row>
    <row r="178" spans="5:6" x14ac:dyDescent="0.25">
      <c r="E178" s="135">
        <v>-1.1424438777784323</v>
      </c>
      <c r="F178" s="136">
        <v>-0.67239730283557686</v>
      </c>
    </row>
    <row r="179" spans="5:6" x14ac:dyDescent="0.25">
      <c r="E179" s="135">
        <v>-0.21243260074195636</v>
      </c>
      <c r="F179" s="136">
        <v>0.69779561595897988</v>
      </c>
    </row>
    <row r="180" spans="5:6" x14ac:dyDescent="0.25">
      <c r="E180" s="135">
        <v>-0.31907668375768672</v>
      </c>
      <c r="F180" s="136">
        <v>0.40312133513288823</v>
      </c>
    </row>
    <row r="181" spans="5:6" x14ac:dyDescent="0.25">
      <c r="E181" s="135">
        <v>0.33468800840166441</v>
      </c>
      <c r="F181" s="136">
        <v>-0.51737760632027097</v>
      </c>
    </row>
    <row r="182" spans="5:6" x14ac:dyDescent="0.25">
      <c r="E182" s="135">
        <v>0.50499676151927686</v>
      </c>
      <c r="F182" s="136">
        <v>-1.3967719780239771</v>
      </c>
    </row>
    <row r="183" spans="5:6" x14ac:dyDescent="0.25">
      <c r="E183" s="135">
        <v>0.863608628387463</v>
      </c>
      <c r="F183" s="136">
        <v>1.7669497901936559E-2</v>
      </c>
    </row>
    <row r="184" spans="5:6" x14ac:dyDescent="0.25">
      <c r="E184" s="135">
        <v>-2.7587630599172877</v>
      </c>
      <c r="F184" s="136">
        <v>-0.36719850654584918</v>
      </c>
    </row>
    <row r="185" spans="5:6" x14ac:dyDescent="0.25">
      <c r="E185" s="135">
        <v>0.46240265761130123</v>
      </c>
      <c r="F185" s="136">
        <v>0.41754659097565339</v>
      </c>
    </row>
    <row r="186" spans="5:6" x14ac:dyDescent="0.25">
      <c r="E186" s="135">
        <v>-0.33389589259671326</v>
      </c>
      <c r="F186" s="136">
        <v>0.38993347773094911</v>
      </c>
    </row>
    <row r="187" spans="5:6" x14ac:dyDescent="0.25">
      <c r="E187" s="135">
        <v>1.028058069270616</v>
      </c>
      <c r="F187" s="136">
        <v>-1.6547266679371242</v>
      </c>
    </row>
    <row r="188" spans="5:6" x14ac:dyDescent="0.25">
      <c r="E188" s="135">
        <v>-1.5659571515789519</v>
      </c>
      <c r="F188" s="136">
        <v>-0.49870755076942025</v>
      </c>
    </row>
    <row r="189" spans="5:6" x14ac:dyDescent="0.25">
      <c r="E189" s="135">
        <v>0.70609350471998489</v>
      </c>
      <c r="F189" s="136">
        <v>1.2108119898887917</v>
      </c>
    </row>
    <row r="190" spans="5:6" x14ac:dyDescent="0.25">
      <c r="E190" s="135">
        <v>0.80411972151375544</v>
      </c>
      <c r="F190" s="136">
        <v>-7.3410643817291454E-2</v>
      </c>
    </row>
    <row r="191" spans="5:6" x14ac:dyDescent="0.25">
      <c r="E191" s="135">
        <v>1.7547755576057253</v>
      </c>
      <c r="F191" s="136">
        <v>1.2650060777978471</v>
      </c>
    </row>
    <row r="192" spans="5:6" x14ac:dyDescent="0.25">
      <c r="E192" s="135">
        <v>-0.3859436116857301</v>
      </c>
      <c r="F192" s="136">
        <v>-0.5140861535916883</v>
      </c>
    </row>
    <row r="193" spans="5:6" x14ac:dyDescent="0.25">
      <c r="E193" s="135">
        <v>-1.6169891726572032</v>
      </c>
      <c r="F193" s="136">
        <v>-1.0241786448096504</v>
      </c>
    </row>
    <row r="194" spans="5:6" x14ac:dyDescent="0.25">
      <c r="E194" s="135">
        <v>0.53167290579956916</v>
      </c>
      <c r="F194" s="136">
        <v>-0.66222878597165336</v>
      </c>
    </row>
    <row r="195" spans="5:6" x14ac:dyDescent="0.25">
      <c r="E195" s="135">
        <v>6.5443228707294687E-2</v>
      </c>
      <c r="F195" s="136">
        <v>-0.50032654437531465</v>
      </c>
    </row>
    <row r="196" spans="5:6" x14ac:dyDescent="0.25">
      <c r="E196" s="135">
        <v>-2.1987215358931604E-2</v>
      </c>
      <c r="F196" s="136">
        <v>-0.57793881436663241</v>
      </c>
    </row>
    <row r="197" spans="5:6" x14ac:dyDescent="0.25">
      <c r="E197" s="135">
        <v>0.46256721575986759</v>
      </c>
      <c r="F197" s="136">
        <v>0.56688633803313615</v>
      </c>
    </row>
    <row r="198" spans="5:6" x14ac:dyDescent="0.25">
      <c r="E198" s="135">
        <v>1.9247923185797389</v>
      </c>
      <c r="F198" s="136">
        <v>1.3529757645210971</v>
      </c>
    </row>
    <row r="199" spans="5:6" x14ac:dyDescent="0.25">
      <c r="E199" s="135">
        <v>0.67152742633508133</v>
      </c>
      <c r="F199" s="136">
        <v>-0.95609413111295227</v>
      </c>
    </row>
    <row r="200" spans="5:6" x14ac:dyDescent="0.25">
      <c r="E200" s="135">
        <v>0.9780203880833418</v>
      </c>
      <c r="F200" s="136">
        <v>-1.1819663997930725</v>
      </c>
    </row>
    <row r="201" spans="5:6" x14ac:dyDescent="0.25">
      <c r="E201" s="135">
        <v>9.7776697591451453E-2</v>
      </c>
      <c r="F201" s="136">
        <v>0.35874386780712708</v>
      </c>
    </row>
    <row r="202" spans="5:6" x14ac:dyDescent="0.25">
      <c r="E202" s="135">
        <v>0.27993766822148569</v>
      </c>
      <c r="F202" s="136">
        <v>1.4468935158775549</v>
      </c>
    </row>
    <row r="203" spans="5:6" x14ac:dyDescent="0.25">
      <c r="E203" s="135">
        <v>-0.62779716766341387</v>
      </c>
      <c r="F203" s="136">
        <v>0.11048267487121821</v>
      </c>
    </row>
    <row r="204" spans="5:6" x14ac:dyDescent="0.25">
      <c r="E204" s="135">
        <v>0.16243660080584485</v>
      </c>
      <c r="F204" s="136">
        <v>-1.1153858107005596</v>
      </c>
    </row>
    <row r="205" spans="5:6" x14ac:dyDescent="0.25">
      <c r="E205" s="135">
        <v>0.9860723619258096</v>
      </c>
      <c r="F205" s="136">
        <v>0.65669165130257201</v>
      </c>
    </row>
    <row r="206" spans="5:6" x14ac:dyDescent="0.25">
      <c r="E206" s="135">
        <v>2.7930281231195897</v>
      </c>
      <c r="F206" s="136">
        <v>-0.26820361808402216</v>
      </c>
    </row>
    <row r="207" spans="5:6" x14ac:dyDescent="0.25">
      <c r="E207" s="135">
        <v>0.62792680297973469</v>
      </c>
      <c r="F207" s="136">
        <v>-0.31735748852766066</v>
      </c>
    </row>
    <row r="208" spans="5:6" x14ac:dyDescent="0.25">
      <c r="E208" s="135">
        <v>-0.65969703489988807</v>
      </c>
      <c r="F208" s="136">
        <v>-1.2439226638226892</v>
      </c>
    </row>
    <row r="209" spans="5:6" x14ac:dyDescent="0.25">
      <c r="E209" s="135">
        <v>1.0826951457065646</v>
      </c>
      <c r="F209" s="136">
        <v>-0.14723042317928869</v>
      </c>
    </row>
    <row r="210" spans="5:6" x14ac:dyDescent="0.25">
      <c r="E210" s="135">
        <v>-2.1868193390200261</v>
      </c>
      <c r="F210" s="136">
        <v>-9.0250202716002148E-2</v>
      </c>
    </row>
    <row r="211" spans="5:6" x14ac:dyDescent="0.25">
      <c r="E211" s="135">
        <v>-0.51374156559767825</v>
      </c>
      <c r="F211" s="136">
        <v>-0.38616334194847429</v>
      </c>
    </row>
    <row r="212" spans="5:6" x14ac:dyDescent="0.25">
      <c r="E212" s="135">
        <v>-1.3466588678274796</v>
      </c>
      <c r="F212" s="136">
        <v>-1.4269074673359015</v>
      </c>
    </row>
    <row r="213" spans="5:6" x14ac:dyDescent="0.25">
      <c r="E213" s="135">
        <v>0.27808394980380907</v>
      </c>
      <c r="F213" s="136">
        <v>-0.2313908448144856</v>
      </c>
    </row>
    <row r="214" spans="5:6" x14ac:dyDescent="0.25">
      <c r="E214" s="135">
        <v>1.5462889736876682</v>
      </c>
      <c r="F214" s="136">
        <v>0.24550932458339358</v>
      </c>
    </row>
    <row r="215" spans="5:6" x14ac:dyDescent="0.25">
      <c r="E215" s="135">
        <v>-0.5923458699002222</v>
      </c>
      <c r="F215" s="136">
        <v>-1.7487776314028172</v>
      </c>
    </row>
    <row r="216" spans="5:6" x14ac:dyDescent="0.25">
      <c r="E216" s="135">
        <v>1.9342596462199904</v>
      </c>
      <c r="F216" s="136">
        <v>0.84098735904030919</v>
      </c>
    </row>
    <row r="217" spans="5:6" x14ac:dyDescent="0.25">
      <c r="E217" s="135">
        <v>1.1920352851635663</v>
      </c>
      <c r="F217" s="136">
        <v>0.87536147648567963</v>
      </c>
    </row>
    <row r="218" spans="5:6" x14ac:dyDescent="0.25">
      <c r="E218" s="135">
        <v>-2.1354251794755204E-2</v>
      </c>
      <c r="F218" s="136">
        <v>-1.3234815477346407</v>
      </c>
    </row>
    <row r="219" spans="5:6" x14ac:dyDescent="0.25">
      <c r="E219" s="135">
        <v>-0.55942050834103574</v>
      </c>
      <c r="F219" s="136">
        <v>0.725925611984374</v>
      </c>
    </row>
    <row r="220" spans="5:6" x14ac:dyDescent="0.25">
      <c r="E220" s="135">
        <v>-0.40991003456258013</v>
      </c>
      <c r="F220" s="136">
        <v>0.49322847009673576</v>
      </c>
    </row>
    <row r="221" spans="5:6" x14ac:dyDescent="0.25">
      <c r="E221" s="135">
        <v>2.1988514227094039E-2</v>
      </c>
      <c r="F221" s="136">
        <v>-1.5016919635001784</v>
      </c>
    </row>
    <row r="222" spans="5:6" x14ac:dyDescent="0.25">
      <c r="E222" s="135">
        <v>0.59135175634258896</v>
      </c>
      <c r="F222" s="136">
        <v>-0.1341985937313846</v>
      </c>
    </row>
    <row r="223" spans="5:6" x14ac:dyDescent="0.25">
      <c r="E223" s="135">
        <v>-1.0507271193416956</v>
      </c>
      <c r="F223" s="136">
        <v>-0.51912754978794962</v>
      </c>
    </row>
    <row r="224" spans="5:6" x14ac:dyDescent="0.25">
      <c r="E224" s="135">
        <v>-2.2939473468112239</v>
      </c>
      <c r="F224" s="136">
        <v>-0.43243086924508789</v>
      </c>
    </row>
    <row r="225" spans="5:6" x14ac:dyDescent="0.25">
      <c r="E225" s="135">
        <v>0.48984251587331651</v>
      </c>
      <c r="F225" s="136">
        <v>0.3629032062244425</v>
      </c>
    </row>
    <row r="226" spans="5:6" x14ac:dyDescent="0.25">
      <c r="E226" s="135">
        <v>0.70615194140562998</v>
      </c>
      <c r="F226" s="136">
        <v>9.2672912177603151E-2</v>
      </c>
    </row>
    <row r="227" spans="5:6" x14ac:dyDescent="0.25">
      <c r="E227" s="135">
        <v>1.2259167836294167</v>
      </c>
      <c r="F227" s="136">
        <v>1.0843921508589793</v>
      </c>
    </row>
    <row r="228" spans="5:6" x14ac:dyDescent="0.25">
      <c r="E228" s="135">
        <v>0.44378998344608472</v>
      </c>
      <c r="F228" s="136">
        <v>-1.0519840370414137</v>
      </c>
    </row>
    <row r="229" spans="5:6" x14ac:dyDescent="0.25">
      <c r="E229" s="135">
        <v>9.6224928363146583E-2</v>
      </c>
      <c r="F229" s="136">
        <v>0.93412184024248879</v>
      </c>
    </row>
    <row r="230" spans="5:6" x14ac:dyDescent="0.25">
      <c r="E230" s="135">
        <v>-0.8762556877814629</v>
      </c>
      <c r="F230" s="136">
        <v>0.36321090216841856</v>
      </c>
    </row>
    <row r="231" spans="5:6" x14ac:dyDescent="0.25">
      <c r="E231" s="135">
        <v>0.72810708935373014</v>
      </c>
      <c r="F231" s="136">
        <v>-1.2747175556680839</v>
      </c>
    </row>
    <row r="232" spans="5:6" x14ac:dyDescent="0.25">
      <c r="E232" s="135">
        <v>0.43017177828252023</v>
      </c>
      <c r="F232" s="136">
        <v>0.59960909012051</v>
      </c>
    </row>
    <row r="233" spans="5:6" x14ac:dyDescent="0.25">
      <c r="E233" s="135">
        <v>-9.9853780857881491E-2</v>
      </c>
      <c r="F233" s="136">
        <v>8.641964573385108E-2</v>
      </c>
    </row>
    <row r="234" spans="5:6" x14ac:dyDescent="0.25">
      <c r="E234" s="135">
        <v>1.3476990609315769</v>
      </c>
      <c r="F234" s="136">
        <v>0.72722292187024484</v>
      </c>
    </row>
    <row r="235" spans="5:6" x14ac:dyDescent="0.25">
      <c r="E235" s="135">
        <v>0.43254942321321643</v>
      </c>
      <c r="F235" s="136">
        <v>0.6796151935048973</v>
      </c>
    </row>
    <row r="236" spans="5:6" x14ac:dyDescent="0.25">
      <c r="E236" s="135">
        <v>-0.98579270828865395</v>
      </c>
      <c r="F236" s="136">
        <v>-1.1020004327000179</v>
      </c>
    </row>
    <row r="237" spans="5:6" x14ac:dyDescent="0.25">
      <c r="E237" s="135">
        <v>0.13757711286725449</v>
      </c>
      <c r="F237" s="136">
        <v>0.55214171914025978</v>
      </c>
    </row>
    <row r="238" spans="5:6" x14ac:dyDescent="0.25">
      <c r="E238" s="135">
        <v>1.3443248184039669</v>
      </c>
      <c r="F238" s="136">
        <v>2.0675126085644502</v>
      </c>
    </row>
    <row r="239" spans="5:6" x14ac:dyDescent="0.25">
      <c r="E239" s="135">
        <v>0.80782203516718254</v>
      </c>
      <c r="F239" s="136">
        <v>0.96258203767303374</v>
      </c>
    </row>
    <row r="240" spans="5:6" x14ac:dyDescent="0.25">
      <c r="E240" s="135">
        <v>-0.45554694662875511</v>
      </c>
      <c r="F240" s="136">
        <v>-0.26785985321647476</v>
      </c>
    </row>
    <row r="241" spans="5:6" x14ac:dyDescent="0.25">
      <c r="E241" s="135">
        <v>1.1490936456210052</v>
      </c>
      <c r="F241" s="136">
        <v>0.64148097884025645</v>
      </c>
    </row>
    <row r="242" spans="5:6" x14ac:dyDescent="0.25">
      <c r="E242" s="135">
        <v>0.52525898259965065</v>
      </c>
      <c r="F242" s="136">
        <v>1.4662366261009321</v>
      </c>
    </row>
    <row r="243" spans="5:6" x14ac:dyDescent="0.25">
      <c r="E243" s="135">
        <v>1.0849418236383948</v>
      </c>
      <c r="F243" s="136">
        <v>1.711174537974709</v>
      </c>
    </row>
    <row r="244" spans="5:6" x14ac:dyDescent="0.25">
      <c r="E244" s="135">
        <v>-0.62663170461412543</v>
      </c>
      <c r="F244" s="136">
        <v>0.39816504441769107</v>
      </c>
    </row>
    <row r="245" spans="5:6" x14ac:dyDescent="0.25">
      <c r="E245" s="135">
        <v>-0.506742454491937</v>
      </c>
      <c r="F245" s="136">
        <v>0.6669141242949197</v>
      </c>
    </row>
    <row r="246" spans="5:6" x14ac:dyDescent="0.25">
      <c r="E246" s="135">
        <v>4.7540172641717976E-2</v>
      </c>
      <c r="F246" s="136">
        <v>0.42288059296144903</v>
      </c>
    </row>
    <row r="247" spans="5:6" x14ac:dyDescent="0.25">
      <c r="E247" s="135">
        <v>2.0691183604794094</v>
      </c>
      <c r="F247" s="136">
        <v>1.6587622090339909</v>
      </c>
    </row>
    <row r="248" spans="5:6" x14ac:dyDescent="0.25">
      <c r="E248" s="135">
        <v>-0.925057575262345</v>
      </c>
      <c r="F248" s="136">
        <v>-0.42510486449910184</v>
      </c>
    </row>
    <row r="249" spans="5:6" x14ac:dyDescent="0.25">
      <c r="E249" s="135">
        <v>0.59345089881883117</v>
      </c>
      <c r="F249" s="136">
        <v>0.72862405941001085</v>
      </c>
    </row>
    <row r="250" spans="5:6" x14ac:dyDescent="0.25">
      <c r="E250" s="135">
        <v>-8.0685653261843113E-2</v>
      </c>
      <c r="F250" s="136">
        <v>1.731766618511305</v>
      </c>
    </row>
    <row r="251" spans="5:6" x14ac:dyDescent="0.25">
      <c r="E251" s="135">
        <v>-0.10210221862083954</v>
      </c>
      <c r="F251" s="136">
        <v>-0.25689637294908702</v>
      </c>
    </row>
    <row r="252" spans="5:6" x14ac:dyDescent="0.25">
      <c r="E252" s="135">
        <v>-0.12827791600451344</v>
      </c>
      <c r="F252" s="136">
        <v>-1.4127687455611357</v>
      </c>
    </row>
    <row r="253" spans="5:6" x14ac:dyDescent="0.25">
      <c r="E253" s="135">
        <v>0.44539774631615076</v>
      </c>
      <c r="F253" s="136">
        <v>-0.39502098161145527</v>
      </c>
    </row>
    <row r="254" spans="5:6" x14ac:dyDescent="0.25">
      <c r="E254" s="135">
        <v>-0.26354671448282113</v>
      </c>
      <c r="F254" s="136">
        <v>0.84554057148406003</v>
      </c>
    </row>
    <row r="255" spans="5:6" x14ac:dyDescent="0.25">
      <c r="E255" s="135">
        <v>1.2013235212028235</v>
      </c>
      <c r="F255" s="136">
        <v>0.26351609490897043</v>
      </c>
    </row>
    <row r="256" spans="5:6" x14ac:dyDescent="0.25">
      <c r="E256" s="135">
        <v>0.81312021724325545</v>
      </c>
      <c r="F256" s="136">
        <v>-1.0403167836372549</v>
      </c>
    </row>
    <row r="257" spans="5:6" x14ac:dyDescent="0.25">
      <c r="E257" s="135">
        <v>-4.2323241996771725E-2</v>
      </c>
      <c r="F257" s="136">
        <v>-0.68121269443834886</v>
      </c>
    </row>
    <row r="258" spans="5:6" x14ac:dyDescent="0.25">
      <c r="E258" s="135">
        <v>-1.6548896512828936E-2</v>
      </c>
      <c r="F258" s="136">
        <v>-0.23548378140150569</v>
      </c>
    </row>
    <row r="259" spans="5:6" x14ac:dyDescent="0.25">
      <c r="E259" s="135">
        <v>-0.21798606731311601</v>
      </c>
      <c r="F259" s="136">
        <v>-0.73873213346534672</v>
      </c>
    </row>
    <row r="260" spans="5:6" x14ac:dyDescent="0.25">
      <c r="E260" s="135">
        <v>0.59461000541069997</v>
      </c>
      <c r="F260" s="136">
        <v>0.45331957473435291</v>
      </c>
    </row>
    <row r="261" spans="5:6" x14ac:dyDescent="0.25">
      <c r="E261" s="135">
        <v>-1.570800215687598</v>
      </c>
      <c r="F261" s="136">
        <v>-0.78302219841522325</v>
      </c>
    </row>
    <row r="262" spans="5:6" x14ac:dyDescent="0.25">
      <c r="E262" s="135">
        <v>0.81695537082956271</v>
      </c>
      <c r="F262" s="136">
        <v>0.37735640894415962</v>
      </c>
    </row>
    <row r="263" spans="5:6" x14ac:dyDescent="0.25">
      <c r="E263" s="135">
        <v>0.4991414877992304</v>
      </c>
      <c r="F263" s="136">
        <v>-0.68068778452307965</v>
      </c>
    </row>
    <row r="264" spans="5:6" x14ac:dyDescent="0.25">
      <c r="E264" s="135">
        <v>-0.38120894845031827</v>
      </c>
      <c r="F264" s="136">
        <v>-0.34638739553559389</v>
      </c>
    </row>
    <row r="265" spans="5:6" x14ac:dyDescent="0.25">
      <c r="E265" s="135">
        <v>-2.25076658419695</v>
      </c>
      <c r="F265" s="136">
        <v>0.10220883506805922</v>
      </c>
    </row>
    <row r="266" spans="5:6" x14ac:dyDescent="0.25">
      <c r="E266" s="135">
        <v>1.3386245087251876</v>
      </c>
      <c r="F266" s="136">
        <v>0.53453828680107107</v>
      </c>
    </row>
    <row r="267" spans="5:6" x14ac:dyDescent="0.25">
      <c r="E267" s="135">
        <v>-0.33280389867021648</v>
      </c>
      <c r="F267" s="136">
        <v>0.3316280478358099</v>
      </c>
    </row>
    <row r="268" spans="5:6" x14ac:dyDescent="0.25">
      <c r="E268" s="135">
        <v>0.56184004420843314</v>
      </c>
      <c r="F268" s="136">
        <v>-0.77382383446858305</v>
      </c>
    </row>
    <row r="269" spans="5:6" x14ac:dyDescent="0.25">
      <c r="E269" s="135">
        <v>0.2296039222600787</v>
      </c>
      <c r="F269" s="136">
        <v>0.18066190052338249</v>
      </c>
    </row>
    <row r="270" spans="5:6" x14ac:dyDescent="0.25">
      <c r="E270" s="135">
        <v>1.2660233063563722</v>
      </c>
      <c r="F270" s="136">
        <v>-0.30548795135767115</v>
      </c>
    </row>
    <row r="271" spans="5:6" x14ac:dyDescent="0.25">
      <c r="E271" s="135">
        <v>-4.9122462980273743E-2</v>
      </c>
      <c r="F271" s="136">
        <v>0.50578864005690882</v>
      </c>
    </row>
    <row r="272" spans="5:6" x14ac:dyDescent="0.25">
      <c r="E272" s="135">
        <v>-0.20136053851420513</v>
      </c>
      <c r="F272" s="136">
        <v>-0.54954365689927509</v>
      </c>
    </row>
    <row r="273" spans="5:6" x14ac:dyDescent="0.25">
      <c r="E273" s="135">
        <v>-0.83075713527444417</v>
      </c>
      <c r="F273" s="136">
        <v>-1.1717083101091978</v>
      </c>
    </row>
    <row r="274" spans="5:6" x14ac:dyDescent="0.25">
      <c r="E274" s="135">
        <v>-8.1515249102279419E-2</v>
      </c>
      <c r="F274" s="136">
        <v>1.0304467363717635</v>
      </c>
    </row>
    <row r="275" spans="5:6" x14ac:dyDescent="0.25">
      <c r="E275" s="135">
        <v>0.42060061179352987</v>
      </c>
      <c r="F275" s="136">
        <v>1.662823310112947</v>
      </c>
    </row>
    <row r="276" spans="5:6" x14ac:dyDescent="0.25">
      <c r="E276" s="135">
        <v>1.3042580425018544</v>
      </c>
      <c r="F276" s="136">
        <v>1.3219954339398186</v>
      </c>
    </row>
    <row r="277" spans="5:6" x14ac:dyDescent="0.25">
      <c r="E277" s="135">
        <v>1.903663328597879</v>
      </c>
      <c r="F277" s="136">
        <v>0.3503030131259961</v>
      </c>
    </row>
    <row r="278" spans="5:6" x14ac:dyDescent="0.25">
      <c r="E278" s="135">
        <v>0.34126673979749322</v>
      </c>
      <c r="F278" s="136">
        <v>-0.51015126805654698</v>
      </c>
    </row>
    <row r="279" spans="5:6" x14ac:dyDescent="0.25">
      <c r="E279" s="135">
        <v>-8.2646524328612386E-2</v>
      </c>
      <c r="F279" s="136">
        <v>1.8891529562242255</v>
      </c>
    </row>
    <row r="280" spans="5:6" x14ac:dyDescent="0.25">
      <c r="E280" s="135">
        <v>8.2384361896065766E-2</v>
      </c>
      <c r="F280" s="136">
        <v>-1.1060452282207176</v>
      </c>
    </row>
    <row r="281" spans="5:6" x14ac:dyDescent="0.25">
      <c r="E281" s="135">
        <v>-2.069075586550726</v>
      </c>
      <c r="F281" s="136">
        <v>-1.1617873239555496</v>
      </c>
    </row>
    <row r="282" spans="5:6" x14ac:dyDescent="0.25">
      <c r="E282" s="135">
        <v>-0.71433261283908289</v>
      </c>
      <c r="F282" s="136">
        <v>-0.3154772543327985</v>
      </c>
    </row>
    <row r="283" spans="5:6" x14ac:dyDescent="0.25">
      <c r="E283" s="135">
        <v>-0.6285170754115107</v>
      </c>
      <c r="F283" s="136">
        <v>0.23664941123335564</v>
      </c>
    </row>
    <row r="284" spans="5:6" x14ac:dyDescent="0.25">
      <c r="E284" s="135">
        <v>1.6118611296858081</v>
      </c>
      <c r="F284" s="136">
        <v>6.1293097251867712E-3</v>
      </c>
    </row>
    <row r="285" spans="5:6" x14ac:dyDescent="0.25">
      <c r="E285" s="135">
        <v>7.2347348245717744E-2</v>
      </c>
      <c r="F285" s="136">
        <v>-1.1190476668978369</v>
      </c>
    </row>
    <row r="286" spans="5:6" x14ac:dyDescent="0.25">
      <c r="E286" s="135">
        <v>0.14952454772362248</v>
      </c>
      <c r="F286" s="136">
        <v>-0.35778871848984461</v>
      </c>
    </row>
    <row r="287" spans="5:6" x14ac:dyDescent="0.25">
      <c r="E287" s="135">
        <v>-1.04703872441546</v>
      </c>
      <c r="F287" s="136">
        <v>-0.49072981931805509</v>
      </c>
    </row>
    <row r="288" spans="5:6" x14ac:dyDescent="0.25">
      <c r="E288" s="135">
        <v>0.69780853400880927</v>
      </c>
      <c r="F288" s="136">
        <v>-0.48430682279217935</v>
      </c>
    </row>
    <row r="289" spans="5:6" x14ac:dyDescent="0.25">
      <c r="E289" s="135">
        <v>1.1610661581658341E-2</v>
      </c>
      <c r="F289" s="136">
        <v>-7.9062556275647206E-2</v>
      </c>
    </row>
    <row r="290" spans="5:6" x14ac:dyDescent="0.25">
      <c r="E290" s="135">
        <v>-0.71874440154847874</v>
      </c>
      <c r="F290" s="136">
        <v>-0.69988350515313436</v>
      </c>
    </row>
    <row r="291" spans="5:6" x14ac:dyDescent="0.25">
      <c r="E291" s="135">
        <v>-0.52081378098183195</v>
      </c>
      <c r="F291" s="136">
        <v>-0.51517634276629454</v>
      </c>
    </row>
    <row r="292" spans="5:6" x14ac:dyDescent="0.25">
      <c r="E292" s="135">
        <v>-0.17698844504820233</v>
      </c>
      <c r="F292" s="136">
        <v>0.15325060482800892</v>
      </c>
    </row>
    <row r="293" spans="5:6" x14ac:dyDescent="0.25">
      <c r="E293" s="135">
        <v>-0.31079358334370855</v>
      </c>
      <c r="F293" s="136">
        <v>7.5188717718196796E-2</v>
      </c>
    </row>
    <row r="294" spans="5:6" x14ac:dyDescent="0.25">
      <c r="E294" s="135">
        <v>-0.26861340529971534</v>
      </c>
      <c r="F294" s="136">
        <v>1.5618059561919606</v>
      </c>
    </row>
    <row r="295" spans="5:6" x14ac:dyDescent="0.25">
      <c r="E295" s="135">
        <v>2.3611673657222285</v>
      </c>
      <c r="F295" s="136">
        <v>2.194633969150428E-2</v>
      </c>
    </row>
    <row r="296" spans="5:6" x14ac:dyDescent="0.25">
      <c r="E296" s="135">
        <v>2.6847701181165196E-2</v>
      </c>
      <c r="F296" s="136">
        <v>0.38662050881752241</v>
      </c>
    </row>
    <row r="297" spans="5:6" x14ac:dyDescent="0.25">
      <c r="E297" s="135">
        <v>0.82332740776042657</v>
      </c>
      <c r="F297" s="136">
        <v>-0.30786987564395546</v>
      </c>
    </row>
    <row r="298" spans="5:6" x14ac:dyDescent="0.25">
      <c r="E298" s="135">
        <v>-1.1483938988369959</v>
      </c>
      <c r="F298" s="136">
        <v>-0.77532454628879621</v>
      </c>
    </row>
    <row r="299" spans="5:6" x14ac:dyDescent="0.25">
      <c r="E299" s="135">
        <v>-0.77437601649928833</v>
      </c>
      <c r="F299" s="136">
        <v>-1.2493765056848987</v>
      </c>
    </row>
    <row r="300" spans="5:6" x14ac:dyDescent="0.25">
      <c r="E300" s="135">
        <v>0.47793876571724281</v>
      </c>
      <c r="F300" s="136">
        <v>-9.84433017208729E-2</v>
      </c>
    </row>
    <row r="301" spans="5:6" x14ac:dyDescent="0.25">
      <c r="E301" s="135">
        <v>0.15451206482047125</v>
      </c>
      <c r="F301" s="136">
        <v>-1.6415227916591519</v>
      </c>
    </row>
    <row r="302" spans="5:6" x14ac:dyDescent="0.25">
      <c r="E302" s="135">
        <v>-1.9158873728185031</v>
      </c>
      <c r="F302" s="136">
        <v>-1.2632413955537953</v>
      </c>
    </row>
    <row r="303" spans="5:6" x14ac:dyDescent="0.25">
      <c r="E303" s="135">
        <v>0.4028540647599621</v>
      </c>
      <c r="F303" s="136">
        <v>0.71918683690706331</v>
      </c>
    </row>
    <row r="304" spans="5:6" x14ac:dyDescent="0.25">
      <c r="E304" s="135">
        <v>-0.72624949522512361</v>
      </c>
      <c r="F304" s="136">
        <v>0.75150367900425308</v>
      </c>
    </row>
    <row r="305" spans="5:6" x14ac:dyDescent="0.25">
      <c r="E305" s="135">
        <v>0.55223779139543483</v>
      </c>
      <c r="F305" s="136">
        <v>-0.22940212486309941</v>
      </c>
    </row>
    <row r="306" spans="5:6" x14ac:dyDescent="0.25">
      <c r="E306" s="135">
        <v>0.63241458886202251</v>
      </c>
      <c r="F306" s="136">
        <v>-4.0771594443522519E-2</v>
      </c>
    </row>
    <row r="307" spans="5:6" x14ac:dyDescent="0.25">
      <c r="E307" s="135">
        <v>5.9104409101936206E-2</v>
      </c>
      <c r="F307" s="136">
        <v>0.14467709906444531</v>
      </c>
    </row>
    <row r="308" spans="5:6" x14ac:dyDescent="0.25">
      <c r="E308" s="135">
        <v>1.507898960928489</v>
      </c>
      <c r="F308" s="136">
        <v>-0.56629228195706249</v>
      </c>
    </row>
    <row r="309" spans="5:6" x14ac:dyDescent="0.25">
      <c r="E309" s="135">
        <v>-0.43997239473290289</v>
      </c>
      <c r="F309" s="136">
        <v>-0.26735067188611478</v>
      </c>
    </row>
    <row r="310" spans="5:6" x14ac:dyDescent="0.25">
      <c r="E310" s="135">
        <v>0.28872453933468351</v>
      </c>
      <c r="F310" s="136">
        <v>0.14661009974409445</v>
      </c>
    </row>
    <row r="311" spans="5:6" x14ac:dyDescent="0.25">
      <c r="E311" s="135">
        <v>-1.4093376067891694</v>
      </c>
      <c r="F311" s="136">
        <v>-1.4380910360360661</v>
      </c>
    </row>
    <row r="312" spans="5:6" x14ac:dyDescent="0.25">
      <c r="E312" s="135">
        <v>-0.2340367390958944</v>
      </c>
      <c r="F312" s="136">
        <v>-1.2972709844735437</v>
      </c>
    </row>
    <row r="313" spans="5:6" x14ac:dyDescent="0.25">
      <c r="E313" s="135">
        <v>-0.33699569757970882</v>
      </c>
      <c r="F313" s="136">
        <v>0.17840964047218894</v>
      </c>
    </row>
    <row r="314" spans="5:6" x14ac:dyDescent="0.25">
      <c r="E314" s="135">
        <v>1.0533787882459225</v>
      </c>
      <c r="F314" s="136">
        <v>-0.67792648175601322</v>
      </c>
    </row>
    <row r="315" spans="5:6" x14ac:dyDescent="0.25">
      <c r="E315" s="135">
        <v>-2.2302428189940606</v>
      </c>
      <c r="F315" s="136">
        <v>-1.9001586826091454</v>
      </c>
    </row>
    <row r="316" spans="5:6" x14ac:dyDescent="0.25">
      <c r="E316" s="135">
        <v>2.4487218447697972</v>
      </c>
      <c r="F316" s="136">
        <v>2.7680137218041319</v>
      </c>
    </row>
    <row r="317" spans="5:6" x14ac:dyDescent="0.25">
      <c r="E317" s="135">
        <v>0.33268729246838247</v>
      </c>
      <c r="F317" s="136">
        <v>-0.32913819587248988</v>
      </c>
    </row>
    <row r="318" spans="5:6" x14ac:dyDescent="0.25">
      <c r="E318" s="135">
        <v>-0.53776338944151358</v>
      </c>
      <c r="F318" s="136">
        <v>-0.36007773875436555</v>
      </c>
    </row>
    <row r="319" spans="5:6" x14ac:dyDescent="0.25">
      <c r="E319" s="135">
        <v>0.49610233281735061</v>
      </c>
      <c r="F319" s="136">
        <v>0.9443399986938511</v>
      </c>
    </row>
    <row r="320" spans="5:6" x14ac:dyDescent="0.25">
      <c r="E320" s="135">
        <v>-0.27888247339020289</v>
      </c>
      <c r="F320" s="136">
        <v>1.2110076682404705</v>
      </c>
    </row>
    <row r="321" spans="5:6" x14ac:dyDescent="0.25">
      <c r="E321" s="135">
        <v>0.67556043087452577</v>
      </c>
      <c r="F321" s="136">
        <v>-2.3928031493369417E-2</v>
      </c>
    </row>
    <row r="322" spans="5:6" x14ac:dyDescent="0.25">
      <c r="E322" s="135">
        <v>0.52140248312778248</v>
      </c>
      <c r="F322" s="136">
        <v>0.81415544368704773</v>
      </c>
    </row>
    <row r="323" spans="5:6" x14ac:dyDescent="0.25">
      <c r="E323" s="135">
        <v>-0.76429197845862151</v>
      </c>
      <c r="F323" s="136">
        <v>-1.3511450666976923</v>
      </c>
    </row>
    <row r="324" spans="5:6" x14ac:dyDescent="0.25">
      <c r="E324" s="135">
        <v>-0.36643707694166455</v>
      </c>
      <c r="F324" s="136">
        <v>0.12894644704543731</v>
      </c>
    </row>
    <row r="325" spans="5:6" x14ac:dyDescent="0.25">
      <c r="E325" s="135">
        <v>-0.76730083029351559</v>
      </c>
      <c r="F325" s="136">
        <v>0.53889541454143131</v>
      </c>
    </row>
    <row r="326" spans="5:6" x14ac:dyDescent="0.25">
      <c r="E326" s="135">
        <v>-1.8532243552550569</v>
      </c>
      <c r="F326" s="136">
        <v>-1.0144990914822716</v>
      </c>
    </row>
    <row r="327" spans="5:6" x14ac:dyDescent="0.25">
      <c r="E327" s="135">
        <v>-0.27939761908603583</v>
      </c>
      <c r="F327" s="136">
        <v>0.54708106755807184</v>
      </c>
    </row>
    <row r="328" spans="5:6" x14ac:dyDescent="0.25">
      <c r="E328" s="135">
        <v>-0.38763901705038362</v>
      </c>
      <c r="F328" s="136">
        <v>-1.4196686679680255</v>
      </c>
    </row>
    <row r="329" spans="5:6" x14ac:dyDescent="0.25">
      <c r="E329" s="135">
        <v>-2.6558832431474465E-2</v>
      </c>
      <c r="F329" s="136">
        <v>0.18705730378557356</v>
      </c>
    </row>
    <row r="330" spans="5:6" x14ac:dyDescent="0.25">
      <c r="E330" s="135">
        <v>-3.8213189307249373E-2</v>
      </c>
      <c r="F330" s="136">
        <v>0.46981072422007369</v>
      </c>
    </row>
    <row r="331" spans="5:6" x14ac:dyDescent="0.25">
      <c r="E331" s="135">
        <v>-0.8420425771643163</v>
      </c>
      <c r="F331" s="136">
        <v>-0.67921952806992247</v>
      </c>
    </row>
    <row r="332" spans="5:6" x14ac:dyDescent="0.25">
      <c r="E332" s="135">
        <v>-1.6622123778485427</v>
      </c>
      <c r="F332" s="136">
        <v>-1.2817589196269876</v>
      </c>
    </row>
    <row r="333" spans="5:6" x14ac:dyDescent="0.25">
      <c r="E333" s="135">
        <v>-0.41580223936053523</v>
      </c>
      <c r="F333" s="136">
        <v>-2.1888372797732508E-2</v>
      </c>
    </row>
    <row r="334" spans="5:6" x14ac:dyDescent="0.25">
      <c r="E334" s="135">
        <v>1.3723670541294144</v>
      </c>
      <c r="F334" s="136">
        <v>1.3388257167632323</v>
      </c>
    </row>
    <row r="335" spans="5:6" x14ac:dyDescent="0.25">
      <c r="E335" s="135">
        <v>1.1264675125350492</v>
      </c>
      <c r="F335" s="136">
        <v>0.98081150501679826</v>
      </c>
    </row>
    <row r="336" spans="5:6" x14ac:dyDescent="0.25">
      <c r="E336" s="135">
        <v>0.59945913573707488</v>
      </c>
      <c r="F336" s="136">
        <v>-0.13716387951058512</v>
      </c>
    </row>
    <row r="337" spans="5:6" x14ac:dyDescent="0.25">
      <c r="E337" s="135">
        <v>-6.8474406758944714E-2</v>
      </c>
      <c r="F337" s="136">
        <v>-0.46900407698589025</v>
      </c>
    </row>
    <row r="338" spans="5:6" x14ac:dyDescent="0.25">
      <c r="E338" s="135">
        <v>0.74697762366328024</v>
      </c>
      <c r="F338" s="136">
        <v>0.35980603132346373</v>
      </c>
    </row>
    <row r="339" spans="5:6" x14ac:dyDescent="0.25">
      <c r="E339" s="135">
        <v>-1.0667478741440652</v>
      </c>
      <c r="F339" s="136">
        <v>-1.4631375003716083</v>
      </c>
    </row>
    <row r="340" spans="5:6" x14ac:dyDescent="0.25">
      <c r="E340" s="135">
        <v>-1.3020480236270826</v>
      </c>
      <c r="F340" s="136">
        <v>-0.36228207083499575</v>
      </c>
    </row>
    <row r="341" spans="5:6" x14ac:dyDescent="0.25">
      <c r="E341" s="135">
        <v>1.6379760995005508</v>
      </c>
      <c r="F341" s="136">
        <v>1.2175726870916095</v>
      </c>
    </row>
    <row r="342" spans="5:6" x14ac:dyDescent="0.25">
      <c r="E342" s="135">
        <v>-1.7837780415620021</v>
      </c>
      <c r="F342" s="136">
        <v>-1.7142314429626193</v>
      </c>
    </row>
    <row r="343" spans="5:6" x14ac:dyDescent="0.25">
      <c r="E343" s="135">
        <v>0.59971259069205296</v>
      </c>
      <c r="F343" s="136">
        <v>-7.2856610912936937E-3</v>
      </c>
    </row>
    <row r="344" spans="5:6" x14ac:dyDescent="0.25">
      <c r="E344" s="135">
        <v>-0.64392316407812211</v>
      </c>
      <c r="F344" s="136">
        <v>-4.038216627160518E-2</v>
      </c>
    </row>
    <row r="345" spans="5:6" x14ac:dyDescent="0.25">
      <c r="E345" s="135">
        <v>-0.54650173232800903</v>
      </c>
      <c r="F345" s="136">
        <v>0.65182119951871864</v>
      </c>
    </row>
    <row r="346" spans="5:6" x14ac:dyDescent="0.25">
      <c r="E346" s="135">
        <v>-1.1478863196236633</v>
      </c>
      <c r="F346" s="136">
        <v>-1.6277952507765612</v>
      </c>
    </row>
    <row r="347" spans="5:6" x14ac:dyDescent="0.25">
      <c r="E347" s="135">
        <v>-2.816912761808112</v>
      </c>
      <c r="F347" s="136">
        <v>-1.4853231953970145</v>
      </c>
    </row>
    <row r="348" spans="5:6" x14ac:dyDescent="0.25">
      <c r="E348" s="135">
        <v>-0.71226778205325059</v>
      </c>
      <c r="F348" s="136">
        <v>-0.67896214465801763</v>
      </c>
    </row>
    <row r="349" spans="5:6" x14ac:dyDescent="0.25">
      <c r="E349" s="135">
        <v>-0.4205347574950945</v>
      </c>
      <c r="F349" s="136">
        <v>-0.55923458251973501</v>
      </c>
    </row>
    <row r="350" spans="5:6" x14ac:dyDescent="0.25">
      <c r="E350" s="135">
        <v>0.47378583310436306</v>
      </c>
      <c r="F350" s="136">
        <v>2.0490349684748416E-2</v>
      </c>
    </row>
    <row r="351" spans="5:6" x14ac:dyDescent="0.25">
      <c r="E351" s="135">
        <v>1.0203284978635467</v>
      </c>
      <c r="F351" s="136">
        <v>1.1508595267307975</v>
      </c>
    </row>
    <row r="352" spans="5:6" x14ac:dyDescent="0.25">
      <c r="E352" s="135">
        <v>-4.7095303218222459E-2</v>
      </c>
      <c r="F352" s="136">
        <v>-0.64138692547319831</v>
      </c>
    </row>
    <row r="353" spans="5:6" x14ac:dyDescent="0.25">
      <c r="E353" s="135">
        <v>-0.43725425890958614</v>
      </c>
      <c r="F353" s="136">
        <v>-0.64437933848146056</v>
      </c>
    </row>
    <row r="354" spans="5:6" x14ac:dyDescent="0.25">
      <c r="E354" s="135">
        <v>1.5261069803668288</v>
      </c>
      <c r="F354" s="136">
        <v>2.6035212575611566</v>
      </c>
    </row>
    <row r="355" spans="5:6" x14ac:dyDescent="0.25">
      <c r="E355" s="135">
        <v>-0.11423509080355126</v>
      </c>
      <c r="F355" s="136">
        <v>1.9467387963247442</v>
      </c>
    </row>
    <row r="356" spans="5:6" x14ac:dyDescent="0.25">
      <c r="E356" s="135">
        <v>0.20547281109330207</v>
      </c>
      <c r="F356" s="136">
        <v>-1.2334676647309748</v>
      </c>
    </row>
    <row r="357" spans="5:6" x14ac:dyDescent="0.25">
      <c r="E357" s="135">
        <v>-0.75723937004149722</v>
      </c>
      <c r="F357" s="136">
        <v>-0.52965750464294736</v>
      </c>
    </row>
    <row r="358" spans="5:6" x14ac:dyDescent="0.25">
      <c r="E358" s="135">
        <v>-0.89233225234859082</v>
      </c>
      <c r="F358" s="136">
        <v>0.61190110772202899</v>
      </c>
    </row>
    <row r="359" spans="5:6" x14ac:dyDescent="0.25">
      <c r="E359" s="135">
        <v>0.94409864879318917</v>
      </c>
      <c r="F359" s="136">
        <v>3.0574431314754298</v>
      </c>
    </row>
    <row r="360" spans="5:6" x14ac:dyDescent="0.25">
      <c r="E360" s="135">
        <v>-0.88927294152300751</v>
      </c>
      <c r="F360" s="136">
        <v>-0.14650501604190769</v>
      </c>
    </row>
    <row r="361" spans="5:6" x14ac:dyDescent="0.25">
      <c r="E361" s="135">
        <v>1.8249150071821576</v>
      </c>
      <c r="F361" s="136">
        <v>8.1369398164012785E-2</v>
      </c>
    </row>
    <row r="362" spans="5:6" x14ac:dyDescent="0.25">
      <c r="E362" s="135">
        <v>-0.41641376865639523</v>
      </c>
      <c r="F362" s="136">
        <v>1.3128287730214394</v>
      </c>
    </row>
    <row r="363" spans="5:6" x14ac:dyDescent="0.25">
      <c r="E363" s="135">
        <v>-1.8326970774029645</v>
      </c>
      <c r="F363" s="136">
        <v>-0.29293576651544306</v>
      </c>
    </row>
    <row r="364" spans="5:6" x14ac:dyDescent="0.25">
      <c r="E364" s="135">
        <v>-0.16933322502957046</v>
      </c>
      <c r="F364" s="136">
        <v>9.5078948103964098E-2</v>
      </c>
    </row>
    <row r="365" spans="5:6" x14ac:dyDescent="0.25">
      <c r="E365" s="135">
        <v>-0.77020397597716961</v>
      </c>
      <c r="F365" s="136">
        <v>-1.424632786719549</v>
      </c>
    </row>
    <row r="366" spans="5:6" x14ac:dyDescent="0.25">
      <c r="E366" s="135">
        <v>-1.4271364012280947</v>
      </c>
      <c r="F366" s="136">
        <v>-0.23242795743256311</v>
      </c>
    </row>
    <row r="367" spans="5:6" x14ac:dyDescent="0.25">
      <c r="E367" s="135">
        <v>-0.60255321107820359</v>
      </c>
      <c r="F367" s="136">
        <v>-0.49659072091763556</v>
      </c>
    </row>
    <row r="368" spans="5:6" x14ac:dyDescent="0.25">
      <c r="E368" s="135">
        <v>0.34781034156649371</v>
      </c>
      <c r="F368" s="136">
        <v>1.0942415319747363</v>
      </c>
    </row>
    <row r="369" spans="5:6" x14ac:dyDescent="0.25">
      <c r="E369" s="135">
        <v>-1.4811146865376488</v>
      </c>
      <c r="F369" s="136">
        <v>-1.0635526637467565</v>
      </c>
    </row>
    <row r="370" spans="5:6" x14ac:dyDescent="0.25">
      <c r="E370" s="135">
        <v>-1.5682659273681963</v>
      </c>
      <c r="F370" s="136">
        <v>-4.801142896260302E-2</v>
      </c>
    </row>
    <row r="371" spans="5:6" x14ac:dyDescent="0.25">
      <c r="E371" s="135">
        <v>-0.1002083679403357</v>
      </c>
      <c r="F371" s="136">
        <v>1.6720578672013466E-2</v>
      </c>
    </row>
    <row r="372" spans="5:6" x14ac:dyDescent="0.25">
      <c r="E372" s="135">
        <v>0.5938083083628326</v>
      </c>
      <c r="F372" s="136">
        <v>-0.44429322787866349</v>
      </c>
    </row>
    <row r="373" spans="5:6" x14ac:dyDescent="0.25">
      <c r="E373" s="135">
        <v>-0.39398208077432617</v>
      </c>
      <c r="F373" s="136">
        <v>0.32532985787285063</v>
      </c>
    </row>
    <row r="374" spans="5:6" x14ac:dyDescent="0.25">
      <c r="E374" s="135">
        <v>0.41274150023525802</v>
      </c>
      <c r="F374" s="136">
        <v>0.24814628503148525</v>
      </c>
    </row>
    <row r="375" spans="5:6" x14ac:dyDescent="0.25">
      <c r="E375" s="135">
        <v>-0.44529222467668156</v>
      </c>
      <c r="F375" s="136">
        <v>1.0276127322961017</v>
      </c>
    </row>
    <row r="376" spans="5:6" x14ac:dyDescent="0.25">
      <c r="E376" s="135">
        <v>-2.3731492898390658</v>
      </c>
      <c r="F376" s="136">
        <v>-1.5559579409032342</v>
      </c>
    </row>
    <row r="377" spans="5:6" x14ac:dyDescent="0.25">
      <c r="E377" s="135">
        <v>0.8585309218371564</v>
      </c>
      <c r="F377" s="136">
        <v>1.5039194962777063</v>
      </c>
    </row>
    <row r="378" spans="5:6" x14ac:dyDescent="0.25">
      <c r="E378" s="135">
        <v>0.7165735899636142</v>
      </c>
      <c r="F378" s="136">
        <v>1.7004907840675434</v>
      </c>
    </row>
    <row r="379" spans="5:6" x14ac:dyDescent="0.25">
      <c r="E379" s="135">
        <v>1.0427775323617456</v>
      </c>
      <c r="F379" s="136">
        <v>0.3508975991810282</v>
      </c>
    </row>
    <row r="380" spans="5:6" x14ac:dyDescent="0.25">
      <c r="E380" s="135">
        <v>-0.41619963003800631</v>
      </c>
      <c r="F380" s="136">
        <v>0.1141580202238075</v>
      </c>
    </row>
    <row r="381" spans="5:6" x14ac:dyDescent="0.25">
      <c r="E381" s="135">
        <v>0.62412841378082251</v>
      </c>
      <c r="F381" s="136">
        <v>1.3170559398187613</v>
      </c>
    </row>
    <row r="382" spans="5:6" x14ac:dyDescent="0.25">
      <c r="E382" s="135">
        <v>0.75946497147707448</v>
      </c>
      <c r="F382" s="136">
        <v>0.42060300222375568</v>
      </c>
    </row>
    <row r="383" spans="5:6" x14ac:dyDescent="0.25">
      <c r="E383" s="135">
        <v>0.16484754029036569</v>
      </c>
      <c r="F383" s="136">
        <v>1.5639964757333547</v>
      </c>
    </row>
    <row r="384" spans="5:6" x14ac:dyDescent="0.25">
      <c r="E384" s="135">
        <v>-0.42396282723882878</v>
      </c>
      <c r="F384" s="136">
        <v>0.15187414223374537</v>
      </c>
    </row>
    <row r="385" spans="5:6" x14ac:dyDescent="0.25">
      <c r="E385" s="135">
        <v>0.82212488409929452</v>
      </c>
      <c r="F385" s="136">
        <v>-0.15511018290071865</v>
      </c>
    </row>
    <row r="386" spans="5:6" x14ac:dyDescent="0.25">
      <c r="E386" s="135">
        <v>0.2032805590590519</v>
      </c>
      <c r="F386" s="136">
        <v>-0.887595164298288</v>
      </c>
    </row>
    <row r="387" spans="5:6" x14ac:dyDescent="0.25">
      <c r="E387" s="135">
        <v>-0.96521466572080006</v>
      </c>
      <c r="F387" s="136">
        <v>-1.0310709797400182</v>
      </c>
    </row>
    <row r="388" spans="5:6" x14ac:dyDescent="0.25">
      <c r="E388" s="135">
        <v>-0.94638179305608572</v>
      </c>
      <c r="F388" s="136">
        <v>0.42160857955230063</v>
      </c>
    </row>
    <row r="389" spans="5:6" x14ac:dyDescent="0.25">
      <c r="E389" s="135">
        <v>-0.37481746694047602</v>
      </c>
      <c r="F389" s="136">
        <v>0.40225705170794768</v>
      </c>
    </row>
    <row r="390" spans="5:6" x14ac:dyDescent="0.25">
      <c r="E390" s="135">
        <v>1.0203454427556489</v>
      </c>
      <c r="F390" s="136">
        <v>8.2761730793269983E-2</v>
      </c>
    </row>
    <row r="391" spans="5:6" x14ac:dyDescent="0.25">
      <c r="E391" s="135">
        <v>1.2122875615697541</v>
      </c>
      <c r="F391" s="136">
        <v>2.1337598499442154</v>
      </c>
    </row>
    <row r="392" spans="5:6" x14ac:dyDescent="0.25">
      <c r="E392" s="135">
        <v>-0.61008422746338364</v>
      </c>
      <c r="F392" s="136">
        <v>-1.4951324940987814</v>
      </c>
    </row>
    <row r="393" spans="5:6" x14ac:dyDescent="0.25">
      <c r="E393" s="135">
        <v>0.25360010840103347</v>
      </c>
      <c r="F393" s="136">
        <v>0.84452642821033641</v>
      </c>
    </row>
    <row r="394" spans="5:6" x14ac:dyDescent="0.25">
      <c r="E394" s="135">
        <v>0.65771457655704002</v>
      </c>
      <c r="F394" s="136">
        <v>-0.17680400407349284</v>
      </c>
    </row>
    <row r="395" spans="5:6" x14ac:dyDescent="0.25">
      <c r="E395" s="135">
        <v>0.79562070309514954</v>
      </c>
      <c r="F395" s="136">
        <v>1.3670033166023952</v>
      </c>
    </row>
    <row r="396" spans="5:6" x14ac:dyDescent="0.25">
      <c r="E396" s="135">
        <v>0.15964512054854543</v>
      </c>
      <c r="F396" s="136">
        <v>0.35869269322408032</v>
      </c>
    </row>
    <row r="397" spans="5:6" x14ac:dyDescent="0.25">
      <c r="E397" s="135">
        <v>0.30716203498462641</v>
      </c>
      <c r="F397" s="136">
        <v>7.1775285139438191E-2</v>
      </c>
    </row>
    <row r="398" spans="5:6" x14ac:dyDescent="0.25">
      <c r="E398" s="135">
        <v>1.2820525247406487</v>
      </c>
      <c r="F398" s="136">
        <v>9.117266315684236E-2</v>
      </c>
    </row>
    <row r="399" spans="5:6" x14ac:dyDescent="0.25">
      <c r="E399" s="135">
        <v>1.2766514939494396</v>
      </c>
      <c r="F399" s="136">
        <v>0.81468051900779337</v>
      </c>
    </row>
    <row r="400" spans="5:6" x14ac:dyDescent="0.25">
      <c r="E400" s="135">
        <v>0.1214232245667097</v>
      </c>
      <c r="F400" s="136">
        <v>-1.196079981672342</v>
      </c>
    </row>
    <row r="401" spans="5:6" x14ac:dyDescent="0.25">
      <c r="E401" s="135">
        <v>-0.84842911871676097</v>
      </c>
      <c r="F401" s="136">
        <v>-0.48524830102822308</v>
      </c>
    </row>
    <row r="402" spans="5:6" x14ac:dyDescent="0.25">
      <c r="E402" s="135">
        <v>-1.9575510869949635</v>
      </c>
      <c r="F402" s="136">
        <v>0.6105422767707368</v>
      </c>
    </row>
    <row r="403" spans="5:6" x14ac:dyDescent="0.25">
      <c r="E403" s="135">
        <v>0.95426945819312403</v>
      </c>
      <c r="F403" s="136">
        <v>1.4812235598750667</v>
      </c>
    </row>
    <row r="404" spans="5:6" x14ac:dyDescent="0.25">
      <c r="E404" s="135">
        <v>-1.4007817731225873</v>
      </c>
      <c r="F404" s="136">
        <v>-0.30811608886996045</v>
      </c>
    </row>
    <row r="405" spans="5:6" x14ac:dyDescent="0.25">
      <c r="E405" s="135">
        <v>0.16610460776679126</v>
      </c>
      <c r="F405" s="136">
        <v>0.24206284817396487</v>
      </c>
    </row>
    <row r="406" spans="5:6" x14ac:dyDescent="0.25">
      <c r="E406" s="135">
        <v>1.7013245710079701</v>
      </c>
      <c r="F406" s="136">
        <v>-4.0753522870823788E-2</v>
      </c>
    </row>
    <row r="407" spans="5:6" x14ac:dyDescent="0.25">
      <c r="E407" s="135">
        <v>0.23879193444384986</v>
      </c>
      <c r="F407" s="136">
        <v>0.79483117964936978</v>
      </c>
    </row>
    <row r="408" spans="5:6" x14ac:dyDescent="0.25">
      <c r="E408" s="135">
        <v>-0.11043666306391657</v>
      </c>
      <c r="F408" s="136">
        <v>0.27038578095459903</v>
      </c>
    </row>
    <row r="409" spans="5:6" x14ac:dyDescent="0.25">
      <c r="E409" s="135">
        <v>0.96681147464316997</v>
      </c>
      <c r="F409" s="136">
        <v>1.3508405019934788</v>
      </c>
    </row>
    <row r="410" spans="5:6" x14ac:dyDescent="0.25">
      <c r="E410" s="135">
        <v>-1.0478788580489908</v>
      </c>
      <c r="F410" s="136">
        <v>-1.5616739524495953</v>
      </c>
    </row>
    <row r="411" spans="5:6" x14ac:dyDescent="0.25">
      <c r="E411" s="135">
        <v>-1.3193775837977681</v>
      </c>
      <c r="F411" s="136">
        <v>-0.67327723591917421</v>
      </c>
    </row>
    <row r="412" spans="5:6" x14ac:dyDescent="0.25">
      <c r="E412" s="135">
        <v>0.45365385120120438</v>
      </c>
      <c r="F412" s="136">
        <v>-0.61850761282423017</v>
      </c>
    </row>
    <row r="413" spans="5:6" x14ac:dyDescent="0.25">
      <c r="E413" s="135">
        <v>0.51538325525712292</v>
      </c>
      <c r="F413" s="136">
        <v>0.75726649367435905</v>
      </c>
    </row>
    <row r="414" spans="5:6" x14ac:dyDescent="0.25">
      <c r="E414" s="135">
        <v>0.31512512191013925</v>
      </c>
      <c r="F414" s="136">
        <v>-0.86889181493915923</v>
      </c>
    </row>
    <row r="415" spans="5:6" x14ac:dyDescent="0.25">
      <c r="E415" s="135">
        <v>-0.23487561857698475</v>
      </c>
      <c r="F415" s="136">
        <v>0.83580957314203941</v>
      </c>
    </row>
    <row r="416" spans="5:6" x14ac:dyDescent="0.25">
      <c r="E416" s="135">
        <v>0.12618235707861766</v>
      </c>
      <c r="F416" s="136">
        <v>-0.13105633203421146</v>
      </c>
    </row>
    <row r="417" spans="5:6" x14ac:dyDescent="0.25">
      <c r="E417" s="135">
        <v>1.2794364232261854</v>
      </c>
      <c r="F417" s="136">
        <v>0.70016304424130749</v>
      </c>
    </row>
    <row r="418" spans="5:6" x14ac:dyDescent="0.25">
      <c r="E418" s="135">
        <v>1.3150316095970227</v>
      </c>
      <c r="F418" s="136">
        <v>2.3263768518409407</v>
      </c>
    </row>
    <row r="419" spans="5:6" x14ac:dyDescent="0.25">
      <c r="E419" s="135">
        <v>0.42794032694868117</v>
      </c>
      <c r="F419" s="136">
        <v>-0.11787280730305474</v>
      </c>
    </row>
    <row r="420" spans="5:6" x14ac:dyDescent="0.25">
      <c r="E420" s="135">
        <v>1.2720308378563858</v>
      </c>
      <c r="F420" s="136">
        <v>-0.31788219781381233</v>
      </c>
    </row>
    <row r="421" spans="5:6" x14ac:dyDescent="0.25">
      <c r="E421" s="135">
        <v>0.62638303757065517</v>
      </c>
      <c r="F421" s="136">
        <v>1.8797712261433646</v>
      </c>
    </row>
    <row r="422" spans="5:6" x14ac:dyDescent="0.25">
      <c r="E422" s="135">
        <v>-0.63595629205145576</v>
      </c>
      <c r="F422" s="136">
        <v>-1.301986193700378</v>
      </c>
    </row>
    <row r="423" spans="5:6" x14ac:dyDescent="0.25">
      <c r="E423" s="135">
        <v>-1.7176654948500003</v>
      </c>
      <c r="F423" s="136">
        <v>0.1342594201724191</v>
      </c>
    </row>
    <row r="424" spans="5:6" x14ac:dyDescent="0.25">
      <c r="E424" s="135">
        <v>0.58033842441529793</v>
      </c>
      <c r="F424" s="136">
        <v>-0.54684976185867162</v>
      </c>
    </row>
    <row r="425" spans="5:6" x14ac:dyDescent="0.25">
      <c r="E425" s="135">
        <v>0.75034376651255519</v>
      </c>
      <c r="F425" s="136">
        <v>0.22084495884753877</v>
      </c>
    </row>
    <row r="426" spans="5:6" x14ac:dyDescent="0.25">
      <c r="E426" s="135">
        <v>-3.7240829376440396E-2</v>
      </c>
      <c r="F426" s="136">
        <v>0.27771497496192848</v>
      </c>
    </row>
    <row r="427" spans="5:6" x14ac:dyDescent="0.25">
      <c r="E427" s="135">
        <v>0.62804230845938447</v>
      </c>
      <c r="F427" s="136">
        <v>-0.95043134086279468</v>
      </c>
    </row>
    <row r="428" spans="5:6" x14ac:dyDescent="0.25">
      <c r="E428" s="135">
        <v>-0.58021495834759695</v>
      </c>
      <c r="F428" s="136">
        <v>0.13397702991985244</v>
      </c>
    </row>
    <row r="429" spans="5:6" x14ac:dyDescent="0.25">
      <c r="E429" s="135">
        <v>0.46129267768354287</v>
      </c>
      <c r="F429" s="136">
        <v>0.24828566485135184</v>
      </c>
    </row>
    <row r="430" spans="5:6" x14ac:dyDescent="0.25">
      <c r="E430" s="135">
        <v>-1.5693824766382021</v>
      </c>
      <c r="F430" s="136">
        <v>-0.52519540638787965</v>
      </c>
    </row>
    <row r="431" spans="5:6" x14ac:dyDescent="0.25">
      <c r="E431" s="135">
        <v>-0.18799184158865603</v>
      </c>
      <c r="F431" s="136">
        <v>-0.84722342350651236</v>
      </c>
    </row>
    <row r="432" spans="5:6" x14ac:dyDescent="0.25">
      <c r="E432" s="135">
        <v>-0.82368779904062694</v>
      </c>
      <c r="F432" s="136">
        <v>-2.0879157869850404</v>
      </c>
    </row>
    <row r="433" spans="5:6" x14ac:dyDescent="0.25">
      <c r="E433" s="135">
        <v>5.4382983777492261E-2</v>
      </c>
      <c r="F433" s="136">
        <v>0.97964424340102119</v>
      </c>
    </row>
    <row r="434" spans="5:6" x14ac:dyDescent="0.25">
      <c r="E434" s="135">
        <v>0.35856326940327554</v>
      </c>
      <c r="F434" s="136">
        <v>0.37227957511098925</v>
      </c>
    </row>
    <row r="435" spans="5:6" x14ac:dyDescent="0.25">
      <c r="E435" s="135">
        <v>-1.7315312191141585</v>
      </c>
      <c r="F435" s="136">
        <v>-0.9651732043786927</v>
      </c>
    </row>
    <row r="436" spans="5:6" x14ac:dyDescent="0.25">
      <c r="E436" s="135">
        <v>-0.5651839290270364</v>
      </c>
      <c r="F436" s="136">
        <v>-1.7556230708528242</v>
      </c>
    </row>
    <row r="437" spans="5:6" x14ac:dyDescent="0.25">
      <c r="E437" s="135">
        <v>1.2932917013184373</v>
      </c>
      <c r="F437" s="136">
        <v>-0.66979576336270374</v>
      </c>
    </row>
    <row r="438" spans="5:6" x14ac:dyDescent="0.25">
      <c r="E438" s="135">
        <v>-0.14453679957607185</v>
      </c>
      <c r="F438" s="136">
        <v>0.23126716457292276</v>
      </c>
    </row>
    <row r="439" spans="5:6" x14ac:dyDescent="0.25">
      <c r="E439" s="135">
        <v>1.7455239138436411</v>
      </c>
      <c r="F439" s="136">
        <v>0.98062755314019923</v>
      </c>
    </row>
    <row r="440" spans="5:6" x14ac:dyDescent="0.25">
      <c r="E440" s="135">
        <v>-0.39628966919317443</v>
      </c>
      <c r="F440" s="136">
        <v>-0.54935333593001967</v>
      </c>
    </row>
    <row r="441" spans="5:6" x14ac:dyDescent="0.25">
      <c r="E441" s="135">
        <v>-0.61039041505612168</v>
      </c>
      <c r="F441" s="136">
        <v>0.33178131918224674</v>
      </c>
    </row>
    <row r="442" spans="5:6" x14ac:dyDescent="0.25">
      <c r="E442" s="135">
        <v>-6.5899034374306887E-4</v>
      </c>
      <c r="F442" s="136">
        <v>1.5297592296757225</v>
      </c>
    </row>
    <row r="443" spans="5:6" x14ac:dyDescent="0.25">
      <c r="E443" s="135">
        <v>1.7776739489750157</v>
      </c>
      <c r="F443" s="136">
        <v>-0.21108768081367291</v>
      </c>
    </row>
    <row r="444" spans="5:6" x14ac:dyDescent="0.25">
      <c r="E444" s="135">
        <v>0.39905090172244245</v>
      </c>
      <c r="F444" s="136">
        <v>1.2019039283214754</v>
      </c>
    </row>
    <row r="445" spans="5:6" x14ac:dyDescent="0.25">
      <c r="E445" s="135">
        <v>-0.14197279406271227</v>
      </c>
      <c r="F445" s="136">
        <v>0.29022449127691258</v>
      </c>
    </row>
    <row r="446" spans="5:6" x14ac:dyDescent="0.25">
      <c r="E446" s="135">
        <v>1.6392070061059967</v>
      </c>
      <c r="F446" s="136">
        <v>1.4177578011356096</v>
      </c>
    </row>
    <row r="447" spans="5:6" x14ac:dyDescent="0.25">
      <c r="E447" s="135">
        <v>-1.0805137516861905</v>
      </c>
      <c r="F447" s="136">
        <v>-0.52437027577736517</v>
      </c>
    </row>
    <row r="448" spans="5:6" x14ac:dyDescent="0.25">
      <c r="E448" s="135">
        <v>-1.8374160228821486</v>
      </c>
      <c r="F448" s="136">
        <v>-9.5157419728425396E-2</v>
      </c>
    </row>
    <row r="449" spans="5:6" x14ac:dyDescent="0.25">
      <c r="E449" s="135">
        <v>2.8110674448438715E-2</v>
      </c>
      <c r="F449" s="136">
        <v>-0.34765736247276907</v>
      </c>
    </row>
    <row r="450" spans="5:6" x14ac:dyDescent="0.25">
      <c r="E450" s="135">
        <v>0.14169368122491893</v>
      </c>
      <c r="F450" s="136">
        <v>0.12509515370094457</v>
      </c>
    </row>
    <row r="451" spans="5:6" x14ac:dyDescent="0.25">
      <c r="E451" s="135">
        <v>0.54098220064845237</v>
      </c>
      <c r="F451" s="136">
        <v>0.62652293647610136</v>
      </c>
    </row>
    <row r="452" spans="5:6" x14ac:dyDescent="0.25">
      <c r="E452" s="135">
        <v>0.36059844328735646</v>
      </c>
      <c r="F452" s="136">
        <v>-3.0458324933541947E-2</v>
      </c>
    </row>
    <row r="453" spans="5:6" x14ac:dyDescent="0.25">
      <c r="E453" s="135">
        <v>-0.46940947302301023</v>
      </c>
      <c r="F453" s="136">
        <v>-0.88153826675902569</v>
      </c>
    </row>
    <row r="454" spans="5:6" x14ac:dyDescent="0.25">
      <c r="E454" s="135">
        <v>-1.0008858456717598</v>
      </c>
      <c r="F454" s="136">
        <v>-1.575585466938664</v>
      </c>
    </row>
    <row r="455" spans="5:6" x14ac:dyDescent="0.25">
      <c r="E455" s="135">
        <v>-0.6118305160382792</v>
      </c>
      <c r="F455" s="136">
        <v>-0.69623538521639361</v>
      </c>
    </row>
    <row r="456" spans="5:6" x14ac:dyDescent="0.25">
      <c r="E456" s="135">
        <v>0.60210413116869288</v>
      </c>
      <c r="F456" s="136">
        <v>0.29657465524302701</v>
      </c>
    </row>
    <row r="457" spans="5:6" x14ac:dyDescent="0.25">
      <c r="E457" s="135">
        <v>1.3302877523830712</v>
      </c>
      <c r="F457" s="136">
        <v>1.5803641624571099</v>
      </c>
    </row>
    <row r="458" spans="5:6" x14ac:dyDescent="0.25">
      <c r="E458" s="135">
        <v>-0.30936986502893016</v>
      </c>
      <c r="F458" s="136">
        <v>-0.94259087293907262</v>
      </c>
    </row>
    <row r="459" spans="5:6" x14ac:dyDescent="0.25">
      <c r="E459" s="135">
        <v>0.25470283186382076</v>
      </c>
      <c r="F459" s="136">
        <v>-0.47174516619837803</v>
      </c>
    </row>
    <row r="460" spans="5:6" x14ac:dyDescent="0.25">
      <c r="E460" s="135">
        <v>2.8963667605228768E-2</v>
      </c>
      <c r="F460" s="136">
        <v>0.69558515204390403</v>
      </c>
    </row>
    <row r="461" spans="5:6" x14ac:dyDescent="0.25">
      <c r="E461" s="135">
        <v>-6.7523468957234933E-2</v>
      </c>
      <c r="F461" s="136">
        <v>0.72141236407741016</v>
      </c>
    </row>
    <row r="462" spans="5:6" x14ac:dyDescent="0.25">
      <c r="E462" s="135">
        <v>0.19739572669703548</v>
      </c>
      <c r="F462" s="136">
        <v>-0.80577413090492134</v>
      </c>
    </row>
    <row r="463" spans="5:6" x14ac:dyDescent="0.25">
      <c r="E463" s="135">
        <v>0.49249853099472807</v>
      </c>
      <c r="F463" s="136">
        <v>7.1716331895696234E-2</v>
      </c>
    </row>
    <row r="464" spans="5:6" x14ac:dyDescent="0.25">
      <c r="E464" s="135">
        <v>1.0164010230836442</v>
      </c>
      <c r="F464" s="136">
        <v>-0.49811292714093247</v>
      </c>
    </row>
    <row r="465" spans="5:6" x14ac:dyDescent="0.25">
      <c r="E465" s="135">
        <v>-1.8782591838694716E-2</v>
      </c>
      <c r="F465" s="136">
        <v>0.37538290454468493</v>
      </c>
    </row>
    <row r="466" spans="5:6" x14ac:dyDescent="0.25">
      <c r="E466" s="135">
        <v>0.52966835377614285</v>
      </c>
      <c r="F466" s="136">
        <v>1.1468408566904909</v>
      </c>
    </row>
    <row r="467" spans="5:6" x14ac:dyDescent="0.25">
      <c r="E467" s="135">
        <v>1.0123705132633896</v>
      </c>
      <c r="F467" s="136">
        <v>0.46285001498379419</v>
      </c>
    </row>
    <row r="468" spans="5:6" x14ac:dyDescent="0.25">
      <c r="E468" s="135">
        <v>0.32970798732594658</v>
      </c>
      <c r="F468" s="136">
        <v>1.5047316242064428</v>
      </c>
    </row>
    <row r="469" spans="5:6" x14ac:dyDescent="0.25">
      <c r="E469" s="135">
        <v>0.27627144305760887</v>
      </c>
      <c r="F469" s="136">
        <v>-0.25389837413519384</v>
      </c>
    </row>
    <row r="470" spans="5:6" x14ac:dyDescent="0.25">
      <c r="E470" s="135">
        <v>-1.631968511684768</v>
      </c>
      <c r="F470" s="136">
        <v>-0.92548309095321191</v>
      </c>
    </row>
    <row r="471" spans="5:6" x14ac:dyDescent="0.25">
      <c r="E471" s="135">
        <v>-0.2821549308531513</v>
      </c>
      <c r="F471" s="136">
        <v>2.2521514060652077</v>
      </c>
    </row>
    <row r="472" spans="5:6" x14ac:dyDescent="0.25">
      <c r="E472" s="135">
        <v>-1.6858748399951016</v>
      </c>
      <c r="F472" s="136">
        <v>-1.744042901438106</v>
      </c>
    </row>
    <row r="473" spans="5:6" x14ac:dyDescent="0.25">
      <c r="E473" s="135">
        <v>1.5404228050808739</v>
      </c>
      <c r="F473" s="136">
        <v>-8.4164498463586757E-2</v>
      </c>
    </row>
    <row r="474" spans="5:6" x14ac:dyDescent="0.25">
      <c r="E474" s="135">
        <v>7.2794178960035844E-2</v>
      </c>
      <c r="F474" s="136">
        <v>0.14144676536374715</v>
      </c>
    </row>
    <row r="475" spans="5:6" x14ac:dyDescent="0.25">
      <c r="E475" s="135">
        <v>-0.59915002942546591</v>
      </c>
      <c r="F475" s="136">
        <v>-0.56714182540733793</v>
      </c>
    </row>
    <row r="476" spans="5:6" x14ac:dyDescent="0.25">
      <c r="E476" s="135">
        <v>0.78251084220922551</v>
      </c>
      <c r="F476" s="136">
        <v>-0.49877450612193819</v>
      </c>
    </row>
    <row r="477" spans="5:6" x14ac:dyDescent="0.25">
      <c r="E477" s="135">
        <v>-0.18262582134128191</v>
      </c>
      <c r="F477" s="136">
        <v>0.92774255991090659</v>
      </c>
    </row>
    <row r="478" spans="5:6" x14ac:dyDescent="0.25">
      <c r="E478" s="135">
        <v>0.53327350545119101</v>
      </c>
      <c r="F478" s="136">
        <v>-0.17323593039458418</v>
      </c>
    </row>
    <row r="479" spans="5:6" x14ac:dyDescent="0.25">
      <c r="E479" s="135">
        <v>0.64848697873480743</v>
      </c>
      <c r="F479" s="136">
        <v>-0.48292700241347458</v>
      </c>
    </row>
    <row r="480" spans="5:6" x14ac:dyDescent="0.25">
      <c r="E480" s="135">
        <v>-0.85376044926034456</v>
      </c>
      <c r="F480" s="136">
        <v>0.87240768624349763</v>
      </c>
    </row>
    <row r="481" spans="5:6" x14ac:dyDescent="0.25">
      <c r="E481" s="135">
        <v>1.476767700044296</v>
      </c>
      <c r="F481" s="136">
        <v>1.2322440982717167</v>
      </c>
    </row>
    <row r="482" spans="5:6" x14ac:dyDescent="0.25">
      <c r="E482" s="135">
        <v>-0.60754568754887572</v>
      </c>
      <c r="F482" s="136">
        <v>-1.5917508305783479</v>
      </c>
    </row>
    <row r="483" spans="5:6" x14ac:dyDescent="0.25">
      <c r="E483" s="135">
        <v>-0.52861227075915107</v>
      </c>
      <c r="F483" s="136">
        <v>-0.77853497633383961</v>
      </c>
    </row>
    <row r="484" spans="5:6" x14ac:dyDescent="0.25">
      <c r="E484" s="135">
        <v>-0.78833491323110949</v>
      </c>
      <c r="F484" s="136">
        <v>-1.828510825718042</v>
      </c>
    </row>
    <row r="485" spans="5:6" x14ac:dyDescent="0.25">
      <c r="E485" s="135">
        <v>0.32088922094287226</v>
      </c>
      <c r="F485" s="136">
        <v>0.93654514015143986</v>
      </c>
    </row>
    <row r="486" spans="5:6" x14ac:dyDescent="0.25">
      <c r="E486" s="135">
        <v>-0.23179933136875291</v>
      </c>
      <c r="F486" s="136">
        <v>-1.1759089611656941</v>
      </c>
    </row>
    <row r="487" spans="5:6" x14ac:dyDescent="0.25">
      <c r="E487" s="135">
        <v>-1.8368854643578982</v>
      </c>
      <c r="F487" s="136">
        <v>-1.4091857974208923</v>
      </c>
    </row>
    <row r="488" spans="5:6" x14ac:dyDescent="0.25">
      <c r="E488" s="135">
        <v>0.39960438985890434</v>
      </c>
      <c r="F488" s="136">
        <v>0.11849138164500016</v>
      </c>
    </row>
    <row r="489" spans="5:6" x14ac:dyDescent="0.25">
      <c r="E489" s="135">
        <v>0.29787937708250284</v>
      </c>
      <c r="F489" s="136">
        <v>1.050240554126503</v>
      </c>
    </row>
    <row r="490" spans="5:6" x14ac:dyDescent="0.25">
      <c r="E490" s="135">
        <v>-0.61184586763583992</v>
      </c>
      <c r="F490" s="136">
        <v>-1.010748312090173</v>
      </c>
    </row>
    <row r="491" spans="5:6" x14ac:dyDescent="0.25">
      <c r="E491" s="135">
        <v>0.56835919475474372</v>
      </c>
      <c r="F491" s="136">
        <v>-0.11891012601110462</v>
      </c>
    </row>
    <row r="492" spans="5:6" x14ac:dyDescent="0.25">
      <c r="E492" s="135">
        <v>-0.58152119729968532</v>
      </c>
      <c r="F492" s="136">
        <v>0.85638619876212774</v>
      </c>
    </row>
    <row r="493" spans="5:6" x14ac:dyDescent="0.25">
      <c r="E493" s="135">
        <v>1.7496574241619562</v>
      </c>
      <c r="F493" s="136">
        <v>0.43369922248590431</v>
      </c>
    </row>
    <row r="494" spans="5:6" x14ac:dyDescent="0.25">
      <c r="E494" s="135">
        <v>0.77818461740406419</v>
      </c>
      <c r="F494" s="136">
        <v>6.5467221893422689E-2</v>
      </c>
    </row>
    <row r="495" spans="5:6" x14ac:dyDescent="0.25">
      <c r="E495" s="135">
        <v>-0.99913128278728125</v>
      </c>
      <c r="F495" s="136">
        <v>0.23677585215609626</v>
      </c>
    </row>
    <row r="496" spans="5:6" x14ac:dyDescent="0.25">
      <c r="E496" s="135">
        <v>1.0455537126876344</v>
      </c>
      <c r="F496" s="136">
        <v>0.28056586343024936</v>
      </c>
    </row>
    <row r="497" spans="5:6" x14ac:dyDescent="0.25">
      <c r="E497" s="135">
        <v>0.3274025177911099</v>
      </c>
      <c r="F497" s="136">
        <v>0.89499354249763408</v>
      </c>
    </row>
    <row r="498" spans="5:6" x14ac:dyDescent="0.25">
      <c r="E498" s="135">
        <v>0.11918650195214993</v>
      </c>
      <c r="F498" s="136">
        <v>-0.37542215822853109</v>
      </c>
    </row>
    <row r="499" spans="5:6" x14ac:dyDescent="0.25">
      <c r="E499" s="135">
        <v>0.25668394526922472</v>
      </c>
      <c r="F499" s="136">
        <v>0.77770587073569142</v>
      </c>
    </row>
    <row r="500" spans="5:6" x14ac:dyDescent="0.25">
      <c r="E500" s="135">
        <v>0.59510787412768584</v>
      </c>
      <c r="F500" s="136">
        <v>0.47876973610142992</v>
      </c>
    </row>
    <row r="501" spans="5:6" x14ac:dyDescent="0.25">
      <c r="E501" s="135">
        <v>1.0819883166849913</v>
      </c>
      <c r="F501" s="136">
        <v>2.6990173011220975E-2</v>
      </c>
    </row>
    <row r="502" spans="5:6" x14ac:dyDescent="0.25">
      <c r="E502" s="135">
        <v>-0.16831494726574397</v>
      </c>
      <c r="F502" s="136">
        <v>0.90928356158596957</v>
      </c>
    </row>
    <row r="503" spans="5:6" x14ac:dyDescent="0.25">
      <c r="E503" s="135">
        <v>0.98648201265970981</v>
      </c>
      <c r="F503" s="136">
        <v>0.16150321626483649</v>
      </c>
    </row>
    <row r="504" spans="5:6" x14ac:dyDescent="0.25">
      <c r="E504" s="135">
        <v>0.91740090270899788</v>
      </c>
      <c r="F504" s="136">
        <v>-0.43756813476815298</v>
      </c>
    </row>
    <row r="505" spans="5:6" x14ac:dyDescent="0.25">
      <c r="E505" s="135">
        <v>0.27009351894774897</v>
      </c>
      <c r="F505" s="136">
        <v>2.5936276630742883E-2</v>
      </c>
    </row>
    <row r="506" spans="5:6" x14ac:dyDescent="0.25">
      <c r="E506" s="135">
        <v>0.93199148447996449</v>
      </c>
      <c r="F506" s="136">
        <v>0.95967859517904686</v>
      </c>
    </row>
    <row r="507" spans="5:6" x14ac:dyDescent="0.25">
      <c r="E507" s="135">
        <v>1.0714782457169836</v>
      </c>
      <c r="F507" s="136">
        <v>1.0893527360686601</v>
      </c>
    </row>
    <row r="508" spans="5:6" x14ac:dyDescent="0.25">
      <c r="E508" s="135">
        <v>-2.1310755486879769</v>
      </c>
      <c r="F508" s="136">
        <v>-0.44328916366344673</v>
      </c>
    </row>
    <row r="509" spans="5:6" x14ac:dyDescent="0.25">
      <c r="E509" s="135">
        <v>6.6283066373473393E-2</v>
      </c>
      <c r="F509" s="136">
        <v>-0.96727655927269585</v>
      </c>
    </row>
    <row r="510" spans="5:6" x14ac:dyDescent="0.25">
      <c r="E510" s="135">
        <v>0.62203390463647978</v>
      </c>
      <c r="F510" s="136">
        <v>0.8634521682950288</v>
      </c>
    </row>
    <row r="511" spans="5:6" x14ac:dyDescent="0.25">
      <c r="E511" s="135">
        <v>-1.70007132492181</v>
      </c>
      <c r="F511" s="136">
        <v>-0.63864207734109901</v>
      </c>
    </row>
    <row r="512" spans="5:6" x14ac:dyDescent="0.25">
      <c r="E512" s="135">
        <v>0.57467081534203923</v>
      </c>
      <c r="F512" s="136">
        <v>-0.56722802724315147</v>
      </c>
    </row>
    <row r="513" spans="5:6" x14ac:dyDescent="0.25">
      <c r="E513" s="135">
        <v>-0.93994277312601715</v>
      </c>
      <c r="F513" s="136">
        <v>-0.58442155470256474</v>
      </c>
    </row>
    <row r="514" spans="5:6" x14ac:dyDescent="0.25">
      <c r="E514" s="135">
        <v>0.58063681632367325</v>
      </c>
      <c r="F514" s="136">
        <v>0.43404811931694409</v>
      </c>
    </row>
    <row r="515" spans="5:6" x14ac:dyDescent="0.25">
      <c r="E515" s="135">
        <v>0.52711449070637273</v>
      </c>
      <c r="F515" s="136">
        <v>-1.1992493390406191</v>
      </c>
    </row>
    <row r="516" spans="5:6" x14ac:dyDescent="0.25">
      <c r="E516" s="135">
        <v>0.79287008804846304</v>
      </c>
      <c r="F516" s="136">
        <v>0.59735063425632884</v>
      </c>
    </row>
    <row r="517" spans="5:6" x14ac:dyDescent="0.25">
      <c r="E517" s="135">
        <v>-0.10936686283402219</v>
      </c>
      <c r="F517" s="136">
        <v>-2.9338699073440995</v>
      </c>
    </row>
    <row r="518" spans="5:6" x14ac:dyDescent="0.25">
      <c r="E518" s="135">
        <v>1.5316175819981852</v>
      </c>
      <c r="F518" s="136">
        <v>-0.64742169937710126</v>
      </c>
    </row>
    <row r="519" spans="5:6" x14ac:dyDescent="0.25">
      <c r="E519" s="135">
        <v>-1.6584886700116099</v>
      </c>
      <c r="F519" s="136">
        <v>-1.7831197080886771</v>
      </c>
    </row>
    <row r="520" spans="5:6" x14ac:dyDescent="0.25">
      <c r="E520" s="135">
        <v>0.40745480775865089</v>
      </c>
      <c r="F520" s="136">
        <v>0.17979802934497399</v>
      </c>
    </row>
    <row r="521" spans="5:6" x14ac:dyDescent="0.25">
      <c r="E521" s="135">
        <v>-0.63808811867613024</v>
      </c>
      <c r="F521" s="136">
        <v>0.53645897073776994</v>
      </c>
    </row>
    <row r="522" spans="5:6" x14ac:dyDescent="0.25">
      <c r="E522" s="135">
        <v>-0.88715442303554304</v>
      </c>
      <c r="F522" s="136">
        <v>0.14171242678279494</v>
      </c>
    </row>
    <row r="523" spans="5:6" x14ac:dyDescent="0.25">
      <c r="E523" s="135">
        <v>0.51487977723489087</v>
      </c>
      <c r="F523" s="136">
        <v>0.87492676475980868</v>
      </c>
    </row>
    <row r="524" spans="5:6" x14ac:dyDescent="0.25">
      <c r="E524" s="135">
        <v>0.49076983019943582</v>
      </c>
      <c r="F524" s="136">
        <v>-1.2394963079768988</v>
      </c>
    </row>
    <row r="525" spans="5:6" x14ac:dyDescent="0.25">
      <c r="E525" s="135">
        <v>0.54304772347935637</v>
      </c>
      <c r="F525" s="136">
        <v>0.10366342426580225</v>
      </c>
    </row>
    <row r="526" spans="5:6" x14ac:dyDescent="0.25">
      <c r="E526" s="135">
        <v>2.3412801116346875</v>
      </c>
      <c r="F526" s="136">
        <v>1.3648323900478658</v>
      </c>
    </row>
    <row r="527" spans="5:6" x14ac:dyDescent="0.25">
      <c r="E527" s="135">
        <v>0.30367671889363423</v>
      </c>
      <c r="F527" s="136">
        <v>1.4320355883483584</v>
      </c>
    </row>
    <row r="528" spans="5:6" x14ac:dyDescent="0.25">
      <c r="E528" s="135">
        <v>1.3681686998666871</v>
      </c>
      <c r="F528" s="136">
        <v>0.91467794474626685</v>
      </c>
    </row>
    <row r="529" spans="5:6" x14ac:dyDescent="0.25">
      <c r="E529" s="135">
        <v>-1.2963494204835231</v>
      </c>
      <c r="F529" s="136">
        <v>-5.1132267751327731E-2</v>
      </c>
    </row>
    <row r="530" spans="5:6" x14ac:dyDescent="0.25">
      <c r="E530" s="135">
        <v>1.1034404350665286</v>
      </c>
      <c r="F530" s="136">
        <v>-0.14309068980596473</v>
      </c>
    </row>
    <row r="531" spans="5:6" x14ac:dyDescent="0.25">
      <c r="E531" s="135">
        <v>-2.2239700215606475</v>
      </c>
      <c r="F531" s="136">
        <v>-1.4290415452623773</v>
      </c>
    </row>
    <row r="532" spans="5:6" x14ac:dyDescent="0.25">
      <c r="E532" s="135">
        <v>-1.6776975235025557</v>
      </c>
      <c r="F532" s="136">
        <v>-2.0953500956102125</v>
      </c>
    </row>
    <row r="533" spans="5:6" x14ac:dyDescent="0.25">
      <c r="E533" s="135">
        <v>0.50571372204330467</v>
      </c>
      <c r="F533" s="136">
        <v>1.1590136526244463</v>
      </c>
    </row>
    <row r="534" spans="5:6" x14ac:dyDescent="0.25">
      <c r="E534" s="135">
        <v>-2.4163268350119718</v>
      </c>
      <c r="F534" s="136">
        <v>-0.8833424859789798</v>
      </c>
    </row>
    <row r="535" spans="5:6" x14ac:dyDescent="0.25">
      <c r="E535" s="135">
        <v>-0.34023578128976328</v>
      </c>
      <c r="F535" s="136">
        <v>-0.72635368973223402</v>
      </c>
    </row>
    <row r="536" spans="5:6" x14ac:dyDescent="0.25">
      <c r="E536" s="135">
        <v>0.67293823244930562</v>
      </c>
      <c r="F536" s="136">
        <v>1.0182986366926594</v>
      </c>
    </row>
    <row r="537" spans="5:6" x14ac:dyDescent="0.25">
      <c r="E537" s="135">
        <v>0.88664231768899004</v>
      </c>
      <c r="F537" s="136">
        <v>2.4129479818193245E-2</v>
      </c>
    </row>
    <row r="538" spans="5:6" x14ac:dyDescent="0.25">
      <c r="E538" s="135">
        <v>0.62355455725873921</v>
      </c>
      <c r="F538" s="136">
        <v>0.47614272234368943</v>
      </c>
    </row>
    <row r="539" spans="5:6" x14ac:dyDescent="0.25">
      <c r="E539" s="135">
        <v>1.4135536972890321</v>
      </c>
      <c r="F539" s="136">
        <v>1.9285791553803044</v>
      </c>
    </row>
    <row r="540" spans="5:6" x14ac:dyDescent="0.25">
      <c r="E540" s="135">
        <v>0.54862960326667165</v>
      </c>
      <c r="F540" s="136">
        <v>-0.3352056666112419</v>
      </c>
    </row>
    <row r="541" spans="5:6" x14ac:dyDescent="0.25">
      <c r="E541" s="135">
        <v>-1.808887111672864</v>
      </c>
      <c r="F541" s="136">
        <v>-0.9406231768743909</v>
      </c>
    </row>
    <row r="542" spans="5:6" x14ac:dyDescent="0.25">
      <c r="E542" s="135">
        <v>-1.0065206421700699</v>
      </c>
      <c r="F542" s="136">
        <v>-1.2946597670809714</v>
      </c>
    </row>
    <row r="543" spans="5:6" x14ac:dyDescent="0.25">
      <c r="E543" s="135">
        <v>-0.87970661174669629</v>
      </c>
      <c r="F543" s="136">
        <v>-0.576896682986626</v>
      </c>
    </row>
    <row r="544" spans="5:6" x14ac:dyDescent="0.25">
      <c r="E544" s="135">
        <v>-1.1822859549942542</v>
      </c>
      <c r="F544" s="136">
        <v>-1.5169751002994043</v>
      </c>
    </row>
    <row r="545" spans="5:6" x14ac:dyDescent="0.25">
      <c r="E545" s="135">
        <v>1.1138883659148964</v>
      </c>
      <c r="F545" s="136">
        <v>0.16845814595583203</v>
      </c>
    </row>
    <row r="546" spans="5:6" x14ac:dyDescent="0.25">
      <c r="E546" s="135">
        <v>-0.99280715269201358</v>
      </c>
      <c r="F546" s="136">
        <v>-0.49516683458581473</v>
      </c>
    </row>
    <row r="547" spans="5:6" x14ac:dyDescent="0.25">
      <c r="E547" s="135">
        <v>1.3052210506286146</v>
      </c>
      <c r="F547" s="136">
        <v>1.582931540877627</v>
      </c>
    </row>
    <row r="548" spans="5:6" x14ac:dyDescent="0.25">
      <c r="E548" s="135">
        <v>0.92752437575258639</v>
      </c>
      <c r="F548" s="136">
        <v>-0.57944147149705061</v>
      </c>
    </row>
    <row r="549" spans="5:6" x14ac:dyDescent="0.25">
      <c r="E549" s="135">
        <v>-0.19570435595384825</v>
      </c>
      <c r="F549" s="136">
        <v>5.6230863377170481E-3</v>
      </c>
    </row>
    <row r="550" spans="5:6" x14ac:dyDescent="0.25">
      <c r="E550" s="135">
        <v>-0.24373509469983798</v>
      </c>
      <c r="F550" s="136">
        <v>-1.4494203760893749</v>
      </c>
    </row>
    <row r="551" spans="5:6" x14ac:dyDescent="0.25">
      <c r="E551" s="135">
        <v>0.68054781050101509</v>
      </c>
      <c r="F551" s="136">
        <v>0.51002723575804199</v>
      </c>
    </row>
    <row r="552" spans="5:6" x14ac:dyDescent="0.25">
      <c r="E552" s="135">
        <v>-0.91868296382385839</v>
      </c>
      <c r="F552" s="136">
        <v>-1.469908050985679</v>
      </c>
    </row>
    <row r="553" spans="5:6" x14ac:dyDescent="0.25">
      <c r="E553" s="135">
        <v>-0.83992039283879549</v>
      </c>
      <c r="F553" s="136">
        <v>-0.50138876272684707</v>
      </c>
    </row>
    <row r="554" spans="5:6" x14ac:dyDescent="0.25">
      <c r="E554" s="135">
        <v>0.3357127897145285</v>
      </c>
      <c r="F554" s="136">
        <v>-1.0017650264760796</v>
      </c>
    </row>
    <row r="555" spans="5:6" x14ac:dyDescent="0.25">
      <c r="E555" s="135">
        <v>-0.99330728572901317</v>
      </c>
      <c r="F555" s="136">
        <v>0.89973405118510152</v>
      </c>
    </row>
    <row r="556" spans="5:6" x14ac:dyDescent="0.25">
      <c r="E556" s="135">
        <v>-1.772906853495859</v>
      </c>
      <c r="F556" s="136">
        <v>-0.52697996150978721</v>
      </c>
    </row>
    <row r="557" spans="5:6" x14ac:dyDescent="0.25">
      <c r="E557" s="135">
        <v>-0.57511258395991804</v>
      </c>
      <c r="F557" s="136">
        <v>0.14125370872759441</v>
      </c>
    </row>
    <row r="558" spans="5:6" x14ac:dyDescent="0.25">
      <c r="E558" s="135">
        <v>-1.3159038568023889</v>
      </c>
      <c r="F558" s="136">
        <v>-0.85842581540082374</v>
      </c>
    </row>
    <row r="559" spans="5:6" x14ac:dyDescent="0.25">
      <c r="E559" s="135">
        <v>-1.4281566293291261</v>
      </c>
      <c r="F559" s="136">
        <v>0.27276304150472142</v>
      </c>
    </row>
    <row r="560" spans="5:6" x14ac:dyDescent="0.25">
      <c r="E560" s="135">
        <v>-1.2176005797675551</v>
      </c>
      <c r="F560" s="136">
        <v>-0.28225654275411521</v>
      </c>
    </row>
    <row r="561" spans="5:6" x14ac:dyDescent="0.25">
      <c r="E561" s="135">
        <v>0.21209080988291254</v>
      </c>
      <c r="F561" s="136">
        <v>-0.29325702779834589</v>
      </c>
    </row>
    <row r="562" spans="5:6" x14ac:dyDescent="0.25">
      <c r="E562" s="135">
        <v>0.49429998357602967</v>
      </c>
      <c r="F562" s="136">
        <v>-6.0836995058167254E-2</v>
      </c>
    </row>
    <row r="563" spans="5:6" x14ac:dyDescent="0.25">
      <c r="E563" s="135">
        <v>-0.53283581276175473</v>
      </c>
      <c r="F563" s="136">
        <v>-1.1621399725945369</v>
      </c>
    </row>
    <row r="564" spans="5:6" x14ac:dyDescent="0.25">
      <c r="E564" s="135">
        <v>0.29830790520411876</v>
      </c>
      <c r="F564" s="136">
        <v>0.63803783968138061</v>
      </c>
    </row>
    <row r="565" spans="5:6" x14ac:dyDescent="0.25">
      <c r="E565" s="135">
        <v>-0.40534943554368286</v>
      </c>
      <c r="F565" s="136">
        <v>-1.8090050198141161</v>
      </c>
    </row>
    <row r="566" spans="5:6" x14ac:dyDescent="0.25">
      <c r="E566" s="135">
        <v>0.18606429310036496</v>
      </c>
      <c r="F566" s="136">
        <v>8.650845498931492E-2</v>
      </c>
    </row>
    <row r="567" spans="5:6" x14ac:dyDescent="0.25">
      <c r="E567" s="135">
        <v>0.70885383608893748</v>
      </c>
      <c r="F567" s="136">
        <v>6.5880209854856597E-2</v>
      </c>
    </row>
    <row r="568" spans="5:6" x14ac:dyDescent="0.25">
      <c r="E568" s="135">
        <v>0.93890142260704867</v>
      </c>
      <c r="F568" s="136">
        <v>1.1712479198333452</v>
      </c>
    </row>
    <row r="569" spans="5:6" x14ac:dyDescent="0.25">
      <c r="E569" s="135">
        <v>-0.16955580767934805</v>
      </c>
      <c r="F569" s="136">
        <v>-1.1459574023131796</v>
      </c>
    </row>
    <row r="570" spans="5:6" x14ac:dyDescent="0.25">
      <c r="E570" s="135">
        <v>0.65814597689454402</v>
      </c>
      <c r="F570" s="136">
        <v>1.830065591382229</v>
      </c>
    </row>
    <row r="571" spans="5:6" x14ac:dyDescent="0.25">
      <c r="E571" s="135">
        <v>-2.3745622684704184</v>
      </c>
      <c r="F571" s="136">
        <v>-0.65552084855278669</v>
      </c>
    </row>
    <row r="572" spans="5:6" x14ac:dyDescent="0.25">
      <c r="E572" s="135">
        <v>-0.74992079320692184</v>
      </c>
      <c r="F572" s="136">
        <v>-1.0191057789724607</v>
      </c>
    </row>
    <row r="573" spans="5:6" x14ac:dyDescent="0.25">
      <c r="E573" s="135">
        <v>0.45059404378993784</v>
      </c>
      <c r="F573" s="136">
        <v>1.0030534968388514</v>
      </c>
    </row>
    <row r="574" spans="5:6" x14ac:dyDescent="0.25">
      <c r="E574" s="135">
        <v>-1.3538716909505515</v>
      </c>
      <c r="F574" s="136">
        <v>-1.3315785799127817</v>
      </c>
    </row>
    <row r="575" spans="5:6" x14ac:dyDescent="0.25">
      <c r="E575" s="135">
        <v>-0.51512717048741752</v>
      </c>
      <c r="F575" s="136">
        <v>-0.74234443625711355</v>
      </c>
    </row>
    <row r="576" spans="5:6" x14ac:dyDescent="0.25">
      <c r="E576" s="135">
        <v>2.346141208527512E-3</v>
      </c>
      <c r="F576" s="136">
        <v>8.1561781541329231E-2</v>
      </c>
    </row>
    <row r="577" spans="5:6" x14ac:dyDescent="0.25">
      <c r="E577" s="135">
        <v>-0.32056864642645633</v>
      </c>
      <c r="F577" s="136">
        <v>-0.31745782275268969</v>
      </c>
    </row>
    <row r="578" spans="5:6" x14ac:dyDescent="0.25">
      <c r="E578" s="135">
        <v>-0.48541273842812505</v>
      </c>
      <c r="F578" s="136">
        <v>-0.63999327893318592</v>
      </c>
    </row>
    <row r="579" spans="5:6" x14ac:dyDescent="0.25">
      <c r="E579" s="135">
        <v>-0.27467842164818418</v>
      </c>
      <c r="F579" s="136">
        <v>-0.13480024913036695</v>
      </c>
    </row>
    <row r="580" spans="5:6" x14ac:dyDescent="0.25">
      <c r="E580" s="135">
        <v>-0.61895365365792698</v>
      </c>
      <c r="F580" s="136">
        <v>0.31869369944853032</v>
      </c>
    </row>
    <row r="581" spans="5:6" x14ac:dyDescent="0.25">
      <c r="E581" s="135">
        <v>-0.42099858688897612</v>
      </c>
      <c r="F581" s="136">
        <v>0.6553113714533132</v>
      </c>
    </row>
    <row r="582" spans="5:6" x14ac:dyDescent="0.25">
      <c r="E582" s="135">
        <v>2.3669604334977962E-2</v>
      </c>
      <c r="F582" s="136">
        <v>0.79903556924693653</v>
      </c>
    </row>
    <row r="583" spans="5:6" x14ac:dyDescent="0.25">
      <c r="E583" s="135">
        <v>-0.65413172199045899</v>
      </c>
      <c r="F583" s="136">
        <v>-0.26844555748145604</v>
      </c>
    </row>
    <row r="584" spans="5:6" x14ac:dyDescent="0.25">
      <c r="E584" s="135">
        <v>0.52909047628311356</v>
      </c>
      <c r="F584" s="136">
        <v>0.18929726149970488</v>
      </c>
    </row>
    <row r="585" spans="5:6" x14ac:dyDescent="0.25">
      <c r="E585" s="135">
        <v>-2.1349582977901185</v>
      </c>
      <c r="F585" s="136">
        <v>-1.2035856666735738</v>
      </c>
    </row>
    <row r="586" spans="5:6" x14ac:dyDescent="0.25">
      <c r="E586" s="135">
        <v>1.3236115499402115</v>
      </c>
      <c r="F586" s="136">
        <v>-0.78482954958799367</v>
      </c>
    </row>
    <row r="587" spans="5:6" x14ac:dyDescent="0.25">
      <c r="E587" s="135">
        <v>0.37698503060424793</v>
      </c>
      <c r="F587" s="136">
        <v>-6.6473858466971458E-2</v>
      </c>
    </row>
    <row r="588" spans="5:6" x14ac:dyDescent="0.25">
      <c r="E588" s="135">
        <v>-0.1160836639570236</v>
      </c>
      <c r="F588" s="136">
        <v>0.95843082244680311</v>
      </c>
    </row>
    <row r="589" spans="5:6" x14ac:dyDescent="0.25">
      <c r="E589" s="135">
        <v>0.23394400249552488</v>
      </c>
      <c r="F589" s="136">
        <v>0.24867749773033535</v>
      </c>
    </row>
    <row r="590" spans="5:6" x14ac:dyDescent="0.25">
      <c r="E590" s="135">
        <v>8.3337931146245742E-2</v>
      </c>
      <c r="F590" s="136">
        <v>1.1018232839702713</v>
      </c>
    </row>
    <row r="591" spans="5:6" x14ac:dyDescent="0.25">
      <c r="E591" s="135">
        <v>4.7557962215022995E-2</v>
      </c>
      <c r="F591" s="136">
        <v>-3.3608504714595692E-2</v>
      </c>
    </row>
    <row r="592" spans="5:6" x14ac:dyDescent="0.25">
      <c r="E592" s="135">
        <v>0.87353851519282666</v>
      </c>
      <c r="F592" s="136">
        <v>1.8303968966992954</v>
      </c>
    </row>
    <row r="593" spans="5:6" x14ac:dyDescent="0.25">
      <c r="E593" s="135">
        <v>-0.25648642773867775</v>
      </c>
      <c r="F593" s="136">
        <v>0.96420751701567042</v>
      </c>
    </row>
    <row r="594" spans="5:6" x14ac:dyDescent="0.25">
      <c r="E594" s="135">
        <v>-0.28133909774973381</v>
      </c>
      <c r="F594" s="136">
        <v>0.62251004116959507</v>
      </c>
    </row>
    <row r="595" spans="5:6" x14ac:dyDescent="0.25">
      <c r="E595" s="135">
        <v>2.7855582760265261</v>
      </c>
      <c r="F595" s="136">
        <v>0.48553980525895302</v>
      </c>
    </row>
    <row r="596" spans="5:6" x14ac:dyDescent="0.25">
      <c r="E596" s="135">
        <v>0.65256548468871522</v>
      </c>
      <c r="F596" s="136">
        <v>1.4323826449984174</v>
      </c>
    </row>
    <row r="597" spans="5:6" x14ac:dyDescent="0.25">
      <c r="E597" s="135">
        <v>1.1335059537729328</v>
      </c>
      <c r="F597" s="136">
        <v>-5.17379581212426E-2</v>
      </c>
    </row>
    <row r="598" spans="5:6" x14ac:dyDescent="0.25">
      <c r="E598" s="135">
        <v>2.1677318398029177</v>
      </c>
      <c r="F598" s="136">
        <v>2.5094653486863034</v>
      </c>
    </row>
    <row r="599" spans="5:6" x14ac:dyDescent="0.25">
      <c r="E599" s="135">
        <v>-0.20771792167601996</v>
      </c>
      <c r="F599" s="136">
        <v>-0.94109863874275324</v>
      </c>
    </row>
    <row r="600" spans="5:6" x14ac:dyDescent="0.25">
      <c r="E600" s="135">
        <v>-0.80384816747636778</v>
      </c>
      <c r="F600" s="136">
        <v>0.60442393961541119</v>
      </c>
    </row>
    <row r="601" spans="5:6" x14ac:dyDescent="0.25">
      <c r="E601" s="135">
        <v>-0.22709396730040968</v>
      </c>
      <c r="F601" s="136">
        <v>-0.83544040545604326</v>
      </c>
    </row>
    <row r="602" spans="5:6" x14ac:dyDescent="0.25">
      <c r="E602" s="135">
        <v>0.19784024616249873</v>
      </c>
      <c r="F602" s="136">
        <v>1.6165634397724242</v>
      </c>
    </row>
    <row r="603" spans="5:6" x14ac:dyDescent="0.25">
      <c r="E603" s="135">
        <v>0.51642378875029527</v>
      </c>
      <c r="F603" s="136">
        <v>0.2712984044210201</v>
      </c>
    </row>
    <row r="604" spans="5:6" x14ac:dyDescent="0.25">
      <c r="E604" s="135">
        <v>0.5849745822475646</v>
      </c>
      <c r="F604" s="136">
        <v>0.17719673780483766</v>
      </c>
    </row>
    <row r="605" spans="5:6" x14ac:dyDescent="0.25">
      <c r="E605" s="135">
        <v>-8.922179192956228E-3</v>
      </c>
      <c r="F605" s="136">
        <v>1.1875210566162337</v>
      </c>
    </row>
    <row r="606" spans="5:6" x14ac:dyDescent="0.25">
      <c r="E606" s="135">
        <v>-1.1097039477077248</v>
      </c>
      <c r="F606" s="136">
        <v>0.30684351962798162</v>
      </c>
    </row>
    <row r="607" spans="5:6" x14ac:dyDescent="0.25">
      <c r="E607" s="135">
        <v>1.3312568988070563</v>
      </c>
      <c r="F607" s="136">
        <v>0.35245812751375716</v>
      </c>
    </row>
    <row r="608" spans="5:6" x14ac:dyDescent="0.25">
      <c r="E608" s="135">
        <v>0.88903848355515402</v>
      </c>
      <c r="F608" s="136">
        <v>-0.13087930397701636</v>
      </c>
    </row>
    <row r="609" spans="5:6" x14ac:dyDescent="0.25">
      <c r="E609" s="135">
        <v>-1.1633426839551309</v>
      </c>
      <c r="F609" s="136">
        <v>-0.79229156037201121</v>
      </c>
    </row>
    <row r="610" spans="5:6" x14ac:dyDescent="0.25">
      <c r="E610" s="135">
        <v>0.63447842899491647</v>
      </c>
      <c r="F610" s="136">
        <v>0.97318706153948265</v>
      </c>
    </row>
    <row r="611" spans="5:6" x14ac:dyDescent="0.25">
      <c r="E611" s="135">
        <v>-3.0042403936360602E-2</v>
      </c>
      <c r="F611" s="136">
        <v>-0.22470169960502892</v>
      </c>
    </row>
    <row r="612" spans="5:6" x14ac:dyDescent="0.25">
      <c r="E612" s="135">
        <v>0.65696489259749946</v>
      </c>
      <c r="F612" s="136">
        <v>1.5704649624275393</v>
      </c>
    </row>
    <row r="613" spans="5:6" x14ac:dyDescent="0.25">
      <c r="E613" s="135">
        <v>0.35882324083142481</v>
      </c>
      <c r="F613" s="136">
        <v>1.4281691109883916</v>
      </c>
    </row>
    <row r="614" spans="5:6" x14ac:dyDescent="0.25">
      <c r="E614" s="135">
        <v>1.0091136445186413</v>
      </c>
      <c r="F614" s="136">
        <v>0.17792907849528239</v>
      </c>
    </row>
    <row r="615" spans="5:6" x14ac:dyDescent="0.25">
      <c r="E615" s="135">
        <v>0.36634260687185627</v>
      </c>
      <c r="F615" s="136">
        <v>-0.1997541937506746</v>
      </c>
    </row>
    <row r="616" spans="5:6" x14ac:dyDescent="0.25">
      <c r="E616" s="135">
        <v>0.67373176346525798</v>
      </c>
      <c r="F616" s="136">
        <v>-9.477482584645669E-2</v>
      </c>
    </row>
    <row r="617" spans="5:6" x14ac:dyDescent="0.25">
      <c r="E617" s="135">
        <v>1.0755921032471445</v>
      </c>
      <c r="F617" s="136">
        <v>1.165533681802299</v>
      </c>
    </row>
    <row r="618" spans="5:6" x14ac:dyDescent="0.25">
      <c r="E618" s="135">
        <v>0.64678355354010419</v>
      </c>
      <c r="F618" s="136">
        <v>0.86306347725540156</v>
      </c>
    </row>
    <row r="619" spans="5:6" x14ac:dyDescent="0.25">
      <c r="E619" s="135">
        <v>0.34226450270848835</v>
      </c>
      <c r="F619" s="136">
        <v>0.91251140988781854</v>
      </c>
    </row>
    <row r="620" spans="5:6" x14ac:dyDescent="0.25">
      <c r="E620" s="135">
        <v>0.36355668137753389</v>
      </c>
      <c r="F620" s="136">
        <v>0.822821069928802</v>
      </c>
    </row>
    <row r="621" spans="5:6" x14ac:dyDescent="0.25">
      <c r="E621" s="135">
        <v>0.85950675675927302</v>
      </c>
      <c r="F621" s="136">
        <v>-0.87184119189514719</v>
      </c>
    </row>
    <row r="622" spans="5:6" x14ac:dyDescent="0.25">
      <c r="E622" s="135">
        <v>0.35772110983640232</v>
      </c>
      <c r="F622" s="136">
        <v>0.107451283095616</v>
      </c>
    </row>
    <row r="623" spans="5:6" x14ac:dyDescent="0.25">
      <c r="E623" s="135">
        <v>-1.5749205377702338</v>
      </c>
      <c r="F623" s="136">
        <v>0.75311667738642396</v>
      </c>
    </row>
    <row r="624" spans="5:6" x14ac:dyDescent="0.25">
      <c r="E624" s="135">
        <v>0.94571236399953085</v>
      </c>
      <c r="F624" s="136">
        <v>0.72685982769756796</v>
      </c>
    </row>
    <row r="625" spans="5:6" x14ac:dyDescent="0.25">
      <c r="E625" s="135">
        <v>-0.75414777152852686</v>
      </c>
      <c r="F625" s="136">
        <v>0.59215665224779457</v>
      </c>
    </row>
    <row r="626" spans="5:6" x14ac:dyDescent="0.25">
      <c r="E626" s="135">
        <v>0.97021960468023305</v>
      </c>
      <c r="F626" s="136">
        <v>0.87644480029004312</v>
      </c>
    </row>
    <row r="627" spans="5:6" x14ac:dyDescent="0.25">
      <c r="E627" s="135">
        <v>0.49677948553435886</v>
      </c>
      <c r="F627" s="136">
        <v>0.51193638726422341</v>
      </c>
    </row>
    <row r="628" spans="5:6" x14ac:dyDescent="0.25">
      <c r="E628" s="135">
        <v>-0.76716749546905572</v>
      </c>
      <c r="F628" s="136">
        <v>-2.4371213838828369</v>
      </c>
    </row>
    <row r="629" spans="5:6" x14ac:dyDescent="0.25">
      <c r="E629" s="135">
        <v>0.86806008351821595</v>
      </c>
      <c r="F629" s="136">
        <v>0.90425099723330038</v>
      </c>
    </row>
    <row r="630" spans="5:6" x14ac:dyDescent="0.25">
      <c r="E630" s="135">
        <v>0.41840801488730012</v>
      </c>
      <c r="F630" s="136">
        <v>-8.0162327561206087E-2</v>
      </c>
    </row>
    <row r="631" spans="5:6" x14ac:dyDescent="0.25">
      <c r="E631" s="135">
        <v>5.7183003031015575E-2</v>
      </c>
      <c r="F631" s="136">
        <v>-0.45816494183104284</v>
      </c>
    </row>
    <row r="632" spans="5:6" x14ac:dyDescent="0.25">
      <c r="E632" s="135">
        <v>-0.91834198369629816</v>
      </c>
      <c r="F632" s="136">
        <v>-1.026688397064647</v>
      </c>
    </row>
    <row r="633" spans="5:6" x14ac:dyDescent="0.25">
      <c r="E633" s="135">
        <v>0.39661453094944737</v>
      </c>
      <c r="F633" s="136">
        <v>-1.4061469419275099</v>
      </c>
    </row>
    <row r="634" spans="5:6" x14ac:dyDescent="0.25">
      <c r="E634" s="135">
        <v>0.92127644803521147</v>
      </c>
      <c r="F634" s="136">
        <v>1.3331643699914177</v>
      </c>
    </row>
    <row r="635" spans="5:6" x14ac:dyDescent="0.25">
      <c r="E635" s="135">
        <v>1.3193650152388889</v>
      </c>
      <c r="F635" s="136">
        <v>0.27686982872269789</v>
      </c>
    </row>
    <row r="636" spans="5:6" x14ac:dyDescent="0.25">
      <c r="E636" s="135">
        <v>-1.8545487079217677</v>
      </c>
      <c r="F636" s="136">
        <v>-1.5941190364041433</v>
      </c>
    </row>
    <row r="637" spans="5:6" x14ac:dyDescent="0.25">
      <c r="E637" s="135">
        <v>-0.11261678514945145</v>
      </c>
      <c r="F637" s="136">
        <v>-0.32108962462141466</v>
      </c>
    </row>
    <row r="638" spans="5:6" x14ac:dyDescent="0.25">
      <c r="E638" s="135">
        <v>-1.821751521077553</v>
      </c>
      <c r="F638" s="136">
        <v>0.89687640659927204</v>
      </c>
    </row>
    <row r="639" spans="5:6" x14ac:dyDescent="0.25">
      <c r="E639" s="135">
        <v>-0.67974404914497155</v>
      </c>
      <c r="F639" s="136">
        <v>1.1006637552944893</v>
      </c>
    </row>
    <row r="640" spans="5:6" x14ac:dyDescent="0.25">
      <c r="E640" s="135">
        <v>-2.0656730486305879</v>
      </c>
      <c r="F640" s="136">
        <v>1.2661813656590795</v>
      </c>
    </row>
    <row r="641" spans="5:6" x14ac:dyDescent="0.25">
      <c r="E641" s="135">
        <v>0.20033802798598627</v>
      </c>
      <c r="F641" s="136">
        <v>1.1271334417022656</v>
      </c>
    </row>
    <row r="642" spans="5:6" x14ac:dyDescent="0.25">
      <c r="E642" s="135">
        <v>0.3734156545682677</v>
      </c>
      <c r="F642" s="136">
        <v>0.41352805665766812</v>
      </c>
    </row>
    <row r="643" spans="5:6" x14ac:dyDescent="0.25">
      <c r="E643" s="135">
        <v>0.23135284241091444</v>
      </c>
      <c r="F643" s="136">
        <v>1.7650983943787064</v>
      </c>
    </row>
    <row r="644" spans="5:6" x14ac:dyDescent="0.25">
      <c r="E644" s="135">
        <v>7.9432059529035398E-2</v>
      </c>
      <c r="F644" s="136">
        <v>-0.73284186315632482</v>
      </c>
    </row>
    <row r="645" spans="5:6" x14ac:dyDescent="0.25">
      <c r="E645" s="135">
        <v>-0.70498881488455245</v>
      </c>
      <c r="F645" s="136">
        <v>0.34030889500404249</v>
      </c>
    </row>
    <row r="646" spans="5:6" x14ac:dyDescent="0.25">
      <c r="E646" s="135">
        <v>-1.9179098099513487</v>
      </c>
      <c r="F646" s="136">
        <v>-0.8869434108019324</v>
      </c>
    </row>
    <row r="647" spans="5:6" x14ac:dyDescent="0.25">
      <c r="E647" s="135">
        <v>0.13119073115176408</v>
      </c>
      <c r="F647" s="136">
        <v>7.2102835418863767E-2</v>
      </c>
    </row>
    <row r="648" spans="5:6" x14ac:dyDescent="0.25">
      <c r="E648" s="135">
        <v>-1.9358567139682981</v>
      </c>
      <c r="F648" s="136">
        <v>1.0402191886688068</v>
      </c>
    </row>
    <row r="649" spans="5:6" x14ac:dyDescent="0.25">
      <c r="E649" s="135">
        <v>-0.23633259796979214</v>
      </c>
      <c r="F649" s="136">
        <v>0.75988717348832158</v>
      </c>
    </row>
    <row r="650" spans="5:6" x14ac:dyDescent="0.25">
      <c r="E650" s="135">
        <v>0.66721366656468262</v>
      </c>
      <c r="F650" s="136">
        <v>1.9730810444561708E-2</v>
      </c>
    </row>
    <row r="651" spans="5:6" x14ac:dyDescent="0.25">
      <c r="E651" s="135">
        <v>0.36726728991126817</v>
      </c>
      <c r="F651" s="136">
        <v>0.62231435496864718</v>
      </c>
    </row>
    <row r="652" spans="5:6" x14ac:dyDescent="0.25">
      <c r="E652" s="135">
        <v>0.67039238190146622</v>
      </c>
      <c r="F652" s="136">
        <v>-0.47538140652588662</v>
      </c>
    </row>
    <row r="653" spans="5:6" x14ac:dyDescent="0.25">
      <c r="E653" s="135">
        <v>0.33637730279307904</v>
      </c>
      <c r="F653" s="136">
        <v>0.87956769978268345</v>
      </c>
    </row>
    <row r="654" spans="5:6" x14ac:dyDescent="0.25">
      <c r="E654" s="135">
        <v>-0.73417441449581999</v>
      </c>
      <c r="F654" s="136">
        <v>0.56531720575405464</v>
      </c>
    </row>
    <row r="655" spans="5:6" x14ac:dyDescent="0.25">
      <c r="E655" s="135">
        <v>-0.499141935326328</v>
      </c>
      <c r="F655" s="136">
        <v>-1.7140881163327487E-2</v>
      </c>
    </row>
    <row r="656" spans="5:6" x14ac:dyDescent="0.25">
      <c r="E656" s="135">
        <v>0.78757740390485687</v>
      </c>
      <c r="F656" s="136">
        <v>1.1591314757662581</v>
      </c>
    </row>
    <row r="657" spans="5:6" x14ac:dyDescent="0.25">
      <c r="E657" s="135">
        <v>-1.6124967139573227</v>
      </c>
      <c r="F657" s="136">
        <v>-1.6454975205302391</v>
      </c>
    </row>
    <row r="658" spans="5:6" x14ac:dyDescent="0.25">
      <c r="E658" s="135">
        <v>1.0120289991290257</v>
      </c>
      <c r="F658" s="136">
        <v>-2.2175065344089488</v>
      </c>
    </row>
    <row r="659" spans="5:6" x14ac:dyDescent="0.25">
      <c r="E659" s="135">
        <v>-0.39126788739116197</v>
      </c>
      <c r="F659" s="136">
        <v>-1.7517223339358565</v>
      </c>
    </row>
    <row r="660" spans="5:6" x14ac:dyDescent="0.25">
      <c r="E660" s="135">
        <v>0.95603674142959982</v>
      </c>
      <c r="F660" s="136">
        <v>0.22610364115217585</v>
      </c>
    </row>
    <row r="661" spans="5:6" x14ac:dyDescent="0.25">
      <c r="E661" s="135">
        <v>-0.45498955255905987</v>
      </c>
      <c r="F661" s="136">
        <v>0.75221278530457647</v>
      </c>
    </row>
    <row r="662" spans="5:6" x14ac:dyDescent="0.25">
      <c r="E662" s="135">
        <v>0.13856466382059041</v>
      </c>
      <c r="F662" s="136">
        <v>0.74252663078900261</v>
      </c>
    </row>
    <row r="663" spans="5:6" x14ac:dyDescent="0.25">
      <c r="E663" s="135">
        <v>-0.81625182522560191</v>
      </c>
      <c r="F663" s="136">
        <v>0.21996431286004803</v>
      </c>
    </row>
    <row r="664" spans="5:6" x14ac:dyDescent="0.25">
      <c r="E664" s="135">
        <v>0.50097083796694597</v>
      </c>
      <c r="F664" s="136">
        <v>0.15877684438022252</v>
      </c>
    </row>
    <row r="665" spans="5:6" x14ac:dyDescent="0.25">
      <c r="E665" s="135">
        <v>0.61667177523241024</v>
      </c>
      <c r="F665" s="136">
        <v>-1.1974522096604709</v>
      </c>
    </row>
    <row r="666" spans="5:6" x14ac:dyDescent="0.25">
      <c r="E666" s="135">
        <v>0.74571344593257649</v>
      </c>
      <c r="F666" s="136">
        <v>0.79970331221306579</v>
      </c>
    </row>
    <row r="667" spans="5:6" x14ac:dyDescent="0.25">
      <c r="E667" s="135">
        <v>-7.0320070415996999E-2</v>
      </c>
      <c r="F667" s="136">
        <v>-0.34534414836041882</v>
      </c>
    </row>
    <row r="668" spans="5:6" x14ac:dyDescent="0.25">
      <c r="E668" s="135">
        <v>0.6394791306955232</v>
      </c>
      <c r="F668" s="136">
        <v>1.2445636681077465</v>
      </c>
    </row>
    <row r="669" spans="5:6" x14ac:dyDescent="0.25">
      <c r="E669" s="135">
        <v>0.32990704452931047</v>
      </c>
      <c r="F669" s="136">
        <v>0.45470837147766607</v>
      </c>
    </row>
    <row r="670" spans="5:6" x14ac:dyDescent="0.25">
      <c r="E670" s="135">
        <v>-0.2350904842640453</v>
      </c>
      <c r="F670" s="136">
        <v>0.15301608670402328</v>
      </c>
    </row>
    <row r="671" spans="5:6" x14ac:dyDescent="0.25">
      <c r="E671" s="135">
        <v>1.2364075964552455</v>
      </c>
      <c r="F671" s="136">
        <v>0.14959259028871569</v>
      </c>
    </row>
    <row r="672" spans="5:6" x14ac:dyDescent="0.25">
      <c r="E672" s="135">
        <v>0.44360049594080414</v>
      </c>
      <c r="F672" s="136">
        <v>0.84555804053855899</v>
      </c>
    </row>
    <row r="673" spans="5:6" x14ac:dyDescent="0.25">
      <c r="E673" s="135">
        <v>0.1199568799870797</v>
      </c>
      <c r="F673" s="136">
        <v>0.10158957799184373</v>
      </c>
    </row>
    <row r="674" spans="5:6" x14ac:dyDescent="0.25">
      <c r="E674" s="135">
        <v>0.51558225295403004</v>
      </c>
      <c r="F674" s="136">
        <v>0.55188827268096396</v>
      </c>
    </row>
    <row r="675" spans="5:6" x14ac:dyDescent="0.25">
      <c r="E675" s="135">
        <v>0.21664179465650021</v>
      </c>
      <c r="F675" s="136">
        <v>0.7999915123049347</v>
      </c>
    </row>
    <row r="676" spans="5:6" x14ac:dyDescent="0.25">
      <c r="E676" s="135">
        <v>0.89671214306086222</v>
      </c>
      <c r="F676" s="136">
        <v>-1.0937368574540913</v>
      </c>
    </row>
    <row r="677" spans="5:6" x14ac:dyDescent="0.25">
      <c r="E677" s="135">
        <v>-0.45097084511433105</v>
      </c>
      <c r="F677" s="136">
        <v>-0.19746876260281199</v>
      </c>
    </row>
    <row r="678" spans="5:6" x14ac:dyDescent="0.25">
      <c r="E678" s="135">
        <v>-0.38713320184250749</v>
      </c>
      <c r="F678" s="136">
        <v>-0.79912696049559861</v>
      </c>
    </row>
    <row r="679" spans="5:6" x14ac:dyDescent="0.25">
      <c r="E679" s="135">
        <v>-1.7524732631198998</v>
      </c>
      <c r="F679" s="136">
        <v>-1.2999065925448989</v>
      </c>
    </row>
    <row r="680" spans="5:6" x14ac:dyDescent="0.25">
      <c r="E680" s="135">
        <v>5.9508977920886649E-2</v>
      </c>
      <c r="F680" s="136">
        <v>0.4894884041731698</v>
      </c>
    </row>
    <row r="681" spans="5:6" x14ac:dyDescent="0.25">
      <c r="E681" s="135">
        <v>-0.79035738971277736</v>
      </c>
      <c r="F681" s="136">
        <v>0.99895253755351376</v>
      </c>
    </row>
    <row r="682" spans="5:6" x14ac:dyDescent="0.25">
      <c r="E682" s="135">
        <v>-0.87129314665263657</v>
      </c>
      <c r="F682" s="136">
        <v>-1.5497848129095315</v>
      </c>
    </row>
    <row r="683" spans="5:6" x14ac:dyDescent="0.25">
      <c r="E683" s="135">
        <v>-0.89091058747774865</v>
      </c>
      <c r="F683" s="136">
        <v>8.7736954960789204E-2</v>
      </c>
    </row>
    <row r="684" spans="5:6" x14ac:dyDescent="0.25">
      <c r="E684" s="135">
        <v>-0.66681594628989771</v>
      </c>
      <c r="F684" s="136">
        <v>0.3839194351078844</v>
      </c>
    </row>
    <row r="685" spans="5:6" x14ac:dyDescent="0.25">
      <c r="E685" s="135">
        <v>0.10624491263153957</v>
      </c>
      <c r="F685" s="136">
        <v>-2.5204315552371654</v>
      </c>
    </row>
    <row r="686" spans="5:6" x14ac:dyDescent="0.25">
      <c r="E686" s="135">
        <v>0.10411860721996559</v>
      </c>
      <c r="F686" s="136">
        <v>-0.75425644155313998</v>
      </c>
    </row>
    <row r="687" spans="5:6" x14ac:dyDescent="0.25">
      <c r="E687" s="135">
        <v>-0.32768291384012022</v>
      </c>
      <c r="F687" s="136">
        <v>7.0215086860729026E-3</v>
      </c>
    </row>
    <row r="688" spans="5:6" x14ac:dyDescent="0.25">
      <c r="E688" s="135">
        <v>-0.52009497805568194</v>
      </c>
      <c r="F688" s="136">
        <v>-2.1595137612390172</v>
      </c>
    </row>
    <row r="689" spans="5:6" x14ac:dyDescent="0.25">
      <c r="E689" s="135">
        <v>0.14302862334198838</v>
      </c>
      <c r="F689" s="136">
        <v>-0.71214000312006143</v>
      </c>
    </row>
    <row r="690" spans="5:6" x14ac:dyDescent="0.25">
      <c r="E690" s="135">
        <v>0.37191885261550306</v>
      </c>
      <c r="F690" s="136">
        <v>0.21481994754934097</v>
      </c>
    </row>
    <row r="691" spans="5:6" x14ac:dyDescent="0.25">
      <c r="E691" s="135">
        <v>-0.18768333209570695</v>
      </c>
      <c r="F691" s="136">
        <v>-1.1555630706649291</v>
      </c>
    </row>
    <row r="692" spans="5:6" x14ac:dyDescent="0.25">
      <c r="E692" s="135">
        <v>-1.655594557462897</v>
      </c>
      <c r="F692" s="136">
        <v>-0.76656376216726785</v>
      </c>
    </row>
    <row r="693" spans="5:6" x14ac:dyDescent="0.25">
      <c r="E693" s="135">
        <v>0.62761761999732901</v>
      </c>
      <c r="F693" s="136">
        <v>-0.73097393890505447</v>
      </c>
    </row>
    <row r="694" spans="5:6" x14ac:dyDescent="0.25">
      <c r="E694" s="135">
        <v>-1.2298426523965771</v>
      </c>
      <c r="F694" s="136">
        <v>-0.65796620560440355</v>
      </c>
    </row>
    <row r="695" spans="5:6" x14ac:dyDescent="0.25">
      <c r="E695" s="135">
        <v>-1.8164118834802758</v>
      </c>
      <c r="F695" s="136">
        <v>-0.6613330995100728</v>
      </c>
    </row>
    <row r="696" spans="5:6" x14ac:dyDescent="0.25">
      <c r="E696" s="135">
        <v>0.69885054404216584</v>
      </c>
      <c r="F696" s="136">
        <v>-0.23598208838295892</v>
      </c>
    </row>
    <row r="697" spans="5:6" x14ac:dyDescent="0.25">
      <c r="E697" s="135">
        <v>-0.31963333093881202</v>
      </c>
      <c r="F697" s="136">
        <v>-0.17750148960744727</v>
      </c>
    </row>
    <row r="698" spans="5:6" x14ac:dyDescent="0.25">
      <c r="E698" s="135">
        <v>-0.14374047793981301</v>
      </c>
      <c r="F698" s="136">
        <v>-1.040724283686663</v>
      </c>
    </row>
    <row r="699" spans="5:6" x14ac:dyDescent="0.25">
      <c r="E699" s="135">
        <v>-1.5615231796655122</v>
      </c>
      <c r="F699" s="136">
        <v>-1.5640959540036601</v>
      </c>
    </row>
    <row r="700" spans="5:6" x14ac:dyDescent="0.25">
      <c r="E700" s="135">
        <v>1.8764620394916647</v>
      </c>
      <c r="F700" s="136">
        <v>0.80492422168931566</v>
      </c>
    </row>
    <row r="701" spans="5:6" x14ac:dyDescent="0.25">
      <c r="E701" s="135">
        <v>0.482305940058461</v>
      </c>
      <c r="F701" s="136">
        <v>0.88194275940594169</v>
      </c>
    </row>
    <row r="702" spans="5:6" x14ac:dyDescent="0.25">
      <c r="E702" s="135">
        <v>-1.1624067715601167</v>
      </c>
      <c r="F702" s="136">
        <v>-1.4273468963304108</v>
      </c>
    </row>
    <row r="703" spans="5:6" x14ac:dyDescent="0.25">
      <c r="E703" s="135">
        <v>0.51182524772479943</v>
      </c>
      <c r="F703" s="136">
        <v>0.13207905463591821</v>
      </c>
    </row>
    <row r="704" spans="5:6" x14ac:dyDescent="0.25">
      <c r="E704" s="135">
        <v>-0.36428225544888965</v>
      </c>
      <c r="F704" s="136">
        <v>-2.3135509873430662</v>
      </c>
    </row>
    <row r="705" spans="5:6" x14ac:dyDescent="0.25">
      <c r="E705" s="135">
        <v>0.93789088354296912</v>
      </c>
      <c r="F705" s="136">
        <v>0.23611730549951548</v>
      </c>
    </row>
    <row r="706" spans="5:6" x14ac:dyDescent="0.25">
      <c r="E706" s="135">
        <v>1.4289849366758101</v>
      </c>
      <c r="F706" s="136">
        <v>1.903258448405734</v>
      </c>
    </row>
    <row r="707" spans="5:6" x14ac:dyDescent="0.25">
      <c r="E707" s="135">
        <v>-0.68880042528221042</v>
      </c>
      <c r="F707" s="136">
        <v>-1.2698580363166738</v>
      </c>
    </row>
    <row r="708" spans="5:6" x14ac:dyDescent="0.25">
      <c r="E708" s="135">
        <v>0.97764472426192472</v>
      </c>
      <c r="F708" s="136">
        <v>0.30277175220695463</v>
      </c>
    </row>
    <row r="709" spans="5:6" x14ac:dyDescent="0.25">
      <c r="E709" s="135">
        <v>0.34896917904497327</v>
      </c>
      <c r="F709" s="136">
        <v>-0.38223106537671631</v>
      </c>
    </row>
    <row r="710" spans="5:6" x14ac:dyDescent="0.25">
      <c r="E710" s="135">
        <v>2.0172329913293359</v>
      </c>
      <c r="F710" s="136">
        <v>2.1537128315014842</v>
      </c>
    </row>
    <row r="711" spans="5:6" x14ac:dyDescent="0.25">
      <c r="E711" s="135">
        <v>-0.92093321686615026</v>
      </c>
      <c r="F711" s="136">
        <v>-0.7396980089736116</v>
      </c>
    </row>
    <row r="712" spans="5:6" x14ac:dyDescent="0.25">
      <c r="E712" s="135">
        <v>-0.85765813806681723</v>
      </c>
      <c r="F712" s="136">
        <v>-0.26789427625867535</v>
      </c>
    </row>
    <row r="713" spans="5:6" x14ac:dyDescent="0.25">
      <c r="E713" s="135">
        <v>-0.409172751824599</v>
      </c>
      <c r="F713" s="136">
        <v>-1.1551360213279163</v>
      </c>
    </row>
    <row r="714" spans="5:6" x14ac:dyDescent="0.25">
      <c r="E714" s="135">
        <v>-0.36017582771749446</v>
      </c>
      <c r="F714" s="136">
        <v>-0.4893143447106354</v>
      </c>
    </row>
    <row r="715" spans="5:6" x14ac:dyDescent="0.25">
      <c r="E715" s="135">
        <v>-0.62360926598782229</v>
      </c>
      <c r="F715" s="136">
        <v>-0.77143373190472753</v>
      </c>
    </row>
    <row r="716" spans="5:6" x14ac:dyDescent="0.25">
      <c r="E716" s="135">
        <v>0.37247588722079356</v>
      </c>
      <c r="F716" s="136">
        <v>0.4396157026926748</v>
      </c>
    </row>
    <row r="717" spans="5:6" x14ac:dyDescent="0.25">
      <c r="E717" s="135">
        <v>-2.1125856404373629</v>
      </c>
      <c r="F717" s="136">
        <v>-1.5761859508585505</v>
      </c>
    </row>
    <row r="718" spans="5:6" x14ac:dyDescent="0.25">
      <c r="E718" s="135">
        <v>-0.59156631753968525</v>
      </c>
      <c r="F718" s="136">
        <v>0.7096963108300095</v>
      </c>
    </row>
    <row r="719" spans="5:6" x14ac:dyDescent="0.25">
      <c r="E719" s="135">
        <v>-0.53894631358487199</v>
      </c>
      <c r="F719" s="136">
        <v>1.1813376603987651</v>
      </c>
    </row>
    <row r="720" spans="5:6" x14ac:dyDescent="0.25">
      <c r="E720" s="135">
        <v>-1.675854024937637</v>
      </c>
      <c r="F720" s="136">
        <v>-1.637228937411656</v>
      </c>
    </row>
    <row r="721" spans="5:6" x14ac:dyDescent="0.25">
      <c r="E721" s="135">
        <v>0.43983770849369375</v>
      </c>
      <c r="F721" s="136">
        <v>-0.35218192894780709</v>
      </c>
    </row>
    <row r="722" spans="5:6" x14ac:dyDescent="0.25">
      <c r="E722" s="135">
        <v>0.20589115095821617</v>
      </c>
      <c r="F722" s="136">
        <v>-0.48960180478224891</v>
      </c>
    </row>
    <row r="723" spans="5:6" x14ac:dyDescent="0.25">
      <c r="E723" s="135">
        <v>-0.5165674054149284</v>
      </c>
      <c r="F723" s="136">
        <v>-0.10275256469030003</v>
      </c>
    </row>
    <row r="724" spans="5:6" x14ac:dyDescent="0.25">
      <c r="E724" s="135">
        <v>-0.88659415807965947</v>
      </c>
      <c r="F724" s="136">
        <v>-0.4994768938677141</v>
      </c>
    </row>
    <row r="725" spans="5:6" x14ac:dyDescent="0.25">
      <c r="E725" s="135">
        <v>-8.2201345688349678E-2</v>
      </c>
      <c r="F725" s="136">
        <v>1.3927362144984132</v>
      </c>
    </row>
    <row r="726" spans="5:6" x14ac:dyDescent="0.25">
      <c r="E726" s="135">
        <v>0.80410462296080021</v>
      </c>
      <c r="F726" s="136">
        <v>-0.25851847549315243</v>
      </c>
    </row>
    <row r="727" spans="5:6" x14ac:dyDescent="0.25">
      <c r="E727" s="135">
        <v>-0.29760529237507038</v>
      </c>
      <c r="F727" s="136">
        <v>0.38915471064444901</v>
      </c>
    </row>
    <row r="728" spans="5:6" x14ac:dyDescent="0.25">
      <c r="E728" s="135">
        <v>-0.30456253197054955</v>
      </c>
      <c r="F728" s="136">
        <v>-0.15958800929359762</v>
      </c>
    </row>
    <row r="729" spans="5:6" x14ac:dyDescent="0.25">
      <c r="E729" s="135">
        <v>-2.4223824488222339</v>
      </c>
      <c r="F729" s="136">
        <v>-1.4483041215113652</v>
      </c>
    </row>
    <row r="730" spans="5:6" x14ac:dyDescent="0.25">
      <c r="E730" s="135">
        <v>-0.44970274160968715</v>
      </c>
      <c r="F730" s="136">
        <v>-0.41787378552392668</v>
      </c>
    </row>
    <row r="731" spans="5:6" x14ac:dyDescent="0.25">
      <c r="E731" s="135">
        <v>-0.65974818584653061</v>
      </c>
      <c r="F731" s="136">
        <v>-1.4168503626872664E-2</v>
      </c>
    </row>
    <row r="732" spans="5:6" x14ac:dyDescent="0.25">
      <c r="E732" s="135">
        <v>0.38884162041133297</v>
      </c>
      <c r="F732" s="136">
        <v>-0.17376773860693528</v>
      </c>
    </row>
    <row r="733" spans="5:6" x14ac:dyDescent="0.25">
      <c r="E733" s="135">
        <v>0.94380921267153084</v>
      </c>
      <c r="F733" s="136">
        <v>0.49763567807569159</v>
      </c>
    </row>
    <row r="734" spans="5:6" x14ac:dyDescent="0.25">
      <c r="E734" s="135">
        <v>0.31806139923398924</v>
      </c>
      <c r="F734" s="136">
        <v>-9.09808333981173E-2</v>
      </c>
    </row>
    <row r="735" spans="5:6" x14ac:dyDescent="0.25">
      <c r="E735" s="135">
        <v>0.46668934218825903</v>
      </c>
      <c r="F735" s="136">
        <v>1.8463265345592478E-2</v>
      </c>
    </row>
    <row r="736" spans="5:6" x14ac:dyDescent="0.25">
      <c r="E736" s="135">
        <v>-0.49138873058696908</v>
      </c>
      <c r="F736" s="136">
        <v>1.9915928210327243</v>
      </c>
    </row>
    <row r="737" spans="5:6" x14ac:dyDescent="0.25">
      <c r="E737" s="135">
        <v>0.4672388376987438</v>
      </c>
      <c r="F737" s="136">
        <v>0.59931136086783432</v>
      </c>
    </row>
    <row r="738" spans="5:6" x14ac:dyDescent="0.25">
      <c r="E738" s="135">
        <v>0.66797771263163352</v>
      </c>
      <c r="F738" s="136">
        <v>0.3280968042844104</v>
      </c>
    </row>
    <row r="739" spans="5:6" x14ac:dyDescent="0.25">
      <c r="E739" s="135">
        <v>-0.85331049520578028</v>
      </c>
      <c r="F739" s="136">
        <v>-0.86702124078749154</v>
      </c>
    </row>
    <row r="740" spans="5:6" x14ac:dyDescent="0.25">
      <c r="E740" s="135">
        <v>-0.24509754674739209</v>
      </c>
      <c r="F740" s="136">
        <v>-1.5939635438719062</v>
      </c>
    </row>
    <row r="741" spans="5:6" x14ac:dyDescent="0.25">
      <c r="E741" s="135">
        <v>1.6006743809195825</v>
      </c>
      <c r="F741" s="136">
        <v>1.0867000724200897</v>
      </c>
    </row>
    <row r="742" spans="5:6" x14ac:dyDescent="0.25">
      <c r="E742" s="135">
        <v>0.72236595540749882</v>
      </c>
      <c r="F742" s="136">
        <v>2.8945384689194991</v>
      </c>
    </row>
    <row r="743" spans="5:6" x14ac:dyDescent="0.25">
      <c r="E743" s="135">
        <v>-1.4658548931423838</v>
      </c>
      <c r="F743" s="136">
        <v>-2.0922221008060129</v>
      </c>
    </row>
    <row r="744" spans="5:6" x14ac:dyDescent="0.25">
      <c r="E744" s="135">
        <v>-1.7037069345371143</v>
      </c>
      <c r="F744" s="136">
        <v>-8.3418938389348218E-2</v>
      </c>
    </row>
    <row r="745" spans="5:6" x14ac:dyDescent="0.25">
      <c r="E745" s="135">
        <v>-0.67114715330603636</v>
      </c>
      <c r="F745" s="136">
        <v>-1.8622002998030702</v>
      </c>
    </row>
    <row r="746" spans="5:6" x14ac:dyDescent="0.25">
      <c r="E746" s="135">
        <v>1.3398182621243213</v>
      </c>
      <c r="F746" s="136">
        <v>0.27388476500841574</v>
      </c>
    </row>
    <row r="747" spans="5:6" x14ac:dyDescent="0.25">
      <c r="E747" s="135">
        <v>1.4783601617840056</v>
      </c>
      <c r="F747" s="136">
        <v>3.8023218504483758E-2</v>
      </c>
    </row>
    <row r="748" spans="5:6" x14ac:dyDescent="0.25">
      <c r="E748" s="135">
        <v>0.3755201863980544</v>
      </c>
      <c r="F748" s="136">
        <v>1.9762701171044228E-2</v>
      </c>
    </row>
    <row r="749" spans="5:6" x14ac:dyDescent="0.25">
      <c r="E749" s="135">
        <v>-0.43689625480821592</v>
      </c>
      <c r="F749" s="136">
        <v>-1.1437531952406264</v>
      </c>
    </row>
    <row r="750" spans="5:6" x14ac:dyDescent="0.25">
      <c r="E750" s="135">
        <v>-0.11901485316321511</v>
      </c>
      <c r="F750" s="136">
        <v>0.49327812169979479</v>
      </c>
    </row>
    <row r="751" spans="5:6" x14ac:dyDescent="0.25">
      <c r="E751" s="135">
        <v>-0.5047413926978348</v>
      </c>
      <c r="F751" s="136">
        <v>-0.13620481961893172</v>
      </c>
    </row>
    <row r="752" spans="5:6" x14ac:dyDescent="0.25">
      <c r="E752" s="135">
        <v>-2.0132325058297211</v>
      </c>
      <c r="F752" s="136">
        <v>-1.3527428623088</v>
      </c>
    </row>
    <row r="753" spans="5:6" x14ac:dyDescent="0.25">
      <c r="E753" s="135">
        <v>-1.9317712641675995</v>
      </c>
      <c r="F753" s="136">
        <v>-2.3829018558136426</v>
      </c>
    </row>
    <row r="754" spans="5:6" x14ac:dyDescent="0.25">
      <c r="E754" s="135">
        <v>-0.81052345347640753</v>
      </c>
      <c r="F754" s="136">
        <v>-0.57163982338454322</v>
      </c>
    </row>
    <row r="755" spans="5:6" x14ac:dyDescent="0.25">
      <c r="E755" s="135">
        <v>-0.6600230342112875</v>
      </c>
      <c r="F755" s="136">
        <v>0.78729918684985045</v>
      </c>
    </row>
    <row r="756" spans="5:6" x14ac:dyDescent="0.25">
      <c r="E756" s="135">
        <v>0.28790735796397721</v>
      </c>
      <c r="F756" s="136">
        <v>-0.18933826138829044</v>
      </c>
    </row>
    <row r="757" spans="5:6" x14ac:dyDescent="0.25">
      <c r="E757" s="135">
        <v>1.2298529729089034</v>
      </c>
      <c r="F757" s="136">
        <v>-1.0616133714433997</v>
      </c>
    </row>
    <row r="758" spans="5:6" x14ac:dyDescent="0.25">
      <c r="E758" s="135">
        <v>1.4614649768219821</v>
      </c>
      <c r="F758" s="136">
        <v>0.64344227706023482</v>
      </c>
    </row>
    <row r="759" spans="5:6" x14ac:dyDescent="0.25">
      <c r="E759" s="135">
        <v>0.11569858570861982</v>
      </c>
      <c r="F759" s="136">
        <v>0.93709511093866615</v>
      </c>
    </row>
    <row r="760" spans="5:6" x14ac:dyDescent="0.25">
      <c r="E760" s="135">
        <v>0.26436061114567871</v>
      </c>
      <c r="F760" s="136">
        <v>0.1990994079847089</v>
      </c>
    </row>
    <row r="761" spans="5:6" x14ac:dyDescent="0.25">
      <c r="E761" s="135">
        <v>-1.0008545614824875</v>
      </c>
      <c r="F761" s="136">
        <v>-1.1201405882626276</v>
      </c>
    </row>
    <row r="762" spans="5:6" x14ac:dyDescent="0.25">
      <c r="E762" s="135">
        <v>0.15462980173400975</v>
      </c>
      <c r="F762" s="136">
        <v>1.4837330237914987</v>
      </c>
    </row>
    <row r="763" spans="5:6" x14ac:dyDescent="0.25">
      <c r="E763" s="135">
        <v>2.2409641360471886E-2</v>
      </c>
      <c r="F763" s="136">
        <v>6.6434042620954221E-3</v>
      </c>
    </row>
    <row r="764" spans="5:6" x14ac:dyDescent="0.25">
      <c r="E764" s="135">
        <v>-0.21643576868054323</v>
      </c>
      <c r="F764" s="136">
        <v>-0.60431564673384264</v>
      </c>
    </row>
    <row r="765" spans="5:6" x14ac:dyDescent="0.25">
      <c r="E765" s="135">
        <v>-0.42011740897379829</v>
      </c>
      <c r="F765" s="136">
        <v>0.21128656676022148</v>
      </c>
    </row>
    <row r="766" spans="5:6" x14ac:dyDescent="0.25">
      <c r="E766" s="135">
        <v>0.97763904608158003</v>
      </c>
      <c r="F766" s="136">
        <v>1.0718748577485711</v>
      </c>
    </row>
    <row r="767" spans="5:6" x14ac:dyDescent="0.25">
      <c r="E767" s="135">
        <v>0.9159252754513284</v>
      </c>
      <c r="F767" s="136">
        <v>-0.55670010398507785</v>
      </c>
    </row>
    <row r="768" spans="5:6" x14ac:dyDescent="0.25">
      <c r="E768" s="135">
        <v>0.2051518584213454</v>
      </c>
      <c r="F768" s="136">
        <v>-0.76309593801460274</v>
      </c>
    </row>
    <row r="769" spans="5:6" x14ac:dyDescent="0.25">
      <c r="E769" s="135">
        <v>-1.1226236558469003</v>
      </c>
      <c r="F769" s="136">
        <v>-0.48394730865702557</v>
      </c>
    </row>
    <row r="770" spans="5:6" x14ac:dyDescent="0.25">
      <c r="E770" s="135">
        <v>0.65765065852585713</v>
      </c>
      <c r="F770" s="136">
        <v>-0.64071648275900239</v>
      </c>
    </row>
    <row r="771" spans="5:6" x14ac:dyDescent="0.25">
      <c r="E771" s="135">
        <v>-0.80181136332307623</v>
      </c>
      <c r="F771" s="136">
        <v>-0.55602150856617705</v>
      </c>
    </row>
    <row r="772" spans="5:6" x14ac:dyDescent="0.25">
      <c r="E772" s="135">
        <v>-0.68789645748621342</v>
      </c>
      <c r="F772" s="136">
        <v>-0.50893161852177093</v>
      </c>
    </row>
    <row r="773" spans="5:6" x14ac:dyDescent="0.25">
      <c r="E773" s="135">
        <v>0.14634603009196692</v>
      </c>
      <c r="F773" s="136">
        <v>0.66931077579195153</v>
      </c>
    </row>
    <row r="774" spans="5:6" x14ac:dyDescent="0.25">
      <c r="E774" s="135">
        <v>-1.2034085434772599</v>
      </c>
      <c r="F774" s="136">
        <v>0.23466332429931214</v>
      </c>
    </row>
    <row r="775" spans="5:6" x14ac:dyDescent="0.25">
      <c r="E775" s="135">
        <v>-0.4520991190568675</v>
      </c>
      <c r="F775" s="136">
        <v>-1.3218114630701439</v>
      </c>
    </row>
    <row r="776" spans="5:6" x14ac:dyDescent="0.25">
      <c r="E776" s="135">
        <v>2.3180931427348619</v>
      </c>
      <c r="F776" s="136">
        <v>0.74901201004858042</v>
      </c>
    </row>
    <row r="777" spans="5:6" x14ac:dyDescent="0.25">
      <c r="E777" s="135">
        <v>0.11369894217055998</v>
      </c>
      <c r="F777" s="136">
        <v>-0.73060372695305764</v>
      </c>
    </row>
    <row r="778" spans="5:6" x14ac:dyDescent="0.25">
      <c r="E778" s="135">
        <v>-1.8441017864872626</v>
      </c>
      <c r="F778" s="136">
        <v>4.1538217627457241E-2</v>
      </c>
    </row>
    <row r="779" spans="5:6" x14ac:dyDescent="0.25">
      <c r="E779" s="135">
        <v>-1.6788411345939689</v>
      </c>
      <c r="F779" s="136">
        <v>-3.0719654168205088</v>
      </c>
    </row>
    <row r="780" spans="5:6" x14ac:dyDescent="0.25">
      <c r="E780" s="135">
        <v>-0.7671942205618999</v>
      </c>
      <c r="F780" s="136">
        <v>-1.1097642244869752</v>
      </c>
    </row>
    <row r="781" spans="5:6" x14ac:dyDescent="0.25">
      <c r="E781" s="135">
        <v>-0.60602629971539823</v>
      </c>
      <c r="F781" s="136">
        <v>-0.51669995913728872</v>
      </c>
    </row>
    <row r="782" spans="5:6" x14ac:dyDescent="0.25">
      <c r="E782" s="135">
        <v>-0.21397666283234901</v>
      </c>
      <c r="F782" s="136">
        <v>-0.47917510628191784</v>
      </c>
    </row>
    <row r="783" spans="5:6" x14ac:dyDescent="0.25">
      <c r="E783" s="135">
        <v>-0.97963536930867501</v>
      </c>
      <c r="F783" s="136">
        <v>0.16616047194844985</v>
      </c>
    </row>
    <row r="784" spans="5:6" x14ac:dyDescent="0.25">
      <c r="E784" s="135">
        <v>-0.70865572833305812</v>
      </c>
      <c r="F784" s="136">
        <v>-0.16806210096015486</v>
      </c>
    </row>
    <row r="785" spans="5:6" x14ac:dyDescent="0.25">
      <c r="E785" s="135">
        <v>0.20259830912181201</v>
      </c>
      <c r="F785" s="136">
        <v>7.3603763240734421E-2</v>
      </c>
    </row>
    <row r="786" spans="5:6" x14ac:dyDescent="0.25">
      <c r="E786" s="135">
        <v>-0.62652272270366116</v>
      </c>
      <c r="F786" s="136">
        <v>0.254654803380295</v>
      </c>
    </row>
    <row r="787" spans="5:6" x14ac:dyDescent="0.25">
      <c r="E787" s="135">
        <v>-1.6898547532849479</v>
      </c>
      <c r="F787" s="136">
        <v>-0.52357984051469053</v>
      </c>
    </row>
    <row r="788" spans="5:6" x14ac:dyDescent="0.25">
      <c r="E788" s="135">
        <v>0.14023047586251819</v>
      </c>
      <c r="F788" s="136">
        <v>0.45699365001366121</v>
      </c>
    </row>
    <row r="789" spans="5:6" x14ac:dyDescent="0.25">
      <c r="E789" s="135">
        <v>-0.8997642281415259</v>
      </c>
      <c r="F789" s="136">
        <v>0.46042784501222778</v>
      </c>
    </row>
    <row r="790" spans="5:6" x14ac:dyDescent="0.25">
      <c r="E790" s="135">
        <v>0.27919233009738892</v>
      </c>
      <c r="F790" s="136">
        <v>-0.43224628928384179</v>
      </c>
    </row>
    <row r="791" spans="5:6" x14ac:dyDescent="0.25">
      <c r="E791" s="135">
        <v>1.0676369177613463</v>
      </c>
      <c r="F791" s="136">
        <v>1.5396335650385997</v>
      </c>
    </row>
    <row r="792" spans="5:6" x14ac:dyDescent="0.25">
      <c r="E792" s="135">
        <v>0.27086919367012419</v>
      </c>
      <c r="F792" s="136">
        <v>0.65942749575988779</v>
      </c>
    </row>
    <row r="793" spans="5:6" x14ac:dyDescent="0.25">
      <c r="E793" s="135">
        <v>0.69793028345545249</v>
      </c>
      <c r="F793" s="136">
        <v>1.5446077054786964</v>
      </c>
    </row>
    <row r="794" spans="5:6" x14ac:dyDescent="0.25">
      <c r="E794" s="135">
        <v>0.71099775173200241</v>
      </c>
      <c r="F794" s="136">
        <v>-0.11275098605175654</v>
      </c>
    </row>
    <row r="795" spans="5:6" x14ac:dyDescent="0.25">
      <c r="E795" s="135">
        <v>-0.75773164258084824</v>
      </c>
      <c r="F795" s="136">
        <v>-0.69224759482030163</v>
      </c>
    </row>
    <row r="796" spans="5:6" x14ac:dyDescent="0.25">
      <c r="E796" s="135">
        <v>-0.78823136240146652</v>
      </c>
      <c r="F796" s="136">
        <v>-1.0432770559144826</v>
      </c>
    </row>
    <row r="797" spans="5:6" x14ac:dyDescent="0.25">
      <c r="E797" s="135">
        <v>-3.7045286346371602E-2</v>
      </c>
      <c r="F797" s="136">
        <v>-1.2056564611936202</v>
      </c>
    </row>
    <row r="798" spans="5:6" x14ac:dyDescent="0.25">
      <c r="E798" s="135">
        <v>1.2457502037205124</v>
      </c>
      <c r="F798" s="136">
        <v>-0.49108931088415197</v>
      </c>
    </row>
    <row r="799" spans="5:6" x14ac:dyDescent="0.25">
      <c r="E799" s="135">
        <v>-2.3360905223370052</v>
      </c>
      <c r="F799" s="136">
        <v>-0.37138504747926948</v>
      </c>
    </row>
    <row r="800" spans="5:6" x14ac:dyDescent="0.25">
      <c r="E800" s="135">
        <v>0.41348061188453022</v>
      </c>
      <c r="F800" s="136">
        <v>-0.11812750942758704</v>
      </c>
    </row>
    <row r="801" spans="5:6" x14ac:dyDescent="0.25">
      <c r="E801" s="135">
        <v>1.908004578692273</v>
      </c>
      <c r="F801" s="136">
        <v>1.4680252374659859</v>
      </c>
    </row>
    <row r="802" spans="5:6" x14ac:dyDescent="0.25">
      <c r="E802" s="135">
        <v>-1.6928607957280342</v>
      </c>
      <c r="F802" s="136">
        <v>0.13226418908584614</v>
      </c>
    </row>
    <row r="803" spans="5:6" x14ac:dyDescent="0.25">
      <c r="E803" s="135">
        <v>-1.8109609995966562</v>
      </c>
      <c r="F803" s="136">
        <v>-1.4319813709607279</v>
      </c>
    </row>
    <row r="804" spans="5:6" x14ac:dyDescent="0.25">
      <c r="E804" s="135">
        <v>0.24528946720278347</v>
      </c>
      <c r="F804" s="136">
        <v>0.8330681668032095</v>
      </c>
    </row>
    <row r="805" spans="5:6" x14ac:dyDescent="0.25">
      <c r="E805" s="135">
        <v>-3.1498759219615702E-2</v>
      </c>
      <c r="F805" s="136">
        <v>1.7912227615350296</v>
      </c>
    </row>
    <row r="806" spans="5:6" x14ac:dyDescent="0.25">
      <c r="E806" s="135">
        <v>-0.31236676926780277</v>
      </c>
      <c r="F806" s="136">
        <v>-0.93710389041140363</v>
      </c>
    </row>
    <row r="807" spans="5:6" x14ac:dyDescent="0.25">
      <c r="E807" s="135">
        <v>1.2164172750613722</v>
      </c>
      <c r="F807" s="136">
        <v>0.53117900287158915</v>
      </c>
    </row>
    <row r="808" spans="5:6" x14ac:dyDescent="0.25">
      <c r="E808" s="135">
        <v>-0.40074942359894716</v>
      </c>
      <c r="F808" s="136">
        <v>-0.7428850376775431</v>
      </c>
    </row>
    <row r="809" spans="5:6" x14ac:dyDescent="0.25">
      <c r="E809" s="135">
        <v>0.63871439481125303</v>
      </c>
      <c r="F809" s="136">
        <v>1.3072365138638087</v>
      </c>
    </row>
    <row r="810" spans="5:6" x14ac:dyDescent="0.25">
      <c r="E810" s="135">
        <v>-0.84605534933011295</v>
      </c>
      <c r="F810" s="136">
        <v>3.4082927530286633E-2</v>
      </c>
    </row>
    <row r="811" spans="5:6" x14ac:dyDescent="0.25">
      <c r="E811" s="135">
        <v>4.8322527933291878E-2</v>
      </c>
      <c r="F811" s="136">
        <v>-0.32429143185959258</v>
      </c>
    </row>
    <row r="812" spans="5:6" x14ac:dyDescent="0.25">
      <c r="E812" s="135">
        <v>0.56928666849125287</v>
      </c>
      <c r="F812" s="136">
        <v>2.0937581379835319</v>
      </c>
    </row>
    <row r="813" spans="5:6" x14ac:dyDescent="0.25">
      <c r="E813" s="135">
        <v>8.6905362569460867E-2</v>
      </c>
      <c r="F813" s="136">
        <v>0.20843974025467293</v>
      </c>
    </row>
    <row r="814" spans="5:6" x14ac:dyDescent="0.25">
      <c r="E814" s="135">
        <v>2.0008803693171808</v>
      </c>
      <c r="F814" s="136">
        <v>1.2025076069881855</v>
      </c>
    </row>
    <row r="815" spans="5:6" x14ac:dyDescent="0.25">
      <c r="E815" s="135">
        <v>-0.66785577005214214</v>
      </c>
      <c r="F815" s="136">
        <v>-4.7626004743464068E-2</v>
      </c>
    </row>
    <row r="816" spans="5:6" x14ac:dyDescent="0.25">
      <c r="E816" s="135">
        <v>-0.5892216522265683</v>
      </c>
      <c r="F816" s="136">
        <v>-0.77485363778096694</v>
      </c>
    </row>
    <row r="817" spans="5:6" x14ac:dyDescent="0.25">
      <c r="E817" s="135">
        <v>1.4106094260485573</v>
      </c>
      <c r="F817" s="136">
        <v>-0.28228413108701023</v>
      </c>
    </row>
    <row r="818" spans="5:6" x14ac:dyDescent="0.25">
      <c r="E818" s="135">
        <v>0.40019655643053931</v>
      </c>
      <c r="F818" s="136">
        <v>-1.4207822792590481</v>
      </c>
    </row>
    <row r="819" spans="5:6" x14ac:dyDescent="0.25">
      <c r="E819" s="135">
        <v>0.14637266840258498</v>
      </c>
      <c r="F819" s="136">
        <v>-0.93037646663766604</v>
      </c>
    </row>
    <row r="820" spans="5:6" x14ac:dyDescent="0.25">
      <c r="E820" s="135">
        <v>-0.15797735194459211</v>
      </c>
      <c r="F820" s="136">
        <v>-0.14156132643476443</v>
      </c>
    </row>
    <row r="821" spans="5:6" x14ac:dyDescent="0.25">
      <c r="E821" s="135">
        <v>0.50966492062826874</v>
      </c>
      <c r="F821" s="136">
        <v>-0.4981511849079559</v>
      </c>
    </row>
    <row r="822" spans="5:6" x14ac:dyDescent="0.25">
      <c r="E822" s="135">
        <v>-0.16838180198423228</v>
      </c>
      <c r="F822" s="136">
        <v>-1.3578952446782713</v>
      </c>
    </row>
    <row r="823" spans="5:6" x14ac:dyDescent="0.25">
      <c r="E823" s="135">
        <v>2.0327308474798893</v>
      </c>
      <c r="F823" s="136">
        <v>-0.40779650516471833</v>
      </c>
    </row>
    <row r="824" spans="5:6" x14ac:dyDescent="0.25">
      <c r="E824" s="135">
        <v>-1.249476013517816</v>
      </c>
      <c r="F824" s="136">
        <v>-1.5430773867659644</v>
      </c>
    </row>
    <row r="825" spans="5:6" x14ac:dyDescent="0.25">
      <c r="E825" s="135">
        <v>0.46931449220410321</v>
      </c>
      <c r="F825" s="136">
        <v>-0.38786397563548036</v>
      </c>
    </row>
    <row r="826" spans="5:6" x14ac:dyDescent="0.25">
      <c r="E826" s="135">
        <v>-0.66977542666374179</v>
      </c>
      <c r="F826" s="136">
        <v>0.50232617824359038</v>
      </c>
    </row>
    <row r="827" spans="5:6" x14ac:dyDescent="0.25">
      <c r="E827" s="135">
        <v>2.2331431904216999E-2</v>
      </c>
      <c r="F827" s="136">
        <v>0.67457243509395715</v>
      </c>
    </row>
    <row r="828" spans="5:6" x14ac:dyDescent="0.25">
      <c r="E828" s="135">
        <v>1.1177620438016282</v>
      </c>
      <c r="F828" s="136">
        <v>1.5740501287626811</v>
      </c>
    </row>
    <row r="829" spans="5:6" x14ac:dyDescent="0.25">
      <c r="E829" s="135">
        <v>-0.8080755776688362</v>
      </c>
      <c r="F829" s="136">
        <v>-2.8945471678394825</v>
      </c>
    </row>
    <row r="830" spans="5:6" x14ac:dyDescent="0.25">
      <c r="E830" s="135">
        <v>-1.1958669947760785</v>
      </c>
      <c r="F830" s="136">
        <v>-0.17326773987977939</v>
      </c>
    </row>
    <row r="831" spans="5:6" x14ac:dyDescent="0.25">
      <c r="E831" s="135">
        <v>1.392775010812155</v>
      </c>
      <c r="F831" s="136">
        <v>-0.38549225248423102</v>
      </c>
    </row>
    <row r="832" spans="5:6" x14ac:dyDescent="0.25">
      <c r="E832" s="135">
        <v>-0.47734428245283511</v>
      </c>
      <c r="F832" s="136">
        <v>-2.1822760550982236</v>
      </c>
    </row>
    <row r="833" spans="5:6" x14ac:dyDescent="0.25">
      <c r="E833" s="135">
        <v>-1.0753931836921622</v>
      </c>
      <c r="F833" s="136">
        <v>-1.4316584320832026</v>
      </c>
    </row>
    <row r="834" spans="5:6" x14ac:dyDescent="0.25">
      <c r="E834" s="135">
        <v>0.56770013685439769</v>
      </c>
      <c r="F834" s="136">
        <v>-0.11269393106029235</v>
      </c>
    </row>
    <row r="835" spans="5:6" x14ac:dyDescent="0.25">
      <c r="E835" s="135">
        <v>5.8982139655520766E-2</v>
      </c>
      <c r="F835" s="136">
        <v>0.50163689533314115</v>
      </c>
    </row>
    <row r="836" spans="5:6" x14ac:dyDescent="0.25">
      <c r="E836" s="135">
        <v>-0.30696121774291818</v>
      </c>
      <c r="F836" s="136">
        <v>1.0406183354223641</v>
      </c>
    </row>
    <row r="837" spans="5:6" x14ac:dyDescent="0.25">
      <c r="E837" s="135">
        <v>1.4656394754363404</v>
      </c>
      <c r="F837" s="136">
        <v>0.60292732982144914</v>
      </c>
    </row>
    <row r="838" spans="5:6" x14ac:dyDescent="0.25">
      <c r="E838" s="135">
        <v>-0.61143981102221878</v>
      </c>
      <c r="F838" s="136">
        <v>1.6181090116416361</v>
      </c>
    </row>
    <row r="839" spans="5:6" x14ac:dyDescent="0.25">
      <c r="E839" s="135">
        <v>-0.3490251531433049</v>
      </c>
      <c r="F839" s="136">
        <v>-1.7177860290568407</v>
      </c>
    </row>
    <row r="840" spans="5:6" x14ac:dyDescent="0.25">
      <c r="E840" s="135">
        <v>1.6155442753352063</v>
      </c>
      <c r="F840" s="136">
        <v>1.1562042901739029</v>
      </c>
    </row>
    <row r="841" spans="5:6" x14ac:dyDescent="0.25">
      <c r="E841" s="135">
        <v>-0.35441856846512226</v>
      </c>
      <c r="F841" s="136">
        <v>-0.25192255333013924</v>
      </c>
    </row>
    <row r="842" spans="5:6" x14ac:dyDescent="0.25">
      <c r="E842" s="135">
        <v>1.3408133324989167</v>
      </c>
      <c r="F842" s="136">
        <v>1.3880270517177715</v>
      </c>
    </row>
    <row r="843" spans="5:6" x14ac:dyDescent="0.25">
      <c r="E843" s="135">
        <v>-0.52196513447739312</v>
      </c>
      <c r="F843" s="136">
        <v>1.6139816543907768</v>
      </c>
    </row>
    <row r="844" spans="5:6" x14ac:dyDescent="0.25">
      <c r="E844" s="135">
        <v>0.2800187176819357</v>
      </c>
      <c r="F844" s="136">
        <v>0.2699337482602498</v>
      </c>
    </row>
    <row r="845" spans="5:6" x14ac:dyDescent="0.25">
      <c r="E845" s="135">
        <v>-0.3070237153097457</v>
      </c>
      <c r="F845" s="136">
        <v>0.48064294545393615</v>
      </c>
    </row>
    <row r="846" spans="5:6" x14ac:dyDescent="0.25">
      <c r="E846" s="135">
        <v>2.6663688257208391</v>
      </c>
      <c r="F846" s="136">
        <v>1.2363644374450926</v>
      </c>
    </row>
    <row r="847" spans="5:6" x14ac:dyDescent="0.25">
      <c r="E847" s="135">
        <v>-4.8929195081462026E-2</v>
      </c>
      <c r="F847" s="136">
        <v>-0.49601707862010724</v>
      </c>
    </row>
    <row r="848" spans="5:6" x14ac:dyDescent="0.25">
      <c r="E848" s="135">
        <v>2.2144051398147506</v>
      </c>
      <c r="F848" s="136">
        <v>0.88976165760383585</v>
      </c>
    </row>
    <row r="849" spans="5:6" x14ac:dyDescent="0.25">
      <c r="E849" s="135">
        <v>-1.1984626992709464</v>
      </c>
      <c r="F849" s="136">
        <v>-1.8629161713600841</v>
      </c>
    </row>
    <row r="850" spans="5:6" x14ac:dyDescent="0.25">
      <c r="E850" s="135">
        <v>1.1648270654966475</v>
      </c>
      <c r="F850" s="136">
        <v>0.88556092806226427</v>
      </c>
    </row>
    <row r="851" spans="5:6" x14ac:dyDescent="0.25">
      <c r="E851" s="135">
        <v>-1.820008747379485</v>
      </c>
      <c r="F851" s="136">
        <v>-1.7126005852587092</v>
      </c>
    </row>
    <row r="852" spans="5:6" x14ac:dyDescent="0.25">
      <c r="E852" s="135">
        <v>3.6993746412362005E-3</v>
      </c>
      <c r="F852" s="136">
        <v>-1.4108765815194797</v>
      </c>
    </row>
    <row r="853" spans="5:6" x14ac:dyDescent="0.25">
      <c r="E853" s="135">
        <v>0.99557268639311014</v>
      </c>
      <c r="F853" s="136">
        <v>-0.61130687833817743</v>
      </c>
    </row>
    <row r="854" spans="5:6" x14ac:dyDescent="0.25">
      <c r="E854" s="135">
        <v>0.88400286592136945</v>
      </c>
      <c r="F854" s="136">
        <v>0.65913868967044265</v>
      </c>
    </row>
    <row r="855" spans="5:6" x14ac:dyDescent="0.25">
      <c r="E855" s="135">
        <v>1.7154093538578313E-2</v>
      </c>
      <c r="F855" s="136">
        <v>2.2221840179678529</v>
      </c>
    </row>
    <row r="856" spans="5:6" x14ac:dyDescent="0.25">
      <c r="E856" s="135">
        <v>0.82707513637710273</v>
      </c>
      <c r="F856" s="136">
        <v>1.0774535421017917</v>
      </c>
    </row>
    <row r="857" spans="5:6" x14ac:dyDescent="0.25">
      <c r="E857" s="135">
        <v>-0.32785558621144639</v>
      </c>
      <c r="F857" s="136">
        <v>-0.70720267445503993</v>
      </c>
    </row>
    <row r="858" spans="5:6" x14ac:dyDescent="0.25">
      <c r="E858" s="135">
        <v>-0.92460463480820265</v>
      </c>
      <c r="F858" s="136">
        <v>-1.3530442648319303</v>
      </c>
    </row>
    <row r="859" spans="5:6" x14ac:dyDescent="0.25">
      <c r="E859" s="135">
        <v>0.18071795317835548</v>
      </c>
      <c r="F859" s="136">
        <v>-0.14243694093337372</v>
      </c>
    </row>
    <row r="860" spans="5:6" x14ac:dyDescent="0.25">
      <c r="E860" s="135">
        <v>0.27258115751279971</v>
      </c>
      <c r="F860" s="136">
        <v>-0.21562361472700123</v>
      </c>
    </row>
    <row r="861" spans="5:6" x14ac:dyDescent="0.25">
      <c r="E861" s="135">
        <v>-1.7083913597035749</v>
      </c>
      <c r="F861" s="136">
        <v>-2.6385968197114438</v>
      </c>
    </row>
    <row r="862" spans="5:6" x14ac:dyDescent="0.25">
      <c r="E862" s="135">
        <v>-1.2937366604528329</v>
      </c>
      <c r="F862" s="136">
        <v>-1.8501606253288687</v>
      </c>
    </row>
    <row r="863" spans="5:6" x14ac:dyDescent="0.25">
      <c r="E863" s="135">
        <v>-0.20015587003352661</v>
      </c>
      <c r="F863" s="136">
        <v>2.1165107681915276</v>
      </c>
    </row>
    <row r="864" spans="5:6" x14ac:dyDescent="0.25">
      <c r="E864" s="135">
        <v>-0.74273499237847862</v>
      </c>
      <c r="F864" s="136">
        <v>-1.6664599887787308</v>
      </c>
    </row>
    <row r="865" spans="5:6" x14ac:dyDescent="0.25">
      <c r="E865" s="135">
        <v>3.3554943321100861E-3</v>
      </c>
      <c r="F865" s="136">
        <v>-0.45825702246536187</v>
      </c>
    </row>
    <row r="866" spans="5:6" x14ac:dyDescent="0.25">
      <c r="E866" s="135">
        <v>-1.0658668352751124</v>
      </c>
      <c r="F866" s="136">
        <v>-1.1643932741624687</v>
      </c>
    </row>
    <row r="867" spans="5:6" x14ac:dyDescent="0.25">
      <c r="E867" s="135">
        <v>1.0500698989697324</v>
      </c>
      <c r="F867" s="136">
        <v>6.1324754117858704E-2</v>
      </c>
    </row>
    <row r="868" spans="5:6" x14ac:dyDescent="0.25">
      <c r="E868" s="135">
        <v>-0.49707739114965199</v>
      </c>
      <c r="F868" s="136">
        <v>-1.9156501183096717</v>
      </c>
    </row>
    <row r="869" spans="5:6" x14ac:dyDescent="0.25">
      <c r="E869" s="135">
        <v>-1.4052475284413819</v>
      </c>
      <c r="F869" s="136">
        <v>-0.5820984713139169</v>
      </c>
    </row>
    <row r="870" spans="5:6" x14ac:dyDescent="0.25">
      <c r="E870" s="135">
        <v>-0.11699552866605131</v>
      </c>
      <c r="F870" s="136">
        <v>0.72712458010134906</v>
      </c>
    </row>
    <row r="871" spans="5:6" x14ac:dyDescent="0.25">
      <c r="E871" s="135">
        <v>-0.88027932227239492</v>
      </c>
      <c r="F871" s="136">
        <v>1.3996909634652108</v>
      </c>
    </row>
    <row r="872" spans="5:6" x14ac:dyDescent="0.25">
      <c r="E872" s="135">
        <v>-0.53483674666253345</v>
      </c>
      <c r="F872" s="136">
        <v>0.13079090519930908</v>
      </c>
    </row>
    <row r="873" spans="5:6" x14ac:dyDescent="0.25">
      <c r="E873" s="135">
        <v>-0.33289810701493694</v>
      </c>
      <c r="F873" s="136">
        <v>0.69473592232276382</v>
      </c>
    </row>
    <row r="874" spans="5:6" x14ac:dyDescent="0.25">
      <c r="E874" s="135">
        <v>0.1497233376845698</v>
      </c>
      <c r="F874" s="136">
        <v>0.43725671611263656</v>
      </c>
    </row>
    <row r="875" spans="5:6" x14ac:dyDescent="0.25">
      <c r="E875" s="135">
        <v>0.59551536445071473</v>
      </c>
      <c r="F875" s="136">
        <v>1.0111406309864317</v>
      </c>
    </row>
    <row r="876" spans="5:6" x14ac:dyDescent="0.25">
      <c r="E876" s="135">
        <v>1.1348800429962176</v>
      </c>
      <c r="F876" s="136">
        <v>2.1595275781221583</v>
      </c>
    </row>
    <row r="877" spans="5:6" x14ac:dyDescent="0.25">
      <c r="E877" s="135">
        <v>-0.32935550363799487</v>
      </c>
      <c r="F877" s="136">
        <v>0.47662070191440298</v>
      </c>
    </row>
    <row r="878" spans="5:6" x14ac:dyDescent="0.25">
      <c r="E878" s="135">
        <v>-0.81660412137318661</v>
      </c>
      <c r="F878" s="136">
        <v>-0.47072261952170885</v>
      </c>
    </row>
    <row r="879" spans="5:6" x14ac:dyDescent="0.25">
      <c r="E879" s="135">
        <v>0.85095152154374287</v>
      </c>
      <c r="F879" s="136">
        <v>0.56060092771373693</v>
      </c>
    </row>
    <row r="880" spans="5:6" x14ac:dyDescent="0.25">
      <c r="E880" s="135">
        <v>-1.5752380367152294</v>
      </c>
      <c r="F880" s="136">
        <v>-0.4370562488254513</v>
      </c>
    </row>
    <row r="881" spans="5:6" x14ac:dyDescent="0.25">
      <c r="E881" s="135">
        <v>-0.9230549775444975</v>
      </c>
      <c r="F881" s="136">
        <v>-0.53748026388807557</v>
      </c>
    </row>
    <row r="882" spans="5:6" x14ac:dyDescent="0.25">
      <c r="E882" s="135">
        <v>1.3288876445829085</v>
      </c>
      <c r="F882" s="136">
        <v>1.2930117905361769</v>
      </c>
    </row>
    <row r="883" spans="5:6" x14ac:dyDescent="0.25">
      <c r="E883" s="135">
        <v>0.7388396637898218</v>
      </c>
      <c r="F883" s="136">
        <v>0.2461819642674935</v>
      </c>
    </row>
    <row r="884" spans="5:6" x14ac:dyDescent="0.25">
      <c r="E884" s="135">
        <v>-0.41203560428467118</v>
      </c>
      <c r="F884" s="136">
        <v>-1.1863802446950074</v>
      </c>
    </row>
    <row r="885" spans="5:6" x14ac:dyDescent="0.25">
      <c r="E885" s="135">
        <v>1.8971041251778748E-2</v>
      </c>
      <c r="F885" s="136">
        <v>-0.34760659974635832</v>
      </c>
    </row>
    <row r="886" spans="5:6" x14ac:dyDescent="0.25">
      <c r="E886" s="135">
        <v>0.99960804165856432</v>
      </c>
      <c r="F886" s="136">
        <v>0.92145586093917542</v>
      </c>
    </row>
    <row r="887" spans="5:6" x14ac:dyDescent="0.25">
      <c r="E887" s="135">
        <v>-0.6581944359583547</v>
      </c>
      <c r="F887" s="136">
        <v>-0.4646471314076821</v>
      </c>
    </row>
    <row r="888" spans="5:6" x14ac:dyDescent="0.25">
      <c r="E888" s="135">
        <v>1.4934084491156721</v>
      </c>
      <c r="F888" s="136">
        <v>1.2883928018256616</v>
      </c>
    </row>
    <row r="889" spans="5:6" x14ac:dyDescent="0.25">
      <c r="E889" s="135">
        <v>-0.41530830188617701</v>
      </c>
      <c r="F889" s="136">
        <v>-1.3422540249834432</v>
      </c>
    </row>
    <row r="890" spans="5:6" x14ac:dyDescent="0.25">
      <c r="E890" s="135">
        <v>0.87608330713804106</v>
      </c>
      <c r="F890" s="136">
        <v>0.52456797920488019</v>
      </c>
    </row>
    <row r="891" spans="5:6" x14ac:dyDescent="0.25">
      <c r="E891" s="135">
        <v>1.0144701611392382</v>
      </c>
      <c r="F891" s="136">
        <v>-0.1719569431585708</v>
      </c>
    </row>
    <row r="892" spans="5:6" x14ac:dyDescent="0.25">
      <c r="E892" s="135">
        <v>-1.5320407387520263</v>
      </c>
      <c r="F892" s="136">
        <v>0.37631813705015904</v>
      </c>
    </row>
    <row r="893" spans="5:6" x14ac:dyDescent="0.25">
      <c r="E893" s="135">
        <v>0.60999562142580754</v>
      </c>
      <c r="F893" s="136">
        <v>-0.55955458577943407</v>
      </c>
    </row>
    <row r="894" spans="5:6" x14ac:dyDescent="0.25">
      <c r="E894" s="135">
        <v>-0.24598118165702612</v>
      </c>
      <c r="F894" s="136">
        <v>-0.16849528284276311</v>
      </c>
    </row>
    <row r="895" spans="5:6" x14ac:dyDescent="0.25">
      <c r="E895" s="135">
        <v>6.5782924971133569E-2</v>
      </c>
      <c r="F895" s="136">
        <v>0.80057822193857442</v>
      </c>
    </row>
    <row r="896" spans="5:6" x14ac:dyDescent="0.25">
      <c r="E896" s="135">
        <v>-0.65337215272134386</v>
      </c>
      <c r="F896" s="136">
        <v>0.57095846495196023</v>
      </c>
    </row>
    <row r="897" spans="5:6" x14ac:dyDescent="0.25">
      <c r="E897" s="135">
        <v>-0.85554308157811898</v>
      </c>
      <c r="F897" s="136">
        <v>-1.0346333674821164</v>
      </c>
    </row>
    <row r="898" spans="5:6" x14ac:dyDescent="0.25">
      <c r="E898" s="135">
        <v>0.36942475073400671</v>
      </c>
      <c r="F898" s="136">
        <v>1.0628539850377072</v>
      </c>
    </row>
    <row r="899" spans="5:6" x14ac:dyDescent="0.25">
      <c r="E899" s="135">
        <v>1.4011246760926743</v>
      </c>
      <c r="F899" s="136">
        <v>0.70735094675241017</v>
      </c>
    </row>
    <row r="900" spans="5:6" x14ac:dyDescent="0.25">
      <c r="E900" s="135">
        <v>0.18346438590087821</v>
      </c>
      <c r="F900" s="136">
        <v>0.98811612027629292</v>
      </c>
    </row>
    <row r="901" spans="5:6" x14ac:dyDescent="0.25">
      <c r="E901" s="135">
        <v>-0.15009890730168202</v>
      </c>
      <c r="F901" s="136">
        <v>0.38397062180860586</v>
      </c>
    </row>
    <row r="902" spans="5:6" x14ac:dyDescent="0.25">
      <c r="E902" s="135">
        <v>1.4435967883064578</v>
      </c>
      <c r="F902" s="136">
        <v>1.8933415746518054</v>
      </c>
    </row>
    <row r="903" spans="5:6" x14ac:dyDescent="0.25">
      <c r="E903" s="135">
        <v>1.3707644335107885</v>
      </c>
      <c r="F903" s="136">
        <v>0.67746955413530308</v>
      </c>
    </row>
    <row r="904" spans="5:6" x14ac:dyDescent="0.25">
      <c r="E904" s="135">
        <v>-0.26922420833929117</v>
      </c>
      <c r="F904" s="136">
        <v>0.39547025229273652</v>
      </c>
    </row>
    <row r="905" spans="5:6" x14ac:dyDescent="0.25">
      <c r="E905" s="135">
        <v>0.30248355892634615</v>
      </c>
      <c r="F905" s="136">
        <v>-1.2350906986088872E-3</v>
      </c>
    </row>
    <row r="906" spans="5:6" x14ac:dyDescent="0.25">
      <c r="E906" s="135">
        <v>0.98481233285899461</v>
      </c>
      <c r="F906" s="136">
        <v>1.3737050426386834</v>
      </c>
    </row>
    <row r="907" spans="5:6" x14ac:dyDescent="0.25">
      <c r="E907" s="135">
        <v>1.3172790511607226</v>
      </c>
      <c r="F907" s="136">
        <v>1.3020950743868764</v>
      </c>
    </row>
    <row r="908" spans="5:6" x14ac:dyDescent="0.25">
      <c r="E908" s="135">
        <v>0.47373301542969976</v>
      </c>
      <c r="F908" s="136">
        <v>-4.3668725629310318E-2</v>
      </c>
    </row>
    <row r="909" spans="5:6" x14ac:dyDescent="0.25">
      <c r="E909" s="135">
        <v>1.3624639527954134</v>
      </c>
      <c r="F909" s="136">
        <v>0.20912725728298276</v>
      </c>
    </row>
    <row r="910" spans="5:6" x14ac:dyDescent="0.25">
      <c r="E910" s="135">
        <v>-0.42967755818768039</v>
      </c>
      <c r="F910" s="136">
        <v>-0.33964946098457371</v>
      </c>
    </row>
    <row r="911" spans="5:6" x14ac:dyDescent="0.25">
      <c r="E911" s="135">
        <v>-0.25601527497966403</v>
      </c>
      <c r="F911" s="136">
        <v>-1.4320325324868974</v>
      </c>
    </row>
    <row r="912" spans="5:6" x14ac:dyDescent="0.25">
      <c r="E912" s="135">
        <v>-0.57081701206611424</v>
      </c>
      <c r="F912" s="136">
        <v>0.30153205405037564</v>
      </c>
    </row>
    <row r="913" spans="5:6" x14ac:dyDescent="0.25">
      <c r="E913" s="135">
        <v>-0.66878944841048338</v>
      </c>
      <c r="F913" s="136">
        <v>-0.33503562167988632</v>
      </c>
    </row>
    <row r="914" spans="5:6" x14ac:dyDescent="0.25">
      <c r="E914" s="135">
        <v>0.53943634671219665</v>
      </c>
      <c r="F914" s="136">
        <v>-0.17421112935000332</v>
      </c>
    </row>
    <row r="915" spans="5:6" x14ac:dyDescent="0.25">
      <c r="E915" s="135">
        <v>1.1114569312909994</v>
      </c>
      <c r="F915" s="136">
        <v>0.82728096421762043</v>
      </c>
    </row>
    <row r="916" spans="5:6" x14ac:dyDescent="0.25">
      <c r="E916" s="135">
        <v>0.1796988918512972</v>
      </c>
      <c r="F916" s="136">
        <v>-0.13866352415965771</v>
      </c>
    </row>
    <row r="917" spans="5:6" x14ac:dyDescent="0.25">
      <c r="E917" s="135">
        <v>0.10663474097273695</v>
      </c>
      <c r="F917" s="136">
        <v>-0.25983364473945619</v>
      </c>
    </row>
    <row r="918" spans="5:6" x14ac:dyDescent="0.25">
      <c r="E918" s="135">
        <v>1.9005320673450026</v>
      </c>
      <c r="F918" s="136">
        <v>0.25818392915719213</v>
      </c>
    </row>
    <row r="919" spans="5:6" x14ac:dyDescent="0.25">
      <c r="E919" s="135">
        <v>0.64691723636414478</v>
      </c>
      <c r="F919" s="136">
        <v>0.11556659297153779</v>
      </c>
    </row>
    <row r="920" spans="5:6" x14ac:dyDescent="0.25">
      <c r="E920" s="135">
        <v>-0.77308573079340204</v>
      </c>
      <c r="F920" s="136">
        <v>-0.57399313062471125</v>
      </c>
    </row>
    <row r="921" spans="5:6" x14ac:dyDescent="0.25">
      <c r="E921" s="135">
        <v>-0.55208246169188924</v>
      </c>
      <c r="F921" s="136">
        <v>0.74058810674437825</v>
      </c>
    </row>
    <row r="922" spans="5:6" x14ac:dyDescent="0.25">
      <c r="E922" s="135">
        <v>-0.71932189302143879</v>
      </c>
      <c r="F922" s="136">
        <v>-0.83784474213955262</v>
      </c>
    </row>
    <row r="923" spans="5:6" x14ac:dyDescent="0.25">
      <c r="E923" s="135">
        <v>-0.68532566346819301</v>
      </c>
      <c r="F923" s="136">
        <v>-0.1555488103658457</v>
      </c>
    </row>
    <row r="924" spans="5:6" x14ac:dyDescent="0.25">
      <c r="E924" s="135">
        <v>0.50647806558276254</v>
      </c>
      <c r="F924" s="136">
        <v>0.37270872060929811</v>
      </c>
    </row>
    <row r="925" spans="5:6" x14ac:dyDescent="0.25">
      <c r="E925" s="135">
        <v>-0.52202489000232155</v>
      </c>
      <c r="F925" s="136">
        <v>0.8285098381005751</v>
      </c>
    </row>
    <row r="926" spans="5:6" x14ac:dyDescent="0.25">
      <c r="E926" s="135">
        <v>0.41639580158199085</v>
      </c>
      <c r="F926" s="136">
        <v>-7.9342197852597385E-3</v>
      </c>
    </row>
    <row r="927" spans="5:6" x14ac:dyDescent="0.25">
      <c r="E927" s="135">
        <v>-1.9875708142918405</v>
      </c>
      <c r="F927" s="136">
        <v>-1.6518679641375855</v>
      </c>
    </row>
    <row r="928" spans="5:6" x14ac:dyDescent="0.25">
      <c r="E928" s="135">
        <v>1.4041636410982983</v>
      </c>
      <c r="F928" s="136">
        <v>-0.27679900265569801</v>
      </c>
    </row>
    <row r="929" spans="5:6" x14ac:dyDescent="0.25">
      <c r="E929" s="135">
        <v>0.58909068655572328</v>
      </c>
      <c r="F929" s="136">
        <v>-0.67521823499238587</v>
      </c>
    </row>
    <row r="930" spans="5:6" x14ac:dyDescent="0.25">
      <c r="E930" s="135">
        <v>1.4184869015897803</v>
      </c>
      <c r="F930" s="136">
        <v>-1.1559365408802622</v>
      </c>
    </row>
    <row r="931" spans="5:6" x14ac:dyDescent="0.25">
      <c r="E931" s="135">
        <v>0.69448830892295887</v>
      </c>
      <c r="F931" s="136">
        <v>-1.182884491831482</v>
      </c>
    </row>
    <row r="932" spans="5:6" x14ac:dyDescent="0.25">
      <c r="E932" s="135">
        <v>-0.66460228462568449</v>
      </c>
      <c r="F932" s="136">
        <v>0.61638575278195051</v>
      </c>
    </row>
    <row r="933" spans="5:6" x14ac:dyDescent="0.25">
      <c r="E933" s="135">
        <v>-1.0443779085680358</v>
      </c>
      <c r="F933" s="136">
        <v>-1.9249219292410291</v>
      </c>
    </row>
    <row r="934" spans="5:6" x14ac:dyDescent="0.25">
      <c r="E934" s="135">
        <v>9.4060056599708813E-2</v>
      </c>
      <c r="F934" s="136">
        <v>-0.53787287820862872</v>
      </c>
    </row>
    <row r="935" spans="5:6" x14ac:dyDescent="0.25">
      <c r="E935" s="135">
        <v>0.35878286861800845</v>
      </c>
      <c r="F935" s="136">
        <v>0.77936379777124065</v>
      </c>
    </row>
    <row r="936" spans="5:6" x14ac:dyDescent="0.25">
      <c r="E936" s="135">
        <v>-0.26492898054923614</v>
      </c>
      <c r="F936" s="136">
        <v>-0.2484384426209271</v>
      </c>
    </row>
    <row r="937" spans="5:6" x14ac:dyDescent="0.25">
      <c r="E937" s="135">
        <v>-0.38514411063243742</v>
      </c>
      <c r="F937" s="136">
        <v>0.30574671953263721</v>
      </c>
    </row>
    <row r="938" spans="5:6" x14ac:dyDescent="0.25">
      <c r="E938" s="135">
        <v>-1.3311135115879917</v>
      </c>
      <c r="F938" s="136">
        <v>-1.0832874227608236</v>
      </c>
    </row>
    <row r="939" spans="5:6" x14ac:dyDescent="0.25">
      <c r="E939" s="135">
        <v>-0.41593394196892314</v>
      </c>
      <c r="F939" s="136">
        <v>1.0805672858900686</v>
      </c>
    </row>
    <row r="940" spans="5:6" x14ac:dyDescent="0.25">
      <c r="E940" s="135">
        <v>-0.60348684203378555</v>
      </c>
      <c r="F940" s="136">
        <v>-1.3596085000564486</v>
      </c>
    </row>
    <row r="941" spans="5:6" x14ac:dyDescent="0.25">
      <c r="E941" s="135">
        <v>-1.6689470167722735</v>
      </c>
      <c r="F941" s="136">
        <v>-1.8377234854620852</v>
      </c>
    </row>
    <row r="942" spans="5:6" x14ac:dyDescent="0.25">
      <c r="E942" s="135">
        <v>-1.3661753431365495</v>
      </c>
      <c r="F942" s="136">
        <v>0.90923226325022921</v>
      </c>
    </row>
    <row r="943" spans="5:6" x14ac:dyDescent="0.25">
      <c r="E943" s="135">
        <v>0.11868627205307963</v>
      </c>
      <c r="F943" s="136">
        <v>0.25842240441889308</v>
      </c>
    </row>
    <row r="944" spans="5:6" x14ac:dyDescent="0.25">
      <c r="E944" s="135">
        <v>1.9830028447579422</v>
      </c>
      <c r="F944" s="136">
        <v>0.96148012745357447</v>
      </c>
    </row>
    <row r="945" spans="5:6" x14ac:dyDescent="0.25">
      <c r="E945" s="135">
        <v>0.33955965836422591</v>
      </c>
      <c r="F945" s="136">
        <v>1.0473030512272796</v>
      </c>
    </row>
    <row r="946" spans="5:6" x14ac:dyDescent="0.25">
      <c r="E946" s="135">
        <v>1.2807369108235562</v>
      </c>
      <c r="F946" s="136">
        <v>1.3238017935434654</v>
      </c>
    </row>
    <row r="947" spans="5:6" x14ac:dyDescent="0.25">
      <c r="E947" s="135">
        <v>0.67495752791104946</v>
      </c>
      <c r="F947" s="136">
        <v>0.66762767618718288</v>
      </c>
    </row>
    <row r="948" spans="5:6" x14ac:dyDescent="0.25">
      <c r="E948" s="135">
        <v>0.96930704182309846</v>
      </c>
      <c r="F948" s="136">
        <v>1.2307811200877095E-2</v>
      </c>
    </row>
    <row r="949" spans="5:6" x14ac:dyDescent="0.25">
      <c r="E949" s="135">
        <v>0.22589041703542367</v>
      </c>
      <c r="F949" s="136">
        <v>-1.6809184231541124E-2</v>
      </c>
    </row>
    <row r="950" spans="5:6" x14ac:dyDescent="0.25">
      <c r="E950" s="135">
        <v>2.0418447029558178</v>
      </c>
      <c r="F950" s="136">
        <v>0.54871722567136061</v>
      </c>
    </row>
    <row r="951" spans="5:6" x14ac:dyDescent="0.25">
      <c r="E951" s="135">
        <v>1.5282236969986316</v>
      </c>
      <c r="F951" s="136">
        <v>0.32682148315005205</v>
      </c>
    </row>
    <row r="952" spans="5:6" x14ac:dyDescent="0.25">
      <c r="E952" s="135">
        <v>0.24669680789681875</v>
      </c>
      <c r="F952" s="136">
        <v>-0.76350088937204963</v>
      </c>
    </row>
    <row r="953" spans="5:6" x14ac:dyDescent="0.25">
      <c r="E953" s="135">
        <v>-0.27601408143542433</v>
      </c>
      <c r="F953" s="136">
        <v>-0.28748624238889903</v>
      </c>
    </row>
    <row r="954" spans="5:6" x14ac:dyDescent="0.25">
      <c r="E954" s="135">
        <v>0.46725031041465409</v>
      </c>
      <c r="F954" s="136">
        <v>-0.22060077442365469</v>
      </c>
    </row>
    <row r="955" spans="5:6" x14ac:dyDescent="0.25">
      <c r="E955" s="135">
        <v>0.56515057534851254</v>
      </c>
      <c r="F955" s="136">
        <v>0.22885705280342583</v>
      </c>
    </row>
    <row r="956" spans="5:6" x14ac:dyDescent="0.25">
      <c r="E956" s="135">
        <v>-0.76669744648645599</v>
      </c>
      <c r="F956" s="136">
        <v>-1.302218868967453</v>
      </c>
    </row>
    <row r="957" spans="5:6" x14ac:dyDescent="0.25">
      <c r="E957" s="135">
        <v>1.1231540971168574</v>
      </c>
      <c r="F957" s="136">
        <v>0.95929831264750343</v>
      </c>
    </row>
    <row r="958" spans="5:6" x14ac:dyDescent="0.25">
      <c r="E958" s="135">
        <v>1.4469290359816005</v>
      </c>
      <c r="F958" s="136">
        <v>2.3535340129116298</v>
      </c>
    </row>
    <row r="959" spans="5:6" x14ac:dyDescent="0.25">
      <c r="E959" s="135">
        <v>-1.778907445979655</v>
      </c>
      <c r="F959" s="136">
        <v>-0.42581497806757695</v>
      </c>
    </row>
    <row r="960" spans="5:6" x14ac:dyDescent="0.25">
      <c r="E960" s="135">
        <v>-1.7681029579411152</v>
      </c>
      <c r="F960" s="136">
        <v>1.9877342608725646E-2</v>
      </c>
    </row>
    <row r="961" spans="5:6" x14ac:dyDescent="0.25">
      <c r="E961" s="135">
        <v>0.48864957643417783</v>
      </c>
      <c r="F961" s="136">
        <v>-4.5066659867507852E-3</v>
      </c>
    </row>
    <row r="962" spans="5:6" x14ac:dyDescent="0.25">
      <c r="E962" s="135">
        <v>0.33750507311236355</v>
      </c>
      <c r="F962" s="136">
        <v>-0.10889646325645919</v>
      </c>
    </row>
    <row r="963" spans="5:6" x14ac:dyDescent="0.25">
      <c r="E963" s="135">
        <v>-0.31936023861956814</v>
      </c>
      <c r="F963" s="136">
        <v>-1.8776710144462527E-2</v>
      </c>
    </row>
    <row r="964" spans="5:6" x14ac:dyDescent="0.25">
      <c r="E964" s="135">
        <v>-1.7541072476280659</v>
      </c>
      <c r="F964" s="136">
        <v>-0.12596208313222901</v>
      </c>
    </row>
    <row r="965" spans="5:6" x14ac:dyDescent="0.25">
      <c r="E965" s="135">
        <v>0.25927991362533931</v>
      </c>
      <c r="F965" s="136">
        <v>0.19213930348456204</v>
      </c>
    </row>
    <row r="966" spans="5:6" x14ac:dyDescent="0.25">
      <c r="E966" s="135">
        <v>1.9327298541495113</v>
      </c>
      <c r="F966" s="136">
        <v>2.0138538698417277</v>
      </c>
    </row>
    <row r="967" spans="5:6" x14ac:dyDescent="0.25">
      <c r="E967" s="135">
        <v>0.64351262679725696</v>
      </c>
      <c r="F967" s="136">
        <v>0.35771277929199524</v>
      </c>
    </row>
    <row r="968" spans="5:6" x14ac:dyDescent="0.25">
      <c r="E968" s="135">
        <v>1.1532688571458041</v>
      </c>
      <c r="F968" s="136">
        <v>-1.8143256110990853</v>
      </c>
    </row>
    <row r="969" spans="5:6" x14ac:dyDescent="0.25">
      <c r="E969" s="135">
        <v>-1.5142687121399654</v>
      </c>
      <c r="F969" s="136">
        <v>-0.99888341956105131</v>
      </c>
    </row>
    <row r="970" spans="5:6" x14ac:dyDescent="0.25">
      <c r="E970" s="135">
        <v>9.3657313354139071E-3</v>
      </c>
      <c r="F970" s="136">
        <v>6.2606480445846881E-3</v>
      </c>
    </row>
    <row r="971" spans="5:6" x14ac:dyDescent="0.25">
      <c r="E971" s="135">
        <v>0.38557483358552824</v>
      </c>
      <c r="F971" s="136">
        <v>-1.1538883098057298</v>
      </c>
    </row>
    <row r="972" spans="5:6" x14ac:dyDescent="0.25">
      <c r="E972" s="135">
        <v>0.22593533424321491</v>
      </c>
      <c r="F972" s="136">
        <v>-1.3041518321915366</v>
      </c>
    </row>
    <row r="973" spans="5:6" x14ac:dyDescent="0.25">
      <c r="E973" s="135">
        <v>0.76168351430322701</v>
      </c>
      <c r="F973" s="136">
        <v>1.4035080023826385</v>
      </c>
    </row>
    <row r="974" spans="5:6" x14ac:dyDescent="0.25">
      <c r="E974" s="135">
        <v>-0.58039105067212826</v>
      </c>
      <c r="F974" s="136">
        <v>-0.39522193205552114</v>
      </c>
    </row>
    <row r="975" spans="5:6" x14ac:dyDescent="0.25">
      <c r="E975" s="135">
        <v>-1.3181407812017736</v>
      </c>
      <c r="F975" s="136">
        <v>-1.7245687166242389</v>
      </c>
    </row>
    <row r="976" spans="5:6" x14ac:dyDescent="0.25">
      <c r="E976" s="135">
        <v>-1.0231638950514022</v>
      </c>
      <c r="F976" s="136">
        <v>0.24965949648201513</v>
      </c>
    </row>
    <row r="977" spans="5:6" x14ac:dyDescent="0.25">
      <c r="E977" s="135">
        <v>-6.7789339578903249E-2</v>
      </c>
      <c r="F977" s="136">
        <v>-0.94700536475265829</v>
      </c>
    </row>
    <row r="978" spans="5:6" x14ac:dyDescent="0.25">
      <c r="E978" s="135">
        <v>0.95150358888955644</v>
      </c>
      <c r="F978" s="136">
        <v>0.95244949694782033</v>
      </c>
    </row>
    <row r="979" spans="5:6" x14ac:dyDescent="0.25">
      <c r="E979" s="135">
        <v>0.63059911393088619</v>
      </c>
      <c r="F979" s="136">
        <v>0.382668636203292</v>
      </c>
    </row>
    <row r="980" spans="5:6" x14ac:dyDescent="0.25">
      <c r="E980" s="135">
        <v>-1.120080058425128</v>
      </c>
      <c r="F980" s="136">
        <v>-0.14960897512614979</v>
      </c>
    </row>
    <row r="981" spans="5:6" x14ac:dyDescent="0.25">
      <c r="E981" s="135">
        <v>4.6759125972955999E-2</v>
      </c>
      <c r="F981" s="136">
        <v>-5.696904162514424E-2</v>
      </c>
    </row>
    <row r="982" spans="5:6" x14ac:dyDescent="0.25">
      <c r="E982" s="135">
        <v>-1.1159900985096232</v>
      </c>
      <c r="F982" s="136">
        <v>-0.12047010173571632</v>
      </c>
    </row>
    <row r="983" spans="5:6" x14ac:dyDescent="0.25">
      <c r="E983" s="135">
        <v>0.68413868864105554</v>
      </c>
      <c r="F983" s="136">
        <v>-0.5003489707840949</v>
      </c>
    </row>
    <row r="984" spans="5:6" x14ac:dyDescent="0.25">
      <c r="E984" s="135">
        <v>-0.40080738660924131</v>
      </c>
      <c r="F984" s="136">
        <v>0.53809411787176487</v>
      </c>
    </row>
    <row r="985" spans="5:6" x14ac:dyDescent="0.25">
      <c r="E985" s="135">
        <v>-2.1345196731122989E-4</v>
      </c>
      <c r="F985" s="136">
        <v>0.38398688023280592</v>
      </c>
    </row>
    <row r="986" spans="5:6" x14ac:dyDescent="0.25">
      <c r="E986" s="135">
        <v>2.2622125708748788</v>
      </c>
      <c r="F986" s="136">
        <v>1.7117496008113526</v>
      </c>
    </row>
    <row r="987" spans="5:6" x14ac:dyDescent="0.25">
      <c r="E987" s="135">
        <v>0.29203214597627164</v>
      </c>
      <c r="F987" s="136">
        <v>-0.1268538863018899</v>
      </c>
    </row>
    <row r="988" spans="5:6" x14ac:dyDescent="0.25">
      <c r="E988" s="135">
        <v>-4.1913607793197277E-2</v>
      </c>
      <c r="F988" s="136">
        <v>-8.4902347913987791E-2</v>
      </c>
    </row>
    <row r="989" spans="5:6" x14ac:dyDescent="0.25">
      <c r="E989" s="135">
        <v>0.47679028465583795</v>
      </c>
      <c r="F989" s="136">
        <v>0.44298094673181887</v>
      </c>
    </row>
    <row r="990" spans="5:6" x14ac:dyDescent="0.25">
      <c r="E990" s="135">
        <v>-0.50290001122079087</v>
      </c>
      <c r="F990" s="136">
        <v>0.37929060940425163</v>
      </c>
    </row>
    <row r="991" spans="5:6" x14ac:dyDescent="0.25">
      <c r="E991" s="135">
        <v>1.5502126375389775</v>
      </c>
      <c r="F991" s="136">
        <v>1.4850844326096082</v>
      </c>
    </row>
    <row r="992" spans="5:6" x14ac:dyDescent="0.25">
      <c r="E992" s="135">
        <v>-0.6742358308147739</v>
      </c>
      <c r="F992" s="136">
        <v>-0.7031170984452968</v>
      </c>
    </row>
    <row r="993" spans="5:6" x14ac:dyDescent="0.25">
      <c r="E993" s="135">
        <v>-0.31112641316221434</v>
      </c>
      <c r="F993" s="136">
        <v>9.1714870281294797E-2</v>
      </c>
    </row>
    <row r="994" spans="5:6" x14ac:dyDescent="0.25">
      <c r="E994" s="135">
        <v>0.77732044425776636</v>
      </c>
      <c r="F994" s="136">
        <v>-0.65458176145659619</v>
      </c>
    </row>
    <row r="995" spans="5:6" x14ac:dyDescent="0.25">
      <c r="E995" s="135">
        <v>3.7062361358497553E-2</v>
      </c>
      <c r="F995" s="136">
        <v>1.4701749971175762</v>
      </c>
    </row>
    <row r="996" spans="5:6" x14ac:dyDescent="0.25">
      <c r="E996" s="135">
        <v>-1.0528896254639253</v>
      </c>
      <c r="F996" s="136">
        <v>-0.47733143421277457</v>
      </c>
    </row>
    <row r="997" spans="5:6" x14ac:dyDescent="0.25">
      <c r="E997" s="135">
        <v>1.1429043347470784</v>
      </c>
      <c r="F997" s="136">
        <v>1.7579805816383987</v>
      </c>
    </row>
    <row r="998" spans="5:6" x14ac:dyDescent="0.25">
      <c r="E998" s="135">
        <v>-0.15490310091825113</v>
      </c>
      <c r="F998" s="136">
        <v>0.44487417717625788</v>
      </c>
    </row>
    <row r="999" spans="5:6" x14ac:dyDescent="0.25">
      <c r="E999" s="135">
        <v>2.4883574669753692</v>
      </c>
      <c r="F999" s="136">
        <v>1.8018586684956188</v>
      </c>
    </row>
    <row r="1000" spans="5:6" x14ac:dyDescent="0.25">
      <c r="E1000" s="135">
        <v>1.1173303792085347</v>
      </c>
      <c r="F1000" s="136">
        <v>1.4336234482304842</v>
      </c>
    </row>
    <row r="1001" spans="5:6" x14ac:dyDescent="0.25">
      <c r="E1001" s="135">
        <v>1.7669560206216963</v>
      </c>
      <c r="F1001" s="136">
        <v>1.7396255739815545</v>
      </c>
    </row>
    <row r="1002" spans="5:6" x14ac:dyDescent="0.25">
      <c r="E1002" s="135">
        <v>-2.1998169952171409</v>
      </c>
      <c r="F1002" s="136">
        <v>-3.3339852212524508</v>
      </c>
    </row>
    <row r="1003" spans="5:6" x14ac:dyDescent="0.25">
      <c r="E1003" s="135">
        <v>0.22821491843325686</v>
      </c>
      <c r="F1003" s="136">
        <v>-1.2626589576689478</v>
      </c>
    </row>
    <row r="1004" spans="5:6" x14ac:dyDescent="0.25">
      <c r="E1004" s="135">
        <v>0.69806845053199618</v>
      </c>
      <c r="F1004" s="136">
        <v>-1.4136992272416438</v>
      </c>
    </row>
    <row r="1005" spans="5:6" x14ac:dyDescent="0.25">
      <c r="E1005" s="135">
        <v>-0.3541576285259454</v>
      </c>
      <c r="F1005" s="136">
        <v>1.2225082181549258</v>
      </c>
    </row>
    <row r="1006" spans="5:6" x14ac:dyDescent="0.25">
      <c r="E1006" s="135">
        <v>2.0335284786029693</v>
      </c>
      <c r="F1006" s="136">
        <v>0.86122854831880924</v>
      </c>
    </row>
    <row r="1007" spans="5:6" x14ac:dyDescent="0.25">
      <c r="E1007" s="135">
        <v>-0.66509513510413576</v>
      </c>
      <c r="F1007" s="136">
        <v>0.39760016288803762</v>
      </c>
    </row>
    <row r="1008" spans="5:6" x14ac:dyDescent="0.25">
      <c r="E1008" s="135">
        <v>-0.72881213789416555</v>
      </c>
      <c r="F1008" s="136">
        <v>-0.99907857173604087</v>
      </c>
    </row>
    <row r="1009" spans="5:6" x14ac:dyDescent="0.25">
      <c r="E1009" s="135">
        <v>2.8289924598023791E-2</v>
      </c>
      <c r="F1009" s="136">
        <v>0.35047268144541294</v>
      </c>
    </row>
    <row r="1010" spans="5:6" x14ac:dyDescent="0.25">
      <c r="E1010" s="135">
        <v>0.64539548267882985</v>
      </c>
      <c r="F1010" s="136">
        <v>1.9755747787938427E-3</v>
      </c>
    </row>
    <row r="1011" spans="5:6" x14ac:dyDescent="0.25">
      <c r="E1011" s="135">
        <v>8.5112472924015581E-2</v>
      </c>
      <c r="F1011" s="136">
        <v>-0.74738058956393727</v>
      </c>
    </row>
    <row r="1012" spans="5:6" x14ac:dyDescent="0.25">
      <c r="E1012" s="135">
        <v>0.84267896935954034</v>
      </c>
      <c r="F1012" s="136">
        <v>-0.72211598959218137</v>
      </c>
    </row>
    <row r="1013" spans="5:6" x14ac:dyDescent="0.25">
      <c r="E1013" s="135">
        <v>0.68929760386056871</v>
      </c>
      <c r="F1013" s="136">
        <v>0.10073170694802638</v>
      </c>
    </row>
    <row r="1014" spans="5:6" x14ac:dyDescent="0.25">
      <c r="E1014" s="135">
        <v>1.1321780423235346</v>
      </c>
      <c r="F1014" s="136">
        <v>1.0816940254081588</v>
      </c>
    </row>
    <row r="1015" spans="5:6" x14ac:dyDescent="0.25">
      <c r="E1015" s="135">
        <v>0.62652909585114003</v>
      </c>
      <c r="F1015" s="136">
        <v>1.4738569659228484</v>
      </c>
    </row>
    <row r="1016" spans="5:6" x14ac:dyDescent="0.25">
      <c r="E1016" s="135">
        <v>0.51306589709082862</v>
      </c>
      <c r="F1016" s="136">
        <v>-0.77771859601033266</v>
      </c>
    </row>
    <row r="1017" spans="5:6" x14ac:dyDescent="0.25">
      <c r="E1017" s="135">
        <v>-0.18964552163107656</v>
      </c>
      <c r="F1017" s="136">
        <v>-0.26405227546656501</v>
      </c>
    </row>
    <row r="1018" spans="5:6" x14ac:dyDescent="0.25">
      <c r="E1018" s="135">
        <v>-0.76875289510145228</v>
      </c>
      <c r="F1018" s="136">
        <v>-0.3395074829213201</v>
      </c>
    </row>
    <row r="1019" spans="5:6" x14ac:dyDescent="0.25">
      <c r="E1019" s="135">
        <v>0.70793696451262678</v>
      </c>
      <c r="F1019" s="136">
        <v>1.1213983304431185</v>
      </c>
    </row>
    <row r="1020" spans="5:6" x14ac:dyDescent="0.25">
      <c r="E1020" s="135">
        <v>-1.3960032854408593</v>
      </c>
      <c r="F1020" s="136">
        <v>0.92553608528290221</v>
      </c>
    </row>
    <row r="1021" spans="5:6" x14ac:dyDescent="0.25">
      <c r="E1021" s="135">
        <v>-1.5491067085448353</v>
      </c>
      <c r="F1021" s="136">
        <v>-2.7090124091914931</v>
      </c>
    </row>
    <row r="1022" spans="5:6" x14ac:dyDescent="0.25">
      <c r="E1022" s="135">
        <v>0.14879171329011839</v>
      </c>
      <c r="F1022" s="136">
        <v>1.0107116606679134</v>
      </c>
    </row>
    <row r="1023" spans="5:6" x14ac:dyDescent="0.25">
      <c r="E1023" s="135">
        <v>0.35053171503284275</v>
      </c>
      <c r="F1023" s="136">
        <v>-0.2684987504374266</v>
      </c>
    </row>
    <row r="1024" spans="5:6" x14ac:dyDescent="0.25">
      <c r="E1024" s="135">
        <v>0.14945613610375211</v>
      </c>
      <c r="F1024" s="136">
        <v>-1.0903628377157439</v>
      </c>
    </row>
    <row r="1025" spans="5:6" x14ac:dyDescent="0.25">
      <c r="E1025" s="135">
        <v>-0.80201950649396447</v>
      </c>
      <c r="F1025" s="136">
        <v>-1.2366953716010141</v>
      </c>
    </row>
    <row r="1026" spans="5:6" x14ac:dyDescent="0.25">
      <c r="E1026" s="135">
        <v>-0.25423996076315747</v>
      </c>
      <c r="F1026" s="136">
        <v>-1.426494048052859</v>
      </c>
    </row>
    <row r="1027" spans="5:6" x14ac:dyDescent="0.25">
      <c r="E1027" s="135">
        <v>-1.7759911689892622</v>
      </c>
      <c r="F1027" s="136">
        <v>-0.22000611666203151</v>
      </c>
    </row>
    <row r="1028" spans="5:6" x14ac:dyDescent="0.25">
      <c r="E1028" s="135">
        <v>0.11548781505500413</v>
      </c>
      <c r="F1028" s="136">
        <v>0.22737076760992347</v>
      </c>
    </row>
    <row r="1029" spans="5:6" x14ac:dyDescent="0.25">
      <c r="E1029" s="135">
        <v>0.85400309247564354</v>
      </c>
      <c r="F1029" s="136">
        <v>1.0655824396157778</v>
      </c>
    </row>
    <row r="1030" spans="5:6" x14ac:dyDescent="0.25">
      <c r="E1030" s="135">
        <v>-0.96862847862716228</v>
      </c>
      <c r="F1030" s="136">
        <v>-0.50949484591215488</v>
      </c>
    </row>
    <row r="1031" spans="5:6" x14ac:dyDescent="0.25">
      <c r="E1031" s="135">
        <v>-0.23549379943611096</v>
      </c>
      <c r="F1031" s="136">
        <v>0.23468852281025837</v>
      </c>
    </row>
    <row r="1032" spans="5:6" x14ac:dyDescent="0.25">
      <c r="E1032" s="135">
        <v>-0.94087386737967837</v>
      </c>
      <c r="F1032" s="136">
        <v>-0.94573493206026626</v>
      </c>
    </row>
    <row r="1033" spans="5:6" x14ac:dyDescent="0.25">
      <c r="E1033" s="135">
        <v>1.2657470744069375</v>
      </c>
      <c r="F1033" s="136">
        <v>-1.0309263158436361</v>
      </c>
    </row>
    <row r="1034" spans="5:6" x14ac:dyDescent="0.25">
      <c r="E1034" s="135">
        <v>0.56741368244107493</v>
      </c>
      <c r="F1034" s="136">
        <v>3.514292680607603E-2</v>
      </c>
    </row>
    <row r="1035" spans="5:6" x14ac:dyDescent="0.25">
      <c r="E1035" s="135">
        <v>-0.92068016777507278</v>
      </c>
      <c r="F1035" s="136">
        <v>-0.18077186644999793</v>
      </c>
    </row>
    <row r="1036" spans="5:6" x14ac:dyDescent="0.25">
      <c r="E1036" s="135">
        <v>2.7255409183518378</v>
      </c>
      <c r="F1036" s="136">
        <v>2.5418717122416012</v>
      </c>
    </row>
    <row r="1037" spans="5:6" x14ac:dyDescent="0.25">
      <c r="E1037" s="135">
        <v>6.0465688385382473E-2</v>
      </c>
      <c r="F1037" s="136">
        <v>-0.20092510942400427</v>
      </c>
    </row>
    <row r="1038" spans="5:6" x14ac:dyDescent="0.25">
      <c r="E1038" s="135">
        <v>0.84512711038791299</v>
      </c>
      <c r="F1038" s="136">
        <v>-0.33283306875655461</v>
      </c>
    </row>
    <row r="1039" spans="5:6" x14ac:dyDescent="0.25">
      <c r="E1039" s="135">
        <v>-1.3778856743729531</v>
      </c>
      <c r="F1039" s="136">
        <v>-0.87479811778740757</v>
      </c>
    </row>
    <row r="1040" spans="5:6" x14ac:dyDescent="0.25">
      <c r="E1040" s="135">
        <v>-0.96966933587626758</v>
      </c>
      <c r="F1040" s="136">
        <v>0.49793263945097921</v>
      </c>
    </row>
    <row r="1041" spans="5:6" x14ac:dyDescent="0.25">
      <c r="E1041" s="135">
        <v>-0.47619708070716682</v>
      </c>
      <c r="F1041" s="136">
        <v>0.46145662846578622</v>
      </c>
    </row>
    <row r="1042" spans="5:6" x14ac:dyDescent="0.25">
      <c r="E1042" s="135">
        <v>0.75183520337339038</v>
      </c>
      <c r="F1042" s="136">
        <v>1.7306750277955918</v>
      </c>
    </row>
    <row r="1043" spans="5:6" x14ac:dyDescent="0.25">
      <c r="E1043" s="135">
        <v>-0.30678695498986031</v>
      </c>
      <c r="F1043" s="136">
        <v>0.15168929963534566</v>
      </c>
    </row>
    <row r="1044" spans="5:6" x14ac:dyDescent="0.25">
      <c r="E1044" s="135">
        <v>-0.55217072252273591</v>
      </c>
      <c r="F1044" s="136">
        <v>0.86063028878541303</v>
      </c>
    </row>
    <row r="1045" spans="5:6" x14ac:dyDescent="0.25">
      <c r="E1045" s="135">
        <v>-0.39979936718423686</v>
      </c>
      <c r="F1045" s="136">
        <v>-0.71370653176161847</v>
      </c>
    </row>
    <row r="1046" spans="5:6" x14ac:dyDescent="0.25">
      <c r="E1046" s="135">
        <v>1.4573738048953857</v>
      </c>
      <c r="F1046" s="136">
        <v>0.42759069579865466</v>
      </c>
    </row>
    <row r="1047" spans="5:6" x14ac:dyDescent="0.25">
      <c r="E1047" s="135">
        <v>-1.0077286941559815</v>
      </c>
      <c r="F1047" s="136">
        <v>-1.3173989197230505</v>
      </c>
    </row>
    <row r="1048" spans="5:6" x14ac:dyDescent="0.25">
      <c r="E1048" s="135">
        <v>-6.766777143905793E-2</v>
      </c>
      <c r="F1048" s="136">
        <v>-0.3551134334389085</v>
      </c>
    </row>
    <row r="1049" spans="5:6" x14ac:dyDescent="0.25">
      <c r="E1049" s="135">
        <v>-0.30992035202386808</v>
      </c>
      <c r="F1049" s="136">
        <v>-0.43600708653395448</v>
      </c>
    </row>
    <row r="1050" spans="5:6" x14ac:dyDescent="0.25">
      <c r="E1050" s="135">
        <v>-0.25847058562660241</v>
      </c>
      <c r="F1050" s="136">
        <v>1.1322778773929314</v>
      </c>
    </row>
    <row r="1051" spans="5:6" x14ac:dyDescent="0.25">
      <c r="E1051" s="135">
        <v>-1.0108143407609758</v>
      </c>
      <c r="F1051" s="136">
        <v>-1.292324703788938</v>
      </c>
    </row>
    <row r="1052" spans="5:6" x14ac:dyDescent="0.25">
      <c r="E1052" s="135">
        <v>-1.2841231577281325</v>
      </c>
      <c r="F1052" s="136">
        <v>0.57619736820850176</v>
      </c>
    </row>
    <row r="1053" spans="5:6" x14ac:dyDescent="0.25">
      <c r="E1053" s="135">
        <v>0.86476300443060339</v>
      </c>
      <c r="F1053" s="136">
        <v>0.56446788461309094</v>
      </c>
    </row>
    <row r="1054" spans="5:6" x14ac:dyDescent="0.25">
      <c r="E1054" s="135">
        <v>1.2637197782937051E-2</v>
      </c>
      <c r="F1054" s="136">
        <v>-0.34806667667801394</v>
      </c>
    </row>
    <row r="1055" spans="5:6" x14ac:dyDescent="0.25">
      <c r="E1055" s="135">
        <v>0.96996681484234981</v>
      </c>
      <c r="F1055" s="136">
        <v>1.0834011057858703</v>
      </c>
    </row>
    <row r="1056" spans="5:6" x14ac:dyDescent="0.25">
      <c r="E1056" s="135">
        <v>-1.352881684039861</v>
      </c>
      <c r="F1056" s="136">
        <v>-1.5397719565325469</v>
      </c>
    </row>
    <row r="1057" spans="5:6" x14ac:dyDescent="0.25">
      <c r="E1057" s="135">
        <v>0.54746257292755396</v>
      </c>
      <c r="F1057" s="136">
        <v>-0.36903819128092197</v>
      </c>
    </row>
    <row r="1058" spans="5:6" x14ac:dyDescent="0.25">
      <c r="E1058" s="135">
        <v>0.4810057334739149</v>
      </c>
      <c r="F1058" s="136">
        <v>0.64308549903094137</v>
      </c>
    </row>
    <row r="1059" spans="5:6" x14ac:dyDescent="0.25">
      <c r="E1059" s="135">
        <v>1.2543119877268241</v>
      </c>
      <c r="F1059" s="136">
        <v>1.0828506478482536</v>
      </c>
    </row>
    <row r="1060" spans="5:6" x14ac:dyDescent="0.25">
      <c r="E1060" s="135">
        <v>-1.0907065635271749</v>
      </c>
      <c r="F1060" s="136">
        <v>-0.68738371248069607</v>
      </c>
    </row>
    <row r="1061" spans="5:6" x14ac:dyDescent="0.25">
      <c r="E1061" s="135">
        <v>-0.57586171744543591</v>
      </c>
      <c r="F1061" s="136">
        <v>-0.42964846395570255</v>
      </c>
    </row>
    <row r="1062" spans="5:6" x14ac:dyDescent="0.25">
      <c r="E1062" s="135">
        <v>-7.5107117368445039E-2</v>
      </c>
      <c r="F1062" s="136">
        <v>3.395100060958612E-2</v>
      </c>
    </row>
    <row r="1063" spans="5:6" x14ac:dyDescent="0.25">
      <c r="E1063" s="135">
        <v>0.67243416477857554</v>
      </c>
      <c r="F1063" s="136">
        <v>0.52204596706434647</v>
      </c>
    </row>
    <row r="1064" spans="5:6" x14ac:dyDescent="0.25">
      <c r="E1064" s="135">
        <v>-0.68233077081513216</v>
      </c>
      <c r="F1064" s="136">
        <v>4.689874187884302E-3</v>
      </c>
    </row>
    <row r="1065" spans="5:6" x14ac:dyDescent="0.25">
      <c r="E1065" s="135">
        <v>0.202829617628388</v>
      </c>
      <c r="F1065" s="136">
        <v>0.39890092425258605</v>
      </c>
    </row>
    <row r="1066" spans="5:6" x14ac:dyDescent="0.25">
      <c r="E1066" s="135">
        <v>3.2891605692585819</v>
      </c>
      <c r="F1066" s="136">
        <v>3.0543292412093006</v>
      </c>
    </row>
    <row r="1067" spans="5:6" x14ac:dyDescent="0.25">
      <c r="E1067" s="135">
        <v>0.26802025360337417</v>
      </c>
      <c r="F1067" s="136">
        <v>-1.5013334732750012</v>
      </c>
    </row>
    <row r="1068" spans="5:6" x14ac:dyDescent="0.25">
      <c r="E1068" s="135">
        <v>-0.60530746193241947</v>
      </c>
      <c r="F1068" s="136">
        <v>-0.35467989668212541</v>
      </c>
    </row>
    <row r="1069" spans="5:6" x14ac:dyDescent="0.25">
      <c r="E1069" s="135">
        <v>1.6521590511209454</v>
      </c>
      <c r="F1069" s="136">
        <v>0.62284189125775313</v>
      </c>
    </row>
    <row r="1070" spans="5:6" x14ac:dyDescent="0.25">
      <c r="E1070" s="135">
        <v>0.21512810827851075</v>
      </c>
      <c r="F1070" s="136">
        <v>-5.5159522106398517E-2</v>
      </c>
    </row>
    <row r="1071" spans="5:6" x14ac:dyDescent="0.25">
      <c r="E1071" s="135">
        <v>-1.7593663378135522</v>
      </c>
      <c r="F1071" s="136">
        <v>-1.1892297791500146</v>
      </c>
    </row>
    <row r="1072" spans="5:6" x14ac:dyDescent="0.25">
      <c r="E1072" s="135">
        <v>-2.1860931990288535</v>
      </c>
      <c r="F1072" s="136">
        <v>-1.6695954241530404</v>
      </c>
    </row>
    <row r="1073" spans="5:6" x14ac:dyDescent="0.25">
      <c r="E1073" s="135">
        <v>-1.1467559763061839</v>
      </c>
      <c r="F1073" s="136">
        <v>-0.9785816400230678</v>
      </c>
    </row>
    <row r="1074" spans="5:6" x14ac:dyDescent="0.25">
      <c r="E1074" s="135">
        <v>0.28218677824140337</v>
      </c>
      <c r="F1074" s="136">
        <v>6.6597956280619069E-2</v>
      </c>
    </row>
    <row r="1075" spans="5:6" x14ac:dyDescent="0.25">
      <c r="E1075" s="135">
        <v>-0.67588357626587392</v>
      </c>
      <c r="F1075" s="136">
        <v>-0.56754009203020228</v>
      </c>
    </row>
    <row r="1076" spans="5:6" x14ac:dyDescent="0.25">
      <c r="E1076" s="135">
        <v>2.739528079159069E-2</v>
      </c>
      <c r="F1076" s="136">
        <v>0.15717705740627533</v>
      </c>
    </row>
    <row r="1077" spans="5:6" x14ac:dyDescent="0.25">
      <c r="E1077" s="135">
        <v>-0.46053942671286535</v>
      </c>
      <c r="F1077" s="136">
        <v>-0.15515739831031372</v>
      </c>
    </row>
    <row r="1078" spans="5:6" x14ac:dyDescent="0.25">
      <c r="E1078" s="135">
        <v>-4.312872449996006E-2</v>
      </c>
      <c r="F1078" s="136">
        <v>8.6737966598677239E-3</v>
      </c>
    </row>
    <row r="1079" spans="5:6" x14ac:dyDescent="0.25">
      <c r="E1079" s="135">
        <v>-0.44929716110418394</v>
      </c>
      <c r="F1079" s="136">
        <v>-1.7587138083726293</v>
      </c>
    </row>
    <row r="1080" spans="5:6" x14ac:dyDescent="0.25">
      <c r="E1080" s="135">
        <v>-0.24599293287787138</v>
      </c>
      <c r="F1080" s="136">
        <v>-1.0888107402002967</v>
      </c>
    </row>
    <row r="1081" spans="5:6" x14ac:dyDescent="0.25">
      <c r="E1081" s="135">
        <v>8.19582857885435E-2</v>
      </c>
      <c r="F1081" s="136">
        <v>0.46719749540315297</v>
      </c>
    </row>
    <row r="1082" spans="5:6" x14ac:dyDescent="0.25">
      <c r="E1082" s="135">
        <v>1.2217496339352116</v>
      </c>
      <c r="F1082" s="136">
        <v>1.6275531049253971</v>
      </c>
    </row>
    <row r="1083" spans="5:6" x14ac:dyDescent="0.25">
      <c r="E1083" s="135">
        <v>0.19611957355647883</v>
      </c>
      <c r="F1083" s="136">
        <v>-0.45968861582565396</v>
      </c>
    </row>
    <row r="1084" spans="5:6" x14ac:dyDescent="0.25">
      <c r="E1084" s="135">
        <v>-0.90284326312837548</v>
      </c>
      <c r="F1084" s="136">
        <v>-0.83406739415465037</v>
      </c>
    </row>
    <row r="1085" spans="5:6" x14ac:dyDescent="0.25">
      <c r="E1085" s="135">
        <v>-0.93512874075065122</v>
      </c>
      <c r="F1085" s="136">
        <v>-0.61793189198524423</v>
      </c>
    </row>
    <row r="1086" spans="5:6" x14ac:dyDescent="0.25">
      <c r="E1086" s="135">
        <v>0.50605573730671227</v>
      </c>
      <c r="F1086" s="136">
        <v>-2.2963588369956875</v>
      </c>
    </row>
    <row r="1087" spans="5:6" x14ac:dyDescent="0.25">
      <c r="E1087" s="135">
        <v>-0.73663363212446187</v>
      </c>
      <c r="F1087" s="136">
        <v>-1.6476277736914333</v>
      </c>
    </row>
    <row r="1088" spans="5:6" x14ac:dyDescent="0.25">
      <c r="E1088" s="135">
        <v>0.76414804306847606</v>
      </c>
      <c r="F1088" s="136">
        <v>0.16141686581930406</v>
      </c>
    </row>
    <row r="1089" spans="5:6" x14ac:dyDescent="0.25">
      <c r="E1089" s="135">
        <v>-0.37525104438083684</v>
      </c>
      <c r="F1089" s="136">
        <v>0.50036215134439654</v>
      </c>
    </row>
    <row r="1090" spans="5:6" x14ac:dyDescent="0.25">
      <c r="E1090" s="135">
        <v>0.62607250440698947</v>
      </c>
      <c r="F1090" s="136">
        <v>-0.94026478448405382</v>
      </c>
    </row>
    <row r="1091" spans="5:6" x14ac:dyDescent="0.25">
      <c r="E1091" s="135">
        <v>1.8871225589305352</v>
      </c>
      <c r="F1091" s="136">
        <v>6.470011817065302E-3</v>
      </c>
    </row>
    <row r="1092" spans="5:6" x14ac:dyDescent="0.25">
      <c r="E1092" s="135">
        <v>0.27138443215840408</v>
      </c>
      <c r="F1092" s="136">
        <v>-1.3664982207844822</v>
      </c>
    </row>
    <row r="1093" spans="5:6" x14ac:dyDescent="0.25">
      <c r="E1093" s="135">
        <v>0.17601001469129171</v>
      </c>
      <c r="F1093" s="136">
        <v>-0.72304768151381649</v>
      </c>
    </row>
    <row r="1094" spans="5:6" x14ac:dyDescent="0.25">
      <c r="E1094" s="135">
        <v>0.525564815793514</v>
      </c>
      <c r="F1094" s="136">
        <v>8.0219357479038939E-2</v>
      </c>
    </row>
    <row r="1095" spans="5:6" x14ac:dyDescent="0.25">
      <c r="E1095" s="135">
        <v>-1.6245675568350666</v>
      </c>
      <c r="F1095" s="136">
        <v>-0.67105364525878763</v>
      </c>
    </row>
    <row r="1096" spans="5:6" x14ac:dyDescent="0.25">
      <c r="E1096" s="135">
        <v>-0.70391216617415986</v>
      </c>
      <c r="F1096" s="136">
        <v>0.22746050811041729</v>
      </c>
    </row>
    <row r="1097" spans="5:6" x14ac:dyDescent="0.25">
      <c r="E1097" s="135">
        <v>1.2063921492957652</v>
      </c>
      <c r="F1097" s="136">
        <v>0.43658048517376324</v>
      </c>
    </row>
    <row r="1098" spans="5:6" x14ac:dyDescent="0.25">
      <c r="E1098" s="135">
        <v>-1.3713741630261815</v>
      </c>
      <c r="F1098" s="136">
        <v>4.9346821716400258E-2</v>
      </c>
    </row>
    <row r="1099" spans="5:6" x14ac:dyDescent="0.25">
      <c r="E1099" s="137">
        <v>1.3595403253334262</v>
      </c>
      <c r="F1099" s="138">
        <v>-1.5062132644018491</v>
      </c>
    </row>
  </sheetData>
  <conditionalFormatting sqref="E7:E8 I103 J100">
    <cfRule type="cellIs" dxfId="524" priority="106" stopIfTrue="1" operator="equal">
      <formula>"ERROR"</formula>
    </cfRule>
    <cfRule type="cellIs" dxfId="523" priority="107" stopIfTrue="1" operator="equal">
      <formula>"OK"</formula>
    </cfRule>
    <cfRule type="cellIs" dxfId="522" priority="108" stopIfTrue="1" operator="equal">
      <formula>"WARNING"</formula>
    </cfRule>
  </conditionalFormatting>
  <conditionalFormatting sqref="C4">
    <cfRule type="cellIs" dxfId="521" priority="103" stopIfTrue="1" operator="equal">
      <formula>"ERROR"</formula>
    </cfRule>
    <cfRule type="cellIs" dxfId="520" priority="104" stopIfTrue="1" operator="equal">
      <formula>"OK"</formula>
    </cfRule>
    <cfRule type="cellIs" dxfId="519" priority="105" stopIfTrue="1" operator="equal">
      <formula>"WARNING"</formula>
    </cfRule>
  </conditionalFormatting>
  <conditionalFormatting sqref="C15">
    <cfRule type="cellIs" dxfId="518" priority="100" stopIfTrue="1" operator="equal">
      <formula>"ERROR"</formula>
    </cfRule>
  </conditionalFormatting>
  <conditionalFormatting sqref="C15">
    <cfRule type="cellIs" dxfId="517" priority="101" stopIfTrue="1" operator="equal">
      <formula>"OK"</formula>
    </cfRule>
  </conditionalFormatting>
  <conditionalFormatting sqref="C15">
    <cfRule type="cellIs" dxfId="516" priority="102" stopIfTrue="1" operator="equal">
      <formula>"WARNING"</formula>
    </cfRule>
  </conditionalFormatting>
  <conditionalFormatting sqref="L20:N22">
    <cfRule type="cellIs" dxfId="515" priority="109" stopIfTrue="1" operator="equal">
      <formula>"ERROR"</formula>
    </cfRule>
    <cfRule type="cellIs" dxfId="514" priority="110" stopIfTrue="1" operator="equal">
      <formula>"OK"</formula>
    </cfRule>
    <cfRule type="cellIs" dxfId="513" priority="111" stopIfTrue="1" operator="equal">
      <formula>"WARNING"</formula>
    </cfRule>
  </conditionalFormatting>
  <conditionalFormatting sqref="E9">
    <cfRule type="cellIs" dxfId="512" priority="61" stopIfTrue="1" operator="equal">
      <formula>"ERROR"</formula>
    </cfRule>
    <cfRule type="cellIs" dxfId="511" priority="62" stopIfTrue="1" operator="equal">
      <formula>"OK"</formula>
    </cfRule>
    <cfRule type="cellIs" dxfId="510" priority="63" stopIfTrue="1" operator="equal">
      <formula>"WARNING"</formula>
    </cfRule>
  </conditionalFormatting>
  <conditionalFormatting sqref="Z20">
    <cfRule type="cellIs" dxfId="509" priority="58" stopIfTrue="1" operator="equal">
      <formula>"ERROR"</formula>
    </cfRule>
    <cfRule type="cellIs" dxfId="508" priority="59" stopIfTrue="1" operator="equal">
      <formula>"OK"</formula>
    </cfRule>
    <cfRule type="cellIs" dxfId="507" priority="60" stopIfTrue="1" operator="equal">
      <formula>"WARNING"</formula>
    </cfRule>
  </conditionalFormatting>
  <conditionalFormatting sqref="AL20">
    <cfRule type="cellIs" dxfId="506" priority="55" stopIfTrue="1" operator="equal">
      <formula>"ERROR"</formula>
    </cfRule>
    <cfRule type="cellIs" dxfId="505" priority="56" stopIfTrue="1" operator="equal">
      <formula>"OK"</formula>
    </cfRule>
    <cfRule type="cellIs" dxfId="504" priority="57" stopIfTrue="1" operator="equal">
      <formula>"WARNING"</formula>
    </cfRule>
  </conditionalFormatting>
  <conditionalFormatting sqref="AZ20">
    <cfRule type="cellIs" dxfId="503" priority="52" stopIfTrue="1" operator="equal">
      <formula>"ERROR"</formula>
    </cfRule>
    <cfRule type="cellIs" dxfId="502" priority="53" stopIfTrue="1" operator="equal">
      <formula>"OK"</formula>
    </cfRule>
    <cfRule type="cellIs" dxfId="501" priority="54" stopIfTrue="1" operator="equal">
      <formula>"WARNING"</formula>
    </cfRule>
  </conditionalFormatting>
  <conditionalFormatting sqref="C28">
    <cfRule type="cellIs" dxfId="500" priority="46" stopIfTrue="1" operator="equal">
      <formula>"ERROR"</formula>
    </cfRule>
  </conditionalFormatting>
  <conditionalFormatting sqref="C28">
    <cfRule type="cellIs" dxfId="499" priority="47" stopIfTrue="1" operator="equal">
      <formula>"OK"</formula>
    </cfRule>
  </conditionalFormatting>
  <conditionalFormatting sqref="C28">
    <cfRule type="cellIs" dxfId="498" priority="48" stopIfTrue="1" operator="equal">
      <formula>"WARNING"</formula>
    </cfRule>
  </conditionalFormatting>
  <conditionalFormatting sqref="L34:M35">
    <cfRule type="cellIs" dxfId="497" priority="49" stopIfTrue="1" operator="equal">
      <formula>"ERROR"</formula>
    </cfRule>
    <cfRule type="cellIs" dxfId="496" priority="50" stopIfTrue="1" operator="equal">
      <formula>"OK"</formula>
    </cfRule>
    <cfRule type="cellIs" dxfId="495" priority="51" stopIfTrue="1" operator="equal">
      <formula>"WARNING"</formula>
    </cfRule>
  </conditionalFormatting>
  <conditionalFormatting sqref="AB34:AD36">
    <cfRule type="cellIs" dxfId="494" priority="34" stopIfTrue="1" operator="equal">
      <formula>"ERROR"</formula>
    </cfRule>
    <cfRule type="cellIs" dxfId="493" priority="35" stopIfTrue="1" operator="equal">
      <formula>"OK"</formula>
    </cfRule>
    <cfRule type="cellIs" dxfId="492" priority="36" stopIfTrue="1" operator="equal">
      <formula>"WARNING"</formula>
    </cfRule>
  </conditionalFormatting>
  <conditionalFormatting sqref="C44">
    <cfRule type="cellIs" dxfId="491" priority="31" stopIfTrue="1" operator="equal">
      <formula>"ERROR"</formula>
    </cfRule>
  </conditionalFormatting>
  <conditionalFormatting sqref="C44">
    <cfRule type="cellIs" dxfId="490" priority="32" stopIfTrue="1" operator="equal">
      <formula>"OK"</formula>
    </cfRule>
  </conditionalFormatting>
  <conditionalFormatting sqref="C44">
    <cfRule type="cellIs" dxfId="489" priority="33" stopIfTrue="1" operator="equal">
      <formula>"WARNING"</formula>
    </cfRule>
  </conditionalFormatting>
  <conditionalFormatting sqref="J53:K53">
    <cfRule type="cellIs" dxfId="488" priority="28" stopIfTrue="1" operator="equal">
      <formula>"ERROR"</formula>
    </cfRule>
    <cfRule type="cellIs" dxfId="487" priority="29" stopIfTrue="1" operator="equal">
      <formula>"OK"</formula>
    </cfRule>
    <cfRule type="cellIs" dxfId="486" priority="30" stopIfTrue="1" operator="equal">
      <formula>"WARNING"</formula>
    </cfRule>
  </conditionalFormatting>
  <conditionalFormatting sqref="S53:T53">
    <cfRule type="cellIs" dxfId="485" priority="25" stopIfTrue="1" operator="equal">
      <formula>"ERROR"</formula>
    </cfRule>
    <cfRule type="cellIs" dxfId="484" priority="26" stopIfTrue="1" operator="equal">
      <formula>"OK"</formula>
    </cfRule>
    <cfRule type="cellIs" dxfId="483" priority="27" stopIfTrue="1" operator="equal">
      <formula>"WARNING"</formula>
    </cfRule>
  </conditionalFormatting>
  <conditionalFormatting sqref="AD53:AE53">
    <cfRule type="cellIs" dxfId="482" priority="16" stopIfTrue="1" operator="equal">
      <formula>"ERROR"</formula>
    </cfRule>
    <cfRule type="cellIs" dxfId="481" priority="17" stopIfTrue="1" operator="equal">
      <formula>"OK"</formula>
    </cfRule>
    <cfRule type="cellIs" dxfId="480" priority="18" stopIfTrue="1" operator="equal">
      <formula>"WARNING"</formula>
    </cfRule>
  </conditionalFormatting>
  <conditionalFormatting sqref="C95">
    <cfRule type="cellIs" dxfId="479" priority="13" stopIfTrue="1" operator="equal">
      <formula>"ERROR"</formula>
    </cfRule>
  </conditionalFormatting>
  <conditionalFormatting sqref="C95">
    <cfRule type="cellIs" dxfId="478" priority="14" stopIfTrue="1" operator="equal">
      <formula>"OK"</formula>
    </cfRule>
  </conditionalFormatting>
  <conditionalFormatting sqref="C95">
    <cfRule type="cellIs" dxfId="477" priority="15" stopIfTrue="1" operator="equal">
      <formula>"WARNING"</formula>
    </cfRule>
  </conditionalFormatting>
  <conditionalFormatting sqref="S103 U100">
    <cfRule type="cellIs" dxfId="476" priority="7" stopIfTrue="1" operator="equal">
      <formula>"ERROR"</formula>
    </cfRule>
    <cfRule type="cellIs" dxfId="475" priority="8" stopIfTrue="1" operator="equal">
      <formula>"OK"</formula>
    </cfRule>
    <cfRule type="cellIs" dxfId="474" priority="9" stopIfTrue="1" operator="equal">
      <formula>"WARNING"</formula>
    </cfRule>
  </conditionalFormatting>
  <conditionalFormatting sqref="E10">
    <cfRule type="cellIs" dxfId="473" priority="4" stopIfTrue="1" operator="equal">
      <formula>"ERROR"</formula>
    </cfRule>
    <cfRule type="cellIs" dxfId="472" priority="5" stopIfTrue="1" operator="equal">
      <formula>"OK"</formula>
    </cfRule>
    <cfRule type="cellIs" dxfId="471" priority="6" stopIfTrue="1" operator="equal">
      <formula>"WARNING"</formula>
    </cfRule>
  </conditionalFormatting>
  <conditionalFormatting sqref="AD103 AJ100">
    <cfRule type="cellIs" dxfId="470" priority="1" stopIfTrue="1" operator="equal">
      <formula>"ERROR"</formula>
    </cfRule>
    <cfRule type="cellIs" dxfId="469" priority="2" stopIfTrue="1" operator="equal">
      <formula>"OK"</formula>
    </cfRule>
    <cfRule type="cellIs" dxfId="468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27"/>
  <sheetViews>
    <sheetView showGridLines="0" zoomScale="130" zoomScaleNormal="130" workbookViewId="0">
      <selection activeCell="D12" sqref="D12"/>
    </sheetView>
  </sheetViews>
  <sheetFormatPr defaultColWidth="14.75" defaultRowHeight="15" x14ac:dyDescent="0.25"/>
  <cols>
    <col min="1" max="1" width="3.75" style="455" customWidth="1"/>
    <col min="2" max="2" width="17.125" style="455" customWidth="1"/>
    <col min="3" max="3" width="9.625" style="455" customWidth="1"/>
    <col min="4" max="8" width="11.5" style="455" customWidth="1"/>
    <col min="9" max="9" width="14.75" style="455"/>
    <col min="10" max="10" width="12.125" style="455" customWidth="1"/>
    <col min="11" max="12" width="14.75" style="455"/>
    <col min="13" max="13" width="10.875" style="455" customWidth="1"/>
    <col min="14" max="22" width="14.75" style="455"/>
    <col min="23" max="23" width="11.375" style="455" customWidth="1"/>
    <col min="24" max="25" width="12.625" style="455" customWidth="1"/>
    <col min="26" max="27" width="12.75" style="455" customWidth="1"/>
    <col min="28" max="28" width="16.5" style="455" customWidth="1"/>
    <col min="29" max="29" width="12.375" style="455" customWidth="1"/>
    <col min="30" max="32" width="14.75" style="455"/>
    <col min="33" max="37" width="13.75" style="455" customWidth="1"/>
    <col min="38" max="49" width="14.75" style="455"/>
    <col min="50" max="51" width="70" style="455" bestFit="1" customWidth="1"/>
    <col min="52" max="57" width="14.75" style="455"/>
    <col min="58" max="59" width="70" style="455" bestFit="1" customWidth="1"/>
    <col min="60" max="65" width="14.75" style="455"/>
    <col min="66" max="67" width="44.5" style="455" bestFit="1" customWidth="1"/>
    <col min="68" max="69" width="14.75" style="455"/>
    <col min="70" max="71" width="44.5" style="455" bestFit="1" customWidth="1"/>
    <col min="72" max="16384" width="14.75" style="455"/>
  </cols>
  <sheetData>
    <row r="1" spans="1:72" x14ac:dyDescent="0.25">
      <c r="B1" s="418" t="s">
        <v>403</v>
      </c>
    </row>
    <row r="2" spans="1:72" ht="26.25" x14ac:dyDescent="0.4">
      <c r="B2" s="2" t="s">
        <v>534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5"/>
      <c r="BM2" s="315"/>
      <c r="BN2" s="315"/>
      <c r="BO2" s="315"/>
      <c r="BP2" s="315"/>
      <c r="BQ2" s="315"/>
      <c r="BR2" s="315"/>
      <c r="BS2" s="315"/>
      <c r="BT2" s="315"/>
    </row>
    <row r="4" spans="1:72" x14ac:dyDescent="0.25">
      <c r="B4" s="59" t="s">
        <v>155</v>
      </c>
      <c r="C4" s="310" t="str" cm="1">
        <f t="array" ref="C4">_xll.d.TestUtils_And(D7:D7)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AD4" s="308"/>
      <c r="AE4" s="308"/>
      <c r="AF4" s="308"/>
      <c r="AG4" s="308"/>
      <c r="AH4" s="308"/>
      <c r="AI4" s="308"/>
      <c r="AJ4" s="308"/>
      <c r="AK4" s="308"/>
      <c r="AL4" s="308"/>
      <c r="AM4" s="308"/>
      <c r="AN4" s="308"/>
    </row>
    <row r="5" spans="1:72" x14ac:dyDescent="0.25">
      <c r="E5" s="308"/>
      <c r="F5" s="308"/>
      <c r="G5" s="308"/>
    </row>
    <row r="6" spans="1:72" x14ac:dyDescent="0.25">
      <c r="B6" s="199" t="s">
        <v>225</v>
      </c>
      <c r="C6" s="199"/>
      <c r="D6" s="200" t="s">
        <v>10</v>
      </c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</row>
    <row r="7" spans="1:72" x14ac:dyDescent="0.25">
      <c r="B7" s="425" t="s">
        <v>409</v>
      </c>
      <c r="C7" s="425"/>
      <c r="D7" s="310" t="str">
        <f>C12</f>
        <v>Ok</v>
      </c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</row>
    <row r="8" spans="1:72" x14ac:dyDescent="0.25">
      <c r="E8" s="308"/>
      <c r="F8" s="308"/>
      <c r="G8" s="308"/>
    </row>
    <row r="9" spans="1:72" x14ac:dyDescent="0.25">
      <c r="E9" s="308"/>
      <c r="F9" s="308"/>
      <c r="G9" s="308"/>
    </row>
    <row r="10" spans="1:72" s="308" customFormat="1" ht="18.75" x14ac:dyDescent="0.3">
      <c r="A10" s="455"/>
      <c r="B10" s="3" t="s">
        <v>409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16"/>
      <c r="BI10" s="316"/>
      <c r="BJ10" s="316"/>
      <c r="BK10" s="316"/>
      <c r="BL10" s="316"/>
      <c r="BM10" s="316"/>
      <c r="BN10" s="316"/>
      <c r="BO10" s="316"/>
      <c r="BP10" s="316"/>
      <c r="BQ10" s="316"/>
      <c r="BR10" s="316"/>
      <c r="BS10" s="316"/>
      <c r="BT10" s="316"/>
    </row>
    <row r="12" spans="1:72" x14ac:dyDescent="0.25">
      <c r="B12" s="59" t="s">
        <v>155</v>
      </c>
      <c r="C12" s="310" t="str" cm="1">
        <f t="array" ref="C12">_xll.d.TestUtils_And(I17,R17:S20,AB17,AK17)</f>
        <v>Ok</v>
      </c>
      <c r="D12" s="308"/>
      <c r="E12" s="308"/>
    </row>
    <row r="13" spans="1:72" x14ac:dyDescent="0.25">
      <c r="B13" s="308"/>
      <c r="C13" s="308"/>
      <c r="D13" s="308"/>
      <c r="E13" s="309"/>
    </row>
    <row r="14" spans="1:72" ht="15.75" x14ac:dyDescent="0.25">
      <c r="B14" s="4" t="s">
        <v>535</v>
      </c>
      <c r="C14" s="317"/>
      <c r="D14" s="317"/>
      <c r="E14" s="317"/>
      <c r="F14" s="317"/>
      <c r="G14" s="317"/>
      <c r="H14" s="317"/>
      <c r="I14" s="317"/>
      <c r="K14" s="4" t="s">
        <v>536</v>
      </c>
      <c r="L14" s="317"/>
      <c r="M14" s="317"/>
      <c r="N14" s="317"/>
      <c r="O14" s="317"/>
      <c r="P14" s="317"/>
      <c r="Q14" s="317"/>
      <c r="R14" s="317"/>
      <c r="S14" s="317"/>
      <c r="U14" s="4" t="s">
        <v>528</v>
      </c>
      <c r="V14" s="317"/>
      <c r="W14" s="317"/>
      <c r="X14" s="317"/>
      <c r="Y14" s="317"/>
      <c r="Z14" s="317"/>
      <c r="AA14" s="317"/>
      <c r="AB14" s="317"/>
      <c r="AD14" s="4" t="s">
        <v>532</v>
      </c>
      <c r="AE14" s="317"/>
      <c r="AF14" s="317"/>
      <c r="AG14" s="317"/>
      <c r="AH14" s="317"/>
      <c r="AI14" s="317"/>
      <c r="AJ14" s="317"/>
      <c r="AK14" s="317"/>
    </row>
    <row r="15" spans="1:72" x14ac:dyDescent="0.25">
      <c r="B15" s="308"/>
      <c r="C15" s="308"/>
      <c r="D15" s="308"/>
      <c r="E15" s="309"/>
      <c r="K15" s="308"/>
      <c r="L15" s="308"/>
      <c r="M15" s="308"/>
      <c r="N15" s="309"/>
      <c r="U15" s="308"/>
      <c r="V15" s="308"/>
      <c r="W15" s="308"/>
      <c r="AD15" s="308"/>
      <c r="AE15" s="308"/>
      <c r="AF15" s="308"/>
    </row>
    <row r="16" spans="1:72" x14ac:dyDescent="0.25">
      <c r="B16" s="131" t="s">
        <v>241</v>
      </c>
      <c r="C16" s="132"/>
      <c r="D16" s="308"/>
      <c r="E16" s="131" t="s">
        <v>81</v>
      </c>
      <c r="F16" s="131" t="s">
        <v>440</v>
      </c>
      <c r="G16" s="131" t="s">
        <v>441</v>
      </c>
      <c r="H16" s="202" t="s">
        <v>82</v>
      </c>
      <c r="I16" s="132" t="s">
        <v>83</v>
      </c>
      <c r="K16" s="131" t="s">
        <v>241</v>
      </c>
      <c r="L16" s="132"/>
      <c r="M16" s="308"/>
      <c r="N16" s="131" t="s">
        <v>81</v>
      </c>
      <c r="O16" s="132"/>
      <c r="P16" s="131" t="s">
        <v>82</v>
      </c>
      <c r="Q16" s="132"/>
      <c r="R16" s="131" t="s">
        <v>83</v>
      </c>
      <c r="S16" s="131"/>
      <c r="U16" s="131" t="s">
        <v>241</v>
      </c>
      <c r="V16" s="132"/>
      <c r="W16" s="308"/>
      <c r="X16" s="131" t="s">
        <v>129</v>
      </c>
      <c r="Y16" s="202"/>
      <c r="Z16" s="202" t="s">
        <v>243</v>
      </c>
      <c r="AA16" s="202"/>
      <c r="AB16" s="132" t="s">
        <v>83</v>
      </c>
      <c r="AD16" s="131" t="s">
        <v>241</v>
      </c>
      <c r="AE16" s="132"/>
      <c r="AF16" s="308"/>
      <c r="AG16" s="131" t="s">
        <v>129</v>
      </c>
      <c r="AH16" s="202"/>
      <c r="AI16" s="202" t="s">
        <v>243</v>
      </c>
      <c r="AJ16" s="202"/>
      <c r="AK16" s="132" t="s">
        <v>83</v>
      </c>
    </row>
    <row r="17" spans="2:37" x14ac:dyDescent="0.25">
      <c r="B17" s="457" t="s">
        <v>437</v>
      </c>
      <c r="C17" s="134">
        <v>120</v>
      </c>
      <c r="D17" s="308"/>
      <c r="E17" s="415" cm="1">
        <f t="array" ref="E17">_xll.d.Equity_BlackScholesSpotOptionPricer(C17,C18,C19,C20,C21,C22,C23,C24)</f>
        <v>49.931353791528799</v>
      </c>
      <c r="F17" s="460">
        <f>((LN(C17/C18)+(C19-C20+0.5*C21^2)*C22))/(C21*SQRT(C22))</f>
        <v>1.0422804977154678</v>
      </c>
      <c r="G17" s="460">
        <f>F17-C21*SQRT(C22)</f>
        <v>0.29817029082404245</v>
      </c>
      <c r="H17" s="348">
        <f>C17*EXP(-C20*C22)*_xlfn.NORM.S.DIST(F17,TRUE) -C18*EXP(-C19*C22)*_xlfn.NORM.S.DIST(G17,TRUE)</f>
        <v>49.931353791528799</v>
      </c>
      <c r="I17" s="605" t="str" cm="1">
        <f t="array" ref="I17">_xll.d.TestUtils_Equal(E17,H17)</f>
        <v>Ok</v>
      </c>
      <c r="K17" s="457" t="s">
        <v>437</v>
      </c>
      <c r="L17" s="134">
        <v>120</v>
      </c>
      <c r="M17" s="308"/>
      <c r="N17" s="133" t="str" cm="1">
        <f t="array" ref="N17:O20">_xll.d.Equity_BlackScholesSpotOptionPricer(L17,L18,L19,L20,L21,L22,L23,L24,"VERBOSE")</f>
        <v>Price</v>
      </c>
      <c r="O17" s="592">
        <v>49.931353791528799</v>
      </c>
      <c r="P17" s="133" t="s">
        <v>522</v>
      </c>
      <c r="Q17" s="592">
        <v>49.931353791528799</v>
      </c>
      <c r="R17" s="605" t="str" cm="1">
        <f t="array" ref="R17">_xll.d.TestUtils_Equal(N17,P17)</f>
        <v>Ok</v>
      </c>
      <c r="S17" s="605" t="str" cm="1">
        <f t="array" ref="S17">_xll.d.TestUtils_Equal(O17,Q17)</f>
        <v>Ok</v>
      </c>
      <c r="U17" s="457" t="s">
        <v>437</v>
      </c>
      <c r="V17" s="134">
        <v>120</v>
      </c>
      <c r="W17" s="308"/>
      <c r="X17" s="475" t="str" cm="1">
        <f t="array" ref="X17">_xll.d.Equity_BlackScholesSpotOptionPricer(V17,V18,V19,V20,V21,V22,V23,V24)</f>
        <v>#∂Excel Error: Invalid option type: 'Q'</v>
      </c>
      <c r="Y17" s="476"/>
      <c r="Z17" s="477" t="s">
        <v>529</v>
      </c>
      <c r="AA17" s="478"/>
      <c r="AB17" s="348" t="str" cm="1">
        <f t="array" ref="AB17">_xll.d.TestUtils_Equal(X17,Z17)</f>
        <v>Ok</v>
      </c>
      <c r="AD17" s="457" t="s">
        <v>437</v>
      </c>
      <c r="AE17" s="134">
        <v>120</v>
      </c>
      <c r="AF17" s="308"/>
      <c r="AG17" s="475" t="str" cm="1">
        <f t="array" ref="AG17">_xll.d.Equity_BlackScholesSpotOptionPricer(AE17,AE18,AE19,AE20,AE21,AE22,AE23,AE24)</f>
        <v>#∂Excel Error: Invalid direction: 'Q'</v>
      </c>
      <c r="AH17" s="476"/>
      <c r="AI17" s="477" t="s">
        <v>533</v>
      </c>
      <c r="AJ17" s="478"/>
      <c r="AK17" s="348" t="str" cm="1">
        <f t="array" ref="AK17">_xll.d.TestUtils_Equal(AG17,AI17)</f>
        <v>Ok</v>
      </c>
    </row>
    <row r="18" spans="2:37" x14ac:dyDescent="0.25">
      <c r="B18" s="458" t="s">
        <v>438</v>
      </c>
      <c r="C18" s="136">
        <v>100</v>
      </c>
      <c r="D18" s="308"/>
      <c r="K18" s="458" t="s">
        <v>438</v>
      </c>
      <c r="L18" s="136">
        <v>100</v>
      </c>
      <c r="M18" s="308"/>
      <c r="N18" s="135" t="str">
        <v>d1</v>
      </c>
      <c r="O18" s="593">
        <v>1.0422804977154678</v>
      </c>
      <c r="P18" s="135" t="s">
        <v>523</v>
      </c>
      <c r="Q18" s="593">
        <v>1.0422804977154678</v>
      </c>
      <c r="R18" s="605" t="str" cm="1">
        <f t="array" ref="R18">_xll.d.TestUtils_Equal(N18,P18)</f>
        <v>Ok</v>
      </c>
      <c r="S18" s="605" t="str" cm="1">
        <f t="array" ref="S18">_xll.d.TestUtils_Equal(O18,Q18)</f>
        <v>Ok</v>
      </c>
      <c r="U18" s="458" t="s">
        <v>438</v>
      </c>
      <c r="V18" s="136">
        <v>100</v>
      </c>
      <c r="W18" s="308"/>
      <c r="AD18" s="458" t="s">
        <v>438</v>
      </c>
      <c r="AE18" s="136">
        <v>100</v>
      </c>
      <c r="AF18" s="308"/>
    </row>
    <row r="19" spans="2:37" x14ac:dyDescent="0.25">
      <c r="B19" s="458" t="s">
        <v>447</v>
      </c>
      <c r="C19" s="136">
        <v>0.1</v>
      </c>
      <c r="D19" s="308"/>
      <c r="K19" s="458" t="s">
        <v>447</v>
      </c>
      <c r="L19" s="136">
        <v>0.1</v>
      </c>
      <c r="M19" s="308"/>
      <c r="N19" s="135" t="str">
        <v>d2</v>
      </c>
      <c r="O19" s="593">
        <v>0.29817029082404245</v>
      </c>
      <c r="P19" s="135" t="s">
        <v>524</v>
      </c>
      <c r="Q19" s="593">
        <v>0.29817029082404245</v>
      </c>
      <c r="R19" s="605" t="str" cm="1">
        <f t="array" ref="R19">_xll.d.TestUtils_Equal(N19,P19)</f>
        <v>Ok</v>
      </c>
      <c r="S19" s="605" t="str" cm="1">
        <f t="array" ref="S19">_xll.d.TestUtils_Equal(O19,Q19)</f>
        <v>Ok</v>
      </c>
      <c r="U19" s="458" t="s">
        <v>447</v>
      </c>
      <c r="V19" s="136">
        <v>0.1</v>
      </c>
      <c r="W19" s="308"/>
      <c r="AD19" s="458" t="s">
        <v>447</v>
      </c>
      <c r="AE19" s="136">
        <v>0.1</v>
      </c>
      <c r="AF19" s="308"/>
    </row>
    <row r="20" spans="2:37" x14ac:dyDescent="0.25">
      <c r="B20" s="458" t="s">
        <v>446</v>
      </c>
      <c r="C20" s="136">
        <v>0.03</v>
      </c>
      <c r="D20" s="308"/>
      <c r="E20" s="309"/>
      <c r="K20" s="458" t="s">
        <v>446</v>
      </c>
      <c r="L20" s="136">
        <v>0.03</v>
      </c>
      <c r="M20" s="308"/>
      <c r="N20" s="137" t="str">
        <v>Discount Factor</v>
      </c>
      <c r="O20" s="594">
        <v>0.63635416972508707</v>
      </c>
      <c r="P20" s="137" t="s">
        <v>525</v>
      </c>
      <c r="Q20" s="594">
        <v>0.63635416972508707</v>
      </c>
      <c r="R20" s="605" t="str" cm="1">
        <f t="array" ref="R20">_xll.d.TestUtils_Equal(N20,P20)</f>
        <v>Ok</v>
      </c>
      <c r="S20" s="605" t="str" cm="1">
        <f t="array" ref="S20">_xll.d.TestUtils_Equal(O20,Q20)</f>
        <v>Ok</v>
      </c>
      <c r="U20" s="458" t="s">
        <v>446</v>
      </c>
      <c r="V20" s="136">
        <v>0.03</v>
      </c>
      <c r="W20" s="308"/>
      <c r="AD20" s="458" t="s">
        <v>446</v>
      </c>
      <c r="AE20" s="136">
        <v>0.03</v>
      </c>
      <c r="AF20" s="308"/>
    </row>
    <row r="21" spans="2:37" x14ac:dyDescent="0.25">
      <c r="B21" s="458" t="s">
        <v>88</v>
      </c>
      <c r="C21" s="136">
        <v>0.35</v>
      </c>
      <c r="E21" s="309"/>
      <c r="K21" s="458" t="s">
        <v>88</v>
      </c>
      <c r="L21" s="136">
        <v>0.35</v>
      </c>
      <c r="U21" s="458" t="s">
        <v>88</v>
      </c>
      <c r="V21" s="136">
        <v>0.35</v>
      </c>
      <c r="W21" s="308"/>
      <c r="AD21" s="458" t="s">
        <v>88</v>
      </c>
      <c r="AE21" s="136">
        <v>0.35</v>
      </c>
      <c r="AF21" s="308"/>
    </row>
    <row r="22" spans="2:37" x14ac:dyDescent="0.25">
      <c r="B22" s="458" t="s">
        <v>439</v>
      </c>
      <c r="C22" s="136">
        <v>4.5199999999999996</v>
      </c>
      <c r="D22" s="308"/>
      <c r="E22" s="309"/>
      <c r="K22" s="458" t="s">
        <v>439</v>
      </c>
      <c r="L22" s="136">
        <v>4.5199999999999996</v>
      </c>
      <c r="M22" s="308"/>
      <c r="U22" s="458" t="s">
        <v>439</v>
      </c>
      <c r="V22" s="136">
        <v>4.5199999999999996</v>
      </c>
      <c r="W22" s="308"/>
      <c r="AD22" s="458" t="s">
        <v>439</v>
      </c>
      <c r="AE22" s="136">
        <v>4.5199999999999996</v>
      </c>
      <c r="AF22" s="308"/>
    </row>
    <row r="23" spans="2:37" x14ac:dyDescent="0.25">
      <c r="B23" s="458" t="s">
        <v>436</v>
      </c>
      <c r="C23" s="136" t="s">
        <v>443</v>
      </c>
      <c r="D23" s="308"/>
      <c r="E23" s="309"/>
      <c r="K23" s="458" t="s">
        <v>436</v>
      </c>
      <c r="L23" s="136" t="s">
        <v>443</v>
      </c>
      <c r="M23" s="308"/>
      <c r="U23" s="458" t="s">
        <v>436</v>
      </c>
      <c r="V23" s="136" t="s">
        <v>527</v>
      </c>
      <c r="W23" s="308"/>
      <c r="AD23" s="458" t="s">
        <v>436</v>
      </c>
      <c r="AE23" s="136" t="s">
        <v>443</v>
      </c>
      <c r="AF23" s="308"/>
    </row>
    <row r="24" spans="2:37" x14ac:dyDescent="0.25">
      <c r="B24" s="459" t="s">
        <v>442</v>
      </c>
      <c r="C24" s="138" t="s">
        <v>444</v>
      </c>
      <c r="D24" s="308"/>
      <c r="E24" s="309"/>
      <c r="F24" s="309"/>
      <c r="G24" s="309"/>
      <c r="K24" s="459" t="s">
        <v>442</v>
      </c>
      <c r="L24" s="138" t="s">
        <v>444</v>
      </c>
      <c r="M24" s="308"/>
      <c r="U24" s="459" t="s">
        <v>442</v>
      </c>
      <c r="V24" s="138" t="s">
        <v>444</v>
      </c>
      <c r="W24" s="308"/>
      <c r="AD24" s="459" t="s">
        <v>442</v>
      </c>
      <c r="AE24" s="138" t="s">
        <v>527</v>
      </c>
      <c r="AF24" s="308"/>
    </row>
    <row r="25" spans="2:37" x14ac:dyDescent="0.25">
      <c r="D25" s="308"/>
      <c r="E25" s="309"/>
      <c r="F25" s="309"/>
      <c r="G25" s="309"/>
    </row>
    <row r="26" spans="2:37" x14ac:dyDescent="0.25">
      <c r="D26" s="308"/>
      <c r="E26" s="309"/>
      <c r="F26" s="309"/>
      <c r="G26" s="309"/>
    </row>
    <row r="27" spans="2:37" x14ac:dyDescent="0.25">
      <c r="E27" s="309"/>
      <c r="F27" s="309"/>
      <c r="G27" s="309"/>
    </row>
  </sheetData>
  <conditionalFormatting sqref="D7">
    <cfRule type="cellIs" dxfId="467" priority="52" stopIfTrue="1" operator="equal">
      <formula>"ERROR"</formula>
    </cfRule>
    <cfRule type="cellIs" dxfId="466" priority="53" stopIfTrue="1" operator="equal">
      <formula>"OK"</formula>
    </cfRule>
    <cfRule type="cellIs" dxfId="465" priority="54" stopIfTrue="1" operator="equal">
      <formula>"WARNING"</formula>
    </cfRule>
  </conditionalFormatting>
  <conditionalFormatting sqref="C4">
    <cfRule type="cellIs" dxfId="464" priority="49" stopIfTrue="1" operator="equal">
      <formula>"ERROR"</formula>
    </cfRule>
    <cfRule type="cellIs" dxfId="463" priority="50" stopIfTrue="1" operator="equal">
      <formula>"OK"</formula>
    </cfRule>
    <cfRule type="cellIs" dxfId="462" priority="51" stopIfTrue="1" operator="equal">
      <formula>"WARNING"</formula>
    </cfRule>
  </conditionalFormatting>
  <conditionalFormatting sqref="C12">
    <cfRule type="cellIs" dxfId="461" priority="46" stopIfTrue="1" operator="equal">
      <formula>"ERROR"</formula>
    </cfRule>
  </conditionalFormatting>
  <conditionalFormatting sqref="C12">
    <cfRule type="cellIs" dxfId="460" priority="47" stopIfTrue="1" operator="equal">
      <formula>"OK"</formula>
    </cfRule>
  </conditionalFormatting>
  <conditionalFormatting sqref="C12">
    <cfRule type="cellIs" dxfId="459" priority="48" stopIfTrue="1" operator="equal">
      <formula>"WARNING"</formula>
    </cfRule>
  </conditionalFormatting>
  <conditionalFormatting sqref="I17:J17 T17">
    <cfRule type="cellIs" dxfId="458" priority="58" stopIfTrue="1" operator="equal">
      <formula>"ERROR"</formula>
    </cfRule>
    <cfRule type="cellIs" dxfId="457" priority="59" stopIfTrue="1" operator="equal">
      <formula>"OK"</formula>
    </cfRule>
    <cfRule type="cellIs" dxfId="456" priority="60" stopIfTrue="1" operator="equal">
      <formula>"WARNING"</formula>
    </cfRule>
  </conditionalFormatting>
  <conditionalFormatting sqref="AB17">
    <cfRule type="cellIs" dxfId="455" priority="34" stopIfTrue="1" operator="equal">
      <formula>"ERROR"</formula>
    </cfRule>
    <cfRule type="cellIs" dxfId="454" priority="35" stopIfTrue="1" operator="equal">
      <formula>"OK"</formula>
    </cfRule>
    <cfRule type="cellIs" dxfId="453" priority="36" stopIfTrue="1" operator="equal">
      <formula>"WARNING"</formula>
    </cfRule>
  </conditionalFormatting>
  <conditionalFormatting sqref="AK17">
    <cfRule type="cellIs" dxfId="452" priority="28" stopIfTrue="1" operator="equal">
      <formula>"ERROR"</formula>
    </cfRule>
    <cfRule type="cellIs" dxfId="451" priority="29" stopIfTrue="1" operator="equal">
      <formula>"OK"</formula>
    </cfRule>
    <cfRule type="cellIs" dxfId="450" priority="30" stopIfTrue="1" operator="equal">
      <formula>"WARNING"</formula>
    </cfRule>
  </conditionalFormatting>
  <conditionalFormatting sqref="R17:S20">
    <cfRule type="cellIs" dxfId="449" priority="22" stopIfTrue="1" operator="equal">
      <formula>"ERROR"</formula>
    </cfRule>
    <cfRule type="cellIs" dxfId="448" priority="23" stopIfTrue="1" operator="equal">
      <formula>"OK"</formula>
    </cfRule>
    <cfRule type="cellIs" dxfId="447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topLeftCell="A10" zoomScaleNormal="100" workbookViewId="0">
      <selection activeCell="C18" sqref="C18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18" t="s">
        <v>403</v>
      </c>
    </row>
    <row r="2" spans="1:65" ht="26.25" x14ac:dyDescent="0.4">
      <c r="B2" s="2" t="s">
        <v>408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</row>
    <row r="4" spans="1:65" x14ac:dyDescent="0.25">
      <c r="B4" s="59" t="s">
        <v>155</v>
      </c>
      <c r="C4" s="310" t="str" cm="1">
        <f t="array" ref="C4">_xll.d.TestUtils_And(D7:D7)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</row>
    <row r="5" spans="1:65" x14ac:dyDescent="0.25">
      <c r="G5" s="308"/>
      <c r="H5" s="308"/>
      <c r="I5" s="308"/>
      <c r="AR5" s="455"/>
      <c r="AS5" s="455"/>
      <c r="AT5" s="455"/>
      <c r="AU5" s="455"/>
      <c r="AV5" s="455"/>
      <c r="AW5" s="455"/>
      <c r="AX5" s="455"/>
      <c r="AY5" s="455"/>
      <c r="AZ5" s="455"/>
      <c r="BA5" s="455"/>
      <c r="BB5" s="455"/>
      <c r="BC5" s="455"/>
      <c r="BD5" s="455"/>
    </row>
    <row r="6" spans="1:65" x14ac:dyDescent="0.25">
      <c r="B6" s="199" t="s">
        <v>225</v>
      </c>
      <c r="C6" s="199"/>
      <c r="D6" s="200" t="s">
        <v>10</v>
      </c>
      <c r="E6" s="511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R6" s="455"/>
      <c r="AS6" s="455"/>
      <c r="AT6" s="455"/>
      <c r="AU6" s="455"/>
      <c r="AV6" s="455"/>
      <c r="AW6" s="455"/>
      <c r="AX6" s="455"/>
      <c r="AY6" s="455"/>
      <c r="AZ6" s="455"/>
      <c r="BA6" s="455"/>
      <c r="BB6" s="455"/>
      <c r="BC6" s="455"/>
      <c r="BD6" s="455"/>
    </row>
    <row r="7" spans="1:65" x14ac:dyDescent="0.25">
      <c r="B7" s="425" t="s">
        <v>410</v>
      </c>
      <c r="C7" s="425"/>
      <c r="D7" s="310" t="str">
        <f>C12</f>
        <v>Ok</v>
      </c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S7" s="455"/>
      <c r="AT7" s="455"/>
      <c r="AU7" s="455"/>
      <c r="AV7" s="455"/>
      <c r="AW7" s="455"/>
      <c r="AX7" s="455"/>
      <c r="AY7" s="455"/>
      <c r="AZ7" s="455"/>
      <c r="BA7" s="455"/>
      <c r="BB7" s="455"/>
      <c r="BC7" s="455"/>
      <c r="BD7" s="455"/>
    </row>
    <row r="8" spans="1:65" x14ac:dyDescent="0.25">
      <c r="G8" s="308"/>
      <c r="H8" s="308"/>
      <c r="I8" s="308"/>
      <c r="AR8" s="455"/>
      <c r="AS8" s="455"/>
      <c r="AT8" s="455"/>
      <c r="AU8" s="455"/>
      <c r="AV8" s="455"/>
      <c r="AW8" s="455"/>
      <c r="AX8" s="455"/>
      <c r="AY8" s="455"/>
      <c r="AZ8" s="455"/>
      <c r="BA8" s="455"/>
      <c r="BB8" s="455"/>
      <c r="BC8" s="455"/>
      <c r="BD8" s="455"/>
    </row>
    <row r="9" spans="1:65" x14ac:dyDescent="0.25">
      <c r="G9" s="308"/>
      <c r="H9" s="308"/>
      <c r="I9" s="308"/>
    </row>
    <row r="10" spans="1:65" s="308" customFormat="1" ht="18.75" x14ac:dyDescent="0.3">
      <c r="A10"/>
      <c r="B10" s="3" t="s">
        <v>410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16"/>
      <c r="BI10" s="316"/>
    </row>
    <row r="12" spans="1:65" s="308" customFormat="1" x14ac:dyDescent="0.25">
      <c r="A12"/>
      <c r="B12" s="59" t="s">
        <v>155</v>
      </c>
      <c r="C12" s="310" t="str" cm="1">
        <f t="array" ref="C12">_xll.d.TestUtils_And(H17,S17,Z17)</f>
        <v>Ok</v>
      </c>
    </row>
    <row r="13" spans="1:65" x14ac:dyDescent="0.25">
      <c r="M13" s="427"/>
      <c r="N13" s="427"/>
      <c r="O13" s="427"/>
      <c r="P13" s="427"/>
      <c r="Q13" s="427"/>
      <c r="R13" s="427"/>
      <c r="S13" s="427"/>
      <c r="T13" s="427"/>
      <c r="U13" s="427"/>
      <c r="V13" s="427"/>
      <c r="W13" s="427"/>
      <c r="X13" s="427"/>
      <c r="Y13" s="427"/>
      <c r="Z13" s="427"/>
      <c r="AA13" s="427"/>
      <c r="AB13" s="427"/>
      <c r="AC13" s="427"/>
      <c r="AD13" s="427"/>
      <c r="AE13" s="427"/>
      <c r="AF13" s="427"/>
      <c r="AG13" s="427"/>
      <c r="AH13" s="427"/>
      <c r="AI13" s="427"/>
      <c r="AJ13" s="427"/>
      <c r="AK13" s="427"/>
      <c r="AL13" s="427"/>
      <c r="AM13" s="427"/>
      <c r="AN13" s="427"/>
      <c r="AO13" s="427"/>
      <c r="AP13" s="427"/>
      <c r="AQ13" s="427"/>
      <c r="AR13" s="427"/>
      <c r="AS13" s="427"/>
      <c r="AT13" s="427"/>
      <c r="AU13" s="427"/>
      <c r="AV13" s="427"/>
      <c r="AW13" s="427"/>
      <c r="AX13" s="427"/>
      <c r="AY13" s="427"/>
      <c r="AZ13" s="427"/>
      <c r="BA13" s="427"/>
      <c r="BB13" s="427"/>
      <c r="BC13" s="427"/>
      <c r="BD13" s="427"/>
    </row>
    <row r="14" spans="1:65" ht="15.75" x14ac:dyDescent="0.25">
      <c r="B14" s="4" t="s">
        <v>429</v>
      </c>
      <c r="C14" s="317"/>
      <c r="D14" s="317"/>
      <c r="E14" s="317"/>
      <c r="F14" s="317"/>
      <c r="G14" s="317"/>
      <c r="H14" s="317"/>
      <c r="I14" s="427"/>
      <c r="J14" s="4" t="s">
        <v>430</v>
      </c>
      <c r="K14" s="4"/>
      <c r="L14" s="4"/>
      <c r="M14" s="427"/>
      <c r="N14" s="4" t="s">
        <v>433</v>
      </c>
      <c r="O14" s="317"/>
      <c r="P14" s="317"/>
      <c r="Q14" s="317"/>
      <c r="R14" s="317"/>
      <c r="S14" s="317"/>
      <c r="T14" s="427"/>
      <c r="U14" s="4" t="s">
        <v>434</v>
      </c>
      <c r="V14" s="317"/>
      <c r="W14" s="317"/>
      <c r="X14" s="317"/>
      <c r="Y14" s="317"/>
      <c r="Z14" s="317"/>
      <c r="AA14" s="427"/>
      <c r="AB14" s="427"/>
      <c r="AC14" s="427"/>
      <c r="AD14" s="427"/>
      <c r="AE14" s="427"/>
      <c r="AF14" s="427"/>
      <c r="AG14" s="427"/>
      <c r="AH14" s="427"/>
      <c r="AI14" s="427"/>
      <c r="AJ14" s="427"/>
      <c r="AK14" s="427"/>
      <c r="AL14" s="427"/>
      <c r="AM14" s="427"/>
      <c r="AN14" s="427"/>
      <c r="AO14" s="427"/>
      <c r="AP14" s="427"/>
      <c r="AQ14" s="427"/>
      <c r="AR14" s="427"/>
      <c r="AS14" s="427"/>
      <c r="AT14" s="427"/>
      <c r="AU14" s="427"/>
      <c r="AV14" s="427"/>
      <c r="AW14" s="427"/>
      <c r="AX14" s="427"/>
      <c r="AY14" s="427"/>
      <c r="AZ14" s="427"/>
      <c r="BA14" s="427"/>
      <c r="BB14" s="427"/>
      <c r="BC14" s="427"/>
      <c r="BD14" s="427"/>
      <c r="BE14" s="427"/>
      <c r="BF14" s="427"/>
      <c r="BG14" s="427"/>
      <c r="BH14" s="427"/>
      <c r="BI14" s="427"/>
      <c r="BJ14" s="427"/>
      <c r="BK14" s="427"/>
      <c r="BL14" s="427"/>
      <c r="BM14" s="427"/>
    </row>
    <row r="15" spans="1:65" x14ac:dyDescent="0.25">
      <c r="B15" s="308"/>
      <c r="C15" s="308"/>
      <c r="D15" s="308"/>
      <c r="E15" s="308"/>
      <c r="F15" s="308"/>
      <c r="G15" s="426" t="s">
        <v>422</v>
      </c>
      <c r="I15" s="427"/>
      <c r="J15" s="427"/>
      <c r="K15" s="427"/>
      <c r="L15" s="427"/>
      <c r="M15" s="427"/>
      <c r="N15" s="308"/>
      <c r="O15" s="308"/>
      <c r="P15" s="308"/>
      <c r="Q15" s="308"/>
      <c r="R15" s="426"/>
      <c r="S15" s="427"/>
      <c r="T15" s="427"/>
      <c r="U15" s="308"/>
      <c r="V15" s="308"/>
      <c r="W15" s="308"/>
      <c r="X15" s="308"/>
      <c r="Y15" s="426"/>
      <c r="Z15" s="427"/>
      <c r="AA15" s="427"/>
      <c r="AB15" s="427"/>
      <c r="AC15" s="427"/>
      <c r="AD15" s="427"/>
      <c r="AE15" s="427"/>
      <c r="AF15" s="427"/>
      <c r="AG15" s="427"/>
      <c r="AH15" s="427"/>
      <c r="AI15" s="427"/>
      <c r="AJ15" s="427"/>
      <c r="AK15" s="427"/>
      <c r="AL15" s="427"/>
      <c r="AM15" s="427"/>
      <c r="AN15" s="427"/>
      <c r="AO15" s="427"/>
      <c r="AP15" s="427"/>
      <c r="AQ15" s="427"/>
      <c r="AR15" s="427"/>
      <c r="AS15" s="427"/>
      <c r="AT15" s="427"/>
      <c r="AU15" s="427"/>
      <c r="AV15" s="427"/>
      <c r="AW15" s="427"/>
      <c r="AX15" s="427"/>
      <c r="AY15" s="427"/>
      <c r="AZ15" s="427"/>
      <c r="BA15" s="427"/>
      <c r="BB15" s="427"/>
      <c r="BC15" s="427"/>
      <c r="BD15" s="427"/>
      <c r="BE15" s="427"/>
      <c r="BF15" s="427"/>
      <c r="BG15" s="427"/>
      <c r="BH15" s="427"/>
      <c r="BI15" s="427"/>
      <c r="BJ15" s="427"/>
      <c r="BK15" s="427"/>
      <c r="BL15" s="427"/>
    </row>
    <row r="16" spans="1:65" x14ac:dyDescent="0.25">
      <c r="B16" s="131" t="s">
        <v>241</v>
      </c>
      <c r="C16" s="132"/>
      <c r="E16" s="131" t="s">
        <v>129</v>
      </c>
      <c r="F16" s="131" t="s">
        <v>421</v>
      </c>
      <c r="G16" s="131" t="s">
        <v>243</v>
      </c>
      <c r="H16" s="131" t="s">
        <v>83</v>
      </c>
      <c r="I16" s="427"/>
      <c r="J16" s="454" t="s">
        <v>593</v>
      </c>
      <c r="K16" s="427"/>
      <c r="L16" s="427"/>
      <c r="M16" s="427"/>
      <c r="N16" s="131" t="s">
        <v>241</v>
      </c>
      <c r="O16" s="132"/>
      <c r="P16" s="427"/>
      <c r="Q16" s="131" t="s">
        <v>129</v>
      </c>
      <c r="R16" s="131" t="s">
        <v>243</v>
      </c>
      <c r="S16" s="131" t="s">
        <v>83</v>
      </c>
      <c r="T16" s="427"/>
      <c r="U16" s="131" t="s">
        <v>241</v>
      </c>
      <c r="V16" s="132"/>
      <c r="W16" s="427"/>
      <c r="X16" s="131" t="s">
        <v>129</v>
      </c>
      <c r="Y16" s="131" t="s">
        <v>243</v>
      </c>
      <c r="Z16" s="131" t="s">
        <v>83</v>
      </c>
      <c r="AA16" s="427"/>
      <c r="AB16" s="427"/>
      <c r="AC16" s="427"/>
      <c r="AD16" s="427"/>
      <c r="AE16" s="427"/>
      <c r="AF16" s="427"/>
      <c r="AG16" s="427"/>
      <c r="AH16" s="427"/>
      <c r="AI16" s="427"/>
      <c r="AJ16" s="427"/>
      <c r="AK16" s="427"/>
      <c r="AL16" s="427"/>
      <c r="AM16" s="427"/>
      <c r="AN16" s="427"/>
      <c r="AO16" s="427"/>
      <c r="AP16" s="427"/>
      <c r="AQ16" s="427"/>
      <c r="AR16" s="427"/>
      <c r="AS16" s="427"/>
      <c r="AT16" s="427"/>
      <c r="AU16" s="427"/>
      <c r="AV16" s="427"/>
      <c r="AW16" s="427"/>
      <c r="AX16" s="427"/>
      <c r="AY16" s="427"/>
      <c r="AZ16" s="427"/>
      <c r="BA16" s="427"/>
      <c r="BB16" s="427"/>
      <c r="BC16" s="427"/>
      <c r="BD16" s="427"/>
      <c r="BE16" s="427"/>
      <c r="BF16" s="427"/>
      <c r="BG16" s="427"/>
      <c r="BH16" s="427"/>
      <c r="BI16" s="427"/>
      <c r="BJ16" s="427"/>
      <c r="BK16" s="427"/>
      <c r="BL16" s="427"/>
    </row>
    <row r="17" spans="2:65" x14ac:dyDescent="0.25">
      <c r="B17" s="133" t="s">
        <v>412</v>
      </c>
      <c r="C17" s="311">
        <v>44104</v>
      </c>
      <c r="E17" s="440" cm="1">
        <f t="array" ref="E17">_xll.d.Equity_Volatility(C17,C18,C19,C20,C21,C25:C1273,D25:D1273)</f>
        <v>0.27437833409372492</v>
      </c>
      <c r="F17" s="441">
        <v>0.27437800000000001</v>
      </c>
      <c r="G17" s="441">
        <f>STDEV(F26:F1273)*SQRT(C19)</f>
        <v>0.27437833409372464</v>
      </c>
      <c r="H17" s="320" t="str" cm="1">
        <f t="array" ref="H17">_xll.d.TestUtils_Equal(E17,F17,0.00001)</f>
        <v>Ok</v>
      </c>
      <c r="I17" s="427"/>
      <c r="J17" s="454" t="s">
        <v>594</v>
      </c>
      <c r="K17" s="427"/>
      <c r="L17" s="427"/>
      <c r="M17" s="427"/>
      <c r="N17" s="133" t="s">
        <v>412</v>
      </c>
      <c r="O17" s="311">
        <v>44104</v>
      </c>
      <c r="P17" s="427"/>
      <c r="Q17" s="440" t="str" cm="1">
        <f t="array" ref="Q17">_xll.d.Equity_Volatility(O17,O18,O19,O20,O21,C25:C1273,D25:D1273)</f>
        <v>#∂Excel Error: Invalid weighting style: ASDF</v>
      </c>
      <c r="R17" s="441" t="s">
        <v>432</v>
      </c>
      <c r="S17" s="320" t="str" cm="1">
        <f t="array" ref="S17">_xll.d.TestUtils_Equal(Q17,R17)</f>
        <v>Ok</v>
      </c>
      <c r="T17" s="427"/>
      <c r="U17" s="133" t="s">
        <v>412</v>
      </c>
      <c r="V17" s="311">
        <v>44104</v>
      </c>
      <c r="W17" s="427"/>
      <c r="X17" s="440" t="str" cm="1">
        <f t="array" ref="X17">_xll.d.Equity_Volatility(V17,V18,V19,V20,V21,C25:C1273,D26:D1273)</f>
        <v>#∂Excel Error: Date array and stock price array have different sizes.</v>
      </c>
      <c r="Y17" s="441" t="s">
        <v>435</v>
      </c>
      <c r="Z17" s="320" t="str" cm="1">
        <f t="array" ref="Z17">_xll.d.TestUtils_Equal(X17,Y17)</f>
        <v>Ok</v>
      </c>
      <c r="AA17" s="427"/>
      <c r="AB17" s="427"/>
      <c r="AC17" s="427"/>
      <c r="AD17" s="427"/>
      <c r="AE17" s="427"/>
      <c r="AF17" s="427"/>
      <c r="AG17" s="427"/>
      <c r="AH17" s="427"/>
      <c r="AI17" s="427"/>
      <c r="AJ17" s="427"/>
      <c r="AK17" s="427"/>
      <c r="AL17" s="427"/>
      <c r="AM17" s="427"/>
      <c r="AN17" s="427"/>
      <c r="AO17" s="427"/>
      <c r="AP17" s="427"/>
      <c r="AQ17" s="427"/>
      <c r="AR17" s="427"/>
      <c r="AS17" s="427"/>
      <c r="AT17" s="427"/>
      <c r="AU17" s="427"/>
      <c r="AV17" s="427"/>
      <c r="AW17" s="427"/>
      <c r="AX17" s="427"/>
      <c r="AY17" s="427"/>
      <c r="AZ17" s="427"/>
      <c r="BA17" s="427"/>
      <c r="BB17" s="427"/>
      <c r="BC17" s="427"/>
      <c r="BD17" s="427"/>
      <c r="BE17" s="427"/>
      <c r="BF17" s="427"/>
      <c r="BG17" s="427"/>
      <c r="BH17" s="427"/>
      <c r="BI17" s="427"/>
      <c r="BJ17" s="427"/>
      <c r="BK17" s="427"/>
      <c r="BL17" s="427"/>
    </row>
    <row r="18" spans="2:65" x14ac:dyDescent="0.25">
      <c r="B18" s="135" t="s">
        <v>413</v>
      </c>
      <c r="C18" s="323">
        <v>45930</v>
      </c>
      <c r="E18" s="308"/>
      <c r="F18" s="426" t="s">
        <v>414</v>
      </c>
      <c r="I18" s="427"/>
      <c r="J18" s="427"/>
      <c r="K18" s="427"/>
      <c r="L18" s="427"/>
      <c r="M18" s="427"/>
      <c r="N18" s="135" t="s">
        <v>413</v>
      </c>
      <c r="O18" s="323">
        <v>45930</v>
      </c>
      <c r="P18" s="427"/>
      <c r="Q18" s="308"/>
      <c r="R18" s="427"/>
      <c r="S18" s="427"/>
      <c r="T18" s="427"/>
      <c r="U18" s="135" t="s">
        <v>413</v>
      </c>
      <c r="V18" s="323">
        <v>45930</v>
      </c>
      <c r="W18" s="427"/>
      <c r="X18" s="308"/>
      <c r="Y18" s="427"/>
      <c r="Z18" s="427"/>
      <c r="AA18" s="427"/>
      <c r="AB18" s="427"/>
      <c r="AC18" s="427"/>
      <c r="AD18" s="427"/>
      <c r="AE18" s="427"/>
      <c r="AF18" s="427"/>
      <c r="AG18" s="427"/>
      <c r="AH18" s="427"/>
      <c r="AI18" s="427"/>
      <c r="AJ18" s="427"/>
      <c r="AK18" s="427"/>
      <c r="AL18" s="427"/>
      <c r="AM18" s="427"/>
      <c r="AN18" s="427"/>
      <c r="AO18" s="427"/>
      <c r="AP18" s="427"/>
      <c r="AQ18" s="427"/>
      <c r="AR18" s="427"/>
      <c r="AS18" s="427"/>
      <c r="AT18" s="427"/>
      <c r="AU18" s="427"/>
      <c r="AV18" s="427"/>
      <c r="AW18" s="427"/>
      <c r="AX18" s="427"/>
      <c r="AY18" s="427"/>
      <c r="AZ18" s="427"/>
      <c r="BA18" s="427"/>
      <c r="BB18" s="427"/>
      <c r="BC18" s="427"/>
      <c r="BD18" s="427"/>
      <c r="BE18" s="427"/>
      <c r="BF18" s="427"/>
      <c r="BG18" s="427"/>
      <c r="BH18" s="427"/>
      <c r="BI18" s="427"/>
      <c r="BJ18" s="427"/>
      <c r="BK18" s="427"/>
      <c r="BL18" s="427"/>
    </row>
    <row r="19" spans="2:65" x14ac:dyDescent="0.25">
      <c r="B19" s="135" t="s">
        <v>423</v>
      </c>
      <c r="C19" s="446">
        <f>ROUND(COUNT(C25:C1273)*365/(C1273-C25),0)</f>
        <v>250</v>
      </c>
      <c r="J19" s="427"/>
      <c r="K19" s="427"/>
      <c r="L19" s="427"/>
      <c r="M19" s="427"/>
      <c r="N19" s="135" t="s">
        <v>423</v>
      </c>
      <c r="O19" s="446">
        <f>C19</f>
        <v>250</v>
      </c>
      <c r="P19" s="427"/>
      <c r="Q19" s="427"/>
      <c r="R19" s="427"/>
      <c r="S19" s="427"/>
      <c r="T19" s="427"/>
      <c r="U19" s="135" t="s">
        <v>423</v>
      </c>
      <c r="V19" s="446">
        <f>C19</f>
        <v>250</v>
      </c>
      <c r="W19" s="427"/>
      <c r="X19" s="427"/>
      <c r="Y19" s="427"/>
      <c r="Z19" s="427"/>
      <c r="AA19" s="427"/>
      <c r="AB19" s="427"/>
      <c r="AC19" s="427"/>
      <c r="AD19" s="427"/>
      <c r="AE19" s="427"/>
      <c r="AF19" s="427"/>
      <c r="AG19" s="427"/>
      <c r="AH19" s="427"/>
      <c r="AI19" s="427"/>
      <c r="AJ19" s="427"/>
      <c r="AK19" s="427"/>
      <c r="AL19" s="427"/>
      <c r="AM19" s="427"/>
      <c r="AN19" s="427"/>
      <c r="AO19" s="427"/>
      <c r="AP19" s="427"/>
      <c r="AQ19" s="427"/>
      <c r="AR19" s="427"/>
      <c r="AS19" s="427"/>
      <c r="AT19" s="427"/>
      <c r="AU19" s="427"/>
      <c r="AV19" s="427"/>
      <c r="AW19" s="427"/>
      <c r="AX19" s="427"/>
      <c r="AY19" s="427"/>
      <c r="AZ19" s="427"/>
      <c r="BA19" s="427"/>
      <c r="BB19" s="427"/>
      <c r="BC19" s="427"/>
      <c r="BD19" s="427"/>
      <c r="BE19" s="427"/>
      <c r="BF19" s="427"/>
      <c r="BG19" s="427"/>
      <c r="BH19" s="427"/>
      <c r="BI19" s="427"/>
      <c r="BJ19" s="427"/>
      <c r="BK19" s="427"/>
      <c r="BL19" s="427"/>
      <c r="BM19" s="427"/>
    </row>
    <row r="20" spans="2:65" s="427" customFormat="1" x14ac:dyDescent="0.25">
      <c r="B20" s="135" t="s">
        <v>424</v>
      </c>
      <c r="C20" s="323" t="s">
        <v>445</v>
      </c>
      <c r="N20" s="135" t="s">
        <v>424</v>
      </c>
      <c r="O20" s="323" t="s">
        <v>431</v>
      </c>
      <c r="U20" s="135" t="s">
        <v>424</v>
      </c>
      <c r="V20" s="323" t="s">
        <v>425</v>
      </c>
    </row>
    <row r="21" spans="2:65" s="427" customFormat="1" x14ac:dyDescent="0.25">
      <c r="B21" s="442" t="s">
        <v>411</v>
      </c>
      <c r="C21" s="443">
        <v>0.97</v>
      </c>
      <c r="N21" s="442" t="s">
        <v>411</v>
      </c>
      <c r="O21" s="443">
        <v>0.97</v>
      </c>
      <c r="U21" s="442" t="s">
        <v>411</v>
      </c>
      <c r="V21" s="443">
        <v>0.97</v>
      </c>
    </row>
    <row r="22" spans="2:65" s="427" customFormat="1" x14ac:dyDescent="0.25"/>
    <row r="23" spans="2:65" s="427" customFormat="1" x14ac:dyDescent="0.25"/>
    <row r="24" spans="2:65" x14ac:dyDescent="0.25">
      <c r="B24" s="428" t="s">
        <v>415</v>
      </c>
      <c r="C24" s="429" t="s">
        <v>416</v>
      </c>
      <c r="D24" s="429" t="s">
        <v>417</v>
      </c>
      <c r="E24" s="429" t="s">
        <v>418</v>
      </c>
      <c r="F24" s="429" t="s">
        <v>419</v>
      </c>
      <c r="G24" s="427"/>
      <c r="J24" s="427"/>
      <c r="K24" s="427"/>
      <c r="L24" s="427"/>
      <c r="M24" s="427"/>
    </row>
    <row r="25" spans="2:65" x14ac:dyDescent="0.25">
      <c r="B25" s="430" t="s">
        <v>420</v>
      </c>
      <c r="C25" s="434">
        <v>42278</v>
      </c>
      <c r="D25" s="431">
        <v>18750</v>
      </c>
      <c r="E25" s="436">
        <v>558349</v>
      </c>
      <c r="F25" s="444"/>
      <c r="G25" s="427"/>
      <c r="J25" s="427"/>
      <c r="K25" s="427"/>
      <c r="L25" s="427"/>
      <c r="M25" s="427"/>
    </row>
    <row r="26" spans="2:65" x14ac:dyDescent="0.25">
      <c r="B26" s="430" t="s">
        <v>420</v>
      </c>
      <c r="C26" s="434">
        <v>42279</v>
      </c>
      <c r="D26" s="431">
        <v>18575</v>
      </c>
      <c r="E26" s="436">
        <v>194391</v>
      </c>
      <c r="F26" s="444">
        <v>-9.3771618125969309E-3</v>
      </c>
      <c r="G26" s="427"/>
      <c r="J26" s="427"/>
      <c r="K26" s="427"/>
      <c r="L26" s="427"/>
      <c r="M26" s="427"/>
    </row>
    <row r="27" spans="2:65" x14ac:dyDescent="0.25">
      <c r="B27" s="430" t="s">
        <v>420</v>
      </c>
      <c r="C27" s="434">
        <v>42282</v>
      </c>
      <c r="D27" s="431">
        <v>19005</v>
      </c>
      <c r="E27" s="436">
        <v>493407</v>
      </c>
      <c r="F27" s="444">
        <v>2.2885511837389235E-2</v>
      </c>
      <c r="G27" s="427"/>
      <c r="J27" s="427"/>
      <c r="K27" s="427"/>
      <c r="L27" s="427"/>
      <c r="M27" s="427"/>
    </row>
    <row r="28" spans="2:65" x14ac:dyDescent="0.25">
      <c r="B28" s="430" t="s">
        <v>420</v>
      </c>
      <c r="C28" s="434">
        <v>42283</v>
      </c>
      <c r="D28" s="431">
        <v>19168</v>
      </c>
      <c r="E28" s="436">
        <v>238782</v>
      </c>
      <c r="F28" s="444">
        <v>8.5401194918268853E-3</v>
      </c>
      <c r="G28" s="427"/>
      <c r="J28" s="427"/>
      <c r="K28" s="427"/>
      <c r="L28" s="427"/>
      <c r="M28" s="427"/>
    </row>
    <row r="29" spans="2:65" x14ac:dyDescent="0.25">
      <c r="B29" s="430" t="s">
        <v>420</v>
      </c>
      <c r="C29" s="434">
        <v>42284</v>
      </c>
      <c r="D29" s="431">
        <v>19389</v>
      </c>
      <c r="E29" s="436">
        <v>635104</v>
      </c>
      <c r="F29" s="444">
        <v>1.1463673015829247E-2</v>
      </c>
      <c r="G29" s="427"/>
      <c r="J29" s="427"/>
      <c r="K29" s="427"/>
      <c r="L29" s="427"/>
      <c r="M29" s="427"/>
    </row>
    <row r="30" spans="2:65" x14ac:dyDescent="0.25">
      <c r="B30" s="430" t="s">
        <v>420</v>
      </c>
      <c r="C30" s="434">
        <v>42285</v>
      </c>
      <c r="D30" s="431">
        <v>19117</v>
      </c>
      <c r="E30" s="436">
        <v>554222</v>
      </c>
      <c r="F30" s="444">
        <v>-1.4127903401986788E-2</v>
      </c>
      <c r="G30" s="427"/>
      <c r="J30" s="427"/>
      <c r="K30" s="427"/>
      <c r="L30" s="427"/>
      <c r="M30" s="427"/>
    </row>
    <row r="31" spans="2:65" x14ac:dyDescent="0.25">
      <c r="B31" s="430" t="s">
        <v>420</v>
      </c>
      <c r="C31" s="434">
        <v>42286</v>
      </c>
      <c r="D31" s="431">
        <v>19418</v>
      </c>
      <c r="E31" s="436">
        <v>878356</v>
      </c>
      <c r="F31" s="444">
        <v>1.5622479401071887E-2</v>
      </c>
      <c r="G31" s="427"/>
      <c r="J31" s="427"/>
      <c r="K31" s="427"/>
      <c r="L31" s="427"/>
      <c r="M31" s="427"/>
    </row>
    <row r="32" spans="2:65" x14ac:dyDescent="0.25">
      <c r="B32" s="430" t="s">
        <v>420</v>
      </c>
      <c r="C32" s="434">
        <v>42289</v>
      </c>
      <c r="D32" s="431">
        <v>19314</v>
      </c>
      <c r="E32" s="436">
        <v>467609</v>
      </c>
      <c r="F32" s="444">
        <v>-5.37024940322704E-3</v>
      </c>
      <c r="G32" s="427"/>
      <c r="J32" s="427"/>
      <c r="K32" s="427"/>
      <c r="L32" s="427"/>
      <c r="M32" s="427"/>
    </row>
    <row r="33" spans="2:18" x14ac:dyDescent="0.25">
      <c r="B33" s="430" t="s">
        <v>420</v>
      </c>
      <c r="C33" s="434">
        <v>42290</v>
      </c>
      <c r="D33" s="431">
        <v>19163</v>
      </c>
      <c r="E33" s="436">
        <v>393514</v>
      </c>
      <c r="F33" s="444">
        <v>-7.8488850583679822E-3</v>
      </c>
      <c r="G33" s="427"/>
      <c r="J33" s="427"/>
      <c r="K33" s="427"/>
      <c r="L33" s="427"/>
      <c r="M33" s="427"/>
    </row>
    <row r="34" spans="2:18" x14ac:dyDescent="0.25">
      <c r="B34" s="430" t="s">
        <v>420</v>
      </c>
      <c r="C34" s="434">
        <v>42291</v>
      </c>
      <c r="D34" s="431">
        <v>19183</v>
      </c>
      <c r="E34" s="436">
        <v>383229</v>
      </c>
      <c r="F34" s="444">
        <v>1.0431336678427205E-3</v>
      </c>
      <c r="G34" s="427"/>
      <c r="J34" s="427"/>
      <c r="K34" s="427"/>
      <c r="L34" s="427"/>
      <c r="M34" s="427"/>
    </row>
    <row r="35" spans="2:18" x14ac:dyDescent="0.25">
      <c r="B35" s="430" t="s">
        <v>420</v>
      </c>
      <c r="C35" s="434">
        <v>42292</v>
      </c>
      <c r="D35" s="431">
        <v>19209</v>
      </c>
      <c r="E35" s="436">
        <v>266297</v>
      </c>
      <c r="F35" s="444">
        <v>1.3544490505739543E-3</v>
      </c>
      <c r="G35" s="427"/>
      <c r="J35" s="427"/>
      <c r="K35" s="427"/>
      <c r="L35" s="427"/>
      <c r="M35" s="427"/>
    </row>
    <row r="36" spans="2:18" x14ac:dyDescent="0.25">
      <c r="B36" s="430" t="s">
        <v>420</v>
      </c>
      <c r="C36" s="434">
        <v>42293</v>
      </c>
      <c r="D36" s="431">
        <v>19060</v>
      </c>
      <c r="E36" s="436">
        <v>994705</v>
      </c>
      <c r="F36" s="444">
        <v>-7.7870209787187887E-3</v>
      </c>
      <c r="G36" s="427"/>
      <c r="J36" s="427"/>
      <c r="K36" s="427"/>
      <c r="L36" s="427"/>
      <c r="M36" s="427"/>
    </row>
    <row r="37" spans="2:18" x14ac:dyDescent="0.25">
      <c r="B37" s="430" t="s">
        <v>420</v>
      </c>
      <c r="C37" s="434">
        <v>42296</v>
      </c>
      <c r="D37" s="431">
        <v>19200</v>
      </c>
      <c r="E37" s="436">
        <v>599328</v>
      </c>
      <c r="F37" s="444">
        <v>7.3183808076797011E-3</v>
      </c>
      <c r="G37" s="427"/>
      <c r="J37" s="427"/>
      <c r="K37" s="427"/>
      <c r="L37" s="427"/>
      <c r="M37" s="427"/>
    </row>
    <row r="38" spans="2:18" x14ac:dyDescent="0.25">
      <c r="B38" s="430" t="s">
        <v>420</v>
      </c>
      <c r="C38" s="434">
        <v>42297</v>
      </c>
      <c r="D38" s="431">
        <v>19315</v>
      </c>
      <c r="E38" s="436">
        <v>1247516</v>
      </c>
      <c r="F38" s="444">
        <v>5.9717170845088674E-3</v>
      </c>
      <c r="G38" s="427"/>
      <c r="J38" s="427"/>
      <c r="K38" s="427"/>
      <c r="L38" s="427"/>
      <c r="M38" s="427"/>
      <c r="N38" s="427"/>
      <c r="O38" s="427"/>
      <c r="P38" s="427"/>
      <c r="Q38" s="427"/>
      <c r="R38" s="427"/>
    </row>
    <row r="39" spans="2:18" x14ac:dyDescent="0.25">
      <c r="B39" s="430" t="s">
        <v>420</v>
      </c>
      <c r="C39" s="434">
        <v>42298</v>
      </c>
      <c r="D39" s="431">
        <v>19325</v>
      </c>
      <c r="E39" s="436">
        <v>420391</v>
      </c>
      <c r="F39" s="444">
        <v>5.1759835524104207E-4</v>
      </c>
      <c r="G39" s="427"/>
      <c r="J39" s="427"/>
      <c r="K39" s="427"/>
      <c r="L39" s="427"/>
      <c r="M39" s="427"/>
      <c r="N39" s="427"/>
      <c r="O39" s="427"/>
      <c r="P39" s="427"/>
      <c r="Q39" s="427"/>
      <c r="R39" s="427"/>
    </row>
    <row r="40" spans="2:18" x14ac:dyDescent="0.25">
      <c r="B40" s="430" t="s">
        <v>420</v>
      </c>
      <c r="C40" s="434">
        <v>42299</v>
      </c>
      <c r="D40" s="431">
        <v>19712</v>
      </c>
      <c r="E40" s="436">
        <v>532987</v>
      </c>
      <c r="F40" s="444">
        <v>1.9827992877623535E-2</v>
      </c>
      <c r="G40" s="427"/>
      <c r="J40" s="427"/>
      <c r="K40" s="427"/>
      <c r="L40" s="427"/>
      <c r="M40" s="427"/>
      <c r="N40" s="427"/>
      <c r="O40" s="427"/>
      <c r="P40" s="427"/>
      <c r="Q40" s="427"/>
      <c r="R40" s="427"/>
    </row>
    <row r="41" spans="2:18" x14ac:dyDescent="0.25">
      <c r="B41" s="430" t="s">
        <v>420</v>
      </c>
      <c r="C41" s="434">
        <v>42300</v>
      </c>
      <c r="D41" s="431">
        <v>19893</v>
      </c>
      <c r="E41" s="436">
        <v>211943</v>
      </c>
      <c r="F41" s="444">
        <v>9.140323703730982E-3</v>
      </c>
      <c r="G41" s="427"/>
      <c r="J41" s="427"/>
      <c r="K41" s="427"/>
      <c r="L41" s="427"/>
      <c r="M41" s="427"/>
      <c r="N41" s="427"/>
      <c r="O41" s="427"/>
      <c r="P41" s="427"/>
      <c r="Q41" s="427"/>
      <c r="R41" s="427"/>
    </row>
    <row r="42" spans="2:18" x14ac:dyDescent="0.25">
      <c r="B42" s="430" t="s">
        <v>420</v>
      </c>
      <c r="C42" s="434">
        <v>42303</v>
      </c>
      <c r="D42" s="431">
        <v>20146</v>
      </c>
      <c r="E42" s="436">
        <v>410901</v>
      </c>
      <c r="F42" s="444">
        <v>1.2637846465649158E-2</v>
      </c>
      <c r="G42" s="427"/>
      <c r="J42" s="427"/>
      <c r="K42" s="427"/>
      <c r="L42" s="427"/>
      <c r="M42" s="427"/>
      <c r="N42" s="427"/>
      <c r="O42" s="427"/>
      <c r="P42" s="427"/>
      <c r="Q42" s="427"/>
      <c r="R42" s="427"/>
    </row>
    <row r="43" spans="2:18" x14ac:dyDescent="0.25">
      <c r="B43" s="430" t="s">
        <v>420</v>
      </c>
      <c r="C43" s="434">
        <v>42304</v>
      </c>
      <c r="D43" s="431">
        <v>20022</v>
      </c>
      <c r="E43" s="436">
        <v>319921</v>
      </c>
      <c r="F43" s="444">
        <v>-6.1740885231974171E-3</v>
      </c>
      <c r="G43" s="427"/>
      <c r="J43" s="427"/>
      <c r="K43" s="427"/>
      <c r="L43" s="427"/>
      <c r="M43" s="427"/>
      <c r="N43" s="427"/>
      <c r="O43" s="427"/>
      <c r="P43" s="427"/>
      <c r="Q43" s="427"/>
      <c r="R43" s="427"/>
    </row>
    <row r="44" spans="2:18" x14ac:dyDescent="0.25">
      <c r="B44" s="430" t="s">
        <v>420</v>
      </c>
      <c r="C44" s="434">
        <v>42305</v>
      </c>
      <c r="D44" s="431">
        <v>20183</v>
      </c>
      <c r="E44" s="436">
        <v>345157</v>
      </c>
      <c r="F44" s="444">
        <v>8.0089969206899835E-3</v>
      </c>
      <c r="G44" s="427"/>
      <c r="J44" s="427"/>
      <c r="K44" s="427"/>
      <c r="L44" s="427"/>
      <c r="M44" s="427"/>
      <c r="N44" s="427"/>
      <c r="O44" s="427"/>
      <c r="P44" s="427"/>
      <c r="Q44" s="427"/>
      <c r="R44" s="427"/>
    </row>
    <row r="45" spans="2:18" x14ac:dyDescent="0.25">
      <c r="B45" s="430" t="s">
        <v>420</v>
      </c>
      <c r="C45" s="434">
        <v>42306</v>
      </c>
      <c r="D45" s="431">
        <v>19855</v>
      </c>
      <c r="E45" s="436">
        <v>307561</v>
      </c>
      <c r="F45" s="444">
        <v>-1.6384801334767177E-2</v>
      </c>
      <c r="G45" s="427"/>
    </row>
    <row r="46" spans="2:18" x14ac:dyDescent="0.25">
      <c r="B46" s="430" t="s">
        <v>420</v>
      </c>
      <c r="C46" s="434">
        <v>42307</v>
      </c>
      <c r="D46" s="431">
        <v>19884</v>
      </c>
      <c r="E46" s="436">
        <v>359706</v>
      </c>
      <c r="F46" s="444">
        <v>1.4595236492114623E-3</v>
      </c>
      <c r="G46" s="427"/>
    </row>
    <row r="47" spans="2:18" x14ac:dyDescent="0.25">
      <c r="B47" s="430" t="s">
        <v>420</v>
      </c>
      <c r="C47" s="434">
        <v>42310</v>
      </c>
      <c r="D47" s="431">
        <v>20239</v>
      </c>
      <c r="E47" s="436">
        <v>391481</v>
      </c>
      <c r="F47" s="444">
        <v>1.769604785164253E-2</v>
      </c>
      <c r="G47" s="427"/>
    </row>
    <row r="48" spans="2:18" x14ac:dyDescent="0.25">
      <c r="B48" s="430" t="s">
        <v>420</v>
      </c>
      <c r="C48" s="434">
        <v>42311</v>
      </c>
      <c r="D48" s="431">
        <v>20210</v>
      </c>
      <c r="E48" s="436">
        <v>384567</v>
      </c>
      <c r="F48" s="444">
        <v>-1.4339046685389004E-3</v>
      </c>
      <c r="G48" s="427"/>
    </row>
    <row r="49" spans="2:7" x14ac:dyDescent="0.25">
      <c r="B49" s="430" t="s">
        <v>420</v>
      </c>
      <c r="C49" s="434">
        <v>42312</v>
      </c>
      <c r="D49" s="431">
        <v>20460</v>
      </c>
      <c r="E49" s="436">
        <v>641572</v>
      </c>
      <c r="F49" s="444">
        <v>1.2294229107950709E-2</v>
      </c>
      <c r="G49" s="427"/>
    </row>
    <row r="50" spans="2:7" x14ac:dyDescent="0.25">
      <c r="B50" s="430" t="s">
        <v>420</v>
      </c>
      <c r="C50" s="434">
        <v>42313</v>
      </c>
      <c r="D50" s="431">
        <v>20400</v>
      </c>
      <c r="E50" s="436">
        <v>1470654</v>
      </c>
      <c r="F50" s="444">
        <v>-2.9368596733097135E-3</v>
      </c>
      <c r="G50" s="427"/>
    </row>
    <row r="51" spans="2:7" x14ac:dyDescent="0.25">
      <c r="B51" s="430" t="s">
        <v>420</v>
      </c>
      <c r="C51" s="434">
        <v>42314</v>
      </c>
      <c r="D51" s="431">
        <v>19876</v>
      </c>
      <c r="E51" s="436">
        <v>226669</v>
      </c>
      <c r="F51" s="444">
        <v>-2.6021927110096515E-2</v>
      </c>
      <c r="G51" s="427"/>
    </row>
    <row r="52" spans="2:7" x14ac:dyDescent="0.25">
      <c r="B52" s="430" t="s">
        <v>420</v>
      </c>
      <c r="C52" s="434">
        <v>42317</v>
      </c>
      <c r="D52" s="431">
        <v>20044</v>
      </c>
      <c r="E52" s="436">
        <v>427324</v>
      </c>
      <c r="F52" s="444">
        <v>8.4168833574041688E-3</v>
      </c>
      <c r="G52" s="427"/>
    </row>
    <row r="53" spans="2:7" x14ac:dyDescent="0.25">
      <c r="B53" s="430" t="s">
        <v>420</v>
      </c>
      <c r="C53" s="434">
        <v>42318</v>
      </c>
      <c r="D53" s="431">
        <v>19538</v>
      </c>
      <c r="E53" s="436">
        <v>319303</v>
      </c>
      <c r="F53" s="444">
        <v>-2.5568569866727429E-2</v>
      </c>
      <c r="G53" s="427"/>
    </row>
    <row r="54" spans="2:7" x14ac:dyDescent="0.25">
      <c r="B54" s="430" t="s">
        <v>420</v>
      </c>
      <c r="C54" s="434">
        <v>42319</v>
      </c>
      <c r="D54" s="431">
        <v>18950</v>
      </c>
      <c r="E54" s="436">
        <v>761159</v>
      </c>
      <c r="F54" s="444">
        <v>-3.0557355702315464E-2</v>
      </c>
      <c r="G54" s="427"/>
    </row>
    <row r="55" spans="2:7" x14ac:dyDescent="0.25">
      <c r="B55" s="430" t="s">
        <v>420</v>
      </c>
      <c r="C55" s="434">
        <v>42320</v>
      </c>
      <c r="D55" s="431">
        <v>19300</v>
      </c>
      <c r="E55" s="436">
        <v>1880367</v>
      </c>
      <c r="F55" s="444">
        <v>1.8301164382404443E-2</v>
      </c>
      <c r="G55" s="427"/>
    </row>
    <row r="56" spans="2:7" x14ac:dyDescent="0.25">
      <c r="B56" s="430" t="s">
        <v>420</v>
      </c>
      <c r="C56" s="434">
        <v>42321</v>
      </c>
      <c r="D56" s="431">
        <v>19099</v>
      </c>
      <c r="E56" s="436">
        <v>958021</v>
      </c>
      <c r="F56" s="444">
        <v>-1.0469118249822353E-2</v>
      </c>
      <c r="G56" s="427"/>
    </row>
    <row r="57" spans="2:7" x14ac:dyDescent="0.25">
      <c r="B57" s="430" t="s">
        <v>420</v>
      </c>
      <c r="C57" s="434">
        <v>42324</v>
      </c>
      <c r="D57" s="431">
        <v>18900</v>
      </c>
      <c r="E57" s="436">
        <v>682562</v>
      </c>
      <c r="F57" s="444">
        <v>-1.0474055595420747E-2</v>
      </c>
      <c r="G57" s="427"/>
    </row>
    <row r="58" spans="2:7" x14ac:dyDescent="0.25">
      <c r="B58" s="430" t="s">
        <v>420</v>
      </c>
      <c r="C58" s="434">
        <v>42325</v>
      </c>
      <c r="D58" s="431">
        <v>19140</v>
      </c>
      <c r="E58" s="436">
        <v>627249</v>
      </c>
      <c r="F58" s="444">
        <v>1.2618463959211464E-2</v>
      </c>
      <c r="G58" s="427"/>
    </row>
    <row r="59" spans="2:7" x14ac:dyDescent="0.25">
      <c r="B59" s="430" t="s">
        <v>420</v>
      </c>
      <c r="C59" s="434">
        <v>42326</v>
      </c>
      <c r="D59" s="431">
        <v>18600</v>
      </c>
      <c r="E59" s="436">
        <v>534537</v>
      </c>
      <c r="F59" s="444">
        <v>-2.8618805305652677E-2</v>
      </c>
      <c r="G59" s="427"/>
    </row>
    <row r="60" spans="2:7" x14ac:dyDescent="0.25">
      <c r="B60" s="430" t="s">
        <v>420</v>
      </c>
      <c r="C60" s="434">
        <v>42327</v>
      </c>
      <c r="D60" s="431">
        <v>19000</v>
      </c>
      <c r="E60" s="436">
        <v>812986</v>
      </c>
      <c r="F60" s="444">
        <v>2.1277398447284879E-2</v>
      </c>
      <c r="G60" s="427"/>
    </row>
    <row r="61" spans="2:7" x14ac:dyDescent="0.25">
      <c r="B61" s="430" t="s">
        <v>420</v>
      </c>
      <c r="C61" s="434">
        <v>42328</v>
      </c>
      <c r="D61" s="431">
        <v>19040</v>
      </c>
      <c r="E61" s="436">
        <v>635647</v>
      </c>
      <c r="F61" s="444">
        <v>2.10305019677889E-3</v>
      </c>
      <c r="G61" s="427"/>
    </row>
    <row r="62" spans="2:7" x14ac:dyDescent="0.25">
      <c r="B62" s="430" t="s">
        <v>420</v>
      </c>
      <c r="C62" s="434">
        <v>42331</v>
      </c>
      <c r="D62" s="431">
        <v>18900</v>
      </c>
      <c r="E62" s="436">
        <v>378561</v>
      </c>
      <c r="F62" s="444">
        <v>-7.3801072976225337E-3</v>
      </c>
      <c r="G62" s="427"/>
    </row>
    <row r="63" spans="2:7" x14ac:dyDescent="0.25">
      <c r="B63" s="430" t="s">
        <v>420</v>
      </c>
      <c r="C63" s="434">
        <v>42332</v>
      </c>
      <c r="D63" s="431">
        <v>19002</v>
      </c>
      <c r="E63" s="436">
        <v>687659</v>
      </c>
      <c r="F63" s="444">
        <v>5.382314718960942E-3</v>
      </c>
      <c r="G63" s="427"/>
    </row>
    <row r="64" spans="2:7" x14ac:dyDescent="0.25">
      <c r="B64" s="430" t="s">
        <v>420</v>
      </c>
      <c r="C64" s="434">
        <v>42333</v>
      </c>
      <c r="D64" s="431">
        <v>18703</v>
      </c>
      <c r="E64" s="436">
        <v>486181</v>
      </c>
      <c r="F64" s="444">
        <v>-1.5860297983694722E-2</v>
      </c>
      <c r="G64" s="427"/>
    </row>
    <row r="65" spans="2:7" x14ac:dyDescent="0.25">
      <c r="B65" s="430" t="s">
        <v>420</v>
      </c>
      <c r="C65" s="434">
        <v>42334</v>
      </c>
      <c r="D65" s="431">
        <v>18945</v>
      </c>
      <c r="E65" s="436">
        <v>360964</v>
      </c>
      <c r="F65" s="444">
        <v>1.2856105669701027E-2</v>
      </c>
      <c r="G65" s="427"/>
    </row>
    <row r="66" spans="2:7" x14ac:dyDescent="0.25">
      <c r="B66" s="430" t="s">
        <v>420</v>
      </c>
      <c r="C66" s="434">
        <v>42335</v>
      </c>
      <c r="D66" s="431">
        <v>19000</v>
      </c>
      <c r="E66" s="436">
        <v>466488</v>
      </c>
      <c r="F66" s="444">
        <v>2.8989346958764452E-3</v>
      </c>
      <c r="G66" s="427"/>
    </row>
    <row r="67" spans="2:7" x14ac:dyDescent="0.25">
      <c r="B67" s="430" t="s">
        <v>420</v>
      </c>
      <c r="C67" s="434">
        <v>42338</v>
      </c>
      <c r="D67" s="431">
        <v>18159</v>
      </c>
      <c r="E67" s="436">
        <v>760169</v>
      </c>
      <c r="F67" s="444">
        <v>-4.5272673588780635E-2</v>
      </c>
      <c r="G67" s="427"/>
    </row>
    <row r="68" spans="2:7" x14ac:dyDescent="0.25">
      <c r="B68" s="430" t="s">
        <v>420</v>
      </c>
      <c r="C68" s="434">
        <v>42339</v>
      </c>
      <c r="D68" s="431">
        <v>18489</v>
      </c>
      <c r="E68" s="436">
        <v>493530</v>
      </c>
      <c r="F68" s="444">
        <v>1.8009655070555998E-2</v>
      </c>
      <c r="G68" s="427"/>
    </row>
    <row r="69" spans="2:7" x14ac:dyDescent="0.25">
      <c r="B69" s="430" t="s">
        <v>420</v>
      </c>
      <c r="C69" s="434">
        <v>42340</v>
      </c>
      <c r="D69" s="431">
        <v>18664</v>
      </c>
      <c r="E69" s="436">
        <v>878695</v>
      </c>
      <c r="F69" s="444">
        <v>9.4205740709131704E-3</v>
      </c>
      <c r="G69" s="427"/>
    </row>
    <row r="70" spans="2:7" x14ac:dyDescent="0.25">
      <c r="B70" s="430" t="s">
        <v>420</v>
      </c>
      <c r="C70" s="434">
        <v>42341</v>
      </c>
      <c r="D70" s="431">
        <v>18051</v>
      </c>
      <c r="E70" s="436">
        <v>746211</v>
      </c>
      <c r="F70" s="444">
        <v>-3.3395449812804463E-2</v>
      </c>
      <c r="G70" s="427"/>
    </row>
    <row r="71" spans="2:7" x14ac:dyDescent="0.25">
      <c r="B71" s="430" t="s">
        <v>420</v>
      </c>
      <c r="C71" s="434">
        <v>42342</v>
      </c>
      <c r="D71" s="431">
        <v>17424</v>
      </c>
      <c r="E71" s="436">
        <v>837458</v>
      </c>
      <c r="F71" s="444">
        <v>-3.5352518715719719E-2</v>
      </c>
      <c r="G71" s="427"/>
    </row>
    <row r="72" spans="2:7" x14ac:dyDescent="0.25">
      <c r="B72" s="430" t="s">
        <v>420</v>
      </c>
      <c r="C72" s="434">
        <v>42345</v>
      </c>
      <c r="D72" s="431">
        <v>17705</v>
      </c>
      <c r="E72" s="436">
        <v>399387</v>
      </c>
      <c r="F72" s="444">
        <v>1.5998519373262392E-2</v>
      </c>
      <c r="G72" s="427"/>
    </row>
    <row r="73" spans="2:7" x14ac:dyDescent="0.25">
      <c r="B73" s="430" t="s">
        <v>420</v>
      </c>
      <c r="C73" s="434">
        <v>42346</v>
      </c>
      <c r="D73" s="431">
        <v>17552</v>
      </c>
      <c r="E73" s="436">
        <v>770754</v>
      </c>
      <c r="F73" s="444">
        <v>-8.6791820309926014E-3</v>
      </c>
      <c r="G73" s="427"/>
    </row>
    <row r="74" spans="2:7" x14ac:dyDescent="0.25">
      <c r="B74" s="430" t="s">
        <v>420</v>
      </c>
      <c r="C74" s="434">
        <v>42347</v>
      </c>
      <c r="D74" s="431">
        <v>18150</v>
      </c>
      <c r="E74" s="436">
        <v>397018</v>
      </c>
      <c r="F74" s="444">
        <v>3.3502657177985271E-2</v>
      </c>
      <c r="G74" s="427"/>
    </row>
    <row r="75" spans="2:7" x14ac:dyDescent="0.25">
      <c r="B75" s="430" t="s">
        <v>420</v>
      </c>
      <c r="C75" s="434">
        <v>42348</v>
      </c>
      <c r="D75" s="431">
        <v>17588</v>
      </c>
      <c r="E75" s="436">
        <v>1096001</v>
      </c>
      <c r="F75" s="444">
        <v>-3.1453709392296095E-2</v>
      </c>
      <c r="G75" s="427"/>
    </row>
    <row r="76" spans="2:7" x14ac:dyDescent="0.25">
      <c r="B76" s="430" t="s">
        <v>420</v>
      </c>
      <c r="C76" s="434">
        <v>42349</v>
      </c>
      <c r="D76" s="431">
        <v>16860</v>
      </c>
      <c r="E76" s="436">
        <v>802549</v>
      </c>
      <c r="F76" s="444">
        <v>-4.2272898744854258E-2</v>
      </c>
      <c r="G76" s="427"/>
    </row>
    <row r="77" spans="2:7" x14ac:dyDescent="0.25">
      <c r="B77" s="430" t="s">
        <v>420</v>
      </c>
      <c r="C77" s="434">
        <v>42352</v>
      </c>
      <c r="D77" s="431">
        <v>17636</v>
      </c>
      <c r="E77" s="436">
        <v>991264</v>
      </c>
      <c r="F77" s="444">
        <v>4.499831492198178E-2</v>
      </c>
      <c r="G77" s="427"/>
    </row>
    <row r="78" spans="2:7" x14ac:dyDescent="0.25">
      <c r="B78" s="430" t="s">
        <v>420</v>
      </c>
      <c r="C78" s="434">
        <v>42353</v>
      </c>
      <c r="D78" s="431">
        <v>18296</v>
      </c>
      <c r="E78" s="436">
        <v>475454</v>
      </c>
      <c r="F78" s="444">
        <v>3.6740189224788854E-2</v>
      </c>
      <c r="G78" s="427"/>
    </row>
    <row r="79" spans="2:7" x14ac:dyDescent="0.25">
      <c r="B79" s="430" t="s">
        <v>420</v>
      </c>
      <c r="C79" s="434">
        <v>42355</v>
      </c>
      <c r="D79" s="431">
        <v>18421</v>
      </c>
      <c r="E79" s="436">
        <v>706577</v>
      </c>
      <c r="F79" s="444">
        <v>6.8088614496000762E-3</v>
      </c>
      <c r="G79" s="427"/>
    </row>
    <row r="80" spans="2:7" x14ac:dyDescent="0.25">
      <c r="B80" s="430" t="s">
        <v>420</v>
      </c>
      <c r="C80" s="434">
        <v>42356</v>
      </c>
      <c r="D80" s="431">
        <v>19005</v>
      </c>
      <c r="E80" s="436">
        <v>869532</v>
      </c>
      <c r="F80" s="444">
        <v>3.1210784271131931E-2</v>
      </c>
      <c r="G80" s="427"/>
    </row>
    <row r="81" spans="2:7" x14ac:dyDescent="0.25">
      <c r="B81" s="430" t="s">
        <v>420</v>
      </c>
      <c r="C81" s="434">
        <v>42359</v>
      </c>
      <c r="D81" s="431">
        <v>18621</v>
      </c>
      <c r="E81" s="436">
        <v>567029</v>
      </c>
      <c r="F81" s="444">
        <v>-2.0412126341586709E-2</v>
      </c>
      <c r="G81" s="427"/>
    </row>
    <row r="82" spans="2:7" x14ac:dyDescent="0.25">
      <c r="B82" s="430" t="s">
        <v>420</v>
      </c>
      <c r="C82" s="434">
        <v>42360</v>
      </c>
      <c r="D82" s="431">
        <v>18628</v>
      </c>
      <c r="E82" s="436">
        <v>236015</v>
      </c>
      <c r="F82" s="444">
        <v>3.7584902050552261E-4</v>
      </c>
      <c r="G82" s="427"/>
    </row>
    <row r="83" spans="2:7" x14ac:dyDescent="0.25">
      <c r="B83" s="430" t="s">
        <v>420</v>
      </c>
      <c r="C83" s="434">
        <v>42361</v>
      </c>
      <c r="D83" s="431">
        <v>18874</v>
      </c>
      <c r="E83" s="436">
        <v>295227</v>
      </c>
      <c r="F83" s="444">
        <v>1.3119488479010481E-2</v>
      </c>
      <c r="G83" s="427"/>
    </row>
    <row r="84" spans="2:7" x14ac:dyDescent="0.25">
      <c r="B84" s="430" t="s">
        <v>420</v>
      </c>
      <c r="C84" s="434">
        <v>42362</v>
      </c>
      <c r="D84" s="431">
        <v>18851</v>
      </c>
      <c r="E84" s="436">
        <v>142680</v>
      </c>
      <c r="F84" s="444">
        <v>-1.219350714366138E-3</v>
      </c>
      <c r="G84" s="427"/>
    </row>
    <row r="85" spans="2:7" x14ac:dyDescent="0.25">
      <c r="B85" s="430" t="s">
        <v>420</v>
      </c>
      <c r="C85" s="434">
        <v>42366</v>
      </c>
      <c r="D85" s="431">
        <v>18962</v>
      </c>
      <c r="E85" s="436">
        <v>101181</v>
      </c>
      <c r="F85" s="444">
        <v>5.8710136109921375E-3</v>
      </c>
      <c r="G85" s="427"/>
    </row>
    <row r="86" spans="2:7" x14ac:dyDescent="0.25">
      <c r="B86" s="430" t="s">
        <v>420</v>
      </c>
      <c r="C86" s="434">
        <v>42367</v>
      </c>
      <c r="D86" s="431">
        <v>18796</v>
      </c>
      <c r="E86" s="436">
        <v>170178</v>
      </c>
      <c r="F86" s="444">
        <v>-8.7928952551981077E-3</v>
      </c>
      <c r="G86" s="427"/>
    </row>
    <row r="87" spans="2:7" x14ac:dyDescent="0.25">
      <c r="B87" s="430" t="s">
        <v>420</v>
      </c>
      <c r="C87" s="434">
        <v>42368</v>
      </c>
      <c r="D87" s="431">
        <v>18324</v>
      </c>
      <c r="E87" s="436">
        <v>121000</v>
      </c>
      <c r="F87" s="444">
        <v>-2.5432405216073584E-2</v>
      </c>
      <c r="G87" s="427"/>
    </row>
    <row r="88" spans="2:7" x14ac:dyDescent="0.25">
      <c r="B88" s="430" t="s">
        <v>420</v>
      </c>
      <c r="C88" s="434">
        <v>42369</v>
      </c>
      <c r="D88" s="431">
        <v>18410</v>
      </c>
      <c r="E88" s="436">
        <v>76430</v>
      </c>
      <c r="F88" s="444">
        <v>4.682319220490702E-3</v>
      </c>
      <c r="G88" s="427"/>
    </row>
    <row r="89" spans="2:7" x14ac:dyDescent="0.25">
      <c r="B89" s="430" t="s">
        <v>420</v>
      </c>
      <c r="C89" s="434">
        <v>42373</v>
      </c>
      <c r="D89" s="431">
        <v>17493</v>
      </c>
      <c r="E89" s="436">
        <v>454386</v>
      </c>
      <c r="F89" s="444">
        <v>-5.10931943368578E-2</v>
      </c>
      <c r="G89" s="427"/>
    </row>
    <row r="90" spans="2:7" x14ac:dyDescent="0.25">
      <c r="B90" s="430" t="s">
        <v>420</v>
      </c>
      <c r="C90" s="434">
        <v>42374</v>
      </c>
      <c r="D90" s="431">
        <v>17797</v>
      </c>
      <c r="E90" s="436">
        <v>363485</v>
      </c>
      <c r="F90" s="444">
        <v>1.7229102859719975E-2</v>
      </c>
      <c r="G90" s="427"/>
    </row>
    <row r="91" spans="2:7" x14ac:dyDescent="0.25">
      <c r="B91" s="430" t="s">
        <v>420</v>
      </c>
      <c r="C91" s="434">
        <v>42375</v>
      </c>
      <c r="D91" s="431">
        <v>17930</v>
      </c>
      <c r="E91" s="436">
        <v>296636</v>
      </c>
      <c r="F91" s="444">
        <v>7.445383849192984E-3</v>
      </c>
      <c r="G91" s="427"/>
    </row>
    <row r="92" spans="2:7" x14ac:dyDescent="0.25">
      <c r="B92" s="430" t="s">
        <v>420</v>
      </c>
      <c r="C92" s="434">
        <v>42376</v>
      </c>
      <c r="D92" s="431">
        <v>17342</v>
      </c>
      <c r="E92" s="436">
        <v>478207</v>
      </c>
      <c r="F92" s="444">
        <v>-3.3343982662072835E-2</v>
      </c>
      <c r="G92" s="427"/>
    </row>
    <row r="93" spans="2:7" x14ac:dyDescent="0.25">
      <c r="B93" s="430" t="s">
        <v>420</v>
      </c>
      <c r="C93" s="434">
        <v>42377</v>
      </c>
      <c r="D93" s="431">
        <v>17401</v>
      </c>
      <c r="E93" s="436">
        <v>202739</v>
      </c>
      <c r="F93" s="444">
        <v>3.3963708784726463E-3</v>
      </c>
      <c r="G93" s="427"/>
    </row>
    <row r="94" spans="2:7" x14ac:dyDescent="0.25">
      <c r="B94" s="430" t="s">
        <v>420</v>
      </c>
      <c r="C94" s="434">
        <v>42380</v>
      </c>
      <c r="D94" s="431">
        <v>16631</v>
      </c>
      <c r="E94" s="436">
        <v>539627</v>
      </c>
      <c r="F94" s="444">
        <v>-4.5259252145438501E-2</v>
      </c>
      <c r="G94" s="427"/>
    </row>
    <row r="95" spans="2:7" x14ac:dyDescent="0.25">
      <c r="B95" s="430" t="s">
        <v>420</v>
      </c>
      <c r="C95" s="434">
        <v>42381</v>
      </c>
      <c r="D95" s="431">
        <v>17323</v>
      </c>
      <c r="E95" s="436">
        <v>689681</v>
      </c>
      <c r="F95" s="444">
        <v>4.0766674608800978E-2</v>
      </c>
      <c r="G95" s="427"/>
    </row>
    <row r="96" spans="2:7" x14ac:dyDescent="0.25">
      <c r="B96" s="430" t="s">
        <v>420</v>
      </c>
      <c r="C96" s="434">
        <v>42382</v>
      </c>
      <c r="D96" s="431">
        <v>17745</v>
      </c>
      <c r="E96" s="436">
        <v>677757</v>
      </c>
      <c r="F96" s="444">
        <v>2.4068687801655851E-2</v>
      </c>
      <c r="G96" s="427"/>
    </row>
    <row r="97" spans="2:7" x14ac:dyDescent="0.25">
      <c r="B97" s="430" t="s">
        <v>420</v>
      </c>
      <c r="C97" s="434">
        <v>42383</v>
      </c>
      <c r="D97" s="431">
        <v>17801</v>
      </c>
      <c r="E97" s="436">
        <v>411540</v>
      </c>
      <c r="F97" s="444">
        <v>3.1508493968360695E-3</v>
      </c>
      <c r="G97" s="427"/>
    </row>
    <row r="98" spans="2:7" x14ac:dyDescent="0.25">
      <c r="B98" s="430" t="s">
        <v>420</v>
      </c>
      <c r="C98" s="434">
        <v>42384</v>
      </c>
      <c r="D98" s="431">
        <v>16700</v>
      </c>
      <c r="E98" s="436">
        <v>844721</v>
      </c>
      <c r="F98" s="444">
        <v>-6.3845916072586439E-2</v>
      </c>
      <c r="G98" s="427"/>
    </row>
    <row r="99" spans="2:7" x14ac:dyDescent="0.25">
      <c r="B99" s="430" t="s">
        <v>420</v>
      </c>
      <c r="C99" s="434">
        <v>42387</v>
      </c>
      <c r="D99" s="431">
        <v>16543</v>
      </c>
      <c r="E99" s="436">
        <v>612690</v>
      </c>
      <c r="F99" s="444">
        <v>-9.4456677978304818E-3</v>
      </c>
      <c r="G99" s="427"/>
    </row>
    <row r="100" spans="2:7" x14ac:dyDescent="0.25">
      <c r="B100" s="430" t="s">
        <v>420</v>
      </c>
      <c r="C100" s="434">
        <v>42388</v>
      </c>
      <c r="D100" s="431">
        <v>16891</v>
      </c>
      <c r="E100" s="436">
        <v>622604</v>
      </c>
      <c r="F100" s="444">
        <v>2.0817884073329039E-2</v>
      </c>
      <c r="G100" s="427"/>
    </row>
    <row r="101" spans="2:7" x14ac:dyDescent="0.25">
      <c r="B101" s="430" t="s">
        <v>420</v>
      </c>
      <c r="C101" s="434">
        <v>42389</v>
      </c>
      <c r="D101" s="431">
        <v>16597</v>
      </c>
      <c r="E101" s="436">
        <v>924997</v>
      </c>
      <c r="F101" s="444">
        <v>-1.7558979559626198E-2</v>
      </c>
      <c r="G101" s="427"/>
    </row>
    <row r="102" spans="2:7" x14ac:dyDescent="0.25">
      <c r="B102" s="430" t="s">
        <v>420</v>
      </c>
      <c r="C102" s="434">
        <v>42390</v>
      </c>
      <c r="D102" s="431">
        <v>16800</v>
      </c>
      <c r="E102" s="436">
        <v>393136</v>
      </c>
      <c r="F102" s="444">
        <v>1.2156930270631446E-2</v>
      </c>
      <c r="G102" s="427"/>
    </row>
    <row r="103" spans="2:7" x14ac:dyDescent="0.25">
      <c r="B103" s="430" t="s">
        <v>420</v>
      </c>
      <c r="C103" s="434">
        <v>42391</v>
      </c>
      <c r="D103" s="431">
        <v>16793</v>
      </c>
      <c r="E103" s="436">
        <v>398990</v>
      </c>
      <c r="F103" s="444">
        <v>-4.1675349634236837E-4</v>
      </c>
      <c r="G103" s="427"/>
    </row>
    <row r="104" spans="2:7" x14ac:dyDescent="0.25">
      <c r="B104" s="430" t="s">
        <v>420</v>
      </c>
      <c r="C104" s="434">
        <v>42394</v>
      </c>
      <c r="D104" s="431">
        <v>16760</v>
      </c>
      <c r="E104" s="436">
        <v>425756</v>
      </c>
      <c r="F104" s="444">
        <v>-1.9670378589338069E-3</v>
      </c>
      <c r="G104" s="427"/>
    </row>
    <row r="105" spans="2:7" x14ac:dyDescent="0.25">
      <c r="B105" s="430" t="s">
        <v>420</v>
      </c>
      <c r="C105" s="434">
        <v>42395</v>
      </c>
      <c r="D105" s="431">
        <v>16584</v>
      </c>
      <c r="E105" s="436">
        <v>676294</v>
      </c>
      <c r="F105" s="444">
        <v>-1.0556719920458469E-2</v>
      </c>
      <c r="G105" s="427"/>
    </row>
    <row r="106" spans="2:7" x14ac:dyDescent="0.25">
      <c r="B106" s="430" t="s">
        <v>420</v>
      </c>
      <c r="C106" s="434">
        <v>42396</v>
      </c>
      <c r="D106" s="431">
        <v>17407</v>
      </c>
      <c r="E106" s="436">
        <v>650723</v>
      </c>
      <c r="F106" s="444">
        <v>4.8434049037093821E-2</v>
      </c>
      <c r="G106" s="427"/>
    </row>
    <row r="107" spans="2:7" x14ac:dyDescent="0.25">
      <c r="B107" s="430" t="s">
        <v>420</v>
      </c>
      <c r="C107" s="434">
        <v>42397</v>
      </c>
      <c r="D107" s="431">
        <v>17998</v>
      </c>
      <c r="E107" s="436">
        <v>338941</v>
      </c>
      <c r="F107" s="444">
        <v>3.3388216441184643E-2</v>
      </c>
      <c r="G107" s="427"/>
    </row>
    <row r="108" spans="2:7" x14ac:dyDescent="0.25">
      <c r="B108" s="430" t="s">
        <v>420</v>
      </c>
      <c r="C108" s="434">
        <v>42398</v>
      </c>
      <c r="D108" s="431">
        <v>18303</v>
      </c>
      <c r="E108" s="436">
        <v>933155</v>
      </c>
      <c r="F108" s="444">
        <v>1.6804340226068241E-2</v>
      </c>
      <c r="G108" s="427"/>
    </row>
    <row r="109" spans="2:7" x14ac:dyDescent="0.25">
      <c r="B109" s="430" t="s">
        <v>420</v>
      </c>
      <c r="C109" s="434">
        <v>42401</v>
      </c>
      <c r="D109" s="431">
        <v>17620</v>
      </c>
      <c r="E109" s="436">
        <v>835407</v>
      </c>
      <c r="F109" s="444">
        <v>-3.8030360329791575E-2</v>
      </c>
      <c r="G109" s="427"/>
    </row>
    <row r="110" spans="2:7" x14ac:dyDescent="0.25">
      <c r="B110" s="430" t="s">
        <v>420</v>
      </c>
      <c r="C110" s="434">
        <v>42402</v>
      </c>
      <c r="D110" s="431">
        <v>17450</v>
      </c>
      <c r="E110" s="436">
        <v>440120</v>
      </c>
      <c r="F110" s="444">
        <v>-9.6949718595972945E-3</v>
      </c>
      <c r="G110" s="427"/>
    </row>
    <row r="111" spans="2:7" x14ac:dyDescent="0.25">
      <c r="B111" s="430" t="s">
        <v>420</v>
      </c>
      <c r="C111" s="434">
        <v>42403</v>
      </c>
      <c r="D111" s="431">
        <v>17820</v>
      </c>
      <c r="E111" s="436">
        <v>388381</v>
      </c>
      <c r="F111" s="444">
        <v>2.0981773394226997E-2</v>
      </c>
      <c r="G111" s="427"/>
    </row>
    <row r="112" spans="2:7" x14ac:dyDescent="0.25">
      <c r="B112" s="430" t="s">
        <v>420</v>
      </c>
      <c r="C112" s="434">
        <v>42404</v>
      </c>
      <c r="D112" s="431">
        <v>18077</v>
      </c>
      <c r="E112" s="436">
        <v>630105</v>
      </c>
      <c r="F112" s="444">
        <v>1.4318989950054017E-2</v>
      </c>
      <c r="G112" s="427"/>
    </row>
    <row r="113" spans="2:7" x14ac:dyDescent="0.25">
      <c r="B113" s="430" t="s">
        <v>420</v>
      </c>
      <c r="C113" s="434">
        <v>42405</v>
      </c>
      <c r="D113" s="431">
        <v>17904</v>
      </c>
      <c r="E113" s="436">
        <v>629239</v>
      </c>
      <c r="F113" s="444">
        <v>-9.6162604231478897E-3</v>
      </c>
      <c r="G113" s="427"/>
    </row>
    <row r="114" spans="2:7" x14ac:dyDescent="0.25">
      <c r="B114" s="430" t="s">
        <v>420</v>
      </c>
      <c r="C114" s="434">
        <v>42408</v>
      </c>
      <c r="D114" s="431">
        <v>17921</v>
      </c>
      <c r="E114" s="436">
        <v>151608</v>
      </c>
      <c r="F114" s="444">
        <v>9.4905799168209018E-4</v>
      </c>
      <c r="G114" s="427"/>
    </row>
    <row r="115" spans="2:7" x14ac:dyDescent="0.25">
      <c r="B115" s="430" t="s">
        <v>420</v>
      </c>
      <c r="C115" s="434">
        <v>42409</v>
      </c>
      <c r="D115" s="431">
        <v>18011</v>
      </c>
      <c r="E115" s="436">
        <v>236988</v>
      </c>
      <c r="F115" s="444">
        <v>5.0094727936689162E-3</v>
      </c>
      <c r="G115" s="427"/>
    </row>
    <row r="116" spans="2:7" x14ac:dyDescent="0.25">
      <c r="B116" s="430" t="s">
        <v>420</v>
      </c>
      <c r="C116" s="434">
        <v>42410</v>
      </c>
      <c r="D116" s="431">
        <v>18000</v>
      </c>
      <c r="E116" s="436">
        <v>354493</v>
      </c>
      <c r="F116" s="444">
        <v>-6.1092445875571017E-4</v>
      </c>
      <c r="G116" s="427"/>
    </row>
    <row r="117" spans="2:7" x14ac:dyDescent="0.25">
      <c r="B117" s="430" t="s">
        <v>420</v>
      </c>
      <c r="C117" s="434">
        <v>42411</v>
      </c>
      <c r="D117" s="431">
        <v>17650</v>
      </c>
      <c r="E117" s="436">
        <v>243067</v>
      </c>
      <c r="F117" s="444">
        <v>-1.9635974516858962E-2</v>
      </c>
      <c r="G117" s="427"/>
    </row>
    <row r="118" spans="2:7" x14ac:dyDescent="0.25">
      <c r="B118" s="430" t="s">
        <v>420</v>
      </c>
      <c r="C118" s="434">
        <v>42412</v>
      </c>
      <c r="D118" s="431">
        <v>17600</v>
      </c>
      <c r="E118" s="436">
        <v>540437</v>
      </c>
      <c r="F118" s="444">
        <v>-2.8368813351997263E-3</v>
      </c>
      <c r="G118" s="427"/>
    </row>
    <row r="119" spans="2:7" x14ac:dyDescent="0.25">
      <c r="B119" s="430" t="s">
        <v>420</v>
      </c>
      <c r="C119" s="434">
        <v>42415</v>
      </c>
      <c r="D119" s="431">
        <v>18098</v>
      </c>
      <c r="E119" s="436">
        <v>450343</v>
      </c>
      <c r="F119" s="444">
        <v>2.7902532884835424E-2</v>
      </c>
      <c r="G119" s="427"/>
    </row>
    <row r="120" spans="2:7" x14ac:dyDescent="0.25">
      <c r="B120" s="430" t="s">
        <v>420</v>
      </c>
      <c r="C120" s="434">
        <v>42416</v>
      </c>
      <c r="D120" s="431">
        <v>18053</v>
      </c>
      <c r="E120" s="436">
        <v>478874</v>
      </c>
      <c r="F120" s="444">
        <v>-2.4895589744205024E-3</v>
      </c>
      <c r="G120" s="427"/>
    </row>
    <row r="121" spans="2:7" x14ac:dyDescent="0.25">
      <c r="B121" s="430" t="s">
        <v>420</v>
      </c>
      <c r="C121" s="434">
        <v>42417</v>
      </c>
      <c r="D121" s="431">
        <v>18490</v>
      </c>
      <c r="E121" s="436">
        <v>259028</v>
      </c>
      <c r="F121" s="444">
        <v>2.3918169444512458E-2</v>
      </c>
      <c r="G121" s="427"/>
    </row>
    <row r="122" spans="2:7" x14ac:dyDescent="0.25">
      <c r="B122" s="430" t="s">
        <v>420</v>
      </c>
      <c r="C122" s="434">
        <v>42418</v>
      </c>
      <c r="D122" s="431">
        <v>18630</v>
      </c>
      <c r="E122" s="436">
        <v>684092</v>
      </c>
      <c r="F122" s="444">
        <v>7.5431392144636898E-3</v>
      </c>
      <c r="G122" s="427"/>
    </row>
    <row r="123" spans="2:7" x14ac:dyDescent="0.25">
      <c r="B123" s="430" t="s">
        <v>420</v>
      </c>
      <c r="C123" s="434">
        <v>42419</v>
      </c>
      <c r="D123" s="431">
        <v>18350</v>
      </c>
      <c r="E123" s="436">
        <v>838785</v>
      </c>
      <c r="F123" s="444">
        <v>-1.5143610112917765E-2</v>
      </c>
      <c r="G123" s="427"/>
    </row>
    <row r="124" spans="2:7" x14ac:dyDescent="0.25">
      <c r="B124" s="430" t="s">
        <v>420</v>
      </c>
      <c r="C124" s="434">
        <v>42422</v>
      </c>
      <c r="D124" s="431">
        <v>17835</v>
      </c>
      <c r="E124" s="436">
        <v>363227</v>
      </c>
      <c r="F124" s="444">
        <v>-2.8466755689724461E-2</v>
      </c>
      <c r="G124" s="427"/>
    </row>
    <row r="125" spans="2:7" x14ac:dyDescent="0.25">
      <c r="B125" s="430" t="s">
        <v>420</v>
      </c>
      <c r="C125" s="434">
        <v>42423</v>
      </c>
      <c r="D125" s="431">
        <v>17800</v>
      </c>
      <c r="E125" s="436">
        <v>185073</v>
      </c>
      <c r="F125" s="444">
        <v>-1.9643615128153843E-3</v>
      </c>
      <c r="G125" s="427"/>
    </row>
    <row r="126" spans="2:7" x14ac:dyDescent="0.25">
      <c r="B126" s="430" t="s">
        <v>420</v>
      </c>
      <c r="C126" s="434">
        <v>42424</v>
      </c>
      <c r="D126" s="431">
        <v>17402</v>
      </c>
      <c r="E126" s="436">
        <v>358212</v>
      </c>
      <c r="F126" s="444">
        <v>-2.261331515420676E-2</v>
      </c>
      <c r="G126" s="427"/>
    </row>
    <row r="127" spans="2:7" x14ac:dyDescent="0.25">
      <c r="B127" s="430" t="s">
        <v>420</v>
      </c>
      <c r="C127" s="434">
        <v>42425</v>
      </c>
      <c r="D127" s="431">
        <v>18341</v>
      </c>
      <c r="E127" s="436">
        <v>452219</v>
      </c>
      <c r="F127" s="444">
        <v>5.2553848825062768E-2</v>
      </c>
      <c r="G127" s="427"/>
    </row>
    <row r="128" spans="2:7" x14ac:dyDescent="0.25">
      <c r="B128" s="430" t="s">
        <v>420</v>
      </c>
      <c r="C128" s="434">
        <v>42426</v>
      </c>
      <c r="D128" s="431">
        <v>18250</v>
      </c>
      <c r="E128" s="436">
        <v>251773</v>
      </c>
      <c r="F128" s="444">
        <v>-4.9739109403950169E-3</v>
      </c>
      <c r="G128" s="427"/>
    </row>
    <row r="129" spans="2:7" x14ac:dyDescent="0.25">
      <c r="B129" s="430" t="s">
        <v>420</v>
      </c>
      <c r="C129" s="434">
        <v>42429</v>
      </c>
      <c r="D129" s="431">
        <v>17866</v>
      </c>
      <c r="E129" s="436">
        <v>463702</v>
      </c>
      <c r="F129" s="444">
        <v>-2.1265614748853134E-2</v>
      </c>
      <c r="G129" s="427"/>
    </row>
    <row r="130" spans="2:7" x14ac:dyDescent="0.25">
      <c r="B130" s="430" t="s">
        <v>420</v>
      </c>
      <c r="C130" s="434">
        <v>42430</v>
      </c>
      <c r="D130" s="431">
        <v>18571</v>
      </c>
      <c r="E130" s="436">
        <v>412737</v>
      </c>
      <c r="F130" s="444">
        <v>3.8701758931268482E-2</v>
      </c>
      <c r="G130" s="427"/>
    </row>
    <row r="131" spans="2:7" x14ac:dyDescent="0.25">
      <c r="B131" s="430" t="s">
        <v>420</v>
      </c>
      <c r="C131" s="434">
        <v>42431</v>
      </c>
      <c r="D131" s="431">
        <v>18705</v>
      </c>
      <c r="E131" s="436">
        <v>614475</v>
      </c>
      <c r="F131" s="444">
        <v>7.1896435891935064E-3</v>
      </c>
      <c r="G131" s="427"/>
    </row>
    <row r="132" spans="2:7" x14ac:dyDescent="0.25">
      <c r="B132" s="430" t="s">
        <v>420</v>
      </c>
      <c r="C132" s="434">
        <v>42432</v>
      </c>
      <c r="D132" s="431">
        <v>18941</v>
      </c>
      <c r="E132" s="436">
        <v>268312</v>
      </c>
      <c r="F132" s="444">
        <v>1.2538016874494996E-2</v>
      </c>
      <c r="G132" s="427"/>
    </row>
    <row r="133" spans="2:7" x14ac:dyDescent="0.25">
      <c r="B133" s="430" t="s">
        <v>420</v>
      </c>
      <c r="C133" s="434">
        <v>42433</v>
      </c>
      <c r="D133" s="431">
        <v>18435</v>
      </c>
      <c r="E133" s="436">
        <v>463065</v>
      </c>
      <c r="F133" s="444">
        <v>-2.7077852988496708E-2</v>
      </c>
      <c r="G133" s="427"/>
    </row>
    <row r="134" spans="2:7" x14ac:dyDescent="0.25">
      <c r="B134" s="430" t="s">
        <v>420</v>
      </c>
      <c r="C134" s="434">
        <v>42436</v>
      </c>
      <c r="D134" s="431">
        <v>19006</v>
      </c>
      <c r="E134" s="436">
        <v>535519</v>
      </c>
      <c r="F134" s="444">
        <v>3.0503687103015723E-2</v>
      </c>
      <c r="G134" s="427"/>
    </row>
    <row r="135" spans="2:7" x14ac:dyDescent="0.25">
      <c r="B135" s="430" t="s">
        <v>420</v>
      </c>
      <c r="C135" s="434">
        <v>42437</v>
      </c>
      <c r="D135" s="431">
        <v>19294</v>
      </c>
      <c r="E135" s="436">
        <v>510368</v>
      </c>
      <c r="F135" s="444">
        <v>1.5039447959238377E-2</v>
      </c>
      <c r="G135" s="427"/>
    </row>
    <row r="136" spans="2:7" x14ac:dyDescent="0.25">
      <c r="B136" s="430" t="s">
        <v>420</v>
      </c>
      <c r="C136" s="434">
        <v>42438</v>
      </c>
      <c r="D136" s="431">
        <v>19306</v>
      </c>
      <c r="E136" s="436">
        <v>432004</v>
      </c>
      <c r="F136" s="444">
        <v>6.2176167806158884E-4</v>
      </c>
      <c r="G136" s="427"/>
    </row>
    <row r="137" spans="2:7" x14ac:dyDescent="0.25">
      <c r="B137" s="430" t="s">
        <v>420</v>
      </c>
      <c r="C137" s="434">
        <v>42439</v>
      </c>
      <c r="D137" s="431">
        <v>18552</v>
      </c>
      <c r="E137" s="436">
        <v>1843615</v>
      </c>
      <c r="F137" s="444">
        <v>-3.9838328473192873E-2</v>
      </c>
      <c r="G137" s="427"/>
    </row>
    <row r="138" spans="2:7" x14ac:dyDescent="0.25">
      <c r="B138" s="430" t="s">
        <v>420</v>
      </c>
      <c r="C138" s="434">
        <v>42440</v>
      </c>
      <c r="D138" s="431">
        <v>18700</v>
      </c>
      <c r="E138" s="436">
        <v>1328061</v>
      </c>
      <c r="F138" s="444">
        <v>7.9459239073104426E-3</v>
      </c>
      <c r="G138" s="427"/>
    </row>
    <row r="139" spans="2:7" x14ac:dyDescent="0.25">
      <c r="B139" s="430" t="s">
        <v>420</v>
      </c>
      <c r="C139" s="434">
        <v>42443</v>
      </c>
      <c r="D139" s="431">
        <v>18750</v>
      </c>
      <c r="E139" s="436">
        <v>338045</v>
      </c>
      <c r="F139" s="444">
        <v>2.6702285558788921E-3</v>
      </c>
      <c r="G139" s="427"/>
    </row>
    <row r="140" spans="2:7" x14ac:dyDescent="0.25">
      <c r="B140" s="430" t="s">
        <v>420</v>
      </c>
      <c r="C140" s="434">
        <v>42444</v>
      </c>
      <c r="D140" s="431">
        <v>18526</v>
      </c>
      <c r="E140" s="436">
        <v>306168</v>
      </c>
      <c r="F140" s="444">
        <v>-1.201860158458405E-2</v>
      </c>
      <c r="G140" s="427"/>
    </row>
    <row r="141" spans="2:7" x14ac:dyDescent="0.25">
      <c r="B141" s="430" t="s">
        <v>420</v>
      </c>
      <c r="C141" s="434">
        <v>42445</v>
      </c>
      <c r="D141" s="431">
        <v>18653</v>
      </c>
      <c r="E141" s="436">
        <v>553116</v>
      </c>
      <c r="F141" s="444">
        <v>6.8318402305896867E-3</v>
      </c>
      <c r="G141" s="427"/>
    </row>
    <row r="142" spans="2:7" x14ac:dyDescent="0.25">
      <c r="B142" s="430" t="s">
        <v>420</v>
      </c>
      <c r="C142" s="434">
        <v>42446</v>
      </c>
      <c r="D142" s="431">
        <v>18700</v>
      </c>
      <c r="E142" s="436">
        <v>587344</v>
      </c>
      <c r="F142" s="444">
        <v>2.5165327981154693E-3</v>
      </c>
      <c r="G142" s="427"/>
    </row>
    <row r="143" spans="2:7" x14ac:dyDescent="0.25">
      <c r="B143" s="430" t="s">
        <v>420</v>
      </c>
      <c r="C143" s="434">
        <v>42447</v>
      </c>
      <c r="D143" s="431">
        <v>19646</v>
      </c>
      <c r="E143" s="436">
        <v>739467</v>
      </c>
      <c r="F143" s="444">
        <v>4.9350231392136866E-2</v>
      </c>
      <c r="G143" s="427"/>
    </row>
    <row r="144" spans="2:7" x14ac:dyDescent="0.25">
      <c r="B144" s="430" t="s">
        <v>420</v>
      </c>
      <c r="C144" s="434">
        <v>42451</v>
      </c>
      <c r="D144" s="431">
        <v>19034</v>
      </c>
      <c r="E144" s="436">
        <v>965103</v>
      </c>
      <c r="F144" s="444">
        <v>-3.1646901602526215E-2</v>
      </c>
      <c r="G144" s="427"/>
    </row>
    <row r="145" spans="2:7" x14ac:dyDescent="0.25">
      <c r="B145" s="430" t="s">
        <v>420</v>
      </c>
      <c r="C145" s="434">
        <v>42452</v>
      </c>
      <c r="D145" s="431">
        <v>19029</v>
      </c>
      <c r="E145" s="436">
        <v>796862</v>
      </c>
      <c r="F145" s="444">
        <v>-2.627223302819156E-4</v>
      </c>
      <c r="G145" s="427"/>
    </row>
    <row r="146" spans="2:7" x14ac:dyDescent="0.25">
      <c r="B146" s="430" t="s">
        <v>420</v>
      </c>
      <c r="C146" s="434">
        <v>42453</v>
      </c>
      <c r="D146" s="431">
        <v>19073</v>
      </c>
      <c r="E146" s="436">
        <v>641652</v>
      </c>
      <c r="F146" s="444">
        <v>2.3095910744197245E-3</v>
      </c>
      <c r="G146" s="427"/>
    </row>
    <row r="147" spans="2:7" x14ac:dyDescent="0.25">
      <c r="B147" s="430" t="s">
        <v>420</v>
      </c>
      <c r="C147" s="434">
        <v>42458</v>
      </c>
      <c r="D147" s="431">
        <v>19212</v>
      </c>
      <c r="E147" s="436">
        <v>803932</v>
      </c>
      <c r="F147" s="444">
        <v>7.2613614082883832E-3</v>
      </c>
      <c r="G147" s="427"/>
    </row>
    <row r="148" spans="2:7" x14ac:dyDescent="0.25">
      <c r="B148" s="430" t="s">
        <v>420</v>
      </c>
      <c r="C148" s="434">
        <v>42459</v>
      </c>
      <c r="D148" s="431">
        <v>19500</v>
      </c>
      <c r="E148" s="436">
        <v>2838198</v>
      </c>
      <c r="F148" s="444">
        <v>1.4879381767123275E-2</v>
      </c>
      <c r="G148" s="427"/>
    </row>
    <row r="149" spans="2:7" x14ac:dyDescent="0.25">
      <c r="B149" s="430" t="s">
        <v>420</v>
      </c>
      <c r="C149" s="434">
        <v>42460</v>
      </c>
      <c r="D149" s="431">
        <v>19900</v>
      </c>
      <c r="E149" s="436">
        <v>2296339</v>
      </c>
      <c r="F149" s="444">
        <v>2.0305266160745523E-2</v>
      </c>
      <c r="G149" s="427"/>
    </row>
    <row r="150" spans="2:7" x14ac:dyDescent="0.25">
      <c r="B150" s="430" t="s">
        <v>420</v>
      </c>
      <c r="C150" s="434">
        <v>42461</v>
      </c>
      <c r="D150" s="431">
        <v>20080</v>
      </c>
      <c r="E150" s="436">
        <v>1151775</v>
      </c>
      <c r="F150" s="444">
        <v>9.0045630930817525E-3</v>
      </c>
      <c r="G150" s="427"/>
    </row>
    <row r="151" spans="2:7" x14ac:dyDescent="0.25">
      <c r="B151" s="430" t="s">
        <v>420</v>
      </c>
      <c r="C151" s="434">
        <v>42464</v>
      </c>
      <c r="D151" s="431">
        <v>20551</v>
      </c>
      <c r="E151" s="436">
        <v>631642</v>
      </c>
      <c r="F151" s="444">
        <v>2.3185306735254728E-2</v>
      </c>
      <c r="G151" s="427"/>
    </row>
    <row r="152" spans="2:7" x14ac:dyDescent="0.25">
      <c r="B152" s="430" t="s">
        <v>420</v>
      </c>
      <c r="C152" s="434">
        <v>42465</v>
      </c>
      <c r="D152" s="431">
        <v>20541</v>
      </c>
      <c r="E152" s="436">
        <v>854140</v>
      </c>
      <c r="F152" s="444">
        <v>-4.8671275174767321E-4</v>
      </c>
      <c r="G152" s="427"/>
    </row>
    <row r="153" spans="2:7" x14ac:dyDescent="0.25">
      <c r="B153" s="430" t="s">
        <v>420</v>
      </c>
      <c r="C153" s="434">
        <v>42466</v>
      </c>
      <c r="D153" s="431">
        <v>20600</v>
      </c>
      <c r="E153" s="436">
        <v>944277</v>
      </c>
      <c r="F153" s="444">
        <v>2.8681869884997864E-3</v>
      </c>
      <c r="G153" s="427"/>
    </row>
    <row r="154" spans="2:7" x14ac:dyDescent="0.25">
      <c r="B154" s="430" t="s">
        <v>420</v>
      </c>
      <c r="C154" s="434">
        <v>42467</v>
      </c>
      <c r="D154" s="431">
        <v>21298</v>
      </c>
      <c r="E154" s="436">
        <v>1610984</v>
      </c>
      <c r="F154" s="444">
        <v>3.332209579765661E-2</v>
      </c>
      <c r="G154" s="427"/>
    </row>
    <row r="155" spans="2:7" x14ac:dyDescent="0.25">
      <c r="B155" s="430" t="s">
        <v>420</v>
      </c>
      <c r="C155" s="434">
        <v>42468</v>
      </c>
      <c r="D155" s="431">
        <v>21070</v>
      </c>
      <c r="E155" s="436">
        <v>2309013</v>
      </c>
      <c r="F155" s="444">
        <v>-1.0762943777094367E-2</v>
      </c>
      <c r="G155" s="427"/>
    </row>
    <row r="156" spans="2:7" x14ac:dyDescent="0.25">
      <c r="B156" s="430" t="s">
        <v>420</v>
      </c>
      <c r="C156" s="434">
        <v>42471</v>
      </c>
      <c r="D156" s="431">
        <v>20949</v>
      </c>
      <c r="E156" s="436">
        <v>574544</v>
      </c>
      <c r="F156" s="444">
        <v>-5.7593152840897362E-3</v>
      </c>
      <c r="G156" s="427"/>
    </row>
    <row r="157" spans="2:7" x14ac:dyDescent="0.25">
      <c r="B157" s="430" t="s">
        <v>420</v>
      </c>
      <c r="C157" s="434">
        <v>42472</v>
      </c>
      <c r="D157" s="431">
        <v>21240</v>
      </c>
      <c r="E157" s="436">
        <v>576421</v>
      </c>
      <c r="F157" s="444">
        <v>1.3795283841730155E-2</v>
      </c>
      <c r="G157" s="427"/>
    </row>
    <row r="158" spans="2:7" x14ac:dyDescent="0.25">
      <c r="B158" s="430" t="s">
        <v>420</v>
      </c>
      <c r="C158" s="434">
        <v>42473</v>
      </c>
      <c r="D158" s="431">
        <v>21195</v>
      </c>
      <c r="E158" s="436">
        <v>910660</v>
      </c>
      <c r="F158" s="444">
        <v>-2.1208915691376244E-3</v>
      </c>
      <c r="G158" s="427"/>
    </row>
    <row r="159" spans="2:7" x14ac:dyDescent="0.25">
      <c r="B159" s="430" t="s">
        <v>420</v>
      </c>
      <c r="C159" s="434">
        <v>42474</v>
      </c>
      <c r="D159" s="431">
        <v>21200</v>
      </c>
      <c r="E159" s="436">
        <v>522968</v>
      </c>
      <c r="F159" s="444">
        <v>2.3587687336641341E-4</v>
      </c>
      <c r="G159" s="427"/>
    </row>
    <row r="160" spans="2:7" x14ac:dyDescent="0.25">
      <c r="B160" s="430" t="s">
        <v>420</v>
      </c>
      <c r="C160" s="434">
        <v>42475</v>
      </c>
      <c r="D160" s="431">
        <v>21129</v>
      </c>
      <c r="E160" s="436">
        <v>642993</v>
      </c>
      <c r="F160" s="444">
        <v>-3.354677246583801E-3</v>
      </c>
      <c r="G160" s="427"/>
    </row>
    <row r="161" spans="2:7" x14ac:dyDescent="0.25">
      <c r="B161" s="430" t="s">
        <v>420</v>
      </c>
      <c r="C161" s="434">
        <v>42478</v>
      </c>
      <c r="D161" s="431">
        <v>21000</v>
      </c>
      <c r="E161" s="436">
        <v>698077</v>
      </c>
      <c r="F161" s="444">
        <v>-6.124066707959965E-3</v>
      </c>
      <c r="G161" s="427"/>
    </row>
    <row r="162" spans="2:7" x14ac:dyDescent="0.25">
      <c r="B162" s="430" t="s">
        <v>420</v>
      </c>
      <c r="C162" s="434">
        <v>42479</v>
      </c>
      <c r="D162" s="431">
        <v>21195</v>
      </c>
      <c r="E162" s="436">
        <v>521359</v>
      </c>
      <c r="F162" s="444">
        <v>9.2428670811775127E-3</v>
      </c>
      <c r="G162" s="427"/>
    </row>
    <row r="163" spans="2:7" x14ac:dyDescent="0.25">
      <c r="B163" s="430" t="s">
        <v>420</v>
      </c>
      <c r="C163" s="434">
        <v>42480</v>
      </c>
      <c r="D163" s="431">
        <v>21286</v>
      </c>
      <c r="E163" s="436">
        <v>527818</v>
      </c>
      <c r="F163" s="444">
        <v>4.2842748142520766E-3</v>
      </c>
      <c r="G163" s="427"/>
    </row>
    <row r="164" spans="2:7" x14ac:dyDescent="0.25">
      <c r="B164" s="430" t="s">
        <v>420</v>
      </c>
      <c r="C164" s="434">
        <v>42481</v>
      </c>
      <c r="D164" s="431">
        <v>21321</v>
      </c>
      <c r="E164" s="436">
        <v>775529</v>
      </c>
      <c r="F164" s="444">
        <v>1.6429228940152815E-3</v>
      </c>
      <c r="G164" s="427"/>
    </row>
    <row r="165" spans="2:7" x14ac:dyDescent="0.25">
      <c r="B165" s="430" t="s">
        <v>420</v>
      </c>
      <c r="C165" s="434">
        <v>42482</v>
      </c>
      <c r="D165" s="431">
        <v>20900</v>
      </c>
      <c r="E165" s="436">
        <v>378669</v>
      </c>
      <c r="F165" s="444">
        <v>-1.9943343542102466E-2</v>
      </c>
      <c r="G165" s="427"/>
    </row>
    <row r="166" spans="2:7" x14ac:dyDescent="0.25">
      <c r="B166" s="430" t="s">
        <v>420</v>
      </c>
      <c r="C166" s="434">
        <v>42485</v>
      </c>
      <c r="D166" s="431">
        <v>21113</v>
      </c>
      <c r="E166" s="436">
        <v>360326</v>
      </c>
      <c r="F166" s="444">
        <v>1.0139805535180547E-2</v>
      </c>
      <c r="G166" s="427"/>
    </row>
    <row r="167" spans="2:7" x14ac:dyDescent="0.25">
      <c r="B167" s="430" t="s">
        <v>420</v>
      </c>
      <c r="C167" s="434">
        <v>42486</v>
      </c>
      <c r="D167" s="431">
        <v>21145</v>
      </c>
      <c r="E167" s="436">
        <v>265634</v>
      </c>
      <c r="F167" s="444">
        <v>1.5145064185059613E-3</v>
      </c>
      <c r="G167" s="427"/>
    </row>
    <row r="168" spans="2:7" x14ac:dyDescent="0.25">
      <c r="B168" s="430" t="s">
        <v>420</v>
      </c>
      <c r="C168" s="434">
        <v>42488</v>
      </c>
      <c r="D168" s="431">
        <v>21150</v>
      </c>
      <c r="E168" s="436">
        <v>492914</v>
      </c>
      <c r="F168" s="444">
        <v>2.3643456783514169E-4</v>
      </c>
      <c r="G168" s="427"/>
    </row>
    <row r="169" spans="2:7" x14ac:dyDescent="0.25">
      <c r="B169" s="430" t="s">
        <v>420</v>
      </c>
      <c r="C169" s="434">
        <v>42489</v>
      </c>
      <c r="D169" s="431">
        <v>21275</v>
      </c>
      <c r="E169" s="436">
        <v>731195</v>
      </c>
      <c r="F169" s="444">
        <v>5.8927689671509197E-3</v>
      </c>
      <c r="G169" s="427"/>
    </row>
    <row r="170" spans="2:7" x14ac:dyDescent="0.25">
      <c r="B170" s="430" t="s">
        <v>420</v>
      </c>
      <c r="C170" s="434">
        <v>42493</v>
      </c>
      <c r="D170" s="431">
        <v>21120</v>
      </c>
      <c r="E170" s="436">
        <v>761616</v>
      </c>
      <c r="F170" s="444">
        <v>-7.3122156213771359E-3</v>
      </c>
      <c r="G170" s="427"/>
    </row>
    <row r="171" spans="2:7" x14ac:dyDescent="0.25">
      <c r="B171" s="430" t="s">
        <v>420</v>
      </c>
      <c r="C171" s="434">
        <v>42494</v>
      </c>
      <c r="D171" s="431">
        <v>21300</v>
      </c>
      <c r="E171" s="436">
        <v>1380718</v>
      </c>
      <c r="F171" s="444">
        <v>8.4866138773187251E-3</v>
      </c>
      <c r="G171" s="427"/>
    </row>
    <row r="172" spans="2:7" x14ac:dyDescent="0.25">
      <c r="B172" s="430" t="s">
        <v>420</v>
      </c>
      <c r="C172" s="434">
        <v>42495</v>
      </c>
      <c r="D172" s="431">
        <v>20933</v>
      </c>
      <c r="E172" s="436">
        <v>794094</v>
      </c>
      <c r="F172" s="444">
        <v>-1.7380211602996475E-2</v>
      </c>
      <c r="G172" s="427"/>
    </row>
    <row r="173" spans="2:7" x14ac:dyDescent="0.25">
      <c r="B173" s="430" t="s">
        <v>420</v>
      </c>
      <c r="C173" s="434">
        <v>42496</v>
      </c>
      <c r="D173" s="431">
        <v>20835</v>
      </c>
      <c r="E173" s="436">
        <v>1174419</v>
      </c>
      <c r="F173" s="444">
        <v>-4.6925962379662494E-3</v>
      </c>
      <c r="G173" s="427"/>
    </row>
    <row r="174" spans="2:7" x14ac:dyDescent="0.25">
      <c r="B174" s="430" t="s">
        <v>420</v>
      </c>
      <c r="C174" s="434">
        <v>42499</v>
      </c>
      <c r="D174" s="431">
        <v>21000</v>
      </c>
      <c r="E174" s="436">
        <v>760538</v>
      </c>
      <c r="F174" s="444">
        <v>7.8881728490062999E-3</v>
      </c>
      <c r="G174" s="427"/>
    </row>
    <row r="175" spans="2:7" x14ac:dyDescent="0.25">
      <c r="B175" s="430" t="s">
        <v>420</v>
      </c>
      <c r="C175" s="434">
        <v>42500</v>
      </c>
      <c r="D175" s="431">
        <v>21069</v>
      </c>
      <c r="E175" s="436">
        <v>574400</v>
      </c>
      <c r="F175" s="444">
        <v>3.2803281215701505E-3</v>
      </c>
      <c r="G175" s="427"/>
    </row>
    <row r="176" spans="2:7" x14ac:dyDescent="0.25">
      <c r="B176" s="430" t="s">
        <v>420</v>
      </c>
      <c r="C176" s="434">
        <v>42501</v>
      </c>
      <c r="D176" s="431">
        <v>21391</v>
      </c>
      <c r="E176" s="436">
        <v>1145647</v>
      </c>
      <c r="F176" s="444">
        <v>1.5167506974675064E-2</v>
      </c>
      <c r="G176" s="427"/>
    </row>
    <row r="177" spans="2:7" x14ac:dyDescent="0.25">
      <c r="B177" s="430" t="s">
        <v>420</v>
      </c>
      <c r="C177" s="434">
        <v>42502</v>
      </c>
      <c r="D177" s="431">
        <v>21870</v>
      </c>
      <c r="E177" s="436">
        <v>2351228</v>
      </c>
      <c r="F177" s="444">
        <v>2.2145561869008311E-2</v>
      </c>
      <c r="G177" s="427"/>
    </row>
    <row r="178" spans="2:7" x14ac:dyDescent="0.25">
      <c r="B178" s="430" t="s">
        <v>420</v>
      </c>
      <c r="C178" s="434">
        <v>42503</v>
      </c>
      <c r="D178" s="431">
        <v>21400</v>
      </c>
      <c r="E178" s="436">
        <v>1030684</v>
      </c>
      <c r="F178" s="444">
        <v>-2.1724912660870625E-2</v>
      </c>
      <c r="G178" s="427"/>
    </row>
    <row r="179" spans="2:7" x14ac:dyDescent="0.25">
      <c r="B179" s="430" t="s">
        <v>420</v>
      </c>
      <c r="C179" s="434">
        <v>42506</v>
      </c>
      <c r="D179" s="431">
        <v>21300</v>
      </c>
      <c r="E179" s="436">
        <v>420817</v>
      </c>
      <c r="F179" s="444">
        <v>-4.6838493124263143E-3</v>
      </c>
      <c r="G179" s="427"/>
    </row>
    <row r="180" spans="2:7" x14ac:dyDescent="0.25">
      <c r="B180" s="430" t="s">
        <v>420</v>
      </c>
      <c r="C180" s="434">
        <v>42507</v>
      </c>
      <c r="D180" s="431">
        <v>21125</v>
      </c>
      <c r="E180" s="436">
        <v>451237</v>
      </c>
      <c r="F180" s="444">
        <v>-8.2498994721418358E-3</v>
      </c>
      <c r="G180" s="427"/>
    </row>
    <row r="181" spans="2:7" x14ac:dyDescent="0.25">
      <c r="B181" s="430" t="s">
        <v>420</v>
      </c>
      <c r="C181" s="434">
        <v>42508</v>
      </c>
      <c r="D181" s="431">
        <v>20886</v>
      </c>
      <c r="E181" s="436">
        <v>1571049</v>
      </c>
      <c r="F181" s="444">
        <v>-1.1378095185880704E-2</v>
      </c>
      <c r="G181" s="427"/>
    </row>
    <row r="182" spans="2:7" x14ac:dyDescent="0.25">
      <c r="B182" s="430" t="s">
        <v>420</v>
      </c>
      <c r="C182" s="434">
        <v>42509</v>
      </c>
      <c r="D182" s="431">
        <v>20953</v>
      </c>
      <c r="E182" s="436">
        <v>436294</v>
      </c>
      <c r="F182" s="444">
        <v>3.2027561496140323E-3</v>
      </c>
      <c r="G182" s="427"/>
    </row>
    <row r="183" spans="2:7" x14ac:dyDescent="0.25">
      <c r="B183" s="430" t="s">
        <v>420</v>
      </c>
      <c r="C183" s="434">
        <v>42510</v>
      </c>
      <c r="D183" s="431">
        <v>20572</v>
      </c>
      <c r="E183" s="436">
        <v>705986</v>
      </c>
      <c r="F183" s="444">
        <v>-1.8350906294301146E-2</v>
      </c>
      <c r="G183" s="427"/>
    </row>
    <row r="184" spans="2:7" x14ac:dyDescent="0.25">
      <c r="B184" s="430" t="s">
        <v>420</v>
      </c>
      <c r="C184" s="434">
        <v>42513</v>
      </c>
      <c r="D184" s="431">
        <v>20500</v>
      </c>
      <c r="E184" s="436">
        <v>597849</v>
      </c>
      <c r="F184" s="444">
        <v>-3.5060417683072461E-3</v>
      </c>
      <c r="G184" s="427"/>
    </row>
    <row r="185" spans="2:7" x14ac:dyDescent="0.25">
      <c r="B185" s="430" t="s">
        <v>420</v>
      </c>
      <c r="C185" s="434">
        <v>42514</v>
      </c>
      <c r="D185" s="431">
        <v>20578</v>
      </c>
      <c r="E185" s="436">
        <v>670108</v>
      </c>
      <c r="F185" s="444">
        <v>3.7976578092559993E-3</v>
      </c>
      <c r="G185" s="427"/>
    </row>
    <row r="186" spans="2:7" x14ac:dyDescent="0.25">
      <c r="B186" s="430" t="s">
        <v>420</v>
      </c>
      <c r="C186" s="434">
        <v>42515</v>
      </c>
      <c r="D186" s="431">
        <v>20100</v>
      </c>
      <c r="E186" s="436">
        <v>762777</v>
      </c>
      <c r="F186" s="444">
        <v>-2.3502728888588453E-2</v>
      </c>
      <c r="G186" s="427"/>
    </row>
    <row r="187" spans="2:7" x14ac:dyDescent="0.25">
      <c r="B187" s="430" t="s">
        <v>420</v>
      </c>
      <c r="C187" s="434">
        <v>42516</v>
      </c>
      <c r="D187" s="431">
        <v>20795</v>
      </c>
      <c r="E187" s="436">
        <v>386109</v>
      </c>
      <c r="F187" s="444">
        <v>3.3992758129844834E-2</v>
      </c>
      <c r="G187" s="427"/>
    </row>
    <row r="188" spans="2:7" x14ac:dyDescent="0.25">
      <c r="B188" s="430" t="s">
        <v>420</v>
      </c>
      <c r="C188" s="434">
        <v>42517</v>
      </c>
      <c r="D188" s="431">
        <v>20545</v>
      </c>
      <c r="E188" s="436">
        <v>654216</v>
      </c>
      <c r="F188" s="444">
        <v>-1.2094970859501923E-2</v>
      </c>
      <c r="G188" s="427"/>
    </row>
    <row r="189" spans="2:7" x14ac:dyDescent="0.25">
      <c r="B189" s="430" t="s">
        <v>420</v>
      </c>
      <c r="C189" s="434">
        <v>42520</v>
      </c>
      <c r="D189" s="431">
        <v>20558</v>
      </c>
      <c r="E189" s="436">
        <v>218363</v>
      </c>
      <c r="F189" s="444">
        <v>6.3255725535712863E-4</v>
      </c>
      <c r="G189" s="427"/>
    </row>
    <row r="190" spans="2:7" x14ac:dyDescent="0.25">
      <c r="B190" s="430" t="s">
        <v>420</v>
      </c>
      <c r="C190" s="434">
        <v>42521</v>
      </c>
      <c r="D190" s="431">
        <v>20233</v>
      </c>
      <c r="E190" s="436">
        <v>1307944</v>
      </c>
      <c r="F190" s="444">
        <v>-1.5935224793672719E-2</v>
      </c>
      <c r="G190" s="427"/>
    </row>
    <row r="191" spans="2:7" x14ac:dyDescent="0.25">
      <c r="B191" s="430" t="s">
        <v>420</v>
      </c>
      <c r="C191" s="434">
        <v>42522</v>
      </c>
      <c r="D191" s="431">
        <v>20301</v>
      </c>
      <c r="E191" s="436">
        <v>752796</v>
      </c>
      <c r="F191" s="444">
        <v>3.3552111211406668E-3</v>
      </c>
      <c r="G191" s="427"/>
    </row>
    <row r="192" spans="2:7" x14ac:dyDescent="0.25">
      <c r="B192" s="430" t="s">
        <v>420</v>
      </c>
      <c r="C192" s="434">
        <v>42523</v>
      </c>
      <c r="D192" s="431">
        <v>20454</v>
      </c>
      <c r="E192" s="436">
        <v>462723</v>
      </c>
      <c r="F192" s="444">
        <v>7.5083164656228355E-3</v>
      </c>
      <c r="G192" s="427"/>
    </row>
    <row r="193" spans="2:7" x14ac:dyDescent="0.25">
      <c r="B193" s="430" t="s">
        <v>420</v>
      </c>
      <c r="C193" s="434">
        <v>42524</v>
      </c>
      <c r="D193" s="431">
        <v>21200</v>
      </c>
      <c r="E193" s="436">
        <v>509490</v>
      </c>
      <c r="F193" s="444">
        <v>3.5822719294145815E-2</v>
      </c>
      <c r="G193" s="427"/>
    </row>
    <row r="194" spans="2:7" x14ac:dyDescent="0.25">
      <c r="B194" s="430" t="s">
        <v>420</v>
      </c>
      <c r="C194" s="434">
        <v>42527</v>
      </c>
      <c r="D194" s="431">
        <v>20674</v>
      </c>
      <c r="E194" s="436">
        <v>353209</v>
      </c>
      <c r="F194" s="444">
        <v>-2.5124309531673692E-2</v>
      </c>
      <c r="G194" s="427"/>
    </row>
    <row r="195" spans="2:7" x14ac:dyDescent="0.25">
      <c r="B195" s="430" t="s">
        <v>420</v>
      </c>
      <c r="C195" s="434">
        <v>42528</v>
      </c>
      <c r="D195" s="431">
        <v>21311</v>
      </c>
      <c r="E195" s="436">
        <v>667289</v>
      </c>
      <c r="F195" s="444">
        <v>3.0346499188895884E-2</v>
      </c>
      <c r="G195" s="427"/>
    </row>
    <row r="196" spans="2:7" x14ac:dyDescent="0.25">
      <c r="B196" s="430" t="s">
        <v>420</v>
      </c>
      <c r="C196" s="434">
        <v>42529</v>
      </c>
      <c r="D196" s="431">
        <v>20500</v>
      </c>
      <c r="E196" s="436">
        <v>452177</v>
      </c>
      <c r="F196" s="444">
        <v>-3.879848519082639E-2</v>
      </c>
      <c r="G196" s="427"/>
    </row>
    <row r="197" spans="2:7" x14ac:dyDescent="0.25">
      <c r="B197" s="430" t="s">
        <v>420</v>
      </c>
      <c r="C197" s="434">
        <v>42530</v>
      </c>
      <c r="D197" s="431">
        <v>20170</v>
      </c>
      <c r="E197" s="436">
        <v>279577</v>
      </c>
      <c r="F197" s="444">
        <v>-1.6228534178242104E-2</v>
      </c>
      <c r="G197" s="427"/>
    </row>
    <row r="198" spans="2:7" x14ac:dyDescent="0.25">
      <c r="B198" s="430" t="s">
        <v>420</v>
      </c>
      <c r="C198" s="434">
        <v>42531</v>
      </c>
      <c r="D198" s="431">
        <v>20070</v>
      </c>
      <c r="E198" s="436">
        <v>526947</v>
      </c>
      <c r="F198" s="444">
        <v>-4.9701891578735951E-3</v>
      </c>
      <c r="G198" s="427"/>
    </row>
    <row r="199" spans="2:7" x14ac:dyDescent="0.25">
      <c r="B199" s="430" t="s">
        <v>420</v>
      </c>
      <c r="C199" s="434">
        <v>42534</v>
      </c>
      <c r="D199" s="431">
        <v>19770</v>
      </c>
      <c r="E199" s="436">
        <v>390878</v>
      </c>
      <c r="F199" s="444">
        <v>-1.5060525625721237E-2</v>
      </c>
      <c r="G199" s="427"/>
    </row>
    <row r="200" spans="2:7" x14ac:dyDescent="0.25">
      <c r="B200" s="430" t="s">
        <v>420</v>
      </c>
      <c r="C200" s="434">
        <v>42535</v>
      </c>
      <c r="D200" s="431">
        <v>19210</v>
      </c>
      <c r="E200" s="436">
        <v>379010</v>
      </c>
      <c r="F200" s="444">
        <v>-2.8734660402060304E-2</v>
      </c>
      <c r="G200" s="427"/>
    </row>
    <row r="201" spans="2:7" x14ac:dyDescent="0.25">
      <c r="B201" s="430" t="s">
        <v>420</v>
      </c>
      <c r="C201" s="434">
        <v>42536</v>
      </c>
      <c r="D201" s="431">
        <v>19490</v>
      </c>
      <c r="E201" s="436">
        <v>411856</v>
      </c>
      <c r="F201" s="444">
        <v>1.4470536739004107E-2</v>
      </c>
      <c r="G201" s="427"/>
    </row>
    <row r="202" spans="2:7" x14ac:dyDescent="0.25">
      <c r="B202" s="430" t="s">
        <v>420</v>
      </c>
      <c r="C202" s="434">
        <v>42538</v>
      </c>
      <c r="D202" s="431">
        <v>19554</v>
      </c>
      <c r="E202" s="436">
        <v>870458</v>
      </c>
      <c r="F202" s="444">
        <v>3.278355564009996E-3</v>
      </c>
      <c r="G202" s="427"/>
    </row>
    <row r="203" spans="2:7" x14ac:dyDescent="0.25">
      <c r="B203" s="430" t="s">
        <v>420</v>
      </c>
      <c r="C203" s="434">
        <v>42541</v>
      </c>
      <c r="D203" s="431">
        <v>19759</v>
      </c>
      <c r="E203" s="436">
        <v>337033</v>
      </c>
      <c r="F203" s="444">
        <v>1.0429214668200871E-2</v>
      </c>
      <c r="G203" s="427"/>
    </row>
    <row r="204" spans="2:7" x14ac:dyDescent="0.25">
      <c r="B204" s="430" t="s">
        <v>420</v>
      </c>
      <c r="C204" s="434">
        <v>42542</v>
      </c>
      <c r="D204" s="431">
        <v>19999</v>
      </c>
      <c r="E204" s="436">
        <v>637282</v>
      </c>
      <c r="F204" s="444">
        <v>1.2073188552269E-2</v>
      </c>
      <c r="G204" s="427"/>
    </row>
    <row r="205" spans="2:7" x14ac:dyDescent="0.25">
      <c r="B205" s="430" t="s">
        <v>420</v>
      </c>
      <c r="C205" s="434">
        <v>42543</v>
      </c>
      <c r="D205" s="431">
        <v>20475</v>
      </c>
      <c r="E205" s="436">
        <v>563547</v>
      </c>
      <c r="F205" s="444">
        <v>2.3522357435183806E-2</v>
      </c>
      <c r="G205" s="427"/>
    </row>
    <row r="206" spans="2:7" x14ac:dyDescent="0.25">
      <c r="B206" s="430" t="s">
        <v>420</v>
      </c>
      <c r="C206" s="434">
        <v>42544</v>
      </c>
      <c r="D206" s="431">
        <v>20519</v>
      </c>
      <c r="E206" s="436">
        <v>508656</v>
      </c>
      <c r="F206" s="444">
        <v>2.1466564324773567E-3</v>
      </c>
      <c r="G206" s="427"/>
    </row>
    <row r="207" spans="2:7" x14ac:dyDescent="0.25">
      <c r="B207" s="430" t="s">
        <v>420</v>
      </c>
      <c r="C207" s="434">
        <v>42545</v>
      </c>
      <c r="D207" s="431">
        <v>20190</v>
      </c>
      <c r="E207" s="436">
        <v>788577</v>
      </c>
      <c r="F207" s="444">
        <v>-1.6163853846864425E-2</v>
      </c>
      <c r="G207" s="427"/>
    </row>
    <row r="208" spans="2:7" x14ac:dyDescent="0.25">
      <c r="B208" s="430" t="s">
        <v>420</v>
      </c>
      <c r="C208" s="434">
        <v>42548</v>
      </c>
      <c r="D208" s="431">
        <v>19365</v>
      </c>
      <c r="E208" s="436">
        <v>554356</v>
      </c>
      <c r="F208" s="444">
        <v>-4.1720119358030577E-2</v>
      </c>
      <c r="G208" s="427"/>
    </row>
    <row r="209" spans="2:7" x14ac:dyDescent="0.25">
      <c r="B209" s="430" t="s">
        <v>420</v>
      </c>
      <c r="C209" s="434">
        <v>42549</v>
      </c>
      <c r="D209" s="431">
        <v>20155</v>
      </c>
      <c r="E209" s="436">
        <v>649559</v>
      </c>
      <c r="F209" s="444">
        <v>3.9985083602413575E-2</v>
      </c>
      <c r="G209" s="427"/>
    </row>
    <row r="210" spans="2:7" x14ac:dyDescent="0.25">
      <c r="B210" s="430" t="s">
        <v>420</v>
      </c>
      <c r="C210" s="434">
        <v>42550</v>
      </c>
      <c r="D210" s="431">
        <v>20370</v>
      </c>
      <c r="E210" s="436">
        <v>588001</v>
      </c>
      <c r="F210" s="444">
        <v>1.0610833669585429E-2</v>
      </c>
      <c r="G210" s="427"/>
    </row>
    <row r="211" spans="2:7" x14ac:dyDescent="0.25">
      <c r="B211" s="430" t="s">
        <v>420</v>
      </c>
      <c r="C211" s="434">
        <v>42551</v>
      </c>
      <c r="D211" s="431">
        <v>20200</v>
      </c>
      <c r="E211" s="436">
        <v>1129021</v>
      </c>
      <c r="F211" s="444">
        <v>-8.3806258315553446E-3</v>
      </c>
      <c r="G211" s="427"/>
    </row>
    <row r="212" spans="2:7" x14ac:dyDescent="0.25">
      <c r="B212" s="430" t="s">
        <v>420</v>
      </c>
      <c r="C212" s="434">
        <v>42552</v>
      </c>
      <c r="D212" s="431">
        <v>20126</v>
      </c>
      <c r="E212" s="436">
        <v>428103</v>
      </c>
      <c r="F212" s="444">
        <v>-3.6700928960176028E-3</v>
      </c>
      <c r="G212" s="427"/>
    </row>
    <row r="213" spans="2:7" x14ac:dyDescent="0.25">
      <c r="B213" s="430" t="s">
        <v>420</v>
      </c>
      <c r="C213" s="434">
        <v>42555</v>
      </c>
      <c r="D213" s="431">
        <v>20002</v>
      </c>
      <c r="E213" s="436">
        <v>317588</v>
      </c>
      <c r="F213" s="444">
        <v>-6.1802429568172069E-3</v>
      </c>
      <c r="G213" s="427"/>
    </row>
    <row r="214" spans="2:7" x14ac:dyDescent="0.25">
      <c r="B214" s="430" t="s">
        <v>420</v>
      </c>
      <c r="C214" s="434">
        <v>42556</v>
      </c>
      <c r="D214" s="431">
        <v>19798</v>
      </c>
      <c r="E214" s="436">
        <v>604643</v>
      </c>
      <c r="F214" s="444">
        <v>-1.0251346056708695E-2</v>
      </c>
      <c r="G214" s="427"/>
    </row>
    <row r="215" spans="2:7" x14ac:dyDescent="0.25">
      <c r="B215" s="430" t="s">
        <v>420</v>
      </c>
      <c r="C215" s="434">
        <v>42557</v>
      </c>
      <c r="D215" s="431">
        <v>19300</v>
      </c>
      <c r="E215" s="436">
        <v>965022</v>
      </c>
      <c r="F215" s="444">
        <v>-2.5475826586775753E-2</v>
      </c>
      <c r="G215" s="427"/>
    </row>
    <row r="216" spans="2:7" x14ac:dyDescent="0.25">
      <c r="B216" s="430" t="s">
        <v>420</v>
      </c>
      <c r="C216" s="434">
        <v>42558</v>
      </c>
      <c r="D216" s="431">
        <v>19529</v>
      </c>
      <c r="E216" s="436">
        <v>443291</v>
      </c>
      <c r="F216" s="444">
        <v>1.1795444389805395E-2</v>
      </c>
      <c r="G216" s="427"/>
    </row>
    <row r="217" spans="2:7" x14ac:dyDescent="0.25">
      <c r="B217" s="430" t="s">
        <v>420</v>
      </c>
      <c r="C217" s="434">
        <v>42559</v>
      </c>
      <c r="D217" s="431">
        <v>19501</v>
      </c>
      <c r="E217" s="436">
        <v>270244</v>
      </c>
      <c r="F217" s="444">
        <v>-1.4347939945415947E-3</v>
      </c>
      <c r="G217" s="427"/>
    </row>
    <row r="218" spans="2:7" x14ac:dyDescent="0.25">
      <c r="B218" s="430" t="s">
        <v>420</v>
      </c>
      <c r="C218" s="434">
        <v>42562</v>
      </c>
      <c r="D218" s="431">
        <v>20204</v>
      </c>
      <c r="E218" s="436">
        <v>454744</v>
      </c>
      <c r="F218" s="444">
        <v>3.5414858299702486E-2</v>
      </c>
      <c r="G218" s="427"/>
    </row>
    <row r="219" spans="2:7" x14ac:dyDescent="0.25">
      <c r="B219" s="430" t="s">
        <v>420</v>
      </c>
      <c r="C219" s="434">
        <v>42563</v>
      </c>
      <c r="D219" s="431">
        <v>20153</v>
      </c>
      <c r="E219" s="436">
        <v>494611</v>
      </c>
      <c r="F219" s="444">
        <v>-2.527443920454057E-3</v>
      </c>
      <c r="G219" s="427"/>
    </row>
    <row r="220" spans="2:7" x14ac:dyDescent="0.25">
      <c r="B220" s="430" t="s">
        <v>420</v>
      </c>
      <c r="C220" s="434">
        <v>42564</v>
      </c>
      <c r="D220" s="431">
        <v>20261</v>
      </c>
      <c r="E220" s="436">
        <v>555303</v>
      </c>
      <c r="F220" s="444">
        <v>5.3446952586620466E-3</v>
      </c>
      <c r="G220" s="427"/>
    </row>
    <row r="221" spans="2:7" x14ac:dyDescent="0.25">
      <c r="B221" s="430" t="s">
        <v>420</v>
      </c>
      <c r="C221" s="434">
        <v>42565</v>
      </c>
      <c r="D221" s="431">
        <v>19851</v>
      </c>
      <c r="E221" s="436">
        <v>429518</v>
      </c>
      <c r="F221" s="444">
        <v>-2.0443472245982048E-2</v>
      </c>
      <c r="G221" s="427"/>
    </row>
    <row r="222" spans="2:7" x14ac:dyDescent="0.25">
      <c r="B222" s="430" t="s">
        <v>420</v>
      </c>
      <c r="C222" s="434">
        <v>42566</v>
      </c>
      <c r="D222" s="431">
        <v>20323</v>
      </c>
      <c r="E222" s="436">
        <v>465789</v>
      </c>
      <c r="F222" s="444">
        <v>2.3498865910137817E-2</v>
      </c>
      <c r="G222" s="427"/>
    </row>
    <row r="223" spans="2:7" x14ac:dyDescent="0.25">
      <c r="B223" s="430" t="s">
        <v>420</v>
      </c>
      <c r="C223" s="434">
        <v>42569</v>
      </c>
      <c r="D223" s="431">
        <v>20258</v>
      </c>
      <c r="E223" s="436">
        <v>200864</v>
      </c>
      <c r="F223" s="444">
        <v>-3.2034723435645516E-3</v>
      </c>
      <c r="G223" s="427"/>
    </row>
    <row r="224" spans="2:7" x14ac:dyDescent="0.25">
      <c r="B224" s="430" t="s">
        <v>420</v>
      </c>
      <c r="C224" s="434">
        <v>42570</v>
      </c>
      <c r="D224" s="431">
        <v>20234</v>
      </c>
      <c r="E224" s="436">
        <v>345977</v>
      </c>
      <c r="F224" s="444">
        <v>-1.1854194809068166E-3</v>
      </c>
      <c r="G224" s="427"/>
    </row>
    <row r="225" spans="2:7" x14ac:dyDescent="0.25">
      <c r="B225" s="430" t="s">
        <v>420</v>
      </c>
      <c r="C225" s="434">
        <v>42571</v>
      </c>
      <c r="D225" s="431">
        <v>20971</v>
      </c>
      <c r="E225" s="436">
        <v>621910</v>
      </c>
      <c r="F225" s="444">
        <v>3.5776173165283649E-2</v>
      </c>
      <c r="G225" s="427"/>
    </row>
    <row r="226" spans="2:7" x14ac:dyDescent="0.25">
      <c r="B226" s="430" t="s">
        <v>420</v>
      </c>
      <c r="C226" s="434">
        <v>42572</v>
      </c>
      <c r="D226" s="431">
        <v>20700</v>
      </c>
      <c r="E226" s="436">
        <v>556560</v>
      </c>
      <c r="F226" s="444">
        <v>-1.3006830677658867E-2</v>
      </c>
      <c r="G226" s="427"/>
    </row>
    <row r="227" spans="2:7" x14ac:dyDescent="0.25">
      <c r="B227" s="430" t="s">
        <v>420</v>
      </c>
      <c r="C227" s="434">
        <v>42573</v>
      </c>
      <c r="D227" s="431">
        <v>20726</v>
      </c>
      <c r="E227" s="436">
        <v>285073</v>
      </c>
      <c r="F227" s="444">
        <v>1.2552504907023189E-3</v>
      </c>
      <c r="G227" s="427"/>
    </row>
    <row r="228" spans="2:7" x14ac:dyDescent="0.25">
      <c r="B228" s="430" t="s">
        <v>420</v>
      </c>
      <c r="C228" s="434">
        <v>42576</v>
      </c>
      <c r="D228" s="431">
        <v>21141</v>
      </c>
      <c r="E228" s="436">
        <v>367060</v>
      </c>
      <c r="F228" s="444">
        <v>1.9825332250969392E-2</v>
      </c>
      <c r="G228" s="427"/>
    </row>
    <row r="229" spans="2:7" x14ac:dyDescent="0.25">
      <c r="B229" s="430" t="s">
        <v>420</v>
      </c>
      <c r="C229" s="434">
        <v>42577</v>
      </c>
      <c r="D229" s="431">
        <v>21697</v>
      </c>
      <c r="E229" s="436">
        <v>786253</v>
      </c>
      <c r="F229" s="444">
        <v>2.5959719128239644E-2</v>
      </c>
      <c r="G229" s="427"/>
    </row>
    <row r="230" spans="2:7" x14ac:dyDescent="0.25">
      <c r="B230" s="430" t="s">
        <v>420</v>
      </c>
      <c r="C230" s="434">
        <v>42578</v>
      </c>
      <c r="D230" s="431">
        <v>21509</v>
      </c>
      <c r="E230" s="436">
        <v>668818</v>
      </c>
      <c r="F230" s="444">
        <v>-8.702549946938835E-3</v>
      </c>
      <c r="G230" s="427"/>
    </row>
    <row r="231" spans="2:7" x14ac:dyDescent="0.25">
      <c r="B231" s="430" t="s">
        <v>420</v>
      </c>
      <c r="C231" s="434">
        <v>42579</v>
      </c>
      <c r="D231" s="431">
        <v>20996</v>
      </c>
      <c r="E231" s="436">
        <v>412256</v>
      </c>
      <c r="F231" s="444">
        <v>-2.4139508804242617E-2</v>
      </c>
      <c r="G231" s="427"/>
    </row>
    <row r="232" spans="2:7" x14ac:dyDescent="0.25">
      <c r="B232" s="430" t="s">
        <v>420</v>
      </c>
      <c r="C232" s="434">
        <v>42580</v>
      </c>
      <c r="D232" s="431">
        <v>20708</v>
      </c>
      <c r="E232" s="436">
        <v>649270</v>
      </c>
      <c r="F232" s="444">
        <v>-1.3811844350398367E-2</v>
      </c>
      <c r="G232" s="427"/>
    </row>
    <row r="233" spans="2:7" x14ac:dyDescent="0.25">
      <c r="B233" s="430" t="s">
        <v>420</v>
      </c>
      <c r="C233" s="434">
        <v>42583</v>
      </c>
      <c r="D233" s="431">
        <v>20521</v>
      </c>
      <c r="E233" s="436">
        <v>1058056</v>
      </c>
      <c r="F233" s="444">
        <v>-9.0713469810277027E-3</v>
      </c>
      <c r="G233" s="427"/>
    </row>
    <row r="234" spans="2:7" x14ac:dyDescent="0.25">
      <c r="B234" s="430" t="s">
        <v>420</v>
      </c>
      <c r="C234" s="434">
        <v>42584</v>
      </c>
      <c r="D234" s="431">
        <v>20555</v>
      </c>
      <c r="E234" s="436">
        <v>677703</v>
      </c>
      <c r="F234" s="444">
        <v>1.655468291214562E-3</v>
      </c>
      <c r="G234" s="427"/>
    </row>
    <row r="235" spans="2:7" x14ac:dyDescent="0.25">
      <c r="B235" s="430" t="s">
        <v>420</v>
      </c>
      <c r="C235" s="434">
        <v>42586</v>
      </c>
      <c r="D235" s="431">
        <v>20700</v>
      </c>
      <c r="E235" s="436">
        <v>282292</v>
      </c>
      <c r="F235" s="444">
        <v>7.0294799214816696E-3</v>
      </c>
      <c r="G235" s="427"/>
    </row>
    <row r="236" spans="2:7" x14ac:dyDescent="0.25">
      <c r="B236" s="430" t="s">
        <v>420</v>
      </c>
      <c r="C236" s="434">
        <v>42587</v>
      </c>
      <c r="D236" s="431">
        <v>20600</v>
      </c>
      <c r="E236" s="436">
        <v>333658</v>
      </c>
      <c r="F236" s="444">
        <v>-4.8426244757880151E-3</v>
      </c>
      <c r="G236" s="427"/>
    </row>
    <row r="237" spans="2:7" x14ac:dyDescent="0.25">
      <c r="B237" s="430" t="s">
        <v>420</v>
      </c>
      <c r="C237" s="434">
        <v>42590</v>
      </c>
      <c r="D237" s="431">
        <v>21078</v>
      </c>
      <c r="E237" s="436">
        <v>342039</v>
      </c>
      <c r="F237" s="444">
        <v>2.2938766716209529E-2</v>
      </c>
      <c r="G237" s="427"/>
    </row>
    <row r="238" spans="2:7" x14ac:dyDescent="0.25">
      <c r="B238" s="430" t="s">
        <v>420</v>
      </c>
      <c r="C238" s="434">
        <v>42592</v>
      </c>
      <c r="D238" s="431">
        <v>21103</v>
      </c>
      <c r="E238" s="436">
        <v>648702</v>
      </c>
      <c r="F238" s="444">
        <v>1.1853679584308665E-3</v>
      </c>
      <c r="G238" s="427"/>
    </row>
    <row r="239" spans="2:7" x14ac:dyDescent="0.25">
      <c r="B239" s="430" t="s">
        <v>420</v>
      </c>
      <c r="C239" s="434">
        <v>42593</v>
      </c>
      <c r="D239" s="431">
        <v>21161</v>
      </c>
      <c r="E239" s="436">
        <v>303010</v>
      </c>
      <c r="F239" s="444">
        <v>2.7446543824584946E-3</v>
      </c>
      <c r="G239" s="427"/>
    </row>
    <row r="240" spans="2:7" x14ac:dyDescent="0.25">
      <c r="B240" s="430" t="s">
        <v>420</v>
      </c>
      <c r="C240" s="434">
        <v>42594</v>
      </c>
      <c r="D240" s="431">
        <v>21305</v>
      </c>
      <c r="E240" s="436">
        <v>293009</v>
      </c>
      <c r="F240" s="444">
        <v>6.7819220992410565E-3</v>
      </c>
      <c r="G240" s="427"/>
    </row>
    <row r="241" spans="2:7" x14ac:dyDescent="0.25">
      <c r="B241" s="430" t="s">
        <v>420</v>
      </c>
      <c r="C241" s="434">
        <v>42597</v>
      </c>
      <c r="D241" s="431">
        <v>21015</v>
      </c>
      <c r="E241" s="436">
        <v>449357</v>
      </c>
      <c r="F241" s="444">
        <v>-1.3705318494795289E-2</v>
      </c>
      <c r="G241" s="427"/>
    </row>
    <row r="242" spans="2:7" x14ac:dyDescent="0.25">
      <c r="B242" s="430" t="s">
        <v>420</v>
      </c>
      <c r="C242" s="434">
        <v>42598</v>
      </c>
      <c r="D242" s="431">
        <v>20790</v>
      </c>
      <c r="E242" s="436">
        <v>467966</v>
      </c>
      <c r="F242" s="444">
        <v>-1.076436658715843E-2</v>
      </c>
      <c r="G242" s="427"/>
    </row>
    <row r="243" spans="2:7" x14ac:dyDescent="0.25">
      <c r="B243" s="430" t="s">
        <v>420</v>
      </c>
      <c r="C243" s="434">
        <v>42599</v>
      </c>
      <c r="D243" s="431">
        <v>20690</v>
      </c>
      <c r="E243" s="436">
        <v>614303</v>
      </c>
      <c r="F243" s="444">
        <v>-4.8216101124699028E-3</v>
      </c>
      <c r="G243" s="427"/>
    </row>
    <row r="244" spans="2:7" x14ac:dyDescent="0.25">
      <c r="B244" s="430" t="s">
        <v>420</v>
      </c>
      <c r="C244" s="434">
        <v>42600</v>
      </c>
      <c r="D244" s="431">
        <v>20680</v>
      </c>
      <c r="E244" s="436">
        <v>461964</v>
      </c>
      <c r="F244" s="444">
        <v>-4.8344211722330734E-4</v>
      </c>
      <c r="G244" s="427"/>
    </row>
    <row r="245" spans="2:7" x14ac:dyDescent="0.25">
      <c r="B245" s="430" t="s">
        <v>420</v>
      </c>
      <c r="C245" s="434">
        <v>42601</v>
      </c>
      <c r="D245" s="431">
        <v>20744</v>
      </c>
      <c r="E245" s="436">
        <v>1460397</v>
      </c>
      <c r="F245" s="444">
        <v>3.0899985961349041E-3</v>
      </c>
      <c r="G245" s="427"/>
    </row>
    <row r="246" spans="2:7" x14ac:dyDescent="0.25">
      <c r="B246" s="430" t="s">
        <v>420</v>
      </c>
      <c r="C246" s="434">
        <v>42604</v>
      </c>
      <c r="D246" s="431">
        <v>20700</v>
      </c>
      <c r="E246" s="436">
        <v>259621</v>
      </c>
      <c r="F246" s="444">
        <v>-2.1233479650398209E-3</v>
      </c>
      <c r="G246" s="427"/>
    </row>
    <row r="247" spans="2:7" x14ac:dyDescent="0.25">
      <c r="B247" s="430" t="s">
        <v>420</v>
      </c>
      <c r="C247" s="434">
        <v>42605</v>
      </c>
      <c r="D247" s="431">
        <v>20775</v>
      </c>
      <c r="E247" s="436">
        <v>907464</v>
      </c>
      <c r="F247" s="444">
        <v>3.6166404701885148E-3</v>
      </c>
      <c r="G247" s="427"/>
    </row>
    <row r="248" spans="2:7" x14ac:dyDescent="0.25">
      <c r="B248" s="430" t="s">
        <v>420</v>
      </c>
      <c r="C248" s="434">
        <v>42606</v>
      </c>
      <c r="D248" s="431">
        <v>19650</v>
      </c>
      <c r="E248" s="436">
        <v>2673163</v>
      </c>
      <c r="F248" s="444">
        <v>-5.5673002426241638E-2</v>
      </c>
      <c r="G248" s="427"/>
    </row>
    <row r="249" spans="2:7" x14ac:dyDescent="0.25">
      <c r="B249" s="430" t="s">
        <v>420</v>
      </c>
      <c r="C249" s="434">
        <v>42607</v>
      </c>
      <c r="D249" s="431">
        <v>19371</v>
      </c>
      <c r="E249" s="436">
        <v>1742612</v>
      </c>
      <c r="F249" s="444">
        <v>-1.4300236002830587E-2</v>
      </c>
      <c r="G249" s="427"/>
    </row>
    <row r="250" spans="2:7" x14ac:dyDescent="0.25">
      <c r="B250" s="430" t="s">
        <v>420</v>
      </c>
      <c r="C250" s="434">
        <v>42608</v>
      </c>
      <c r="D250" s="431">
        <v>19698</v>
      </c>
      <c r="E250" s="436">
        <v>853507</v>
      </c>
      <c r="F250" s="444">
        <v>1.6740005435071009E-2</v>
      </c>
      <c r="G250" s="427"/>
    </row>
    <row r="251" spans="2:7" x14ac:dyDescent="0.25">
      <c r="B251" s="430" t="s">
        <v>420</v>
      </c>
      <c r="C251" s="434">
        <v>42611</v>
      </c>
      <c r="D251" s="431">
        <v>19700</v>
      </c>
      <c r="E251" s="436">
        <v>954086</v>
      </c>
      <c r="F251" s="444">
        <v>1.0152799643213796E-4</v>
      </c>
      <c r="G251" s="427"/>
    </row>
    <row r="252" spans="2:7" x14ac:dyDescent="0.25">
      <c r="B252" s="430" t="s">
        <v>420</v>
      </c>
      <c r="C252" s="434">
        <v>42612</v>
      </c>
      <c r="D252" s="431">
        <v>19728</v>
      </c>
      <c r="E252" s="436">
        <v>648727</v>
      </c>
      <c r="F252" s="444">
        <v>1.4203106780457139E-3</v>
      </c>
      <c r="G252" s="427"/>
    </row>
    <row r="253" spans="2:7" x14ac:dyDescent="0.25">
      <c r="B253" s="430" t="s">
        <v>420</v>
      </c>
      <c r="C253" s="434">
        <v>42613</v>
      </c>
      <c r="D253" s="431">
        <v>19200</v>
      </c>
      <c r="E253" s="436">
        <v>1133445</v>
      </c>
      <c r="F253" s="444">
        <v>-2.7128667388252585E-2</v>
      </c>
      <c r="G253" s="427"/>
    </row>
    <row r="254" spans="2:7" x14ac:dyDescent="0.25">
      <c r="B254" s="430" t="s">
        <v>420</v>
      </c>
      <c r="C254" s="434">
        <v>42614</v>
      </c>
      <c r="D254" s="431">
        <v>18950</v>
      </c>
      <c r="E254" s="436">
        <v>841851</v>
      </c>
      <c r="F254" s="444">
        <v>-1.3106347505300547E-2</v>
      </c>
      <c r="G254" s="427"/>
    </row>
    <row r="255" spans="2:7" x14ac:dyDescent="0.25">
      <c r="B255" s="430" t="s">
        <v>420</v>
      </c>
      <c r="C255" s="434">
        <v>42615</v>
      </c>
      <c r="D255" s="431">
        <v>19126</v>
      </c>
      <c r="E255" s="436">
        <v>1307172</v>
      </c>
      <c r="F255" s="444">
        <v>9.2447343989156272E-3</v>
      </c>
      <c r="G255" s="427"/>
    </row>
    <row r="256" spans="2:7" x14ac:dyDescent="0.25">
      <c r="B256" s="430" t="s">
        <v>420</v>
      </c>
      <c r="C256" s="434">
        <v>42618</v>
      </c>
      <c r="D256" s="431">
        <v>19242</v>
      </c>
      <c r="E256" s="436">
        <v>687074</v>
      </c>
      <c r="F256" s="444">
        <v>6.0467240117218664E-3</v>
      </c>
      <c r="G256" s="427"/>
    </row>
    <row r="257" spans="2:7" x14ac:dyDescent="0.25">
      <c r="B257" s="430" t="s">
        <v>420</v>
      </c>
      <c r="C257" s="434">
        <v>42619</v>
      </c>
      <c r="D257" s="431">
        <v>19365</v>
      </c>
      <c r="E257" s="436">
        <v>678235</v>
      </c>
      <c r="F257" s="444">
        <v>6.3719230276425998E-3</v>
      </c>
      <c r="G257" s="427"/>
    </row>
    <row r="258" spans="2:7" x14ac:dyDescent="0.25">
      <c r="B258" s="430" t="s">
        <v>420</v>
      </c>
      <c r="C258" s="434">
        <v>42620</v>
      </c>
      <c r="D258" s="431">
        <v>19175</v>
      </c>
      <c r="E258" s="436">
        <v>1319404</v>
      </c>
      <c r="F258" s="444">
        <v>-9.8599657133955753E-3</v>
      </c>
      <c r="G258" s="427"/>
    </row>
    <row r="259" spans="2:7" x14ac:dyDescent="0.25">
      <c r="B259" s="430" t="s">
        <v>420</v>
      </c>
      <c r="C259" s="434">
        <v>42621</v>
      </c>
      <c r="D259" s="431">
        <v>19073</v>
      </c>
      <c r="E259" s="436">
        <v>1191975</v>
      </c>
      <c r="F259" s="444">
        <v>-5.3336248590303134E-3</v>
      </c>
      <c r="G259" s="427"/>
    </row>
    <row r="260" spans="2:7" x14ac:dyDescent="0.25">
      <c r="B260" s="430" t="s">
        <v>420</v>
      </c>
      <c r="C260" s="434">
        <v>42622</v>
      </c>
      <c r="D260" s="431">
        <v>19000</v>
      </c>
      <c r="E260" s="436">
        <v>990356</v>
      </c>
      <c r="F260" s="444">
        <v>-3.8347432278491279E-3</v>
      </c>
      <c r="G260" s="427"/>
    </row>
    <row r="261" spans="2:7" x14ac:dyDescent="0.25">
      <c r="B261" s="430" t="s">
        <v>420</v>
      </c>
      <c r="C261" s="434">
        <v>42625</v>
      </c>
      <c r="D261" s="431">
        <v>18868</v>
      </c>
      <c r="E261" s="436">
        <v>724032</v>
      </c>
      <c r="F261" s="444">
        <v>-6.9716137444251801E-3</v>
      </c>
      <c r="G261" s="427"/>
    </row>
    <row r="262" spans="2:7" x14ac:dyDescent="0.25">
      <c r="B262" s="430" t="s">
        <v>420</v>
      </c>
      <c r="C262" s="434">
        <v>42626</v>
      </c>
      <c r="D262" s="431">
        <v>18857</v>
      </c>
      <c r="E262" s="436">
        <v>389079</v>
      </c>
      <c r="F262" s="444">
        <v>-5.8316767722960453E-4</v>
      </c>
      <c r="G262" s="427"/>
    </row>
    <row r="263" spans="2:7" x14ac:dyDescent="0.25">
      <c r="B263" s="430" t="s">
        <v>420</v>
      </c>
      <c r="C263" s="434">
        <v>42627</v>
      </c>
      <c r="D263" s="431">
        <v>18952</v>
      </c>
      <c r="E263" s="436">
        <v>717012</v>
      </c>
      <c r="F263" s="444">
        <v>5.0252691116987351E-3</v>
      </c>
      <c r="G263" s="427"/>
    </row>
    <row r="264" spans="2:7" x14ac:dyDescent="0.25">
      <c r="B264" s="430" t="s">
        <v>420</v>
      </c>
      <c r="C264" s="434">
        <v>42628</v>
      </c>
      <c r="D264" s="431">
        <v>18711</v>
      </c>
      <c r="E264" s="436">
        <v>820671</v>
      </c>
      <c r="F264" s="444">
        <v>-1.2797880644389106E-2</v>
      </c>
      <c r="G264" s="427"/>
    </row>
    <row r="265" spans="2:7" x14ac:dyDescent="0.25">
      <c r="B265" s="430" t="s">
        <v>420</v>
      </c>
      <c r="C265" s="434">
        <v>42629</v>
      </c>
      <c r="D265" s="431">
        <v>18963</v>
      </c>
      <c r="E265" s="436">
        <v>2965580</v>
      </c>
      <c r="F265" s="444">
        <v>1.337812594617605E-2</v>
      </c>
      <c r="G265" s="427"/>
    </row>
    <row r="266" spans="2:7" x14ac:dyDescent="0.25">
      <c r="B266" s="430" t="s">
        <v>420</v>
      </c>
      <c r="C266" s="434">
        <v>42632</v>
      </c>
      <c r="D266" s="431">
        <v>18857</v>
      </c>
      <c r="E266" s="436">
        <v>947573</v>
      </c>
      <c r="F266" s="444">
        <v>-5.6055144134857194E-3</v>
      </c>
      <c r="G266" s="427"/>
    </row>
    <row r="267" spans="2:7" x14ac:dyDescent="0.25">
      <c r="B267" s="430" t="s">
        <v>420</v>
      </c>
      <c r="C267" s="434">
        <v>42633</v>
      </c>
      <c r="D267" s="431">
        <v>19000</v>
      </c>
      <c r="E267" s="436">
        <v>524454</v>
      </c>
      <c r="F267" s="444">
        <v>7.5547814216547779E-3</v>
      </c>
      <c r="G267" s="427"/>
    </row>
    <row r="268" spans="2:7" x14ac:dyDescent="0.25">
      <c r="B268" s="430" t="s">
        <v>420</v>
      </c>
      <c r="C268" s="434">
        <v>42634</v>
      </c>
      <c r="D268" s="431">
        <v>19029</v>
      </c>
      <c r="E268" s="436">
        <v>687117</v>
      </c>
      <c r="F268" s="444">
        <v>1.525152153429231E-3</v>
      </c>
      <c r="G268" s="427"/>
    </row>
    <row r="269" spans="2:7" x14ac:dyDescent="0.25">
      <c r="B269" s="430" t="s">
        <v>420</v>
      </c>
      <c r="C269" s="434">
        <v>42635</v>
      </c>
      <c r="D269" s="431">
        <v>19350</v>
      </c>
      <c r="E269" s="436">
        <v>872982</v>
      </c>
      <c r="F269" s="444">
        <v>1.672828815592094E-2</v>
      </c>
      <c r="G269" s="427"/>
    </row>
    <row r="270" spans="2:7" x14ac:dyDescent="0.25">
      <c r="B270" s="430" t="s">
        <v>420</v>
      </c>
      <c r="C270" s="434">
        <v>42636</v>
      </c>
      <c r="D270" s="431">
        <v>19175</v>
      </c>
      <c r="E270" s="436">
        <v>1204051</v>
      </c>
      <c r="F270" s="444">
        <v>-9.0850722224709822E-3</v>
      </c>
      <c r="G270" s="427"/>
    </row>
    <row r="271" spans="2:7" x14ac:dyDescent="0.25">
      <c r="B271" s="430" t="s">
        <v>420</v>
      </c>
      <c r="C271" s="434">
        <v>42639</v>
      </c>
      <c r="D271" s="431">
        <v>18805</v>
      </c>
      <c r="E271" s="436">
        <v>421530</v>
      </c>
      <c r="F271" s="444">
        <v>-1.9484555331020139E-2</v>
      </c>
      <c r="G271" s="427"/>
    </row>
    <row r="272" spans="2:7" x14ac:dyDescent="0.25">
      <c r="B272" s="430" t="s">
        <v>420</v>
      </c>
      <c r="C272" s="434">
        <v>42640</v>
      </c>
      <c r="D272" s="431">
        <v>18903</v>
      </c>
      <c r="E272" s="436">
        <v>1174035</v>
      </c>
      <c r="F272" s="444">
        <v>5.1978477057285245E-3</v>
      </c>
      <c r="G272" s="427"/>
    </row>
    <row r="273" spans="2:7" x14ac:dyDescent="0.25">
      <c r="B273" s="430" t="s">
        <v>420</v>
      </c>
      <c r="C273" s="434">
        <v>42641</v>
      </c>
      <c r="D273" s="431">
        <v>19047</v>
      </c>
      <c r="E273" s="436">
        <v>1231795</v>
      </c>
      <c r="F273" s="444">
        <v>7.588969228394477E-3</v>
      </c>
      <c r="G273" s="427"/>
    </row>
    <row r="274" spans="2:7" x14ac:dyDescent="0.25">
      <c r="B274" s="430" t="s">
        <v>420</v>
      </c>
      <c r="C274" s="434">
        <v>42642</v>
      </c>
      <c r="D274" s="431">
        <v>19370</v>
      </c>
      <c r="E274" s="436">
        <v>1074399</v>
      </c>
      <c r="F274" s="444">
        <v>1.6815868562482062E-2</v>
      </c>
      <c r="G274" s="427"/>
    </row>
    <row r="275" spans="2:7" x14ac:dyDescent="0.25">
      <c r="B275" s="430" t="s">
        <v>420</v>
      </c>
      <c r="C275" s="434">
        <v>42643</v>
      </c>
      <c r="D275" s="431">
        <v>19222</v>
      </c>
      <c r="E275" s="436">
        <v>651753</v>
      </c>
      <c r="F275" s="444">
        <v>-7.6700210178118709E-3</v>
      </c>
      <c r="G275" s="427"/>
    </row>
    <row r="276" spans="2:7" x14ac:dyDescent="0.25">
      <c r="B276" s="430" t="s">
        <v>420</v>
      </c>
      <c r="C276" s="434">
        <v>42646</v>
      </c>
      <c r="D276" s="431">
        <v>19200</v>
      </c>
      <c r="E276" s="436">
        <v>569226</v>
      </c>
      <c r="F276" s="444">
        <v>-1.1451773673567694E-3</v>
      </c>
      <c r="G276" s="427"/>
    </row>
    <row r="277" spans="2:7" x14ac:dyDescent="0.25">
      <c r="B277" s="430" t="s">
        <v>420</v>
      </c>
      <c r="C277" s="434">
        <v>42647</v>
      </c>
      <c r="D277" s="431">
        <v>19350</v>
      </c>
      <c r="E277" s="436">
        <v>499095</v>
      </c>
      <c r="F277" s="444">
        <v>7.782140442054949E-3</v>
      </c>
      <c r="G277" s="427"/>
    </row>
    <row r="278" spans="2:7" x14ac:dyDescent="0.25">
      <c r="B278" s="430" t="s">
        <v>420</v>
      </c>
      <c r="C278" s="434">
        <v>42648</v>
      </c>
      <c r="D278" s="431">
        <v>19386</v>
      </c>
      <c r="E278" s="436">
        <v>290212</v>
      </c>
      <c r="F278" s="444">
        <v>1.858736594625342E-3</v>
      </c>
      <c r="G278" s="427"/>
    </row>
    <row r="279" spans="2:7" x14ac:dyDescent="0.25">
      <c r="B279" s="430" t="s">
        <v>420</v>
      </c>
      <c r="C279" s="434">
        <v>42649</v>
      </c>
      <c r="D279" s="431">
        <v>19139</v>
      </c>
      <c r="E279" s="436">
        <v>626650</v>
      </c>
      <c r="F279" s="444">
        <v>-1.2823018014480086E-2</v>
      </c>
      <c r="G279" s="427"/>
    </row>
    <row r="280" spans="2:7" x14ac:dyDescent="0.25">
      <c r="B280" s="430" t="s">
        <v>420</v>
      </c>
      <c r="C280" s="434">
        <v>42650</v>
      </c>
      <c r="D280" s="431">
        <v>19200</v>
      </c>
      <c r="E280" s="436">
        <v>609589</v>
      </c>
      <c r="F280" s="444">
        <v>3.1821409777998359E-3</v>
      </c>
      <c r="G280" s="427"/>
    </row>
    <row r="281" spans="2:7" x14ac:dyDescent="0.25">
      <c r="B281" s="430" t="s">
        <v>420</v>
      </c>
      <c r="C281" s="434">
        <v>42653</v>
      </c>
      <c r="D281" s="431">
        <v>19202</v>
      </c>
      <c r="E281" s="436">
        <v>722567</v>
      </c>
      <c r="F281" s="444">
        <v>1.041612416960805E-4</v>
      </c>
      <c r="G281" s="427"/>
    </row>
    <row r="282" spans="2:7" x14ac:dyDescent="0.25">
      <c r="B282" s="430" t="s">
        <v>420</v>
      </c>
      <c r="C282" s="434">
        <v>42654</v>
      </c>
      <c r="D282" s="431">
        <v>19196</v>
      </c>
      <c r="E282" s="436">
        <v>951118</v>
      </c>
      <c r="F282" s="444">
        <v>-3.1251627943299154E-4</v>
      </c>
      <c r="G282" s="427"/>
    </row>
    <row r="283" spans="2:7" x14ac:dyDescent="0.25">
      <c r="B283" s="430" t="s">
        <v>420</v>
      </c>
      <c r="C283" s="434">
        <v>42655</v>
      </c>
      <c r="D283" s="431">
        <v>19100</v>
      </c>
      <c r="E283" s="436">
        <v>716897</v>
      </c>
      <c r="F283" s="444">
        <v>-5.0135889434148664E-3</v>
      </c>
      <c r="G283" s="427"/>
    </row>
    <row r="284" spans="2:7" x14ac:dyDescent="0.25">
      <c r="B284" s="430" t="s">
        <v>420</v>
      </c>
      <c r="C284" s="434">
        <v>42656</v>
      </c>
      <c r="D284" s="431">
        <v>18727</v>
      </c>
      <c r="E284" s="436">
        <v>787843</v>
      </c>
      <c r="F284" s="444">
        <v>-1.9722002274212856E-2</v>
      </c>
      <c r="G284" s="427"/>
    </row>
    <row r="285" spans="2:7" x14ac:dyDescent="0.25">
      <c r="B285" s="430" t="s">
        <v>420</v>
      </c>
      <c r="C285" s="434">
        <v>42657</v>
      </c>
      <c r="D285" s="431">
        <v>19135</v>
      </c>
      <c r="E285" s="436">
        <v>734731</v>
      </c>
      <c r="F285" s="444">
        <v>2.1552786099294251E-2</v>
      </c>
      <c r="G285" s="427"/>
    </row>
    <row r="286" spans="2:7" x14ac:dyDescent="0.25">
      <c r="B286" s="430" t="s">
        <v>420</v>
      </c>
      <c r="C286" s="434">
        <v>42660</v>
      </c>
      <c r="D286" s="431">
        <v>19287</v>
      </c>
      <c r="E286" s="436">
        <v>574439</v>
      </c>
      <c r="F286" s="444">
        <v>7.9121749499937166E-3</v>
      </c>
      <c r="G286" s="427"/>
    </row>
    <row r="287" spans="2:7" x14ac:dyDescent="0.25">
      <c r="B287" s="430" t="s">
        <v>420</v>
      </c>
      <c r="C287" s="434">
        <v>42661</v>
      </c>
      <c r="D287" s="431">
        <v>19152</v>
      </c>
      <c r="E287" s="436">
        <v>814874</v>
      </c>
      <c r="F287" s="444">
        <v>-7.0241450120420122E-3</v>
      </c>
      <c r="G287" s="427"/>
    </row>
    <row r="288" spans="2:7" x14ac:dyDescent="0.25">
      <c r="B288" s="430" t="s">
        <v>420</v>
      </c>
      <c r="C288" s="434">
        <v>42662</v>
      </c>
      <c r="D288" s="431">
        <v>19198</v>
      </c>
      <c r="E288" s="436">
        <v>426991</v>
      </c>
      <c r="F288" s="444">
        <v>2.3989581257277616E-3</v>
      </c>
      <c r="G288" s="427"/>
    </row>
    <row r="289" spans="2:7" x14ac:dyDescent="0.25">
      <c r="B289" s="430" t="s">
        <v>420</v>
      </c>
      <c r="C289" s="434">
        <v>42663</v>
      </c>
      <c r="D289" s="431">
        <v>19020</v>
      </c>
      <c r="E289" s="436">
        <v>366473</v>
      </c>
      <c r="F289" s="444">
        <v>-9.3150498241009756E-3</v>
      </c>
      <c r="G289" s="427"/>
    </row>
    <row r="290" spans="2:7" x14ac:dyDescent="0.25">
      <c r="B290" s="430" t="s">
        <v>420</v>
      </c>
      <c r="C290" s="434">
        <v>42664</v>
      </c>
      <c r="D290" s="431">
        <v>19185</v>
      </c>
      <c r="E290" s="436">
        <v>469906</v>
      </c>
      <c r="F290" s="444">
        <v>8.6376665816714042E-3</v>
      </c>
      <c r="G290" s="427"/>
    </row>
    <row r="291" spans="2:7" x14ac:dyDescent="0.25">
      <c r="B291" s="430" t="s">
        <v>420</v>
      </c>
      <c r="C291" s="434">
        <v>42667</v>
      </c>
      <c r="D291" s="431">
        <v>19286</v>
      </c>
      <c r="E291" s="436">
        <v>497640</v>
      </c>
      <c r="F291" s="444">
        <v>5.2507203892768594E-3</v>
      </c>
      <c r="G291" s="427"/>
    </row>
    <row r="292" spans="2:7" x14ac:dyDescent="0.25">
      <c r="B292" s="430" t="s">
        <v>420</v>
      </c>
      <c r="C292" s="434">
        <v>42668</v>
      </c>
      <c r="D292" s="431">
        <v>19272</v>
      </c>
      <c r="E292" s="436">
        <v>732640</v>
      </c>
      <c r="F292" s="444">
        <v>-7.2617877562246845E-4</v>
      </c>
      <c r="G292" s="427"/>
    </row>
    <row r="293" spans="2:7" x14ac:dyDescent="0.25">
      <c r="B293" s="430" t="s">
        <v>420</v>
      </c>
      <c r="C293" s="434">
        <v>42669</v>
      </c>
      <c r="D293" s="431">
        <v>19168</v>
      </c>
      <c r="E293" s="436">
        <v>450394</v>
      </c>
      <c r="F293" s="444">
        <v>-5.4110433795313811E-3</v>
      </c>
      <c r="G293" s="427"/>
    </row>
    <row r="294" spans="2:7" x14ac:dyDescent="0.25">
      <c r="B294" s="430" t="s">
        <v>420</v>
      </c>
      <c r="C294" s="434">
        <v>42670</v>
      </c>
      <c r="D294" s="431">
        <v>19094</v>
      </c>
      <c r="E294" s="436">
        <v>442270</v>
      </c>
      <c r="F294" s="444">
        <v>-3.8680723571973595E-3</v>
      </c>
      <c r="G294" s="427"/>
    </row>
    <row r="295" spans="2:7" x14ac:dyDescent="0.25">
      <c r="B295" s="430" t="s">
        <v>420</v>
      </c>
      <c r="C295" s="434">
        <v>42671</v>
      </c>
      <c r="D295" s="431">
        <v>18832</v>
      </c>
      <c r="E295" s="436">
        <v>428756</v>
      </c>
      <c r="F295" s="444">
        <v>-1.3816599057920508E-2</v>
      </c>
      <c r="G295" s="427"/>
    </row>
    <row r="296" spans="2:7" x14ac:dyDescent="0.25">
      <c r="B296" s="430" t="s">
        <v>420</v>
      </c>
      <c r="C296" s="434">
        <v>42674</v>
      </c>
      <c r="D296" s="431">
        <v>19100</v>
      </c>
      <c r="E296" s="436">
        <v>385416</v>
      </c>
      <c r="F296" s="444">
        <v>1.4130784534663186E-2</v>
      </c>
      <c r="G296" s="427"/>
    </row>
    <row r="297" spans="2:7" x14ac:dyDescent="0.25">
      <c r="B297" s="430" t="s">
        <v>420</v>
      </c>
      <c r="C297" s="434">
        <v>42675</v>
      </c>
      <c r="D297" s="431">
        <v>18965</v>
      </c>
      <c r="E297" s="436">
        <v>505024</v>
      </c>
      <c r="F297" s="444">
        <v>-7.0931599117219617E-3</v>
      </c>
      <c r="G297" s="427"/>
    </row>
    <row r="298" spans="2:7" x14ac:dyDescent="0.25">
      <c r="B298" s="430" t="s">
        <v>420</v>
      </c>
      <c r="C298" s="434">
        <v>42676</v>
      </c>
      <c r="D298" s="431">
        <v>18778</v>
      </c>
      <c r="E298" s="436">
        <v>666108</v>
      </c>
      <c r="F298" s="444">
        <v>-9.9092033045065538E-3</v>
      </c>
      <c r="G298" s="427"/>
    </row>
    <row r="299" spans="2:7" x14ac:dyDescent="0.25">
      <c r="B299" s="430" t="s">
        <v>420</v>
      </c>
      <c r="C299" s="434">
        <v>42677</v>
      </c>
      <c r="D299" s="431">
        <v>18600</v>
      </c>
      <c r="E299" s="436">
        <v>629533</v>
      </c>
      <c r="F299" s="444">
        <v>-9.5243911172000987E-3</v>
      </c>
      <c r="G299" s="427"/>
    </row>
    <row r="300" spans="2:7" x14ac:dyDescent="0.25">
      <c r="B300" s="430" t="s">
        <v>420</v>
      </c>
      <c r="C300" s="434">
        <v>42678</v>
      </c>
      <c r="D300" s="431">
        <v>18350</v>
      </c>
      <c r="E300" s="436">
        <v>545521</v>
      </c>
      <c r="F300" s="444">
        <v>-1.3532006218576273E-2</v>
      </c>
      <c r="G300" s="427"/>
    </row>
    <row r="301" spans="2:7" x14ac:dyDescent="0.25">
      <c r="B301" s="430" t="s">
        <v>420</v>
      </c>
      <c r="C301" s="434">
        <v>42681</v>
      </c>
      <c r="D301" s="431">
        <v>18701</v>
      </c>
      <c r="E301" s="436">
        <v>1147571</v>
      </c>
      <c r="F301" s="444">
        <v>1.8947423866003659E-2</v>
      </c>
      <c r="G301" s="427"/>
    </row>
    <row r="302" spans="2:7" x14ac:dyDescent="0.25">
      <c r="B302" s="430" t="s">
        <v>420</v>
      </c>
      <c r="C302" s="434">
        <v>42682</v>
      </c>
      <c r="D302" s="431">
        <v>18898</v>
      </c>
      <c r="E302" s="436">
        <v>637296</v>
      </c>
      <c r="F302" s="444">
        <v>1.0479097993851272E-2</v>
      </c>
      <c r="G302" s="427"/>
    </row>
    <row r="303" spans="2:7" x14ac:dyDescent="0.25">
      <c r="B303" s="430" t="s">
        <v>420</v>
      </c>
      <c r="C303" s="434">
        <v>42683</v>
      </c>
      <c r="D303" s="431">
        <v>18500</v>
      </c>
      <c r="E303" s="436">
        <v>587808</v>
      </c>
      <c r="F303" s="444">
        <v>-2.1285364276155058E-2</v>
      </c>
      <c r="G303" s="427"/>
    </row>
    <row r="304" spans="2:7" x14ac:dyDescent="0.25">
      <c r="B304" s="430" t="s">
        <v>420</v>
      </c>
      <c r="C304" s="434">
        <v>42684</v>
      </c>
      <c r="D304" s="431">
        <v>17991</v>
      </c>
      <c r="E304" s="436">
        <v>611867</v>
      </c>
      <c r="F304" s="444">
        <v>-2.7899099229796727E-2</v>
      </c>
      <c r="G304" s="427"/>
    </row>
    <row r="305" spans="2:7" x14ac:dyDescent="0.25">
      <c r="B305" s="430" t="s">
        <v>420</v>
      </c>
      <c r="C305" s="434">
        <v>42685</v>
      </c>
      <c r="D305" s="431">
        <v>17287</v>
      </c>
      <c r="E305" s="436">
        <v>1631269</v>
      </c>
      <c r="F305" s="444">
        <v>-3.9916858913832676E-2</v>
      </c>
      <c r="G305" s="427"/>
    </row>
    <row r="306" spans="2:7" x14ac:dyDescent="0.25">
      <c r="B306" s="430" t="s">
        <v>420</v>
      </c>
      <c r="C306" s="434">
        <v>42688</v>
      </c>
      <c r="D306" s="431">
        <v>17100</v>
      </c>
      <c r="E306" s="436">
        <v>1300508</v>
      </c>
      <c r="F306" s="444">
        <v>-1.0876310432035527E-2</v>
      </c>
      <c r="G306" s="427"/>
    </row>
    <row r="307" spans="2:7" x14ac:dyDescent="0.25">
      <c r="B307" s="430" t="s">
        <v>420</v>
      </c>
      <c r="C307" s="434">
        <v>42689</v>
      </c>
      <c r="D307" s="431">
        <v>17510</v>
      </c>
      <c r="E307" s="436">
        <v>1508301</v>
      </c>
      <c r="F307" s="444">
        <v>2.3693682789146252E-2</v>
      </c>
      <c r="G307" s="427"/>
    </row>
    <row r="308" spans="2:7" x14ac:dyDescent="0.25">
      <c r="B308" s="430" t="s">
        <v>420</v>
      </c>
      <c r="C308" s="434">
        <v>42690</v>
      </c>
      <c r="D308" s="431">
        <v>18200</v>
      </c>
      <c r="E308" s="436">
        <v>1406267</v>
      </c>
      <c r="F308" s="444">
        <v>3.8649447784989202E-2</v>
      </c>
      <c r="G308" s="427"/>
    </row>
    <row r="309" spans="2:7" x14ac:dyDescent="0.25">
      <c r="B309" s="430" t="s">
        <v>420</v>
      </c>
      <c r="C309" s="434">
        <v>42691</v>
      </c>
      <c r="D309" s="431">
        <v>18140</v>
      </c>
      <c r="E309" s="436">
        <v>622961</v>
      </c>
      <c r="F309" s="444">
        <v>-3.3021493957591107E-3</v>
      </c>
      <c r="G309" s="427"/>
    </row>
    <row r="310" spans="2:7" x14ac:dyDescent="0.25">
      <c r="B310" s="430" t="s">
        <v>420</v>
      </c>
      <c r="C310" s="434">
        <v>42692</v>
      </c>
      <c r="D310" s="431">
        <v>18200</v>
      </c>
      <c r="E310" s="436">
        <v>655231</v>
      </c>
      <c r="F310" s="444">
        <v>3.3021493957590318E-3</v>
      </c>
      <c r="G310" s="427"/>
    </row>
    <row r="311" spans="2:7" x14ac:dyDescent="0.25">
      <c r="B311" s="430" t="s">
        <v>420</v>
      </c>
      <c r="C311" s="434">
        <v>42695</v>
      </c>
      <c r="D311" s="431">
        <v>18256</v>
      </c>
      <c r="E311" s="436">
        <v>717065</v>
      </c>
      <c r="F311" s="444">
        <v>3.0721990369700588E-3</v>
      </c>
      <c r="G311" s="427"/>
    </row>
    <row r="312" spans="2:7" x14ac:dyDescent="0.25">
      <c r="B312" s="430" t="s">
        <v>420</v>
      </c>
      <c r="C312" s="434">
        <v>42696</v>
      </c>
      <c r="D312" s="431">
        <v>18764</v>
      </c>
      <c r="E312" s="436">
        <v>755337</v>
      </c>
      <c r="F312" s="444">
        <v>2.7446347346491814E-2</v>
      </c>
      <c r="G312" s="427"/>
    </row>
    <row r="313" spans="2:7" x14ac:dyDescent="0.25">
      <c r="B313" s="430" t="s">
        <v>420</v>
      </c>
      <c r="C313" s="434">
        <v>42697</v>
      </c>
      <c r="D313" s="431">
        <v>18897</v>
      </c>
      <c r="E313" s="436">
        <v>1038386</v>
      </c>
      <c r="F313" s="444">
        <v>7.0630388416900785E-3</v>
      </c>
      <c r="G313" s="427"/>
    </row>
    <row r="314" spans="2:7" x14ac:dyDescent="0.25">
      <c r="B314" s="430" t="s">
        <v>420</v>
      </c>
      <c r="C314" s="434">
        <v>42698</v>
      </c>
      <c r="D314" s="431">
        <v>18683</v>
      </c>
      <c r="E314" s="436">
        <v>525379</v>
      </c>
      <c r="F314" s="444">
        <v>-1.1389159830201299E-2</v>
      </c>
      <c r="G314" s="427"/>
    </row>
    <row r="315" spans="2:7" x14ac:dyDescent="0.25">
      <c r="B315" s="430" t="s">
        <v>420</v>
      </c>
      <c r="C315" s="434">
        <v>42699</v>
      </c>
      <c r="D315" s="431">
        <v>18691</v>
      </c>
      <c r="E315" s="436">
        <v>531893</v>
      </c>
      <c r="F315" s="444">
        <v>4.2810510634029082E-4</v>
      </c>
      <c r="G315" s="427"/>
    </row>
    <row r="316" spans="2:7" x14ac:dyDescent="0.25">
      <c r="B316" s="430" t="s">
        <v>420</v>
      </c>
      <c r="C316" s="434">
        <v>42702</v>
      </c>
      <c r="D316" s="431">
        <v>19049</v>
      </c>
      <c r="E316" s="436">
        <v>3161109</v>
      </c>
      <c r="F316" s="444">
        <v>1.8972482172520209E-2</v>
      </c>
      <c r="G316" s="427"/>
    </row>
    <row r="317" spans="2:7" x14ac:dyDescent="0.25">
      <c r="B317" s="430" t="s">
        <v>420</v>
      </c>
      <c r="C317" s="434">
        <v>42703</v>
      </c>
      <c r="D317" s="431">
        <v>18972</v>
      </c>
      <c r="E317" s="436">
        <v>556724</v>
      </c>
      <c r="F317" s="444">
        <v>-4.0503987412256783E-3</v>
      </c>
      <c r="G317" s="427"/>
    </row>
    <row r="318" spans="2:7" x14ac:dyDescent="0.25">
      <c r="B318" s="430" t="s">
        <v>420</v>
      </c>
      <c r="C318" s="434">
        <v>42704</v>
      </c>
      <c r="D318" s="431">
        <v>18950</v>
      </c>
      <c r="E318" s="436">
        <v>1475076</v>
      </c>
      <c r="F318" s="444">
        <v>-1.160276486899903E-3</v>
      </c>
      <c r="G318" s="427"/>
    </row>
    <row r="319" spans="2:7" x14ac:dyDescent="0.25">
      <c r="B319" s="430" t="s">
        <v>420</v>
      </c>
      <c r="C319" s="434">
        <v>42705</v>
      </c>
      <c r="D319" s="431">
        <v>18976</v>
      </c>
      <c r="E319" s="436">
        <v>623538</v>
      </c>
      <c r="F319" s="444">
        <v>1.3710912868796436E-3</v>
      </c>
      <c r="G319" s="427"/>
    </row>
    <row r="320" spans="2:7" x14ac:dyDescent="0.25">
      <c r="B320" s="430" t="s">
        <v>420</v>
      </c>
      <c r="C320" s="434">
        <v>42706</v>
      </c>
      <c r="D320" s="431">
        <v>18420</v>
      </c>
      <c r="E320" s="436">
        <v>995162</v>
      </c>
      <c r="F320" s="444">
        <v>-2.9737991988154119E-2</v>
      </c>
      <c r="G320" s="427"/>
    </row>
    <row r="321" spans="2:7" x14ac:dyDescent="0.25">
      <c r="B321" s="430" t="s">
        <v>420</v>
      </c>
      <c r="C321" s="434">
        <v>42709</v>
      </c>
      <c r="D321" s="431">
        <v>18892</v>
      </c>
      <c r="E321" s="436">
        <v>925699</v>
      </c>
      <c r="F321" s="444">
        <v>2.5301521206709948E-2</v>
      </c>
      <c r="G321" s="427"/>
    </row>
    <row r="322" spans="2:7" x14ac:dyDescent="0.25">
      <c r="B322" s="430" t="s">
        <v>420</v>
      </c>
      <c r="C322" s="434">
        <v>42710</v>
      </c>
      <c r="D322" s="431">
        <v>18630</v>
      </c>
      <c r="E322" s="436">
        <v>1086380</v>
      </c>
      <c r="F322" s="444">
        <v>-1.3965367420373612E-2</v>
      </c>
      <c r="G322" s="427"/>
    </row>
    <row r="323" spans="2:7" x14ac:dyDescent="0.25">
      <c r="B323" s="430" t="s">
        <v>420</v>
      </c>
      <c r="C323" s="434">
        <v>42711</v>
      </c>
      <c r="D323" s="431">
        <v>18500</v>
      </c>
      <c r="E323" s="436">
        <v>519710</v>
      </c>
      <c r="F323" s="444">
        <v>-7.0024525292179847E-3</v>
      </c>
      <c r="G323" s="427"/>
    </row>
    <row r="324" spans="2:7" x14ac:dyDescent="0.25">
      <c r="B324" s="430" t="s">
        <v>420</v>
      </c>
      <c r="C324" s="434">
        <v>42712</v>
      </c>
      <c r="D324" s="431">
        <v>19100</v>
      </c>
      <c r="E324" s="436">
        <v>1061519</v>
      </c>
      <c r="F324" s="444">
        <v>3.1917602968304946E-2</v>
      </c>
      <c r="G324" s="427"/>
    </row>
    <row r="325" spans="2:7" x14ac:dyDescent="0.25">
      <c r="B325" s="430" t="s">
        <v>420</v>
      </c>
      <c r="C325" s="434">
        <v>42713</v>
      </c>
      <c r="D325" s="431">
        <v>19239</v>
      </c>
      <c r="E325" s="436">
        <v>819695</v>
      </c>
      <c r="F325" s="444">
        <v>7.2511337822514423E-3</v>
      </c>
      <c r="G325" s="427"/>
    </row>
    <row r="326" spans="2:7" x14ac:dyDescent="0.25">
      <c r="B326" s="430" t="s">
        <v>420</v>
      </c>
      <c r="C326" s="434">
        <v>42716</v>
      </c>
      <c r="D326" s="431">
        <v>19239</v>
      </c>
      <c r="E326" s="436">
        <v>687926</v>
      </c>
      <c r="F326" s="444">
        <v>0</v>
      </c>
      <c r="G326" s="427"/>
    </row>
    <row r="327" spans="2:7" x14ac:dyDescent="0.25">
      <c r="B327" s="430" t="s">
        <v>420</v>
      </c>
      <c r="C327" s="434">
        <v>42717</v>
      </c>
      <c r="D327" s="431">
        <v>19514</v>
      </c>
      <c r="E327" s="436">
        <v>1184426</v>
      </c>
      <c r="F327" s="444">
        <v>1.4192687850922647E-2</v>
      </c>
      <c r="G327" s="427"/>
    </row>
    <row r="328" spans="2:7" x14ac:dyDescent="0.25">
      <c r="B328" s="430" t="s">
        <v>420</v>
      </c>
      <c r="C328" s="434">
        <v>42718</v>
      </c>
      <c r="D328" s="431">
        <v>19300</v>
      </c>
      <c r="E328" s="436">
        <v>1100956</v>
      </c>
      <c r="F328" s="444">
        <v>-1.1027060774918386E-2</v>
      </c>
      <c r="G328" s="427"/>
    </row>
    <row r="329" spans="2:7" x14ac:dyDescent="0.25">
      <c r="B329" s="430" t="s">
        <v>420</v>
      </c>
      <c r="C329" s="434">
        <v>42719</v>
      </c>
      <c r="D329" s="431">
        <v>19150</v>
      </c>
      <c r="E329" s="436">
        <v>2173077</v>
      </c>
      <c r="F329" s="444">
        <v>-7.802380284184899E-3</v>
      </c>
      <c r="G329" s="427"/>
    </row>
    <row r="330" spans="2:7" x14ac:dyDescent="0.25">
      <c r="B330" s="430" t="s">
        <v>420</v>
      </c>
      <c r="C330" s="434">
        <v>42723</v>
      </c>
      <c r="D330" s="431">
        <v>19500</v>
      </c>
      <c r="E330" s="436">
        <v>597597</v>
      </c>
      <c r="F330" s="444">
        <v>1.8111749943046103E-2</v>
      </c>
      <c r="G330" s="427"/>
    </row>
    <row r="331" spans="2:7" x14ac:dyDescent="0.25">
      <c r="B331" s="430" t="s">
        <v>420</v>
      </c>
      <c r="C331" s="434">
        <v>42724</v>
      </c>
      <c r="D331" s="431">
        <v>19706</v>
      </c>
      <c r="E331" s="436">
        <v>591176</v>
      </c>
      <c r="F331" s="444">
        <v>1.0508692330581696E-2</v>
      </c>
      <c r="G331" s="427"/>
    </row>
    <row r="332" spans="2:7" x14ac:dyDescent="0.25">
      <c r="B332" s="430" t="s">
        <v>420</v>
      </c>
      <c r="C332" s="434">
        <v>42725</v>
      </c>
      <c r="D332" s="431">
        <v>19576</v>
      </c>
      <c r="E332" s="436">
        <v>714261</v>
      </c>
      <c r="F332" s="444">
        <v>-6.6188317599123253E-3</v>
      </c>
      <c r="G332" s="427"/>
    </row>
    <row r="333" spans="2:7" x14ac:dyDescent="0.25">
      <c r="B333" s="430" t="s">
        <v>420</v>
      </c>
      <c r="C333" s="434">
        <v>42726</v>
      </c>
      <c r="D333" s="431">
        <v>19499</v>
      </c>
      <c r="E333" s="436">
        <v>398980</v>
      </c>
      <c r="F333" s="444">
        <v>-3.9411439369208007E-3</v>
      </c>
      <c r="G333" s="427"/>
    </row>
    <row r="334" spans="2:7" x14ac:dyDescent="0.25">
      <c r="B334" s="430" t="s">
        <v>420</v>
      </c>
      <c r="C334" s="434">
        <v>42727</v>
      </c>
      <c r="D334" s="431">
        <v>19184</v>
      </c>
      <c r="E334" s="436">
        <v>185531</v>
      </c>
      <c r="F334" s="444">
        <v>-1.628658391829127E-2</v>
      </c>
      <c r="G334" s="427"/>
    </row>
    <row r="335" spans="2:7" x14ac:dyDescent="0.25">
      <c r="B335" s="430" t="s">
        <v>420</v>
      </c>
      <c r="C335" s="434">
        <v>42732</v>
      </c>
      <c r="D335" s="431">
        <v>19800</v>
      </c>
      <c r="E335" s="436">
        <v>586612</v>
      </c>
      <c r="F335" s="444">
        <v>3.1605339415331044E-2</v>
      </c>
      <c r="G335" s="427"/>
    </row>
    <row r="336" spans="2:7" x14ac:dyDescent="0.25">
      <c r="B336" s="430" t="s">
        <v>420</v>
      </c>
      <c r="C336" s="434">
        <v>42733</v>
      </c>
      <c r="D336" s="431">
        <v>20019</v>
      </c>
      <c r="E336" s="436">
        <v>363404</v>
      </c>
      <c r="F336" s="444">
        <v>1.0999884889089569E-2</v>
      </c>
      <c r="G336" s="427"/>
    </row>
    <row r="337" spans="2:7" x14ac:dyDescent="0.25">
      <c r="B337" s="430" t="s">
        <v>420</v>
      </c>
      <c r="C337" s="434">
        <v>42734</v>
      </c>
      <c r="D337" s="431">
        <v>19858</v>
      </c>
      <c r="E337" s="436">
        <v>199862</v>
      </c>
      <c r="F337" s="444">
        <v>-8.0748739781767876E-3</v>
      </c>
      <c r="G337" s="427"/>
    </row>
    <row r="338" spans="2:7" x14ac:dyDescent="0.25">
      <c r="B338" s="430" t="s">
        <v>420</v>
      </c>
      <c r="C338" s="434">
        <v>42738</v>
      </c>
      <c r="D338" s="431">
        <v>19775</v>
      </c>
      <c r="E338" s="436">
        <v>478446</v>
      </c>
      <c r="F338" s="444">
        <v>-4.188434957684806E-3</v>
      </c>
      <c r="G338" s="427"/>
    </row>
    <row r="339" spans="2:7" x14ac:dyDescent="0.25">
      <c r="B339" s="430" t="s">
        <v>420</v>
      </c>
      <c r="C339" s="434">
        <v>42739</v>
      </c>
      <c r="D339" s="431">
        <v>19859</v>
      </c>
      <c r="E339" s="436">
        <v>492747</v>
      </c>
      <c r="F339" s="444">
        <v>4.238791228310064E-3</v>
      </c>
      <c r="G339" s="427"/>
    </row>
    <row r="340" spans="2:7" x14ac:dyDescent="0.25">
      <c r="B340" s="430" t="s">
        <v>420</v>
      </c>
      <c r="C340" s="434">
        <v>42740</v>
      </c>
      <c r="D340" s="431">
        <v>19848</v>
      </c>
      <c r="E340" s="436">
        <v>496118</v>
      </c>
      <c r="F340" s="444">
        <v>-5.5405849252776126E-4</v>
      </c>
      <c r="G340" s="427"/>
    </row>
    <row r="341" spans="2:7" x14ac:dyDescent="0.25">
      <c r="B341" s="430" t="s">
        <v>420</v>
      </c>
      <c r="C341" s="434">
        <v>42741</v>
      </c>
      <c r="D341" s="431">
        <v>19601</v>
      </c>
      <c r="E341" s="436">
        <v>699085</v>
      </c>
      <c r="F341" s="444">
        <v>-1.2522661046361802E-2</v>
      </c>
      <c r="G341" s="427"/>
    </row>
    <row r="342" spans="2:7" x14ac:dyDescent="0.25">
      <c r="B342" s="430" t="s">
        <v>420</v>
      </c>
      <c r="C342" s="434">
        <v>42744</v>
      </c>
      <c r="D342" s="431">
        <v>19685</v>
      </c>
      <c r="E342" s="436">
        <v>464250</v>
      </c>
      <c r="F342" s="444">
        <v>4.2763390525627767E-3</v>
      </c>
      <c r="G342" s="427"/>
    </row>
    <row r="343" spans="2:7" x14ac:dyDescent="0.25">
      <c r="B343" s="430" t="s">
        <v>420</v>
      </c>
      <c r="C343" s="434">
        <v>42745</v>
      </c>
      <c r="D343" s="431">
        <v>19612</v>
      </c>
      <c r="E343" s="436">
        <v>354041</v>
      </c>
      <c r="F343" s="444">
        <v>-3.7153006067140752E-3</v>
      </c>
      <c r="G343" s="427"/>
    </row>
    <row r="344" spans="2:7" x14ac:dyDescent="0.25">
      <c r="B344" s="430" t="s">
        <v>420</v>
      </c>
      <c r="C344" s="434">
        <v>42746</v>
      </c>
      <c r="D344" s="431">
        <v>19501</v>
      </c>
      <c r="E344" s="436">
        <v>826777</v>
      </c>
      <c r="F344" s="444">
        <v>-5.6758774828831347E-3</v>
      </c>
      <c r="G344" s="427"/>
    </row>
    <row r="345" spans="2:7" x14ac:dyDescent="0.25">
      <c r="B345" s="430" t="s">
        <v>420</v>
      </c>
      <c r="C345" s="434">
        <v>42747</v>
      </c>
      <c r="D345" s="431">
        <v>19401</v>
      </c>
      <c r="E345" s="436">
        <v>1332468</v>
      </c>
      <c r="F345" s="444">
        <v>-5.1411351735382825E-3</v>
      </c>
      <c r="G345" s="427"/>
    </row>
    <row r="346" spans="2:7" x14ac:dyDescent="0.25">
      <c r="B346" s="430" t="s">
        <v>420</v>
      </c>
      <c r="C346" s="434">
        <v>42748</v>
      </c>
      <c r="D346" s="431">
        <v>19329</v>
      </c>
      <c r="E346" s="436">
        <v>799046</v>
      </c>
      <c r="F346" s="444">
        <v>-3.718052307950376E-3</v>
      </c>
      <c r="G346" s="427"/>
    </row>
    <row r="347" spans="2:7" x14ac:dyDescent="0.25">
      <c r="B347" s="430" t="s">
        <v>420</v>
      </c>
      <c r="C347" s="434">
        <v>42751</v>
      </c>
      <c r="D347" s="431">
        <v>19700</v>
      </c>
      <c r="E347" s="436">
        <v>759768</v>
      </c>
      <c r="F347" s="444">
        <v>1.9012076919327745E-2</v>
      </c>
      <c r="G347" s="427"/>
    </row>
    <row r="348" spans="2:7" x14ac:dyDescent="0.25">
      <c r="B348" s="430" t="s">
        <v>420</v>
      </c>
      <c r="C348" s="434">
        <v>42752</v>
      </c>
      <c r="D348" s="431">
        <v>19544</v>
      </c>
      <c r="E348" s="436">
        <v>511050</v>
      </c>
      <c r="F348" s="444">
        <v>-7.9503017885034881E-3</v>
      </c>
      <c r="G348" s="427"/>
    </row>
    <row r="349" spans="2:7" x14ac:dyDescent="0.25">
      <c r="B349" s="430" t="s">
        <v>420</v>
      </c>
      <c r="C349" s="434">
        <v>42753</v>
      </c>
      <c r="D349" s="431">
        <v>19600</v>
      </c>
      <c r="E349" s="436">
        <v>438802</v>
      </c>
      <c r="F349" s="444">
        <v>2.8612322810321949E-3</v>
      </c>
      <c r="G349" s="427"/>
    </row>
    <row r="350" spans="2:7" x14ac:dyDescent="0.25">
      <c r="B350" s="430" t="s">
        <v>420</v>
      </c>
      <c r="C350" s="434">
        <v>42754</v>
      </c>
      <c r="D350" s="431">
        <v>19746</v>
      </c>
      <c r="E350" s="436">
        <v>515165</v>
      </c>
      <c r="F350" s="444">
        <v>7.4213729527862647E-3</v>
      </c>
      <c r="G350" s="427"/>
    </row>
    <row r="351" spans="2:7" x14ac:dyDescent="0.25">
      <c r="B351" s="430" t="s">
        <v>420</v>
      </c>
      <c r="C351" s="434">
        <v>42755</v>
      </c>
      <c r="D351" s="431">
        <v>19575</v>
      </c>
      <c r="E351" s="436">
        <v>329663</v>
      </c>
      <c r="F351" s="444">
        <v>-8.6976973123910426E-3</v>
      </c>
      <c r="G351" s="427"/>
    </row>
    <row r="352" spans="2:7" x14ac:dyDescent="0.25">
      <c r="B352" s="430" t="s">
        <v>420</v>
      </c>
      <c r="C352" s="434">
        <v>42758</v>
      </c>
      <c r="D352" s="431">
        <v>19561</v>
      </c>
      <c r="E352" s="436">
        <v>270308</v>
      </c>
      <c r="F352" s="444">
        <v>-7.1545383264444299E-4</v>
      </c>
      <c r="G352" s="427"/>
    </row>
    <row r="353" spans="2:7" x14ac:dyDescent="0.25">
      <c r="B353" s="430" t="s">
        <v>420</v>
      </c>
      <c r="C353" s="434">
        <v>42759</v>
      </c>
      <c r="D353" s="431">
        <v>19592</v>
      </c>
      <c r="E353" s="436">
        <v>623075</v>
      </c>
      <c r="F353" s="444">
        <v>1.5835316056442201E-3</v>
      </c>
      <c r="G353" s="427"/>
    </row>
    <row r="354" spans="2:7" x14ac:dyDescent="0.25">
      <c r="B354" s="430" t="s">
        <v>420</v>
      </c>
      <c r="C354" s="434">
        <v>42760</v>
      </c>
      <c r="D354" s="431">
        <v>19751</v>
      </c>
      <c r="E354" s="436">
        <v>554092</v>
      </c>
      <c r="F354" s="444">
        <v>8.0828033268541231E-3</v>
      </c>
      <c r="G354" s="427"/>
    </row>
    <row r="355" spans="2:7" x14ac:dyDescent="0.25">
      <c r="B355" s="430" t="s">
        <v>420</v>
      </c>
      <c r="C355" s="434">
        <v>42761</v>
      </c>
      <c r="D355" s="431">
        <v>19590</v>
      </c>
      <c r="E355" s="436">
        <v>424263</v>
      </c>
      <c r="F355" s="444">
        <v>-8.1848910202712878E-3</v>
      </c>
      <c r="G355" s="427"/>
    </row>
    <row r="356" spans="2:7" x14ac:dyDescent="0.25">
      <c r="B356" s="430" t="s">
        <v>420</v>
      </c>
      <c r="C356" s="434">
        <v>42762</v>
      </c>
      <c r="D356" s="431">
        <v>19295</v>
      </c>
      <c r="E356" s="436">
        <v>606955</v>
      </c>
      <c r="F356" s="444">
        <v>-1.5173236966867289E-2</v>
      </c>
      <c r="G356" s="427"/>
    </row>
    <row r="357" spans="2:7" x14ac:dyDescent="0.25">
      <c r="B357" s="430" t="s">
        <v>420</v>
      </c>
      <c r="C357" s="434">
        <v>42765</v>
      </c>
      <c r="D357" s="431">
        <v>19029</v>
      </c>
      <c r="E357" s="436">
        <v>747659</v>
      </c>
      <c r="F357" s="444">
        <v>-1.3881863669712342E-2</v>
      </c>
      <c r="G357" s="427"/>
    </row>
    <row r="358" spans="2:7" x14ac:dyDescent="0.25">
      <c r="B358" s="430" t="s">
        <v>420</v>
      </c>
      <c r="C358" s="434">
        <v>42766</v>
      </c>
      <c r="D358" s="431">
        <v>19050</v>
      </c>
      <c r="E358" s="436">
        <v>376620</v>
      </c>
      <c r="F358" s="444">
        <v>1.1029702528401108E-3</v>
      </c>
      <c r="G358" s="427"/>
    </row>
    <row r="359" spans="2:7" x14ac:dyDescent="0.25">
      <c r="B359" s="430" t="s">
        <v>420</v>
      </c>
      <c r="C359" s="434">
        <v>42767</v>
      </c>
      <c r="D359" s="431">
        <v>19138</v>
      </c>
      <c r="E359" s="436">
        <v>547564</v>
      </c>
      <c r="F359" s="444">
        <v>4.6087857843611852E-3</v>
      </c>
      <c r="G359" s="427"/>
    </row>
    <row r="360" spans="2:7" x14ac:dyDescent="0.25">
      <c r="B360" s="430" t="s">
        <v>420</v>
      </c>
      <c r="C360" s="434">
        <v>42768</v>
      </c>
      <c r="D360" s="431">
        <v>18463</v>
      </c>
      <c r="E360" s="436">
        <v>1713360</v>
      </c>
      <c r="F360" s="444">
        <v>-3.5907157943465065E-2</v>
      </c>
      <c r="G360" s="427"/>
    </row>
    <row r="361" spans="2:7" x14ac:dyDescent="0.25">
      <c r="B361" s="430" t="s">
        <v>420</v>
      </c>
      <c r="C361" s="434">
        <v>42769</v>
      </c>
      <c r="D361" s="431">
        <v>18551</v>
      </c>
      <c r="E361" s="436">
        <v>831426</v>
      </c>
      <c r="F361" s="444">
        <v>4.7549665426300956E-3</v>
      </c>
      <c r="G361" s="427"/>
    </row>
    <row r="362" spans="2:7" x14ac:dyDescent="0.25">
      <c r="B362" s="430" t="s">
        <v>420</v>
      </c>
      <c r="C362" s="434">
        <v>42772</v>
      </c>
      <c r="D362" s="431">
        <v>18355</v>
      </c>
      <c r="E362" s="436">
        <v>1222617</v>
      </c>
      <c r="F362" s="444">
        <v>-1.0621679007438475E-2</v>
      </c>
      <c r="G362" s="427"/>
    </row>
    <row r="363" spans="2:7" x14ac:dyDescent="0.25">
      <c r="B363" s="430" t="s">
        <v>420</v>
      </c>
      <c r="C363" s="434">
        <v>42773</v>
      </c>
      <c r="D363" s="431">
        <v>17400</v>
      </c>
      <c r="E363" s="436">
        <v>1386113</v>
      </c>
      <c r="F363" s="444">
        <v>-5.3431810728314322E-2</v>
      </c>
      <c r="G363" s="427"/>
    </row>
    <row r="364" spans="2:7" x14ac:dyDescent="0.25">
      <c r="B364" s="430" t="s">
        <v>420</v>
      </c>
      <c r="C364" s="434">
        <v>42774</v>
      </c>
      <c r="D364" s="431">
        <v>17780</v>
      </c>
      <c r="E364" s="436">
        <v>3270504</v>
      </c>
      <c r="F364" s="444">
        <v>2.1604023865275181E-2</v>
      </c>
      <c r="G364" s="427"/>
    </row>
    <row r="365" spans="2:7" x14ac:dyDescent="0.25">
      <c r="B365" s="430" t="s">
        <v>420</v>
      </c>
      <c r="C365" s="434">
        <v>42775</v>
      </c>
      <c r="D365" s="431">
        <v>17586</v>
      </c>
      <c r="E365" s="436">
        <v>798747</v>
      </c>
      <c r="F365" s="444">
        <v>-1.097109912894819E-2</v>
      </c>
      <c r="G365" s="427"/>
    </row>
    <row r="366" spans="2:7" x14ac:dyDescent="0.25">
      <c r="B366" s="430" t="s">
        <v>420</v>
      </c>
      <c r="C366" s="434">
        <v>42776</v>
      </c>
      <c r="D366" s="431">
        <v>17593</v>
      </c>
      <c r="E366" s="436">
        <v>1096436</v>
      </c>
      <c r="F366" s="444">
        <v>3.9796470009860062E-4</v>
      </c>
      <c r="G366" s="427"/>
    </row>
    <row r="367" spans="2:7" x14ac:dyDescent="0.25">
      <c r="B367" s="430" t="s">
        <v>420</v>
      </c>
      <c r="C367" s="434">
        <v>42779</v>
      </c>
      <c r="D367" s="431">
        <v>17947</v>
      </c>
      <c r="E367" s="436">
        <v>353946</v>
      </c>
      <c r="F367" s="444">
        <v>1.992187439023043E-2</v>
      </c>
      <c r="G367" s="427"/>
    </row>
    <row r="368" spans="2:7" x14ac:dyDescent="0.25">
      <c r="B368" s="430" t="s">
        <v>420</v>
      </c>
      <c r="C368" s="434">
        <v>42780</v>
      </c>
      <c r="D368" s="431">
        <v>17595</v>
      </c>
      <c r="E368" s="436">
        <v>1222781</v>
      </c>
      <c r="F368" s="444">
        <v>-1.9808199273590905E-2</v>
      </c>
      <c r="G368" s="427"/>
    </row>
    <row r="369" spans="2:7" x14ac:dyDescent="0.25">
      <c r="B369" s="430" t="s">
        <v>420</v>
      </c>
      <c r="C369" s="434">
        <v>42781</v>
      </c>
      <c r="D369" s="431">
        <v>17844</v>
      </c>
      <c r="E369" s="436">
        <v>828867</v>
      </c>
      <c r="F369" s="444">
        <v>1.4052546492469797E-2</v>
      </c>
      <c r="G369" s="427"/>
    </row>
    <row r="370" spans="2:7" x14ac:dyDescent="0.25">
      <c r="B370" s="430" t="s">
        <v>420</v>
      </c>
      <c r="C370" s="434">
        <v>42782</v>
      </c>
      <c r="D370" s="431">
        <v>18146</v>
      </c>
      <c r="E370" s="436">
        <v>790702</v>
      </c>
      <c r="F370" s="444">
        <v>1.6782833481418759E-2</v>
      </c>
      <c r="G370" s="427"/>
    </row>
    <row r="371" spans="2:7" x14ac:dyDescent="0.25">
      <c r="B371" s="430" t="s">
        <v>420</v>
      </c>
      <c r="C371" s="434">
        <v>42783</v>
      </c>
      <c r="D371" s="431">
        <v>18200</v>
      </c>
      <c r="E371" s="436">
        <v>702263</v>
      </c>
      <c r="F371" s="444">
        <v>2.9714433353125024E-3</v>
      </c>
      <c r="G371" s="427"/>
    </row>
    <row r="372" spans="2:7" x14ac:dyDescent="0.25">
      <c r="B372" s="430" t="s">
        <v>420</v>
      </c>
      <c r="C372" s="434">
        <v>42786</v>
      </c>
      <c r="D372" s="431">
        <v>18344</v>
      </c>
      <c r="E372" s="436">
        <v>556481</v>
      </c>
      <c r="F372" s="444">
        <v>7.8809514728537099E-3</v>
      </c>
      <c r="G372" s="427"/>
    </row>
    <row r="373" spans="2:7" x14ac:dyDescent="0.25">
      <c r="B373" s="430" t="s">
        <v>420</v>
      </c>
      <c r="C373" s="434">
        <v>42787</v>
      </c>
      <c r="D373" s="431">
        <v>18372</v>
      </c>
      <c r="E373" s="436">
        <v>759356</v>
      </c>
      <c r="F373" s="444">
        <v>1.5252209079436763E-3</v>
      </c>
      <c r="G373" s="427"/>
    </row>
    <row r="374" spans="2:7" x14ac:dyDescent="0.25">
      <c r="B374" s="430" t="s">
        <v>420</v>
      </c>
      <c r="C374" s="434">
        <v>42788</v>
      </c>
      <c r="D374" s="431">
        <v>18019</v>
      </c>
      <c r="E374" s="436">
        <v>685394</v>
      </c>
      <c r="F374" s="444">
        <v>-1.9401009718869867E-2</v>
      </c>
      <c r="G374" s="427"/>
    </row>
    <row r="375" spans="2:7" x14ac:dyDescent="0.25">
      <c r="B375" s="430" t="s">
        <v>420</v>
      </c>
      <c r="C375" s="434">
        <v>42789</v>
      </c>
      <c r="D375" s="431">
        <v>18373</v>
      </c>
      <c r="E375" s="436">
        <v>815803</v>
      </c>
      <c r="F375" s="444">
        <v>1.9455438892920611E-2</v>
      </c>
      <c r="G375" s="427"/>
    </row>
    <row r="376" spans="2:7" x14ac:dyDescent="0.25">
      <c r="B376" s="430" t="s">
        <v>420</v>
      </c>
      <c r="C376" s="434">
        <v>42790</v>
      </c>
      <c r="D376" s="431">
        <v>18250</v>
      </c>
      <c r="E376" s="436">
        <v>1086910</v>
      </c>
      <c r="F376" s="444">
        <v>-6.7171156090972562E-3</v>
      </c>
      <c r="G376" s="427"/>
    </row>
    <row r="377" spans="2:7" x14ac:dyDescent="0.25">
      <c r="B377" s="430" t="s">
        <v>420</v>
      </c>
      <c r="C377" s="434">
        <v>42793</v>
      </c>
      <c r="D377" s="431">
        <v>18400</v>
      </c>
      <c r="E377" s="436">
        <v>476266</v>
      </c>
      <c r="F377" s="444">
        <v>8.1855845864395021E-3</v>
      </c>
      <c r="G377" s="427"/>
    </row>
    <row r="378" spans="2:7" x14ac:dyDescent="0.25">
      <c r="B378" s="430" t="s">
        <v>420</v>
      </c>
      <c r="C378" s="434">
        <v>42794</v>
      </c>
      <c r="D378" s="431">
        <v>17850</v>
      </c>
      <c r="E378" s="436">
        <v>1223372</v>
      </c>
      <c r="F378" s="444">
        <v>-3.0347156389291818E-2</v>
      </c>
      <c r="G378" s="427"/>
    </row>
    <row r="379" spans="2:7" x14ac:dyDescent="0.25">
      <c r="B379" s="430" t="s">
        <v>420</v>
      </c>
      <c r="C379" s="434">
        <v>42795</v>
      </c>
      <c r="D379" s="431">
        <v>17975</v>
      </c>
      <c r="E379" s="436">
        <v>597397</v>
      </c>
      <c r="F379" s="444">
        <v>6.9783953814622776E-3</v>
      </c>
      <c r="G379" s="427"/>
    </row>
    <row r="380" spans="2:7" x14ac:dyDescent="0.25">
      <c r="B380" s="430" t="s">
        <v>420</v>
      </c>
      <c r="C380" s="434">
        <v>42796</v>
      </c>
      <c r="D380" s="431">
        <v>17900</v>
      </c>
      <c r="E380" s="436">
        <v>439694</v>
      </c>
      <c r="F380" s="444">
        <v>-4.1811907604010464E-3</v>
      </c>
      <c r="G380" s="427"/>
    </row>
    <row r="381" spans="2:7" x14ac:dyDescent="0.25">
      <c r="B381" s="430" t="s">
        <v>420</v>
      </c>
      <c r="C381" s="434">
        <v>42797</v>
      </c>
      <c r="D381" s="431">
        <v>17986</v>
      </c>
      <c r="E381" s="436">
        <v>492380</v>
      </c>
      <c r="F381" s="444">
        <v>4.7929646456143964E-3</v>
      </c>
      <c r="G381" s="427"/>
    </row>
    <row r="382" spans="2:7" x14ac:dyDescent="0.25">
      <c r="B382" s="430" t="s">
        <v>420</v>
      </c>
      <c r="C382" s="434">
        <v>42800</v>
      </c>
      <c r="D382" s="431">
        <v>18298</v>
      </c>
      <c r="E382" s="436">
        <v>470863</v>
      </c>
      <c r="F382" s="444">
        <v>1.7198086765019799E-2</v>
      </c>
      <c r="G382" s="427"/>
    </row>
    <row r="383" spans="2:7" x14ac:dyDescent="0.25">
      <c r="B383" s="430" t="s">
        <v>420</v>
      </c>
      <c r="C383" s="434">
        <v>42801</v>
      </c>
      <c r="D383" s="431">
        <v>17905</v>
      </c>
      <c r="E383" s="436">
        <v>441369</v>
      </c>
      <c r="F383" s="444">
        <v>-2.1711760806947512E-2</v>
      </c>
      <c r="G383" s="427"/>
    </row>
    <row r="384" spans="2:7" x14ac:dyDescent="0.25">
      <c r="B384" s="430" t="s">
        <v>420</v>
      </c>
      <c r="C384" s="434">
        <v>42802</v>
      </c>
      <c r="D384" s="431">
        <v>17905</v>
      </c>
      <c r="E384" s="436">
        <v>747829</v>
      </c>
      <c r="F384" s="444">
        <v>0</v>
      </c>
      <c r="G384" s="427"/>
    </row>
    <row r="385" spans="2:7" x14ac:dyDescent="0.25">
      <c r="B385" s="430" t="s">
        <v>420</v>
      </c>
      <c r="C385" s="434">
        <v>42803</v>
      </c>
      <c r="D385" s="431">
        <v>18113</v>
      </c>
      <c r="E385" s="436">
        <v>445207</v>
      </c>
      <c r="F385" s="444">
        <v>1.1549909060383484E-2</v>
      </c>
      <c r="G385" s="427"/>
    </row>
    <row r="386" spans="2:7" x14ac:dyDescent="0.25">
      <c r="B386" s="430" t="s">
        <v>420</v>
      </c>
      <c r="C386" s="434">
        <v>42804</v>
      </c>
      <c r="D386" s="431">
        <v>17951</v>
      </c>
      <c r="E386" s="436">
        <v>714569</v>
      </c>
      <c r="F386" s="444">
        <v>-8.9840888218464341E-3</v>
      </c>
      <c r="G386" s="427"/>
    </row>
    <row r="387" spans="2:7" x14ac:dyDescent="0.25">
      <c r="B387" s="430" t="s">
        <v>420</v>
      </c>
      <c r="C387" s="434">
        <v>42807</v>
      </c>
      <c r="D387" s="431">
        <v>18000</v>
      </c>
      <c r="E387" s="436">
        <v>471815</v>
      </c>
      <c r="F387" s="444">
        <v>2.7259342072315776E-3</v>
      </c>
      <c r="G387" s="427"/>
    </row>
    <row r="388" spans="2:7" x14ac:dyDescent="0.25">
      <c r="B388" s="430" t="s">
        <v>420</v>
      </c>
      <c r="C388" s="434">
        <v>42808</v>
      </c>
      <c r="D388" s="431">
        <v>18143</v>
      </c>
      <c r="E388" s="436">
        <v>580563</v>
      </c>
      <c r="F388" s="444">
        <v>7.913053491861494E-3</v>
      </c>
      <c r="G388" s="427"/>
    </row>
    <row r="389" spans="2:7" x14ac:dyDescent="0.25">
      <c r="B389" s="430" t="s">
        <v>420</v>
      </c>
      <c r="C389" s="434">
        <v>42809</v>
      </c>
      <c r="D389" s="431">
        <v>18110</v>
      </c>
      <c r="E389" s="436">
        <v>721096</v>
      </c>
      <c r="F389" s="444">
        <v>-1.8205394927041107E-3</v>
      </c>
      <c r="G389" s="427"/>
    </row>
    <row r="390" spans="2:7" x14ac:dyDescent="0.25">
      <c r="B390" s="430" t="s">
        <v>420</v>
      </c>
      <c r="C390" s="434">
        <v>42810</v>
      </c>
      <c r="D390" s="431">
        <v>18727</v>
      </c>
      <c r="E390" s="436">
        <v>2045465</v>
      </c>
      <c r="F390" s="444">
        <v>3.3502060883049273E-2</v>
      </c>
      <c r="G390" s="427"/>
    </row>
    <row r="391" spans="2:7" x14ac:dyDescent="0.25">
      <c r="B391" s="430" t="s">
        <v>420</v>
      </c>
      <c r="C391" s="434">
        <v>42811</v>
      </c>
      <c r="D391" s="431">
        <v>18661</v>
      </c>
      <c r="E391" s="436">
        <v>1138323</v>
      </c>
      <c r="F391" s="444">
        <v>-3.5305482270367823E-3</v>
      </c>
      <c r="G391" s="427"/>
    </row>
    <row r="392" spans="2:7" x14ac:dyDescent="0.25">
      <c r="B392" s="430" t="s">
        <v>420</v>
      </c>
      <c r="C392" s="434">
        <v>42814</v>
      </c>
      <c r="D392" s="431">
        <v>18443</v>
      </c>
      <c r="E392" s="436">
        <v>464638</v>
      </c>
      <c r="F392" s="444">
        <v>-1.1750889850665651E-2</v>
      </c>
      <c r="G392" s="427"/>
    </row>
    <row r="393" spans="2:7" x14ac:dyDescent="0.25">
      <c r="B393" s="430" t="s">
        <v>420</v>
      </c>
      <c r="C393" s="434">
        <v>42816</v>
      </c>
      <c r="D393" s="431">
        <v>18074</v>
      </c>
      <c r="E393" s="436">
        <v>891870</v>
      </c>
      <c r="F393" s="444">
        <v>-2.0210453220904798E-2</v>
      </c>
      <c r="G393" s="427"/>
    </row>
    <row r="394" spans="2:7" x14ac:dyDescent="0.25">
      <c r="B394" s="430" t="s">
        <v>420</v>
      </c>
      <c r="C394" s="434">
        <v>42817</v>
      </c>
      <c r="D394" s="431">
        <v>18087</v>
      </c>
      <c r="E394" s="436">
        <v>570347</v>
      </c>
      <c r="F394" s="444">
        <v>7.1900669561403556E-4</v>
      </c>
      <c r="G394" s="427"/>
    </row>
    <row r="395" spans="2:7" x14ac:dyDescent="0.25">
      <c r="B395" s="430" t="s">
        <v>420</v>
      </c>
      <c r="C395" s="434">
        <v>42818</v>
      </c>
      <c r="D395" s="431">
        <v>17890</v>
      </c>
      <c r="E395" s="436">
        <v>1033226</v>
      </c>
      <c r="F395" s="444">
        <v>-1.0951550654750409E-2</v>
      </c>
      <c r="G395" s="427"/>
    </row>
    <row r="396" spans="2:7" x14ac:dyDescent="0.25">
      <c r="B396" s="430" t="s">
        <v>420</v>
      </c>
      <c r="C396" s="434">
        <v>42821</v>
      </c>
      <c r="D396" s="431">
        <v>17850</v>
      </c>
      <c r="E396" s="436">
        <v>467098</v>
      </c>
      <c r="F396" s="444">
        <v>-2.2383892949796678E-3</v>
      </c>
      <c r="G396" s="427"/>
    </row>
    <row r="397" spans="2:7" x14ac:dyDescent="0.25">
      <c r="B397" s="430" t="s">
        <v>420</v>
      </c>
      <c r="C397" s="434">
        <v>42822</v>
      </c>
      <c r="D397" s="431">
        <v>17620</v>
      </c>
      <c r="E397" s="436">
        <v>825703</v>
      </c>
      <c r="F397" s="444">
        <v>-1.2968887717614588E-2</v>
      </c>
      <c r="G397" s="427"/>
    </row>
    <row r="398" spans="2:7" x14ac:dyDescent="0.25">
      <c r="B398" s="430" t="s">
        <v>420</v>
      </c>
      <c r="C398" s="434">
        <v>42823</v>
      </c>
      <c r="D398" s="431">
        <v>17840</v>
      </c>
      <c r="E398" s="436">
        <v>555722</v>
      </c>
      <c r="F398" s="444">
        <v>1.2408506643829951E-2</v>
      </c>
      <c r="G398" s="427"/>
    </row>
    <row r="399" spans="2:7" x14ac:dyDescent="0.25">
      <c r="B399" s="430" t="s">
        <v>420</v>
      </c>
      <c r="C399" s="434">
        <v>42824</v>
      </c>
      <c r="D399" s="431">
        <v>17739</v>
      </c>
      <c r="E399" s="436">
        <v>489065</v>
      </c>
      <c r="F399" s="444">
        <v>-5.6775216450607371E-3</v>
      </c>
      <c r="G399" s="427"/>
    </row>
    <row r="400" spans="2:7" x14ac:dyDescent="0.25">
      <c r="B400" s="430" t="s">
        <v>420</v>
      </c>
      <c r="C400" s="434">
        <v>42825</v>
      </c>
      <c r="D400" s="431">
        <v>17426</v>
      </c>
      <c r="E400" s="436">
        <v>1246964</v>
      </c>
      <c r="F400" s="444">
        <v>-1.7802261697707433E-2</v>
      </c>
      <c r="G400" s="427"/>
    </row>
    <row r="401" spans="2:7" x14ac:dyDescent="0.25">
      <c r="B401" s="430" t="s">
        <v>420</v>
      </c>
      <c r="C401" s="434">
        <v>42828</v>
      </c>
      <c r="D401" s="431">
        <v>17630</v>
      </c>
      <c r="E401" s="436">
        <v>871463</v>
      </c>
      <c r="F401" s="444">
        <v>1.1638652600683832E-2</v>
      </c>
      <c r="G401" s="427"/>
    </row>
    <row r="402" spans="2:7" x14ac:dyDescent="0.25">
      <c r="B402" s="430" t="s">
        <v>420</v>
      </c>
      <c r="C402" s="434">
        <v>42829</v>
      </c>
      <c r="D402" s="431">
        <v>17455</v>
      </c>
      <c r="E402" s="436">
        <v>784618</v>
      </c>
      <c r="F402" s="444">
        <v>-9.9758558527795541E-3</v>
      </c>
      <c r="G402" s="427"/>
    </row>
    <row r="403" spans="2:7" x14ac:dyDescent="0.25">
      <c r="B403" s="430" t="s">
        <v>420</v>
      </c>
      <c r="C403" s="434">
        <v>42830</v>
      </c>
      <c r="D403" s="431">
        <v>17221</v>
      </c>
      <c r="E403" s="436">
        <v>1220572</v>
      </c>
      <c r="F403" s="444">
        <v>-1.3496571234236997E-2</v>
      </c>
      <c r="G403" s="427"/>
    </row>
    <row r="404" spans="2:7" x14ac:dyDescent="0.25">
      <c r="B404" s="430" t="s">
        <v>420</v>
      </c>
      <c r="C404" s="434">
        <v>42831</v>
      </c>
      <c r="D404" s="431">
        <v>17100</v>
      </c>
      <c r="E404" s="436">
        <v>475905</v>
      </c>
      <c r="F404" s="444">
        <v>-7.0511058141482516E-3</v>
      </c>
      <c r="G404" s="427"/>
    </row>
    <row r="405" spans="2:7" x14ac:dyDescent="0.25">
      <c r="B405" s="430" t="s">
        <v>420</v>
      </c>
      <c r="C405" s="434">
        <v>42832</v>
      </c>
      <c r="D405" s="431">
        <v>17260</v>
      </c>
      <c r="E405" s="436">
        <v>728598</v>
      </c>
      <c r="F405" s="444">
        <v>9.3132221466676827E-3</v>
      </c>
      <c r="G405" s="427"/>
    </row>
    <row r="406" spans="2:7" x14ac:dyDescent="0.25">
      <c r="B406" s="430" t="s">
        <v>420</v>
      </c>
      <c r="C406" s="434">
        <v>42835</v>
      </c>
      <c r="D406" s="431">
        <v>17003</v>
      </c>
      <c r="E406" s="436">
        <v>629507</v>
      </c>
      <c r="F406" s="444">
        <v>-1.5001886579933128E-2</v>
      </c>
      <c r="G406" s="427"/>
    </row>
    <row r="407" spans="2:7" x14ac:dyDescent="0.25">
      <c r="B407" s="430" t="s">
        <v>420</v>
      </c>
      <c r="C407" s="434">
        <v>42836</v>
      </c>
      <c r="D407" s="431">
        <v>17165</v>
      </c>
      <c r="E407" s="436">
        <v>340362</v>
      </c>
      <c r="F407" s="444">
        <v>9.4826278343065375E-3</v>
      </c>
      <c r="G407" s="427"/>
    </row>
    <row r="408" spans="2:7" x14ac:dyDescent="0.25">
      <c r="B408" s="430" t="s">
        <v>420</v>
      </c>
      <c r="C408" s="434">
        <v>42837</v>
      </c>
      <c r="D408" s="431">
        <v>17688</v>
      </c>
      <c r="E408" s="436">
        <v>519651</v>
      </c>
      <c r="F408" s="444">
        <v>3.0014016645489801E-2</v>
      </c>
      <c r="G408" s="427"/>
    </row>
    <row r="409" spans="2:7" x14ac:dyDescent="0.25">
      <c r="B409" s="430" t="s">
        <v>420</v>
      </c>
      <c r="C409" s="434">
        <v>42838</v>
      </c>
      <c r="D409" s="431">
        <v>18100</v>
      </c>
      <c r="E409" s="436">
        <v>1204981</v>
      </c>
      <c r="F409" s="444">
        <v>2.3025494716634842E-2</v>
      </c>
      <c r="G409" s="427"/>
    </row>
    <row r="410" spans="2:7" x14ac:dyDescent="0.25">
      <c r="B410" s="430" t="s">
        <v>420</v>
      </c>
      <c r="C410" s="434">
        <v>42843</v>
      </c>
      <c r="D410" s="431">
        <v>17900</v>
      </c>
      <c r="E410" s="436">
        <v>643139</v>
      </c>
      <c r="F410" s="444">
        <v>-1.1111225425070722E-2</v>
      </c>
      <c r="G410" s="427"/>
    </row>
    <row r="411" spans="2:7" x14ac:dyDescent="0.25">
      <c r="B411" s="430" t="s">
        <v>420</v>
      </c>
      <c r="C411" s="434">
        <v>42844</v>
      </c>
      <c r="D411" s="431">
        <v>17950</v>
      </c>
      <c r="E411" s="436">
        <v>760710</v>
      </c>
      <c r="F411" s="444">
        <v>2.7894020875785922E-3</v>
      </c>
      <c r="G411" s="427"/>
    </row>
    <row r="412" spans="2:7" x14ac:dyDescent="0.25">
      <c r="B412" s="430" t="s">
        <v>420</v>
      </c>
      <c r="C412" s="434">
        <v>42845</v>
      </c>
      <c r="D412" s="431">
        <v>17850</v>
      </c>
      <c r="E412" s="436">
        <v>430995</v>
      </c>
      <c r="F412" s="444">
        <v>-5.5866067086398231E-3</v>
      </c>
      <c r="G412" s="427"/>
    </row>
    <row r="413" spans="2:7" x14ac:dyDescent="0.25">
      <c r="B413" s="430" t="s">
        <v>420</v>
      </c>
      <c r="C413" s="434">
        <v>42846</v>
      </c>
      <c r="D413" s="431">
        <v>17772</v>
      </c>
      <c r="E413" s="436">
        <v>415607</v>
      </c>
      <c r="F413" s="444">
        <v>-4.3793231519860497E-3</v>
      </c>
      <c r="G413" s="427"/>
    </row>
    <row r="414" spans="2:7" x14ac:dyDescent="0.25">
      <c r="B414" s="430" t="s">
        <v>420</v>
      </c>
      <c r="C414" s="434">
        <v>42849</v>
      </c>
      <c r="D414" s="431">
        <v>18250</v>
      </c>
      <c r="E414" s="436">
        <v>682280</v>
      </c>
      <c r="F414" s="444">
        <v>2.6540894954838485E-2</v>
      </c>
      <c r="G414" s="427"/>
    </row>
    <row r="415" spans="2:7" x14ac:dyDescent="0.25">
      <c r="B415" s="430" t="s">
        <v>420</v>
      </c>
      <c r="C415" s="434">
        <v>42850</v>
      </c>
      <c r="D415" s="431">
        <v>17950</v>
      </c>
      <c r="E415" s="436">
        <v>789510</v>
      </c>
      <c r="F415" s="444">
        <v>-1.6574965094212676E-2</v>
      </c>
      <c r="G415" s="427"/>
    </row>
    <row r="416" spans="2:7" x14ac:dyDescent="0.25">
      <c r="B416" s="430" t="s">
        <v>420</v>
      </c>
      <c r="C416" s="434">
        <v>42851</v>
      </c>
      <c r="D416" s="431">
        <v>17970</v>
      </c>
      <c r="E416" s="436">
        <v>471972</v>
      </c>
      <c r="F416" s="444">
        <v>1.1135858611798202E-3</v>
      </c>
      <c r="G416" s="427"/>
    </row>
    <row r="417" spans="2:7" x14ac:dyDescent="0.25">
      <c r="B417" s="430" t="s">
        <v>420</v>
      </c>
      <c r="C417" s="434">
        <v>42853</v>
      </c>
      <c r="D417" s="431">
        <v>18018</v>
      </c>
      <c r="E417" s="436">
        <v>791637</v>
      </c>
      <c r="F417" s="444">
        <v>2.6675574337804982E-3</v>
      </c>
      <c r="G417" s="427"/>
    </row>
    <row r="418" spans="2:7" x14ac:dyDescent="0.25">
      <c r="B418" s="430" t="s">
        <v>420</v>
      </c>
      <c r="C418" s="434">
        <v>42857</v>
      </c>
      <c r="D418" s="431">
        <v>18275</v>
      </c>
      <c r="E418" s="436">
        <v>444885</v>
      </c>
      <c r="F418" s="444">
        <v>1.4162747406594066E-2</v>
      </c>
      <c r="G418" s="427"/>
    </row>
    <row r="419" spans="2:7" x14ac:dyDescent="0.25">
      <c r="B419" s="430" t="s">
        <v>420</v>
      </c>
      <c r="C419" s="434">
        <v>42858</v>
      </c>
      <c r="D419" s="431">
        <v>18144</v>
      </c>
      <c r="E419" s="436">
        <v>423502</v>
      </c>
      <c r="F419" s="444">
        <v>-7.1940780905006716E-3</v>
      </c>
      <c r="G419" s="427"/>
    </row>
    <row r="420" spans="2:7" x14ac:dyDescent="0.25">
      <c r="B420" s="430" t="s">
        <v>420</v>
      </c>
      <c r="C420" s="434">
        <v>42859</v>
      </c>
      <c r="D420" s="431">
        <v>18052</v>
      </c>
      <c r="E420" s="436">
        <v>537249</v>
      </c>
      <c r="F420" s="444">
        <v>-5.083445580586818E-3</v>
      </c>
      <c r="G420" s="427"/>
    </row>
    <row r="421" spans="2:7" x14ac:dyDescent="0.25">
      <c r="B421" s="430" t="s">
        <v>420</v>
      </c>
      <c r="C421" s="434">
        <v>42860</v>
      </c>
      <c r="D421" s="431">
        <v>18045</v>
      </c>
      <c r="E421" s="436">
        <v>339940</v>
      </c>
      <c r="F421" s="444">
        <v>-3.8784387000286025E-4</v>
      </c>
      <c r="G421" s="427"/>
    </row>
    <row r="422" spans="2:7" x14ac:dyDescent="0.25">
      <c r="B422" s="430" t="s">
        <v>420</v>
      </c>
      <c r="C422" s="434">
        <v>42863</v>
      </c>
      <c r="D422" s="431">
        <v>18201</v>
      </c>
      <c r="E422" s="436">
        <v>325635</v>
      </c>
      <c r="F422" s="444">
        <v>8.6078995335185544E-3</v>
      </c>
      <c r="G422" s="427"/>
    </row>
    <row r="423" spans="2:7" x14ac:dyDescent="0.25">
      <c r="B423" s="430" t="s">
        <v>420</v>
      </c>
      <c r="C423" s="434">
        <v>42864</v>
      </c>
      <c r="D423" s="431">
        <v>17920</v>
      </c>
      <c r="E423" s="436">
        <v>1264233</v>
      </c>
      <c r="F423" s="444">
        <v>-1.5559130081486119E-2</v>
      </c>
      <c r="G423" s="427"/>
    </row>
    <row r="424" spans="2:7" x14ac:dyDescent="0.25">
      <c r="B424" s="430" t="s">
        <v>420</v>
      </c>
      <c r="C424" s="434">
        <v>42865</v>
      </c>
      <c r="D424" s="431">
        <v>17803</v>
      </c>
      <c r="E424" s="436">
        <v>1848708</v>
      </c>
      <c r="F424" s="444">
        <v>-6.5504251240588425E-3</v>
      </c>
      <c r="G424" s="427"/>
    </row>
    <row r="425" spans="2:7" x14ac:dyDescent="0.25">
      <c r="B425" s="430" t="s">
        <v>420</v>
      </c>
      <c r="C425" s="434">
        <v>42866</v>
      </c>
      <c r="D425" s="431">
        <v>17850</v>
      </c>
      <c r="E425" s="436">
        <v>712306</v>
      </c>
      <c r="F425" s="444">
        <v>2.6365258029223773E-3</v>
      </c>
      <c r="G425" s="427"/>
    </row>
    <row r="426" spans="2:7" x14ac:dyDescent="0.25">
      <c r="B426" s="430" t="s">
        <v>420</v>
      </c>
      <c r="C426" s="434">
        <v>42867</v>
      </c>
      <c r="D426" s="431">
        <v>17877</v>
      </c>
      <c r="E426" s="436">
        <v>511374</v>
      </c>
      <c r="F426" s="444">
        <v>1.5114622073035407E-3</v>
      </c>
      <c r="G426" s="427"/>
    </row>
    <row r="427" spans="2:7" x14ac:dyDescent="0.25">
      <c r="B427" s="430" t="s">
        <v>420</v>
      </c>
      <c r="C427" s="434">
        <v>42870</v>
      </c>
      <c r="D427" s="431">
        <v>17750</v>
      </c>
      <c r="E427" s="436">
        <v>298799</v>
      </c>
      <c r="F427" s="444">
        <v>-7.129454511526751E-3</v>
      </c>
      <c r="G427" s="427"/>
    </row>
    <row r="428" spans="2:7" x14ac:dyDescent="0.25">
      <c r="B428" s="430" t="s">
        <v>420</v>
      </c>
      <c r="C428" s="434">
        <v>42871</v>
      </c>
      <c r="D428" s="431">
        <v>17692</v>
      </c>
      <c r="E428" s="436">
        <v>1210624</v>
      </c>
      <c r="F428" s="444">
        <v>-3.2729559153444544E-3</v>
      </c>
      <c r="G428" s="427"/>
    </row>
    <row r="429" spans="2:7" x14ac:dyDescent="0.25">
      <c r="B429" s="430" t="s">
        <v>420</v>
      </c>
      <c r="C429" s="434">
        <v>42872</v>
      </c>
      <c r="D429" s="431">
        <v>17565</v>
      </c>
      <c r="E429" s="436">
        <v>576507</v>
      </c>
      <c r="F429" s="444">
        <v>-7.2042742882900161E-3</v>
      </c>
      <c r="G429" s="427"/>
    </row>
    <row r="430" spans="2:7" x14ac:dyDescent="0.25">
      <c r="B430" s="430" t="s">
        <v>420</v>
      </c>
      <c r="C430" s="434">
        <v>42873</v>
      </c>
      <c r="D430" s="431">
        <v>17400</v>
      </c>
      <c r="E430" s="436">
        <v>1022660</v>
      </c>
      <c r="F430" s="444">
        <v>-9.4380794973070413E-3</v>
      </c>
      <c r="G430" s="427"/>
    </row>
    <row r="431" spans="2:7" x14ac:dyDescent="0.25">
      <c r="B431" s="430" t="s">
        <v>420</v>
      </c>
      <c r="C431" s="434">
        <v>42874</v>
      </c>
      <c r="D431" s="431">
        <v>17508</v>
      </c>
      <c r="E431" s="436">
        <v>874427</v>
      </c>
      <c r="F431" s="444">
        <v>6.1877131081655504E-3</v>
      </c>
      <c r="G431" s="427"/>
    </row>
    <row r="432" spans="2:7" x14ac:dyDescent="0.25">
      <c r="B432" s="430" t="s">
        <v>420</v>
      </c>
      <c r="C432" s="434">
        <v>42877</v>
      </c>
      <c r="D432" s="431">
        <v>17561</v>
      </c>
      <c r="E432" s="436">
        <v>757123</v>
      </c>
      <c r="F432" s="444">
        <v>3.0226148650685995E-3</v>
      </c>
      <c r="G432" s="427"/>
    </row>
    <row r="433" spans="2:7" x14ac:dyDescent="0.25">
      <c r="B433" s="430" t="s">
        <v>420</v>
      </c>
      <c r="C433" s="434">
        <v>42878</v>
      </c>
      <c r="D433" s="431">
        <v>17600</v>
      </c>
      <c r="E433" s="436">
        <v>601753</v>
      </c>
      <c r="F433" s="444">
        <v>2.2183678503885406E-3</v>
      </c>
      <c r="G433" s="427"/>
    </row>
    <row r="434" spans="2:7" x14ac:dyDescent="0.25">
      <c r="B434" s="430" t="s">
        <v>420</v>
      </c>
      <c r="C434" s="434">
        <v>42879</v>
      </c>
      <c r="D434" s="431">
        <v>17229</v>
      </c>
      <c r="E434" s="436">
        <v>1030166</v>
      </c>
      <c r="F434" s="444">
        <v>-2.1304891493836974E-2</v>
      </c>
      <c r="G434" s="427"/>
    </row>
    <row r="435" spans="2:7" x14ac:dyDescent="0.25">
      <c r="B435" s="430" t="s">
        <v>420</v>
      </c>
      <c r="C435" s="434">
        <v>42880</v>
      </c>
      <c r="D435" s="431">
        <v>17220</v>
      </c>
      <c r="E435" s="436">
        <v>2475151</v>
      </c>
      <c r="F435" s="444">
        <v>-5.225115506843766E-4</v>
      </c>
      <c r="G435" s="427"/>
    </row>
    <row r="436" spans="2:7" x14ac:dyDescent="0.25">
      <c r="B436" s="430" t="s">
        <v>420</v>
      </c>
      <c r="C436" s="434">
        <v>42881</v>
      </c>
      <c r="D436" s="431">
        <v>17400</v>
      </c>
      <c r="E436" s="436">
        <v>1154294</v>
      </c>
      <c r="F436" s="444">
        <v>1.0398707220898517E-2</v>
      </c>
      <c r="G436" s="427"/>
    </row>
    <row r="437" spans="2:7" x14ac:dyDescent="0.25">
      <c r="B437" s="430" t="s">
        <v>420</v>
      </c>
      <c r="C437" s="434">
        <v>42884</v>
      </c>
      <c r="D437" s="431">
        <v>17401</v>
      </c>
      <c r="E437" s="436">
        <v>252488</v>
      </c>
      <c r="F437" s="444">
        <v>5.746961295788363E-5</v>
      </c>
      <c r="G437" s="427"/>
    </row>
    <row r="438" spans="2:7" x14ac:dyDescent="0.25">
      <c r="B438" s="430" t="s">
        <v>420</v>
      </c>
      <c r="C438" s="434">
        <v>42885</v>
      </c>
      <c r="D438" s="431">
        <v>17578</v>
      </c>
      <c r="E438" s="436">
        <v>423554</v>
      </c>
      <c r="F438" s="444">
        <v>1.0120444309012256E-2</v>
      </c>
      <c r="G438" s="427"/>
    </row>
    <row r="439" spans="2:7" x14ac:dyDescent="0.25">
      <c r="B439" s="430" t="s">
        <v>420</v>
      </c>
      <c r="C439" s="434">
        <v>42886</v>
      </c>
      <c r="D439" s="431">
        <v>17092</v>
      </c>
      <c r="E439" s="436">
        <v>2931847</v>
      </c>
      <c r="F439" s="444">
        <v>-2.8037602360674943E-2</v>
      </c>
      <c r="G439" s="427"/>
    </row>
    <row r="440" spans="2:7" x14ac:dyDescent="0.25">
      <c r="B440" s="430" t="s">
        <v>420</v>
      </c>
      <c r="C440" s="434">
        <v>42887</v>
      </c>
      <c r="D440" s="431">
        <v>16025</v>
      </c>
      <c r="E440" s="436">
        <v>2507576</v>
      </c>
      <c r="F440" s="444">
        <v>-6.4460514975044736E-2</v>
      </c>
      <c r="G440" s="427"/>
    </row>
    <row r="441" spans="2:7" x14ac:dyDescent="0.25">
      <c r="B441" s="430" t="s">
        <v>420</v>
      </c>
      <c r="C441" s="434">
        <v>42888</v>
      </c>
      <c r="D441" s="431">
        <v>16077</v>
      </c>
      <c r="E441" s="436">
        <v>4692908</v>
      </c>
      <c r="F441" s="444">
        <v>3.2396763740892018E-3</v>
      </c>
      <c r="G441" s="427"/>
    </row>
    <row r="442" spans="2:7" x14ac:dyDescent="0.25">
      <c r="B442" s="430" t="s">
        <v>420</v>
      </c>
      <c r="C442" s="434">
        <v>42891</v>
      </c>
      <c r="D442" s="431">
        <v>15805</v>
      </c>
      <c r="E442" s="436">
        <v>1008954</v>
      </c>
      <c r="F442" s="444">
        <v>-1.7063333513241838E-2</v>
      </c>
      <c r="G442" s="427"/>
    </row>
    <row r="443" spans="2:7" x14ac:dyDescent="0.25">
      <c r="B443" s="430" t="s">
        <v>420</v>
      </c>
      <c r="C443" s="434">
        <v>42892</v>
      </c>
      <c r="D443" s="431">
        <v>15550</v>
      </c>
      <c r="E443" s="436">
        <v>2293218</v>
      </c>
      <c r="F443" s="444">
        <v>-1.6265707042337867E-2</v>
      </c>
      <c r="G443" s="427"/>
    </row>
    <row r="444" spans="2:7" x14ac:dyDescent="0.25">
      <c r="B444" s="430" t="s">
        <v>420</v>
      </c>
      <c r="C444" s="434">
        <v>42893</v>
      </c>
      <c r="D444" s="431">
        <v>15494</v>
      </c>
      <c r="E444" s="436">
        <v>4951895</v>
      </c>
      <c r="F444" s="444">
        <v>-3.6077864155323433E-3</v>
      </c>
      <c r="G444" s="427"/>
    </row>
    <row r="445" spans="2:7" x14ac:dyDescent="0.25">
      <c r="B445" s="430" t="s">
        <v>420</v>
      </c>
      <c r="C445" s="434">
        <v>42894</v>
      </c>
      <c r="D445" s="431">
        <v>15440</v>
      </c>
      <c r="E445" s="436">
        <v>1209480</v>
      </c>
      <c r="F445" s="444">
        <v>-3.49130761308065E-3</v>
      </c>
      <c r="G445" s="427"/>
    </row>
    <row r="446" spans="2:7" x14ac:dyDescent="0.25">
      <c r="B446" s="430" t="s">
        <v>420</v>
      </c>
      <c r="C446" s="434">
        <v>42895</v>
      </c>
      <c r="D446" s="431">
        <v>15515</v>
      </c>
      <c r="E446" s="436">
        <v>1160299</v>
      </c>
      <c r="F446" s="444">
        <v>4.8457533037134281E-3</v>
      </c>
      <c r="G446" s="427"/>
    </row>
    <row r="447" spans="2:7" x14ac:dyDescent="0.25">
      <c r="B447" s="430" t="s">
        <v>420</v>
      </c>
      <c r="C447" s="434">
        <v>42898</v>
      </c>
      <c r="D447" s="431">
        <v>15568</v>
      </c>
      <c r="E447" s="436">
        <v>1103405</v>
      </c>
      <c r="F447" s="444">
        <v>3.4102275433057277E-3</v>
      </c>
      <c r="G447" s="427"/>
    </row>
    <row r="448" spans="2:7" x14ac:dyDescent="0.25">
      <c r="B448" s="430" t="s">
        <v>420</v>
      </c>
      <c r="C448" s="434">
        <v>42899</v>
      </c>
      <c r="D448" s="431">
        <v>15600</v>
      </c>
      <c r="E448" s="436">
        <v>808996</v>
      </c>
      <c r="F448" s="444">
        <v>2.0533888118420066E-3</v>
      </c>
      <c r="G448" s="427"/>
    </row>
    <row r="449" spans="2:7" x14ac:dyDescent="0.25">
      <c r="B449" s="430" t="s">
        <v>420</v>
      </c>
      <c r="C449" s="434">
        <v>42900</v>
      </c>
      <c r="D449" s="431">
        <v>15565</v>
      </c>
      <c r="E449" s="436">
        <v>1576910</v>
      </c>
      <c r="F449" s="444">
        <v>-2.2461103619198629E-3</v>
      </c>
      <c r="G449" s="427"/>
    </row>
    <row r="450" spans="2:7" x14ac:dyDescent="0.25">
      <c r="B450" s="430" t="s">
        <v>420</v>
      </c>
      <c r="C450" s="434">
        <v>42901</v>
      </c>
      <c r="D450" s="431">
        <v>15250</v>
      </c>
      <c r="E450" s="436">
        <v>2512259</v>
      </c>
      <c r="F450" s="444">
        <v>-2.0445300840150834E-2</v>
      </c>
      <c r="G450" s="427"/>
    </row>
    <row r="451" spans="2:7" x14ac:dyDescent="0.25">
      <c r="B451" s="430" t="s">
        <v>420</v>
      </c>
      <c r="C451" s="434">
        <v>42905</v>
      </c>
      <c r="D451" s="431">
        <v>15250</v>
      </c>
      <c r="E451" s="436">
        <v>654496</v>
      </c>
      <c r="F451" s="444">
        <v>0</v>
      </c>
      <c r="G451" s="427"/>
    </row>
    <row r="452" spans="2:7" x14ac:dyDescent="0.25">
      <c r="B452" s="430" t="s">
        <v>420</v>
      </c>
      <c r="C452" s="434">
        <v>42906</v>
      </c>
      <c r="D452" s="431">
        <v>15288</v>
      </c>
      <c r="E452" s="436">
        <v>592354</v>
      </c>
      <c r="F452" s="444">
        <v>2.4887038845512353E-3</v>
      </c>
      <c r="G452" s="427"/>
    </row>
    <row r="453" spans="2:7" x14ac:dyDescent="0.25">
      <c r="B453" s="430" t="s">
        <v>420</v>
      </c>
      <c r="C453" s="434">
        <v>42907</v>
      </c>
      <c r="D453" s="431">
        <v>15227</v>
      </c>
      <c r="E453" s="436">
        <v>1612369</v>
      </c>
      <c r="F453" s="444">
        <v>-3.998039079376561E-3</v>
      </c>
      <c r="G453" s="427"/>
    </row>
    <row r="454" spans="2:7" x14ac:dyDescent="0.25">
      <c r="B454" s="430" t="s">
        <v>420</v>
      </c>
      <c r="C454" s="434">
        <v>42908</v>
      </c>
      <c r="D454" s="431">
        <v>15225</v>
      </c>
      <c r="E454" s="436">
        <v>973783</v>
      </c>
      <c r="F454" s="444">
        <v>-1.3135426263466337E-4</v>
      </c>
      <c r="G454" s="427"/>
    </row>
    <row r="455" spans="2:7" x14ac:dyDescent="0.25">
      <c r="B455" s="430" t="s">
        <v>420</v>
      </c>
      <c r="C455" s="434">
        <v>42909</v>
      </c>
      <c r="D455" s="431">
        <v>15352</v>
      </c>
      <c r="E455" s="436">
        <v>546110</v>
      </c>
      <c r="F455" s="444">
        <v>8.3069451094380867E-3</v>
      </c>
      <c r="G455" s="427"/>
    </row>
    <row r="456" spans="2:7" x14ac:dyDescent="0.25">
      <c r="B456" s="430" t="s">
        <v>420</v>
      </c>
      <c r="C456" s="434">
        <v>42912</v>
      </c>
      <c r="D456" s="431">
        <v>15399</v>
      </c>
      <c r="E456" s="436">
        <v>1184674</v>
      </c>
      <c r="F456" s="444">
        <v>3.0568135408770183E-3</v>
      </c>
      <c r="G456" s="427"/>
    </row>
    <row r="457" spans="2:7" x14ac:dyDescent="0.25">
      <c r="B457" s="430" t="s">
        <v>420</v>
      </c>
      <c r="C457" s="434">
        <v>42913</v>
      </c>
      <c r="D457" s="431">
        <v>15400</v>
      </c>
      <c r="E457" s="436">
        <v>568258</v>
      </c>
      <c r="F457" s="444">
        <v>6.4937173307659055E-5</v>
      </c>
      <c r="G457" s="427"/>
    </row>
    <row r="458" spans="2:7" x14ac:dyDescent="0.25">
      <c r="B458" s="430" t="s">
        <v>420</v>
      </c>
      <c r="C458" s="434">
        <v>42914</v>
      </c>
      <c r="D458" s="431">
        <v>15390</v>
      </c>
      <c r="E458" s="436">
        <v>988600</v>
      </c>
      <c r="F458" s="444">
        <v>-6.4956156879564502E-4</v>
      </c>
      <c r="G458" s="427"/>
    </row>
    <row r="459" spans="2:7" x14ac:dyDescent="0.25">
      <c r="B459" s="430" t="s">
        <v>420</v>
      </c>
      <c r="C459" s="434">
        <v>42915</v>
      </c>
      <c r="D459" s="431">
        <v>15384</v>
      </c>
      <c r="E459" s="436">
        <v>994661</v>
      </c>
      <c r="F459" s="444">
        <v>-3.8993956430923899E-4</v>
      </c>
      <c r="G459" s="427"/>
    </row>
    <row r="460" spans="2:7" x14ac:dyDescent="0.25">
      <c r="B460" s="430" t="s">
        <v>420</v>
      </c>
      <c r="C460" s="434">
        <v>42916</v>
      </c>
      <c r="D460" s="431">
        <v>15411</v>
      </c>
      <c r="E460" s="436">
        <v>432807</v>
      </c>
      <c r="F460" s="444">
        <v>1.7535318667619595E-3</v>
      </c>
      <c r="G460" s="427"/>
    </row>
    <row r="461" spans="2:7" x14ac:dyDescent="0.25">
      <c r="B461" s="430" t="s">
        <v>420</v>
      </c>
      <c r="C461" s="434">
        <v>42919</v>
      </c>
      <c r="D461" s="431">
        <v>15400</v>
      </c>
      <c r="E461" s="436">
        <v>718682</v>
      </c>
      <c r="F461" s="444">
        <v>-7.1403073365706277E-4</v>
      </c>
      <c r="G461" s="427"/>
    </row>
    <row r="462" spans="2:7" x14ac:dyDescent="0.25">
      <c r="B462" s="430" t="s">
        <v>420</v>
      </c>
      <c r="C462" s="434">
        <v>42920</v>
      </c>
      <c r="D462" s="431">
        <v>15563</v>
      </c>
      <c r="E462" s="436">
        <v>784946</v>
      </c>
      <c r="F462" s="444">
        <v>1.0528792803289366E-2</v>
      </c>
      <c r="G462" s="427"/>
    </row>
    <row r="463" spans="2:7" x14ac:dyDescent="0.25">
      <c r="B463" s="430" t="s">
        <v>420</v>
      </c>
      <c r="C463" s="434">
        <v>42921</v>
      </c>
      <c r="D463" s="431">
        <v>15414</v>
      </c>
      <c r="E463" s="436">
        <v>1228869</v>
      </c>
      <c r="F463" s="444">
        <v>-9.6201148670714276E-3</v>
      </c>
      <c r="G463" s="427"/>
    </row>
    <row r="464" spans="2:7" x14ac:dyDescent="0.25">
      <c r="B464" s="430" t="s">
        <v>420</v>
      </c>
      <c r="C464" s="434">
        <v>42922</v>
      </c>
      <c r="D464" s="431">
        <v>15475</v>
      </c>
      <c r="E464" s="436">
        <v>259042</v>
      </c>
      <c r="F464" s="444">
        <v>3.9496312148581975E-3</v>
      </c>
      <c r="G464" s="427"/>
    </row>
    <row r="465" spans="2:7" x14ac:dyDescent="0.25">
      <c r="B465" s="430" t="s">
        <v>420</v>
      </c>
      <c r="C465" s="434">
        <v>42923</v>
      </c>
      <c r="D465" s="431">
        <v>15515</v>
      </c>
      <c r="E465" s="436">
        <v>440052</v>
      </c>
      <c r="F465" s="444">
        <v>2.5814793296836925E-3</v>
      </c>
      <c r="G465" s="427"/>
    </row>
    <row r="466" spans="2:7" x14ac:dyDescent="0.25">
      <c r="B466" s="430" t="s">
        <v>420</v>
      </c>
      <c r="C466" s="434">
        <v>42926</v>
      </c>
      <c r="D466" s="431">
        <v>15401</v>
      </c>
      <c r="E466" s="436">
        <v>314208</v>
      </c>
      <c r="F466" s="444">
        <v>-7.3748555240150107E-3</v>
      </c>
      <c r="G466" s="427"/>
    </row>
    <row r="467" spans="2:7" x14ac:dyDescent="0.25">
      <c r="B467" s="430" t="s">
        <v>420</v>
      </c>
      <c r="C467" s="434">
        <v>42927</v>
      </c>
      <c r="D467" s="431">
        <v>15320</v>
      </c>
      <c r="E467" s="436">
        <v>481953</v>
      </c>
      <c r="F467" s="444">
        <v>-5.2732780638832331E-3</v>
      </c>
      <c r="G467" s="427"/>
    </row>
    <row r="468" spans="2:7" x14ac:dyDescent="0.25">
      <c r="B468" s="430" t="s">
        <v>420</v>
      </c>
      <c r="C468" s="434">
        <v>42928</v>
      </c>
      <c r="D468" s="431">
        <v>15409</v>
      </c>
      <c r="E468" s="436">
        <v>508388</v>
      </c>
      <c r="F468" s="444">
        <v>5.7925899872710868E-3</v>
      </c>
      <c r="G468" s="427"/>
    </row>
    <row r="469" spans="2:7" x14ac:dyDescent="0.25">
      <c r="B469" s="430" t="s">
        <v>420</v>
      </c>
      <c r="C469" s="434">
        <v>42929</v>
      </c>
      <c r="D469" s="431">
        <v>15599</v>
      </c>
      <c r="E469" s="436">
        <v>702522</v>
      </c>
      <c r="F469" s="444">
        <v>1.2255055337015354E-2</v>
      </c>
      <c r="G469" s="427"/>
    </row>
    <row r="470" spans="2:7" x14ac:dyDescent="0.25">
      <c r="B470" s="430" t="s">
        <v>420</v>
      </c>
      <c r="C470" s="434">
        <v>42930</v>
      </c>
      <c r="D470" s="431">
        <v>16070</v>
      </c>
      <c r="E470" s="436">
        <v>514321</v>
      </c>
      <c r="F470" s="444">
        <v>2.9747370112689488E-2</v>
      </c>
      <c r="G470" s="427"/>
    </row>
    <row r="471" spans="2:7" x14ac:dyDescent="0.25">
      <c r="B471" s="430" t="s">
        <v>420</v>
      </c>
      <c r="C471" s="434">
        <v>42933</v>
      </c>
      <c r="D471" s="431">
        <v>16032</v>
      </c>
      <c r="E471" s="436">
        <v>737206</v>
      </c>
      <c r="F471" s="444">
        <v>-2.3674548469669724E-3</v>
      </c>
      <c r="G471" s="427"/>
    </row>
    <row r="472" spans="2:7" x14ac:dyDescent="0.25">
      <c r="B472" s="430" t="s">
        <v>420</v>
      </c>
      <c r="C472" s="434">
        <v>42934</v>
      </c>
      <c r="D472" s="431">
        <v>16245</v>
      </c>
      <c r="E472" s="436">
        <v>782947</v>
      </c>
      <c r="F472" s="444">
        <v>1.3198444218609301E-2</v>
      </c>
      <c r="G472" s="427"/>
    </row>
    <row r="473" spans="2:7" x14ac:dyDescent="0.25">
      <c r="B473" s="430" t="s">
        <v>420</v>
      </c>
      <c r="C473" s="434">
        <v>42935</v>
      </c>
      <c r="D473" s="431">
        <v>16250</v>
      </c>
      <c r="E473" s="436">
        <v>894800</v>
      </c>
      <c r="F473" s="444">
        <v>3.0773965468286355E-4</v>
      </c>
      <c r="G473" s="427"/>
    </row>
    <row r="474" spans="2:7" x14ac:dyDescent="0.25">
      <c r="B474" s="430" t="s">
        <v>420</v>
      </c>
      <c r="C474" s="434">
        <v>42936</v>
      </c>
      <c r="D474" s="431">
        <v>16705</v>
      </c>
      <c r="E474" s="436">
        <v>715806</v>
      </c>
      <c r="F474" s="444">
        <v>2.7615167032973391E-2</v>
      </c>
      <c r="G474" s="427"/>
    </row>
    <row r="475" spans="2:7" x14ac:dyDescent="0.25">
      <c r="B475" s="430" t="s">
        <v>420</v>
      </c>
      <c r="C475" s="434">
        <v>42937</v>
      </c>
      <c r="D475" s="431">
        <v>16551</v>
      </c>
      <c r="E475" s="436">
        <v>456028</v>
      </c>
      <c r="F475" s="444">
        <v>-9.2615528503164016E-3</v>
      </c>
      <c r="G475" s="427"/>
    </row>
    <row r="476" spans="2:7" x14ac:dyDescent="0.25">
      <c r="B476" s="430" t="s">
        <v>420</v>
      </c>
      <c r="C476" s="434">
        <v>42940</v>
      </c>
      <c r="D476" s="431">
        <v>16391</v>
      </c>
      <c r="E476" s="436">
        <v>284410</v>
      </c>
      <c r="F476" s="444">
        <v>-9.7141192511803528E-3</v>
      </c>
      <c r="G476" s="427"/>
    </row>
    <row r="477" spans="2:7" x14ac:dyDescent="0.25">
      <c r="B477" s="430" t="s">
        <v>420</v>
      </c>
      <c r="C477" s="434">
        <v>42941</v>
      </c>
      <c r="D477" s="431">
        <v>16003</v>
      </c>
      <c r="E477" s="436">
        <v>510620</v>
      </c>
      <c r="F477" s="444">
        <v>-2.3956199043369882E-2</v>
      </c>
      <c r="G477" s="427"/>
    </row>
    <row r="478" spans="2:7" x14ac:dyDescent="0.25">
      <c r="B478" s="430" t="s">
        <v>420</v>
      </c>
      <c r="C478" s="434">
        <v>42942</v>
      </c>
      <c r="D478" s="431">
        <v>15994</v>
      </c>
      <c r="E478" s="436">
        <v>982942</v>
      </c>
      <c r="F478" s="444">
        <v>-5.6255275415503792E-4</v>
      </c>
      <c r="G478" s="427"/>
    </row>
    <row r="479" spans="2:7" x14ac:dyDescent="0.25">
      <c r="B479" s="430" t="s">
        <v>420</v>
      </c>
      <c r="C479" s="434">
        <v>42943</v>
      </c>
      <c r="D479" s="431">
        <v>16297</v>
      </c>
      <c r="E479" s="436">
        <v>966462</v>
      </c>
      <c r="F479" s="444">
        <v>1.8767389884153642E-2</v>
      </c>
      <c r="G479" s="427"/>
    </row>
    <row r="480" spans="2:7" x14ac:dyDescent="0.25">
      <c r="B480" s="430" t="s">
        <v>420</v>
      </c>
      <c r="C480" s="434">
        <v>42944</v>
      </c>
      <c r="D480" s="431">
        <v>16605</v>
      </c>
      <c r="E480" s="436">
        <v>351356</v>
      </c>
      <c r="F480" s="444">
        <v>1.8722813034858093E-2</v>
      </c>
      <c r="G480" s="427"/>
    </row>
    <row r="481" spans="2:7" x14ac:dyDescent="0.25">
      <c r="B481" s="430" t="s">
        <v>420</v>
      </c>
      <c r="C481" s="434">
        <v>42947</v>
      </c>
      <c r="D481" s="431">
        <v>16515</v>
      </c>
      <c r="E481" s="436">
        <v>780674</v>
      </c>
      <c r="F481" s="444">
        <v>-5.4347959859569446E-3</v>
      </c>
      <c r="G481" s="427"/>
    </row>
    <row r="482" spans="2:7" x14ac:dyDescent="0.25">
      <c r="B482" s="430" t="s">
        <v>420</v>
      </c>
      <c r="C482" s="434">
        <v>42948</v>
      </c>
      <c r="D482" s="431">
        <v>16500</v>
      </c>
      <c r="E482" s="436">
        <v>856714</v>
      </c>
      <c r="F482" s="444">
        <v>-9.0867793621806432E-4</v>
      </c>
      <c r="G482" s="427"/>
    </row>
    <row r="483" spans="2:7" x14ac:dyDescent="0.25">
      <c r="B483" s="430" t="s">
        <v>420</v>
      </c>
      <c r="C483" s="434">
        <v>42949</v>
      </c>
      <c r="D483" s="431">
        <v>16800</v>
      </c>
      <c r="E483" s="436">
        <v>602251</v>
      </c>
      <c r="F483" s="444">
        <v>1.8018505502678212E-2</v>
      </c>
      <c r="G483" s="427"/>
    </row>
    <row r="484" spans="2:7" x14ac:dyDescent="0.25">
      <c r="B484" s="430" t="s">
        <v>420</v>
      </c>
      <c r="C484" s="434">
        <v>42950</v>
      </c>
      <c r="D484" s="431">
        <v>16949</v>
      </c>
      <c r="E484" s="436">
        <v>470875</v>
      </c>
      <c r="F484" s="444">
        <v>8.8299486267041077E-3</v>
      </c>
      <c r="G484" s="427"/>
    </row>
    <row r="485" spans="2:7" x14ac:dyDescent="0.25">
      <c r="B485" s="430" t="s">
        <v>420</v>
      </c>
      <c r="C485" s="434">
        <v>42951</v>
      </c>
      <c r="D485" s="431">
        <v>16931</v>
      </c>
      <c r="E485" s="436">
        <v>413281</v>
      </c>
      <c r="F485" s="444">
        <v>-1.0625738898225757E-3</v>
      </c>
      <c r="G485" s="427"/>
    </row>
    <row r="486" spans="2:7" x14ac:dyDescent="0.25">
      <c r="B486" s="430" t="s">
        <v>420</v>
      </c>
      <c r="C486" s="434">
        <v>42954</v>
      </c>
      <c r="D486" s="431">
        <v>16800</v>
      </c>
      <c r="E486" s="436">
        <v>522783</v>
      </c>
      <c r="F486" s="444">
        <v>-7.7673747368815034E-3</v>
      </c>
      <c r="G486" s="427"/>
    </row>
    <row r="487" spans="2:7" x14ac:dyDescent="0.25">
      <c r="B487" s="430" t="s">
        <v>420</v>
      </c>
      <c r="C487" s="434">
        <v>42955</v>
      </c>
      <c r="D487" s="431">
        <v>16805</v>
      </c>
      <c r="E487" s="436">
        <v>801857</v>
      </c>
      <c r="F487" s="444">
        <v>2.975747678558542E-4</v>
      </c>
      <c r="G487" s="427"/>
    </row>
    <row r="488" spans="2:7" x14ac:dyDescent="0.25">
      <c r="B488" s="430" t="s">
        <v>420</v>
      </c>
      <c r="C488" s="434">
        <v>42957</v>
      </c>
      <c r="D488" s="431">
        <v>16662</v>
      </c>
      <c r="E488" s="436">
        <v>426592</v>
      </c>
      <c r="F488" s="444">
        <v>-8.5457836243515196E-3</v>
      </c>
      <c r="G488" s="427"/>
    </row>
    <row r="489" spans="2:7" x14ac:dyDescent="0.25">
      <c r="B489" s="430" t="s">
        <v>420</v>
      </c>
      <c r="C489" s="434">
        <v>42958</v>
      </c>
      <c r="D489" s="431">
        <v>16665</v>
      </c>
      <c r="E489" s="436">
        <v>493765</v>
      </c>
      <c r="F489" s="444">
        <v>1.8003420698562144E-4</v>
      </c>
      <c r="G489" s="427"/>
    </row>
    <row r="490" spans="2:7" x14ac:dyDescent="0.25">
      <c r="B490" s="430" t="s">
        <v>420</v>
      </c>
      <c r="C490" s="434">
        <v>42961</v>
      </c>
      <c r="D490" s="431">
        <v>16734</v>
      </c>
      <c r="E490" s="436">
        <v>267850</v>
      </c>
      <c r="F490" s="444">
        <v>4.1318661137038368E-3</v>
      </c>
      <c r="G490" s="427"/>
    </row>
    <row r="491" spans="2:7" x14ac:dyDescent="0.25">
      <c r="B491" s="430" t="s">
        <v>420</v>
      </c>
      <c r="C491" s="434">
        <v>42962</v>
      </c>
      <c r="D491" s="431">
        <v>16837</v>
      </c>
      <c r="E491" s="436">
        <v>270575</v>
      </c>
      <c r="F491" s="444">
        <v>6.1362678022556932E-3</v>
      </c>
      <c r="G491" s="427"/>
    </row>
    <row r="492" spans="2:7" x14ac:dyDescent="0.25">
      <c r="B492" s="430" t="s">
        <v>420</v>
      </c>
      <c r="C492" s="434">
        <v>42963</v>
      </c>
      <c r="D492" s="431">
        <v>16704</v>
      </c>
      <c r="E492" s="436">
        <v>455002</v>
      </c>
      <c r="F492" s="444">
        <v>-7.9306339754344462E-3</v>
      </c>
      <c r="G492" s="427"/>
    </row>
    <row r="493" spans="2:7" x14ac:dyDescent="0.25">
      <c r="B493" s="430" t="s">
        <v>420</v>
      </c>
      <c r="C493" s="434">
        <v>42964</v>
      </c>
      <c r="D493" s="431">
        <v>16800</v>
      </c>
      <c r="E493" s="436">
        <v>421825</v>
      </c>
      <c r="F493" s="444">
        <v>5.7306747089850745E-3</v>
      </c>
      <c r="G493" s="427"/>
    </row>
    <row r="494" spans="2:7" x14ac:dyDescent="0.25">
      <c r="B494" s="430" t="s">
        <v>420</v>
      </c>
      <c r="C494" s="434">
        <v>42965</v>
      </c>
      <c r="D494" s="431">
        <v>16814</v>
      </c>
      <c r="E494" s="436">
        <v>230778</v>
      </c>
      <c r="F494" s="444">
        <v>8.3298630389177098E-4</v>
      </c>
      <c r="G494" s="427"/>
    </row>
    <row r="495" spans="2:7" x14ac:dyDescent="0.25">
      <c r="B495" s="430" t="s">
        <v>420</v>
      </c>
      <c r="C495" s="434">
        <v>42968</v>
      </c>
      <c r="D495" s="431">
        <v>17115</v>
      </c>
      <c r="E495" s="436">
        <v>341557</v>
      </c>
      <c r="F495" s="444">
        <v>1.7743399269043576E-2</v>
      </c>
      <c r="G495" s="427"/>
    </row>
    <row r="496" spans="2:7" x14ac:dyDescent="0.25">
      <c r="B496" s="430" t="s">
        <v>420</v>
      </c>
      <c r="C496" s="434">
        <v>42969</v>
      </c>
      <c r="D496" s="431">
        <v>17412</v>
      </c>
      <c r="E496" s="436">
        <v>477602</v>
      </c>
      <c r="F496" s="444">
        <v>1.7204351707902386E-2</v>
      </c>
      <c r="G496" s="427"/>
    </row>
    <row r="497" spans="2:7" x14ac:dyDescent="0.25">
      <c r="B497" s="430" t="s">
        <v>420</v>
      </c>
      <c r="C497" s="434">
        <v>42970</v>
      </c>
      <c r="D497" s="431">
        <v>17200</v>
      </c>
      <c r="E497" s="436">
        <v>618561</v>
      </c>
      <c r="F497" s="444">
        <v>-1.2250239870643732E-2</v>
      </c>
      <c r="G497" s="427"/>
    </row>
    <row r="498" spans="2:7" x14ac:dyDescent="0.25">
      <c r="B498" s="430" t="s">
        <v>420</v>
      </c>
      <c r="C498" s="434">
        <v>42971</v>
      </c>
      <c r="D498" s="431">
        <v>17561</v>
      </c>
      <c r="E498" s="436">
        <v>493845</v>
      </c>
      <c r="F498" s="444">
        <v>2.0771150374310248E-2</v>
      </c>
      <c r="G498" s="427"/>
    </row>
    <row r="499" spans="2:7" x14ac:dyDescent="0.25">
      <c r="B499" s="430" t="s">
        <v>420</v>
      </c>
      <c r="C499" s="434">
        <v>42972</v>
      </c>
      <c r="D499" s="431">
        <v>17243</v>
      </c>
      <c r="E499" s="436">
        <v>308295</v>
      </c>
      <c r="F499" s="444">
        <v>-1.8274270175723036E-2</v>
      </c>
      <c r="G499" s="427"/>
    </row>
    <row r="500" spans="2:7" x14ac:dyDescent="0.25">
      <c r="B500" s="430" t="s">
        <v>420</v>
      </c>
      <c r="C500" s="434">
        <v>42975</v>
      </c>
      <c r="D500" s="431">
        <v>17150</v>
      </c>
      <c r="E500" s="436">
        <v>338075</v>
      </c>
      <c r="F500" s="444">
        <v>-5.4080904060456562E-3</v>
      </c>
      <c r="G500" s="427"/>
    </row>
    <row r="501" spans="2:7" x14ac:dyDescent="0.25">
      <c r="B501" s="430" t="s">
        <v>420</v>
      </c>
      <c r="C501" s="434">
        <v>42976</v>
      </c>
      <c r="D501" s="431">
        <v>17170</v>
      </c>
      <c r="E501" s="436">
        <v>849516</v>
      </c>
      <c r="F501" s="444">
        <v>1.1655012974351919E-3</v>
      </c>
      <c r="G501" s="427"/>
    </row>
    <row r="502" spans="2:7" x14ac:dyDescent="0.25">
      <c r="B502" s="430" t="s">
        <v>420</v>
      </c>
      <c r="C502" s="434">
        <v>42977</v>
      </c>
      <c r="D502" s="431">
        <v>16800</v>
      </c>
      <c r="E502" s="436">
        <v>1120067</v>
      </c>
      <c r="F502" s="444">
        <v>-2.1784788500170949E-2</v>
      </c>
      <c r="G502" s="427"/>
    </row>
    <row r="503" spans="2:7" x14ac:dyDescent="0.25">
      <c r="B503" s="430" t="s">
        <v>420</v>
      </c>
      <c r="C503" s="434">
        <v>42978</v>
      </c>
      <c r="D503" s="431">
        <v>16905</v>
      </c>
      <c r="E503" s="436">
        <v>780991</v>
      </c>
      <c r="F503" s="444">
        <v>6.2305497506361628E-3</v>
      </c>
      <c r="G503" s="427"/>
    </row>
    <row r="504" spans="2:7" x14ac:dyDescent="0.25">
      <c r="B504" s="430" t="s">
        <v>420</v>
      </c>
      <c r="C504" s="434">
        <v>42979</v>
      </c>
      <c r="D504" s="431">
        <v>17119</v>
      </c>
      <c r="E504" s="436">
        <v>969239</v>
      </c>
      <c r="F504" s="444">
        <v>1.2579521632791942E-2</v>
      </c>
      <c r="G504" s="427"/>
    </row>
    <row r="505" spans="2:7" x14ac:dyDescent="0.25">
      <c r="B505" s="430" t="s">
        <v>420</v>
      </c>
      <c r="C505" s="434">
        <v>42982</v>
      </c>
      <c r="D505" s="431">
        <v>16785</v>
      </c>
      <c r="E505" s="436">
        <v>568912</v>
      </c>
      <c r="F505" s="444">
        <v>-1.9703327360643078E-2</v>
      </c>
      <c r="G505" s="427"/>
    </row>
    <row r="506" spans="2:7" x14ac:dyDescent="0.25">
      <c r="B506" s="430" t="s">
        <v>420</v>
      </c>
      <c r="C506" s="434">
        <v>42983</v>
      </c>
      <c r="D506" s="431">
        <v>16650</v>
      </c>
      <c r="E506" s="436">
        <v>746670</v>
      </c>
      <c r="F506" s="444">
        <v>-8.0754140055454178E-3</v>
      </c>
      <c r="G506" s="427"/>
    </row>
    <row r="507" spans="2:7" x14ac:dyDescent="0.25">
      <c r="B507" s="430" t="s">
        <v>420</v>
      </c>
      <c r="C507" s="434">
        <v>42984</v>
      </c>
      <c r="D507" s="431">
        <v>16710</v>
      </c>
      <c r="E507" s="436">
        <v>1102799</v>
      </c>
      <c r="F507" s="444">
        <v>3.5971261808494747E-3</v>
      </c>
      <c r="G507" s="427"/>
    </row>
    <row r="508" spans="2:7" x14ac:dyDescent="0.25">
      <c r="B508" s="430" t="s">
        <v>420</v>
      </c>
      <c r="C508" s="434">
        <v>42985</v>
      </c>
      <c r="D508" s="431">
        <v>16834</v>
      </c>
      <c r="E508" s="436">
        <v>271459</v>
      </c>
      <c r="F508" s="444">
        <v>7.3933081820820642E-3</v>
      </c>
      <c r="G508" s="427"/>
    </row>
    <row r="509" spans="2:7" x14ac:dyDescent="0.25">
      <c r="B509" s="430" t="s">
        <v>420</v>
      </c>
      <c r="C509" s="434">
        <v>42986</v>
      </c>
      <c r="D509" s="431">
        <v>16650</v>
      </c>
      <c r="E509" s="436">
        <v>234859</v>
      </c>
      <c r="F509" s="444">
        <v>-1.0990434362931551E-2</v>
      </c>
      <c r="G509" s="427"/>
    </row>
    <row r="510" spans="2:7" x14ac:dyDescent="0.25">
      <c r="B510" s="430" t="s">
        <v>420</v>
      </c>
      <c r="C510" s="434">
        <v>42989</v>
      </c>
      <c r="D510" s="431">
        <v>16601</v>
      </c>
      <c r="E510" s="436">
        <v>297900</v>
      </c>
      <c r="F510" s="444">
        <v>-2.9472819145138656E-3</v>
      </c>
      <c r="G510" s="427"/>
    </row>
    <row r="511" spans="2:7" x14ac:dyDescent="0.25">
      <c r="B511" s="430" t="s">
        <v>420</v>
      </c>
      <c r="C511" s="434">
        <v>42990</v>
      </c>
      <c r="D511" s="431">
        <v>16752</v>
      </c>
      <c r="E511" s="436">
        <v>830608</v>
      </c>
      <c r="F511" s="444">
        <v>9.0547196162421469E-3</v>
      </c>
      <c r="G511" s="427"/>
    </row>
    <row r="512" spans="2:7" x14ac:dyDescent="0.25">
      <c r="B512" s="430" t="s">
        <v>420</v>
      </c>
      <c r="C512" s="434">
        <v>42991</v>
      </c>
      <c r="D512" s="431">
        <v>16852</v>
      </c>
      <c r="E512" s="436">
        <v>221871</v>
      </c>
      <c r="F512" s="444">
        <v>5.9516899885891407E-3</v>
      </c>
      <c r="G512" s="427"/>
    </row>
    <row r="513" spans="2:7" x14ac:dyDescent="0.25">
      <c r="B513" s="430" t="s">
        <v>420</v>
      </c>
      <c r="C513" s="434">
        <v>42992</v>
      </c>
      <c r="D513" s="431">
        <v>16653</v>
      </c>
      <c r="E513" s="436">
        <v>808450</v>
      </c>
      <c r="F513" s="444">
        <v>-1.1878963740636116E-2</v>
      </c>
      <c r="G513" s="427"/>
    </row>
    <row r="514" spans="2:7" x14ac:dyDescent="0.25">
      <c r="B514" s="430" t="s">
        <v>420</v>
      </c>
      <c r="C514" s="434">
        <v>42993</v>
      </c>
      <c r="D514" s="431">
        <v>16705</v>
      </c>
      <c r="E514" s="436">
        <v>842514</v>
      </c>
      <c r="F514" s="444">
        <v>3.1176954325859312E-3</v>
      </c>
      <c r="G514" s="427"/>
    </row>
    <row r="515" spans="2:7" x14ac:dyDescent="0.25">
      <c r="B515" s="430" t="s">
        <v>420</v>
      </c>
      <c r="C515" s="434">
        <v>42996</v>
      </c>
      <c r="D515" s="431">
        <v>16690</v>
      </c>
      <c r="E515" s="436">
        <v>291405</v>
      </c>
      <c r="F515" s="444">
        <v>-8.9833813497614543E-4</v>
      </c>
      <c r="G515" s="427"/>
    </row>
    <row r="516" spans="2:7" x14ac:dyDescent="0.25">
      <c r="B516" s="430" t="s">
        <v>420</v>
      </c>
      <c r="C516" s="434">
        <v>42997</v>
      </c>
      <c r="D516" s="431">
        <v>16726</v>
      </c>
      <c r="E516" s="436">
        <v>358626</v>
      </c>
      <c r="F516" s="444">
        <v>2.1546572855903616E-3</v>
      </c>
      <c r="G516" s="427"/>
    </row>
    <row r="517" spans="2:7" x14ac:dyDescent="0.25">
      <c r="B517" s="430" t="s">
        <v>420</v>
      </c>
      <c r="C517" s="434">
        <v>42998</v>
      </c>
      <c r="D517" s="431">
        <v>16726</v>
      </c>
      <c r="E517" s="436">
        <v>351284</v>
      </c>
      <c r="F517" s="444">
        <v>0</v>
      </c>
      <c r="G517" s="427"/>
    </row>
    <row r="518" spans="2:7" x14ac:dyDescent="0.25">
      <c r="B518" s="430" t="s">
        <v>420</v>
      </c>
      <c r="C518" s="434">
        <v>42999</v>
      </c>
      <c r="D518" s="431">
        <v>16690</v>
      </c>
      <c r="E518" s="436">
        <v>1747788</v>
      </c>
      <c r="F518" s="444">
        <v>-2.154657285590343E-3</v>
      </c>
      <c r="G518" s="427"/>
    </row>
    <row r="519" spans="2:7" x14ac:dyDescent="0.25">
      <c r="B519" s="430" t="s">
        <v>420</v>
      </c>
      <c r="C519" s="434">
        <v>43000</v>
      </c>
      <c r="D519" s="431">
        <v>16790</v>
      </c>
      <c r="E519" s="436">
        <v>1170206</v>
      </c>
      <c r="F519" s="444">
        <v>5.9737334157057261E-3</v>
      </c>
      <c r="G519" s="427"/>
    </row>
    <row r="520" spans="2:7" x14ac:dyDescent="0.25">
      <c r="B520" s="430" t="s">
        <v>420</v>
      </c>
      <c r="C520" s="434">
        <v>43004</v>
      </c>
      <c r="D520" s="431">
        <v>16625</v>
      </c>
      <c r="E520" s="436">
        <v>322973</v>
      </c>
      <c r="F520" s="444">
        <v>-9.8758845475315667E-3</v>
      </c>
      <c r="G520" s="427"/>
    </row>
    <row r="521" spans="2:7" x14ac:dyDescent="0.25">
      <c r="B521" s="430" t="s">
        <v>420</v>
      </c>
      <c r="C521" s="434">
        <v>43005</v>
      </c>
      <c r="D521" s="431">
        <v>16600</v>
      </c>
      <c r="E521" s="436">
        <v>440492</v>
      </c>
      <c r="F521" s="444">
        <v>-1.5048911794202768E-3</v>
      </c>
      <c r="G521" s="427"/>
    </row>
    <row r="522" spans="2:7" x14ac:dyDescent="0.25">
      <c r="B522" s="430" t="s">
        <v>420</v>
      </c>
      <c r="C522" s="434">
        <v>43006</v>
      </c>
      <c r="D522" s="431">
        <v>16600</v>
      </c>
      <c r="E522" s="436">
        <v>446980</v>
      </c>
      <c r="F522" s="444">
        <v>0</v>
      </c>
      <c r="G522" s="427"/>
    </row>
    <row r="523" spans="2:7" x14ac:dyDescent="0.25">
      <c r="B523" s="430" t="s">
        <v>420</v>
      </c>
      <c r="C523" s="434">
        <v>43007</v>
      </c>
      <c r="D523" s="431">
        <v>16708</v>
      </c>
      <c r="E523" s="436">
        <v>539260</v>
      </c>
      <c r="F523" s="444">
        <v>6.484951272431266E-3</v>
      </c>
      <c r="G523" s="427"/>
    </row>
    <row r="524" spans="2:7" x14ac:dyDescent="0.25">
      <c r="B524" s="430" t="s">
        <v>420</v>
      </c>
      <c r="C524" s="434">
        <v>43010</v>
      </c>
      <c r="D524" s="431">
        <v>16615</v>
      </c>
      <c r="E524" s="436">
        <v>518606</v>
      </c>
      <c r="F524" s="444">
        <v>-5.5817448283712635E-3</v>
      </c>
      <c r="G524" s="427"/>
    </row>
    <row r="525" spans="2:7" x14ac:dyDescent="0.25">
      <c r="B525" s="430" t="s">
        <v>420</v>
      </c>
      <c r="C525" s="434">
        <v>43011</v>
      </c>
      <c r="D525" s="431">
        <v>16660</v>
      </c>
      <c r="E525" s="436">
        <v>1215909</v>
      </c>
      <c r="F525" s="444">
        <v>2.704734932139114E-3</v>
      </c>
      <c r="G525" s="427"/>
    </row>
    <row r="526" spans="2:7" x14ac:dyDescent="0.25">
      <c r="B526" s="430" t="s">
        <v>420</v>
      </c>
      <c r="C526" s="434">
        <v>43012</v>
      </c>
      <c r="D526" s="431">
        <v>16698</v>
      </c>
      <c r="E526" s="436">
        <v>343419</v>
      </c>
      <c r="F526" s="444">
        <v>2.2783150331119927E-3</v>
      </c>
      <c r="G526" s="427"/>
    </row>
    <row r="527" spans="2:7" x14ac:dyDescent="0.25">
      <c r="B527" s="430" t="s">
        <v>420</v>
      </c>
      <c r="C527" s="434">
        <v>43013</v>
      </c>
      <c r="D527" s="431">
        <v>16650</v>
      </c>
      <c r="E527" s="436">
        <v>250568</v>
      </c>
      <c r="F527" s="444">
        <v>-2.8787353453559278E-3</v>
      </c>
      <c r="G527" s="427"/>
    </row>
    <row r="528" spans="2:7" x14ac:dyDescent="0.25">
      <c r="B528" s="430" t="s">
        <v>420</v>
      </c>
      <c r="C528" s="434">
        <v>43014</v>
      </c>
      <c r="D528" s="431">
        <v>17115</v>
      </c>
      <c r="E528" s="436">
        <v>459939</v>
      </c>
      <c r="F528" s="444">
        <v>2.7545055555695759E-2</v>
      </c>
      <c r="G528" s="427"/>
    </row>
    <row r="529" spans="2:7" x14ac:dyDescent="0.25">
      <c r="B529" s="430" t="s">
        <v>420</v>
      </c>
      <c r="C529" s="434">
        <v>43017</v>
      </c>
      <c r="D529" s="431">
        <v>17047</v>
      </c>
      <c r="E529" s="436">
        <v>257077</v>
      </c>
      <c r="F529" s="444">
        <v>-3.9810368133607792E-3</v>
      </c>
      <c r="G529" s="427"/>
    </row>
    <row r="530" spans="2:7" x14ac:dyDescent="0.25">
      <c r="B530" s="430" t="s">
        <v>420</v>
      </c>
      <c r="C530" s="434">
        <v>43018</v>
      </c>
      <c r="D530" s="431">
        <v>17176</v>
      </c>
      <c r="E530" s="436">
        <v>320104</v>
      </c>
      <c r="F530" s="444">
        <v>7.5388254076919885E-3</v>
      </c>
      <c r="G530" s="427"/>
    </row>
    <row r="531" spans="2:7" x14ac:dyDescent="0.25">
      <c r="B531" s="430" t="s">
        <v>420</v>
      </c>
      <c r="C531" s="434">
        <v>43019</v>
      </c>
      <c r="D531" s="431">
        <v>17400</v>
      </c>
      <c r="E531" s="436">
        <v>442340</v>
      </c>
      <c r="F531" s="444">
        <v>1.295714564400339E-2</v>
      </c>
      <c r="G531" s="427"/>
    </row>
    <row r="532" spans="2:7" x14ac:dyDescent="0.25">
      <c r="B532" s="430" t="s">
        <v>420</v>
      </c>
      <c r="C532" s="434">
        <v>43020</v>
      </c>
      <c r="D532" s="431">
        <v>17553</v>
      </c>
      <c r="E532" s="436">
        <v>481195</v>
      </c>
      <c r="F532" s="444">
        <v>8.7546692537253112E-3</v>
      </c>
      <c r="G532" s="427"/>
    </row>
    <row r="533" spans="2:7" x14ac:dyDescent="0.25">
      <c r="B533" s="430" t="s">
        <v>420</v>
      </c>
      <c r="C533" s="434">
        <v>43021</v>
      </c>
      <c r="D533" s="431">
        <v>17527</v>
      </c>
      <c r="E533" s="436">
        <v>392919</v>
      </c>
      <c r="F533" s="444">
        <v>-1.4823263831698411E-3</v>
      </c>
      <c r="G533" s="427"/>
    </row>
    <row r="534" spans="2:7" x14ac:dyDescent="0.25">
      <c r="B534" s="430" t="s">
        <v>420</v>
      </c>
      <c r="C534" s="434">
        <v>43024</v>
      </c>
      <c r="D534" s="431">
        <v>17568</v>
      </c>
      <c r="E534" s="436">
        <v>448640</v>
      </c>
      <c r="F534" s="444">
        <v>2.3365162360812573E-3</v>
      </c>
      <c r="G534" s="427"/>
    </row>
    <row r="535" spans="2:7" x14ac:dyDescent="0.25">
      <c r="B535" s="430" t="s">
        <v>420</v>
      </c>
      <c r="C535" s="434">
        <v>43025</v>
      </c>
      <c r="D535" s="431">
        <v>17246</v>
      </c>
      <c r="E535" s="436">
        <v>257252</v>
      </c>
      <c r="F535" s="444">
        <v>-1.8498832796987393E-2</v>
      </c>
      <c r="G535" s="427"/>
    </row>
    <row r="536" spans="2:7" x14ac:dyDescent="0.25">
      <c r="B536" s="430" t="s">
        <v>420</v>
      </c>
      <c r="C536" s="434">
        <v>43026</v>
      </c>
      <c r="D536" s="431">
        <v>17554</v>
      </c>
      <c r="E536" s="436">
        <v>221262</v>
      </c>
      <c r="F536" s="444">
        <v>1.7701611639793072E-2</v>
      </c>
      <c r="G536" s="427"/>
    </row>
    <row r="537" spans="2:7" x14ac:dyDescent="0.25">
      <c r="B537" s="430" t="s">
        <v>420</v>
      </c>
      <c r="C537" s="434">
        <v>43027</v>
      </c>
      <c r="D537" s="431">
        <v>17470</v>
      </c>
      <c r="E537" s="436">
        <v>484694</v>
      </c>
      <c r="F537" s="444">
        <v>-4.796720023960639E-3</v>
      </c>
      <c r="G537" s="427"/>
    </row>
    <row r="538" spans="2:7" x14ac:dyDescent="0.25">
      <c r="B538" s="430" t="s">
        <v>420</v>
      </c>
      <c r="C538" s="434">
        <v>43028</v>
      </c>
      <c r="D538" s="431">
        <v>17229</v>
      </c>
      <c r="E538" s="436">
        <v>997947</v>
      </c>
      <c r="F538" s="444">
        <v>-1.3891113595696039E-2</v>
      </c>
      <c r="G538" s="427"/>
    </row>
    <row r="539" spans="2:7" x14ac:dyDescent="0.25">
      <c r="B539" s="430" t="s">
        <v>420</v>
      </c>
      <c r="C539" s="434">
        <v>43031</v>
      </c>
      <c r="D539" s="431">
        <v>16862</v>
      </c>
      <c r="E539" s="436">
        <v>294038</v>
      </c>
      <c r="F539" s="444">
        <v>-2.1531441049785275E-2</v>
      </c>
      <c r="G539" s="427"/>
    </row>
    <row r="540" spans="2:7" x14ac:dyDescent="0.25">
      <c r="B540" s="430" t="s">
        <v>420</v>
      </c>
      <c r="C540" s="434">
        <v>43032</v>
      </c>
      <c r="D540" s="431">
        <v>16855</v>
      </c>
      <c r="E540" s="436">
        <v>485752</v>
      </c>
      <c r="F540" s="444">
        <v>-4.1522081445989558E-4</v>
      </c>
      <c r="G540" s="427"/>
    </row>
    <row r="541" spans="2:7" x14ac:dyDescent="0.25">
      <c r="B541" s="430" t="s">
        <v>420</v>
      </c>
      <c r="C541" s="434">
        <v>43033</v>
      </c>
      <c r="D541" s="431">
        <v>16708</v>
      </c>
      <c r="E541" s="436">
        <v>395555</v>
      </c>
      <c r="F541" s="444">
        <v>-8.7597020510951779E-3</v>
      </c>
      <c r="G541" s="427"/>
    </row>
    <row r="542" spans="2:7" x14ac:dyDescent="0.25">
      <c r="B542" s="430" t="s">
        <v>420</v>
      </c>
      <c r="C542" s="434">
        <v>43034</v>
      </c>
      <c r="D542" s="431">
        <v>16650</v>
      </c>
      <c r="E542" s="436">
        <v>579124</v>
      </c>
      <c r="F542" s="444">
        <v>-3.4774302084760768E-3</v>
      </c>
      <c r="G542" s="427"/>
    </row>
    <row r="543" spans="2:7" x14ac:dyDescent="0.25">
      <c r="B543" s="430" t="s">
        <v>420</v>
      </c>
      <c r="C543" s="434">
        <v>43035</v>
      </c>
      <c r="D543" s="431">
        <v>16650</v>
      </c>
      <c r="E543" s="436">
        <v>869827</v>
      </c>
      <c r="F543" s="444">
        <v>0</v>
      </c>
      <c r="G543" s="427"/>
    </row>
    <row r="544" spans="2:7" x14ac:dyDescent="0.25">
      <c r="B544" s="430" t="s">
        <v>420</v>
      </c>
      <c r="C544" s="434">
        <v>43038</v>
      </c>
      <c r="D544" s="431">
        <v>16621</v>
      </c>
      <c r="E544" s="436">
        <v>957305</v>
      </c>
      <c r="F544" s="444">
        <v>-1.7432603374797175E-3</v>
      </c>
      <c r="G544" s="427"/>
    </row>
    <row r="545" spans="2:7" x14ac:dyDescent="0.25">
      <c r="B545" s="430" t="s">
        <v>420</v>
      </c>
      <c r="C545" s="434">
        <v>43039</v>
      </c>
      <c r="D545" s="431">
        <v>16636</v>
      </c>
      <c r="E545" s="436">
        <v>546386</v>
      </c>
      <c r="F545" s="444">
        <v>9.0206579169212903E-4</v>
      </c>
      <c r="G545" s="427"/>
    </row>
    <row r="546" spans="2:7" x14ac:dyDescent="0.25">
      <c r="B546" s="430" t="s">
        <v>420</v>
      </c>
      <c r="C546" s="434">
        <v>43040</v>
      </c>
      <c r="D546" s="431">
        <v>16650</v>
      </c>
      <c r="E546" s="436">
        <v>656665</v>
      </c>
      <c r="F546" s="444">
        <v>8.4119454578757884E-4</v>
      </c>
      <c r="G546" s="427"/>
    </row>
    <row r="547" spans="2:7" x14ac:dyDescent="0.25">
      <c r="B547" s="430" t="s">
        <v>420</v>
      </c>
      <c r="C547" s="434">
        <v>43041</v>
      </c>
      <c r="D547" s="431">
        <v>16750</v>
      </c>
      <c r="E547" s="436">
        <v>357583</v>
      </c>
      <c r="F547" s="444">
        <v>5.9880418446226933E-3</v>
      </c>
      <c r="G547" s="427"/>
    </row>
    <row r="548" spans="2:7" x14ac:dyDescent="0.25">
      <c r="B548" s="430" t="s">
        <v>420</v>
      </c>
      <c r="C548" s="434">
        <v>43042</v>
      </c>
      <c r="D548" s="431">
        <v>16650</v>
      </c>
      <c r="E548" s="436">
        <v>559253</v>
      </c>
      <c r="F548" s="444">
        <v>-5.9880418446225572E-3</v>
      </c>
      <c r="G548" s="427"/>
    </row>
    <row r="549" spans="2:7" x14ac:dyDescent="0.25">
      <c r="B549" s="430" t="s">
        <v>420</v>
      </c>
      <c r="C549" s="434">
        <v>43045</v>
      </c>
      <c r="D549" s="431">
        <v>16650</v>
      </c>
      <c r="E549" s="436">
        <v>311776</v>
      </c>
      <c r="F549" s="444">
        <v>0</v>
      </c>
      <c r="G549" s="427"/>
    </row>
    <row r="550" spans="2:7" x14ac:dyDescent="0.25">
      <c r="B550" s="430" t="s">
        <v>420</v>
      </c>
      <c r="C550" s="434">
        <v>43046</v>
      </c>
      <c r="D550" s="431">
        <v>16650</v>
      </c>
      <c r="E550" s="436">
        <v>421869</v>
      </c>
      <c r="F550" s="444">
        <v>0</v>
      </c>
      <c r="G550" s="427"/>
    </row>
    <row r="551" spans="2:7" x14ac:dyDescent="0.25">
      <c r="B551" s="430" t="s">
        <v>420</v>
      </c>
      <c r="C551" s="434">
        <v>43047</v>
      </c>
      <c r="D551" s="431">
        <v>16749</v>
      </c>
      <c r="E551" s="436">
        <v>288739</v>
      </c>
      <c r="F551" s="444">
        <v>5.9283385698801943E-3</v>
      </c>
      <c r="G551" s="427"/>
    </row>
    <row r="552" spans="2:7" x14ac:dyDescent="0.25">
      <c r="B552" s="430" t="s">
        <v>420</v>
      </c>
      <c r="C552" s="434">
        <v>43048</v>
      </c>
      <c r="D552" s="431">
        <v>16665</v>
      </c>
      <c r="E552" s="436">
        <v>324335</v>
      </c>
      <c r="F552" s="444">
        <v>-5.0278432366300451E-3</v>
      </c>
      <c r="G552" s="427"/>
    </row>
    <row r="553" spans="2:7" x14ac:dyDescent="0.25">
      <c r="B553" s="430" t="s">
        <v>420</v>
      </c>
      <c r="C553" s="434">
        <v>43049</v>
      </c>
      <c r="D553" s="431">
        <v>16650</v>
      </c>
      <c r="E553" s="436">
        <v>459314</v>
      </c>
      <c r="F553" s="444">
        <v>-9.0049533325020626E-4</v>
      </c>
      <c r="G553" s="427"/>
    </row>
    <row r="554" spans="2:7" x14ac:dyDescent="0.25">
      <c r="B554" s="430" t="s">
        <v>420</v>
      </c>
      <c r="C554" s="434">
        <v>43052</v>
      </c>
      <c r="D554" s="431">
        <v>16650</v>
      </c>
      <c r="E554" s="436">
        <v>319793</v>
      </c>
      <c r="F554" s="444">
        <v>0</v>
      </c>
      <c r="G554" s="427"/>
    </row>
    <row r="555" spans="2:7" x14ac:dyDescent="0.25">
      <c r="B555" s="430" t="s">
        <v>420</v>
      </c>
      <c r="C555" s="434">
        <v>43053</v>
      </c>
      <c r="D555" s="431">
        <v>17070</v>
      </c>
      <c r="E555" s="436">
        <v>614361</v>
      </c>
      <c r="F555" s="444">
        <v>2.4912320379896376E-2</v>
      </c>
      <c r="G555" s="427"/>
    </row>
    <row r="556" spans="2:7" x14ac:dyDescent="0.25">
      <c r="B556" s="430" t="s">
        <v>420</v>
      </c>
      <c r="C556" s="434">
        <v>43054</v>
      </c>
      <c r="D556" s="431">
        <v>16921</v>
      </c>
      <c r="E556" s="436">
        <v>1055602</v>
      </c>
      <c r="F556" s="444">
        <v>-8.7670827198596275E-3</v>
      </c>
      <c r="G556" s="427"/>
    </row>
    <row r="557" spans="2:7" x14ac:dyDescent="0.25">
      <c r="B557" s="430" t="s">
        <v>420</v>
      </c>
      <c r="C557" s="434">
        <v>43055</v>
      </c>
      <c r="D557" s="431">
        <v>17863</v>
      </c>
      <c r="E557" s="436">
        <v>1187269</v>
      </c>
      <c r="F557" s="444">
        <v>5.417608038025791E-2</v>
      </c>
      <c r="G557" s="427"/>
    </row>
    <row r="558" spans="2:7" x14ac:dyDescent="0.25">
      <c r="B558" s="430" t="s">
        <v>420</v>
      </c>
      <c r="C558" s="434">
        <v>43056</v>
      </c>
      <c r="D558" s="431">
        <v>18887</v>
      </c>
      <c r="E558" s="436">
        <v>1254453</v>
      </c>
      <c r="F558" s="444">
        <v>5.5742320246961526E-2</v>
      </c>
      <c r="G558" s="427"/>
    </row>
    <row r="559" spans="2:7" x14ac:dyDescent="0.25">
      <c r="B559" s="430" t="s">
        <v>420</v>
      </c>
      <c r="C559" s="434">
        <v>43059</v>
      </c>
      <c r="D559" s="431">
        <v>19150</v>
      </c>
      <c r="E559" s="436">
        <v>728207</v>
      </c>
      <c r="F559" s="444">
        <v>1.3828860912945874E-2</v>
      </c>
      <c r="G559" s="427"/>
    </row>
    <row r="560" spans="2:7" x14ac:dyDescent="0.25">
      <c r="B560" s="430" t="s">
        <v>420</v>
      </c>
      <c r="C560" s="434">
        <v>43060</v>
      </c>
      <c r="D560" s="431">
        <v>18828</v>
      </c>
      <c r="E560" s="436">
        <v>1268269</v>
      </c>
      <c r="F560" s="444">
        <v>-1.6957592087759099E-2</v>
      </c>
      <c r="G560" s="427"/>
    </row>
    <row r="561" spans="2:7" x14ac:dyDescent="0.25">
      <c r="B561" s="430" t="s">
        <v>420</v>
      </c>
      <c r="C561" s="434">
        <v>43061</v>
      </c>
      <c r="D561" s="431">
        <v>18740</v>
      </c>
      <c r="E561" s="436">
        <v>861817</v>
      </c>
      <c r="F561" s="444">
        <v>-4.684846728619717E-3</v>
      </c>
      <c r="G561" s="427"/>
    </row>
    <row r="562" spans="2:7" x14ac:dyDescent="0.25">
      <c r="B562" s="430" t="s">
        <v>420</v>
      </c>
      <c r="C562" s="434">
        <v>43062</v>
      </c>
      <c r="D562" s="431">
        <v>18797</v>
      </c>
      <c r="E562" s="436">
        <v>434841</v>
      </c>
      <c r="F562" s="444">
        <v>3.037005824182253E-3</v>
      </c>
      <c r="G562" s="427"/>
    </row>
    <row r="563" spans="2:7" x14ac:dyDescent="0.25">
      <c r="B563" s="430" t="s">
        <v>420</v>
      </c>
      <c r="C563" s="434">
        <v>43063</v>
      </c>
      <c r="D563" s="431">
        <v>18594</v>
      </c>
      <c r="E563" s="436">
        <v>405305</v>
      </c>
      <c r="F563" s="444">
        <v>-1.0858334600792193E-2</v>
      </c>
      <c r="G563" s="427"/>
    </row>
    <row r="564" spans="2:7" x14ac:dyDescent="0.25">
      <c r="B564" s="430" t="s">
        <v>420</v>
      </c>
      <c r="C564" s="434">
        <v>43066</v>
      </c>
      <c r="D564" s="431">
        <v>18375</v>
      </c>
      <c r="E564" s="436">
        <v>624085</v>
      </c>
      <c r="F564" s="444">
        <v>-1.1847902934765869E-2</v>
      </c>
      <c r="G564" s="427"/>
    </row>
    <row r="565" spans="2:7" x14ac:dyDescent="0.25">
      <c r="B565" s="430" t="s">
        <v>420</v>
      </c>
      <c r="C565" s="434">
        <v>43067</v>
      </c>
      <c r="D565" s="431">
        <v>19300</v>
      </c>
      <c r="E565" s="436">
        <v>662116</v>
      </c>
      <c r="F565" s="444">
        <v>4.9114050811939508E-2</v>
      </c>
      <c r="G565" s="427"/>
    </row>
    <row r="566" spans="2:7" x14ac:dyDescent="0.25">
      <c r="B566" s="430" t="s">
        <v>420</v>
      </c>
      <c r="C566" s="434">
        <v>43068</v>
      </c>
      <c r="D566" s="431">
        <v>19219</v>
      </c>
      <c r="E566" s="436">
        <v>540961</v>
      </c>
      <c r="F566" s="444">
        <v>-4.2057228585722405E-3</v>
      </c>
      <c r="G566" s="427"/>
    </row>
    <row r="567" spans="2:7" x14ac:dyDescent="0.25">
      <c r="B567" s="430" t="s">
        <v>420</v>
      </c>
      <c r="C567" s="434">
        <v>43069</v>
      </c>
      <c r="D567" s="431">
        <v>18980</v>
      </c>
      <c r="E567" s="436">
        <v>1902197</v>
      </c>
      <c r="F567" s="444">
        <v>-1.2513579870485859E-2</v>
      </c>
      <c r="G567" s="427"/>
    </row>
    <row r="568" spans="2:7" x14ac:dyDescent="0.25">
      <c r="B568" s="430" t="s">
        <v>420</v>
      </c>
      <c r="C568" s="434">
        <v>43070</v>
      </c>
      <c r="D568" s="431">
        <v>19731</v>
      </c>
      <c r="E568" s="436">
        <v>604490</v>
      </c>
      <c r="F568" s="444">
        <v>3.8805209805541821E-2</v>
      </c>
      <c r="G568" s="427"/>
    </row>
    <row r="569" spans="2:7" x14ac:dyDescent="0.25">
      <c r="B569" s="430" t="s">
        <v>420</v>
      </c>
      <c r="C569" s="434">
        <v>43073</v>
      </c>
      <c r="D569" s="431">
        <v>19890</v>
      </c>
      <c r="E569" s="436">
        <v>574393</v>
      </c>
      <c r="F569" s="444">
        <v>8.0260898785571907E-3</v>
      </c>
      <c r="G569" s="427"/>
    </row>
    <row r="570" spans="2:7" x14ac:dyDescent="0.25">
      <c r="B570" s="430" t="s">
        <v>420</v>
      </c>
      <c r="C570" s="434">
        <v>43074</v>
      </c>
      <c r="D570" s="431">
        <v>20050</v>
      </c>
      <c r="E570" s="436">
        <v>692180</v>
      </c>
      <c r="F570" s="444">
        <v>8.0120608866973333E-3</v>
      </c>
      <c r="G570" s="427"/>
    </row>
    <row r="571" spans="2:7" x14ac:dyDescent="0.25">
      <c r="B571" s="430" t="s">
        <v>420</v>
      </c>
      <c r="C571" s="434">
        <v>43075</v>
      </c>
      <c r="D571" s="431">
        <v>19746</v>
      </c>
      <c r="E571" s="436">
        <v>685936</v>
      </c>
      <c r="F571" s="444">
        <v>-1.5278214563320307E-2</v>
      </c>
      <c r="G571" s="427"/>
    </row>
    <row r="572" spans="2:7" x14ac:dyDescent="0.25">
      <c r="B572" s="430" t="s">
        <v>420</v>
      </c>
      <c r="C572" s="434">
        <v>43076</v>
      </c>
      <c r="D572" s="431">
        <v>19380</v>
      </c>
      <c r="E572" s="436">
        <v>508699</v>
      </c>
      <c r="F572" s="444">
        <v>-1.8709332726637704E-2</v>
      </c>
      <c r="G572" s="427"/>
    </row>
    <row r="573" spans="2:7" x14ac:dyDescent="0.25">
      <c r="B573" s="430" t="s">
        <v>420</v>
      </c>
      <c r="C573" s="434">
        <v>43077</v>
      </c>
      <c r="D573" s="431">
        <v>19186</v>
      </c>
      <c r="E573" s="436">
        <v>291397</v>
      </c>
      <c r="F573" s="444">
        <v>-1.0060760066864287E-2</v>
      </c>
      <c r="G573" s="427"/>
    </row>
    <row r="574" spans="2:7" x14ac:dyDescent="0.25">
      <c r="B574" s="430" t="s">
        <v>420</v>
      </c>
      <c r="C574" s="434">
        <v>43080</v>
      </c>
      <c r="D574" s="431">
        <v>19173</v>
      </c>
      <c r="E574" s="436">
        <v>332786</v>
      </c>
      <c r="F574" s="444">
        <v>-6.7780705950137952E-4</v>
      </c>
      <c r="G574" s="427"/>
    </row>
    <row r="575" spans="2:7" x14ac:dyDescent="0.25">
      <c r="B575" s="430" t="s">
        <v>420</v>
      </c>
      <c r="C575" s="434">
        <v>43081</v>
      </c>
      <c r="D575" s="431">
        <v>19144</v>
      </c>
      <c r="E575" s="436">
        <v>450037</v>
      </c>
      <c r="F575" s="444">
        <v>-1.5136887301821693E-3</v>
      </c>
      <c r="G575" s="427"/>
    </row>
    <row r="576" spans="2:7" x14ac:dyDescent="0.25">
      <c r="B576" s="430" t="s">
        <v>420</v>
      </c>
      <c r="C576" s="434">
        <v>43082</v>
      </c>
      <c r="D576" s="431">
        <v>19049</v>
      </c>
      <c r="E576" s="436">
        <v>621987</v>
      </c>
      <c r="F576" s="444">
        <v>-4.974743849511183E-3</v>
      </c>
      <c r="G576" s="427"/>
    </row>
    <row r="577" spans="2:7" x14ac:dyDescent="0.25">
      <c r="B577" s="430" t="s">
        <v>420</v>
      </c>
      <c r="C577" s="434">
        <v>43083</v>
      </c>
      <c r="D577" s="431">
        <v>19489</v>
      </c>
      <c r="E577" s="436">
        <v>775746</v>
      </c>
      <c r="F577" s="444">
        <v>2.2835597083326099E-2</v>
      </c>
      <c r="G577" s="427"/>
    </row>
    <row r="578" spans="2:7" x14ac:dyDescent="0.25">
      <c r="B578" s="430" t="s">
        <v>420</v>
      </c>
      <c r="C578" s="434">
        <v>43084</v>
      </c>
      <c r="D578" s="431">
        <v>19902</v>
      </c>
      <c r="E578" s="436">
        <v>1046644</v>
      </c>
      <c r="F578" s="444">
        <v>2.0970025353083125E-2</v>
      </c>
      <c r="G578" s="427"/>
    </row>
    <row r="579" spans="2:7" x14ac:dyDescent="0.25">
      <c r="B579" s="430" t="s">
        <v>420</v>
      </c>
      <c r="C579" s="434">
        <v>43087</v>
      </c>
      <c r="D579" s="431">
        <v>19877</v>
      </c>
      <c r="E579" s="436">
        <v>730477</v>
      </c>
      <c r="F579" s="444">
        <v>-1.2569447845084169E-3</v>
      </c>
      <c r="G579" s="427"/>
    </row>
    <row r="580" spans="2:7" x14ac:dyDescent="0.25">
      <c r="B580" s="430" t="s">
        <v>420</v>
      </c>
      <c r="C580" s="434">
        <v>43088</v>
      </c>
      <c r="D580" s="431">
        <v>19514</v>
      </c>
      <c r="E580" s="436">
        <v>809310</v>
      </c>
      <c r="F580" s="444">
        <v>-1.8431127722703666E-2</v>
      </c>
      <c r="G580" s="427"/>
    </row>
    <row r="581" spans="2:7" x14ac:dyDescent="0.25">
      <c r="B581" s="430" t="s">
        <v>420</v>
      </c>
      <c r="C581" s="434">
        <v>43089</v>
      </c>
      <c r="D581" s="431">
        <v>19561</v>
      </c>
      <c r="E581" s="436">
        <v>756965</v>
      </c>
      <c r="F581" s="444">
        <v>2.405631358463957E-3</v>
      </c>
      <c r="G581" s="427"/>
    </row>
    <row r="582" spans="2:7" x14ac:dyDescent="0.25">
      <c r="B582" s="430" t="s">
        <v>420</v>
      </c>
      <c r="C582" s="434">
        <v>43090</v>
      </c>
      <c r="D582" s="431">
        <v>19343</v>
      </c>
      <c r="E582" s="436">
        <v>1503319</v>
      </c>
      <c r="F582" s="444">
        <v>-1.1207191124261674E-2</v>
      </c>
      <c r="G582" s="427"/>
    </row>
    <row r="583" spans="2:7" x14ac:dyDescent="0.25">
      <c r="B583" s="430" t="s">
        <v>420</v>
      </c>
      <c r="C583" s="434">
        <v>43091</v>
      </c>
      <c r="D583" s="431">
        <v>19093</v>
      </c>
      <c r="E583" s="436">
        <v>131702</v>
      </c>
      <c r="F583" s="444">
        <v>-1.3008821188633312E-2</v>
      </c>
      <c r="G583" s="427"/>
    </row>
    <row r="584" spans="2:7" x14ac:dyDescent="0.25">
      <c r="B584" s="430" t="s">
        <v>420</v>
      </c>
      <c r="C584" s="434">
        <v>43096</v>
      </c>
      <c r="D584" s="431">
        <v>19670</v>
      </c>
      <c r="E584" s="436">
        <v>229132</v>
      </c>
      <c r="F584" s="444">
        <v>2.9772856669640385E-2</v>
      </c>
      <c r="G584" s="427"/>
    </row>
    <row r="585" spans="2:7" x14ac:dyDescent="0.25">
      <c r="B585" s="430" t="s">
        <v>420</v>
      </c>
      <c r="C585" s="434">
        <v>43097</v>
      </c>
      <c r="D585" s="431">
        <v>19693</v>
      </c>
      <c r="E585" s="436">
        <v>141640</v>
      </c>
      <c r="F585" s="444">
        <v>1.1686102490916722E-3</v>
      </c>
      <c r="G585" s="427"/>
    </row>
    <row r="586" spans="2:7" x14ac:dyDescent="0.25">
      <c r="B586" s="430" t="s">
        <v>420</v>
      </c>
      <c r="C586" s="434">
        <v>43098</v>
      </c>
      <c r="D586" s="431">
        <v>20333</v>
      </c>
      <c r="E586" s="436">
        <v>223931</v>
      </c>
      <c r="F586" s="444">
        <v>3.1981939278145438E-2</v>
      </c>
      <c r="G586" s="427"/>
    </row>
    <row r="587" spans="2:7" x14ac:dyDescent="0.25">
      <c r="B587" s="430" t="s">
        <v>420</v>
      </c>
      <c r="C587" s="434">
        <v>43102</v>
      </c>
      <c r="D587" s="431">
        <v>19912</v>
      </c>
      <c r="E587" s="436">
        <v>353968</v>
      </c>
      <c r="F587" s="444">
        <v>-2.0922616862913825E-2</v>
      </c>
      <c r="G587" s="427"/>
    </row>
    <row r="588" spans="2:7" x14ac:dyDescent="0.25">
      <c r="B588" s="430" t="s">
        <v>420</v>
      </c>
      <c r="C588" s="434">
        <v>43103</v>
      </c>
      <c r="D588" s="431">
        <v>19426</v>
      </c>
      <c r="E588" s="436">
        <v>259347</v>
      </c>
      <c r="F588" s="444">
        <v>-2.4710190085152059E-2</v>
      </c>
      <c r="G588" s="427"/>
    </row>
    <row r="589" spans="2:7" x14ac:dyDescent="0.25">
      <c r="B589" s="430" t="s">
        <v>420</v>
      </c>
      <c r="C589" s="434">
        <v>43104</v>
      </c>
      <c r="D589" s="431">
        <v>19368</v>
      </c>
      <c r="E589" s="436">
        <v>397097</v>
      </c>
      <c r="F589" s="444">
        <v>-2.9901553443814829E-3</v>
      </c>
      <c r="G589" s="427"/>
    </row>
    <row r="590" spans="2:7" x14ac:dyDescent="0.25">
      <c r="B590" s="430" t="s">
        <v>420</v>
      </c>
      <c r="C590" s="434">
        <v>43105</v>
      </c>
      <c r="D590" s="431">
        <v>19370</v>
      </c>
      <c r="E590" s="436">
        <v>360517</v>
      </c>
      <c r="F590" s="444">
        <v>1.0325778314716572E-4</v>
      </c>
      <c r="G590" s="427"/>
    </row>
    <row r="591" spans="2:7" x14ac:dyDescent="0.25">
      <c r="B591" s="430" t="s">
        <v>420</v>
      </c>
      <c r="C591" s="434">
        <v>43108</v>
      </c>
      <c r="D591" s="431">
        <v>19478</v>
      </c>
      <c r="E591" s="436">
        <v>331897</v>
      </c>
      <c r="F591" s="444">
        <v>5.5601461201028931E-3</v>
      </c>
      <c r="G591" s="427"/>
    </row>
    <row r="592" spans="2:7" x14ac:dyDescent="0.25">
      <c r="B592" s="430" t="s">
        <v>420</v>
      </c>
      <c r="C592" s="434">
        <v>43109</v>
      </c>
      <c r="D592" s="431">
        <v>19630</v>
      </c>
      <c r="E592" s="436">
        <v>291208</v>
      </c>
      <c r="F592" s="444">
        <v>7.7733847493622133E-3</v>
      </c>
      <c r="G592" s="427"/>
    </row>
    <row r="593" spans="2:7" x14ac:dyDescent="0.25">
      <c r="B593" s="430" t="s">
        <v>420</v>
      </c>
      <c r="C593" s="434">
        <v>43110</v>
      </c>
      <c r="D593" s="431">
        <v>19380</v>
      </c>
      <c r="E593" s="436">
        <v>285771</v>
      </c>
      <c r="F593" s="444">
        <v>-1.2817401825749477E-2</v>
      </c>
      <c r="G593" s="427"/>
    </row>
    <row r="594" spans="2:7" x14ac:dyDescent="0.25">
      <c r="B594" s="430" t="s">
        <v>420</v>
      </c>
      <c r="C594" s="434">
        <v>43111</v>
      </c>
      <c r="D594" s="431">
        <v>19094</v>
      </c>
      <c r="E594" s="436">
        <v>258418</v>
      </c>
      <c r="F594" s="444">
        <v>-1.4867456886778731E-2</v>
      </c>
      <c r="G594" s="427"/>
    </row>
    <row r="595" spans="2:7" x14ac:dyDescent="0.25">
      <c r="B595" s="430" t="s">
        <v>420</v>
      </c>
      <c r="C595" s="434">
        <v>43112</v>
      </c>
      <c r="D595" s="431">
        <v>19334</v>
      </c>
      <c r="E595" s="436">
        <v>203496</v>
      </c>
      <c r="F595" s="444">
        <v>1.2491054466572246E-2</v>
      </c>
      <c r="G595" s="427"/>
    </row>
    <row r="596" spans="2:7" x14ac:dyDescent="0.25">
      <c r="B596" s="430" t="s">
        <v>420</v>
      </c>
      <c r="C596" s="434">
        <v>43115</v>
      </c>
      <c r="D596" s="431">
        <v>19417</v>
      </c>
      <c r="E596" s="436">
        <v>245313</v>
      </c>
      <c r="F596" s="444">
        <v>4.2837669699030924E-3</v>
      </c>
      <c r="G596" s="427"/>
    </row>
    <row r="597" spans="2:7" x14ac:dyDescent="0.25">
      <c r="B597" s="430" t="s">
        <v>420</v>
      </c>
      <c r="C597" s="434">
        <v>43116</v>
      </c>
      <c r="D597" s="431">
        <v>19261</v>
      </c>
      <c r="E597" s="436">
        <v>559484</v>
      </c>
      <c r="F597" s="444">
        <v>-8.0666449102312892E-3</v>
      </c>
      <c r="G597" s="427"/>
    </row>
    <row r="598" spans="2:7" x14ac:dyDescent="0.25">
      <c r="B598" s="430" t="s">
        <v>420</v>
      </c>
      <c r="C598" s="434">
        <v>43117</v>
      </c>
      <c r="D598" s="431">
        <v>20000</v>
      </c>
      <c r="E598" s="436">
        <v>360769</v>
      </c>
      <c r="F598" s="444">
        <v>3.7649947451905544E-2</v>
      </c>
      <c r="G598" s="427"/>
    </row>
    <row r="599" spans="2:7" x14ac:dyDescent="0.25">
      <c r="B599" s="430" t="s">
        <v>420</v>
      </c>
      <c r="C599" s="434">
        <v>43118</v>
      </c>
      <c r="D599" s="431">
        <v>20659</v>
      </c>
      <c r="E599" s="436">
        <v>515206</v>
      </c>
      <c r="F599" s="444">
        <v>3.2418786255500744E-2</v>
      </c>
      <c r="G599" s="427"/>
    </row>
    <row r="600" spans="2:7" x14ac:dyDescent="0.25">
      <c r="B600" s="430" t="s">
        <v>420</v>
      </c>
      <c r="C600" s="434">
        <v>43119</v>
      </c>
      <c r="D600" s="431">
        <v>20415</v>
      </c>
      <c r="E600" s="436">
        <v>724616</v>
      </c>
      <c r="F600" s="444">
        <v>-1.1881135037952621E-2</v>
      </c>
      <c r="G600" s="427"/>
    </row>
    <row r="601" spans="2:7" x14ac:dyDescent="0.25">
      <c r="B601" s="430" t="s">
        <v>420</v>
      </c>
      <c r="C601" s="434">
        <v>43122</v>
      </c>
      <c r="D601" s="431">
        <v>20000</v>
      </c>
      <c r="E601" s="436">
        <v>557622</v>
      </c>
      <c r="F601" s="444">
        <v>-2.0537651217548095E-2</v>
      </c>
      <c r="G601" s="427"/>
    </row>
    <row r="602" spans="2:7" x14ac:dyDescent="0.25">
      <c r="B602" s="430" t="s">
        <v>420</v>
      </c>
      <c r="C602" s="434">
        <v>43123</v>
      </c>
      <c r="D602" s="431">
        <v>20256</v>
      </c>
      <c r="E602" s="436">
        <v>401471</v>
      </c>
      <c r="F602" s="444">
        <v>1.2718772407774612E-2</v>
      </c>
      <c r="G602" s="427"/>
    </row>
    <row r="603" spans="2:7" x14ac:dyDescent="0.25">
      <c r="B603" s="430" t="s">
        <v>420</v>
      </c>
      <c r="C603" s="434">
        <v>43124</v>
      </c>
      <c r="D603" s="431">
        <v>20921</v>
      </c>
      <c r="E603" s="436">
        <v>466165</v>
      </c>
      <c r="F603" s="444">
        <v>3.2302393239745625E-2</v>
      </c>
      <c r="G603" s="427"/>
    </row>
    <row r="604" spans="2:7" x14ac:dyDescent="0.25">
      <c r="B604" s="430" t="s">
        <v>420</v>
      </c>
      <c r="C604" s="434">
        <v>43125</v>
      </c>
      <c r="D604" s="431">
        <v>21153</v>
      </c>
      <c r="E604" s="436">
        <v>468385</v>
      </c>
      <c r="F604" s="444">
        <v>1.1028300203501887E-2</v>
      </c>
      <c r="G604" s="427"/>
    </row>
    <row r="605" spans="2:7" x14ac:dyDescent="0.25">
      <c r="B605" s="430" t="s">
        <v>420</v>
      </c>
      <c r="C605" s="434">
        <v>43126</v>
      </c>
      <c r="D605" s="431">
        <v>20919</v>
      </c>
      <c r="E605" s="436">
        <v>487914</v>
      </c>
      <c r="F605" s="444">
        <v>-1.1123902498029808E-2</v>
      </c>
      <c r="G605" s="427"/>
    </row>
    <row r="606" spans="2:7" x14ac:dyDescent="0.25">
      <c r="B606" s="430" t="s">
        <v>420</v>
      </c>
      <c r="C606" s="434">
        <v>43129</v>
      </c>
      <c r="D606" s="431">
        <v>20125</v>
      </c>
      <c r="E606" s="436">
        <v>440193</v>
      </c>
      <c r="F606" s="444">
        <v>-3.8695013602356297E-2</v>
      </c>
      <c r="G606" s="427"/>
    </row>
    <row r="607" spans="2:7" x14ac:dyDescent="0.25">
      <c r="B607" s="430" t="s">
        <v>420</v>
      </c>
      <c r="C607" s="434">
        <v>43130</v>
      </c>
      <c r="D607" s="431">
        <v>20287</v>
      </c>
      <c r="E607" s="436">
        <v>649677</v>
      </c>
      <c r="F607" s="444">
        <v>8.0174635145653424E-3</v>
      </c>
      <c r="G607" s="427"/>
    </row>
    <row r="608" spans="2:7" x14ac:dyDescent="0.25">
      <c r="B608" s="430" t="s">
        <v>420</v>
      </c>
      <c r="C608" s="434">
        <v>43131</v>
      </c>
      <c r="D608" s="431">
        <v>20500</v>
      </c>
      <c r="E608" s="436">
        <v>823752</v>
      </c>
      <c r="F608" s="444">
        <v>1.0444599325170214E-2</v>
      </c>
      <c r="G608" s="427"/>
    </row>
    <row r="609" spans="2:7" x14ac:dyDescent="0.25">
      <c r="B609" s="430" t="s">
        <v>420</v>
      </c>
      <c r="C609" s="434">
        <v>43132</v>
      </c>
      <c r="D609" s="431">
        <v>20000</v>
      </c>
      <c r="E609" s="436">
        <v>445889</v>
      </c>
      <c r="F609" s="444">
        <v>-2.4692612590371522E-2</v>
      </c>
      <c r="G609" s="427"/>
    </row>
    <row r="610" spans="2:7" x14ac:dyDescent="0.25">
      <c r="B610" s="430" t="s">
        <v>420</v>
      </c>
      <c r="C610" s="434">
        <v>43133</v>
      </c>
      <c r="D610" s="431">
        <v>19926</v>
      </c>
      <c r="E610" s="436">
        <v>704180</v>
      </c>
      <c r="F610" s="444">
        <v>-3.7068619313265121E-3</v>
      </c>
      <c r="G610" s="427"/>
    </row>
    <row r="611" spans="2:7" x14ac:dyDescent="0.25">
      <c r="B611" s="430" t="s">
        <v>420</v>
      </c>
      <c r="C611" s="434">
        <v>43136</v>
      </c>
      <c r="D611" s="431">
        <v>18963</v>
      </c>
      <c r="E611" s="436">
        <v>484196</v>
      </c>
      <c r="F611" s="444">
        <v>-4.9535699464393179E-2</v>
      </c>
      <c r="G611" s="427"/>
    </row>
    <row r="612" spans="2:7" x14ac:dyDescent="0.25">
      <c r="B612" s="430" t="s">
        <v>420</v>
      </c>
      <c r="C612" s="434">
        <v>43137</v>
      </c>
      <c r="D612" s="431">
        <v>19025</v>
      </c>
      <c r="E612" s="436">
        <v>938584</v>
      </c>
      <c r="F612" s="444">
        <v>3.2641915894780923E-3</v>
      </c>
      <c r="G612" s="427"/>
    </row>
    <row r="613" spans="2:7" x14ac:dyDescent="0.25">
      <c r="B613" s="430" t="s">
        <v>420</v>
      </c>
      <c r="C613" s="434">
        <v>43138</v>
      </c>
      <c r="D613" s="431">
        <v>19200</v>
      </c>
      <c r="E613" s="436">
        <v>1030946</v>
      </c>
      <c r="F613" s="444">
        <v>9.1563752859862412E-3</v>
      </c>
      <c r="G613" s="427"/>
    </row>
    <row r="614" spans="2:7" x14ac:dyDescent="0.25">
      <c r="B614" s="430" t="s">
        <v>420</v>
      </c>
      <c r="C614" s="434">
        <v>43139</v>
      </c>
      <c r="D614" s="431">
        <v>19625</v>
      </c>
      <c r="E614" s="436">
        <v>610149</v>
      </c>
      <c r="F614" s="444">
        <v>2.1893984634736338E-2</v>
      </c>
      <c r="G614" s="427"/>
    </row>
    <row r="615" spans="2:7" x14ac:dyDescent="0.25">
      <c r="B615" s="430" t="s">
        <v>420</v>
      </c>
      <c r="C615" s="434">
        <v>43140</v>
      </c>
      <c r="D615" s="431">
        <v>19376</v>
      </c>
      <c r="E615" s="436">
        <v>548429</v>
      </c>
      <c r="F615" s="444">
        <v>-1.2769076857735638E-2</v>
      </c>
      <c r="G615" s="427"/>
    </row>
    <row r="616" spans="2:7" x14ac:dyDescent="0.25">
      <c r="B616" s="430" t="s">
        <v>420</v>
      </c>
      <c r="C616" s="434">
        <v>43143</v>
      </c>
      <c r="D616" s="431">
        <v>19887</v>
      </c>
      <c r="E616" s="436">
        <v>440398</v>
      </c>
      <c r="F616" s="444">
        <v>2.60310651166277E-2</v>
      </c>
      <c r="G616" s="427"/>
    </row>
    <row r="617" spans="2:7" x14ac:dyDescent="0.25">
      <c r="B617" s="430" t="s">
        <v>420</v>
      </c>
      <c r="C617" s="434">
        <v>43144</v>
      </c>
      <c r="D617" s="431">
        <v>20832</v>
      </c>
      <c r="E617" s="436">
        <v>655727</v>
      </c>
      <c r="F617" s="444">
        <v>4.6424014098794569E-2</v>
      </c>
      <c r="G617" s="427"/>
    </row>
    <row r="618" spans="2:7" x14ac:dyDescent="0.25">
      <c r="B618" s="430" t="s">
        <v>420</v>
      </c>
      <c r="C618" s="434">
        <v>43145</v>
      </c>
      <c r="D618" s="431">
        <v>21224</v>
      </c>
      <c r="E618" s="436">
        <v>566544</v>
      </c>
      <c r="F618" s="444">
        <v>1.8642350809279774E-2</v>
      </c>
      <c r="G618" s="427"/>
    </row>
    <row r="619" spans="2:7" x14ac:dyDescent="0.25">
      <c r="B619" s="430" t="s">
        <v>420</v>
      </c>
      <c r="C619" s="434">
        <v>43146</v>
      </c>
      <c r="D619" s="431">
        <v>21784</v>
      </c>
      <c r="E619" s="436">
        <v>573221</v>
      </c>
      <c r="F619" s="444">
        <v>2.6043138536019875E-2</v>
      </c>
      <c r="G619" s="427"/>
    </row>
    <row r="620" spans="2:7" x14ac:dyDescent="0.25">
      <c r="B620" s="430" t="s">
        <v>420</v>
      </c>
      <c r="C620" s="434">
        <v>43147</v>
      </c>
      <c r="D620" s="431">
        <v>21780</v>
      </c>
      <c r="E620" s="436">
        <v>736818</v>
      </c>
      <c r="F620" s="444">
        <v>-1.8363786664408747E-4</v>
      </c>
      <c r="G620" s="427"/>
    </row>
    <row r="621" spans="2:7" x14ac:dyDescent="0.25">
      <c r="B621" s="430" t="s">
        <v>420</v>
      </c>
      <c r="C621" s="434">
        <v>43150</v>
      </c>
      <c r="D621" s="431">
        <v>21092</v>
      </c>
      <c r="E621" s="436">
        <v>316044</v>
      </c>
      <c r="F621" s="444">
        <v>-3.2098295836591031E-2</v>
      </c>
      <c r="G621" s="427"/>
    </row>
    <row r="622" spans="2:7" x14ac:dyDescent="0.25">
      <c r="B622" s="430" t="s">
        <v>420</v>
      </c>
      <c r="C622" s="434">
        <v>43151</v>
      </c>
      <c r="D622" s="431">
        <v>21196</v>
      </c>
      <c r="E622" s="436">
        <v>312822</v>
      </c>
      <c r="F622" s="444">
        <v>4.9186629622923568E-3</v>
      </c>
      <c r="G622" s="427"/>
    </row>
    <row r="623" spans="2:7" x14ac:dyDescent="0.25">
      <c r="B623" s="430" t="s">
        <v>420</v>
      </c>
      <c r="C623" s="434">
        <v>43152</v>
      </c>
      <c r="D623" s="431">
        <v>20850</v>
      </c>
      <c r="E623" s="436">
        <v>999065</v>
      </c>
      <c r="F623" s="444">
        <v>-1.6458536385705217E-2</v>
      </c>
      <c r="G623" s="427"/>
    </row>
    <row r="624" spans="2:7" x14ac:dyDescent="0.25">
      <c r="B624" s="430" t="s">
        <v>420</v>
      </c>
      <c r="C624" s="434">
        <v>43153</v>
      </c>
      <c r="D624" s="431">
        <v>21085</v>
      </c>
      <c r="E624" s="436">
        <v>473596</v>
      </c>
      <c r="F624" s="444">
        <v>1.1207938953712703E-2</v>
      </c>
      <c r="G624" s="427"/>
    </row>
    <row r="625" spans="2:7" x14ac:dyDescent="0.25">
      <c r="B625" s="430" t="s">
        <v>420</v>
      </c>
      <c r="C625" s="434">
        <v>43154</v>
      </c>
      <c r="D625" s="431">
        <v>22112</v>
      </c>
      <c r="E625" s="436">
        <v>618254</v>
      </c>
      <c r="F625" s="444">
        <v>4.7558560386736115E-2</v>
      </c>
      <c r="G625" s="427"/>
    </row>
    <row r="626" spans="2:7" x14ac:dyDescent="0.25">
      <c r="B626" s="430" t="s">
        <v>420</v>
      </c>
      <c r="C626" s="434">
        <v>43157</v>
      </c>
      <c r="D626" s="431">
        <v>22000</v>
      </c>
      <c r="E626" s="436">
        <v>960182</v>
      </c>
      <c r="F626" s="444">
        <v>-5.0779942269435826E-3</v>
      </c>
      <c r="G626" s="427"/>
    </row>
    <row r="627" spans="2:7" x14ac:dyDescent="0.25">
      <c r="B627" s="430" t="s">
        <v>420</v>
      </c>
      <c r="C627" s="434">
        <v>43158</v>
      </c>
      <c r="D627" s="431">
        <v>22265</v>
      </c>
      <c r="E627" s="436">
        <v>603624</v>
      </c>
      <c r="F627" s="444">
        <v>1.1973485415349773E-2</v>
      </c>
      <c r="G627" s="427"/>
    </row>
    <row r="628" spans="2:7" x14ac:dyDescent="0.25">
      <c r="B628" s="430" t="s">
        <v>420</v>
      </c>
      <c r="C628" s="434">
        <v>43159</v>
      </c>
      <c r="D628" s="431">
        <v>21860</v>
      </c>
      <c r="E628" s="436">
        <v>601759</v>
      </c>
      <c r="F628" s="444">
        <v>-1.8357456025273229E-2</v>
      </c>
      <c r="G628" s="427"/>
    </row>
    <row r="629" spans="2:7" x14ac:dyDescent="0.25">
      <c r="B629" s="430" t="s">
        <v>420</v>
      </c>
      <c r="C629" s="434">
        <v>43160</v>
      </c>
      <c r="D629" s="431">
        <v>21701</v>
      </c>
      <c r="E629" s="436">
        <v>717208</v>
      </c>
      <c r="F629" s="444">
        <v>-7.3001403144563578E-3</v>
      </c>
      <c r="G629" s="427"/>
    </row>
    <row r="630" spans="2:7" x14ac:dyDescent="0.25">
      <c r="B630" s="430" t="s">
        <v>420</v>
      </c>
      <c r="C630" s="434">
        <v>43161</v>
      </c>
      <c r="D630" s="431">
        <v>21965</v>
      </c>
      <c r="E630" s="436">
        <v>509488</v>
      </c>
      <c r="F630" s="444">
        <v>1.2091934993806758E-2</v>
      </c>
      <c r="G630" s="427"/>
    </row>
    <row r="631" spans="2:7" x14ac:dyDescent="0.25">
      <c r="B631" s="430" t="s">
        <v>420</v>
      </c>
      <c r="C631" s="434">
        <v>43164</v>
      </c>
      <c r="D631" s="431">
        <v>21918</v>
      </c>
      <c r="E631" s="436">
        <v>619814</v>
      </c>
      <c r="F631" s="444">
        <v>-2.1420603865424334E-3</v>
      </c>
      <c r="G631" s="427"/>
    </row>
    <row r="632" spans="2:7" x14ac:dyDescent="0.25">
      <c r="B632" s="430" t="s">
        <v>420</v>
      </c>
      <c r="C632" s="434">
        <v>43165</v>
      </c>
      <c r="D632" s="431">
        <v>21983</v>
      </c>
      <c r="E632" s="436">
        <v>701689</v>
      </c>
      <c r="F632" s="444">
        <v>2.9612103367794677E-3</v>
      </c>
      <c r="G632" s="427"/>
    </row>
    <row r="633" spans="2:7" x14ac:dyDescent="0.25">
      <c r="B633" s="430" t="s">
        <v>420</v>
      </c>
      <c r="C633" s="434">
        <v>43166</v>
      </c>
      <c r="D633" s="431">
        <v>22175</v>
      </c>
      <c r="E633" s="436">
        <v>762288</v>
      </c>
      <c r="F633" s="444">
        <v>8.6961008176632427E-3</v>
      </c>
      <c r="G633" s="427"/>
    </row>
    <row r="634" spans="2:7" x14ac:dyDescent="0.25">
      <c r="B634" s="430" t="s">
        <v>420</v>
      </c>
      <c r="C634" s="434">
        <v>43167</v>
      </c>
      <c r="D634" s="431">
        <v>21346</v>
      </c>
      <c r="E634" s="436">
        <v>652957</v>
      </c>
      <c r="F634" s="444">
        <v>-3.8101159703869944E-2</v>
      </c>
      <c r="G634" s="427"/>
    </row>
    <row r="635" spans="2:7" x14ac:dyDescent="0.25">
      <c r="B635" s="430" t="s">
        <v>420</v>
      </c>
      <c r="C635" s="434">
        <v>43168</v>
      </c>
      <c r="D635" s="431">
        <v>21507</v>
      </c>
      <c r="E635" s="436">
        <v>500585</v>
      </c>
      <c r="F635" s="444">
        <v>7.5140950470715551E-3</v>
      </c>
      <c r="G635" s="427"/>
    </row>
    <row r="636" spans="2:7" x14ac:dyDescent="0.25">
      <c r="B636" s="430" t="s">
        <v>420</v>
      </c>
      <c r="C636" s="434">
        <v>43171</v>
      </c>
      <c r="D636" s="431">
        <v>21270</v>
      </c>
      <c r="E636" s="436">
        <v>610941</v>
      </c>
      <c r="F636" s="444">
        <v>-1.1080834326699008E-2</v>
      </c>
      <c r="G636" s="427"/>
    </row>
    <row r="637" spans="2:7" x14ac:dyDescent="0.25">
      <c r="B637" s="430" t="s">
        <v>420</v>
      </c>
      <c r="C637" s="434">
        <v>43172</v>
      </c>
      <c r="D637" s="431">
        <v>20997</v>
      </c>
      <c r="E637" s="436">
        <v>451203</v>
      </c>
      <c r="F637" s="444">
        <v>-1.2918058836633481E-2</v>
      </c>
      <c r="G637" s="427"/>
    </row>
    <row r="638" spans="2:7" x14ac:dyDescent="0.25">
      <c r="B638" s="430" t="s">
        <v>420</v>
      </c>
      <c r="C638" s="434">
        <v>43173</v>
      </c>
      <c r="D638" s="431">
        <v>20501</v>
      </c>
      <c r="E638" s="436">
        <v>367756</v>
      </c>
      <c r="F638" s="444">
        <v>-2.3905904933074189E-2</v>
      </c>
      <c r="G638" s="427"/>
    </row>
    <row r="639" spans="2:7" x14ac:dyDescent="0.25">
      <c r="B639" s="430" t="s">
        <v>420</v>
      </c>
      <c r="C639" s="434">
        <v>43174</v>
      </c>
      <c r="D639" s="431">
        <v>20444</v>
      </c>
      <c r="E639" s="436">
        <v>1404757</v>
      </c>
      <c r="F639" s="444">
        <v>-2.7842245364049865E-3</v>
      </c>
      <c r="G639" s="427"/>
    </row>
    <row r="640" spans="2:7" x14ac:dyDescent="0.25">
      <c r="B640" s="430" t="s">
        <v>420</v>
      </c>
      <c r="C640" s="434">
        <v>43175</v>
      </c>
      <c r="D640" s="431">
        <v>20962</v>
      </c>
      <c r="E640" s="436">
        <v>2083514</v>
      </c>
      <c r="F640" s="444">
        <v>2.5021833841952484E-2</v>
      </c>
      <c r="G640" s="427"/>
    </row>
    <row r="641" spans="2:7" x14ac:dyDescent="0.25">
      <c r="B641" s="430" t="s">
        <v>420</v>
      </c>
      <c r="C641" s="434">
        <v>43178</v>
      </c>
      <c r="D641" s="431">
        <v>20958</v>
      </c>
      <c r="E641" s="436">
        <v>293347</v>
      </c>
      <c r="F641" s="444">
        <v>-1.9083969523570784E-4</v>
      </c>
      <c r="G641" s="427"/>
    </row>
    <row r="642" spans="2:7" x14ac:dyDescent="0.25">
      <c r="B642" s="430" t="s">
        <v>420</v>
      </c>
      <c r="C642" s="434">
        <v>43179</v>
      </c>
      <c r="D642" s="431">
        <v>20950</v>
      </c>
      <c r="E642" s="436">
        <v>340031</v>
      </c>
      <c r="F642" s="444">
        <v>-3.8178868460315551E-4</v>
      </c>
      <c r="G642" s="427"/>
    </row>
    <row r="643" spans="2:7" x14ac:dyDescent="0.25">
      <c r="B643" s="430" t="s">
        <v>420</v>
      </c>
      <c r="C643" s="434">
        <v>43181</v>
      </c>
      <c r="D643" s="431">
        <v>21000</v>
      </c>
      <c r="E643" s="436">
        <v>586495</v>
      </c>
      <c r="F643" s="444">
        <v>2.3837913552761975E-3</v>
      </c>
      <c r="G643" s="427"/>
    </row>
    <row r="644" spans="2:7" x14ac:dyDescent="0.25">
      <c r="B644" s="430" t="s">
        <v>420</v>
      </c>
      <c r="C644" s="434">
        <v>43182</v>
      </c>
      <c r="D644" s="431">
        <v>20900</v>
      </c>
      <c r="E644" s="436">
        <v>411890</v>
      </c>
      <c r="F644" s="444">
        <v>-4.7732787526576599E-3</v>
      </c>
      <c r="G644" s="427"/>
    </row>
    <row r="645" spans="2:7" x14ac:dyDescent="0.25">
      <c r="B645" s="430" t="s">
        <v>420</v>
      </c>
      <c r="C645" s="434">
        <v>43185</v>
      </c>
      <c r="D645" s="431">
        <v>20798</v>
      </c>
      <c r="E645" s="436">
        <v>467976</v>
      </c>
      <c r="F645" s="444">
        <v>-4.8923307327242739E-3</v>
      </c>
      <c r="G645" s="427"/>
    </row>
    <row r="646" spans="2:7" x14ac:dyDescent="0.25">
      <c r="B646" s="430" t="s">
        <v>420</v>
      </c>
      <c r="C646" s="434">
        <v>43186</v>
      </c>
      <c r="D646" s="431">
        <v>20367</v>
      </c>
      <c r="E646" s="436">
        <v>484051</v>
      </c>
      <c r="F646" s="444">
        <v>-2.0940884250421343E-2</v>
      </c>
      <c r="G646" s="427"/>
    </row>
    <row r="647" spans="2:7" x14ac:dyDescent="0.25">
      <c r="B647" s="430" t="s">
        <v>420</v>
      </c>
      <c r="C647" s="434">
        <v>43187</v>
      </c>
      <c r="D647" s="431">
        <v>20135</v>
      </c>
      <c r="E647" s="436">
        <v>651229</v>
      </c>
      <c r="F647" s="444">
        <v>-1.1456349684202175E-2</v>
      </c>
      <c r="G647" s="427"/>
    </row>
    <row r="648" spans="2:7" x14ac:dyDescent="0.25">
      <c r="B648" s="430" t="s">
        <v>420</v>
      </c>
      <c r="C648" s="434">
        <v>43188</v>
      </c>
      <c r="D648" s="431">
        <v>20256</v>
      </c>
      <c r="E648" s="436">
        <v>860904</v>
      </c>
      <c r="F648" s="444">
        <v>5.9914516583482111E-3</v>
      </c>
      <c r="G648" s="427"/>
    </row>
    <row r="649" spans="2:7" x14ac:dyDescent="0.25">
      <c r="B649" s="430" t="s">
        <v>420</v>
      </c>
      <c r="C649" s="434">
        <v>43193</v>
      </c>
      <c r="D649" s="431">
        <v>20099</v>
      </c>
      <c r="E649" s="436">
        <v>785611</v>
      </c>
      <c r="F649" s="444">
        <v>-7.7809833781508717E-3</v>
      </c>
      <c r="G649" s="427"/>
    </row>
    <row r="650" spans="2:7" x14ac:dyDescent="0.25">
      <c r="B650" s="430" t="s">
        <v>420</v>
      </c>
      <c r="C650" s="434">
        <v>43194</v>
      </c>
      <c r="D650" s="431">
        <v>20108</v>
      </c>
      <c r="E650" s="436">
        <v>638625</v>
      </c>
      <c r="F650" s="444">
        <v>4.4768324671411993E-4</v>
      </c>
      <c r="G650" s="427"/>
    </row>
    <row r="651" spans="2:7" x14ac:dyDescent="0.25">
      <c r="B651" s="430" t="s">
        <v>420</v>
      </c>
      <c r="C651" s="434">
        <v>43195</v>
      </c>
      <c r="D651" s="431">
        <v>20100</v>
      </c>
      <c r="E651" s="436">
        <v>573843</v>
      </c>
      <c r="F651" s="444">
        <v>-3.9793076529879754E-4</v>
      </c>
      <c r="G651" s="427"/>
    </row>
    <row r="652" spans="2:7" x14ac:dyDescent="0.25">
      <c r="B652" s="430" t="s">
        <v>420</v>
      </c>
      <c r="C652" s="434">
        <v>43196</v>
      </c>
      <c r="D652" s="431">
        <v>20000</v>
      </c>
      <c r="E652" s="436">
        <v>519641</v>
      </c>
      <c r="F652" s="444">
        <v>-4.9875415110390512E-3</v>
      </c>
      <c r="G652" s="427"/>
    </row>
    <row r="653" spans="2:7" x14ac:dyDescent="0.25">
      <c r="B653" s="430" t="s">
        <v>420</v>
      </c>
      <c r="C653" s="434">
        <v>43199</v>
      </c>
      <c r="D653" s="431">
        <v>20000</v>
      </c>
      <c r="E653" s="436">
        <v>748752</v>
      </c>
      <c r="F653" s="444">
        <v>0</v>
      </c>
      <c r="G653" s="427"/>
    </row>
    <row r="654" spans="2:7" x14ac:dyDescent="0.25">
      <c r="B654" s="430" t="s">
        <v>420</v>
      </c>
      <c r="C654" s="434">
        <v>43200</v>
      </c>
      <c r="D654" s="431">
        <v>20165</v>
      </c>
      <c r="E654" s="436">
        <v>393949</v>
      </c>
      <c r="F654" s="444">
        <v>8.2161547713405642E-3</v>
      </c>
      <c r="G654" s="427"/>
    </row>
    <row r="655" spans="2:7" x14ac:dyDescent="0.25">
      <c r="B655" s="430" t="s">
        <v>420</v>
      </c>
      <c r="C655" s="434">
        <v>43201</v>
      </c>
      <c r="D655" s="431">
        <v>20206</v>
      </c>
      <c r="E655" s="436">
        <v>389338</v>
      </c>
      <c r="F655" s="444">
        <v>2.0311616802089934E-3</v>
      </c>
      <c r="G655" s="427"/>
    </row>
    <row r="656" spans="2:7" x14ac:dyDescent="0.25">
      <c r="B656" s="430" t="s">
        <v>420</v>
      </c>
      <c r="C656" s="434">
        <v>43202</v>
      </c>
      <c r="D656" s="431">
        <v>20009</v>
      </c>
      <c r="E656" s="436">
        <v>297389</v>
      </c>
      <c r="F656" s="444">
        <v>-9.7974176711848066E-3</v>
      </c>
      <c r="G656" s="427"/>
    </row>
    <row r="657" spans="2:7" x14ac:dyDescent="0.25">
      <c r="B657" s="430" t="s">
        <v>420</v>
      </c>
      <c r="C657" s="434">
        <v>43203</v>
      </c>
      <c r="D657" s="431">
        <v>20186</v>
      </c>
      <c r="E657" s="436">
        <v>407070</v>
      </c>
      <c r="F657" s="444">
        <v>8.8071224823120017E-3</v>
      </c>
      <c r="G657" s="427"/>
    </row>
    <row r="658" spans="2:7" x14ac:dyDescent="0.25">
      <c r="B658" s="430" t="s">
        <v>420</v>
      </c>
      <c r="C658" s="434">
        <v>43206</v>
      </c>
      <c r="D658" s="431">
        <v>20270</v>
      </c>
      <c r="E658" s="436">
        <v>339124</v>
      </c>
      <c r="F658" s="444">
        <v>4.1526656472409863E-3</v>
      </c>
      <c r="G658" s="427"/>
    </row>
    <row r="659" spans="2:7" x14ac:dyDescent="0.25">
      <c r="B659" s="430" t="s">
        <v>420</v>
      </c>
      <c r="C659" s="434">
        <v>43207</v>
      </c>
      <c r="D659" s="431">
        <v>20744</v>
      </c>
      <c r="E659" s="436">
        <v>421297</v>
      </c>
      <c r="F659" s="444">
        <v>2.3115087772454614E-2</v>
      </c>
      <c r="G659" s="427"/>
    </row>
    <row r="660" spans="2:7" x14ac:dyDescent="0.25">
      <c r="B660" s="430" t="s">
        <v>420</v>
      </c>
      <c r="C660" s="434">
        <v>43208</v>
      </c>
      <c r="D660" s="431">
        <v>20700</v>
      </c>
      <c r="E660" s="436">
        <v>596430</v>
      </c>
      <c r="F660" s="444">
        <v>-2.1233479650398209E-3</v>
      </c>
      <c r="G660" s="427"/>
    </row>
    <row r="661" spans="2:7" x14ac:dyDescent="0.25">
      <c r="B661" s="430" t="s">
        <v>420</v>
      </c>
      <c r="C661" s="434">
        <v>43209</v>
      </c>
      <c r="D661" s="431">
        <v>20715</v>
      </c>
      <c r="E661" s="436">
        <v>364460</v>
      </c>
      <c r="F661" s="444">
        <v>7.2437525804170159E-4</v>
      </c>
      <c r="G661" s="427"/>
    </row>
    <row r="662" spans="2:7" x14ac:dyDescent="0.25">
      <c r="B662" s="430" t="s">
        <v>420</v>
      </c>
      <c r="C662" s="434">
        <v>43210</v>
      </c>
      <c r="D662" s="431">
        <v>20914</v>
      </c>
      <c r="E662" s="436">
        <v>454275</v>
      </c>
      <c r="F662" s="444">
        <v>9.560715647031974E-3</v>
      </c>
      <c r="G662" s="427"/>
    </row>
    <row r="663" spans="2:7" x14ac:dyDescent="0.25">
      <c r="B663" s="430" t="s">
        <v>420</v>
      </c>
      <c r="C663" s="434">
        <v>43213</v>
      </c>
      <c r="D663" s="431">
        <v>20865</v>
      </c>
      <c r="E663" s="436">
        <v>342519</v>
      </c>
      <c r="F663" s="444">
        <v>-2.3456771328811414E-3</v>
      </c>
      <c r="G663" s="427"/>
    </row>
    <row r="664" spans="2:7" x14ac:dyDescent="0.25">
      <c r="B664" s="430" t="s">
        <v>420</v>
      </c>
      <c r="C664" s="434">
        <v>43214</v>
      </c>
      <c r="D664" s="431">
        <v>20676</v>
      </c>
      <c r="E664" s="436">
        <v>171520</v>
      </c>
      <c r="F664" s="444">
        <v>-9.099506709723015E-3</v>
      </c>
      <c r="G664" s="427"/>
    </row>
    <row r="665" spans="2:7" x14ac:dyDescent="0.25">
      <c r="B665" s="430" t="s">
        <v>420</v>
      </c>
      <c r="C665" s="434">
        <v>43215</v>
      </c>
      <c r="D665" s="431">
        <v>20930</v>
      </c>
      <c r="E665" s="436">
        <v>266323</v>
      </c>
      <c r="F665" s="444">
        <v>1.2209929124115435E-2</v>
      </c>
      <c r="G665" s="427"/>
    </row>
    <row r="666" spans="2:7" x14ac:dyDescent="0.25">
      <c r="B666" s="430" t="s">
        <v>420</v>
      </c>
      <c r="C666" s="434">
        <v>43216</v>
      </c>
      <c r="D666" s="431">
        <v>20864</v>
      </c>
      <c r="E666" s="436">
        <v>308483</v>
      </c>
      <c r="F666" s="444">
        <v>-3.1583507136658758E-3</v>
      </c>
      <c r="G666" s="427"/>
    </row>
    <row r="667" spans="2:7" x14ac:dyDescent="0.25">
      <c r="B667" s="430" t="s">
        <v>420</v>
      </c>
      <c r="C667" s="434">
        <v>43220</v>
      </c>
      <c r="D667" s="431">
        <v>21145</v>
      </c>
      <c r="E667" s="436">
        <v>433489</v>
      </c>
      <c r="F667" s="444">
        <v>1.3378285180209348E-2</v>
      </c>
      <c r="G667" s="427"/>
    </row>
    <row r="668" spans="2:7" x14ac:dyDescent="0.25">
      <c r="B668" s="430" t="s">
        <v>420</v>
      </c>
      <c r="C668" s="434">
        <v>43222</v>
      </c>
      <c r="D668" s="431">
        <v>21000</v>
      </c>
      <c r="E668" s="436">
        <v>274677</v>
      </c>
      <c r="F668" s="444">
        <v>-6.8810332010288949E-3</v>
      </c>
      <c r="G668" s="427"/>
    </row>
    <row r="669" spans="2:7" x14ac:dyDescent="0.25">
      <c r="B669" s="430" t="s">
        <v>420</v>
      </c>
      <c r="C669" s="434">
        <v>43223</v>
      </c>
      <c r="D669" s="431">
        <v>20390</v>
      </c>
      <c r="E669" s="436">
        <v>498541</v>
      </c>
      <c r="F669" s="444">
        <v>-2.9477853137059244E-2</v>
      </c>
      <c r="G669" s="427"/>
    </row>
    <row r="670" spans="2:7" x14ac:dyDescent="0.25">
      <c r="B670" s="430" t="s">
        <v>420</v>
      </c>
      <c r="C670" s="434">
        <v>43224</v>
      </c>
      <c r="D670" s="431">
        <v>20400</v>
      </c>
      <c r="E670" s="436">
        <v>350649</v>
      </c>
      <c r="F670" s="444">
        <v>4.903162638069552E-4</v>
      </c>
      <c r="G670" s="427"/>
    </row>
    <row r="671" spans="2:7" x14ac:dyDescent="0.25">
      <c r="B671" s="430" t="s">
        <v>420</v>
      </c>
      <c r="C671" s="434">
        <v>43227</v>
      </c>
      <c r="D671" s="431">
        <v>20261</v>
      </c>
      <c r="E671" s="436">
        <v>218563</v>
      </c>
      <c r="F671" s="444">
        <v>-6.8370449061565409E-3</v>
      </c>
      <c r="G671" s="427"/>
    </row>
    <row r="672" spans="2:7" x14ac:dyDescent="0.25">
      <c r="B672" s="430" t="s">
        <v>420</v>
      </c>
      <c r="C672" s="434">
        <v>43228</v>
      </c>
      <c r="D672" s="431">
        <v>19916</v>
      </c>
      <c r="E672" s="436">
        <v>423507</v>
      </c>
      <c r="F672" s="444">
        <v>-1.717442716407791E-2</v>
      </c>
      <c r="G672" s="427"/>
    </row>
    <row r="673" spans="2:7" x14ac:dyDescent="0.25">
      <c r="B673" s="430" t="s">
        <v>420</v>
      </c>
      <c r="C673" s="434">
        <v>43229</v>
      </c>
      <c r="D673" s="431">
        <v>20078</v>
      </c>
      <c r="E673" s="436">
        <v>455738</v>
      </c>
      <c r="F673" s="444">
        <v>8.1012594893984987E-3</v>
      </c>
      <c r="G673" s="427"/>
    </row>
    <row r="674" spans="2:7" x14ac:dyDescent="0.25">
      <c r="B674" s="430" t="s">
        <v>420</v>
      </c>
      <c r="C674" s="434">
        <v>43230</v>
      </c>
      <c r="D674" s="431">
        <v>19925</v>
      </c>
      <c r="E674" s="436">
        <v>751137</v>
      </c>
      <c r="F674" s="444">
        <v>-7.64946359305607E-3</v>
      </c>
      <c r="G674" s="427"/>
    </row>
    <row r="675" spans="2:7" x14ac:dyDescent="0.25">
      <c r="B675" s="430" t="s">
        <v>420</v>
      </c>
      <c r="C675" s="434">
        <v>43231</v>
      </c>
      <c r="D675" s="431">
        <v>20236</v>
      </c>
      <c r="E675" s="436">
        <v>600077</v>
      </c>
      <c r="F675" s="444">
        <v>1.5487971753410988E-2</v>
      </c>
      <c r="G675" s="427"/>
    </row>
    <row r="676" spans="2:7" x14ac:dyDescent="0.25">
      <c r="B676" s="430" t="s">
        <v>420</v>
      </c>
      <c r="C676" s="434">
        <v>43234</v>
      </c>
      <c r="D676" s="431">
        <v>20316</v>
      </c>
      <c r="E676" s="436">
        <v>526715</v>
      </c>
      <c r="F676" s="444">
        <v>3.9455565093088462E-3</v>
      </c>
      <c r="G676" s="427"/>
    </row>
    <row r="677" spans="2:7" x14ac:dyDescent="0.25">
      <c r="B677" s="430" t="s">
        <v>420</v>
      </c>
      <c r="C677" s="434">
        <v>43235</v>
      </c>
      <c r="D677" s="431">
        <v>19853</v>
      </c>
      <c r="E677" s="436">
        <v>516693</v>
      </c>
      <c r="F677" s="444">
        <v>-2.3053623724056754E-2</v>
      </c>
      <c r="G677" s="427"/>
    </row>
    <row r="678" spans="2:7" x14ac:dyDescent="0.25">
      <c r="B678" s="430" t="s">
        <v>420</v>
      </c>
      <c r="C678" s="434">
        <v>43236</v>
      </c>
      <c r="D678" s="431">
        <v>19979</v>
      </c>
      <c r="E678" s="436">
        <v>646023</v>
      </c>
      <c r="F678" s="444">
        <v>6.3265927028700996E-3</v>
      </c>
      <c r="G678" s="427"/>
    </row>
    <row r="679" spans="2:7" x14ac:dyDescent="0.25">
      <c r="B679" s="430" t="s">
        <v>420</v>
      </c>
      <c r="C679" s="434">
        <v>43237</v>
      </c>
      <c r="D679" s="431">
        <v>19124</v>
      </c>
      <c r="E679" s="436">
        <v>577862</v>
      </c>
      <c r="F679" s="444">
        <v>-4.3737631153954924E-2</v>
      </c>
      <c r="G679" s="427"/>
    </row>
    <row r="680" spans="2:7" x14ac:dyDescent="0.25">
      <c r="B680" s="430" t="s">
        <v>420</v>
      </c>
      <c r="C680" s="434">
        <v>43238</v>
      </c>
      <c r="D680" s="431">
        <v>18998</v>
      </c>
      <c r="E680" s="436">
        <v>703581</v>
      </c>
      <c r="F680" s="444">
        <v>-6.61038029586619E-3</v>
      </c>
      <c r="G680" s="427"/>
    </row>
    <row r="681" spans="2:7" x14ac:dyDescent="0.25">
      <c r="B681" s="430" t="s">
        <v>420</v>
      </c>
      <c r="C681" s="434">
        <v>43241</v>
      </c>
      <c r="D681" s="431">
        <v>18766</v>
      </c>
      <c r="E681" s="436">
        <v>720891</v>
      </c>
      <c r="F681" s="444">
        <v>-1.228698860013284E-2</v>
      </c>
      <c r="G681" s="427"/>
    </row>
    <row r="682" spans="2:7" x14ac:dyDescent="0.25">
      <c r="B682" s="430" t="s">
        <v>420</v>
      </c>
      <c r="C682" s="434">
        <v>43242</v>
      </c>
      <c r="D682" s="431">
        <v>18955</v>
      </c>
      <c r="E682" s="436">
        <v>635168</v>
      </c>
      <c r="F682" s="444">
        <v>1.0021027100440248E-2</v>
      </c>
      <c r="G682" s="427"/>
    </row>
    <row r="683" spans="2:7" x14ac:dyDescent="0.25">
      <c r="B683" s="430" t="s">
        <v>420</v>
      </c>
      <c r="C683" s="434">
        <v>43243</v>
      </c>
      <c r="D683" s="431">
        <v>18880</v>
      </c>
      <c r="E683" s="436">
        <v>477148</v>
      </c>
      <c r="F683" s="444">
        <v>-3.9645882509434776E-3</v>
      </c>
      <c r="G683" s="427"/>
    </row>
    <row r="684" spans="2:7" x14ac:dyDescent="0.25">
      <c r="B684" s="430" t="s">
        <v>420</v>
      </c>
      <c r="C684" s="434">
        <v>43244</v>
      </c>
      <c r="D684" s="431">
        <v>18490</v>
      </c>
      <c r="E684" s="436">
        <v>543309</v>
      </c>
      <c r="F684" s="444">
        <v>-2.087311531832118E-2</v>
      </c>
      <c r="G684" s="427"/>
    </row>
    <row r="685" spans="2:7" x14ac:dyDescent="0.25">
      <c r="B685" s="430" t="s">
        <v>420</v>
      </c>
      <c r="C685" s="434">
        <v>43245</v>
      </c>
      <c r="D685" s="431">
        <v>18985</v>
      </c>
      <c r="E685" s="436">
        <v>403231</v>
      </c>
      <c r="F685" s="444">
        <v>2.641914828473213E-2</v>
      </c>
      <c r="G685" s="427"/>
    </row>
    <row r="686" spans="2:7" x14ac:dyDescent="0.25">
      <c r="B686" s="430" t="s">
        <v>420</v>
      </c>
      <c r="C686" s="434">
        <v>43248</v>
      </c>
      <c r="D686" s="431">
        <v>19100</v>
      </c>
      <c r="E686" s="436">
        <v>258422</v>
      </c>
      <c r="F686" s="444">
        <v>6.0391413688186306E-3</v>
      </c>
      <c r="G686" s="427"/>
    </row>
    <row r="687" spans="2:7" x14ac:dyDescent="0.25">
      <c r="B687" s="430" t="s">
        <v>420</v>
      </c>
      <c r="C687" s="434">
        <v>43249</v>
      </c>
      <c r="D687" s="431">
        <v>18725</v>
      </c>
      <c r="E687" s="436">
        <v>370913</v>
      </c>
      <c r="F687" s="444">
        <v>-1.9828805649300993E-2</v>
      </c>
      <c r="G687" s="427"/>
    </row>
    <row r="688" spans="2:7" x14ac:dyDescent="0.25">
      <c r="B688" s="430" t="s">
        <v>420</v>
      </c>
      <c r="C688" s="434">
        <v>43250</v>
      </c>
      <c r="D688" s="431">
        <v>19262</v>
      </c>
      <c r="E688" s="436">
        <v>768074</v>
      </c>
      <c r="F688" s="444">
        <v>2.8274713735389284E-2</v>
      </c>
      <c r="G688" s="427"/>
    </row>
    <row r="689" spans="2:7" x14ac:dyDescent="0.25">
      <c r="B689" s="430" t="s">
        <v>420</v>
      </c>
      <c r="C689" s="434">
        <v>43251</v>
      </c>
      <c r="D689" s="431">
        <v>19275</v>
      </c>
      <c r="E689" s="436">
        <v>1457840</v>
      </c>
      <c r="F689" s="444">
        <v>6.7467631072060444E-4</v>
      </c>
      <c r="G689" s="427"/>
    </row>
    <row r="690" spans="2:7" x14ac:dyDescent="0.25">
      <c r="B690" s="430" t="s">
        <v>420</v>
      </c>
      <c r="C690" s="434">
        <v>43252</v>
      </c>
      <c r="D690" s="431">
        <v>19334</v>
      </c>
      <c r="E690" s="436">
        <v>463345</v>
      </c>
      <c r="F690" s="444">
        <v>3.0562845930205275E-3</v>
      </c>
      <c r="G690" s="427"/>
    </row>
    <row r="691" spans="2:7" x14ac:dyDescent="0.25">
      <c r="B691" s="430" t="s">
        <v>420</v>
      </c>
      <c r="C691" s="434">
        <v>43255</v>
      </c>
      <c r="D691" s="431">
        <v>19735</v>
      </c>
      <c r="E691" s="436">
        <v>590202</v>
      </c>
      <c r="F691" s="444">
        <v>2.0528505072396744E-2</v>
      </c>
      <c r="G691" s="427"/>
    </row>
    <row r="692" spans="2:7" x14ac:dyDescent="0.25">
      <c r="B692" s="430" t="s">
        <v>420</v>
      </c>
      <c r="C692" s="434">
        <v>43256</v>
      </c>
      <c r="D692" s="431">
        <v>19345</v>
      </c>
      <c r="E692" s="436">
        <v>692638</v>
      </c>
      <c r="F692" s="444">
        <v>-1.9959720962334095E-2</v>
      </c>
      <c r="G692" s="427"/>
    </row>
    <row r="693" spans="2:7" x14ac:dyDescent="0.25">
      <c r="B693" s="430" t="s">
        <v>420</v>
      </c>
      <c r="C693" s="434">
        <v>43257</v>
      </c>
      <c r="D693" s="431">
        <v>19475</v>
      </c>
      <c r="E693" s="436">
        <v>487947</v>
      </c>
      <c r="F693" s="444">
        <v>6.6976036043355771E-3</v>
      </c>
      <c r="G693" s="427"/>
    </row>
    <row r="694" spans="2:7" x14ac:dyDescent="0.25">
      <c r="B694" s="430" t="s">
        <v>420</v>
      </c>
      <c r="C694" s="434">
        <v>43258</v>
      </c>
      <c r="D694" s="431">
        <v>19244</v>
      </c>
      <c r="E694" s="436">
        <v>667268</v>
      </c>
      <c r="F694" s="444">
        <v>-1.1932267919604682E-2</v>
      </c>
      <c r="G694" s="427"/>
    </row>
    <row r="695" spans="2:7" x14ac:dyDescent="0.25">
      <c r="B695" s="430" t="s">
        <v>420</v>
      </c>
      <c r="C695" s="434">
        <v>43259</v>
      </c>
      <c r="D695" s="431">
        <v>19261</v>
      </c>
      <c r="E695" s="436">
        <v>638394</v>
      </c>
      <c r="F695" s="444">
        <v>8.8300226487807762E-4</v>
      </c>
      <c r="G695" s="427"/>
    </row>
    <row r="696" spans="2:7" x14ac:dyDescent="0.25">
      <c r="B696" s="430" t="s">
        <v>420</v>
      </c>
      <c r="C696" s="434">
        <v>43262</v>
      </c>
      <c r="D696" s="431">
        <v>19139</v>
      </c>
      <c r="E696" s="436">
        <v>328187</v>
      </c>
      <c r="F696" s="444">
        <v>-6.3541880461491923E-3</v>
      </c>
      <c r="G696" s="427"/>
    </row>
    <row r="697" spans="2:7" x14ac:dyDescent="0.25">
      <c r="B697" s="430" t="s">
        <v>420</v>
      </c>
      <c r="C697" s="434">
        <v>43263</v>
      </c>
      <c r="D697" s="431">
        <v>19205</v>
      </c>
      <c r="E697" s="436">
        <v>853997</v>
      </c>
      <c r="F697" s="444">
        <v>3.4425237419321102E-3</v>
      </c>
      <c r="G697" s="427"/>
    </row>
    <row r="698" spans="2:7" x14ac:dyDescent="0.25">
      <c r="B698" s="430" t="s">
        <v>420</v>
      </c>
      <c r="C698" s="434">
        <v>43264</v>
      </c>
      <c r="D698" s="431">
        <v>18878</v>
      </c>
      <c r="E698" s="436">
        <v>573420</v>
      </c>
      <c r="F698" s="444">
        <v>-1.7173438895115412E-2</v>
      </c>
      <c r="G698" s="427"/>
    </row>
    <row r="699" spans="2:7" x14ac:dyDescent="0.25">
      <c r="B699" s="430" t="s">
        <v>420</v>
      </c>
      <c r="C699" s="434">
        <v>43265</v>
      </c>
      <c r="D699" s="431">
        <v>19000</v>
      </c>
      <c r="E699" s="436">
        <v>1184373</v>
      </c>
      <c r="F699" s="444">
        <v>6.4417562636877547E-3</v>
      </c>
      <c r="G699" s="427"/>
    </row>
    <row r="700" spans="2:7" x14ac:dyDescent="0.25">
      <c r="B700" s="430" t="s">
        <v>420</v>
      </c>
      <c r="C700" s="434">
        <v>43266</v>
      </c>
      <c r="D700" s="431">
        <v>18866</v>
      </c>
      <c r="E700" s="436">
        <v>1437045</v>
      </c>
      <c r="F700" s="444">
        <v>-7.0776189387790588E-3</v>
      </c>
      <c r="G700" s="427"/>
    </row>
    <row r="701" spans="2:7" x14ac:dyDescent="0.25">
      <c r="B701" s="430" t="s">
        <v>420</v>
      </c>
      <c r="C701" s="434">
        <v>43269</v>
      </c>
      <c r="D701" s="431">
        <v>18484</v>
      </c>
      <c r="E701" s="436">
        <v>365325</v>
      </c>
      <c r="F701" s="444">
        <v>-2.0455867219641512E-2</v>
      </c>
      <c r="G701" s="427"/>
    </row>
    <row r="702" spans="2:7" x14ac:dyDescent="0.25">
      <c r="B702" s="430" t="s">
        <v>420</v>
      </c>
      <c r="C702" s="434">
        <v>43270</v>
      </c>
      <c r="D702" s="431">
        <v>18434</v>
      </c>
      <c r="E702" s="436">
        <v>862112</v>
      </c>
      <c r="F702" s="444">
        <v>-2.7087074365474604E-3</v>
      </c>
      <c r="G702" s="427"/>
    </row>
    <row r="703" spans="2:7" x14ac:dyDescent="0.25">
      <c r="B703" s="430" t="s">
        <v>420</v>
      </c>
      <c r="C703" s="434">
        <v>43271</v>
      </c>
      <c r="D703" s="431">
        <v>18649</v>
      </c>
      <c r="E703" s="436">
        <v>706353</v>
      </c>
      <c r="F703" s="444">
        <v>1.1595739777836688E-2</v>
      </c>
      <c r="G703" s="427"/>
    </row>
    <row r="704" spans="2:7" x14ac:dyDescent="0.25">
      <c r="B704" s="430" t="s">
        <v>420</v>
      </c>
      <c r="C704" s="434">
        <v>43272</v>
      </c>
      <c r="D704" s="431">
        <v>18691</v>
      </c>
      <c r="E704" s="436">
        <v>1154224</v>
      </c>
      <c r="F704" s="444">
        <v>2.2495992347315902E-3</v>
      </c>
      <c r="G704" s="427"/>
    </row>
    <row r="705" spans="2:7" x14ac:dyDescent="0.25">
      <c r="B705" s="430" t="s">
        <v>420</v>
      </c>
      <c r="C705" s="434">
        <v>43273</v>
      </c>
      <c r="D705" s="431">
        <v>18658</v>
      </c>
      <c r="E705" s="436">
        <v>526140</v>
      </c>
      <c r="F705" s="444">
        <v>-1.7671160452715131E-3</v>
      </c>
      <c r="G705" s="427"/>
    </row>
    <row r="706" spans="2:7" x14ac:dyDescent="0.25">
      <c r="B706" s="430" t="s">
        <v>420</v>
      </c>
      <c r="C706" s="434">
        <v>43276</v>
      </c>
      <c r="D706" s="431">
        <v>18446</v>
      </c>
      <c r="E706" s="436">
        <v>362257</v>
      </c>
      <c r="F706" s="444">
        <v>-1.1427463725242179E-2</v>
      </c>
      <c r="G706" s="427"/>
    </row>
    <row r="707" spans="2:7" x14ac:dyDescent="0.25">
      <c r="B707" s="430" t="s">
        <v>420</v>
      </c>
      <c r="C707" s="434">
        <v>43277</v>
      </c>
      <c r="D707" s="431">
        <v>18541</v>
      </c>
      <c r="E707" s="436">
        <v>579364</v>
      </c>
      <c r="F707" s="444">
        <v>5.1369513021892101E-3</v>
      </c>
      <c r="G707" s="427"/>
    </row>
    <row r="708" spans="2:7" x14ac:dyDescent="0.25">
      <c r="B708" s="430" t="s">
        <v>420</v>
      </c>
      <c r="C708" s="434">
        <v>43278</v>
      </c>
      <c r="D708" s="431">
        <v>18146</v>
      </c>
      <c r="E708" s="436">
        <v>804627</v>
      </c>
      <c r="F708" s="444">
        <v>-2.1534345368279171E-2</v>
      </c>
      <c r="G708" s="427"/>
    </row>
    <row r="709" spans="2:7" x14ac:dyDescent="0.25">
      <c r="B709" s="430" t="s">
        <v>420</v>
      </c>
      <c r="C709" s="434">
        <v>43279</v>
      </c>
      <c r="D709" s="431">
        <v>17960</v>
      </c>
      <c r="E709" s="436">
        <v>495745</v>
      </c>
      <c r="F709" s="444">
        <v>-1.0303087873383614E-2</v>
      </c>
      <c r="G709" s="427"/>
    </row>
    <row r="710" spans="2:7" x14ac:dyDescent="0.25">
      <c r="B710" s="430" t="s">
        <v>420</v>
      </c>
      <c r="C710" s="434">
        <v>43280</v>
      </c>
      <c r="D710" s="431">
        <v>18542</v>
      </c>
      <c r="E710" s="436">
        <v>577117</v>
      </c>
      <c r="F710" s="444">
        <v>3.1891366310737163E-2</v>
      </c>
      <c r="G710" s="427"/>
    </row>
    <row r="711" spans="2:7" x14ac:dyDescent="0.25">
      <c r="B711" s="430" t="s">
        <v>420</v>
      </c>
      <c r="C711" s="434">
        <v>43283</v>
      </c>
      <c r="D711" s="431">
        <v>18657</v>
      </c>
      <c r="E711" s="436">
        <v>301242</v>
      </c>
      <c r="F711" s="444">
        <v>6.1829816050712541E-3</v>
      </c>
      <c r="G711" s="427"/>
    </row>
    <row r="712" spans="2:7" x14ac:dyDescent="0.25">
      <c r="B712" s="430" t="s">
        <v>420</v>
      </c>
      <c r="C712" s="434">
        <v>43284</v>
      </c>
      <c r="D712" s="431">
        <v>19040</v>
      </c>
      <c r="E712" s="436">
        <v>509979</v>
      </c>
      <c r="F712" s="444">
        <v>2.0320618573357357E-2</v>
      </c>
      <c r="G712" s="427"/>
    </row>
    <row r="713" spans="2:7" x14ac:dyDescent="0.25">
      <c r="B713" s="430" t="s">
        <v>420</v>
      </c>
      <c r="C713" s="434">
        <v>43285</v>
      </c>
      <c r="D713" s="431">
        <v>19139</v>
      </c>
      <c r="E713" s="436">
        <v>235953</v>
      </c>
      <c r="F713" s="444">
        <v>5.1861086927169446E-3</v>
      </c>
      <c r="G713" s="427"/>
    </row>
    <row r="714" spans="2:7" x14ac:dyDescent="0.25">
      <c r="B714" s="430" t="s">
        <v>420</v>
      </c>
      <c r="C714" s="434">
        <v>43286</v>
      </c>
      <c r="D714" s="431">
        <v>19141</v>
      </c>
      <c r="E714" s="436">
        <v>242339</v>
      </c>
      <c r="F714" s="444">
        <v>1.0449320803652502E-4</v>
      </c>
      <c r="G714" s="427"/>
    </row>
    <row r="715" spans="2:7" x14ac:dyDescent="0.25">
      <c r="B715" s="430" t="s">
        <v>420</v>
      </c>
      <c r="C715" s="434">
        <v>43287</v>
      </c>
      <c r="D715" s="431">
        <v>18940</v>
      </c>
      <c r="E715" s="436">
        <v>285840</v>
      </c>
      <c r="F715" s="444">
        <v>-1.0556543506040445E-2</v>
      </c>
      <c r="G715" s="427"/>
    </row>
    <row r="716" spans="2:7" x14ac:dyDescent="0.25">
      <c r="B716" s="430" t="s">
        <v>420</v>
      </c>
      <c r="C716" s="434">
        <v>43290</v>
      </c>
      <c r="D716" s="431">
        <v>19207</v>
      </c>
      <c r="E716" s="436">
        <v>249141</v>
      </c>
      <c r="F716" s="444">
        <v>1.3998708164782825E-2</v>
      </c>
      <c r="G716" s="427"/>
    </row>
    <row r="717" spans="2:7" x14ac:dyDescent="0.25">
      <c r="B717" s="430" t="s">
        <v>420</v>
      </c>
      <c r="C717" s="434">
        <v>43291</v>
      </c>
      <c r="D717" s="431">
        <v>19280</v>
      </c>
      <c r="E717" s="436">
        <v>296680</v>
      </c>
      <c r="F717" s="444">
        <v>3.7934932596846507E-3</v>
      </c>
      <c r="G717" s="427"/>
    </row>
    <row r="718" spans="2:7" x14ac:dyDescent="0.25">
      <c r="B718" s="430" t="s">
        <v>420</v>
      </c>
      <c r="C718" s="434">
        <v>43292</v>
      </c>
      <c r="D718" s="431">
        <v>18920</v>
      </c>
      <c r="E718" s="436">
        <v>222792</v>
      </c>
      <c r="F718" s="444">
        <v>-1.8848725558667383E-2</v>
      </c>
      <c r="G718" s="427"/>
    </row>
    <row r="719" spans="2:7" x14ac:dyDescent="0.25">
      <c r="B719" s="430" t="s">
        <v>420</v>
      </c>
      <c r="C719" s="434">
        <v>43293</v>
      </c>
      <c r="D719" s="431">
        <v>18941</v>
      </c>
      <c r="E719" s="436">
        <v>226144</v>
      </c>
      <c r="F719" s="444">
        <v>1.1093210508723165E-3</v>
      </c>
      <c r="G719" s="427"/>
    </row>
    <row r="720" spans="2:7" x14ac:dyDescent="0.25">
      <c r="B720" s="430" t="s">
        <v>420</v>
      </c>
      <c r="C720" s="434">
        <v>43294</v>
      </c>
      <c r="D720" s="431">
        <v>18702</v>
      </c>
      <c r="E720" s="436">
        <v>146969</v>
      </c>
      <c r="F720" s="444">
        <v>-1.2698414661349505E-2</v>
      </c>
      <c r="G720" s="427"/>
    </row>
    <row r="721" spans="2:7" x14ac:dyDescent="0.25">
      <c r="B721" s="430" t="s">
        <v>420</v>
      </c>
      <c r="C721" s="434">
        <v>43297</v>
      </c>
      <c r="D721" s="431">
        <v>18200</v>
      </c>
      <c r="E721" s="436">
        <v>224893</v>
      </c>
      <c r="F721" s="444">
        <v>-2.7208875930505406E-2</v>
      </c>
      <c r="G721" s="427"/>
    </row>
    <row r="722" spans="2:7" x14ac:dyDescent="0.25">
      <c r="B722" s="430" t="s">
        <v>420</v>
      </c>
      <c r="C722" s="434">
        <v>43298</v>
      </c>
      <c r="D722" s="431">
        <v>18510</v>
      </c>
      <c r="E722" s="436">
        <v>224052</v>
      </c>
      <c r="F722" s="444">
        <v>1.6889532502656412E-2</v>
      </c>
      <c r="G722" s="427"/>
    </row>
    <row r="723" spans="2:7" x14ac:dyDescent="0.25">
      <c r="B723" s="430" t="s">
        <v>420</v>
      </c>
      <c r="C723" s="434">
        <v>43299</v>
      </c>
      <c r="D723" s="431">
        <v>18250</v>
      </c>
      <c r="E723" s="436">
        <v>459367</v>
      </c>
      <c r="F723" s="444">
        <v>-1.41460465569056E-2</v>
      </c>
      <c r="G723" s="427"/>
    </row>
    <row r="724" spans="2:7" x14ac:dyDescent="0.25">
      <c r="B724" s="430" t="s">
        <v>420</v>
      </c>
      <c r="C724" s="434">
        <v>43300</v>
      </c>
      <c r="D724" s="431">
        <v>18250</v>
      </c>
      <c r="E724" s="436">
        <v>229997</v>
      </c>
      <c r="F724" s="444">
        <v>0</v>
      </c>
      <c r="G724" s="427"/>
    </row>
    <row r="725" spans="2:7" x14ac:dyDescent="0.25">
      <c r="B725" s="430" t="s">
        <v>420</v>
      </c>
      <c r="C725" s="434">
        <v>43301</v>
      </c>
      <c r="D725" s="431">
        <v>18477</v>
      </c>
      <c r="E725" s="436">
        <v>279787</v>
      </c>
      <c r="F725" s="444">
        <v>1.2361635344515322E-2</v>
      </c>
      <c r="G725" s="427"/>
    </row>
    <row r="726" spans="2:7" x14ac:dyDescent="0.25">
      <c r="B726" s="430" t="s">
        <v>420</v>
      </c>
      <c r="C726" s="434">
        <v>43304</v>
      </c>
      <c r="D726" s="431">
        <v>18369</v>
      </c>
      <c r="E726" s="436">
        <v>196827</v>
      </c>
      <c r="F726" s="444">
        <v>-5.8622542090887297E-3</v>
      </c>
      <c r="G726" s="427"/>
    </row>
    <row r="727" spans="2:7" x14ac:dyDescent="0.25">
      <c r="B727" s="430" t="s">
        <v>420</v>
      </c>
      <c r="C727" s="434">
        <v>43305</v>
      </c>
      <c r="D727" s="431">
        <v>18440</v>
      </c>
      <c r="E727" s="436">
        <v>246097</v>
      </c>
      <c r="F727" s="444">
        <v>3.8577569645206213E-3</v>
      </c>
      <c r="G727" s="427"/>
    </row>
    <row r="728" spans="2:7" x14ac:dyDescent="0.25">
      <c r="B728" s="430" t="s">
        <v>420</v>
      </c>
      <c r="C728" s="434">
        <v>43306</v>
      </c>
      <c r="D728" s="431">
        <v>18360</v>
      </c>
      <c r="E728" s="436">
        <v>228602</v>
      </c>
      <c r="F728" s="444">
        <v>-4.3478329361033982E-3</v>
      </c>
      <c r="G728" s="427"/>
    </row>
    <row r="729" spans="2:7" x14ac:dyDescent="0.25">
      <c r="B729" s="430" t="s">
        <v>420</v>
      </c>
      <c r="C729" s="434">
        <v>43307</v>
      </c>
      <c r="D729" s="431">
        <v>18369</v>
      </c>
      <c r="E729" s="436">
        <v>457986</v>
      </c>
      <c r="F729" s="444">
        <v>4.9007597158271725E-4</v>
      </c>
      <c r="G729" s="427"/>
    </row>
    <row r="730" spans="2:7" x14ac:dyDescent="0.25">
      <c r="B730" s="430" t="s">
        <v>420</v>
      </c>
      <c r="C730" s="434">
        <v>43308</v>
      </c>
      <c r="D730" s="431">
        <v>18522</v>
      </c>
      <c r="E730" s="436">
        <v>305792</v>
      </c>
      <c r="F730" s="444">
        <v>8.2947535841502058E-3</v>
      </c>
      <c r="G730" s="427"/>
    </row>
    <row r="731" spans="2:7" x14ac:dyDescent="0.25">
      <c r="B731" s="430" t="s">
        <v>420</v>
      </c>
      <c r="C731" s="434">
        <v>43311</v>
      </c>
      <c r="D731" s="431">
        <v>18707</v>
      </c>
      <c r="E731" s="436">
        <v>342282</v>
      </c>
      <c r="F731" s="444">
        <v>9.9385706186903185E-3</v>
      </c>
      <c r="G731" s="427"/>
    </row>
    <row r="732" spans="2:7" x14ac:dyDescent="0.25">
      <c r="B732" s="430" t="s">
        <v>420</v>
      </c>
      <c r="C732" s="434">
        <v>43312</v>
      </c>
      <c r="D732" s="431">
        <v>19158</v>
      </c>
      <c r="E732" s="436">
        <v>612489</v>
      </c>
      <c r="F732" s="444">
        <v>2.3822597593932491E-2</v>
      </c>
      <c r="G732" s="427"/>
    </row>
    <row r="733" spans="2:7" x14ac:dyDescent="0.25">
      <c r="B733" s="430" t="s">
        <v>420</v>
      </c>
      <c r="C733" s="434">
        <v>43313</v>
      </c>
      <c r="D733" s="431">
        <v>19366</v>
      </c>
      <c r="E733" s="436">
        <v>626403</v>
      </c>
      <c r="F733" s="444">
        <v>1.0798568228639479E-2</v>
      </c>
      <c r="G733" s="427"/>
    </row>
    <row r="734" spans="2:7" x14ac:dyDescent="0.25">
      <c r="B734" s="430" t="s">
        <v>420</v>
      </c>
      <c r="C734" s="434">
        <v>43314</v>
      </c>
      <c r="D734" s="431">
        <v>19150</v>
      </c>
      <c r="E734" s="436">
        <v>548700</v>
      </c>
      <c r="F734" s="444">
        <v>-1.1216235562684357E-2</v>
      </c>
      <c r="G734" s="427"/>
    </row>
    <row r="735" spans="2:7" x14ac:dyDescent="0.25">
      <c r="B735" s="430" t="s">
        <v>420</v>
      </c>
      <c r="C735" s="434">
        <v>43315</v>
      </c>
      <c r="D735" s="431">
        <v>19226</v>
      </c>
      <c r="E735" s="436">
        <v>392395</v>
      </c>
      <c r="F735" s="444">
        <v>3.960814016969523E-3</v>
      </c>
      <c r="G735" s="427"/>
    </row>
    <row r="736" spans="2:7" x14ac:dyDescent="0.25">
      <c r="B736" s="430" t="s">
        <v>420</v>
      </c>
      <c r="C736" s="434">
        <v>43318</v>
      </c>
      <c r="D736" s="431">
        <v>19401</v>
      </c>
      <c r="E736" s="436">
        <v>1065414</v>
      </c>
      <c r="F736" s="444">
        <v>9.0610814889409402E-3</v>
      </c>
      <c r="G736" s="427"/>
    </row>
    <row r="737" spans="2:7" x14ac:dyDescent="0.25">
      <c r="B737" s="430" t="s">
        <v>420</v>
      </c>
      <c r="C737" s="434">
        <v>43319</v>
      </c>
      <c r="D737" s="431">
        <v>19661</v>
      </c>
      <c r="E737" s="436">
        <v>392403</v>
      </c>
      <c r="F737" s="444">
        <v>1.3312366992788262E-2</v>
      </c>
      <c r="G737" s="427"/>
    </row>
    <row r="738" spans="2:7" x14ac:dyDescent="0.25">
      <c r="B738" s="430" t="s">
        <v>420</v>
      </c>
      <c r="C738" s="434">
        <v>43320</v>
      </c>
      <c r="D738" s="431">
        <v>19738</v>
      </c>
      <c r="E738" s="436">
        <v>309394</v>
      </c>
      <c r="F738" s="444">
        <v>3.9087336244615694E-3</v>
      </c>
      <c r="G738" s="427"/>
    </row>
    <row r="739" spans="2:7" x14ac:dyDescent="0.25">
      <c r="B739" s="430" t="s">
        <v>420</v>
      </c>
      <c r="C739" s="434">
        <v>43322</v>
      </c>
      <c r="D739" s="431">
        <v>19467</v>
      </c>
      <c r="E739" s="436">
        <v>342861</v>
      </c>
      <c r="F739" s="444">
        <v>-1.3824987442674328E-2</v>
      </c>
      <c r="G739" s="427"/>
    </row>
    <row r="740" spans="2:7" x14ac:dyDescent="0.25">
      <c r="B740" s="430" t="s">
        <v>420</v>
      </c>
      <c r="C740" s="434">
        <v>43325</v>
      </c>
      <c r="D740" s="431">
        <v>19300</v>
      </c>
      <c r="E740" s="436">
        <v>610758</v>
      </c>
      <c r="F740" s="444">
        <v>-8.6156283963012802E-3</v>
      </c>
      <c r="G740" s="427"/>
    </row>
    <row r="741" spans="2:7" x14ac:dyDescent="0.25">
      <c r="B741" s="430" t="s">
        <v>420</v>
      </c>
      <c r="C741" s="434">
        <v>43326</v>
      </c>
      <c r="D741" s="431">
        <v>19225</v>
      </c>
      <c r="E741" s="436">
        <v>346699</v>
      </c>
      <c r="F741" s="444">
        <v>-3.8935805191322101E-3</v>
      </c>
      <c r="G741" s="427"/>
    </row>
    <row r="742" spans="2:7" x14ac:dyDescent="0.25">
      <c r="B742" s="430" t="s">
        <v>420</v>
      </c>
      <c r="C742" s="434">
        <v>43327</v>
      </c>
      <c r="D742" s="431">
        <v>18802</v>
      </c>
      <c r="E742" s="436">
        <v>529800</v>
      </c>
      <c r="F742" s="444">
        <v>-2.2248268235348548E-2</v>
      </c>
      <c r="G742" s="427"/>
    </row>
    <row r="743" spans="2:7" x14ac:dyDescent="0.25">
      <c r="B743" s="430" t="s">
        <v>420</v>
      </c>
      <c r="C743" s="434">
        <v>43328</v>
      </c>
      <c r="D743" s="431">
        <v>19018</v>
      </c>
      <c r="E743" s="436">
        <v>757274</v>
      </c>
      <c r="F743" s="444">
        <v>1.1422651960893404E-2</v>
      </c>
      <c r="G743" s="427"/>
    </row>
    <row r="744" spans="2:7" x14ac:dyDescent="0.25">
      <c r="B744" s="430" t="s">
        <v>420</v>
      </c>
      <c r="C744" s="434">
        <v>43329</v>
      </c>
      <c r="D744" s="431">
        <v>18869</v>
      </c>
      <c r="E744" s="436">
        <v>383509</v>
      </c>
      <c r="F744" s="444">
        <v>-7.8655353116755707E-3</v>
      </c>
      <c r="G744" s="427"/>
    </row>
    <row r="745" spans="2:7" x14ac:dyDescent="0.25">
      <c r="B745" s="430" t="s">
        <v>420</v>
      </c>
      <c r="C745" s="434">
        <v>43332</v>
      </c>
      <c r="D745" s="431">
        <v>18913</v>
      </c>
      <c r="E745" s="436">
        <v>395529</v>
      </c>
      <c r="F745" s="444">
        <v>2.3291525007402801E-3</v>
      </c>
      <c r="G745" s="427"/>
    </row>
    <row r="746" spans="2:7" x14ac:dyDescent="0.25">
      <c r="B746" s="430" t="s">
        <v>420</v>
      </c>
      <c r="C746" s="434">
        <v>43333</v>
      </c>
      <c r="D746" s="431">
        <v>19018</v>
      </c>
      <c r="E746" s="436">
        <v>677919</v>
      </c>
      <c r="F746" s="444">
        <v>5.5363828109352402E-3</v>
      </c>
      <c r="G746" s="427"/>
    </row>
    <row r="747" spans="2:7" x14ac:dyDescent="0.25">
      <c r="B747" s="430" t="s">
        <v>420</v>
      </c>
      <c r="C747" s="434">
        <v>43334</v>
      </c>
      <c r="D747" s="431">
        <v>19526</v>
      </c>
      <c r="E747" s="436">
        <v>730428</v>
      </c>
      <c r="F747" s="444">
        <v>2.6361011686227138E-2</v>
      </c>
      <c r="G747" s="427"/>
    </row>
    <row r="748" spans="2:7" x14ac:dyDescent="0.25">
      <c r="B748" s="430" t="s">
        <v>420</v>
      </c>
      <c r="C748" s="434">
        <v>43335</v>
      </c>
      <c r="D748" s="431">
        <v>19740</v>
      </c>
      <c r="E748" s="436">
        <v>471971</v>
      </c>
      <c r="F748" s="444">
        <v>1.090012320185571E-2</v>
      </c>
      <c r="G748" s="427"/>
    </row>
    <row r="749" spans="2:7" x14ac:dyDescent="0.25">
      <c r="B749" s="430" t="s">
        <v>420</v>
      </c>
      <c r="C749" s="434">
        <v>43336</v>
      </c>
      <c r="D749" s="431">
        <v>19790</v>
      </c>
      <c r="E749" s="436">
        <v>344779</v>
      </c>
      <c r="F749" s="444">
        <v>2.5297256091388301E-3</v>
      </c>
      <c r="G749" s="427"/>
    </row>
    <row r="750" spans="2:7" x14ac:dyDescent="0.25">
      <c r="B750" s="430" t="s">
        <v>420</v>
      </c>
      <c r="C750" s="434">
        <v>43339</v>
      </c>
      <c r="D750" s="431">
        <v>20472</v>
      </c>
      <c r="E750" s="436">
        <v>510657</v>
      </c>
      <c r="F750" s="444">
        <v>3.38813392430133E-2</v>
      </c>
      <c r="G750" s="427"/>
    </row>
    <row r="751" spans="2:7" x14ac:dyDescent="0.25">
      <c r="B751" s="430" t="s">
        <v>420</v>
      </c>
      <c r="C751" s="434">
        <v>43340</v>
      </c>
      <c r="D751" s="431">
        <v>20800</v>
      </c>
      <c r="E751" s="436">
        <v>701694</v>
      </c>
      <c r="F751" s="444">
        <v>1.5894887849784628E-2</v>
      </c>
      <c r="G751" s="427"/>
    </row>
    <row r="752" spans="2:7" x14ac:dyDescent="0.25">
      <c r="B752" s="430" t="s">
        <v>420</v>
      </c>
      <c r="C752" s="434">
        <v>43341</v>
      </c>
      <c r="D752" s="431">
        <v>20700</v>
      </c>
      <c r="E752" s="436">
        <v>800464</v>
      </c>
      <c r="F752" s="444">
        <v>-4.8192864359488828E-3</v>
      </c>
      <c r="G752" s="427"/>
    </row>
    <row r="753" spans="2:7" x14ac:dyDescent="0.25">
      <c r="B753" s="430" t="s">
        <v>420</v>
      </c>
      <c r="C753" s="434">
        <v>43342</v>
      </c>
      <c r="D753" s="431">
        <v>20300</v>
      </c>
      <c r="E753" s="436">
        <v>447719</v>
      </c>
      <c r="F753" s="444">
        <v>-1.9512814223581715E-2</v>
      </c>
      <c r="G753" s="427"/>
    </row>
    <row r="754" spans="2:7" x14ac:dyDescent="0.25">
      <c r="B754" s="430" t="s">
        <v>420</v>
      </c>
      <c r="C754" s="434">
        <v>43343</v>
      </c>
      <c r="D754" s="431">
        <v>20500</v>
      </c>
      <c r="E754" s="436">
        <v>775064</v>
      </c>
      <c r="F754" s="444">
        <v>9.8040000966208348E-3</v>
      </c>
      <c r="G754" s="427"/>
    </row>
    <row r="755" spans="2:7" x14ac:dyDescent="0.25">
      <c r="B755" s="430" t="s">
        <v>420</v>
      </c>
      <c r="C755" s="434">
        <v>43346</v>
      </c>
      <c r="D755" s="431">
        <v>20393</v>
      </c>
      <c r="E755" s="436">
        <v>349678</v>
      </c>
      <c r="F755" s="444">
        <v>-5.2331814341524275E-3</v>
      </c>
      <c r="G755" s="427"/>
    </row>
    <row r="756" spans="2:7" x14ac:dyDescent="0.25">
      <c r="B756" s="430" t="s">
        <v>420</v>
      </c>
      <c r="C756" s="434">
        <v>43347</v>
      </c>
      <c r="D756" s="431">
        <v>19888</v>
      </c>
      <c r="E756" s="436">
        <v>681809</v>
      </c>
      <c r="F756" s="444">
        <v>-2.5075169941854776E-2</v>
      </c>
      <c r="G756" s="427"/>
    </row>
    <row r="757" spans="2:7" x14ac:dyDescent="0.25">
      <c r="B757" s="430" t="s">
        <v>420</v>
      </c>
      <c r="C757" s="434">
        <v>43348</v>
      </c>
      <c r="D757" s="431">
        <v>19500</v>
      </c>
      <c r="E757" s="436">
        <v>693910</v>
      </c>
      <c r="F757" s="444">
        <v>-1.9702069198654155E-2</v>
      </c>
      <c r="G757" s="427"/>
    </row>
    <row r="758" spans="2:7" x14ac:dyDescent="0.25">
      <c r="B758" s="430" t="s">
        <v>420</v>
      </c>
      <c r="C758" s="434">
        <v>43349</v>
      </c>
      <c r="D758" s="431">
        <v>19841</v>
      </c>
      <c r="E758" s="436">
        <v>340945</v>
      </c>
      <c r="F758" s="444">
        <v>1.7336038242632267E-2</v>
      </c>
      <c r="G758" s="427"/>
    </row>
    <row r="759" spans="2:7" x14ac:dyDescent="0.25">
      <c r="B759" s="430" t="s">
        <v>420</v>
      </c>
      <c r="C759" s="434">
        <v>43350</v>
      </c>
      <c r="D759" s="431">
        <v>19788</v>
      </c>
      <c r="E759" s="436">
        <v>476923</v>
      </c>
      <c r="F759" s="444">
        <v>-2.6748104468711019E-3</v>
      </c>
      <c r="G759" s="427"/>
    </row>
    <row r="760" spans="2:7" x14ac:dyDescent="0.25">
      <c r="B760" s="430" t="s">
        <v>420</v>
      </c>
      <c r="C760" s="434">
        <v>43353</v>
      </c>
      <c r="D760" s="431">
        <v>19541</v>
      </c>
      <c r="E760" s="436">
        <v>313407</v>
      </c>
      <c r="F760" s="444">
        <v>-1.2560870987655697E-2</v>
      </c>
      <c r="G760" s="427"/>
    </row>
    <row r="761" spans="2:7" x14ac:dyDescent="0.25">
      <c r="B761" s="430" t="s">
        <v>420</v>
      </c>
      <c r="C761" s="434">
        <v>43354</v>
      </c>
      <c r="D761" s="431">
        <v>19236</v>
      </c>
      <c r="E761" s="436">
        <v>564246</v>
      </c>
      <c r="F761" s="444">
        <v>-1.5731298962390221E-2</v>
      </c>
      <c r="G761" s="427"/>
    </row>
    <row r="762" spans="2:7" x14ac:dyDescent="0.25">
      <c r="B762" s="430" t="s">
        <v>420</v>
      </c>
      <c r="C762" s="434">
        <v>43355</v>
      </c>
      <c r="D762" s="431">
        <v>18977</v>
      </c>
      <c r="E762" s="436">
        <v>934689</v>
      </c>
      <c r="F762" s="444">
        <v>-1.3555803843574419E-2</v>
      </c>
      <c r="G762" s="427"/>
    </row>
    <row r="763" spans="2:7" x14ac:dyDescent="0.25">
      <c r="B763" s="430" t="s">
        <v>420</v>
      </c>
      <c r="C763" s="434">
        <v>43356</v>
      </c>
      <c r="D763" s="431">
        <v>19341</v>
      </c>
      <c r="E763" s="436">
        <v>1765011</v>
      </c>
      <c r="F763" s="444">
        <v>1.8999475424750906E-2</v>
      </c>
      <c r="G763" s="427"/>
    </row>
    <row r="764" spans="2:7" x14ac:dyDescent="0.25">
      <c r="B764" s="430" t="s">
        <v>420</v>
      </c>
      <c r="C764" s="434">
        <v>43357</v>
      </c>
      <c r="D764" s="431">
        <v>19330</v>
      </c>
      <c r="E764" s="436">
        <v>312922</v>
      </c>
      <c r="F764" s="444">
        <v>-5.6890177635329211E-4</v>
      </c>
      <c r="G764" s="427"/>
    </row>
    <row r="765" spans="2:7" x14ac:dyDescent="0.25">
      <c r="B765" s="430" t="s">
        <v>420</v>
      </c>
      <c r="C765" s="434">
        <v>43360</v>
      </c>
      <c r="D765" s="431">
        <v>18754</v>
      </c>
      <c r="E765" s="436">
        <v>440164</v>
      </c>
      <c r="F765" s="444">
        <v>-3.0251230222806066E-2</v>
      </c>
      <c r="G765" s="427"/>
    </row>
    <row r="766" spans="2:7" x14ac:dyDescent="0.25">
      <c r="B766" s="430" t="s">
        <v>420</v>
      </c>
      <c r="C766" s="434">
        <v>43361</v>
      </c>
      <c r="D766" s="431">
        <v>19189</v>
      </c>
      <c r="E766" s="436">
        <v>555020</v>
      </c>
      <c r="F766" s="444">
        <v>2.2930135190171813E-2</v>
      </c>
      <c r="G766" s="427"/>
    </row>
    <row r="767" spans="2:7" x14ac:dyDescent="0.25">
      <c r="B767" s="430" t="s">
        <v>420</v>
      </c>
      <c r="C767" s="434">
        <v>43362</v>
      </c>
      <c r="D767" s="431">
        <v>19064</v>
      </c>
      <c r="E767" s="436">
        <v>455824</v>
      </c>
      <c r="F767" s="444">
        <v>-6.5354583911643041E-3</v>
      </c>
      <c r="G767" s="427"/>
    </row>
    <row r="768" spans="2:7" x14ac:dyDescent="0.25">
      <c r="B768" s="430" t="s">
        <v>420</v>
      </c>
      <c r="C768" s="434">
        <v>43363</v>
      </c>
      <c r="D768" s="431">
        <v>18856</v>
      </c>
      <c r="E768" s="436">
        <v>2046491</v>
      </c>
      <c r="F768" s="444">
        <v>-1.0970574162611012E-2</v>
      </c>
      <c r="G768" s="427"/>
    </row>
    <row r="769" spans="2:7" x14ac:dyDescent="0.25">
      <c r="B769" s="430" t="s">
        <v>420</v>
      </c>
      <c r="C769" s="434">
        <v>43364</v>
      </c>
      <c r="D769" s="431">
        <v>18819</v>
      </c>
      <c r="E769" s="436">
        <v>963627</v>
      </c>
      <c r="F769" s="444">
        <v>-1.9641678511141268E-3</v>
      </c>
      <c r="G769" s="427"/>
    </row>
    <row r="770" spans="2:7" x14ac:dyDescent="0.25">
      <c r="B770" s="430" t="s">
        <v>420</v>
      </c>
      <c r="C770" s="434">
        <v>43368</v>
      </c>
      <c r="D770" s="431">
        <v>18776</v>
      </c>
      <c r="E770" s="436">
        <v>635963</v>
      </c>
      <c r="F770" s="444">
        <v>-2.2875392339934985E-3</v>
      </c>
      <c r="G770" s="427"/>
    </row>
    <row r="771" spans="2:7" x14ac:dyDescent="0.25">
      <c r="B771" s="430" t="s">
        <v>420</v>
      </c>
      <c r="C771" s="434">
        <v>43369</v>
      </c>
      <c r="D771" s="431">
        <v>18800</v>
      </c>
      <c r="E771" s="436">
        <v>580616</v>
      </c>
      <c r="F771" s="444">
        <v>1.2774112871811244E-3</v>
      </c>
      <c r="G771" s="427"/>
    </row>
    <row r="772" spans="2:7" x14ac:dyDescent="0.25">
      <c r="B772" s="430" t="s">
        <v>420</v>
      </c>
      <c r="C772" s="434">
        <v>43370</v>
      </c>
      <c r="D772" s="431">
        <v>18617</v>
      </c>
      <c r="E772" s="436">
        <v>640504</v>
      </c>
      <c r="F772" s="444">
        <v>-9.7817280461435438E-3</v>
      </c>
      <c r="G772" s="427"/>
    </row>
    <row r="773" spans="2:7" x14ac:dyDescent="0.25">
      <c r="B773" s="430" t="s">
        <v>420</v>
      </c>
      <c r="C773" s="434">
        <v>43371</v>
      </c>
      <c r="D773" s="431">
        <v>18413</v>
      </c>
      <c r="E773" s="436">
        <v>651738</v>
      </c>
      <c r="F773" s="444">
        <v>-1.1018204904676924E-2</v>
      </c>
      <c r="G773" s="427"/>
    </row>
    <row r="774" spans="2:7" x14ac:dyDescent="0.25">
      <c r="B774" s="430" t="s">
        <v>420</v>
      </c>
      <c r="C774" s="434">
        <v>43374</v>
      </c>
      <c r="D774" s="431">
        <v>18132</v>
      </c>
      <c r="E774" s="436">
        <v>483488</v>
      </c>
      <c r="F774" s="444">
        <v>-1.5378603806480226E-2</v>
      </c>
      <c r="G774" s="427"/>
    </row>
    <row r="775" spans="2:7" x14ac:dyDescent="0.25">
      <c r="B775" s="430" t="s">
        <v>420</v>
      </c>
      <c r="C775" s="434">
        <v>43375</v>
      </c>
      <c r="D775" s="431">
        <v>17950</v>
      </c>
      <c r="E775" s="436">
        <v>620771</v>
      </c>
      <c r="F775" s="444">
        <v>-1.0088218144314905E-2</v>
      </c>
      <c r="G775" s="427"/>
    </row>
    <row r="776" spans="2:7" x14ac:dyDescent="0.25">
      <c r="B776" s="430" t="s">
        <v>420</v>
      </c>
      <c r="C776" s="434">
        <v>43376</v>
      </c>
      <c r="D776" s="431">
        <v>17929</v>
      </c>
      <c r="E776" s="436">
        <v>490840</v>
      </c>
      <c r="F776" s="444">
        <v>-1.1706013209976372E-3</v>
      </c>
      <c r="G776" s="427"/>
    </row>
    <row r="777" spans="2:7" x14ac:dyDescent="0.25">
      <c r="B777" s="430" t="s">
        <v>420</v>
      </c>
      <c r="C777" s="434">
        <v>43377</v>
      </c>
      <c r="D777" s="431">
        <v>17428</v>
      </c>
      <c r="E777" s="436">
        <v>704991</v>
      </c>
      <c r="F777" s="444">
        <v>-2.8341405358094558E-2</v>
      </c>
      <c r="G777" s="427"/>
    </row>
    <row r="778" spans="2:7" x14ac:dyDescent="0.25">
      <c r="B778" s="430" t="s">
        <v>420</v>
      </c>
      <c r="C778" s="434">
        <v>43378</v>
      </c>
      <c r="D778" s="431">
        <v>17380</v>
      </c>
      <c r="E778" s="436">
        <v>622759</v>
      </c>
      <c r="F778" s="444">
        <v>-2.7579884179496994E-3</v>
      </c>
      <c r="G778" s="427"/>
    </row>
    <row r="779" spans="2:7" x14ac:dyDescent="0.25">
      <c r="B779" s="430" t="s">
        <v>420</v>
      </c>
      <c r="C779" s="434">
        <v>43381</v>
      </c>
      <c r="D779" s="431">
        <v>17264</v>
      </c>
      <c r="E779" s="436">
        <v>632273</v>
      </c>
      <c r="F779" s="444">
        <v>-6.69671132146713E-3</v>
      </c>
      <c r="G779" s="427"/>
    </row>
    <row r="780" spans="2:7" x14ac:dyDescent="0.25">
      <c r="B780" s="430" t="s">
        <v>420</v>
      </c>
      <c r="C780" s="434">
        <v>43382</v>
      </c>
      <c r="D780" s="431">
        <v>17411</v>
      </c>
      <c r="E780" s="436">
        <v>380303</v>
      </c>
      <c r="F780" s="444">
        <v>8.4787818686825472E-3</v>
      </c>
      <c r="G780" s="427"/>
    </row>
    <row r="781" spans="2:7" x14ac:dyDescent="0.25">
      <c r="B781" s="430" t="s">
        <v>420</v>
      </c>
      <c r="C781" s="434">
        <v>43383</v>
      </c>
      <c r="D781" s="431">
        <v>17179</v>
      </c>
      <c r="E781" s="436">
        <v>596988</v>
      </c>
      <c r="F781" s="444">
        <v>-1.3414482740152949E-2</v>
      </c>
      <c r="G781" s="427"/>
    </row>
    <row r="782" spans="2:7" x14ac:dyDescent="0.25">
      <c r="B782" s="430" t="s">
        <v>420</v>
      </c>
      <c r="C782" s="434">
        <v>43384</v>
      </c>
      <c r="D782" s="431">
        <v>16800</v>
      </c>
      <c r="E782" s="436">
        <v>893189</v>
      </c>
      <c r="F782" s="444">
        <v>-2.2308821235095248E-2</v>
      </c>
      <c r="G782" s="427"/>
    </row>
    <row r="783" spans="2:7" x14ac:dyDescent="0.25">
      <c r="B783" s="430" t="s">
        <v>420</v>
      </c>
      <c r="C783" s="434">
        <v>43385</v>
      </c>
      <c r="D783" s="431">
        <v>17142</v>
      </c>
      <c r="E783" s="436">
        <v>942004</v>
      </c>
      <c r="F783" s="444">
        <v>2.0152706067477884E-2</v>
      </c>
      <c r="G783" s="427"/>
    </row>
    <row r="784" spans="2:7" x14ac:dyDescent="0.25">
      <c r="B784" s="430" t="s">
        <v>420</v>
      </c>
      <c r="C784" s="434">
        <v>43388</v>
      </c>
      <c r="D784" s="431">
        <v>16970</v>
      </c>
      <c r="E784" s="436">
        <v>623077</v>
      </c>
      <c r="F784" s="444">
        <v>-1.0084513230556078E-2</v>
      </c>
      <c r="G784" s="427"/>
    </row>
    <row r="785" spans="2:7" x14ac:dyDescent="0.25">
      <c r="B785" s="430" t="s">
        <v>420</v>
      </c>
      <c r="C785" s="434">
        <v>43389</v>
      </c>
      <c r="D785" s="431">
        <v>17490</v>
      </c>
      <c r="E785" s="436">
        <v>847670</v>
      </c>
      <c r="F785" s="444">
        <v>3.0182209784375743E-2</v>
      </c>
      <c r="G785" s="427"/>
    </row>
    <row r="786" spans="2:7" x14ac:dyDescent="0.25">
      <c r="B786" s="430" t="s">
        <v>420</v>
      </c>
      <c r="C786" s="434">
        <v>43390</v>
      </c>
      <c r="D786" s="431">
        <v>17257</v>
      </c>
      <c r="E786" s="436">
        <v>592968</v>
      </c>
      <c r="F786" s="444">
        <v>-1.3411430765068812E-2</v>
      </c>
      <c r="G786" s="427"/>
    </row>
    <row r="787" spans="2:7" x14ac:dyDescent="0.25">
      <c r="B787" s="430" t="s">
        <v>420</v>
      </c>
      <c r="C787" s="434">
        <v>43391</v>
      </c>
      <c r="D787" s="431">
        <v>17689</v>
      </c>
      <c r="E787" s="436">
        <v>634469</v>
      </c>
      <c r="F787" s="444">
        <v>2.472511919592861E-2</v>
      </c>
      <c r="G787" s="427"/>
    </row>
    <row r="788" spans="2:7" x14ac:dyDescent="0.25">
      <c r="B788" s="430" t="s">
        <v>420</v>
      </c>
      <c r="C788" s="434">
        <v>43392</v>
      </c>
      <c r="D788" s="431">
        <v>17307</v>
      </c>
      <c r="E788" s="436">
        <v>891580</v>
      </c>
      <c r="F788" s="444">
        <v>-2.183193351850846E-2</v>
      </c>
      <c r="G788" s="427"/>
    </row>
    <row r="789" spans="2:7" x14ac:dyDescent="0.25">
      <c r="B789" s="430" t="s">
        <v>420</v>
      </c>
      <c r="C789" s="434">
        <v>43395</v>
      </c>
      <c r="D789" s="431">
        <v>17210</v>
      </c>
      <c r="E789" s="436">
        <v>436617</v>
      </c>
      <c r="F789" s="444">
        <v>-5.6204337194140103E-3</v>
      </c>
      <c r="G789" s="427"/>
    </row>
    <row r="790" spans="2:7" x14ac:dyDescent="0.25">
      <c r="B790" s="430" t="s">
        <v>420</v>
      </c>
      <c r="C790" s="434">
        <v>43396</v>
      </c>
      <c r="D790" s="431">
        <v>17009</v>
      </c>
      <c r="E790" s="436">
        <v>759104</v>
      </c>
      <c r="F790" s="444">
        <v>-1.1747994491493358E-2</v>
      </c>
      <c r="G790" s="427"/>
    </row>
    <row r="791" spans="2:7" x14ac:dyDescent="0.25">
      <c r="B791" s="430" t="s">
        <v>420</v>
      </c>
      <c r="C791" s="434">
        <v>43397</v>
      </c>
      <c r="D791" s="431">
        <v>17200</v>
      </c>
      <c r="E791" s="436">
        <v>669306</v>
      </c>
      <c r="F791" s="444">
        <v>1.1166768087452721E-2</v>
      </c>
      <c r="G791" s="427"/>
    </row>
    <row r="792" spans="2:7" x14ac:dyDescent="0.25">
      <c r="B792" s="430" t="s">
        <v>420</v>
      </c>
      <c r="C792" s="434">
        <v>43398</v>
      </c>
      <c r="D792" s="431">
        <v>17492</v>
      </c>
      <c r="E792" s="436">
        <v>615826</v>
      </c>
      <c r="F792" s="444">
        <v>1.6834249731266737E-2</v>
      </c>
      <c r="G792" s="427"/>
    </row>
    <row r="793" spans="2:7" x14ac:dyDescent="0.25">
      <c r="B793" s="430" t="s">
        <v>420</v>
      </c>
      <c r="C793" s="434">
        <v>43399</v>
      </c>
      <c r="D793" s="431">
        <v>17136</v>
      </c>
      <c r="E793" s="436">
        <v>642259</v>
      </c>
      <c r="F793" s="444">
        <v>-2.056211984528121E-2</v>
      </c>
      <c r="G793" s="427"/>
    </row>
    <row r="794" spans="2:7" x14ac:dyDescent="0.25">
      <c r="B794" s="430" t="s">
        <v>420</v>
      </c>
      <c r="C794" s="434">
        <v>43402</v>
      </c>
      <c r="D794" s="431">
        <v>17124</v>
      </c>
      <c r="E794" s="436">
        <v>563871</v>
      </c>
      <c r="F794" s="444">
        <v>-7.0052542269327623E-4</v>
      </c>
      <c r="G794" s="427"/>
    </row>
    <row r="795" spans="2:7" x14ac:dyDescent="0.25">
      <c r="B795" s="430" t="s">
        <v>420</v>
      </c>
      <c r="C795" s="434">
        <v>43403</v>
      </c>
      <c r="D795" s="431">
        <v>17247</v>
      </c>
      <c r="E795" s="436">
        <v>375361</v>
      </c>
      <c r="F795" s="444">
        <v>7.1572270265639207E-3</v>
      </c>
      <c r="G795" s="427"/>
    </row>
    <row r="796" spans="2:7" x14ac:dyDescent="0.25">
      <c r="B796" s="430" t="s">
        <v>420</v>
      </c>
      <c r="C796" s="434">
        <v>43404</v>
      </c>
      <c r="D796" s="431">
        <v>17583</v>
      </c>
      <c r="E796" s="436">
        <v>1143092</v>
      </c>
      <c r="F796" s="444">
        <v>1.9294310853138246E-2</v>
      </c>
      <c r="G796" s="427"/>
    </row>
    <row r="797" spans="2:7" x14ac:dyDescent="0.25">
      <c r="B797" s="430" t="s">
        <v>420</v>
      </c>
      <c r="C797" s="434">
        <v>43405</v>
      </c>
      <c r="D797" s="431">
        <v>17831</v>
      </c>
      <c r="E797" s="436">
        <v>658015</v>
      </c>
      <c r="F797" s="444">
        <v>1.4005989389507773E-2</v>
      </c>
      <c r="G797" s="427"/>
    </row>
    <row r="798" spans="2:7" x14ac:dyDescent="0.25">
      <c r="B798" s="430" t="s">
        <v>420</v>
      </c>
      <c r="C798" s="434">
        <v>43406</v>
      </c>
      <c r="D798" s="431">
        <v>17762</v>
      </c>
      <c r="E798" s="436">
        <v>940141</v>
      </c>
      <c r="F798" s="444">
        <v>-3.8771717155972074E-3</v>
      </c>
      <c r="G798" s="427"/>
    </row>
    <row r="799" spans="2:7" x14ac:dyDescent="0.25">
      <c r="B799" s="430" t="s">
        <v>420</v>
      </c>
      <c r="C799" s="434">
        <v>43409</v>
      </c>
      <c r="D799" s="431">
        <v>18369</v>
      </c>
      <c r="E799" s="436">
        <v>604393</v>
      </c>
      <c r="F799" s="444">
        <v>3.3603117327614757E-2</v>
      </c>
      <c r="G799" s="427"/>
    </row>
    <row r="800" spans="2:7" x14ac:dyDescent="0.25">
      <c r="B800" s="430" t="s">
        <v>420</v>
      </c>
      <c r="C800" s="434">
        <v>43410</v>
      </c>
      <c r="D800" s="431">
        <v>18250</v>
      </c>
      <c r="E800" s="436">
        <v>756260</v>
      </c>
      <c r="F800" s="444">
        <v>-6.4993811354266667E-3</v>
      </c>
      <c r="G800" s="427"/>
    </row>
    <row r="801" spans="2:7" x14ac:dyDescent="0.25">
      <c r="B801" s="430" t="s">
        <v>420</v>
      </c>
      <c r="C801" s="434">
        <v>43411</v>
      </c>
      <c r="D801" s="431">
        <v>18917</v>
      </c>
      <c r="E801" s="436">
        <v>620818</v>
      </c>
      <c r="F801" s="444">
        <v>3.5895908655025836E-2</v>
      </c>
      <c r="G801" s="427"/>
    </row>
    <row r="802" spans="2:7" x14ac:dyDescent="0.25">
      <c r="B802" s="430" t="s">
        <v>420</v>
      </c>
      <c r="C802" s="434">
        <v>43412</v>
      </c>
      <c r="D802" s="431">
        <v>18421</v>
      </c>
      <c r="E802" s="436">
        <v>1222392</v>
      </c>
      <c r="F802" s="444">
        <v>-2.6569670513446143E-2</v>
      </c>
      <c r="G802" s="427"/>
    </row>
    <row r="803" spans="2:7" x14ac:dyDescent="0.25">
      <c r="B803" s="430" t="s">
        <v>420</v>
      </c>
      <c r="C803" s="434">
        <v>43413</v>
      </c>
      <c r="D803" s="431">
        <v>18389</v>
      </c>
      <c r="E803" s="436">
        <v>620404</v>
      </c>
      <c r="F803" s="444">
        <v>-1.7386584113639931E-3</v>
      </c>
      <c r="G803" s="427"/>
    </row>
    <row r="804" spans="2:7" x14ac:dyDescent="0.25">
      <c r="B804" s="430" t="s">
        <v>420</v>
      </c>
      <c r="C804" s="434">
        <v>43416</v>
      </c>
      <c r="D804" s="431">
        <v>17755</v>
      </c>
      <c r="E804" s="436">
        <v>503319</v>
      </c>
      <c r="F804" s="444">
        <v>-3.5085493363664927E-2</v>
      </c>
      <c r="G804" s="427"/>
    </row>
    <row r="805" spans="2:7" x14ac:dyDescent="0.25">
      <c r="B805" s="430" t="s">
        <v>420</v>
      </c>
      <c r="C805" s="434">
        <v>43417</v>
      </c>
      <c r="D805" s="431">
        <v>17520</v>
      </c>
      <c r="E805" s="436">
        <v>669197</v>
      </c>
      <c r="F805" s="444">
        <v>-1.3324080886805787E-2</v>
      </c>
      <c r="G805" s="427"/>
    </row>
    <row r="806" spans="2:7" x14ac:dyDescent="0.25">
      <c r="B806" s="430" t="s">
        <v>420</v>
      </c>
      <c r="C806" s="434">
        <v>43418</v>
      </c>
      <c r="D806" s="431">
        <v>17733</v>
      </c>
      <c r="E806" s="436">
        <v>986201</v>
      </c>
      <c r="F806" s="444">
        <v>1.2084225002096801E-2</v>
      </c>
      <c r="G806" s="427"/>
    </row>
    <row r="807" spans="2:7" x14ac:dyDescent="0.25">
      <c r="B807" s="430" t="s">
        <v>420</v>
      </c>
      <c r="C807" s="434">
        <v>43419</v>
      </c>
      <c r="D807" s="431">
        <v>18200</v>
      </c>
      <c r="E807" s="436">
        <v>4473950</v>
      </c>
      <c r="F807" s="444">
        <v>2.5994283572407646E-2</v>
      </c>
      <c r="G807" s="427"/>
    </row>
    <row r="808" spans="2:7" x14ac:dyDescent="0.25">
      <c r="B808" s="430" t="s">
        <v>420</v>
      </c>
      <c r="C808" s="434">
        <v>43420</v>
      </c>
      <c r="D808" s="431">
        <v>18000</v>
      </c>
      <c r="E808" s="436">
        <v>2745665</v>
      </c>
      <c r="F808" s="444">
        <v>-1.1049836186584935E-2</v>
      </c>
      <c r="G808" s="427"/>
    </row>
    <row r="809" spans="2:7" x14ac:dyDescent="0.25">
      <c r="B809" s="430" t="s">
        <v>420</v>
      </c>
      <c r="C809" s="434">
        <v>43423</v>
      </c>
      <c r="D809" s="431">
        <v>17900</v>
      </c>
      <c r="E809" s="436">
        <v>1883074</v>
      </c>
      <c r="F809" s="444">
        <v>-5.5710450494553601E-3</v>
      </c>
      <c r="G809" s="427"/>
    </row>
    <row r="810" spans="2:7" x14ac:dyDescent="0.25">
      <c r="B810" s="430" t="s">
        <v>420</v>
      </c>
      <c r="C810" s="434">
        <v>43424</v>
      </c>
      <c r="D810" s="431">
        <v>17745</v>
      </c>
      <c r="E810" s="436">
        <v>1146164</v>
      </c>
      <c r="F810" s="444">
        <v>-8.6969267482495533E-3</v>
      </c>
      <c r="G810" s="427"/>
    </row>
    <row r="811" spans="2:7" x14ac:dyDescent="0.25">
      <c r="B811" s="430" t="s">
        <v>420</v>
      </c>
      <c r="C811" s="434">
        <v>43425</v>
      </c>
      <c r="D811" s="431">
        <v>17900</v>
      </c>
      <c r="E811" s="436">
        <v>1056074</v>
      </c>
      <c r="F811" s="444">
        <v>8.6969267482494388E-3</v>
      </c>
      <c r="G811" s="427"/>
    </row>
    <row r="812" spans="2:7" x14ac:dyDescent="0.25">
      <c r="B812" s="430" t="s">
        <v>420</v>
      </c>
      <c r="C812" s="434">
        <v>43426</v>
      </c>
      <c r="D812" s="431">
        <v>17960</v>
      </c>
      <c r="E812" s="436">
        <v>960912</v>
      </c>
      <c r="F812" s="444">
        <v>3.346350027344173E-3</v>
      </c>
      <c r="G812" s="427"/>
    </row>
    <row r="813" spans="2:7" x14ac:dyDescent="0.25">
      <c r="B813" s="430" t="s">
        <v>420</v>
      </c>
      <c r="C813" s="434">
        <v>43427</v>
      </c>
      <c r="D813" s="431">
        <v>18126</v>
      </c>
      <c r="E813" s="436">
        <v>1588137</v>
      </c>
      <c r="F813" s="444">
        <v>9.2003087585363161E-3</v>
      </c>
      <c r="G813" s="427"/>
    </row>
    <row r="814" spans="2:7" x14ac:dyDescent="0.25">
      <c r="B814" s="430" t="s">
        <v>420</v>
      </c>
      <c r="C814" s="434">
        <v>43430</v>
      </c>
      <c r="D814" s="431">
        <v>18900</v>
      </c>
      <c r="E814" s="436">
        <v>1020418</v>
      </c>
      <c r="F814" s="444">
        <v>4.181455043300681E-2</v>
      </c>
      <c r="G814" s="427"/>
    </row>
    <row r="815" spans="2:7" x14ac:dyDescent="0.25">
      <c r="B815" s="430" t="s">
        <v>420</v>
      </c>
      <c r="C815" s="434">
        <v>43431</v>
      </c>
      <c r="D815" s="431">
        <v>19676</v>
      </c>
      <c r="E815" s="436">
        <v>1022304</v>
      </c>
      <c r="F815" s="444">
        <v>4.023769686749664E-2</v>
      </c>
      <c r="G815" s="427"/>
    </row>
    <row r="816" spans="2:7" x14ac:dyDescent="0.25">
      <c r="B816" s="430" t="s">
        <v>420</v>
      </c>
      <c r="C816" s="434">
        <v>43432</v>
      </c>
      <c r="D816" s="431">
        <v>19850</v>
      </c>
      <c r="E816" s="436">
        <v>897058</v>
      </c>
      <c r="F816" s="444">
        <v>8.8043882001060461E-3</v>
      </c>
      <c r="G816" s="427"/>
    </row>
    <row r="817" spans="2:7" x14ac:dyDescent="0.25">
      <c r="B817" s="430" t="s">
        <v>420</v>
      </c>
      <c r="C817" s="434">
        <v>43433</v>
      </c>
      <c r="D817" s="431">
        <v>20036</v>
      </c>
      <c r="E817" s="436">
        <v>1147819</v>
      </c>
      <c r="F817" s="444">
        <v>9.326648362170991E-3</v>
      </c>
      <c r="G817" s="427"/>
    </row>
    <row r="818" spans="2:7" x14ac:dyDescent="0.25">
      <c r="B818" s="430" t="s">
        <v>420</v>
      </c>
      <c r="C818" s="434">
        <v>43434</v>
      </c>
      <c r="D818" s="431">
        <v>19577</v>
      </c>
      <c r="E818" s="436">
        <v>963481</v>
      </c>
      <c r="F818" s="444">
        <v>-2.3175247700964817E-2</v>
      </c>
      <c r="G818" s="427"/>
    </row>
    <row r="819" spans="2:7" x14ac:dyDescent="0.25">
      <c r="B819" s="430" t="s">
        <v>420</v>
      </c>
      <c r="C819" s="434">
        <v>43437</v>
      </c>
      <c r="D819" s="431">
        <v>19800</v>
      </c>
      <c r="E819" s="436">
        <v>765536</v>
      </c>
      <c r="F819" s="444">
        <v>1.1326529906083892E-2</v>
      </c>
      <c r="G819" s="427"/>
    </row>
    <row r="820" spans="2:7" x14ac:dyDescent="0.25">
      <c r="B820" s="430" t="s">
        <v>420</v>
      </c>
      <c r="C820" s="434">
        <v>43438</v>
      </c>
      <c r="D820" s="431">
        <v>20149</v>
      </c>
      <c r="E820" s="436">
        <v>794479</v>
      </c>
      <c r="F820" s="444">
        <v>1.7472721669139598E-2</v>
      </c>
      <c r="G820" s="427"/>
    </row>
    <row r="821" spans="2:7" x14ac:dyDescent="0.25">
      <c r="B821" s="430" t="s">
        <v>420</v>
      </c>
      <c r="C821" s="434">
        <v>43439</v>
      </c>
      <c r="D821" s="431">
        <v>19736</v>
      </c>
      <c r="E821" s="436">
        <v>533361</v>
      </c>
      <c r="F821" s="444">
        <v>-2.0710280142573503E-2</v>
      </c>
      <c r="G821" s="427"/>
    </row>
    <row r="822" spans="2:7" x14ac:dyDescent="0.25">
      <c r="B822" s="430" t="s">
        <v>420</v>
      </c>
      <c r="C822" s="434">
        <v>43440</v>
      </c>
      <c r="D822" s="431">
        <v>19498</v>
      </c>
      <c r="E822" s="436">
        <v>627400</v>
      </c>
      <c r="F822" s="444">
        <v>-1.2132483019975828E-2</v>
      </c>
      <c r="G822" s="427"/>
    </row>
    <row r="823" spans="2:7" x14ac:dyDescent="0.25">
      <c r="B823" s="430" t="s">
        <v>420</v>
      </c>
      <c r="C823" s="434">
        <v>43441</v>
      </c>
      <c r="D823" s="431">
        <v>19448</v>
      </c>
      <c r="E823" s="436">
        <v>510643</v>
      </c>
      <c r="F823" s="444">
        <v>-2.5676591932575557E-3</v>
      </c>
      <c r="G823" s="427"/>
    </row>
    <row r="824" spans="2:7" x14ac:dyDescent="0.25">
      <c r="B824" s="430" t="s">
        <v>420</v>
      </c>
      <c r="C824" s="434">
        <v>43444</v>
      </c>
      <c r="D824" s="431">
        <v>19218</v>
      </c>
      <c r="E824" s="436">
        <v>701945</v>
      </c>
      <c r="F824" s="444">
        <v>-1.1896897158746183E-2</v>
      </c>
      <c r="G824" s="427"/>
    </row>
    <row r="825" spans="2:7" x14ac:dyDescent="0.25">
      <c r="B825" s="430" t="s">
        <v>420</v>
      </c>
      <c r="C825" s="434">
        <v>43445</v>
      </c>
      <c r="D825" s="431">
        <v>19303</v>
      </c>
      <c r="E825" s="436">
        <v>904972</v>
      </c>
      <c r="F825" s="444">
        <v>4.4131843906621507E-3</v>
      </c>
      <c r="G825" s="427"/>
    </row>
    <row r="826" spans="2:7" x14ac:dyDescent="0.25">
      <c r="B826" s="430" t="s">
        <v>420</v>
      </c>
      <c r="C826" s="434">
        <v>43446</v>
      </c>
      <c r="D826" s="431">
        <v>19398</v>
      </c>
      <c r="E826" s="436">
        <v>611469</v>
      </c>
      <c r="F826" s="444">
        <v>4.9094437256128973E-3</v>
      </c>
      <c r="G826" s="427"/>
    </row>
    <row r="827" spans="2:7" x14ac:dyDescent="0.25">
      <c r="B827" s="430" t="s">
        <v>420</v>
      </c>
      <c r="C827" s="434">
        <v>43447</v>
      </c>
      <c r="D827" s="431">
        <v>19739</v>
      </c>
      <c r="E827" s="436">
        <v>700477</v>
      </c>
      <c r="F827" s="444">
        <v>1.7426406189499363E-2</v>
      </c>
      <c r="G827" s="427"/>
    </row>
    <row r="828" spans="2:7" x14ac:dyDescent="0.25">
      <c r="B828" s="430" t="s">
        <v>420</v>
      </c>
      <c r="C828" s="434">
        <v>43448</v>
      </c>
      <c r="D828" s="431">
        <v>19714</v>
      </c>
      <c r="E828" s="436">
        <v>471018</v>
      </c>
      <c r="F828" s="444">
        <v>-1.2673309176032242E-3</v>
      </c>
      <c r="G828" s="427"/>
    </row>
    <row r="829" spans="2:7" x14ac:dyDescent="0.25">
      <c r="B829" s="430" t="s">
        <v>420</v>
      </c>
      <c r="C829" s="434">
        <v>43452</v>
      </c>
      <c r="D829" s="431">
        <v>19826</v>
      </c>
      <c r="E829" s="436">
        <v>666903</v>
      </c>
      <c r="F829" s="444">
        <v>5.6651643674584008E-3</v>
      </c>
      <c r="G829" s="427"/>
    </row>
    <row r="830" spans="2:7" x14ac:dyDescent="0.25">
      <c r="B830" s="430" t="s">
        <v>420</v>
      </c>
      <c r="C830" s="434">
        <v>43453</v>
      </c>
      <c r="D830" s="431">
        <v>20007</v>
      </c>
      <c r="E830" s="436">
        <v>767554</v>
      </c>
      <c r="F830" s="444">
        <v>9.0880047075731982E-3</v>
      </c>
      <c r="G830" s="427"/>
    </row>
    <row r="831" spans="2:7" x14ac:dyDescent="0.25">
      <c r="B831" s="430" t="s">
        <v>420</v>
      </c>
      <c r="C831" s="434">
        <v>43454</v>
      </c>
      <c r="D831" s="431">
        <v>19999</v>
      </c>
      <c r="E831" s="436">
        <v>1215245</v>
      </c>
      <c r="F831" s="444">
        <v>-3.9994001432957582E-4</v>
      </c>
      <c r="G831" s="427"/>
    </row>
    <row r="832" spans="2:7" x14ac:dyDescent="0.25">
      <c r="B832" s="430" t="s">
        <v>420</v>
      </c>
      <c r="C832" s="434">
        <v>43455</v>
      </c>
      <c r="D832" s="431">
        <v>19986</v>
      </c>
      <c r="E832" s="436">
        <v>972317</v>
      </c>
      <c r="F832" s="444">
        <v>-6.5024386435173992E-4</v>
      </c>
      <c r="G832" s="427"/>
    </row>
    <row r="833" spans="2:7" x14ac:dyDescent="0.25">
      <c r="B833" s="430" t="s">
        <v>420</v>
      </c>
      <c r="C833" s="434">
        <v>43458</v>
      </c>
      <c r="D833" s="431">
        <v>20046</v>
      </c>
      <c r="E833" s="436">
        <v>139089</v>
      </c>
      <c r="F833" s="444">
        <v>2.997604163076911E-3</v>
      </c>
      <c r="G833" s="427"/>
    </row>
    <row r="834" spans="2:7" x14ac:dyDescent="0.25">
      <c r="B834" s="430" t="s">
        <v>420</v>
      </c>
      <c r="C834" s="434">
        <v>43461</v>
      </c>
      <c r="D834" s="431">
        <v>19842</v>
      </c>
      <c r="E834" s="436">
        <v>232481</v>
      </c>
      <c r="F834" s="444">
        <v>-1.0228729374963715E-2</v>
      </c>
      <c r="G834" s="427"/>
    </row>
    <row r="835" spans="2:7" x14ac:dyDescent="0.25">
      <c r="B835" s="430" t="s">
        <v>420</v>
      </c>
      <c r="C835" s="434">
        <v>43462</v>
      </c>
      <c r="D835" s="431">
        <v>20250</v>
      </c>
      <c r="E835" s="436">
        <v>350238</v>
      </c>
      <c r="F835" s="444">
        <v>2.0353890324837493E-2</v>
      </c>
      <c r="G835" s="427"/>
    </row>
    <row r="836" spans="2:7" x14ac:dyDescent="0.25">
      <c r="B836" s="430" t="s">
        <v>420</v>
      </c>
      <c r="C836" s="434">
        <v>43465</v>
      </c>
      <c r="D836" s="431">
        <v>20750</v>
      </c>
      <c r="E836" s="436">
        <v>251239</v>
      </c>
      <c r="F836" s="444">
        <v>2.4391453124159263E-2</v>
      </c>
      <c r="G836" s="427"/>
    </row>
    <row r="837" spans="2:7" x14ac:dyDescent="0.25">
      <c r="B837" s="430" t="s">
        <v>420</v>
      </c>
      <c r="C837" s="434">
        <v>43467</v>
      </c>
      <c r="D837" s="431">
        <v>20039</v>
      </c>
      <c r="E837" s="436">
        <v>324378</v>
      </c>
      <c r="F837" s="444">
        <v>-3.4865871904700453E-2</v>
      </c>
      <c r="G837" s="427"/>
    </row>
    <row r="838" spans="2:7" x14ac:dyDescent="0.25">
      <c r="B838" s="430" t="s">
        <v>420</v>
      </c>
      <c r="C838" s="434">
        <v>43468</v>
      </c>
      <c r="D838" s="431">
        <v>20193</v>
      </c>
      <c r="E838" s="436">
        <v>352394</v>
      </c>
      <c r="F838" s="444">
        <v>7.6556349246789338E-3</v>
      </c>
      <c r="G838" s="427"/>
    </row>
    <row r="839" spans="2:7" x14ac:dyDescent="0.25">
      <c r="B839" s="430" t="s">
        <v>420</v>
      </c>
      <c r="C839" s="434">
        <v>43469</v>
      </c>
      <c r="D839" s="431">
        <v>20400</v>
      </c>
      <c r="E839" s="436">
        <v>718161</v>
      </c>
      <c r="F839" s="444">
        <v>1.0198891153485037E-2</v>
      </c>
      <c r="G839" s="427"/>
    </row>
    <row r="840" spans="2:7" x14ac:dyDescent="0.25">
      <c r="B840" s="430" t="s">
        <v>420</v>
      </c>
      <c r="C840" s="434">
        <v>43472</v>
      </c>
      <c r="D840" s="431">
        <v>20000</v>
      </c>
      <c r="E840" s="436">
        <v>320525</v>
      </c>
      <c r="F840" s="444">
        <v>-1.9802627296179754E-2</v>
      </c>
      <c r="G840" s="427"/>
    </row>
    <row r="841" spans="2:7" x14ac:dyDescent="0.25">
      <c r="B841" s="430" t="s">
        <v>420</v>
      </c>
      <c r="C841" s="434">
        <v>43473</v>
      </c>
      <c r="D841" s="431">
        <v>19988</v>
      </c>
      <c r="E841" s="436">
        <v>207583</v>
      </c>
      <c r="F841" s="444">
        <v>-6.0018007203246058E-4</v>
      </c>
      <c r="G841" s="427"/>
    </row>
    <row r="842" spans="2:7" x14ac:dyDescent="0.25">
      <c r="B842" s="430" t="s">
        <v>420</v>
      </c>
      <c r="C842" s="434">
        <v>43474</v>
      </c>
      <c r="D842" s="431">
        <v>20064</v>
      </c>
      <c r="E842" s="436">
        <v>971907</v>
      </c>
      <c r="F842" s="444">
        <v>3.7950709685515343E-3</v>
      </c>
      <c r="G842" s="427"/>
    </row>
    <row r="843" spans="2:7" x14ac:dyDescent="0.25">
      <c r="B843" s="430" t="s">
        <v>420</v>
      </c>
      <c r="C843" s="434">
        <v>43475</v>
      </c>
      <c r="D843" s="431">
        <v>20225</v>
      </c>
      <c r="E843" s="436">
        <v>595387</v>
      </c>
      <c r="F843" s="444">
        <v>7.9922984940452024E-3</v>
      </c>
      <c r="G843" s="427"/>
    </row>
    <row r="844" spans="2:7" x14ac:dyDescent="0.25">
      <c r="B844" s="430" t="s">
        <v>420</v>
      </c>
      <c r="C844" s="434">
        <v>43476</v>
      </c>
      <c r="D844" s="431">
        <v>20479</v>
      </c>
      <c r="E844" s="436">
        <v>598039</v>
      </c>
      <c r="F844" s="444">
        <v>1.2480507909619982E-2</v>
      </c>
      <c r="G844" s="427"/>
    </row>
    <row r="845" spans="2:7" x14ac:dyDescent="0.25">
      <c r="B845" s="430" t="s">
        <v>420</v>
      </c>
      <c r="C845" s="434">
        <v>43479</v>
      </c>
      <c r="D845" s="431">
        <v>20746</v>
      </c>
      <c r="E845" s="436">
        <v>749412</v>
      </c>
      <c r="F845" s="444">
        <v>1.2953486155460917E-2</v>
      </c>
      <c r="G845" s="427"/>
    </row>
    <row r="846" spans="2:7" x14ac:dyDescent="0.25">
      <c r="B846" s="430" t="s">
        <v>420</v>
      </c>
      <c r="C846" s="434">
        <v>43480</v>
      </c>
      <c r="D846" s="431">
        <v>20677</v>
      </c>
      <c r="E846" s="436">
        <v>617238</v>
      </c>
      <c r="F846" s="444">
        <v>-3.3314855910033568E-3</v>
      </c>
      <c r="G846" s="427"/>
    </row>
    <row r="847" spans="2:7" x14ac:dyDescent="0.25">
      <c r="B847" s="430" t="s">
        <v>420</v>
      </c>
      <c r="C847" s="434">
        <v>43481</v>
      </c>
      <c r="D847" s="431">
        <v>21072</v>
      </c>
      <c r="E847" s="436">
        <v>530134</v>
      </c>
      <c r="F847" s="444">
        <v>1.8923173582292278E-2</v>
      </c>
      <c r="G847" s="427"/>
    </row>
    <row r="848" spans="2:7" x14ac:dyDescent="0.25">
      <c r="B848" s="430" t="s">
        <v>420</v>
      </c>
      <c r="C848" s="434">
        <v>43482</v>
      </c>
      <c r="D848" s="431">
        <v>20150</v>
      </c>
      <c r="E848" s="436">
        <v>1017700</v>
      </c>
      <c r="F848" s="444">
        <v>-4.4740856608233244E-2</v>
      </c>
      <c r="G848" s="427"/>
    </row>
    <row r="849" spans="2:7" x14ac:dyDescent="0.25">
      <c r="B849" s="430" t="s">
        <v>420</v>
      </c>
      <c r="C849" s="434">
        <v>43483</v>
      </c>
      <c r="D849" s="431">
        <v>20273</v>
      </c>
      <c r="E849" s="436">
        <v>519071</v>
      </c>
      <c r="F849" s="444">
        <v>6.0856630933647168E-3</v>
      </c>
      <c r="G849" s="427"/>
    </row>
    <row r="850" spans="2:7" x14ac:dyDescent="0.25">
      <c r="B850" s="430" t="s">
        <v>420</v>
      </c>
      <c r="C850" s="434">
        <v>43486</v>
      </c>
      <c r="D850" s="431">
        <v>20163</v>
      </c>
      <c r="E850" s="436">
        <v>439055</v>
      </c>
      <c r="F850" s="444">
        <v>-5.4407098301182252E-3</v>
      </c>
      <c r="G850" s="427"/>
    </row>
    <row r="851" spans="2:7" x14ac:dyDescent="0.25">
      <c r="B851" s="430" t="s">
        <v>420</v>
      </c>
      <c r="C851" s="434">
        <v>43487</v>
      </c>
      <c r="D851" s="431">
        <v>20139</v>
      </c>
      <c r="E851" s="436">
        <v>594821</v>
      </c>
      <c r="F851" s="444">
        <v>-1.1910080312143082E-3</v>
      </c>
      <c r="G851" s="427"/>
    </row>
    <row r="852" spans="2:7" x14ac:dyDescent="0.25">
      <c r="B852" s="430" t="s">
        <v>420</v>
      </c>
      <c r="C852" s="434">
        <v>43488</v>
      </c>
      <c r="D852" s="431">
        <v>20551</v>
      </c>
      <c r="E852" s="436">
        <v>658878</v>
      </c>
      <c r="F852" s="444">
        <v>2.0251367934059007E-2</v>
      </c>
      <c r="G852" s="427"/>
    </row>
    <row r="853" spans="2:7" x14ac:dyDescent="0.25">
      <c r="B853" s="430" t="s">
        <v>420</v>
      </c>
      <c r="C853" s="434">
        <v>43489</v>
      </c>
      <c r="D853" s="431">
        <v>20799</v>
      </c>
      <c r="E853" s="436">
        <v>548881</v>
      </c>
      <c r="F853" s="444">
        <v>1.1995307069679806E-2</v>
      </c>
      <c r="G853" s="427"/>
    </row>
    <row r="854" spans="2:7" x14ac:dyDescent="0.25">
      <c r="B854" s="430" t="s">
        <v>420</v>
      </c>
      <c r="C854" s="434">
        <v>43490</v>
      </c>
      <c r="D854" s="431">
        <v>20025</v>
      </c>
      <c r="E854" s="436">
        <v>906739</v>
      </c>
      <c r="F854" s="444">
        <v>-3.7923415674040187E-2</v>
      </c>
      <c r="G854" s="427"/>
    </row>
    <row r="855" spans="2:7" x14ac:dyDescent="0.25">
      <c r="B855" s="430" t="s">
        <v>420</v>
      </c>
      <c r="C855" s="434">
        <v>43493</v>
      </c>
      <c r="D855" s="431">
        <v>20000</v>
      </c>
      <c r="E855" s="436">
        <v>619293</v>
      </c>
      <c r="F855" s="444">
        <v>-1.2492194004319278E-3</v>
      </c>
      <c r="G855" s="427"/>
    </row>
    <row r="856" spans="2:7" x14ac:dyDescent="0.25">
      <c r="B856" s="430" t="s">
        <v>420</v>
      </c>
      <c r="C856" s="434">
        <v>43494</v>
      </c>
      <c r="D856" s="431">
        <v>20078</v>
      </c>
      <c r="E856" s="436">
        <v>656553</v>
      </c>
      <c r="F856" s="444">
        <v>3.8924147153438535E-3</v>
      </c>
      <c r="G856" s="427"/>
    </row>
    <row r="857" spans="2:7" x14ac:dyDescent="0.25">
      <c r="B857" s="430" t="s">
        <v>420</v>
      </c>
      <c r="C857" s="434">
        <v>43495</v>
      </c>
      <c r="D857" s="431">
        <v>19511</v>
      </c>
      <c r="E857" s="436">
        <v>783322</v>
      </c>
      <c r="F857" s="444">
        <v>-2.8646279181573198E-2</v>
      </c>
      <c r="G857" s="427"/>
    </row>
    <row r="858" spans="2:7" x14ac:dyDescent="0.25">
      <c r="B858" s="430" t="s">
        <v>420</v>
      </c>
      <c r="C858" s="434">
        <v>43496</v>
      </c>
      <c r="D858" s="431">
        <v>19940</v>
      </c>
      <c r="E858" s="436">
        <v>1118921</v>
      </c>
      <c r="F858" s="444">
        <v>2.1749355445930547E-2</v>
      </c>
      <c r="G858" s="427"/>
    </row>
    <row r="859" spans="2:7" x14ac:dyDescent="0.25">
      <c r="B859" s="430" t="s">
        <v>420</v>
      </c>
      <c r="C859" s="434">
        <v>43497</v>
      </c>
      <c r="D859" s="431">
        <v>19867</v>
      </c>
      <c r="E859" s="436">
        <v>466052</v>
      </c>
      <c r="F859" s="444">
        <v>-3.6677007477658018E-3</v>
      </c>
      <c r="G859" s="427"/>
    </row>
    <row r="860" spans="2:7" x14ac:dyDescent="0.25">
      <c r="B860" s="430" t="s">
        <v>420</v>
      </c>
      <c r="C860" s="434">
        <v>43500</v>
      </c>
      <c r="D860" s="431">
        <v>19120</v>
      </c>
      <c r="E860" s="436">
        <v>477589</v>
      </c>
      <c r="F860" s="444">
        <v>-3.8325156162671244E-2</v>
      </c>
      <c r="G860" s="427"/>
    </row>
    <row r="861" spans="2:7" x14ac:dyDescent="0.25">
      <c r="B861" s="430" t="s">
        <v>420</v>
      </c>
      <c r="C861" s="434">
        <v>43501</v>
      </c>
      <c r="D861" s="431">
        <v>19435</v>
      </c>
      <c r="E861" s="436">
        <v>451337</v>
      </c>
      <c r="F861" s="444">
        <v>1.6340656680931303E-2</v>
      </c>
      <c r="G861" s="427"/>
    </row>
    <row r="862" spans="2:7" x14ac:dyDescent="0.25">
      <c r="B862" s="430" t="s">
        <v>420</v>
      </c>
      <c r="C862" s="434">
        <v>43502</v>
      </c>
      <c r="D862" s="431">
        <v>19417</v>
      </c>
      <c r="E862" s="436">
        <v>573164</v>
      </c>
      <c r="F862" s="444">
        <v>-9.2659329186984413E-4</v>
      </c>
      <c r="G862" s="427"/>
    </row>
    <row r="863" spans="2:7" x14ac:dyDescent="0.25">
      <c r="B863" s="430" t="s">
        <v>420</v>
      </c>
      <c r="C863" s="434">
        <v>43503</v>
      </c>
      <c r="D863" s="431">
        <v>18952</v>
      </c>
      <c r="E863" s="436">
        <v>454758</v>
      </c>
      <c r="F863" s="444">
        <v>-2.4239504155832387E-2</v>
      </c>
      <c r="G863" s="427"/>
    </row>
    <row r="864" spans="2:7" x14ac:dyDescent="0.25">
      <c r="B864" s="430" t="s">
        <v>420</v>
      </c>
      <c r="C864" s="434">
        <v>43504</v>
      </c>
      <c r="D864" s="431">
        <v>19216</v>
      </c>
      <c r="E864" s="436">
        <v>998572</v>
      </c>
      <c r="F864" s="444">
        <v>1.3833798481143354E-2</v>
      </c>
      <c r="G864" s="427"/>
    </row>
    <row r="865" spans="2:7" x14ac:dyDescent="0.25">
      <c r="B865" s="430" t="s">
        <v>420</v>
      </c>
      <c r="C865" s="434">
        <v>43507</v>
      </c>
      <c r="D865" s="431">
        <v>19021</v>
      </c>
      <c r="E865" s="436">
        <v>552656</v>
      </c>
      <c r="F865" s="444">
        <v>-1.019963336692379E-2</v>
      </c>
      <c r="G865" s="427"/>
    </row>
    <row r="866" spans="2:7" x14ac:dyDescent="0.25">
      <c r="B866" s="430" t="s">
        <v>420</v>
      </c>
      <c r="C866" s="434">
        <v>43508</v>
      </c>
      <c r="D866" s="431">
        <v>19978</v>
      </c>
      <c r="E866" s="436">
        <v>1142335</v>
      </c>
      <c r="F866" s="444">
        <v>4.9088036139253943E-2</v>
      </c>
      <c r="G866" s="427"/>
    </row>
    <row r="867" spans="2:7" x14ac:dyDescent="0.25">
      <c r="B867" s="430" t="s">
        <v>420</v>
      </c>
      <c r="C867" s="434">
        <v>43509</v>
      </c>
      <c r="D867" s="431">
        <v>20500</v>
      </c>
      <c r="E867" s="436">
        <v>1641381</v>
      </c>
      <c r="F867" s="444">
        <v>2.5793218034404545E-2</v>
      </c>
      <c r="G867" s="427"/>
    </row>
    <row r="868" spans="2:7" x14ac:dyDescent="0.25">
      <c r="B868" s="430" t="s">
        <v>420</v>
      </c>
      <c r="C868" s="434">
        <v>43510</v>
      </c>
      <c r="D868" s="431">
        <v>20235</v>
      </c>
      <c r="E868" s="436">
        <v>826571</v>
      </c>
      <c r="F868" s="444">
        <v>-1.3011107816533611E-2</v>
      </c>
      <c r="G868" s="427"/>
    </row>
    <row r="869" spans="2:7" x14ac:dyDescent="0.25">
      <c r="B869" s="430" t="s">
        <v>420</v>
      </c>
      <c r="C869" s="434">
        <v>43511</v>
      </c>
      <c r="D869" s="431">
        <v>20338</v>
      </c>
      <c r="E869" s="436">
        <v>508251</v>
      </c>
      <c r="F869" s="444">
        <v>5.0772790411168171E-3</v>
      </c>
      <c r="G869" s="427"/>
    </row>
    <row r="870" spans="2:7" x14ac:dyDescent="0.25">
      <c r="B870" s="430" t="s">
        <v>420</v>
      </c>
      <c r="C870" s="434">
        <v>43514</v>
      </c>
      <c r="D870" s="431">
        <v>20382</v>
      </c>
      <c r="E870" s="436">
        <v>1292425</v>
      </c>
      <c r="F870" s="444">
        <v>2.1611010375562675E-3</v>
      </c>
      <c r="G870" s="427"/>
    </row>
    <row r="871" spans="2:7" x14ac:dyDescent="0.25">
      <c r="B871" s="430" t="s">
        <v>420</v>
      </c>
      <c r="C871" s="434">
        <v>43515</v>
      </c>
      <c r="D871" s="431">
        <v>19958</v>
      </c>
      <c r="E871" s="436">
        <v>304305</v>
      </c>
      <c r="F871" s="444">
        <v>-2.1022092944381097E-2</v>
      </c>
      <c r="G871" s="427"/>
    </row>
    <row r="872" spans="2:7" x14ac:dyDescent="0.25">
      <c r="B872" s="430" t="s">
        <v>420</v>
      </c>
      <c r="C872" s="434">
        <v>43516</v>
      </c>
      <c r="D872" s="431">
        <v>20000</v>
      </c>
      <c r="E872" s="436">
        <v>612055</v>
      </c>
      <c r="F872" s="444">
        <v>2.1022080918702809E-3</v>
      </c>
      <c r="G872" s="427"/>
    </row>
    <row r="873" spans="2:7" x14ac:dyDescent="0.25">
      <c r="B873" s="430" t="s">
        <v>420</v>
      </c>
      <c r="C873" s="434">
        <v>43517</v>
      </c>
      <c r="D873" s="431">
        <v>19679</v>
      </c>
      <c r="E873" s="436">
        <v>342915</v>
      </c>
      <c r="F873" s="444">
        <v>-1.6180196229038352E-2</v>
      </c>
      <c r="G873" s="427"/>
    </row>
    <row r="874" spans="2:7" x14ac:dyDescent="0.25">
      <c r="B874" s="430" t="s">
        <v>420</v>
      </c>
      <c r="C874" s="434">
        <v>43518</v>
      </c>
      <c r="D874" s="431">
        <v>19862</v>
      </c>
      <c r="E874" s="436">
        <v>389715</v>
      </c>
      <c r="F874" s="444">
        <v>9.2562811562142324E-3</v>
      </c>
      <c r="G874" s="427"/>
    </row>
    <row r="875" spans="2:7" x14ac:dyDescent="0.25">
      <c r="B875" s="430" t="s">
        <v>420</v>
      </c>
      <c r="C875" s="434">
        <v>43521</v>
      </c>
      <c r="D875" s="431">
        <v>19968</v>
      </c>
      <c r="E875" s="436">
        <v>589119</v>
      </c>
      <c r="F875" s="444">
        <v>5.3226337058504504E-3</v>
      </c>
      <c r="G875" s="427"/>
    </row>
    <row r="876" spans="2:7" x14ac:dyDescent="0.25">
      <c r="B876" s="430" t="s">
        <v>420</v>
      </c>
      <c r="C876" s="434">
        <v>43522</v>
      </c>
      <c r="D876" s="431">
        <v>20054</v>
      </c>
      <c r="E876" s="436">
        <v>719871</v>
      </c>
      <c r="F876" s="444">
        <v>4.2976429147163851E-3</v>
      </c>
      <c r="G876" s="427"/>
    </row>
    <row r="877" spans="2:7" x14ac:dyDescent="0.25">
      <c r="B877" s="430" t="s">
        <v>420</v>
      </c>
      <c r="C877" s="434">
        <v>43523</v>
      </c>
      <c r="D877" s="431">
        <v>20133</v>
      </c>
      <c r="E877" s="436">
        <v>364148</v>
      </c>
      <c r="F877" s="444">
        <v>3.9316247424782749E-3</v>
      </c>
      <c r="G877" s="427"/>
    </row>
    <row r="878" spans="2:7" x14ac:dyDescent="0.25">
      <c r="B878" s="430" t="s">
        <v>420</v>
      </c>
      <c r="C878" s="434">
        <v>43524</v>
      </c>
      <c r="D878" s="431">
        <v>19970</v>
      </c>
      <c r="E878" s="436">
        <v>834757</v>
      </c>
      <c r="F878" s="444">
        <v>-8.1291124164880393E-3</v>
      </c>
      <c r="G878" s="427"/>
    </row>
    <row r="879" spans="2:7" x14ac:dyDescent="0.25">
      <c r="B879" s="430" t="s">
        <v>420</v>
      </c>
      <c r="C879" s="434">
        <v>43525</v>
      </c>
      <c r="D879" s="431">
        <v>19867</v>
      </c>
      <c r="E879" s="436">
        <v>307684</v>
      </c>
      <c r="F879" s="444">
        <v>-5.1710836417973903E-3</v>
      </c>
      <c r="G879" s="427"/>
    </row>
    <row r="880" spans="2:7" x14ac:dyDescent="0.25">
      <c r="B880" s="430" t="s">
        <v>420</v>
      </c>
      <c r="C880" s="434">
        <v>43528</v>
      </c>
      <c r="D880" s="431">
        <v>20132</v>
      </c>
      <c r="E880" s="436">
        <v>502275</v>
      </c>
      <c r="F880" s="444">
        <v>1.3250525128187123E-2</v>
      </c>
      <c r="G880" s="427"/>
    </row>
    <row r="881" spans="2:7" x14ac:dyDescent="0.25">
      <c r="B881" s="430" t="s">
        <v>420</v>
      </c>
      <c r="C881" s="434">
        <v>43529</v>
      </c>
      <c r="D881" s="431">
        <v>20246</v>
      </c>
      <c r="E881" s="436">
        <v>339588</v>
      </c>
      <c r="F881" s="444">
        <v>5.64665426244632E-3</v>
      </c>
      <c r="G881" s="427"/>
    </row>
    <row r="882" spans="2:7" x14ac:dyDescent="0.25">
      <c r="B882" s="430" t="s">
        <v>420</v>
      </c>
      <c r="C882" s="434">
        <v>43530</v>
      </c>
      <c r="D882" s="431">
        <v>20049</v>
      </c>
      <c r="E882" s="436">
        <v>414514</v>
      </c>
      <c r="F882" s="444">
        <v>-9.7779659795171562E-3</v>
      </c>
      <c r="G882" s="427"/>
    </row>
    <row r="883" spans="2:7" x14ac:dyDescent="0.25">
      <c r="B883" s="430" t="s">
        <v>420</v>
      </c>
      <c r="C883" s="434">
        <v>43531</v>
      </c>
      <c r="D883" s="431">
        <v>19970</v>
      </c>
      <c r="E883" s="436">
        <v>455074</v>
      </c>
      <c r="F883" s="444">
        <v>-3.9481297693188836E-3</v>
      </c>
      <c r="G883" s="427"/>
    </row>
    <row r="884" spans="2:7" x14ac:dyDescent="0.25">
      <c r="B884" s="430" t="s">
        <v>420</v>
      </c>
      <c r="C884" s="434">
        <v>43532</v>
      </c>
      <c r="D884" s="431">
        <v>20095</v>
      </c>
      <c r="E884" s="436">
        <v>670521</v>
      </c>
      <c r="F884" s="444">
        <v>6.2398804734404793E-3</v>
      </c>
      <c r="G884" s="427"/>
    </row>
    <row r="885" spans="2:7" x14ac:dyDescent="0.25">
      <c r="B885" s="430" t="s">
        <v>420</v>
      </c>
      <c r="C885" s="434">
        <v>43535</v>
      </c>
      <c r="D885" s="431">
        <v>20047</v>
      </c>
      <c r="E885" s="436">
        <v>272889</v>
      </c>
      <c r="F885" s="444">
        <v>-2.3915112788252622E-3</v>
      </c>
      <c r="G885" s="427"/>
    </row>
    <row r="886" spans="2:7" x14ac:dyDescent="0.25">
      <c r="B886" s="430" t="s">
        <v>420</v>
      </c>
      <c r="C886" s="434">
        <v>43536</v>
      </c>
      <c r="D886" s="431">
        <v>20286</v>
      </c>
      <c r="E886" s="436">
        <v>360252</v>
      </c>
      <c r="F886" s="444">
        <v>1.1851476331464883E-2</v>
      </c>
      <c r="G886" s="427"/>
    </row>
    <row r="887" spans="2:7" x14ac:dyDescent="0.25">
      <c r="B887" s="430" t="s">
        <v>420</v>
      </c>
      <c r="C887" s="434">
        <v>43537</v>
      </c>
      <c r="D887" s="431">
        <v>19922</v>
      </c>
      <c r="E887" s="436">
        <v>411602</v>
      </c>
      <c r="F887" s="444">
        <v>-1.8106344230829994E-2</v>
      </c>
      <c r="G887" s="427"/>
    </row>
    <row r="888" spans="2:7" x14ac:dyDescent="0.25">
      <c r="B888" s="430" t="s">
        <v>420</v>
      </c>
      <c r="C888" s="434">
        <v>43538</v>
      </c>
      <c r="D888" s="431">
        <v>19600</v>
      </c>
      <c r="E888" s="436">
        <v>403683</v>
      </c>
      <c r="F888" s="444">
        <v>-1.6295082486502337E-2</v>
      </c>
      <c r="G888" s="427"/>
    </row>
    <row r="889" spans="2:7" x14ac:dyDescent="0.25">
      <c r="B889" s="430" t="s">
        <v>420</v>
      </c>
      <c r="C889" s="434">
        <v>43539</v>
      </c>
      <c r="D889" s="431">
        <v>19500</v>
      </c>
      <c r="E889" s="436">
        <v>1932413</v>
      </c>
      <c r="F889" s="444">
        <v>-5.1151006667703768E-3</v>
      </c>
      <c r="G889" s="427"/>
    </row>
    <row r="890" spans="2:7" x14ac:dyDescent="0.25">
      <c r="B890" s="430" t="s">
        <v>420</v>
      </c>
      <c r="C890" s="434">
        <v>43542</v>
      </c>
      <c r="D890" s="431">
        <v>19800</v>
      </c>
      <c r="E890" s="436">
        <v>1029768</v>
      </c>
      <c r="F890" s="444">
        <v>1.5267472130788381E-2</v>
      </c>
      <c r="G890" s="427"/>
    </row>
    <row r="891" spans="2:7" x14ac:dyDescent="0.25">
      <c r="B891" s="430" t="s">
        <v>420</v>
      </c>
      <c r="C891" s="434">
        <v>43543</v>
      </c>
      <c r="D891" s="431">
        <v>19543</v>
      </c>
      <c r="E891" s="436">
        <v>960986</v>
      </c>
      <c r="F891" s="444">
        <v>-1.3064771652549795E-2</v>
      </c>
      <c r="G891" s="427"/>
    </row>
    <row r="892" spans="2:7" x14ac:dyDescent="0.25">
      <c r="B892" s="430" t="s">
        <v>420</v>
      </c>
      <c r="C892" s="434">
        <v>43544</v>
      </c>
      <c r="D892" s="431">
        <v>18894</v>
      </c>
      <c r="E892" s="436">
        <v>2166175</v>
      </c>
      <c r="F892" s="444">
        <v>-3.3772754700997137E-2</v>
      </c>
      <c r="G892" s="427"/>
    </row>
    <row r="893" spans="2:7" x14ac:dyDescent="0.25">
      <c r="B893" s="430" t="s">
        <v>420</v>
      </c>
      <c r="C893" s="434">
        <v>43546</v>
      </c>
      <c r="D893" s="431">
        <v>18787</v>
      </c>
      <c r="E893" s="436">
        <v>551655</v>
      </c>
      <c r="F893" s="444">
        <v>-5.6792700617806641E-3</v>
      </c>
      <c r="G893" s="427"/>
    </row>
    <row r="894" spans="2:7" x14ac:dyDescent="0.25">
      <c r="B894" s="430" t="s">
        <v>420</v>
      </c>
      <c r="C894" s="434">
        <v>43549</v>
      </c>
      <c r="D894" s="431">
        <v>18500</v>
      </c>
      <c r="E894" s="436">
        <v>389756</v>
      </c>
      <c r="F894" s="444">
        <v>-1.5394409200882746E-2</v>
      </c>
      <c r="G894" s="427"/>
    </row>
    <row r="895" spans="2:7" x14ac:dyDescent="0.25">
      <c r="B895" s="430" t="s">
        <v>420</v>
      </c>
      <c r="C895" s="434">
        <v>43550</v>
      </c>
      <c r="D895" s="431">
        <v>18744</v>
      </c>
      <c r="E895" s="436">
        <v>472639</v>
      </c>
      <c r="F895" s="444">
        <v>1.3102969121215309E-2</v>
      </c>
      <c r="G895" s="427"/>
    </row>
    <row r="896" spans="2:7" x14ac:dyDescent="0.25">
      <c r="B896" s="430" t="s">
        <v>420</v>
      </c>
      <c r="C896" s="434">
        <v>43551</v>
      </c>
      <c r="D896" s="431">
        <v>18875</v>
      </c>
      <c r="E896" s="436">
        <v>537975</v>
      </c>
      <c r="F896" s="444">
        <v>6.9645939295937698E-3</v>
      </c>
      <c r="G896" s="427"/>
    </row>
    <row r="897" spans="2:7" x14ac:dyDescent="0.25">
      <c r="B897" s="430" t="s">
        <v>420</v>
      </c>
      <c r="C897" s="434">
        <v>43552</v>
      </c>
      <c r="D897" s="431">
        <v>18652</v>
      </c>
      <c r="E897" s="436">
        <v>312540</v>
      </c>
      <c r="F897" s="444">
        <v>-1.1884916189013923E-2</v>
      </c>
      <c r="G897" s="427"/>
    </row>
    <row r="898" spans="2:7" x14ac:dyDescent="0.25">
      <c r="B898" s="430" t="s">
        <v>420</v>
      </c>
      <c r="C898" s="434">
        <v>43553</v>
      </c>
      <c r="D898" s="431">
        <v>19188</v>
      </c>
      <c r="E898" s="436">
        <v>706521</v>
      </c>
      <c r="F898" s="444">
        <v>2.8331704693742965E-2</v>
      </c>
      <c r="G898" s="427"/>
    </row>
    <row r="899" spans="2:7" x14ac:dyDescent="0.25">
      <c r="B899" s="430" t="s">
        <v>420</v>
      </c>
      <c r="C899" s="434">
        <v>43556</v>
      </c>
      <c r="D899" s="431">
        <v>19571</v>
      </c>
      <c r="E899" s="436">
        <v>359111</v>
      </c>
      <c r="F899" s="444">
        <v>1.9763795083014537E-2</v>
      </c>
      <c r="G899" s="427"/>
    </row>
    <row r="900" spans="2:7" x14ac:dyDescent="0.25">
      <c r="B900" s="430" t="s">
        <v>420</v>
      </c>
      <c r="C900" s="434">
        <v>43557</v>
      </c>
      <c r="D900" s="431">
        <v>19287</v>
      </c>
      <c r="E900" s="436">
        <v>522942</v>
      </c>
      <c r="F900" s="444">
        <v>-1.4617584895172744E-2</v>
      </c>
      <c r="G900" s="427"/>
    </row>
    <row r="901" spans="2:7" x14ac:dyDescent="0.25">
      <c r="B901" s="430" t="s">
        <v>420</v>
      </c>
      <c r="C901" s="434">
        <v>43558</v>
      </c>
      <c r="D901" s="431">
        <v>19287</v>
      </c>
      <c r="E901" s="436">
        <v>569505</v>
      </c>
      <c r="F901" s="444">
        <v>0</v>
      </c>
      <c r="G901" s="427"/>
    </row>
    <row r="902" spans="2:7" x14ac:dyDescent="0.25">
      <c r="B902" s="430" t="s">
        <v>420</v>
      </c>
      <c r="C902" s="434">
        <v>43559</v>
      </c>
      <c r="D902" s="431">
        <v>18969</v>
      </c>
      <c r="E902" s="436">
        <v>362338</v>
      </c>
      <c r="F902" s="444">
        <v>-1.6625226083073458E-2</v>
      </c>
      <c r="G902" s="427"/>
    </row>
    <row r="903" spans="2:7" x14ac:dyDescent="0.25">
      <c r="B903" s="430" t="s">
        <v>420</v>
      </c>
      <c r="C903" s="434">
        <v>43560</v>
      </c>
      <c r="D903" s="431">
        <v>19141</v>
      </c>
      <c r="E903" s="436">
        <v>370456</v>
      </c>
      <c r="F903" s="444">
        <v>9.0265635193867953E-3</v>
      </c>
      <c r="G903" s="427"/>
    </row>
    <row r="904" spans="2:7" x14ac:dyDescent="0.25">
      <c r="B904" s="430" t="s">
        <v>420</v>
      </c>
      <c r="C904" s="434">
        <v>43563</v>
      </c>
      <c r="D904" s="431">
        <v>19035</v>
      </c>
      <c r="E904" s="436">
        <v>339411</v>
      </c>
      <c r="F904" s="444">
        <v>-5.5532414295120089E-3</v>
      </c>
      <c r="G904" s="427"/>
    </row>
    <row r="905" spans="2:7" x14ac:dyDescent="0.25">
      <c r="B905" s="430" t="s">
        <v>420</v>
      </c>
      <c r="C905" s="434">
        <v>43564</v>
      </c>
      <c r="D905" s="431">
        <v>19285</v>
      </c>
      <c r="E905" s="436">
        <v>554126</v>
      </c>
      <c r="F905" s="444">
        <v>1.3048201825730386E-2</v>
      </c>
      <c r="G905" s="427"/>
    </row>
    <row r="906" spans="2:7" x14ac:dyDescent="0.25">
      <c r="B906" s="430" t="s">
        <v>420</v>
      </c>
      <c r="C906" s="434">
        <v>43565</v>
      </c>
      <c r="D906" s="431">
        <v>20100</v>
      </c>
      <c r="E906" s="436">
        <v>897385</v>
      </c>
      <c r="F906" s="444">
        <v>4.1392223404838877E-2</v>
      </c>
      <c r="G906" s="427"/>
    </row>
    <row r="907" spans="2:7" x14ac:dyDescent="0.25">
      <c r="B907" s="430" t="s">
        <v>420</v>
      </c>
      <c r="C907" s="434">
        <v>43566</v>
      </c>
      <c r="D907" s="431">
        <v>19837</v>
      </c>
      <c r="E907" s="436">
        <v>745097</v>
      </c>
      <c r="F907" s="444">
        <v>-1.3170934319058566E-2</v>
      </c>
      <c r="G907" s="427"/>
    </row>
    <row r="908" spans="2:7" x14ac:dyDescent="0.25">
      <c r="B908" s="430" t="s">
        <v>420</v>
      </c>
      <c r="C908" s="434">
        <v>43567</v>
      </c>
      <c r="D908" s="431">
        <v>20173</v>
      </c>
      <c r="E908" s="436">
        <v>470096</v>
      </c>
      <c r="F908" s="444">
        <v>1.6796195906242078E-2</v>
      </c>
      <c r="G908" s="427"/>
    </row>
    <row r="909" spans="2:7" x14ac:dyDescent="0.25">
      <c r="B909" s="430" t="s">
        <v>420</v>
      </c>
      <c r="C909" s="434">
        <v>43570</v>
      </c>
      <c r="D909" s="431">
        <v>20214</v>
      </c>
      <c r="E909" s="436">
        <v>846729</v>
      </c>
      <c r="F909" s="444">
        <v>2.0303570002571658E-3</v>
      </c>
      <c r="G909" s="427"/>
    </row>
    <row r="910" spans="2:7" x14ac:dyDescent="0.25">
      <c r="B910" s="430" t="s">
        <v>420</v>
      </c>
      <c r="C910" s="434">
        <v>43571</v>
      </c>
      <c r="D910" s="431">
        <v>20523</v>
      </c>
      <c r="E910" s="436">
        <v>794943</v>
      </c>
      <c r="F910" s="444">
        <v>1.5170774794499855E-2</v>
      </c>
      <c r="G910" s="427"/>
    </row>
    <row r="911" spans="2:7" x14ac:dyDescent="0.25">
      <c r="B911" s="430" t="s">
        <v>420</v>
      </c>
      <c r="C911" s="434">
        <v>43572</v>
      </c>
      <c r="D911" s="431">
        <v>20550</v>
      </c>
      <c r="E911" s="436">
        <v>308502</v>
      </c>
      <c r="F911" s="444">
        <v>1.3147324952728612E-3</v>
      </c>
      <c r="G911" s="427"/>
    </row>
    <row r="912" spans="2:7" x14ac:dyDescent="0.25">
      <c r="B912" s="430" t="s">
        <v>420</v>
      </c>
      <c r="C912" s="434">
        <v>43573</v>
      </c>
      <c r="D912" s="431">
        <v>20266</v>
      </c>
      <c r="E912" s="436">
        <v>392496</v>
      </c>
      <c r="F912" s="444">
        <v>-1.391633591611776E-2</v>
      </c>
      <c r="G912" s="427"/>
    </row>
    <row r="913" spans="2:7" x14ac:dyDescent="0.25">
      <c r="B913" s="430" t="s">
        <v>420</v>
      </c>
      <c r="C913" s="434">
        <v>43578</v>
      </c>
      <c r="D913" s="431">
        <v>19800</v>
      </c>
      <c r="E913" s="436">
        <v>559146</v>
      </c>
      <c r="F913" s="444">
        <v>-2.3262667325636276E-2</v>
      </c>
      <c r="G913" s="427"/>
    </row>
    <row r="914" spans="2:7" x14ac:dyDescent="0.25">
      <c r="B914" s="430" t="s">
        <v>420</v>
      </c>
      <c r="C914" s="434">
        <v>43579</v>
      </c>
      <c r="D914" s="431">
        <v>19255</v>
      </c>
      <c r="E914" s="436">
        <v>923390</v>
      </c>
      <c r="F914" s="444">
        <v>-2.7911170433617322E-2</v>
      </c>
      <c r="G914" s="427"/>
    </row>
    <row r="915" spans="2:7" x14ac:dyDescent="0.25">
      <c r="B915" s="430" t="s">
        <v>420</v>
      </c>
      <c r="C915" s="434">
        <v>43580</v>
      </c>
      <c r="D915" s="431">
        <v>19350</v>
      </c>
      <c r="E915" s="436">
        <v>721195</v>
      </c>
      <c r="F915" s="444">
        <v>4.9216522089186709E-3</v>
      </c>
      <c r="G915" s="427"/>
    </row>
    <row r="916" spans="2:7" x14ac:dyDescent="0.25">
      <c r="B916" s="430" t="s">
        <v>420</v>
      </c>
      <c r="C916" s="434">
        <v>43581</v>
      </c>
      <c r="D916" s="431">
        <v>19449</v>
      </c>
      <c r="E916" s="436">
        <v>486202</v>
      </c>
      <c r="F916" s="444">
        <v>5.1032353851774657E-3</v>
      </c>
      <c r="G916" s="427"/>
    </row>
    <row r="917" spans="2:7" x14ac:dyDescent="0.25">
      <c r="B917" s="430" t="s">
        <v>420</v>
      </c>
      <c r="C917" s="434">
        <v>43584</v>
      </c>
      <c r="D917" s="431">
        <v>19461</v>
      </c>
      <c r="E917" s="436">
        <v>532282</v>
      </c>
      <c r="F917" s="444">
        <v>6.1680803805974822E-4</v>
      </c>
      <c r="G917" s="427"/>
    </row>
    <row r="918" spans="2:7" x14ac:dyDescent="0.25">
      <c r="B918" s="430" t="s">
        <v>420</v>
      </c>
      <c r="C918" s="434">
        <v>43585</v>
      </c>
      <c r="D918" s="431">
        <v>19400</v>
      </c>
      <c r="E918" s="436">
        <v>991171</v>
      </c>
      <c r="F918" s="444">
        <v>-3.1393968297455561E-3</v>
      </c>
      <c r="G918" s="427"/>
    </row>
    <row r="919" spans="2:7" x14ac:dyDescent="0.25">
      <c r="B919" s="430" t="s">
        <v>420</v>
      </c>
      <c r="C919" s="434">
        <v>43587</v>
      </c>
      <c r="D919" s="431">
        <v>19418</v>
      </c>
      <c r="E919" s="436">
        <v>551098</v>
      </c>
      <c r="F919" s="444">
        <v>9.274048786707895E-4</v>
      </c>
      <c r="G919" s="427"/>
    </row>
    <row r="920" spans="2:7" x14ac:dyDescent="0.25">
      <c r="B920" s="430" t="s">
        <v>420</v>
      </c>
      <c r="C920" s="434">
        <v>43588</v>
      </c>
      <c r="D920" s="431">
        <v>19600</v>
      </c>
      <c r="E920" s="436">
        <v>895619</v>
      </c>
      <c r="F920" s="444">
        <v>9.3290952885183385E-3</v>
      </c>
      <c r="G920" s="427"/>
    </row>
    <row r="921" spans="2:7" x14ac:dyDescent="0.25">
      <c r="B921" s="430" t="s">
        <v>420</v>
      </c>
      <c r="C921" s="434">
        <v>43591</v>
      </c>
      <c r="D921" s="431">
        <v>20035</v>
      </c>
      <c r="E921" s="436">
        <v>826524</v>
      </c>
      <c r="F921" s="444">
        <v>2.1951177851636351E-2</v>
      </c>
      <c r="G921" s="427"/>
    </row>
    <row r="922" spans="2:7" x14ac:dyDescent="0.25">
      <c r="B922" s="430" t="s">
        <v>420</v>
      </c>
      <c r="C922" s="434">
        <v>43592</v>
      </c>
      <c r="D922" s="431">
        <v>19835</v>
      </c>
      <c r="E922" s="436">
        <v>640477</v>
      </c>
      <c r="F922" s="444">
        <v>-1.0032690121814434E-2</v>
      </c>
      <c r="G922" s="427"/>
    </row>
    <row r="923" spans="2:7" x14ac:dyDescent="0.25">
      <c r="B923" s="430" t="s">
        <v>420</v>
      </c>
      <c r="C923" s="434">
        <v>43594</v>
      </c>
      <c r="D923" s="431">
        <v>19297</v>
      </c>
      <c r="E923" s="436">
        <v>818019</v>
      </c>
      <c r="F923" s="444">
        <v>-2.7498410552074661E-2</v>
      </c>
      <c r="G923" s="427"/>
    </row>
    <row r="924" spans="2:7" x14ac:dyDescent="0.25">
      <c r="B924" s="430" t="s">
        <v>420</v>
      </c>
      <c r="C924" s="434">
        <v>43595</v>
      </c>
      <c r="D924" s="431">
        <v>19503</v>
      </c>
      <c r="E924" s="436">
        <v>877201</v>
      </c>
      <c r="F924" s="444">
        <v>1.0618656476222567E-2</v>
      </c>
      <c r="G924" s="427"/>
    </row>
    <row r="925" spans="2:7" x14ac:dyDescent="0.25">
      <c r="B925" s="430" t="s">
        <v>420</v>
      </c>
      <c r="C925" s="434">
        <v>43598</v>
      </c>
      <c r="D925" s="431">
        <v>19533</v>
      </c>
      <c r="E925" s="436">
        <v>612456</v>
      </c>
      <c r="F925" s="444">
        <v>1.5370430323933997E-3</v>
      </c>
      <c r="G925" s="427"/>
    </row>
    <row r="926" spans="2:7" x14ac:dyDescent="0.25">
      <c r="B926" s="430" t="s">
        <v>420</v>
      </c>
      <c r="C926" s="434">
        <v>43599</v>
      </c>
      <c r="D926" s="431">
        <v>19779</v>
      </c>
      <c r="E926" s="436">
        <v>655954</v>
      </c>
      <c r="F926" s="444">
        <v>1.2515425876437555E-2</v>
      </c>
      <c r="G926" s="427"/>
    </row>
    <row r="927" spans="2:7" x14ac:dyDescent="0.25">
      <c r="B927" s="430" t="s">
        <v>420</v>
      </c>
      <c r="C927" s="434">
        <v>43600</v>
      </c>
      <c r="D927" s="431">
        <v>19800</v>
      </c>
      <c r="E927" s="436">
        <v>1006906</v>
      </c>
      <c r="F927" s="444">
        <v>1.0611689012173259E-3</v>
      </c>
      <c r="G927" s="427"/>
    </row>
    <row r="928" spans="2:7" x14ac:dyDescent="0.25">
      <c r="B928" s="430" t="s">
        <v>420</v>
      </c>
      <c r="C928" s="434">
        <v>43601</v>
      </c>
      <c r="D928" s="431">
        <v>20000</v>
      </c>
      <c r="E928" s="436">
        <v>990674</v>
      </c>
      <c r="F928" s="444">
        <v>1.0050335853501506E-2</v>
      </c>
      <c r="G928" s="427"/>
    </row>
    <row r="929" spans="2:7" x14ac:dyDescent="0.25">
      <c r="B929" s="430" t="s">
        <v>420</v>
      </c>
      <c r="C929" s="434">
        <v>43602</v>
      </c>
      <c r="D929" s="431">
        <v>19780</v>
      </c>
      <c r="E929" s="436">
        <v>888662</v>
      </c>
      <c r="F929" s="444">
        <v>-1.1060947359424948E-2</v>
      </c>
      <c r="G929" s="427"/>
    </row>
    <row r="930" spans="2:7" x14ac:dyDescent="0.25">
      <c r="B930" s="430" t="s">
        <v>420</v>
      </c>
      <c r="C930" s="434">
        <v>43605</v>
      </c>
      <c r="D930" s="431">
        <v>19713</v>
      </c>
      <c r="E930" s="436">
        <v>461791</v>
      </c>
      <c r="F930" s="444">
        <v>-3.393009610725581E-3</v>
      </c>
      <c r="G930" s="427"/>
    </row>
    <row r="931" spans="2:7" x14ac:dyDescent="0.25">
      <c r="B931" s="430" t="s">
        <v>420</v>
      </c>
      <c r="C931" s="434">
        <v>43606</v>
      </c>
      <c r="D931" s="431">
        <v>19615</v>
      </c>
      <c r="E931" s="436">
        <v>1275545</v>
      </c>
      <c r="F931" s="444">
        <v>-4.9837369223246072E-3</v>
      </c>
      <c r="G931" s="427"/>
    </row>
    <row r="932" spans="2:7" x14ac:dyDescent="0.25">
      <c r="B932" s="430" t="s">
        <v>420</v>
      </c>
      <c r="C932" s="434">
        <v>43607</v>
      </c>
      <c r="D932" s="431">
        <v>19850</v>
      </c>
      <c r="E932" s="436">
        <v>733556</v>
      </c>
      <c r="F932" s="444">
        <v>1.1909427471683623E-2</v>
      </c>
      <c r="G932" s="427"/>
    </row>
    <row r="933" spans="2:7" x14ac:dyDescent="0.25">
      <c r="B933" s="430" t="s">
        <v>420</v>
      </c>
      <c r="C933" s="434">
        <v>43608</v>
      </c>
      <c r="D933" s="431">
        <v>19404</v>
      </c>
      <c r="E933" s="436">
        <v>642763</v>
      </c>
      <c r="F933" s="444">
        <v>-2.272477675022928E-2</v>
      </c>
      <c r="G933" s="427"/>
    </row>
    <row r="934" spans="2:7" x14ac:dyDescent="0.25">
      <c r="B934" s="430" t="s">
        <v>420</v>
      </c>
      <c r="C934" s="434">
        <v>43609</v>
      </c>
      <c r="D934" s="431">
        <v>18980</v>
      </c>
      <c r="E934" s="436">
        <v>773678</v>
      </c>
      <c r="F934" s="444">
        <v>-2.2093437201188348E-2</v>
      </c>
      <c r="G934" s="427"/>
    </row>
    <row r="935" spans="2:7" x14ac:dyDescent="0.25">
      <c r="B935" s="430" t="s">
        <v>420</v>
      </c>
      <c r="C935" s="434">
        <v>43612</v>
      </c>
      <c r="D935" s="431">
        <v>18952</v>
      </c>
      <c r="E935" s="436">
        <v>249963</v>
      </c>
      <c r="F935" s="444">
        <v>-1.4763263252974286E-3</v>
      </c>
      <c r="G935" s="427"/>
    </row>
    <row r="936" spans="2:7" x14ac:dyDescent="0.25">
      <c r="B936" s="430" t="s">
        <v>420</v>
      </c>
      <c r="C936" s="434">
        <v>43613</v>
      </c>
      <c r="D936" s="431">
        <v>18471</v>
      </c>
      <c r="E936" s="436">
        <v>1418419</v>
      </c>
      <c r="F936" s="444">
        <v>-2.5707532259301606E-2</v>
      </c>
      <c r="G936" s="427"/>
    </row>
    <row r="937" spans="2:7" x14ac:dyDescent="0.25">
      <c r="B937" s="430" t="s">
        <v>420</v>
      </c>
      <c r="C937" s="434">
        <v>43614</v>
      </c>
      <c r="D937" s="431">
        <v>18464</v>
      </c>
      <c r="E937" s="436">
        <v>854216</v>
      </c>
      <c r="F937" s="444">
        <v>-3.7904427149367112E-4</v>
      </c>
      <c r="G937" s="427"/>
    </row>
    <row r="938" spans="2:7" x14ac:dyDescent="0.25">
      <c r="B938" s="430" t="s">
        <v>420</v>
      </c>
      <c r="C938" s="434">
        <v>43615</v>
      </c>
      <c r="D938" s="431">
        <v>19135</v>
      </c>
      <c r="E938" s="436">
        <v>813332</v>
      </c>
      <c r="F938" s="444">
        <v>3.5696228551976621E-2</v>
      </c>
      <c r="G938" s="427"/>
    </row>
    <row r="939" spans="2:7" x14ac:dyDescent="0.25">
      <c r="B939" s="430" t="s">
        <v>420</v>
      </c>
      <c r="C939" s="434">
        <v>43616</v>
      </c>
      <c r="D939" s="431">
        <v>19149</v>
      </c>
      <c r="E939" s="436">
        <v>594062</v>
      </c>
      <c r="F939" s="444">
        <v>7.3137606436431276E-4</v>
      </c>
      <c r="G939" s="427"/>
    </row>
    <row r="940" spans="2:7" x14ac:dyDescent="0.25">
      <c r="B940" s="430" t="s">
        <v>420</v>
      </c>
      <c r="C940" s="434">
        <v>43619</v>
      </c>
      <c r="D940" s="431">
        <v>19232</v>
      </c>
      <c r="E940" s="436">
        <v>348518</v>
      </c>
      <c r="F940" s="444">
        <v>4.3250634107670329E-3</v>
      </c>
      <c r="G940" s="427"/>
    </row>
    <row r="941" spans="2:7" x14ac:dyDescent="0.25">
      <c r="B941" s="430" t="s">
        <v>420</v>
      </c>
      <c r="C941" s="434">
        <v>43620</v>
      </c>
      <c r="D941" s="431">
        <v>18714</v>
      </c>
      <c r="E941" s="436">
        <v>573216</v>
      </c>
      <c r="F941" s="444">
        <v>-2.7303651499075897E-2</v>
      </c>
      <c r="G941" s="427"/>
    </row>
    <row r="942" spans="2:7" x14ac:dyDescent="0.25">
      <c r="B942" s="430" t="s">
        <v>420</v>
      </c>
      <c r="C942" s="434">
        <v>43621</v>
      </c>
      <c r="D942" s="431">
        <v>18633</v>
      </c>
      <c r="E942" s="436">
        <v>403356</v>
      </c>
      <c r="F942" s="444">
        <v>-4.3377046084456198E-3</v>
      </c>
      <c r="G942" s="427"/>
    </row>
    <row r="943" spans="2:7" x14ac:dyDescent="0.25">
      <c r="B943" s="430" t="s">
        <v>420</v>
      </c>
      <c r="C943" s="434">
        <v>43622</v>
      </c>
      <c r="D943" s="431">
        <v>18652</v>
      </c>
      <c r="E943" s="436">
        <v>352524</v>
      </c>
      <c r="F943" s="444">
        <v>1.0191767007987145E-3</v>
      </c>
      <c r="G943" s="427"/>
    </row>
    <row r="944" spans="2:7" x14ac:dyDescent="0.25">
      <c r="B944" s="430" t="s">
        <v>420</v>
      </c>
      <c r="C944" s="434">
        <v>43623</v>
      </c>
      <c r="D944" s="431">
        <v>18849</v>
      </c>
      <c r="E944" s="436">
        <v>314586</v>
      </c>
      <c r="F944" s="444">
        <v>1.0506483142845311E-2</v>
      </c>
      <c r="G944" s="427"/>
    </row>
    <row r="945" spans="2:7" x14ac:dyDescent="0.25">
      <c r="B945" s="430" t="s">
        <v>420</v>
      </c>
      <c r="C945" s="434">
        <v>43626</v>
      </c>
      <c r="D945" s="431">
        <v>19500</v>
      </c>
      <c r="E945" s="436">
        <v>495529</v>
      </c>
      <c r="F945" s="444">
        <v>3.3954603480781533E-2</v>
      </c>
      <c r="G945" s="427"/>
    </row>
    <row r="946" spans="2:7" x14ac:dyDescent="0.25">
      <c r="B946" s="430" t="s">
        <v>420</v>
      </c>
      <c r="C946" s="434">
        <v>43627</v>
      </c>
      <c r="D946" s="431">
        <v>19500</v>
      </c>
      <c r="E946" s="436">
        <v>393191</v>
      </c>
      <c r="F946" s="444">
        <v>0</v>
      </c>
      <c r="G946" s="427"/>
    </row>
    <row r="947" spans="2:7" x14ac:dyDescent="0.25">
      <c r="B947" s="430" t="s">
        <v>420</v>
      </c>
      <c r="C947" s="434">
        <v>43628</v>
      </c>
      <c r="D947" s="431">
        <v>19275</v>
      </c>
      <c r="E947" s="436">
        <v>648531</v>
      </c>
      <c r="F947" s="444">
        <v>-1.160554612030789E-2</v>
      </c>
      <c r="G947" s="427"/>
    </row>
    <row r="948" spans="2:7" x14ac:dyDescent="0.25">
      <c r="B948" s="430" t="s">
        <v>420</v>
      </c>
      <c r="C948" s="434">
        <v>43629</v>
      </c>
      <c r="D948" s="431">
        <v>19000</v>
      </c>
      <c r="E948" s="436">
        <v>746069</v>
      </c>
      <c r="F948" s="444">
        <v>-1.4369940282952675E-2</v>
      </c>
      <c r="G948" s="427"/>
    </row>
    <row r="949" spans="2:7" x14ac:dyDescent="0.25">
      <c r="B949" s="430" t="s">
        <v>420</v>
      </c>
      <c r="C949" s="434">
        <v>43630</v>
      </c>
      <c r="D949" s="431">
        <v>19000</v>
      </c>
      <c r="E949" s="436">
        <v>551069</v>
      </c>
      <c r="F949" s="444">
        <v>0</v>
      </c>
      <c r="G949" s="427"/>
    </row>
    <row r="950" spans="2:7" x14ac:dyDescent="0.25">
      <c r="B950" s="430" t="s">
        <v>420</v>
      </c>
      <c r="C950" s="434">
        <v>43634</v>
      </c>
      <c r="D950" s="431">
        <v>19264</v>
      </c>
      <c r="E950" s="436">
        <v>779765</v>
      </c>
      <c r="F950" s="444">
        <v>1.3799089959969993E-2</v>
      </c>
      <c r="G950" s="427"/>
    </row>
    <row r="951" spans="2:7" x14ac:dyDescent="0.25">
      <c r="B951" s="430" t="s">
        <v>420</v>
      </c>
      <c r="C951" s="434">
        <v>43635</v>
      </c>
      <c r="D951" s="431">
        <v>19409</v>
      </c>
      <c r="E951" s="436">
        <v>703898</v>
      </c>
      <c r="F951" s="444">
        <v>7.4988068921796013E-3</v>
      </c>
      <c r="G951" s="427"/>
    </row>
    <row r="952" spans="2:7" x14ac:dyDescent="0.25">
      <c r="B952" s="430" t="s">
        <v>420</v>
      </c>
      <c r="C952" s="434">
        <v>43636</v>
      </c>
      <c r="D952" s="431">
        <v>19790</v>
      </c>
      <c r="E952" s="436">
        <v>2542984</v>
      </c>
      <c r="F952" s="444">
        <v>1.9439883595884281E-2</v>
      </c>
      <c r="G952" s="427"/>
    </row>
    <row r="953" spans="2:7" x14ac:dyDescent="0.25">
      <c r="B953" s="430" t="s">
        <v>420</v>
      </c>
      <c r="C953" s="434">
        <v>43637</v>
      </c>
      <c r="D953" s="431">
        <v>19599</v>
      </c>
      <c r="E953" s="436">
        <v>966635</v>
      </c>
      <c r="F953" s="444">
        <v>-9.698215087751377E-3</v>
      </c>
      <c r="G953" s="427"/>
    </row>
    <row r="954" spans="2:7" x14ac:dyDescent="0.25">
      <c r="B954" s="430" t="s">
        <v>420</v>
      </c>
      <c r="C954" s="434">
        <v>43640</v>
      </c>
      <c r="D954" s="431">
        <v>19639</v>
      </c>
      <c r="E954" s="436">
        <v>274393</v>
      </c>
      <c r="F954" s="444">
        <v>2.0388406063630146E-3</v>
      </c>
      <c r="G954" s="427"/>
    </row>
    <row r="955" spans="2:7" x14ac:dyDescent="0.25">
      <c r="B955" s="430" t="s">
        <v>420</v>
      </c>
      <c r="C955" s="434">
        <v>43641</v>
      </c>
      <c r="D955" s="431">
        <v>19431</v>
      </c>
      <c r="E955" s="436">
        <v>249839</v>
      </c>
      <c r="F955" s="444">
        <v>-1.0647656264196306E-2</v>
      </c>
      <c r="G955" s="427"/>
    </row>
    <row r="956" spans="2:7" x14ac:dyDescent="0.25">
      <c r="B956" s="430" t="s">
        <v>420</v>
      </c>
      <c r="C956" s="434">
        <v>43642</v>
      </c>
      <c r="D956" s="431">
        <v>19374</v>
      </c>
      <c r="E956" s="436">
        <v>341532</v>
      </c>
      <c r="F956" s="444">
        <v>-2.9377678646965062E-3</v>
      </c>
      <c r="G956" s="427"/>
    </row>
    <row r="957" spans="2:7" x14ac:dyDescent="0.25">
      <c r="B957" s="430" t="s">
        <v>420</v>
      </c>
      <c r="C957" s="434">
        <v>43643</v>
      </c>
      <c r="D957" s="431">
        <v>19004</v>
      </c>
      <c r="E957" s="436">
        <v>504953</v>
      </c>
      <c r="F957" s="444">
        <v>-1.928247767951826E-2</v>
      </c>
      <c r="G957" s="427"/>
    </row>
    <row r="958" spans="2:7" x14ac:dyDescent="0.25">
      <c r="B958" s="430" t="s">
        <v>420</v>
      </c>
      <c r="C958" s="434">
        <v>43644</v>
      </c>
      <c r="D958" s="431">
        <v>18683</v>
      </c>
      <c r="E958" s="436">
        <v>634657</v>
      </c>
      <c r="F958" s="444">
        <v>-1.7035463846974529E-2</v>
      </c>
      <c r="G958" s="427"/>
    </row>
    <row r="959" spans="2:7" x14ac:dyDescent="0.25">
      <c r="B959" s="430" t="s">
        <v>420</v>
      </c>
      <c r="C959" s="434">
        <v>43647</v>
      </c>
      <c r="D959" s="431">
        <v>18605</v>
      </c>
      <c r="E959" s="436">
        <v>509819</v>
      </c>
      <c r="F959" s="444">
        <v>-4.1836576791145471E-3</v>
      </c>
      <c r="G959" s="427"/>
    </row>
    <row r="960" spans="2:7" x14ac:dyDescent="0.25">
      <c r="B960" s="430" t="s">
        <v>420</v>
      </c>
      <c r="C960" s="434">
        <v>43648</v>
      </c>
      <c r="D960" s="431">
        <v>18464</v>
      </c>
      <c r="E960" s="436">
        <v>326441</v>
      </c>
      <c r="F960" s="444">
        <v>-7.6074714728967844E-3</v>
      </c>
      <c r="G960" s="427"/>
    </row>
    <row r="961" spans="2:7" x14ac:dyDescent="0.25">
      <c r="B961" s="430" t="s">
        <v>420</v>
      </c>
      <c r="C961" s="434">
        <v>43649</v>
      </c>
      <c r="D961" s="431">
        <v>18630</v>
      </c>
      <c r="E961" s="436">
        <v>409988</v>
      </c>
      <c r="F961" s="444">
        <v>8.9502942878079833E-3</v>
      </c>
      <c r="G961" s="427"/>
    </row>
    <row r="962" spans="2:7" x14ac:dyDescent="0.25">
      <c r="B962" s="430" t="s">
        <v>420</v>
      </c>
      <c r="C962" s="434">
        <v>43650</v>
      </c>
      <c r="D962" s="431">
        <v>18718</v>
      </c>
      <c r="E962" s="436">
        <v>284073</v>
      </c>
      <c r="F962" s="444">
        <v>4.7124431215677613E-3</v>
      </c>
      <c r="G962" s="427"/>
    </row>
    <row r="963" spans="2:7" x14ac:dyDescent="0.25">
      <c r="B963" s="430" t="s">
        <v>420</v>
      </c>
      <c r="C963" s="434">
        <v>43651</v>
      </c>
      <c r="D963" s="431">
        <v>18658</v>
      </c>
      <c r="E963" s="436">
        <v>223075</v>
      </c>
      <c r="F963" s="444">
        <v>-3.2106191962954409E-3</v>
      </c>
      <c r="G963" s="427"/>
    </row>
    <row r="964" spans="2:7" x14ac:dyDescent="0.25">
      <c r="B964" s="430" t="s">
        <v>420</v>
      </c>
      <c r="C964" s="434">
        <v>43654</v>
      </c>
      <c r="D964" s="431">
        <v>18661</v>
      </c>
      <c r="E964" s="436">
        <v>413500</v>
      </c>
      <c r="F964" s="444">
        <v>1.6077601256530633E-4</v>
      </c>
      <c r="G964" s="427"/>
    </row>
    <row r="965" spans="2:7" x14ac:dyDescent="0.25">
      <c r="B965" s="430" t="s">
        <v>420</v>
      </c>
      <c r="C965" s="434">
        <v>43655</v>
      </c>
      <c r="D965" s="431">
        <v>18335</v>
      </c>
      <c r="E965" s="436">
        <v>573016</v>
      </c>
      <c r="F965" s="444">
        <v>-1.7623983028045225E-2</v>
      </c>
      <c r="G965" s="427"/>
    </row>
    <row r="966" spans="2:7" x14ac:dyDescent="0.25">
      <c r="B966" s="430" t="s">
        <v>420</v>
      </c>
      <c r="C966" s="434">
        <v>43656</v>
      </c>
      <c r="D966" s="431">
        <v>18818</v>
      </c>
      <c r="E966" s="436">
        <v>548622</v>
      </c>
      <c r="F966" s="444">
        <v>2.6002057061284573E-2</v>
      </c>
      <c r="G966" s="427"/>
    </row>
    <row r="967" spans="2:7" x14ac:dyDescent="0.25">
      <c r="B967" s="430" t="s">
        <v>420</v>
      </c>
      <c r="C967" s="434">
        <v>43657</v>
      </c>
      <c r="D967" s="431">
        <v>19000</v>
      </c>
      <c r="E967" s="436">
        <v>651835</v>
      </c>
      <c r="F967" s="444">
        <v>9.6251205818665697E-3</v>
      </c>
      <c r="G967" s="427"/>
    </row>
    <row r="968" spans="2:7" x14ac:dyDescent="0.25">
      <c r="B968" s="430" t="s">
        <v>420</v>
      </c>
      <c r="C968" s="434">
        <v>43658</v>
      </c>
      <c r="D968" s="431">
        <v>19273</v>
      </c>
      <c r="E968" s="436">
        <v>529442</v>
      </c>
      <c r="F968" s="444">
        <v>1.4266173550474028E-2</v>
      </c>
      <c r="G968" s="427"/>
    </row>
    <row r="969" spans="2:7" x14ac:dyDescent="0.25">
      <c r="B969" s="430" t="s">
        <v>420</v>
      </c>
      <c r="C969" s="434">
        <v>43661</v>
      </c>
      <c r="D969" s="431">
        <v>19213</v>
      </c>
      <c r="E969" s="436">
        <v>364393</v>
      </c>
      <c r="F969" s="444">
        <v>-3.1180194673501378E-3</v>
      </c>
      <c r="G969" s="427"/>
    </row>
    <row r="970" spans="2:7" x14ac:dyDescent="0.25">
      <c r="B970" s="430" t="s">
        <v>420</v>
      </c>
      <c r="C970" s="434">
        <v>43662</v>
      </c>
      <c r="D970" s="431">
        <v>19593</v>
      </c>
      <c r="E970" s="436">
        <v>403358</v>
      </c>
      <c r="F970" s="444">
        <v>1.9585226339065374E-2</v>
      </c>
      <c r="G970" s="427"/>
    </row>
    <row r="971" spans="2:7" x14ac:dyDescent="0.25">
      <c r="B971" s="430" t="s">
        <v>420</v>
      </c>
      <c r="C971" s="434">
        <v>43663</v>
      </c>
      <c r="D971" s="431">
        <v>19406</v>
      </c>
      <c r="E971" s="436">
        <v>682864</v>
      </c>
      <c r="F971" s="444">
        <v>-9.5900629855220059E-3</v>
      </c>
      <c r="G971" s="427"/>
    </row>
    <row r="972" spans="2:7" x14ac:dyDescent="0.25">
      <c r="B972" s="430" t="s">
        <v>420</v>
      </c>
      <c r="C972" s="434">
        <v>43664</v>
      </c>
      <c r="D972" s="431">
        <v>19388</v>
      </c>
      <c r="E972" s="436">
        <v>568542</v>
      </c>
      <c r="F972" s="444">
        <v>-9.2797861997816601E-4</v>
      </c>
      <c r="G972" s="427"/>
    </row>
    <row r="973" spans="2:7" x14ac:dyDescent="0.25">
      <c r="B973" s="430" t="s">
        <v>420</v>
      </c>
      <c r="C973" s="434">
        <v>43665</v>
      </c>
      <c r="D973" s="431">
        <v>19468</v>
      </c>
      <c r="E973" s="436">
        <v>412217</v>
      </c>
      <c r="F973" s="444">
        <v>4.1177739880783335E-3</v>
      </c>
      <c r="G973" s="427"/>
    </row>
    <row r="974" spans="2:7" x14ac:dyDescent="0.25">
      <c r="B974" s="430" t="s">
        <v>420</v>
      </c>
      <c r="C974" s="434">
        <v>43668</v>
      </c>
      <c r="D974" s="431">
        <v>19400</v>
      </c>
      <c r="E974" s="436">
        <v>510399</v>
      </c>
      <c r="F974" s="444">
        <v>-3.4990259019254612E-3</v>
      </c>
      <c r="G974" s="427"/>
    </row>
    <row r="975" spans="2:7" x14ac:dyDescent="0.25">
      <c r="B975" s="430" t="s">
        <v>420</v>
      </c>
      <c r="C975" s="434">
        <v>43669</v>
      </c>
      <c r="D975" s="431">
        <v>19375</v>
      </c>
      <c r="E975" s="436">
        <v>459533</v>
      </c>
      <c r="F975" s="444">
        <v>-1.2894908298717507E-3</v>
      </c>
      <c r="G975" s="427"/>
    </row>
    <row r="976" spans="2:7" x14ac:dyDescent="0.25">
      <c r="B976" s="430" t="s">
        <v>420</v>
      </c>
      <c r="C976" s="434">
        <v>43670</v>
      </c>
      <c r="D976" s="431">
        <v>19167</v>
      </c>
      <c r="E976" s="436">
        <v>272192</v>
      </c>
      <c r="F976" s="444">
        <v>-1.0793524951094828E-2</v>
      </c>
      <c r="G976" s="427"/>
    </row>
    <row r="977" spans="2:7" x14ac:dyDescent="0.25">
      <c r="B977" s="430" t="s">
        <v>420</v>
      </c>
      <c r="C977" s="434">
        <v>43671</v>
      </c>
      <c r="D977" s="431">
        <v>18781</v>
      </c>
      <c r="E977" s="436">
        <v>759666</v>
      </c>
      <c r="F977" s="444">
        <v>-2.0344329789515527E-2</v>
      </c>
      <c r="G977" s="427"/>
    </row>
    <row r="978" spans="2:7" x14ac:dyDescent="0.25">
      <c r="B978" s="430" t="s">
        <v>420</v>
      </c>
      <c r="C978" s="434">
        <v>43672</v>
      </c>
      <c r="D978" s="431">
        <v>18433</v>
      </c>
      <c r="E978" s="436">
        <v>580340</v>
      </c>
      <c r="F978" s="444">
        <v>-1.8703183984763803E-2</v>
      </c>
      <c r="G978" s="427"/>
    </row>
    <row r="979" spans="2:7" x14ac:dyDescent="0.25">
      <c r="B979" s="430" t="s">
        <v>420</v>
      </c>
      <c r="C979" s="434">
        <v>43675</v>
      </c>
      <c r="D979" s="431">
        <v>18656</v>
      </c>
      <c r="E979" s="436">
        <v>388963</v>
      </c>
      <c r="F979" s="444">
        <v>1.2025273654045286E-2</v>
      </c>
      <c r="G979" s="427"/>
    </row>
    <row r="980" spans="2:7" x14ac:dyDescent="0.25">
      <c r="B980" s="430" t="s">
        <v>420</v>
      </c>
      <c r="C980" s="434">
        <v>43676</v>
      </c>
      <c r="D980" s="431">
        <v>18617</v>
      </c>
      <c r="E980" s="436">
        <v>1034199</v>
      </c>
      <c r="F980" s="444">
        <v>-2.0926683783219968E-3</v>
      </c>
      <c r="G980" s="427"/>
    </row>
    <row r="981" spans="2:7" x14ac:dyDescent="0.25">
      <c r="B981" s="430" t="s">
        <v>420</v>
      </c>
      <c r="C981" s="434">
        <v>43677</v>
      </c>
      <c r="D981" s="431">
        <v>18420</v>
      </c>
      <c r="E981" s="436">
        <v>1091837</v>
      </c>
      <c r="F981" s="444">
        <v>-1.0638110962599083E-2</v>
      </c>
      <c r="G981" s="427"/>
    </row>
    <row r="982" spans="2:7" x14ac:dyDescent="0.25">
      <c r="B982" s="430" t="s">
        <v>420</v>
      </c>
      <c r="C982" s="434">
        <v>43678</v>
      </c>
      <c r="D982" s="431">
        <v>18596</v>
      </c>
      <c r="E982" s="436">
        <v>488650</v>
      </c>
      <c r="F982" s="444">
        <v>9.5094730011774358E-3</v>
      </c>
      <c r="G982" s="427"/>
    </row>
    <row r="983" spans="2:7" x14ac:dyDescent="0.25">
      <c r="B983" s="430" t="s">
        <v>420</v>
      </c>
      <c r="C983" s="434">
        <v>43679</v>
      </c>
      <c r="D983" s="431">
        <v>18700</v>
      </c>
      <c r="E983" s="436">
        <v>613263</v>
      </c>
      <c r="F983" s="444">
        <v>5.5770200322027199E-3</v>
      </c>
      <c r="G983" s="427"/>
    </row>
    <row r="984" spans="2:7" x14ac:dyDescent="0.25">
      <c r="B984" s="430" t="s">
        <v>420</v>
      </c>
      <c r="C984" s="434">
        <v>43682</v>
      </c>
      <c r="D984" s="431">
        <v>18601</v>
      </c>
      <c r="E984" s="436">
        <v>589522</v>
      </c>
      <c r="F984" s="444">
        <v>-5.3081811457271087E-3</v>
      </c>
      <c r="G984" s="427"/>
    </row>
    <row r="985" spans="2:7" x14ac:dyDescent="0.25">
      <c r="B985" s="430" t="s">
        <v>420</v>
      </c>
      <c r="C985" s="434">
        <v>43683</v>
      </c>
      <c r="D985" s="431">
        <v>18834</v>
      </c>
      <c r="E985" s="436">
        <v>597316</v>
      </c>
      <c r="F985" s="444">
        <v>1.244840437305763E-2</v>
      </c>
      <c r="G985" s="427"/>
    </row>
    <row r="986" spans="2:7" x14ac:dyDescent="0.25">
      <c r="B986" s="430" t="s">
        <v>420</v>
      </c>
      <c r="C986" s="434">
        <v>43684</v>
      </c>
      <c r="D986" s="431">
        <v>18560</v>
      </c>
      <c r="E986" s="436">
        <v>1279406</v>
      </c>
      <c r="F986" s="444">
        <v>-1.4655019729817014E-2</v>
      </c>
      <c r="G986" s="427"/>
    </row>
    <row r="987" spans="2:7" x14ac:dyDescent="0.25">
      <c r="B987" s="430" t="s">
        <v>420</v>
      </c>
      <c r="C987" s="434">
        <v>43685</v>
      </c>
      <c r="D987" s="431">
        <v>18772</v>
      </c>
      <c r="E987" s="436">
        <v>607493</v>
      </c>
      <c r="F987" s="444">
        <v>1.135767057411664E-2</v>
      </c>
      <c r="G987" s="427"/>
    </row>
    <row r="988" spans="2:7" x14ac:dyDescent="0.25">
      <c r="B988" s="430" t="s">
        <v>420</v>
      </c>
      <c r="C988" s="434">
        <v>43689</v>
      </c>
      <c r="D988" s="431">
        <v>18481</v>
      </c>
      <c r="E988" s="436">
        <v>329306</v>
      </c>
      <c r="F988" s="444">
        <v>-1.5623220628552002E-2</v>
      </c>
      <c r="G988" s="427"/>
    </row>
    <row r="989" spans="2:7" x14ac:dyDescent="0.25">
      <c r="B989" s="430" t="s">
        <v>420</v>
      </c>
      <c r="C989" s="434">
        <v>43690</v>
      </c>
      <c r="D989" s="431">
        <v>18693</v>
      </c>
      <c r="E989" s="436">
        <v>644190</v>
      </c>
      <c r="F989" s="444">
        <v>1.1405944926575411E-2</v>
      </c>
      <c r="G989" s="427"/>
    </row>
    <row r="990" spans="2:7" x14ac:dyDescent="0.25">
      <c r="B990" s="430" t="s">
        <v>420</v>
      </c>
      <c r="C990" s="434">
        <v>43691</v>
      </c>
      <c r="D990" s="431">
        <v>18228</v>
      </c>
      <c r="E990" s="436">
        <v>567152</v>
      </c>
      <c r="F990" s="444">
        <v>-2.5190248828558519E-2</v>
      </c>
      <c r="G990" s="427"/>
    </row>
    <row r="991" spans="2:7" x14ac:dyDescent="0.25">
      <c r="B991" s="430" t="s">
        <v>420</v>
      </c>
      <c r="C991" s="434">
        <v>43692</v>
      </c>
      <c r="D991" s="431">
        <v>18400</v>
      </c>
      <c r="E991" s="436">
        <v>681922</v>
      </c>
      <c r="F991" s="444">
        <v>9.3917912133038173E-3</v>
      </c>
      <c r="G991" s="427"/>
    </row>
    <row r="992" spans="2:7" x14ac:dyDescent="0.25">
      <c r="B992" s="430" t="s">
        <v>420</v>
      </c>
      <c r="C992" s="434">
        <v>43693</v>
      </c>
      <c r="D992" s="431">
        <v>18434</v>
      </c>
      <c r="E992" s="436">
        <v>897109</v>
      </c>
      <c r="F992" s="444">
        <v>1.8461209565325857E-3</v>
      </c>
      <c r="G992" s="427"/>
    </row>
    <row r="993" spans="2:7" x14ac:dyDescent="0.25">
      <c r="B993" s="430" t="s">
        <v>420</v>
      </c>
      <c r="C993" s="434">
        <v>43696</v>
      </c>
      <c r="D993" s="431">
        <v>18425</v>
      </c>
      <c r="E993" s="436">
        <v>381922</v>
      </c>
      <c r="F993" s="444">
        <v>-4.8834749607213972E-4</v>
      </c>
      <c r="G993" s="427"/>
    </row>
    <row r="994" spans="2:7" x14ac:dyDescent="0.25">
      <c r="B994" s="430" t="s">
        <v>420</v>
      </c>
      <c r="C994" s="434">
        <v>43697</v>
      </c>
      <c r="D994" s="431">
        <v>18172</v>
      </c>
      <c r="E994" s="436">
        <v>761942</v>
      </c>
      <c r="F994" s="444">
        <v>-1.3826490178243398E-2</v>
      </c>
      <c r="G994" s="427"/>
    </row>
    <row r="995" spans="2:7" x14ac:dyDescent="0.25">
      <c r="B995" s="430" t="s">
        <v>420</v>
      </c>
      <c r="C995" s="434">
        <v>43698</v>
      </c>
      <c r="D995" s="431">
        <v>18341</v>
      </c>
      <c r="E995" s="436">
        <v>550603</v>
      </c>
      <c r="F995" s="444">
        <v>9.2570430717386475E-3</v>
      </c>
      <c r="G995" s="427"/>
    </row>
    <row r="996" spans="2:7" x14ac:dyDescent="0.25">
      <c r="B996" s="430" t="s">
        <v>420</v>
      </c>
      <c r="C996" s="434">
        <v>43699</v>
      </c>
      <c r="D996" s="431">
        <v>17343</v>
      </c>
      <c r="E996" s="436">
        <v>980190</v>
      </c>
      <c r="F996" s="444">
        <v>-5.5950024200446764E-2</v>
      </c>
      <c r="G996" s="427"/>
    </row>
    <row r="997" spans="2:7" x14ac:dyDescent="0.25">
      <c r="B997" s="430" t="s">
        <v>420</v>
      </c>
      <c r="C997" s="434">
        <v>43700</v>
      </c>
      <c r="D997" s="431">
        <v>17124</v>
      </c>
      <c r="E997" s="436">
        <v>535941</v>
      </c>
      <c r="F997" s="444">
        <v>-1.2707978485749016E-2</v>
      </c>
      <c r="G997" s="427"/>
    </row>
    <row r="998" spans="2:7" x14ac:dyDescent="0.25">
      <c r="B998" s="430" t="s">
        <v>420</v>
      </c>
      <c r="C998" s="434">
        <v>43703</v>
      </c>
      <c r="D998" s="431">
        <v>16793</v>
      </c>
      <c r="E998" s="436">
        <v>518373</v>
      </c>
      <c r="F998" s="444">
        <v>-1.9518855369828825E-2</v>
      </c>
      <c r="G998" s="427"/>
    </row>
    <row r="999" spans="2:7" x14ac:dyDescent="0.25">
      <c r="B999" s="430" t="s">
        <v>420</v>
      </c>
      <c r="C999" s="434">
        <v>43704</v>
      </c>
      <c r="D999" s="431">
        <v>16724</v>
      </c>
      <c r="E999" s="436">
        <v>1291039</v>
      </c>
      <c r="F999" s="444">
        <v>-4.1173194185522791E-3</v>
      </c>
      <c r="G999" s="427"/>
    </row>
    <row r="1000" spans="2:7" x14ac:dyDescent="0.25">
      <c r="B1000" s="430" t="s">
        <v>420</v>
      </c>
      <c r="C1000" s="434">
        <v>43705</v>
      </c>
      <c r="D1000" s="431">
        <v>17256</v>
      </c>
      <c r="E1000" s="436">
        <v>858292</v>
      </c>
      <c r="F1000" s="444">
        <v>3.1315095592536778E-2</v>
      </c>
      <c r="G1000" s="427"/>
    </row>
    <row r="1001" spans="2:7" x14ac:dyDescent="0.25">
      <c r="B1001" s="430" t="s">
        <v>420</v>
      </c>
      <c r="C1001" s="434">
        <v>43706</v>
      </c>
      <c r="D1001" s="431">
        <v>16891</v>
      </c>
      <c r="E1001" s="436">
        <v>673074</v>
      </c>
      <c r="F1001" s="444">
        <v>-2.1378973388647311E-2</v>
      </c>
      <c r="G1001" s="427"/>
    </row>
    <row r="1002" spans="2:7" x14ac:dyDescent="0.25">
      <c r="B1002" s="430" t="s">
        <v>420</v>
      </c>
      <c r="C1002" s="434">
        <v>43707</v>
      </c>
      <c r="D1002" s="431">
        <v>17383</v>
      </c>
      <c r="E1002" s="436">
        <v>697469</v>
      </c>
      <c r="F1002" s="444">
        <v>2.8711781441195419E-2</v>
      </c>
      <c r="G1002" s="427"/>
    </row>
    <row r="1003" spans="2:7" x14ac:dyDescent="0.25">
      <c r="B1003" s="430" t="s">
        <v>420</v>
      </c>
      <c r="C1003" s="434">
        <v>43710</v>
      </c>
      <c r="D1003" s="431">
        <v>17130</v>
      </c>
      <c r="E1003" s="436">
        <v>420902</v>
      </c>
      <c r="F1003" s="444">
        <v>-1.4661404803374757E-2</v>
      </c>
      <c r="G1003" s="427"/>
    </row>
    <row r="1004" spans="2:7" x14ac:dyDescent="0.25">
      <c r="B1004" s="430" t="s">
        <v>420</v>
      </c>
      <c r="C1004" s="434">
        <v>43711</v>
      </c>
      <c r="D1004" s="431">
        <v>17292</v>
      </c>
      <c r="E1004" s="436">
        <v>351363</v>
      </c>
      <c r="F1004" s="444">
        <v>9.4126544693568046E-3</v>
      </c>
      <c r="G1004" s="427"/>
    </row>
    <row r="1005" spans="2:7" x14ac:dyDescent="0.25">
      <c r="B1005" s="430" t="s">
        <v>420</v>
      </c>
      <c r="C1005" s="434">
        <v>43712</v>
      </c>
      <c r="D1005" s="431">
        <v>17436</v>
      </c>
      <c r="E1005" s="436">
        <v>585123</v>
      </c>
      <c r="F1005" s="444">
        <v>8.2930675707607298E-3</v>
      </c>
      <c r="G1005" s="427"/>
    </row>
    <row r="1006" spans="2:7" x14ac:dyDescent="0.25">
      <c r="B1006" s="430" t="s">
        <v>420</v>
      </c>
      <c r="C1006" s="434">
        <v>43713</v>
      </c>
      <c r="D1006" s="431">
        <v>17875</v>
      </c>
      <c r="E1006" s="436">
        <v>601240</v>
      </c>
      <c r="F1006" s="444">
        <v>2.4866054203925292E-2</v>
      </c>
      <c r="G1006" s="427"/>
    </row>
    <row r="1007" spans="2:7" x14ac:dyDescent="0.25">
      <c r="B1007" s="430" t="s">
        <v>420</v>
      </c>
      <c r="C1007" s="434">
        <v>43714</v>
      </c>
      <c r="D1007" s="431">
        <v>18200</v>
      </c>
      <c r="E1007" s="436">
        <v>728858</v>
      </c>
      <c r="F1007" s="444">
        <v>1.8018505502678212E-2</v>
      </c>
      <c r="G1007" s="427"/>
    </row>
    <row r="1008" spans="2:7" x14ac:dyDescent="0.25">
      <c r="B1008" s="430" t="s">
        <v>420</v>
      </c>
      <c r="C1008" s="434">
        <v>43717</v>
      </c>
      <c r="D1008" s="431">
        <v>18463</v>
      </c>
      <c r="E1008" s="436">
        <v>606384</v>
      </c>
      <c r="F1008" s="444">
        <v>1.4347135330856296E-2</v>
      </c>
      <c r="G1008" s="427"/>
    </row>
    <row r="1009" spans="2:7" x14ac:dyDescent="0.25">
      <c r="B1009" s="430" t="s">
        <v>420</v>
      </c>
      <c r="C1009" s="434">
        <v>43718</v>
      </c>
      <c r="D1009" s="431">
        <v>18389</v>
      </c>
      <c r="E1009" s="436">
        <v>390954</v>
      </c>
      <c r="F1009" s="444">
        <v>-4.0160696548899432E-3</v>
      </c>
      <c r="G1009" s="427"/>
    </row>
    <row r="1010" spans="2:7" x14ac:dyDescent="0.25">
      <c r="B1010" s="430" t="s">
        <v>420</v>
      </c>
      <c r="C1010" s="434">
        <v>43719</v>
      </c>
      <c r="D1010" s="431">
        <v>18276</v>
      </c>
      <c r="E1010" s="436">
        <v>444429</v>
      </c>
      <c r="F1010" s="444">
        <v>-6.1639360576910751E-3</v>
      </c>
      <c r="G1010" s="427"/>
    </row>
    <row r="1011" spans="2:7" x14ac:dyDescent="0.25">
      <c r="B1011" s="430" t="s">
        <v>420</v>
      </c>
      <c r="C1011" s="434">
        <v>43720</v>
      </c>
      <c r="D1011" s="431">
        <v>18712</v>
      </c>
      <c r="E1011" s="436">
        <v>1137744</v>
      </c>
      <c r="F1011" s="444">
        <v>2.3576305580852865E-2</v>
      </c>
      <c r="G1011" s="427"/>
    </row>
    <row r="1012" spans="2:7" x14ac:dyDescent="0.25">
      <c r="B1012" s="430" t="s">
        <v>420</v>
      </c>
      <c r="C1012" s="434">
        <v>43721</v>
      </c>
      <c r="D1012" s="431">
        <v>18738</v>
      </c>
      <c r="E1012" s="436">
        <v>489774</v>
      </c>
      <c r="F1012" s="444">
        <v>1.3885182471186693E-3</v>
      </c>
      <c r="G1012" s="427"/>
    </row>
    <row r="1013" spans="2:7" x14ac:dyDescent="0.25">
      <c r="B1013" s="430" t="s">
        <v>420</v>
      </c>
      <c r="C1013" s="434">
        <v>43724</v>
      </c>
      <c r="D1013" s="431">
        <v>19674</v>
      </c>
      <c r="E1013" s="436">
        <v>1157230</v>
      </c>
      <c r="F1013" s="444">
        <v>4.8744419561569594E-2</v>
      </c>
      <c r="G1013" s="427"/>
    </row>
    <row r="1014" spans="2:7" x14ac:dyDescent="0.25">
      <c r="B1014" s="430" t="s">
        <v>420</v>
      </c>
      <c r="C1014" s="434">
        <v>43725</v>
      </c>
      <c r="D1014" s="431">
        <v>19201</v>
      </c>
      <c r="E1014" s="436">
        <v>856210</v>
      </c>
      <c r="F1014" s="444">
        <v>-2.433560607978677E-2</v>
      </c>
      <c r="G1014" s="427"/>
    </row>
    <row r="1015" spans="2:7" x14ac:dyDescent="0.25">
      <c r="B1015" s="430" t="s">
        <v>420</v>
      </c>
      <c r="C1015" s="434">
        <v>43726</v>
      </c>
      <c r="D1015" s="431">
        <v>19300</v>
      </c>
      <c r="E1015" s="436">
        <v>465314</v>
      </c>
      <c r="F1015" s="444">
        <v>5.1427349000603521E-3</v>
      </c>
      <c r="G1015" s="427"/>
    </row>
    <row r="1016" spans="2:7" x14ac:dyDescent="0.25">
      <c r="B1016" s="430" t="s">
        <v>420</v>
      </c>
      <c r="C1016" s="434">
        <v>43727</v>
      </c>
      <c r="D1016" s="431">
        <v>19201</v>
      </c>
      <c r="E1016" s="436">
        <v>1727679</v>
      </c>
      <c r="F1016" s="444">
        <v>-5.142734900060366E-3</v>
      </c>
      <c r="G1016" s="427"/>
    </row>
    <row r="1017" spans="2:7" x14ac:dyDescent="0.25">
      <c r="B1017" s="430" t="s">
        <v>420</v>
      </c>
      <c r="C1017" s="434">
        <v>43728</v>
      </c>
      <c r="D1017" s="431">
        <v>19217</v>
      </c>
      <c r="E1017" s="436">
        <v>1526656</v>
      </c>
      <c r="F1017" s="444">
        <v>8.3294293951063415E-4</v>
      </c>
      <c r="G1017" s="427"/>
    </row>
    <row r="1018" spans="2:7" x14ac:dyDescent="0.25">
      <c r="B1018" s="430" t="s">
        <v>420</v>
      </c>
      <c r="C1018" s="434">
        <v>43731</v>
      </c>
      <c r="D1018" s="431">
        <v>19113</v>
      </c>
      <c r="E1018" s="436">
        <v>567317</v>
      </c>
      <c r="F1018" s="444">
        <v>-5.4265721478292004E-3</v>
      </c>
      <c r="G1018" s="427"/>
    </row>
    <row r="1019" spans="2:7" x14ac:dyDescent="0.25">
      <c r="B1019" s="430" t="s">
        <v>420</v>
      </c>
      <c r="C1019" s="434">
        <v>43733</v>
      </c>
      <c r="D1019" s="431">
        <v>18666</v>
      </c>
      <c r="E1019" s="436">
        <v>596353</v>
      </c>
      <c r="F1019" s="444">
        <v>-2.366504465890585E-2</v>
      </c>
      <c r="G1019" s="427"/>
    </row>
    <row r="1020" spans="2:7" x14ac:dyDescent="0.25">
      <c r="B1020" s="430" t="s">
        <v>420</v>
      </c>
      <c r="C1020" s="434">
        <v>43734</v>
      </c>
      <c r="D1020" s="431">
        <v>19139</v>
      </c>
      <c r="E1020" s="436">
        <v>558468</v>
      </c>
      <c r="F1020" s="444">
        <v>2.5024450912381233E-2</v>
      </c>
      <c r="G1020" s="427"/>
    </row>
    <row r="1021" spans="2:7" x14ac:dyDescent="0.25">
      <c r="B1021" s="430" t="s">
        <v>420</v>
      </c>
      <c r="C1021" s="434">
        <v>43735</v>
      </c>
      <c r="D1021" s="431">
        <v>19272</v>
      </c>
      <c r="E1021" s="436">
        <v>569684</v>
      </c>
      <c r="F1021" s="444">
        <v>6.9251272566341979E-3</v>
      </c>
      <c r="G1021" s="427"/>
    </row>
    <row r="1022" spans="2:7" x14ac:dyDescent="0.25">
      <c r="B1022" s="430" t="s">
        <v>420</v>
      </c>
      <c r="C1022" s="434">
        <v>43738</v>
      </c>
      <c r="D1022" s="431">
        <v>19101</v>
      </c>
      <c r="E1022" s="436">
        <v>639856</v>
      </c>
      <c r="F1022" s="444">
        <v>-8.912575609572251E-3</v>
      </c>
      <c r="G1022" s="427"/>
    </row>
    <row r="1023" spans="2:7" x14ac:dyDescent="0.25">
      <c r="B1023" s="430" t="s">
        <v>420</v>
      </c>
      <c r="C1023" s="434">
        <v>43739</v>
      </c>
      <c r="D1023" s="431">
        <v>19093</v>
      </c>
      <c r="E1023" s="436">
        <v>549606</v>
      </c>
      <c r="F1023" s="444">
        <v>-4.1891397167053009E-4</v>
      </c>
      <c r="G1023" s="427"/>
    </row>
    <row r="1024" spans="2:7" x14ac:dyDescent="0.25">
      <c r="B1024" s="430" t="s">
        <v>420</v>
      </c>
      <c r="C1024" s="434">
        <v>43740</v>
      </c>
      <c r="D1024" s="431">
        <v>18905</v>
      </c>
      <c r="E1024" s="436">
        <v>665248</v>
      </c>
      <c r="F1024" s="444">
        <v>-9.8953383884312837E-3</v>
      </c>
      <c r="G1024" s="427"/>
    </row>
    <row r="1025" spans="2:7" x14ac:dyDescent="0.25">
      <c r="B1025" s="430" t="s">
        <v>420</v>
      </c>
      <c r="C1025" s="434">
        <v>43741</v>
      </c>
      <c r="D1025" s="431">
        <v>18989</v>
      </c>
      <c r="E1025" s="436">
        <v>322272</v>
      </c>
      <c r="F1025" s="444">
        <v>4.4334268003836056E-3</v>
      </c>
      <c r="G1025" s="427"/>
    </row>
    <row r="1026" spans="2:7" x14ac:dyDescent="0.25">
      <c r="B1026" s="430" t="s">
        <v>420</v>
      </c>
      <c r="C1026" s="434">
        <v>43742</v>
      </c>
      <c r="D1026" s="431">
        <v>19033</v>
      </c>
      <c r="E1026" s="436">
        <v>520770</v>
      </c>
      <c r="F1026" s="444">
        <v>2.3144505623671789E-3</v>
      </c>
      <c r="G1026" s="427"/>
    </row>
    <row r="1027" spans="2:7" x14ac:dyDescent="0.25">
      <c r="B1027" s="430" t="s">
        <v>420</v>
      </c>
      <c r="C1027" s="434">
        <v>43745</v>
      </c>
      <c r="D1027" s="431">
        <v>19283</v>
      </c>
      <c r="E1027" s="436">
        <v>525138</v>
      </c>
      <c r="F1027" s="444">
        <v>1.304956403182103E-2</v>
      </c>
      <c r="G1027" s="427"/>
    </row>
    <row r="1028" spans="2:7" x14ac:dyDescent="0.25">
      <c r="B1028" s="430" t="s">
        <v>420</v>
      </c>
      <c r="C1028" s="434">
        <v>43746</v>
      </c>
      <c r="D1028" s="431">
        <v>19405</v>
      </c>
      <c r="E1028" s="436">
        <v>603416</v>
      </c>
      <c r="F1028" s="444">
        <v>6.3068860834015368E-3</v>
      </c>
      <c r="G1028" s="427"/>
    </row>
    <row r="1029" spans="2:7" x14ac:dyDescent="0.25">
      <c r="B1029" s="430" t="s">
        <v>420</v>
      </c>
      <c r="C1029" s="434">
        <v>43747</v>
      </c>
      <c r="D1029" s="431">
        <v>19080</v>
      </c>
      <c r="E1029" s="436">
        <v>484993</v>
      </c>
      <c r="F1029" s="444">
        <v>-1.6890098800729215E-2</v>
      </c>
      <c r="G1029" s="427"/>
    </row>
    <row r="1030" spans="2:7" x14ac:dyDescent="0.25">
      <c r="B1030" s="430" t="s">
        <v>420</v>
      </c>
      <c r="C1030" s="434">
        <v>43748</v>
      </c>
      <c r="D1030" s="431">
        <v>19146</v>
      </c>
      <c r="E1030" s="436">
        <v>606069</v>
      </c>
      <c r="F1030" s="444">
        <v>3.4531505040210448E-3</v>
      </c>
      <c r="G1030" s="427"/>
    </row>
    <row r="1031" spans="2:7" x14ac:dyDescent="0.25">
      <c r="B1031" s="430" t="s">
        <v>420</v>
      </c>
      <c r="C1031" s="434">
        <v>43749</v>
      </c>
      <c r="D1031" s="431">
        <v>19173</v>
      </c>
      <c r="E1031" s="436">
        <v>460591</v>
      </c>
      <c r="F1031" s="444">
        <v>1.4092228120929401E-3</v>
      </c>
      <c r="G1031" s="427"/>
    </row>
    <row r="1032" spans="2:7" x14ac:dyDescent="0.25">
      <c r="B1032" s="430" t="s">
        <v>420</v>
      </c>
      <c r="C1032" s="434">
        <v>43752</v>
      </c>
      <c r="D1032" s="431">
        <v>18765</v>
      </c>
      <c r="E1032" s="436">
        <v>758548</v>
      </c>
      <c r="F1032" s="444">
        <v>-2.1509606749270216E-2</v>
      </c>
      <c r="G1032" s="427"/>
    </row>
    <row r="1033" spans="2:7" x14ac:dyDescent="0.25">
      <c r="B1033" s="430" t="s">
        <v>420</v>
      </c>
      <c r="C1033" s="434">
        <v>43753</v>
      </c>
      <c r="D1033" s="431">
        <v>18759</v>
      </c>
      <c r="E1033" s="436">
        <v>537473</v>
      </c>
      <c r="F1033" s="444">
        <v>-3.1979533371362574E-4</v>
      </c>
      <c r="G1033" s="427"/>
    </row>
    <row r="1034" spans="2:7" x14ac:dyDescent="0.25">
      <c r="B1034" s="430" t="s">
        <v>420</v>
      </c>
      <c r="C1034" s="434">
        <v>43754</v>
      </c>
      <c r="D1034" s="431">
        <v>19100</v>
      </c>
      <c r="E1034" s="436">
        <v>615879</v>
      </c>
      <c r="F1034" s="444">
        <v>1.8014697799313684E-2</v>
      </c>
      <c r="G1034" s="427"/>
    </row>
    <row r="1035" spans="2:7" x14ac:dyDescent="0.25">
      <c r="B1035" s="430" t="s">
        <v>420</v>
      </c>
      <c r="C1035" s="434">
        <v>43755</v>
      </c>
      <c r="D1035" s="431">
        <v>19188</v>
      </c>
      <c r="E1035" s="436">
        <v>794961</v>
      </c>
      <c r="F1035" s="444">
        <v>4.5967485872332476E-3</v>
      </c>
      <c r="G1035" s="427"/>
    </row>
    <row r="1036" spans="2:7" x14ac:dyDescent="0.25">
      <c r="B1036" s="430" t="s">
        <v>420</v>
      </c>
      <c r="C1036" s="434">
        <v>43756</v>
      </c>
      <c r="D1036" s="431">
        <v>19244</v>
      </c>
      <c r="E1036" s="436">
        <v>1316274</v>
      </c>
      <c r="F1036" s="444">
        <v>2.9142401973898152E-3</v>
      </c>
      <c r="G1036" s="427"/>
    </row>
    <row r="1037" spans="2:7" x14ac:dyDescent="0.25">
      <c r="B1037" s="430" t="s">
        <v>420</v>
      </c>
      <c r="C1037" s="434">
        <v>43759</v>
      </c>
      <c r="D1037" s="431">
        <v>19000</v>
      </c>
      <c r="E1037" s="436">
        <v>544990</v>
      </c>
      <c r="F1037" s="444">
        <v>-1.2760344670766836E-2</v>
      </c>
      <c r="G1037" s="427"/>
    </row>
    <row r="1038" spans="2:7" x14ac:dyDescent="0.25">
      <c r="B1038" s="430" t="s">
        <v>420</v>
      </c>
      <c r="C1038" s="434">
        <v>43760</v>
      </c>
      <c r="D1038" s="431">
        <v>20029</v>
      </c>
      <c r="E1038" s="436">
        <v>1320722</v>
      </c>
      <c r="F1038" s="444">
        <v>5.2742244152655091E-2</v>
      </c>
      <c r="G1038" s="427"/>
    </row>
    <row r="1039" spans="2:7" x14ac:dyDescent="0.25">
      <c r="B1039" s="430" t="s">
        <v>420</v>
      </c>
      <c r="C1039" s="434">
        <v>43761</v>
      </c>
      <c r="D1039" s="431">
        <v>20205</v>
      </c>
      <c r="E1039" s="436">
        <v>538723</v>
      </c>
      <c r="F1039" s="444">
        <v>8.7488752113414649E-3</v>
      </c>
      <c r="G1039" s="427"/>
    </row>
    <row r="1040" spans="2:7" x14ac:dyDescent="0.25">
      <c r="B1040" s="430" t="s">
        <v>420</v>
      </c>
      <c r="C1040" s="434">
        <v>43762</v>
      </c>
      <c r="D1040" s="431">
        <v>20069</v>
      </c>
      <c r="E1040" s="436">
        <v>485959</v>
      </c>
      <c r="F1040" s="444">
        <v>-6.7537625738909191E-3</v>
      </c>
      <c r="G1040" s="427"/>
    </row>
    <row r="1041" spans="2:7" x14ac:dyDescent="0.25">
      <c r="B1041" s="430" t="s">
        <v>420</v>
      </c>
      <c r="C1041" s="434">
        <v>43763</v>
      </c>
      <c r="D1041" s="431">
        <v>19894</v>
      </c>
      <c r="E1041" s="436">
        <v>259071</v>
      </c>
      <c r="F1041" s="444">
        <v>-8.7581572263239031E-3</v>
      </c>
      <c r="G1041" s="427"/>
    </row>
    <row r="1042" spans="2:7" x14ac:dyDescent="0.25">
      <c r="B1042" s="430" t="s">
        <v>420</v>
      </c>
      <c r="C1042" s="434">
        <v>43766</v>
      </c>
      <c r="D1042" s="431">
        <v>20016</v>
      </c>
      <c r="E1042" s="436">
        <v>633333</v>
      </c>
      <c r="F1042" s="444">
        <v>6.1137749943330575E-3</v>
      </c>
      <c r="G1042" s="427"/>
    </row>
    <row r="1043" spans="2:7" x14ac:dyDescent="0.25">
      <c r="B1043" s="430" t="s">
        <v>420</v>
      </c>
      <c r="C1043" s="434">
        <v>43767</v>
      </c>
      <c r="D1043" s="431">
        <v>20222</v>
      </c>
      <c r="E1043" s="436">
        <v>574755</v>
      </c>
      <c r="F1043" s="444">
        <v>1.0239166944651981E-2</v>
      </c>
      <c r="G1043" s="427"/>
    </row>
    <row r="1044" spans="2:7" x14ac:dyDescent="0.25">
      <c r="B1044" s="430" t="s">
        <v>420</v>
      </c>
      <c r="C1044" s="434">
        <v>43768</v>
      </c>
      <c r="D1044" s="431">
        <v>19641</v>
      </c>
      <c r="E1044" s="436">
        <v>1724658</v>
      </c>
      <c r="F1044" s="444">
        <v>-2.9151902542143289E-2</v>
      </c>
      <c r="G1044" s="427"/>
    </row>
    <row r="1045" spans="2:7" x14ac:dyDescent="0.25">
      <c r="B1045" s="430" t="s">
        <v>420</v>
      </c>
      <c r="C1045" s="434">
        <v>43769</v>
      </c>
      <c r="D1045" s="431">
        <v>20303</v>
      </c>
      <c r="E1045" s="436">
        <v>1327395</v>
      </c>
      <c r="F1045" s="444">
        <v>3.3149440253040334E-2</v>
      </c>
      <c r="G1045" s="427"/>
    </row>
    <row r="1046" spans="2:7" x14ac:dyDescent="0.25">
      <c r="B1046" s="430" t="s">
        <v>420</v>
      </c>
      <c r="C1046" s="434">
        <v>43770</v>
      </c>
      <c r="D1046" s="431">
        <v>20232</v>
      </c>
      <c r="E1046" s="436">
        <v>322290</v>
      </c>
      <c r="F1046" s="444">
        <v>-3.5031490124402703E-3</v>
      </c>
      <c r="G1046" s="427"/>
    </row>
    <row r="1047" spans="2:7" x14ac:dyDescent="0.25">
      <c r="B1047" s="430" t="s">
        <v>420</v>
      </c>
      <c r="C1047" s="434">
        <v>43773</v>
      </c>
      <c r="D1047" s="431">
        <v>20407</v>
      </c>
      <c r="E1047" s="436">
        <v>692842</v>
      </c>
      <c r="F1047" s="444">
        <v>8.6124698792847711E-3</v>
      </c>
      <c r="G1047" s="427"/>
    </row>
    <row r="1048" spans="2:7" x14ac:dyDescent="0.25">
      <c r="B1048" s="430" t="s">
        <v>420</v>
      </c>
      <c r="C1048" s="434">
        <v>43774</v>
      </c>
      <c r="D1048" s="431">
        <v>20311</v>
      </c>
      <c r="E1048" s="436">
        <v>682787</v>
      </c>
      <c r="F1048" s="444">
        <v>-4.7153680376000812E-3</v>
      </c>
      <c r="G1048" s="427"/>
    </row>
    <row r="1049" spans="2:7" x14ac:dyDescent="0.25">
      <c r="B1049" s="430" t="s">
        <v>420</v>
      </c>
      <c r="C1049" s="434">
        <v>43775</v>
      </c>
      <c r="D1049" s="431">
        <v>20554</v>
      </c>
      <c r="E1049" s="436">
        <v>580805</v>
      </c>
      <c r="F1049" s="444">
        <v>1.1892957993532714E-2</v>
      </c>
      <c r="G1049" s="427"/>
    </row>
    <row r="1050" spans="2:7" x14ac:dyDescent="0.25">
      <c r="B1050" s="430" t="s">
        <v>420</v>
      </c>
      <c r="C1050" s="434">
        <v>43776</v>
      </c>
      <c r="D1050" s="431">
        <v>20339</v>
      </c>
      <c r="E1050" s="436">
        <v>1307698</v>
      </c>
      <c r="F1050" s="444">
        <v>-1.0515343999523008E-2</v>
      </c>
      <c r="G1050" s="427"/>
    </row>
    <row r="1051" spans="2:7" x14ac:dyDescent="0.25">
      <c r="B1051" s="430" t="s">
        <v>420</v>
      </c>
      <c r="C1051" s="434">
        <v>43777</v>
      </c>
      <c r="D1051" s="431">
        <v>20148</v>
      </c>
      <c r="E1051" s="436">
        <v>915745</v>
      </c>
      <c r="F1051" s="444">
        <v>-9.4351973199542118E-3</v>
      </c>
      <c r="G1051" s="427"/>
    </row>
    <row r="1052" spans="2:7" x14ac:dyDescent="0.25">
      <c r="B1052" s="430" t="s">
        <v>420</v>
      </c>
      <c r="C1052" s="434">
        <v>43780</v>
      </c>
      <c r="D1052" s="431">
        <v>19790</v>
      </c>
      <c r="E1052" s="436">
        <v>566048</v>
      </c>
      <c r="F1052" s="444">
        <v>-1.7928268268929768E-2</v>
      </c>
      <c r="G1052" s="427"/>
    </row>
    <row r="1053" spans="2:7" x14ac:dyDescent="0.25">
      <c r="B1053" s="430" t="s">
        <v>420</v>
      </c>
      <c r="C1053" s="434">
        <v>43781</v>
      </c>
      <c r="D1053" s="431">
        <v>19801</v>
      </c>
      <c r="E1053" s="436">
        <v>1423972</v>
      </c>
      <c r="F1053" s="444">
        <v>5.5568186118305231E-4</v>
      </c>
      <c r="G1053" s="427"/>
    </row>
    <row r="1054" spans="2:7" x14ac:dyDescent="0.25">
      <c r="B1054" s="430" t="s">
        <v>420</v>
      </c>
      <c r="C1054" s="434">
        <v>43782</v>
      </c>
      <c r="D1054" s="431">
        <v>20900</v>
      </c>
      <c r="E1054" s="436">
        <v>2143048</v>
      </c>
      <c r="F1054" s="444">
        <v>5.401671749510778E-2</v>
      </c>
      <c r="G1054" s="427"/>
    </row>
    <row r="1055" spans="2:7" x14ac:dyDescent="0.25">
      <c r="B1055" s="430" t="s">
        <v>420</v>
      </c>
      <c r="C1055" s="434">
        <v>43783</v>
      </c>
      <c r="D1055" s="431">
        <v>20801</v>
      </c>
      <c r="E1055" s="436">
        <v>1128039</v>
      </c>
      <c r="F1055" s="444">
        <v>-4.748096496074326E-3</v>
      </c>
      <c r="G1055" s="427"/>
    </row>
    <row r="1056" spans="2:7" x14ac:dyDescent="0.25">
      <c r="B1056" s="430" t="s">
        <v>420</v>
      </c>
      <c r="C1056" s="434">
        <v>43784</v>
      </c>
      <c r="D1056" s="431">
        <v>21275</v>
      </c>
      <c r="E1056" s="436">
        <v>1070269</v>
      </c>
      <c r="F1056" s="444">
        <v>2.2531611984746923E-2</v>
      </c>
      <c r="G1056" s="427"/>
    </row>
    <row r="1057" spans="2:7" x14ac:dyDescent="0.25">
      <c r="B1057" s="430" t="s">
        <v>420</v>
      </c>
      <c r="C1057" s="434">
        <v>43787</v>
      </c>
      <c r="D1057" s="431">
        <v>21081</v>
      </c>
      <c r="E1057" s="436">
        <v>848898</v>
      </c>
      <c r="F1057" s="444">
        <v>-9.1605135812674373E-3</v>
      </c>
      <c r="G1057" s="427"/>
    </row>
    <row r="1058" spans="2:7" x14ac:dyDescent="0.25">
      <c r="B1058" s="430" t="s">
        <v>420</v>
      </c>
      <c r="C1058" s="434">
        <v>43788</v>
      </c>
      <c r="D1058" s="431">
        <v>21085</v>
      </c>
      <c r="E1058" s="436">
        <v>819066</v>
      </c>
      <c r="F1058" s="444">
        <v>1.8972632035273398E-4</v>
      </c>
      <c r="G1058" s="427"/>
    </row>
    <row r="1059" spans="2:7" x14ac:dyDescent="0.25">
      <c r="B1059" s="430" t="s">
        <v>420</v>
      </c>
      <c r="C1059" s="434">
        <v>43789</v>
      </c>
      <c r="D1059" s="431">
        <v>21016</v>
      </c>
      <c r="E1059" s="436">
        <v>901072</v>
      </c>
      <c r="F1059" s="444">
        <v>-3.2778348152843863E-3</v>
      </c>
      <c r="G1059" s="427"/>
    </row>
    <row r="1060" spans="2:7" x14ac:dyDescent="0.25">
      <c r="B1060" s="430" t="s">
        <v>420</v>
      </c>
      <c r="C1060" s="434">
        <v>43790</v>
      </c>
      <c r="D1060" s="431">
        <v>20657</v>
      </c>
      <c r="E1060" s="436">
        <v>985324</v>
      </c>
      <c r="F1060" s="444">
        <v>-1.7229807367123075E-2</v>
      </c>
      <c r="G1060" s="427"/>
    </row>
    <row r="1061" spans="2:7" x14ac:dyDescent="0.25">
      <c r="B1061" s="430" t="s">
        <v>420</v>
      </c>
      <c r="C1061" s="434">
        <v>43791</v>
      </c>
      <c r="D1061" s="431">
        <v>20415</v>
      </c>
      <c r="E1061" s="436">
        <v>954794</v>
      </c>
      <c r="F1061" s="444">
        <v>-1.1784320244576615E-2</v>
      </c>
      <c r="G1061" s="427"/>
    </row>
    <row r="1062" spans="2:7" x14ac:dyDescent="0.25">
      <c r="B1062" s="430" t="s">
        <v>420</v>
      </c>
      <c r="C1062" s="434">
        <v>43794</v>
      </c>
      <c r="D1062" s="431">
        <v>20647</v>
      </c>
      <c r="E1062" s="436">
        <v>1062132</v>
      </c>
      <c r="F1062" s="444">
        <v>1.130010563120319E-2</v>
      </c>
      <c r="G1062" s="427"/>
    </row>
    <row r="1063" spans="2:7" x14ac:dyDescent="0.25">
      <c r="B1063" s="430" t="s">
        <v>420</v>
      </c>
      <c r="C1063" s="434">
        <v>43795</v>
      </c>
      <c r="D1063" s="431">
        <v>20103</v>
      </c>
      <c r="E1063" s="436">
        <v>2102640</v>
      </c>
      <c r="F1063" s="444">
        <v>-2.6700972743598946E-2</v>
      </c>
      <c r="G1063" s="427"/>
    </row>
    <row r="1064" spans="2:7" x14ac:dyDescent="0.25">
      <c r="B1064" s="430" t="s">
        <v>420</v>
      </c>
      <c r="C1064" s="434">
        <v>43796</v>
      </c>
      <c r="D1064" s="431">
        <v>20411</v>
      </c>
      <c r="E1064" s="436">
        <v>643416</v>
      </c>
      <c r="F1064" s="444">
        <v>1.5204913552762139E-2</v>
      </c>
      <c r="G1064" s="427"/>
    </row>
    <row r="1065" spans="2:7" x14ac:dyDescent="0.25">
      <c r="B1065" s="430" t="s">
        <v>420</v>
      </c>
      <c r="C1065" s="434">
        <v>43797</v>
      </c>
      <c r="D1065" s="431">
        <v>20341</v>
      </c>
      <c r="E1065" s="436">
        <v>981241</v>
      </c>
      <c r="F1065" s="444">
        <v>-3.4354175915554674E-3</v>
      </c>
      <c r="G1065" s="427"/>
    </row>
    <row r="1066" spans="2:7" x14ac:dyDescent="0.25">
      <c r="B1066" s="430" t="s">
        <v>420</v>
      </c>
      <c r="C1066" s="434">
        <v>43798</v>
      </c>
      <c r="D1066" s="431">
        <v>20592</v>
      </c>
      <c r="E1066" s="436">
        <v>1125840</v>
      </c>
      <c r="F1066" s="444">
        <v>1.2264097233420795E-2</v>
      </c>
      <c r="G1066" s="427"/>
    </row>
    <row r="1067" spans="2:7" x14ac:dyDescent="0.25">
      <c r="B1067" s="430" t="s">
        <v>420</v>
      </c>
      <c r="C1067" s="434">
        <v>43801</v>
      </c>
      <c r="D1067" s="431">
        <v>20261</v>
      </c>
      <c r="E1067" s="436">
        <v>1073976</v>
      </c>
      <c r="F1067" s="444">
        <v>-1.6204794909756615E-2</v>
      </c>
      <c r="G1067" s="427"/>
    </row>
    <row r="1068" spans="2:7" x14ac:dyDescent="0.25">
      <c r="B1068" s="430" t="s">
        <v>420</v>
      </c>
      <c r="C1068" s="434">
        <v>43802</v>
      </c>
      <c r="D1068" s="431">
        <v>20285</v>
      </c>
      <c r="E1068" s="436">
        <v>1182234</v>
      </c>
      <c r="F1068" s="444">
        <v>1.1838407143964791E-3</v>
      </c>
      <c r="G1068" s="427"/>
    </row>
    <row r="1069" spans="2:7" x14ac:dyDescent="0.25">
      <c r="B1069" s="430" t="s">
        <v>420</v>
      </c>
      <c r="C1069" s="434">
        <v>43803</v>
      </c>
      <c r="D1069" s="431">
        <v>20244</v>
      </c>
      <c r="E1069" s="436">
        <v>1026118</v>
      </c>
      <c r="F1069" s="444">
        <v>-2.0232433065790522E-3</v>
      </c>
      <c r="G1069" s="427"/>
    </row>
    <row r="1070" spans="2:7" x14ac:dyDescent="0.25">
      <c r="B1070" s="430" t="s">
        <v>420</v>
      </c>
      <c r="C1070" s="434">
        <v>43804</v>
      </c>
      <c r="D1070" s="431">
        <v>19980</v>
      </c>
      <c r="E1070" s="436">
        <v>1120127</v>
      </c>
      <c r="F1070" s="444">
        <v>-1.3126680131424052E-2</v>
      </c>
      <c r="G1070" s="427"/>
    </row>
    <row r="1071" spans="2:7" x14ac:dyDescent="0.25">
      <c r="B1071" s="430" t="s">
        <v>420</v>
      </c>
      <c r="C1071" s="434">
        <v>43805</v>
      </c>
      <c r="D1071" s="431">
        <v>20027</v>
      </c>
      <c r="E1071" s="436">
        <v>627135</v>
      </c>
      <c r="F1071" s="444">
        <v>2.3495899028790164E-3</v>
      </c>
      <c r="G1071" s="427"/>
    </row>
    <row r="1072" spans="2:7" x14ac:dyDescent="0.25">
      <c r="B1072" s="430" t="s">
        <v>420</v>
      </c>
      <c r="C1072" s="434">
        <v>43808</v>
      </c>
      <c r="D1072" s="431">
        <v>19969</v>
      </c>
      <c r="E1072" s="436">
        <v>375766</v>
      </c>
      <c r="F1072" s="444">
        <v>-2.9002920620319885E-3</v>
      </c>
      <c r="G1072" s="427"/>
    </row>
    <row r="1073" spans="2:7" x14ac:dyDescent="0.25">
      <c r="B1073" s="430" t="s">
        <v>420</v>
      </c>
      <c r="C1073" s="434">
        <v>43809</v>
      </c>
      <c r="D1073" s="431">
        <v>19766</v>
      </c>
      <c r="E1073" s="436">
        <v>784866</v>
      </c>
      <c r="F1073" s="444">
        <v>-1.0217781107262338E-2</v>
      </c>
      <c r="G1073" s="427"/>
    </row>
    <row r="1074" spans="2:7" x14ac:dyDescent="0.25">
      <c r="B1074" s="430" t="s">
        <v>420</v>
      </c>
      <c r="C1074" s="434">
        <v>43810</v>
      </c>
      <c r="D1074" s="431">
        <v>19819</v>
      </c>
      <c r="E1074" s="436">
        <v>757698</v>
      </c>
      <c r="F1074" s="444">
        <v>2.6777835882184908E-3</v>
      </c>
      <c r="G1074" s="427"/>
    </row>
    <row r="1075" spans="2:7" x14ac:dyDescent="0.25">
      <c r="B1075" s="430" t="s">
        <v>420</v>
      </c>
      <c r="C1075" s="434">
        <v>43811</v>
      </c>
      <c r="D1075" s="431">
        <v>19582</v>
      </c>
      <c r="E1075" s="436">
        <v>741092</v>
      </c>
      <c r="F1075" s="444">
        <v>-1.2030296610331098E-2</v>
      </c>
      <c r="G1075" s="427"/>
    </row>
    <row r="1076" spans="2:7" x14ac:dyDescent="0.25">
      <c r="B1076" s="430" t="s">
        <v>420</v>
      </c>
      <c r="C1076" s="434">
        <v>43812</v>
      </c>
      <c r="D1076" s="431">
        <v>20003</v>
      </c>
      <c r="E1076" s="436">
        <v>783135</v>
      </c>
      <c r="F1076" s="444">
        <v>2.1271485373236362E-2</v>
      </c>
      <c r="G1076" s="427"/>
    </row>
    <row r="1077" spans="2:7" x14ac:dyDescent="0.25">
      <c r="B1077" s="430" t="s">
        <v>420</v>
      </c>
      <c r="C1077" s="434">
        <v>43816</v>
      </c>
      <c r="D1077" s="431">
        <v>20233</v>
      </c>
      <c r="E1077" s="436">
        <v>1030007</v>
      </c>
      <c r="F1077" s="444">
        <v>1.143267249194161E-2</v>
      </c>
      <c r="G1077" s="427"/>
    </row>
    <row r="1078" spans="2:7" x14ac:dyDescent="0.25">
      <c r="B1078" s="430" t="s">
        <v>420</v>
      </c>
      <c r="C1078" s="434">
        <v>43817</v>
      </c>
      <c r="D1078" s="431">
        <v>20611</v>
      </c>
      <c r="E1078" s="436">
        <v>790606</v>
      </c>
      <c r="F1078" s="444">
        <v>1.8509979064102736E-2</v>
      </c>
      <c r="G1078" s="427"/>
    </row>
    <row r="1079" spans="2:7" x14ac:dyDescent="0.25">
      <c r="B1079" s="430" t="s">
        <v>420</v>
      </c>
      <c r="C1079" s="434">
        <v>43818</v>
      </c>
      <c r="D1079" s="431">
        <v>20365</v>
      </c>
      <c r="E1079" s="436">
        <v>1735560</v>
      </c>
      <c r="F1079" s="444">
        <v>-1.2007172760784479E-2</v>
      </c>
      <c r="G1079" s="427"/>
    </row>
    <row r="1080" spans="2:7" x14ac:dyDescent="0.25">
      <c r="B1080" s="430" t="s">
        <v>420</v>
      </c>
      <c r="C1080" s="434">
        <v>43819</v>
      </c>
      <c r="D1080" s="431">
        <v>20153</v>
      </c>
      <c r="E1080" s="436">
        <v>1013446</v>
      </c>
      <c r="F1080" s="444">
        <v>-1.0464580415023801E-2</v>
      </c>
      <c r="G1080" s="427"/>
    </row>
    <row r="1081" spans="2:7" x14ac:dyDescent="0.25">
      <c r="B1081" s="430" t="s">
        <v>420</v>
      </c>
      <c r="C1081" s="434">
        <v>43822</v>
      </c>
      <c r="D1081" s="431">
        <v>19837</v>
      </c>
      <c r="E1081" s="436">
        <v>452733</v>
      </c>
      <c r="F1081" s="444">
        <v>-1.5804279939380557E-2</v>
      </c>
      <c r="G1081" s="427"/>
    </row>
    <row r="1082" spans="2:7" x14ac:dyDescent="0.25">
      <c r="B1082" s="430" t="s">
        <v>420</v>
      </c>
      <c r="C1082" s="434">
        <v>43823</v>
      </c>
      <c r="D1082" s="431">
        <v>19757</v>
      </c>
      <c r="E1082" s="436">
        <v>135884</v>
      </c>
      <c r="F1082" s="444">
        <v>-4.0410218147034797E-3</v>
      </c>
      <c r="G1082" s="427"/>
    </row>
    <row r="1083" spans="2:7" x14ac:dyDescent="0.25">
      <c r="B1083" s="430" t="s">
        <v>420</v>
      </c>
      <c r="C1083" s="434">
        <v>43826</v>
      </c>
      <c r="D1083" s="431">
        <v>19690</v>
      </c>
      <c r="E1083" s="436">
        <v>340310</v>
      </c>
      <c r="F1083" s="444">
        <v>-3.3969662802338929E-3</v>
      </c>
      <c r="G1083" s="427"/>
    </row>
    <row r="1084" spans="2:7" x14ac:dyDescent="0.25">
      <c r="B1084" s="430" t="s">
        <v>420</v>
      </c>
      <c r="C1084" s="434">
        <v>43829</v>
      </c>
      <c r="D1084" s="431">
        <v>20023</v>
      </c>
      <c r="E1084" s="436">
        <v>353684</v>
      </c>
      <c r="F1084" s="444">
        <v>1.6770720159478409E-2</v>
      </c>
      <c r="G1084" s="427"/>
    </row>
    <row r="1085" spans="2:7" x14ac:dyDescent="0.25">
      <c r="B1085" s="430" t="s">
        <v>420</v>
      </c>
      <c r="C1085" s="434">
        <v>43830</v>
      </c>
      <c r="D1085" s="431">
        <v>19751</v>
      </c>
      <c r="E1085" s="436">
        <v>203189</v>
      </c>
      <c r="F1085" s="444">
        <v>-1.3677489833791773E-2</v>
      </c>
      <c r="G1085" s="427"/>
    </row>
    <row r="1086" spans="2:7" x14ac:dyDescent="0.25">
      <c r="B1086" s="430" t="s">
        <v>420</v>
      </c>
      <c r="C1086" s="434">
        <v>43832</v>
      </c>
      <c r="D1086" s="431">
        <v>19779</v>
      </c>
      <c r="E1086" s="436">
        <v>334470</v>
      </c>
      <c r="F1086" s="444">
        <v>1.4166458225516277E-3</v>
      </c>
      <c r="G1086" s="427"/>
    </row>
    <row r="1087" spans="2:7" x14ac:dyDescent="0.25">
      <c r="B1087" s="430" t="s">
        <v>420</v>
      </c>
      <c r="C1087" s="434">
        <v>43833</v>
      </c>
      <c r="D1087" s="431">
        <v>19565</v>
      </c>
      <c r="E1087" s="436">
        <v>339573</v>
      </c>
      <c r="F1087" s="444">
        <v>-1.0878513136896516E-2</v>
      </c>
      <c r="G1087" s="427"/>
    </row>
    <row r="1088" spans="2:7" x14ac:dyDescent="0.25">
      <c r="B1088" s="430" t="s">
        <v>420</v>
      </c>
      <c r="C1088" s="434">
        <v>43836</v>
      </c>
      <c r="D1088" s="431">
        <v>19136</v>
      </c>
      <c r="E1088" s="436">
        <v>410713</v>
      </c>
      <c r="F1088" s="444">
        <v>-2.217087789415452E-2</v>
      </c>
      <c r="G1088" s="427"/>
    </row>
    <row r="1089" spans="2:7" x14ac:dyDescent="0.25">
      <c r="B1089" s="430" t="s">
        <v>420</v>
      </c>
      <c r="C1089" s="434">
        <v>43837</v>
      </c>
      <c r="D1089" s="431">
        <v>19227</v>
      </c>
      <c r="E1089" s="436">
        <v>452902</v>
      </c>
      <c r="F1089" s="444">
        <v>4.7441634219782033E-3</v>
      </c>
      <c r="G1089" s="427"/>
    </row>
    <row r="1090" spans="2:7" x14ac:dyDescent="0.25">
      <c r="B1090" s="430" t="s">
        <v>420</v>
      </c>
      <c r="C1090" s="434">
        <v>43838</v>
      </c>
      <c r="D1090" s="431">
        <v>19175</v>
      </c>
      <c r="E1090" s="436">
        <v>604212</v>
      </c>
      <c r="F1090" s="444">
        <v>-2.7081939368796548E-3</v>
      </c>
      <c r="G1090" s="427"/>
    </row>
    <row r="1091" spans="2:7" x14ac:dyDescent="0.25">
      <c r="B1091" s="430" t="s">
        <v>420</v>
      </c>
      <c r="C1091" s="434">
        <v>43839</v>
      </c>
      <c r="D1091" s="431">
        <v>19274</v>
      </c>
      <c r="E1091" s="436">
        <v>654126</v>
      </c>
      <c r="F1091" s="444">
        <v>5.1496901757757821E-3</v>
      </c>
      <c r="G1091" s="427"/>
    </row>
    <row r="1092" spans="2:7" x14ac:dyDescent="0.25">
      <c r="B1092" s="430" t="s">
        <v>420</v>
      </c>
      <c r="C1092" s="434">
        <v>43840</v>
      </c>
      <c r="D1092" s="431">
        <v>19270</v>
      </c>
      <c r="E1092" s="436">
        <v>857899</v>
      </c>
      <c r="F1092" s="444">
        <v>-2.0755500282066569E-4</v>
      </c>
      <c r="G1092" s="427"/>
    </row>
    <row r="1093" spans="2:7" x14ac:dyDescent="0.25">
      <c r="B1093" s="430" t="s">
        <v>420</v>
      </c>
      <c r="C1093" s="434">
        <v>43843</v>
      </c>
      <c r="D1093" s="431">
        <v>19185</v>
      </c>
      <c r="E1093" s="436">
        <v>504180</v>
      </c>
      <c r="F1093" s="444">
        <v>-4.4207587273592964E-3</v>
      </c>
      <c r="G1093" s="427"/>
    </row>
    <row r="1094" spans="2:7" x14ac:dyDescent="0.25">
      <c r="B1094" s="430" t="s">
        <v>420</v>
      </c>
      <c r="C1094" s="434">
        <v>43844</v>
      </c>
      <c r="D1094" s="431">
        <v>19631</v>
      </c>
      <c r="E1094" s="436">
        <v>762730</v>
      </c>
      <c r="F1094" s="444">
        <v>2.2981225726980633E-2</v>
      </c>
      <c r="G1094" s="427"/>
    </row>
    <row r="1095" spans="2:7" x14ac:dyDescent="0.25">
      <c r="B1095" s="430" t="s">
        <v>420</v>
      </c>
      <c r="C1095" s="434">
        <v>43845</v>
      </c>
      <c r="D1095" s="431">
        <v>19972</v>
      </c>
      <c r="E1095" s="436">
        <v>762079</v>
      </c>
      <c r="F1095" s="444">
        <v>1.7221343212466503E-2</v>
      </c>
      <c r="G1095" s="427"/>
    </row>
    <row r="1096" spans="2:7" x14ac:dyDescent="0.25">
      <c r="B1096" s="430" t="s">
        <v>420</v>
      </c>
      <c r="C1096" s="434">
        <v>43846</v>
      </c>
      <c r="D1096" s="431">
        <v>19820</v>
      </c>
      <c r="E1096" s="436">
        <v>769334</v>
      </c>
      <c r="F1096" s="444">
        <v>-7.6397637365209006E-3</v>
      </c>
      <c r="G1096" s="427"/>
    </row>
    <row r="1097" spans="2:7" x14ac:dyDescent="0.25">
      <c r="B1097" s="430" t="s">
        <v>420</v>
      </c>
      <c r="C1097" s="434">
        <v>43847</v>
      </c>
      <c r="D1097" s="431">
        <v>19958</v>
      </c>
      <c r="E1097" s="436">
        <v>676392</v>
      </c>
      <c r="F1097" s="444">
        <v>6.9385365602788627E-3</v>
      </c>
      <c r="G1097" s="427"/>
    </row>
    <row r="1098" spans="2:7" x14ac:dyDescent="0.25">
      <c r="B1098" s="430" t="s">
        <v>420</v>
      </c>
      <c r="C1098" s="434">
        <v>43850</v>
      </c>
      <c r="D1098" s="431">
        <v>19964</v>
      </c>
      <c r="E1098" s="436">
        <v>187989</v>
      </c>
      <c r="F1098" s="444">
        <v>3.0058614524193809E-4</v>
      </c>
      <c r="G1098" s="427"/>
    </row>
    <row r="1099" spans="2:7" x14ac:dyDescent="0.25">
      <c r="B1099" s="430" t="s">
        <v>420</v>
      </c>
      <c r="C1099" s="434">
        <v>43851</v>
      </c>
      <c r="D1099" s="431">
        <v>20176</v>
      </c>
      <c r="E1099" s="436">
        <v>399939</v>
      </c>
      <c r="F1099" s="444">
        <v>1.0563127615200923E-2</v>
      </c>
      <c r="G1099" s="427"/>
    </row>
    <row r="1100" spans="2:7" x14ac:dyDescent="0.25">
      <c r="B1100" s="430" t="s">
        <v>420</v>
      </c>
      <c r="C1100" s="434">
        <v>43852</v>
      </c>
      <c r="D1100" s="431">
        <v>20487</v>
      </c>
      <c r="E1100" s="436">
        <v>744079</v>
      </c>
      <c r="F1100" s="444">
        <v>1.5296759424498098E-2</v>
      </c>
      <c r="G1100" s="427"/>
    </row>
    <row r="1101" spans="2:7" x14ac:dyDescent="0.25">
      <c r="B1101" s="430" t="s">
        <v>420</v>
      </c>
      <c r="C1101" s="434">
        <v>43853</v>
      </c>
      <c r="D1101" s="431">
        <v>20015</v>
      </c>
      <c r="E1101" s="436">
        <v>634411</v>
      </c>
      <c r="F1101" s="444">
        <v>-2.3308546202524916E-2</v>
      </c>
      <c r="G1101" s="427"/>
    </row>
    <row r="1102" spans="2:7" x14ac:dyDescent="0.25">
      <c r="B1102" s="430" t="s">
        <v>420</v>
      </c>
      <c r="C1102" s="434">
        <v>43854</v>
      </c>
      <c r="D1102" s="431">
        <v>20403</v>
      </c>
      <c r="E1102" s="436">
        <v>408094</v>
      </c>
      <c r="F1102" s="444">
        <v>1.9199956417074431E-2</v>
      </c>
      <c r="G1102" s="427"/>
    </row>
    <row r="1103" spans="2:7" x14ac:dyDescent="0.25">
      <c r="B1103" s="430" t="s">
        <v>420</v>
      </c>
      <c r="C1103" s="434">
        <v>43857</v>
      </c>
      <c r="D1103" s="431">
        <v>19978</v>
      </c>
      <c r="E1103" s="436">
        <v>649594</v>
      </c>
      <c r="F1103" s="444">
        <v>-2.1050280751653307E-2</v>
      </c>
      <c r="G1103" s="427"/>
    </row>
    <row r="1104" spans="2:7" x14ac:dyDescent="0.25">
      <c r="B1104" s="430" t="s">
        <v>420</v>
      </c>
      <c r="C1104" s="434">
        <v>43858</v>
      </c>
      <c r="D1104" s="431">
        <v>19480</v>
      </c>
      <c r="E1104" s="436">
        <v>478163</v>
      </c>
      <c r="F1104" s="444">
        <v>-2.5243369895568957E-2</v>
      </c>
      <c r="G1104" s="427"/>
    </row>
    <row r="1105" spans="2:7" x14ac:dyDescent="0.25">
      <c r="B1105" s="430" t="s">
        <v>420</v>
      </c>
      <c r="C1105" s="434">
        <v>43859</v>
      </c>
      <c r="D1105" s="431">
        <v>19628</v>
      </c>
      <c r="E1105" s="436">
        <v>327626</v>
      </c>
      <c r="F1105" s="444">
        <v>7.5688200132680268E-3</v>
      </c>
      <c r="G1105" s="427"/>
    </row>
    <row r="1106" spans="2:7" x14ac:dyDescent="0.25">
      <c r="B1106" s="430" t="s">
        <v>420</v>
      </c>
      <c r="C1106" s="434">
        <v>43860</v>
      </c>
      <c r="D1106" s="431">
        <v>19442</v>
      </c>
      <c r="E1106" s="436">
        <v>588316</v>
      </c>
      <c r="F1106" s="444">
        <v>-9.5214438287796969E-3</v>
      </c>
      <c r="G1106" s="427"/>
    </row>
    <row r="1107" spans="2:7" x14ac:dyDescent="0.25">
      <c r="B1107" s="430" t="s">
        <v>420</v>
      </c>
      <c r="C1107" s="434">
        <v>43861</v>
      </c>
      <c r="D1107" s="431">
        <v>19172</v>
      </c>
      <c r="E1107" s="436">
        <v>584388</v>
      </c>
      <c r="F1107" s="444">
        <v>-1.3984793101492411E-2</v>
      </c>
      <c r="G1107" s="427"/>
    </row>
    <row r="1108" spans="2:7" x14ac:dyDescent="0.25">
      <c r="B1108" s="430" t="s">
        <v>420</v>
      </c>
      <c r="C1108" s="434">
        <v>43864</v>
      </c>
      <c r="D1108" s="431">
        <v>19084</v>
      </c>
      <c r="E1108" s="436">
        <v>357664</v>
      </c>
      <c r="F1108" s="444">
        <v>-4.6005936435243155E-3</v>
      </c>
      <c r="G1108" s="427"/>
    </row>
    <row r="1109" spans="2:7" x14ac:dyDescent="0.25">
      <c r="B1109" s="430" t="s">
        <v>420</v>
      </c>
      <c r="C1109" s="434">
        <v>43865</v>
      </c>
      <c r="D1109" s="431">
        <v>19300</v>
      </c>
      <c r="E1109" s="436">
        <v>373764</v>
      </c>
      <c r="F1109" s="444">
        <v>1.1254808256979188E-2</v>
      </c>
      <c r="G1109" s="427"/>
    </row>
    <row r="1110" spans="2:7" x14ac:dyDescent="0.25">
      <c r="B1110" s="430" t="s">
        <v>420</v>
      </c>
      <c r="C1110" s="434">
        <v>43866</v>
      </c>
      <c r="D1110" s="431">
        <v>19296</v>
      </c>
      <c r="E1110" s="436">
        <v>415306</v>
      </c>
      <c r="F1110" s="444">
        <v>-2.0727536606496218E-4</v>
      </c>
      <c r="G1110" s="427"/>
    </row>
    <row r="1111" spans="2:7" x14ac:dyDescent="0.25">
      <c r="B1111" s="430" t="s">
        <v>420</v>
      </c>
      <c r="C1111" s="434">
        <v>43867</v>
      </c>
      <c r="D1111" s="431">
        <v>19200</v>
      </c>
      <c r="E1111" s="436">
        <v>221209</v>
      </c>
      <c r="F1111" s="444">
        <v>-4.9875415110390512E-3</v>
      </c>
      <c r="G1111" s="427"/>
    </row>
    <row r="1112" spans="2:7" x14ac:dyDescent="0.25">
      <c r="B1112" s="430" t="s">
        <v>420</v>
      </c>
      <c r="C1112" s="434">
        <v>43868</v>
      </c>
      <c r="D1112" s="431">
        <v>19321</v>
      </c>
      <c r="E1112" s="436">
        <v>499561</v>
      </c>
      <c r="F1112" s="444">
        <v>6.2823082455106399E-3</v>
      </c>
      <c r="G1112" s="427"/>
    </row>
    <row r="1113" spans="2:7" x14ac:dyDescent="0.25">
      <c r="B1113" s="430" t="s">
        <v>420</v>
      </c>
      <c r="C1113" s="434">
        <v>43871</v>
      </c>
      <c r="D1113" s="431">
        <v>19380</v>
      </c>
      <c r="E1113" s="436">
        <v>300727</v>
      </c>
      <c r="F1113" s="444">
        <v>3.0490191833736744E-3</v>
      </c>
      <c r="G1113" s="427"/>
    </row>
    <row r="1114" spans="2:7" x14ac:dyDescent="0.25">
      <c r="B1114" s="430" t="s">
        <v>420</v>
      </c>
      <c r="C1114" s="434">
        <v>43872</v>
      </c>
      <c r="D1114" s="431">
        <v>18650</v>
      </c>
      <c r="E1114" s="436">
        <v>1397990</v>
      </c>
      <c r="F1114" s="444">
        <v>-3.8395460372795578E-2</v>
      </c>
      <c r="G1114" s="427"/>
    </row>
    <row r="1115" spans="2:7" x14ac:dyDescent="0.25">
      <c r="B1115" s="430" t="s">
        <v>420</v>
      </c>
      <c r="C1115" s="434">
        <v>43873</v>
      </c>
      <c r="D1115" s="431">
        <v>18300</v>
      </c>
      <c r="E1115" s="436">
        <v>1540438</v>
      </c>
      <c r="F1115" s="444">
        <v>-1.8945086242449304E-2</v>
      </c>
      <c r="G1115" s="427"/>
    </row>
    <row r="1116" spans="2:7" x14ac:dyDescent="0.25">
      <c r="B1116" s="430" t="s">
        <v>420</v>
      </c>
      <c r="C1116" s="434">
        <v>43874</v>
      </c>
      <c r="D1116" s="431">
        <v>17892</v>
      </c>
      <c r="E1116" s="436">
        <v>1745713</v>
      </c>
      <c r="F1116" s="444">
        <v>-2.2547374276773547E-2</v>
      </c>
      <c r="G1116" s="427"/>
    </row>
    <row r="1117" spans="2:7" x14ac:dyDescent="0.25">
      <c r="B1117" s="430" t="s">
        <v>420</v>
      </c>
      <c r="C1117" s="434">
        <v>43875</v>
      </c>
      <c r="D1117" s="431">
        <v>17820</v>
      </c>
      <c r="E1117" s="436">
        <v>678261</v>
      </c>
      <c r="F1117" s="444">
        <v>-4.0322635279384511E-3</v>
      </c>
      <c r="G1117" s="427"/>
    </row>
    <row r="1118" spans="2:7" x14ac:dyDescent="0.25">
      <c r="B1118" s="430" t="s">
        <v>420</v>
      </c>
      <c r="C1118" s="434">
        <v>43878</v>
      </c>
      <c r="D1118" s="431">
        <v>17723</v>
      </c>
      <c r="E1118" s="436">
        <v>766854</v>
      </c>
      <c r="F1118" s="444">
        <v>-5.4581909696606156E-3</v>
      </c>
      <c r="G1118" s="427"/>
    </row>
    <row r="1119" spans="2:7" x14ac:dyDescent="0.25">
      <c r="B1119" s="430" t="s">
        <v>420</v>
      </c>
      <c r="C1119" s="434">
        <v>43879</v>
      </c>
      <c r="D1119" s="431">
        <v>17599</v>
      </c>
      <c r="E1119" s="436">
        <v>734400</v>
      </c>
      <c r="F1119" s="444">
        <v>-7.0211488249287499E-3</v>
      </c>
      <c r="G1119" s="427"/>
    </row>
    <row r="1120" spans="2:7" x14ac:dyDescent="0.25">
      <c r="B1120" s="430" t="s">
        <v>420</v>
      </c>
      <c r="C1120" s="434">
        <v>43880</v>
      </c>
      <c r="D1120" s="431">
        <v>17649</v>
      </c>
      <c r="E1120" s="436">
        <v>1826779</v>
      </c>
      <c r="F1120" s="444">
        <v>2.8370423023546206E-3</v>
      </c>
      <c r="G1120" s="427"/>
    </row>
    <row r="1121" spans="2:7" x14ac:dyDescent="0.25">
      <c r="B1121" s="430" t="s">
        <v>420</v>
      </c>
      <c r="C1121" s="434">
        <v>43881</v>
      </c>
      <c r="D1121" s="431">
        <v>17300</v>
      </c>
      <c r="E1121" s="436">
        <v>898595</v>
      </c>
      <c r="F1121" s="444">
        <v>-1.9972623046695347E-2</v>
      </c>
      <c r="G1121" s="427"/>
    </row>
    <row r="1122" spans="2:7" x14ac:dyDescent="0.25">
      <c r="B1122" s="430" t="s">
        <v>420</v>
      </c>
      <c r="C1122" s="434">
        <v>43882</v>
      </c>
      <c r="D1122" s="431">
        <v>17240</v>
      </c>
      <c r="E1122" s="436">
        <v>647326</v>
      </c>
      <c r="F1122" s="444">
        <v>-3.4742362681862782E-3</v>
      </c>
      <c r="G1122" s="427"/>
    </row>
    <row r="1123" spans="2:7" x14ac:dyDescent="0.25">
      <c r="B1123" s="430" t="s">
        <v>420</v>
      </c>
      <c r="C1123" s="434">
        <v>43885</v>
      </c>
      <c r="D1123" s="431">
        <v>16750</v>
      </c>
      <c r="E1123" s="436">
        <v>623217</v>
      </c>
      <c r="F1123" s="444">
        <v>-2.8834006964471585E-2</v>
      </c>
      <c r="G1123" s="427"/>
    </row>
    <row r="1124" spans="2:7" x14ac:dyDescent="0.25">
      <c r="B1124" s="430" t="s">
        <v>420</v>
      </c>
      <c r="C1124" s="434">
        <v>43886</v>
      </c>
      <c r="D1124" s="431">
        <v>16648</v>
      </c>
      <c r="E1124" s="436">
        <v>743444</v>
      </c>
      <c r="F1124" s="444">
        <v>-6.1081691797420868E-3</v>
      </c>
      <c r="G1124" s="427"/>
    </row>
    <row r="1125" spans="2:7" x14ac:dyDescent="0.25">
      <c r="B1125" s="430" t="s">
        <v>420</v>
      </c>
      <c r="C1125" s="434">
        <v>43887</v>
      </c>
      <c r="D1125" s="431">
        <v>17450</v>
      </c>
      <c r="E1125" s="436">
        <v>1146900</v>
      </c>
      <c r="F1125" s="444">
        <v>4.7049559557102827E-2</v>
      </c>
      <c r="G1125" s="427"/>
    </row>
    <row r="1126" spans="2:7" x14ac:dyDescent="0.25">
      <c r="B1126" s="430" t="s">
        <v>420</v>
      </c>
      <c r="C1126" s="434">
        <v>43888</v>
      </c>
      <c r="D1126" s="431">
        <v>16336</v>
      </c>
      <c r="E1126" s="436">
        <v>1043165</v>
      </c>
      <c r="F1126" s="444">
        <v>-6.5968387226126371E-2</v>
      </c>
      <c r="G1126" s="427"/>
    </row>
    <row r="1127" spans="2:7" x14ac:dyDescent="0.25">
      <c r="B1127" s="430" t="s">
        <v>420</v>
      </c>
      <c r="C1127" s="434">
        <v>43889</v>
      </c>
      <c r="D1127" s="431">
        <v>16400</v>
      </c>
      <c r="E1127" s="436">
        <v>2295550</v>
      </c>
      <c r="F1127" s="444">
        <v>3.9100734078430397E-3</v>
      </c>
      <c r="G1127" s="427"/>
    </row>
    <row r="1128" spans="2:7" x14ac:dyDescent="0.25">
      <c r="B1128" s="430" t="s">
        <v>420</v>
      </c>
      <c r="C1128" s="434">
        <v>43892</v>
      </c>
      <c r="D1128" s="431">
        <v>16515</v>
      </c>
      <c r="E1128" s="436">
        <v>798132</v>
      </c>
      <c r="F1128" s="444">
        <v>6.9877240126003E-3</v>
      </c>
      <c r="G1128" s="427"/>
    </row>
    <row r="1129" spans="2:7" x14ac:dyDescent="0.25">
      <c r="B1129" s="430" t="s">
        <v>420</v>
      </c>
      <c r="C1129" s="434">
        <v>43893</v>
      </c>
      <c r="D1129" s="431">
        <v>16897</v>
      </c>
      <c r="E1129" s="436">
        <v>2260292</v>
      </c>
      <c r="F1129" s="444">
        <v>2.2867032535759765E-2</v>
      </c>
      <c r="G1129" s="427"/>
    </row>
    <row r="1130" spans="2:7" x14ac:dyDescent="0.25">
      <c r="B1130" s="430" t="s">
        <v>420</v>
      </c>
      <c r="C1130" s="434">
        <v>43894</v>
      </c>
      <c r="D1130" s="431">
        <v>16975</v>
      </c>
      <c r="E1130" s="436">
        <v>1969433</v>
      </c>
      <c r="F1130" s="444">
        <v>4.6055820662471098E-3</v>
      </c>
      <c r="G1130" s="427"/>
    </row>
    <row r="1131" spans="2:7" x14ac:dyDescent="0.25">
      <c r="B1131" s="430" t="s">
        <v>420</v>
      </c>
      <c r="C1131" s="434">
        <v>43895</v>
      </c>
      <c r="D1131" s="431">
        <v>17157</v>
      </c>
      <c r="E1131" s="436">
        <v>1135832</v>
      </c>
      <c r="F1131" s="444">
        <v>1.0664580156529054E-2</v>
      </c>
      <c r="G1131" s="427"/>
    </row>
    <row r="1132" spans="2:7" x14ac:dyDescent="0.25">
      <c r="B1132" s="430" t="s">
        <v>420</v>
      </c>
      <c r="C1132" s="434">
        <v>43896</v>
      </c>
      <c r="D1132" s="431">
        <v>16998</v>
      </c>
      <c r="E1132" s="436">
        <v>1029519</v>
      </c>
      <c r="F1132" s="444">
        <v>-9.3105635248542946E-3</v>
      </c>
      <c r="G1132" s="427"/>
    </row>
    <row r="1133" spans="2:7" x14ac:dyDescent="0.25">
      <c r="B1133" s="430" t="s">
        <v>420</v>
      </c>
      <c r="C1133" s="434">
        <v>43899</v>
      </c>
      <c r="D1133" s="431">
        <v>17000</v>
      </c>
      <c r="E1133" s="436">
        <v>1249250</v>
      </c>
      <c r="F1133" s="444">
        <v>1.1765397978158856E-4</v>
      </c>
      <c r="G1133" s="427"/>
    </row>
    <row r="1134" spans="2:7" x14ac:dyDescent="0.25">
      <c r="B1134" s="430" t="s">
        <v>420</v>
      </c>
      <c r="C1134" s="434">
        <v>43900</v>
      </c>
      <c r="D1134" s="431">
        <v>17032</v>
      </c>
      <c r="E1134" s="436">
        <v>845478</v>
      </c>
      <c r="F1134" s="444">
        <v>1.8805835349622422E-3</v>
      </c>
      <c r="G1134" s="427"/>
    </row>
    <row r="1135" spans="2:7" x14ac:dyDescent="0.25">
      <c r="B1135" s="430" t="s">
        <v>420</v>
      </c>
      <c r="C1135" s="434">
        <v>43901</v>
      </c>
      <c r="D1135" s="431">
        <v>17107</v>
      </c>
      <c r="E1135" s="436">
        <v>1120914</v>
      </c>
      <c r="F1135" s="444">
        <v>4.3938088789765217E-3</v>
      </c>
      <c r="G1135" s="427"/>
    </row>
    <row r="1136" spans="2:7" x14ac:dyDescent="0.25">
      <c r="B1136" s="430" t="s">
        <v>420</v>
      </c>
      <c r="C1136" s="434">
        <v>43902</v>
      </c>
      <c r="D1136" s="431">
        <v>16012</v>
      </c>
      <c r="E1136" s="436">
        <v>1712186</v>
      </c>
      <c r="F1136" s="444">
        <v>-6.6149295339827663E-2</v>
      </c>
      <c r="G1136" s="427"/>
    </row>
    <row r="1137" spans="2:7" x14ac:dyDescent="0.25">
      <c r="B1137" s="430" t="s">
        <v>420</v>
      </c>
      <c r="C1137" s="434">
        <v>43903</v>
      </c>
      <c r="D1137" s="431">
        <v>15562</v>
      </c>
      <c r="E1137" s="436">
        <v>1623750</v>
      </c>
      <c r="F1137" s="444">
        <v>-2.8506395935588767E-2</v>
      </c>
      <c r="G1137" s="427"/>
    </row>
    <row r="1138" spans="2:7" x14ac:dyDescent="0.25">
      <c r="B1138" s="430" t="s">
        <v>420</v>
      </c>
      <c r="C1138" s="434">
        <v>43906</v>
      </c>
      <c r="D1138" s="431">
        <v>15712</v>
      </c>
      <c r="E1138" s="436">
        <v>2820605</v>
      </c>
      <c r="F1138" s="444">
        <v>9.5927064173716766E-3</v>
      </c>
      <c r="G1138" s="427"/>
    </row>
    <row r="1139" spans="2:7" x14ac:dyDescent="0.25">
      <c r="B1139" s="430" t="s">
        <v>420</v>
      </c>
      <c r="C1139" s="434">
        <v>43907</v>
      </c>
      <c r="D1139" s="431">
        <v>17493</v>
      </c>
      <c r="E1139" s="436">
        <v>2475860</v>
      </c>
      <c r="F1139" s="444">
        <v>0.10737604929601853</v>
      </c>
      <c r="G1139" s="427"/>
    </row>
    <row r="1140" spans="2:7" x14ac:dyDescent="0.25">
      <c r="B1140" s="430" t="s">
        <v>420</v>
      </c>
      <c r="C1140" s="434">
        <v>43908</v>
      </c>
      <c r="D1140" s="431">
        <v>16776</v>
      </c>
      <c r="E1140" s="436">
        <v>1957471</v>
      </c>
      <c r="F1140" s="444">
        <v>-4.1851507308509797E-2</v>
      </c>
      <c r="G1140" s="427"/>
    </row>
    <row r="1141" spans="2:7" x14ac:dyDescent="0.25">
      <c r="B1141" s="430" t="s">
        <v>420</v>
      </c>
      <c r="C1141" s="434">
        <v>43909</v>
      </c>
      <c r="D1141" s="431">
        <v>17963</v>
      </c>
      <c r="E1141" s="436">
        <v>2932646</v>
      </c>
      <c r="F1141" s="444">
        <v>6.8364793187079817E-2</v>
      </c>
      <c r="G1141" s="427"/>
    </row>
    <row r="1142" spans="2:7" x14ac:dyDescent="0.25">
      <c r="B1142" s="430" t="s">
        <v>420</v>
      </c>
      <c r="C1142" s="434">
        <v>43910</v>
      </c>
      <c r="D1142" s="431">
        <v>18050</v>
      </c>
      <c r="E1142" s="436">
        <v>3604249</v>
      </c>
      <c r="F1142" s="444">
        <v>4.8315979921913195E-3</v>
      </c>
      <c r="G1142" s="427"/>
    </row>
    <row r="1143" spans="2:7" x14ac:dyDescent="0.25">
      <c r="B1143" s="430" t="s">
        <v>420</v>
      </c>
      <c r="C1143" s="434">
        <v>43913</v>
      </c>
      <c r="D1143" s="431">
        <v>17735</v>
      </c>
      <c r="E1143" s="436">
        <v>1818299</v>
      </c>
      <c r="F1143" s="444">
        <v>-1.760559655330474E-2</v>
      </c>
      <c r="G1143" s="427"/>
    </row>
    <row r="1144" spans="2:7" x14ac:dyDescent="0.25">
      <c r="B1144" s="430" t="s">
        <v>420</v>
      </c>
      <c r="C1144" s="434">
        <v>43914</v>
      </c>
      <c r="D1144" s="431">
        <v>17283</v>
      </c>
      <c r="E1144" s="436">
        <v>2035197</v>
      </c>
      <c r="F1144" s="444">
        <v>-2.581672880722936E-2</v>
      </c>
      <c r="G1144" s="427"/>
    </row>
    <row r="1145" spans="2:7" x14ac:dyDescent="0.25">
      <c r="B1145" s="430" t="s">
        <v>420</v>
      </c>
      <c r="C1145" s="434">
        <v>43915</v>
      </c>
      <c r="D1145" s="431">
        <v>17874</v>
      </c>
      <c r="E1145" s="436">
        <v>1426185</v>
      </c>
      <c r="F1145" s="444">
        <v>3.3623783540844561E-2</v>
      </c>
      <c r="G1145" s="427"/>
    </row>
    <row r="1146" spans="2:7" x14ac:dyDescent="0.25">
      <c r="B1146" s="430" t="s">
        <v>420</v>
      </c>
      <c r="C1146" s="434">
        <v>43916</v>
      </c>
      <c r="D1146" s="431">
        <v>18283</v>
      </c>
      <c r="E1146" s="436">
        <v>1461185</v>
      </c>
      <c r="F1146" s="444">
        <v>2.262452338716758E-2</v>
      </c>
      <c r="G1146" s="427"/>
    </row>
    <row r="1147" spans="2:7" x14ac:dyDescent="0.25">
      <c r="B1147" s="430" t="s">
        <v>420</v>
      </c>
      <c r="C1147" s="434">
        <v>43917</v>
      </c>
      <c r="D1147" s="431">
        <v>17902</v>
      </c>
      <c r="E1147" s="436">
        <v>1337889</v>
      </c>
      <c r="F1147" s="444">
        <v>-2.1059227897620662E-2</v>
      </c>
      <c r="G1147" s="427"/>
    </row>
    <row r="1148" spans="2:7" x14ac:dyDescent="0.25">
      <c r="B1148" s="430" t="s">
        <v>420</v>
      </c>
      <c r="C1148" s="434">
        <v>43920</v>
      </c>
      <c r="D1148" s="431">
        <v>17810</v>
      </c>
      <c r="E1148" s="436">
        <v>1078518</v>
      </c>
      <c r="F1148" s="444">
        <v>-5.152341147176949E-3</v>
      </c>
      <c r="G1148" s="427"/>
    </row>
    <row r="1149" spans="2:7" x14ac:dyDescent="0.25">
      <c r="B1149" s="430" t="s">
        <v>420</v>
      </c>
      <c r="C1149" s="434">
        <v>43921</v>
      </c>
      <c r="D1149" s="431">
        <v>18175</v>
      </c>
      <c r="E1149" s="436">
        <v>1062598</v>
      </c>
      <c r="F1149" s="444">
        <v>2.0286926118012819E-2</v>
      </c>
      <c r="G1149" s="427"/>
    </row>
    <row r="1150" spans="2:7" x14ac:dyDescent="0.25">
      <c r="B1150" s="430" t="s">
        <v>420</v>
      </c>
      <c r="C1150" s="434">
        <v>43922</v>
      </c>
      <c r="D1150" s="431">
        <v>18353</v>
      </c>
      <c r="E1150" s="436">
        <v>952933</v>
      </c>
      <c r="F1150" s="444">
        <v>9.7460254567518986E-3</v>
      </c>
      <c r="G1150" s="427"/>
    </row>
    <row r="1151" spans="2:7" x14ac:dyDescent="0.25">
      <c r="B1151" s="430" t="s">
        <v>420</v>
      </c>
      <c r="C1151" s="434">
        <v>43923</v>
      </c>
      <c r="D1151" s="431">
        <v>17960</v>
      </c>
      <c r="E1151" s="436">
        <v>1067266</v>
      </c>
      <c r="F1151" s="444">
        <v>-2.1645986002281393E-2</v>
      </c>
      <c r="G1151" s="427"/>
    </row>
    <row r="1152" spans="2:7" x14ac:dyDescent="0.25">
      <c r="B1152" s="430" t="s">
        <v>420</v>
      </c>
      <c r="C1152" s="434">
        <v>43924</v>
      </c>
      <c r="D1152" s="431">
        <v>18125</v>
      </c>
      <c r="E1152" s="436">
        <v>784018</v>
      </c>
      <c r="F1152" s="444">
        <v>9.145137866684987E-3</v>
      </c>
      <c r="G1152" s="427"/>
    </row>
    <row r="1153" spans="2:7" x14ac:dyDescent="0.25">
      <c r="B1153" s="430" t="s">
        <v>420</v>
      </c>
      <c r="C1153" s="434">
        <v>43927</v>
      </c>
      <c r="D1153" s="431">
        <v>18289</v>
      </c>
      <c r="E1153" s="436">
        <v>685405</v>
      </c>
      <c r="F1153" s="444">
        <v>9.0075854817001366E-3</v>
      </c>
      <c r="G1153" s="427"/>
    </row>
    <row r="1154" spans="2:7" x14ac:dyDescent="0.25">
      <c r="B1154" s="430" t="s">
        <v>420</v>
      </c>
      <c r="C1154" s="434">
        <v>43928</v>
      </c>
      <c r="D1154" s="431">
        <v>17077</v>
      </c>
      <c r="E1154" s="436">
        <v>1144255</v>
      </c>
      <c r="F1154" s="444">
        <v>-6.8567257317336747E-2</v>
      </c>
      <c r="G1154" s="427"/>
    </row>
    <row r="1155" spans="2:7" x14ac:dyDescent="0.25">
      <c r="B1155" s="430" t="s">
        <v>420</v>
      </c>
      <c r="C1155" s="434">
        <v>43929</v>
      </c>
      <c r="D1155" s="431">
        <v>17028</v>
      </c>
      <c r="E1155" s="436">
        <v>989750</v>
      </c>
      <c r="F1155" s="444">
        <v>-2.8734809391960932E-3</v>
      </c>
      <c r="G1155" s="427"/>
    </row>
    <row r="1156" spans="2:7" x14ac:dyDescent="0.25">
      <c r="B1156" s="430" t="s">
        <v>420</v>
      </c>
      <c r="C1156" s="434">
        <v>43930</v>
      </c>
      <c r="D1156" s="431">
        <v>18078</v>
      </c>
      <c r="E1156" s="436">
        <v>1371953</v>
      </c>
      <c r="F1156" s="444">
        <v>5.9836681410313335E-2</v>
      </c>
      <c r="G1156" s="427"/>
    </row>
    <row r="1157" spans="2:7" x14ac:dyDescent="0.25">
      <c r="B1157" s="430" t="s">
        <v>420</v>
      </c>
      <c r="C1157" s="434">
        <v>43935</v>
      </c>
      <c r="D1157" s="431">
        <v>18162</v>
      </c>
      <c r="E1157" s="436">
        <v>936298</v>
      </c>
      <c r="F1157" s="444">
        <v>4.6357698914174014E-3</v>
      </c>
      <c r="G1157" s="427"/>
    </row>
    <row r="1158" spans="2:7" x14ac:dyDescent="0.25">
      <c r="B1158" s="430" t="s">
        <v>420</v>
      </c>
      <c r="C1158" s="434">
        <v>43936</v>
      </c>
      <c r="D1158" s="431">
        <v>18264</v>
      </c>
      <c r="E1158" s="436">
        <v>1204217</v>
      </c>
      <c r="F1158" s="444">
        <v>5.6004099598578874E-3</v>
      </c>
      <c r="G1158" s="427"/>
    </row>
    <row r="1159" spans="2:7" x14ac:dyDescent="0.25">
      <c r="B1159" s="430" t="s">
        <v>420</v>
      </c>
      <c r="C1159" s="434">
        <v>43937</v>
      </c>
      <c r="D1159" s="431">
        <v>18205</v>
      </c>
      <c r="E1159" s="436">
        <v>1375762</v>
      </c>
      <c r="F1159" s="444">
        <v>-3.2356276000976287E-3</v>
      </c>
      <c r="G1159" s="427"/>
    </row>
    <row r="1160" spans="2:7" x14ac:dyDescent="0.25">
      <c r="B1160" s="430" t="s">
        <v>420</v>
      </c>
      <c r="C1160" s="434">
        <v>43938</v>
      </c>
      <c r="D1160" s="431">
        <v>18496</v>
      </c>
      <c r="E1160" s="436">
        <v>666247</v>
      </c>
      <c r="F1160" s="444">
        <v>1.5858210862570252E-2</v>
      </c>
      <c r="G1160" s="427"/>
    </row>
    <row r="1161" spans="2:7" x14ac:dyDescent="0.25">
      <c r="B1161" s="430" t="s">
        <v>420</v>
      </c>
      <c r="C1161" s="434">
        <v>43941</v>
      </c>
      <c r="D1161" s="431">
        <v>18454</v>
      </c>
      <c r="E1161" s="436">
        <v>490569</v>
      </c>
      <c r="F1161" s="444">
        <v>-2.2733433336028482E-3</v>
      </c>
      <c r="G1161" s="427"/>
    </row>
    <row r="1162" spans="2:7" x14ac:dyDescent="0.25">
      <c r="B1162" s="430" t="s">
        <v>420</v>
      </c>
      <c r="C1162" s="434">
        <v>43942</v>
      </c>
      <c r="D1162" s="431">
        <v>18002</v>
      </c>
      <c r="E1162" s="436">
        <v>960175</v>
      </c>
      <c r="F1162" s="444">
        <v>-2.479828632147054E-2</v>
      </c>
      <c r="G1162" s="427"/>
    </row>
    <row r="1163" spans="2:7" x14ac:dyDescent="0.25">
      <c r="B1163" s="430" t="s">
        <v>420</v>
      </c>
      <c r="C1163" s="434">
        <v>43943</v>
      </c>
      <c r="D1163" s="431">
        <v>18452</v>
      </c>
      <c r="E1163" s="436">
        <v>1309754</v>
      </c>
      <c r="F1163" s="444">
        <v>2.4689902860680599E-2</v>
      </c>
      <c r="G1163" s="427"/>
    </row>
    <row r="1164" spans="2:7" x14ac:dyDescent="0.25">
      <c r="B1164" s="430" t="s">
        <v>420</v>
      </c>
      <c r="C1164" s="434">
        <v>43944</v>
      </c>
      <c r="D1164" s="431">
        <v>18871</v>
      </c>
      <c r="E1164" s="436">
        <v>1331096</v>
      </c>
      <c r="F1164" s="444">
        <v>2.2453586451384486E-2</v>
      </c>
      <c r="G1164" s="427"/>
    </row>
    <row r="1165" spans="2:7" x14ac:dyDescent="0.25">
      <c r="B1165" s="430" t="s">
        <v>420</v>
      </c>
      <c r="C1165" s="434">
        <v>43945</v>
      </c>
      <c r="D1165" s="431">
        <v>18950</v>
      </c>
      <c r="E1165" s="436">
        <v>1565002</v>
      </c>
      <c r="F1165" s="444">
        <v>4.1775793814768231E-3</v>
      </c>
      <c r="G1165" s="427"/>
    </row>
    <row r="1166" spans="2:7" x14ac:dyDescent="0.25">
      <c r="B1166" s="430" t="s">
        <v>420</v>
      </c>
      <c r="C1166" s="434">
        <v>43949</v>
      </c>
      <c r="D1166" s="431">
        <v>18628</v>
      </c>
      <c r="E1166" s="436">
        <v>1137941</v>
      </c>
      <c r="F1166" s="444">
        <v>-1.7138106408304613E-2</v>
      </c>
      <c r="G1166" s="427"/>
    </row>
    <row r="1167" spans="2:7" x14ac:dyDescent="0.25">
      <c r="B1167" s="430" t="s">
        <v>420</v>
      </c>
      <c r="C1167" s="434">
        <v>43950</v>
      </c>
      <c r="D1167" s="431">
        <v>18169</v>
      </c>
      <c r="E1167" s="436">
        <v>1150222</v>
      </c>
      <c r="F1167" s="444">
        <v>-2.494897999982729E-2</v>
      </c>
      <c r="G1167" s="427"/>
    </row>
    <row r="1168" spans="2:7" x14ac:dyDescent="0.25">
      <c r="B1168" s="430" t="s">
        <v>420</v>
      </c>
      <c r="C1168" s="434">
        <v>43951</v>
      </c>
      <c r="D1168" s="431">
        <v>17688</v>
      </c>
      <c r="E1168" s="436">
        <v>1264895</v>
      </c>
      <c r="F1168" s="444">
        <v>-2.6830401565158299E-2</v>
      </c>
      <c r="G1168" s="427"/>
    </row>
    <row r="1169" spans="2:7" x14ac:dyDescent="0.25">
      <c r="B1169" s="430" t="s">
        <v>420</v>
      </c>
      <c r="C1169" s="434">
        <v>43955</v>
      </c>
      <c r="D1169" s="431">
        <v>17540</v>
      </c>
      <c r="E1169" s="436">
        <v>1205312</v>
      </c>
      <c r="F1169" s="444">
        <v>-8.4024566111082066E-3</v>
      </c>
      <c r="G1169" s="427"/>
    </row>
    <row r="1170" spans="2:7" x14ac:dyDescent="0.25">
      <c r="B1170" s="430" t="s">
        <v>420</v>
      </c>
      <c r="C1170" s="434">
        <v>43956</v>
      </c>
      <c r="D1170" s="431">
        <v>18084</v>
      </c>
      <c r="E1170" s="436">
        <v>793553</v>
      </c>
      <c r="F1170" s="444">
        <v>3.0543582488321668E-2</v>
      </c>
      <c r="G1170" s="427"/>
    </row>
    <row r="1171" spans="2:7" x14ac:dyDescent="0.25">
      <c r="B1171" s="430" t="s">
        <v>420</v>
      </c>
      <c r="C1171" s="434">
        <v>43957</v>
      </c>
      <c r="D1171" s="431">
        <v>18404</v>
      </c>
      <c r="E1171" s="436">
        <v>714786</v>
      </c>
      <c r="F1171" s="444">
        <v>1.7540462860863366E-2</v>
      </c>
      <c r="G1171" s="427"/>
    </row>
    <row r="1172" spans="2:7" x14ac:dyDescent="0.25">
      <c r="B1172" s="430" t="s">
        <v>420</v>
      </c>
      <c r="C1172" s="434">
        <v>43958</v>
      </c>
      <c r="D1172" s="431">
        <v>18200</v>
      </c>
      <c r="E1172" s="436">
        <v>455959</v>
      </c>
      <c r="F1172" s="444">
        <v>-1.1146438210472545E-2</v>
      </c>
      <c r="G1172" s="427"/>
    </row>
    <row r="1173" spans="2:7" x14ac:dyDescent="0.25">
      <c r="B1173" s="430" t="s">
        <v>420</v>
      </c>
      <c r="C1173" s="434">
        <v>43959</v>
      </c>
      <c r="D1173" s="431">
        <v>18535</v>
      </c>
      <c r="E1173" s="436">
        <v>913195</v>
      </c>
      <c r="F1173" s="444">
        <v>1.823924251994586E-2</v>
      </c>
      <c r="G1173" s="427"/>
    </row>
    <row r="1174" spans="2:7" x14ac:dyDescent="0.25">
      <c r="B1174" s="430" t="s">
        <v>420</v>
      </c>
      <c r="C1174" s="434">
        <v>43962</v>
      </c>
      <c r="D1174" s="431">
        <v>18483</v>
      </c>
      <c r="E1174" s="436">
        <v>366940</v>
      </c>
      <c r="F1174" s="444">
        <v>-2.8094459021522824E-3</v>
      </c>
      <c r="G1174" s="427"/>
    </row>
    <row r="1175" spans="2:7" x14ac:dyDescent="0.25">
      <c r="B1175" s="430" t="s">
        <v>420</v>
      </c>
      <c r="C1175" s="434">
        <v>43963</v>
      </c>
      <c r="D1175" s="431">
        <v>17515</v>
      </c>
      <c r="E1175" s="436">
        <v>1721135</v>
      </c>
      <c r="F1175" s="444">
        <v>-5.379373405109323E-2</v>
      </c>
      <c r="G1175" s="427"/>
    </row>
    <row r="1176" spans="2:7" x14ac:dyDescent="0.25">
      <c r="B1176" s="430" t="s">
        <v>420</v>
      </c>
      <c r="C1176" s="434">
        <v>43964</v>
      </c>
      <c r="D1176" s="431">
        <v>17505</v>
      </c>
      <c r="E1176" s="436">
        <v>768206</v>
      </c>
      <c r="F1176" s="444">
        <v>-5.7110224282115412E-4</v>
      </c>
      <c r="G1176" s="427"/>
    </row>
    <row r="1177" spans="2:7" x14ac:dyDescent="0.25">
      <c r="B1177" s="430" t="s">
        <v>420</v>
      </c>
      <c r="C1177" s="434">
        <v>43965</v>
      </c>
      <c r="D1177" s="431">
        <v>16830</v>
      </c>
      <c r="E1177" s="436">
        <v>953051</v>
      </c>
      <c r="F1177" s="444">
        <v>-3.9323546203914407E-2</v>
      </c>
      <c r="G1177" s="427"/>
    </row>
    <row r="1178" spans="2:7" x14ac:dyDescent="0.25">
      <c r="B1178" s="430" t="s">
        <v>420</v>
      </c>
      <c r="C1178" s="434">
        <v>43966</v>
      </c>
      <c r="D1178" s="431">
        <v>16400</v>
      </c>
      <c r="E1178" s="436">
        <v>2003944</v>
      </c>
      <c r="F1178" s="444">
        <v>-2.5881673372561941E-2</v>
      </c>
      <c r="G1178" s="427"/>
    </row>
    <row r="1179" spans="2:7" x14ac:dyDescent="0.25">
      <c r="B1179" s="430" t="s">
        <v>420</v>
      </c>
      <c r="C1179" s="434">
        <v>43969</v>
      </c>
      <c r="D1179" s="431">
        <v>16300</v>
      </c>
      <c r="E1179" s="436">
        <v>938546</v>
      </c>
      <c r="F1179" s="444">
        <v>-6.1162270174360944E-3</v>
      </c>
      <c r="G1179" s="427"/>
    </row>
    <row r="1180" spans="2:7" x14ac:dyDescent="0.25">
      <c r="B1180" s="430" t="s">
        <v>420</v>
      </c>
      <c r="C1180" s="434">
        <v>43970</v>
      </c>
      <c r="D1180" s="431">
        <v>16727</v>
      </c>
      <c r="E1180" s="436">
        <v>838609</v>
      </c>
      <c r="F1180" s="444">
        <v>2.5859072517155017E-2</v>
      </c>
      <c r="G1180" s="427"/>
    </row>
    <row r="1181" spans="2:7" x14ac:dyDescent="0.25">
      <c r="B1181" s="430" t="s">
        <v>420</v>
      </c>
      <c r="C1181" s="434">
        <v>43971</v>
      </c>
      <c r="D1181" s="431">
        <v>16826</v>
      </c>
      <c r="E1181" s="436">
        <v>701791</v>
      </c>
      <c r="F1181" s="444">
        <v>5.9011287987501748E-3</v>
      </c>
      <c r="G1181" s="427"/>
    </row>
    <row r="1182" spans="2:7" x14ac:dyDescent="0.25">
      <c r="B1182" s="430" t="s">
        <v>420</v>
      </c>
      <c r="C1182" s="434">
        <v>43972</v>
      </c>
      <c r="D1182" s="431">
        <v>17890</v>
      </c>
      <c r="E1182" s="436">
        <v>1454623</v>
      </c>
      <c r="F1182" s="444">
        <v>6.1316588392005857E-2</v>
      </c>
      <c r="G1182" s="427"/>
    </row>
    <row r="1183" spans="2:7" x14ac:dyDescent="0.25">
      <c r="B1183" s="430" t="s">
        <v>420</v>
      </c>
      <c r="C1183" s="434">
        <v>43973</v>
      </c>
      <c r="D1183" s="431">
        <v>17910</v>
      </c>
      <c r="E1183" s="436">
        <v>897896</v>
      </c>
      <c r="F1183" s="444">
        <v>1.1173185519925981E-3</v>
      </c>
      <c r="G1183" s="427"/>
    </row>
    <row r="1184" spans="2:7" x14ac:dyDescent="0.25">
      <c r="B1184" s="430" t="s">
        <v>420</v>
      </c>
      <c r="C1184" s="434">
        <v>43976</v>
      </c>
      <c r="D1184" s="431">
        <v>17548</v>
      </c>
      <c r="E1184" s="436">
        <v>577440</v>
      </c>
      <c r="F1184" s="444">
        <v>-2.0419232768652845E-2</v>
      </c>
      <c r="G1184" s="427"/>
    </row>
    <row r="1185" spans="2:7" x14ac:dyDescent="0.25">
      <c r="B1185" s="430" t="s">
        <v>420</v>
      </c>
      <c r="C1185" s="434">
        <v>43977</v>
      </c>
      <c r="D1185" s="431">
        <v>17813</v>
      </c>
      <c r="E1185" s="436">
        <v>718788</v>
      </c>
      <c r="F1185" s="444">
        <v>1.4988544506380248E-2</v>
      </c>
      <c r="G1185" s="427"/>
    </row>
    <row r="1186" spans="2:7" x14ac:dyDescent="0.25">
      <c r="B1186" s="430" t="s">
        <v>420</v>
      </c>
      <c r="C1186" s="434">
        <v>43978</v>
      </c>
      <c r="D1186" s="431">
        <v>17598</v>
      </c>
      <c r="E1186" s="436">
        <v>530780</v>
      </c>
      <c r="F1186" s="444">
        <v>-1.2143268586978864E-2</v>
      </c>
      <c r="G1186" s="427"/>
    </row>
    <row r="1187" spans="2:7" x14ac:dyDescent="0.25">
      <c r="B1187" s="430" t="s">
        <v>420</v>
      </c>
      <c r="C1187" s="434">
        <v>43979</v>
      </c>
      <c r="D1187" s="431">
        <v>17443</v>
      </c>
      <c r="E1187" s="436">
        <v>650958</v>
      </c>
      <c r="F1187" s="444">
        <v>-8.8468371873712051E-3</v>
      </c>
      <c r="G1187" s="427"/>
    </row>
    <row r="1188" spans="2:7" x14ac:dyDescent="0.25">
      <c r="B1188" s="430" t="s">
        <v>420</v>
      </c>
      <c r="C1188" s="434">
        <v>43980</v>
      </c>
      <c r="D1188" s="431">
        <v>17519</v>
      </c>
      <c r="E1188" s="436">
        <v>2431593</v>
      </c>
      <c r="F1188" s="444">
        <v>4.3475842176870817E-3</v>
      </c>
      <c r="G1188" s="427"/>
    </row>
    <row r="1189" spans="2:7" x14ac:dyDescent="0.25">
      <c r="B1189" s="430" t="s">
        <v>420</v>
      </c>
      <c r="C1189" s="434">
        <v>43983</v>
      </c>
      <c r="D1189" s="431">
        <v>17633</v>
      </c>
      <c r="E1189" s="436">
        <v>516398</v>
      </c>
      <c r="F1189" s="444">
        <v>6.4861401721014672E-3</v>
      </c>
      <c r="G1189" s="427"/>
    </row>
    <row r="1190" spans="2:7" x14ac:dyDescent="0.25">
      <c r="B1190" s="430" t="s">
        <v>420</v>
      </c>
      <c r="C1190" s="434">
        <v>43984</v>
      </c>
      <c r="D1190" s="431">
        <v>17978</v>
      </c>
      <c r="E1190" s="436">
        <v>971019</v>
      </c>
      <c r="F1190" s="444">
        <v>1.9376641725421181E-2</v>
      </c>
      <c r="G1190" s="427"/>
    </row>
    <row r="1191" spans="2:7" x14ac:dyDescent="0.25">
      <c r="B1191" s="430" t="s">
        <v>420</v>
      </c>
      <c r="C1191" s="434">
        <v>43985</v>
      </c>
      <c r="D1191" s="431">
        <v>18648</v>
      </c>
      <c r="E1191" s="436">
        <v>753488</v>
      </c>
      <c r="F1191" s="444">
        <v>3.6590113582248521E-2</v>
      </c>
      <c r="G1191" s="427"/>
    </row>
    <row r="1192" spans="2:7" x14ac:dyDescent="0.25">
      <c r="B1192" s="430" t="s">
        <v>420</v>
      </c>
      <c r="C1192" s="434">
        <v>43986</v>
      </c>
      <c r="D1192" s="431">
        <v>18558</v>
      </c>
      <c r="E1192" s="436">
        <v>868893</v>
      </c>
      <c r="F1192" s="444">
        <v>-4.8379388024684892E-3</v>
      </c>
      <c r="G1192" s="427"/>
    </row>
    <row r="1193" spans="2:7" x14ac:dyDescent="0.25">
      <c r="B1193" s="430" t="s">
        <v>420</v>
      </c>
      <c r="C1193" s="434">
        <v>43987</v>
      </c>
      <c r="D1193" s="431">
        <v>18929</v>
      </c>
      <c r="E1193" s="436">
        <v>911879</v>
      </c>
      <c r="F1193" s="444">
        <v>1.9794174693094857E-2</v>
      </c>
      <c r="G1193" s="427"/>
    </row>
    <row r="1194" spans="2:7" x14ac:dyDescent="0.25">
      <c r="B1194" s="430" t="s">
        <v>420</v>
      </c>
      <c r="C1194" s="434">
        <v>43990</v>
      </c>
      <c r="D1194" s="431">
        <v>18688</v>
      </c>
      <c r="E1194" s="436">
        <v>941602</v>
      </c>
      <c r="F1194" s="444">
        <v>-1.2813530978265941E-2</v>
      </c>
      <c r="G1194" s="427"/>
    </row>
    <row r="1195" spans="2:7" x14ac:dyDescent="0.25">
      <c r="B1195" s="430" t="s">
        <v>420</v>
      </c>
      <c r="C1195" s="434">
        <v>43991</v>
      </c>
      <c r="D1195" s="431">
        <v>18689</v>
      </c>
      <c r="E1195" s="436">
        <v>1438542</v>
      </c>
      <c r="F1195" s="444">
        <v>5.3508842349072747E-5</v>
      </c>
      <c r="G1195" s="427"/>
    </row>
    <row r="1196" spans="2:7" x14ac:dyDescent="0.25">
      <c r="B1196" s="430" t="s">
        <v>420</v>
      </c>
      <c r="C1196" s="434">
        <v>43992</v>
      </c>
      <c r="D1196" s="431">
        <v>18363</v>
      </c>
      <c r="E1196" s="436">
        <v>589826</v>
      </c>
      <c r="F1196" s="444">
        <v>-1.7597344951123015E-2</v>
      </c>
      <c r="G1196" s="427"/>
    </row>
    <row r="1197" spans="2:7" x14ac:dyDescent="0.25">
      <c r="B1197" s="430" t="s">
        <v>420</v>
      </c>
      <c r="C1197" s="434">
        <v>43993</v>
      </c>
      <c r="D1197" s="431">
        <v>18008</v>
      </c>
      <c r="E1197" s="436">
        <v>878855</v>
      </c>
      <c r="F1197" s="444">
        <v>-1.9521666932611332E-2</v>
      </c>
      <c r="G1197" s="427"/>
    </row>
    <row r="1198" spans="2:7" x14ac:dyDescent="0.25">
      <c r="B1198" s="430" t="s">
        <v>420</v>
      </c>
      <c r="C1198" s="434">
        <v>43994</v>
      </c>
      <c r="D1198" s="431">
        <v>17762</v>
      </c>
      <c r="E1198" s="436">
        <v>731594</v>
      </c>
      <c r="F1198" s="444">
        <v>-1.3754759768118715E-2</v>
      </c>
      <c r="G1198" s="427"/>
    </row>
    <row r="1199" spans="2:7" x14ac:dyDescent="0.25">
      <c r="B1199" s="430" t="s">
        <v>420</v>
      </c>
      <c r="C1199" s="434">
        <v>43997</v>
      </c>
      <c r="D1199" s="431">
        <v>17120</v>
      </c>
      <c r="E1199" s="436">
        <v>928187</v>
      </c>
      <c r="F1199" s="444">
        <v>-3.6813973122716316E-2</v>
      </c>
      <c r="G1199" s="427"/>
    </row>
    <row r="1200" spans="2:7" x14ac:dyDescent="0.25">
      <c r="B1200" s="430" t="s">
        <v>420</v>
      </c>
      <c r="C1200" s="434">
        <v>43999</v>
      </c>
      <c r="D1200" s="431">
        <v>17500</v>
      </c>
      <c r="E1200" s="436">
        <v>1378003</v>
      </c>
      <c r="F1200" s="444">
        <v>2.1953510215872423E-2</v>
      </c>
      <c r="G1200" s="427"/>
    </row>
    <row r="1201" spans="2:7" x14ac:dyDescent="0.25">
      <c r="B1201" s="430" t="s">
        <v>420</v>
      </c>
      <c r="C1201" s="434">
        <v>44000</v>
      </c>
      <c r="D1201" s="431">
        <v>17343</v>
      </c>
      <c r="E1201" s="436">
        <v>1744373</v>
      </c>
      <c r="F1201" s="444">
        <v>-9.0119141610195963E-3</v>
      </c>
      <c r="G1201" s="427"/>
    </row>
    <row r="1202" spans="2:7" x14ac:dyDescent="0.25">
      <c r="B1202" s="430" t="s">
        <v>420</v>
      </c>
      <c r="C1202" s="434">
        <v>44001</v>
      </c>
      <c r="D1202" s="431">
        <v>17558</v>
      </c>
      <c r="E1202" s="436">
        <v>1919770</v>
      </c>
      <c r="F1202" s="444">
        <v>1.2320719735568277E-2</v>
      </c>
      <c r="G1202" s="427"/>
    </row>
    <row r="1203" spans="2:7" x14ac:dyDescent="0.25">
      <c r="B1203" s="430" t="s">
        <v>420</v>
      </c>
      <c r="C1203" s="434">
        <v>44004</v>
      </c>
      <c r="D1203" s="431">
        <v>17595</v>
      </c>
      <c r="E1203" s="436">
        <v>345635</v>
      </c>
      <c r="F1203" s="444">
        <v>2.1050842695313921E-3</v>
      </c>
      <c r="G1203" s="427"/>
    </row>
    <row r="1204" spans="2:7" x14ac:dyDescent="0.25">
      <c r="B1204" s="430" t="s">
        <v>420</v>
      </c>
      <c r="C1204" s="434">
        <v>44005</v>
      </c>
      <c r="D1204" s="431">
        <v>17410</v>
      </c>
      <c r="E1204" s="436">
        <v>904290</v>
      </c>
      <c r="F1204" s="444">
        <v>-1.0570016993450823E-2</v>
      </c>
      <c r="G1204" s="427"/>
    </row>
    <row r="1205" spans="2:7" x14ac:dyDescent="0.25">
      <c r="B1205" s="430" t="s">
        <v>420</v>
      </c>
      <c r="C1205" s="434">
        <v>44006</v>
      </c>
      <c r="D1205" s="431">
        <v>17500</v>
      </c>
      <c r="E1205" s="436">
        <v>537597</v>
      </c>
      <c r="F1205" s="444">
        <v>5.156127149370803E-3</v>
      </c>
      <c r="G1205" s="427"/>
    </row>
    <row r="1206" spans="2:7" x14ac:dyDescent="0.25">
      <c r="B1206" s="430" t="s">
        <v>420</v>
      </c>
      <c r="C1206" s="434">
        <v>44007</v>
      </c>
      <c r="D1206" s="431">
        <v>17254</v>
      </c>
      <c r="E1206" s="436">
        <v>822834</v>
      </c>
      <c r="F1206" s="444">
        <v>-1.4156880275081355E-2</v>
      </c>
      <c r="G1206" s="427"/>
    </row>
    <row r="1207" spans="2:7" x14ac:dyDescent="0.25">
      <c r="B1207" s="430" t="s">
        <v>420</v>
      </c>
      <c r="C1207" s="434">
        <v>44008</v>
      </c>
      <c r="D1207" s="431">
        <v>17376</v>
      </c>
      <c r="E1207" s="436">
        <v>718750</v>
      </c>
      <c r="F1207" s="444">
        <v>7.0459430971378401E-3</v>
      </c>
      <c r="G1207" s="427"/>
    </row>
    <row r="1208" spans="2:7" x14ac:dyDescent="0.25">
      <c r="B1208" s="430" t="s">
        <v>420</v>
      </c>
      <c r="C1208" s="434">
        <v>44011</v>
      </c>
      <c r="D1208" s="431">
        <v>17490</v>
      </c>
      <c r="E1208" s="436">
        <v>551005</v>
      </c>
      <c r="F1208" s="444">
        <v>6.5393452789857583E-3</v>
      </c>
      <c r="G1208" s="427"/>
    </row>
    <row r="1209" spans="2:7" x14ac:dyDescent="0.25">
      <c r="B1209" s="430" t="s">
        <v>420</v>
      </c>
      <c r="C1209" s="434">
        <v>44012</v>
      </c>
      <c r="D1209" s="431">
        <v>17160</v>
      </c>
      <c r="E1209" s="436">
        <v>755995</v>
      </c>
      <c r="F1209" s="444">
        <v>-1.9048194970694474E-2</v>
      </c>
      <c r="G1209" s="427"/>
    </row>
    <row r="1210" spans="2:7" x14ac:dyDescent="0.25">
      <c r="B1210" s="430" t="s">
        <v>420</v>
      </c>
      <c r="C1210" s="434">
        <v>44013</v>
      </c>
      <c r="D1210" s="431">
        <v>17574</v>
      </c>
      <c r="E1210" s="436">
        <v>618521</v>
      </c>
      <c r="F1210" s="444">
        <v>2.3839443013835161E-2</v>
      </c>
      <c r="G1210" s="427"/>
    </row>
    <row r="1211" spans="2:7" x14ac:dyDescent="0.25">
      <c r="B1211" s="430" t="s">
        <v>420</v>
      </c>
      <c r="C1211" s="434">
        <v>44014</v>
      </c>
      <c r="D1211" s="431">
        <v>17708</v>
      </c>
      <c r="E1211" s="436">
        <v>688052</v>
      </c>
      <c r="F1211" s="444">
        <v>7.5959777962432374E-3</v>
      </c>
      <c r="G1211" s="427"/>
    </row>
    <row r="1212" spans="2:7" x14ac:dyDescent="0.25">
      <c r="B1212" s="430" t="s">
        <v>420</v>
      </c>
      <c r="C1212" s="434">
        <v>44015</v>
      </c>
      <c r="D1212" s="431">
        <v>17666</v>
      </c>
      <c r="E1212" s="436">
        <v>248834</v>
      </c>
      <c r="F1212" s="444">
        <v>-2.3746265469541186E-3</v>
      </c>
      <c r="G1212" s="427"/>
    </row>
    <row r="1213" spans="2:7" x14ac:dyDescent="0.25">
      <c r="B1213" s="430" t="s">
        <v>420</v>
      </c>
      <c r="C1213" s="434">
        <v>44018</v>
      </c>
      <c r="D1213" s="431">
        <v>17554</v>
      </c>
      <c r="E1213" s="436">
        <v>337576</v>
      </c>
      <c r="F1213" s="444">
        <v>-6.360044153014598E-3</v>
      </c>
      <c r="G1213" s="427"/>
    </row>
    <row r="1214" spans="2:7" x14ac:dyDescent="0.25">
      <c r="B1214" s="430" t="s">
        <v>420</v>
      </c>
      <c r="C1214" s="434">
        <v>44019</v>
      </c>
      <c r="D1214" s="431">
        <v>17462</v>
      </c>
      <c r="E1214" s="436">
        <v>714865</v>
      </c>
      <c r="F1214" s="444">
        <v>-5.2547527813099782E-3</v>
      </c>
      <c r="G1214" s="427"/>
    </row>
    <row r="1215" spans="2:7" x14ac:dyDescent="0.25">
      <c r="B1215" s="430" t="s">
        <v>420</v>
      </c>
      <c r="C1215" s="434">
        <v>44020</v>
      </c>
      <c r="D1215" s="431">
        <v>17720</v>
      </c>
      <c r="E1215" s="436">
        <v>790618</v>
      </c>
      <c r="F1215" s="444">
        <v>1.4666853788319008E-2</v>
      </c>
      <c r="G1215" s="427"/>
    </row>
    <row r="1216" spans="2:7" x14ac:dyDescent="0.25">
      <c r="B1216" s="430" t="s">
        <v>420</v>
      </c>
      <c r="C1216" s="434">
        <v>44021</v>
      </c>
      <c r="D1216" s="431">
        <v>17501</v>
      </c>
      <c r="E1216" s="436">
        <v>483780</v>
      </c>
      <c r="F1216" s="444">
        <v>-1.2435923022914585E-2</v>
      </c>
      <c r="G1216" s="427"/>
    </row>
    <row r="1217" spans="2:7" x14ac:dyDescent="0.25">
      <c r="B1217" s="430" t="s">
        <v>420</v>
      </c>
      <c r="C1217" s="434">
        <v>44022</v>
      </c>
      <c r="D1217" s="431">
        <v>17450</v>
      </c>
      <c r="E1217" s="436">
        <v>819291</v>
      </c>
      <c r="F1217" s="444">
        <v>-2.9183735055841871E-3</v>
      </c>
      <c r="G1217" s="427"/>
    </row>
    <row r="1218" spans="2:7" x14ac:dyDescent="0.25">
      <c r="B1218" s="430" t="s">
        <v>420</v>
      </c>
      <c r="C1218" s="434">
        <v>44025</v>
      </c>
      <c r="D1218" s="431">
        <v>17539</v>
      </c>
      <c r="E1218" s="436">
        <v>440909</v>
      </c>
      <c r="F1218" s="444">
        <v>5.0873241275645733E-3</v>
      </c>
      <c r="G1218" s="427"/>
    </row>
    <row r="1219" spans="2:7" x14ac:dyDescent="0.25">
      <c r="B1219" s="430" t="s">
        <v>420</v>
      </c>
      <c r="C1219" s="434">
        <v>44026</v>
      </c>
      <c r="D1219" s="431">
        <v>17370</v>
      </c>
      <c r="E1219" s="436">
        <v>574325</v>
      </c>
      <c r="F1219" s="444">
        <v>-9.682392522987273E-3</v>
      </c>
      <c r="G1219" s="427"/>
    </row>
    <row r="1220" spans="2:7" x14ac:dyDescent="0.25">
      <c r="B1220" s="430" t="s">
        <v>420</v>
      </c>
      <c r="C1220" s="434">
        <v>44027</v>
      </c>
      <c r="D1220" s="431">
        <v>17370</v>
      </c>
      <c r="E1220" s="436">
        <v>492391</v>
      </c>
      <c r="F1220" s="444">
        <v>0</v>
      </c>
      <c r="G1220" s="427"/>
    </row>
    <row r="1221" spans="2:7" x14ac:dyDescent="0.25">
      <c r="B1221" s="430" t="s">
        <v>420</v>
      </c>
      <c r="C1221" s="434">
        <v>44028</v>
      </c>
      <c r="D1221" s="431">
        <v>17465</v>
      </c>
      <c r="E1221" s="436">
        <v>612030</v>
      </c>
      <c r="F1221" s="444">
        <v>5.4542980057816475E-3</v>
      </c>
      <c r="G1221" s="427"/>
    </row>
    <row r="1222" spans="2:7" x14ac:dyDescent="0.25">
      <c r="B1222" s="430" t="s">
        <v>420</v>
      </c>
      <c r="C1222" s="434">
        <v>44029</v>
      </c>
      <c r="D1222" s="431">
        <v>17450</v>
      </c>
      <c r="E1222" s="436">
        <v>1135048</v>
      </c>
      <c r="F1222" s="444">
        <v>-8.5922961035909224E-4</v>
      </c>
      <c r="G1222" s="427"/>
    </row>
    <row r="1223" spans="2:7" x14ac:dyDescent="0.25">
      <c r="B1223" s="430" t="s">
        <v>420</v>
      </c>
      <c r="C1223" s="434">
        <v>44032</v>
      </c>
      <c r="D1223" s="431">
        <v>17207</v>
      </c>
      <c r="E1223" s="436">
        <v>550411</v>
      </c>
      <c r="F1223" s="444">
        <v>-1.4023370877415623E-2</v>
      </c>
      <c r="G1223" s="427"/>
    </row>
    <row r="1224" spans="2:7" x14ac:dyDescent="0.25">
      <c r="B1224" s="430" t="s">
        <v>420</v>
      </c>
      <c r="C1224" s="434">
        <v>44033</v>
      </c>
      <c r="D1224" s="431">
        <v>17200</v>
      </c>
      <c r="E1224" s="436">
        <v>877503</v>
      </c>
      <c r="F1224" s="444">
        <v>-4.068939516132098E-4</v>
      </c>
      <c r="G1224" s="427"/>
    </row>
    <row r="1225" spans="2:7" x14ac:dyDescent="0.25">
      <c r="B1225" s="430" t="s">
        <v>420</v>
      </c>
      <c r="C1225" s="434">
        <v>44034</v>
      </c>
      <c r="D1225" s="431">
        <v>16900</v>
      </c>
      <c r="E1225" s="436">
        <v>627099</v>
      </c>
      <c r="F1225" s="444">
        <v>-1.7595761890379601E-2</v>
      </c>
      <c r="G1225" s="427"/>
    </row>
    <row r="1226" spans="2:7" x14ac:dyDescent="0.25">
      <c r="B1226" s="430" t="s">
        <v>420</v>
      </c>
      <c r="C1226" s="434">
        <v>44035</v>
      </c>
      <c r="D1226" s="431">
        <v>16683</v>
      </c>
      <c r="E1226" s="436">
        <v>611064</v>
      </c>
      <c r="F1226" s="444">
        <v>-1.2923385055491194E-2</v>
      </c>
      <c r="G1226" s="427"/>
    </row>
    <row r="1227" spans="2:7" x14ac:dyDescent="0.25">
      <c r="B1227" s="430" t="s">
        <v>420</v>
      </c>
      <c r="C1227" s="434">
        <v>44036</v>
      </c>
      <c r="D1227" s="431">
        <v>16541</v>
      </c>
      <c r="E1227" s="436">
        <v>688110</v>
      </c>
      <c r="F1227" s="444">
        <v>-8.5480896134525405E-3</v>
      </c>
      <c r="G1227" s="427"/>
    </row>
    <row r="1228" spans="2:7" x14ac:dyDescent="0.25">
      <c r="B1228" s="430" t="s">
        <v>420</v>
      </c>
      <c r="C1228" s="434">
        <v>44039</v>
      </c>
      <c r="D1228" s="431">
        <v>16458</v>
      </c>
      <c r="E1228" s="436">
        <v>513858</v>
      </c>
      <c r="F1228" s="444">
        <v>-5.0304660765629269E-3</v>
      </c>
      <c r="G1228" s="427"/>
    </row>
    <row r="1229" spans="2:7" x14ac:dyDescent="0.25">
      <c r="B1229" s="430" t="s">
        <v>420</v>
      </c>
      <c r="C1229" s="434">
        <v>44040</v>
      </c>
      <c r="D1229" s="431">
        <v>16433</v>
      </c>
      <c r="E1229" s="436">
        <v>582107</v>
      </c>
      <c r="F1229" s="444">
        <v>-1.5201729843683197E-3</v>
      </c>
      <c r="G1229" s="427"/>
    </row>
    <row r="1230" spans="2:7" x14ac:dyDescent="0.25">
      <c r="B1230" s="430" t="s">
        <v>420</v>
      </c>
      <c r="C1230" s="434">
        <v>44041</v>
      </c>
      <c r="D1230" s="431">
        <v>16900</v>
      </c>
      <c r="E1230" s="436">
        <v>809266</v>
      </c>
      <c r="F1230" s="444">
        <v>2.8022113729874908E-2</v>
      </c>
      <c r="G1230" s="427"/>
    </row>
    <row r="1231" spans="2:7" x14ac:dyDescent="0.25">
      <c r="B1231" s="430" t="s">
        <v>420</v>
      </c>
      <c r="C1231" s="434">
        <v>44042</v>
      </c>
      <c r="D1231" s="431">
        <v>16770</v>
      </c>
      <c r="E1231" s="436">
        <v>371550</v>
      </c>
      <c r="F1231" s="444">
        <v>-7.7220460939102778E-3</v>
      </c>
      <c r="G1231" s="427"/>
    </row>
    <row r="1232" spans="2:7" x14ac:dyDescent="0.25">
      <c r="B1232" s="430" t="s">
        <v>420</v>
      </c>
      <c r="C1232" s="434">
        <v>44043</v>
      </c>
      <c r="D1232" s="431">
        <v>16500</v>
      </c>
      <c r="E1232" s="436">
        <v>753882</v>
      </c>
      <c r="F1232" s="444">
        <v>-1.6231194928582552E-2</v>
      </c>
      <c r="G1232" s="427"/>
    </row>
    <row r="1233" spans="2:7" x14ac:dyDescent="0.25">
      <c r="B1233" s="430" t="s">
        <v>420</v>
      </c>
      <c r="C1233" s="434">
        <v>44046</v>
      </c>
      <c r="D1233" s="431">
        <v>16605</v>
      </c>
      <c r="E1233" s="436">
        <v>731702</v>
      </c>
      <c r="F1233" s="444">
        <v>6.3434739221749515E-3</v>
      </c>
      <c r="G1233" s="427"/>
    </row>
    <row r="1234" spans="2:7" x14ac:dyDescent="0.25">
      <c r="B1234" s="430" t="s">
        <v>420</v>
      </c>
      <c r="C1234" s="434">
        <v>44047</v>
      </c>
      <c r="D1234" s="431">
        <v>16500</v>
      </c>
      <c r="E1234" s="436">
        <v>467147</v>
      </c>
      <c r="F1234" s="444">
        <v>-6.3434739221749263E-3</v>
      </c>
      <c r="G1234" s="427"/>
    </row>
    <row r="1235" spans="2:7" x14ac:dyDescent="0.25">
      <c r="B1235" s="430" t="s">
        <v>420</v>
      </c>
      <c r="C1235" s="434">
        <v>44048</v>
      </c>
      <c r="D1235" s="431">
        <v>16315</v>
      </c>
      <c r="E1235" s="436">
        <v>796863</v>
      </c>
      <c r="F1235" s="444">
        <v>-1.1275450861250999E-2</v>
      </c>
      <c r="G1235" s="427"/>
    </row>
    <row r="1236" spans="2:7" x14ac:dyDescent="0.25">
      <c r="B1236" s="430" t="s">
        <v>420</v>
      </c>
      <c r="C1236" s="434">
        <v>44049</v>
      </c>
      <c r="D1236" s="431">
        <v>16695</v>
      </c>
      <c r="E1236" s="436">
        <v>558035</v>
      </c>
      <c r="F1236" s="444">
        <v>2.302434335033398E-2</v>
      </c>
      <c r="G1236" s="427"/>
    </row>
    <row r="1237" spans="2:7" x14ac:dyDescent="0.25">
      <c r="B1237" s="430" t="s">
        <v>420</v>
      </c>
      <c r="C1237" s="434">
        <v>44050</v>
      </c>
      <c r="D1237" s="431">
        <v>16661</v>
      </c>
      <c r="E1237" s="436">
        <v>395945</v>
      </c>
      <c r="F1237" s="444">
        <v>-2.0386144486860989E-3</v>
      </c>
      <c r="G1237" s="427"/>
    </row>
    <row r="1238" spans="2:7" x14ac:dyDescent="0.25">
      <c r="B1238" s="430" t="s">
        <v>420</v>
      </c>
      <c r="C1238" s="434">
        <v>44054</v>
      </c>
      <c r="D1238" s="431">
        <v>16870</v>
      </c>
      <c r="E1238" s="436">
        <v>789147</v>
      </c>
      <c r="F1238" s="444">
        <v>1.2466237610945277E-2</v>
      </c>
      <c r="G1238" s="427"/>
    </row>
    <row r="1239" spans="2:7" x14ac:dyDescent="0.25">
      <c r="B1239" s="430" t="s">
        <v>420</v>
      </c>
      <c r="C1239" s="434">
        <v>44055</v>
      </c>
      <c r="D1239" s="431">
        <v>16869</v>
      </c>
      <c r="E1239" s="436">
        <v>1037992</v>
      </c>
      <c r="F1239" s="444">
        <v>-5.927857970258903E-5</v>
      </c>
      <c r="G1239" s="427"/>
    </row>
    <row r="1240" spans="2:7" x14ac:dyDescent="0.25">
      <c r="B1240" s="430" t="s">
        <v>420</v>
      </c>
      <c r="C1240" s="434">
        <v>44056</v>
      </c>
      <c r="D1240" s="431">
        <v>17055</v>
      </c>
      <c r="E1240" s="436">
        <v>656578</v>
      </c>
      <c r="F1240" s="444">
        <v>1.096579789243469E-2</v>
      </c>
      <c r="G1240" s="427"/>
    </row>
    <row r="1241" spans="2:7" x14ac:dyDescent="0.25">
      <c r="B1241" s="430" t="s">
        <v>420</v>
      </c>
      <c r="C1241" s="434">
        <v>44057</v>
      </c>
      <c r="D1241" s="431">
        <v>17161</v>
      </c>
      <c r="E1241" s="436">
        <v>705473</v>
      </c>
      <c r="F1241" s="444">
        <v>6.1959515495570551E-3</v>
      </c>
      <c r="G1241" s="427"/>
    </row>
    <row r="1242" spans="2:7" x14ac:dyDescent="0.25">
      <c r="B1242" s="430" t="s">
        <v>420</v>
      </c>
      <c r="C1242" s="434">
        <v>44060</v>
      </c>
      <c r="D1242" s="431">
        <v>17050</v>
      </c>
      <c r="E1242" s="436">
        <v>688340</v>
      </c>
      <c r="F1242" s="444">
        <v>-6.4891636906402039E-3</v>
      </c>
      <c r="G1242" s="427"/>
    </row>
    <row r="1243" spans="2:7" x14ac:dyDescent="0.25">
      <c r="B1243" s="430" t="s">
        <v>420</v>
      </c>
      <c r="C1243" s="434">
        <v>44061</v>
      </c>
      <c r="D1243" s="431">
        <v>17311</v>
      </c>
      <c r="E1243" s="436">
        <v>1025874</v>
      </c>
      <c r="F1243" s="444">
        <v>1.5191933865066726E-2</v>
      </c>
      <c r="G1243" s="427"/>
    </row>
    <row r="1244" spans="2:7" x14ac:dyDescent="0.25">
      <c r="B1244" s="430" t="s">
        <v>420</v>
      </c>
      <c r="C1244" s="434">
        <v>44062</v>
      </c>
      <c r="D1244" s="431">
        <v>17248</v>
      </c>
      <c r="E1244" s="436">
        <v>532561</v>
      </c>
      <c r="F1244" s="444">
        <v>-3.645942868005765E-3</v>
      </c>
      <c r="G1244" s="427"/>
    </row>
    <row r="1245" spans="2:7" x14ac:dyDescent="0.25">
      <c r="B1245" s="430" t="s">
        <v>420</v>
      </c>
      <c r="C1245" s="434">
        <v>44063</v>
      </c>
      <c r="D1245" s="431">
        <v>17042</v>
      </c>
      <c r="E1245" s="436">
        <v>480749</v>
      </c>
      <c r="F1245" s="444">
        <v>-1.2015309320822405E-2</v>
      </c>
      <c r="G1245" s="427"/>
    </row>
    <row r="1246" spans="2:7" x14ac:dyDescent="0.25">
      <c r="B1246" s="430" t="s">
        <v>420</v>
      </c>
      <c r="C1246" s="434">
        <v>44064</v>
      </c>
      <c r="D1246" s="431">
        <v>17057</v>
      </c>
      <c r="E1246" s="436">
        <v>316211</v>
      </c>
      <c r="F1246" s="444">
        <v>8.7979125297172266E-4</v>
      </c>
      <c r="G1246" s="427"/>
    </row>
    <row r="1247" spans="2:7" x14ac:dyDescent="0.25">
      <c r="B1247" s="430" t="s">
        <v>420</v>
      </c>
      <c r="C1247" s="434">
        <v>44067</v>
      </c>
      <c r="D1247" s="431">
        <v>17490</v>
      </c>
      <c r="E1247" s="436">
        <v>506218</v>
      </c>
      <c r="F1247" s="444">
        <v>2.5068612371774872E-2</v>
      </c>
      <c r="G1247" s="427"/>
    </row>
    <row r="1248" spans="2:7" x14ac:dyDescent="0.25">
      <c r="B1248" s="430" t="s">
        <v>420</v>
      </c>
      <c r="C1248" s="434">
        <v>44068</v>
      </c>
      <c r="D1248" s="431">
        <v>17196</v>
      </c>
      <c r="E1248" s="436">
        <v>476094</v>
      </c>
      <c r="F1248" s="444">
        <v>-1.695249039647562E-2</v>
      </c>
      <c r="G1248" s="427"/>
    </row>
    <row r="1249" spans="2:7" x14ac:dyDescent="0.25">
      <c r="B1249" s="430" t="s">
        <v>420</v>
      </c>
      <c r="C1249" s="434">
        <v>44069</v>
      </c>
      <c r="D1249" s="431">
        <v>17002</v>
      </c>
      <c r="E1249" s="436">
        <v>345513</v>
      </c>
      <c r="F1249" s="444">
        <v>-1.1345814438868002E-2</v>
      </c>
      <c r="G1249" s="427"/>
    </row>
    <row r="1250" spans="2:7" x14ac:dyDescent="0.25">
      <c r="B1250" s="430" t="s">
        <v>420</v>
      </c>
      <c r="C1250" s="434">
        <v>44070</v>
      </c>
      <c r="D1250" s="431">
        <v>17083</v>
      </c>
      <c r="E1250" s="436">
        <v>321738</v>
      </c>
      <c r="F1250" s="444">
        <v>4.7528327697534088E-3</v>
      </c>
      <c r="G1250" s="427"/>
    </row>
    <row r="1251" spans="2:7" x14ac:dyDescent="0.25">
      <c r="B1251" s="430" t="s">
        <v>420</v>
      </c>
      <c r="C1251" s="434">
        <v>44071</v>
      </c>
      <c r="D1251" s="431">
        <v>16670</v>
      </c>
      <c r="E1251" s="436">
        <v>667933</v>
      </c>
      <c r="F1251" s="444">
        <v>-2.4473120202217931E-2</v>
      </c>
      <c r="G1251" s="427"/>
    </row>
    <row r="1252" spans="2:7" x14ac:dyDescent="0.25">
      <c r="B1252" s="430" t="s">
        <v>420</v>
      </c>
      <c r="C1252" s="434">
        <v>44074</v>
      </c>
      <c r="D1252" s="431">
        <v>16166</v>
      </c>
      <c r="E1252" s="436">
        <v>1633407</v>
      </c>
      <c r="F1252" s="444">
        <v>-3.0700425451050062E-2</v>
      </c>
      <c r="G1252" s="427"/>
    </row>
    <row r="1253" spans="2:7" x14ac:dyDescent="0.25">
      <c r="B1253" s="430" t="s">
        <v>420</v>
      </c>
      <c r="C1253" s="434">
        <v>44075</v>
      </c>
      <c r="D1253" s="431">
        <v>16299</v>
      </c>
      <c r="E1253" s="436">
        <v>925541</v>
      </c>
      <c r="F1253" s="444">
        <v>8.1934849258431044E-3</v>
      </c>
      <c r="G1253" s="427"/>
    </row>
    <row r="1254" spans="2:7" x14ac:dyDescent="0.25">
      <c r="B1254" s="430" t="s">
        <v>420</v>
      </c>
      <c r="C1254" s="434">
        <v>44076</v>
      </c>
      <c r="D1254" s="431">
        <v>16402</v>
      </c>
      <c r="E1254" s="436">
        <v>841392</v>
      </c>
      <c r="F1254" s="444">
        <v>6.299522376723753E-3</v>
      </c>
      <c r="G1254" s="427"/>
    </row>
    <row r="1255" spans="2:7" x14ac:dyDescent="0.25">
      <c r="B1255" s="430" t="s">
        <v>420</v>
      </c>
      <c r="C1255" s="434">
        <v>44077</v>
      </c>
      <c r="D1255" s="431">
        <v>16404</v>
      </c>
      <c r="E1255" s="436">
        <v>706151</v>
      </c>
      <c r="F1255" s="444">
        <v>1.2192891559339785E-4</v>
      </c>
      <c r="G1255" s="427"/>
    </row>
    <row r="1256" spans="2:7" x14ac:dyDescent="0.25">
      <c r="B1256" s="430" t="s">
        <v>420</v>
      </c>
      <c r="C1256" s="434">
        <v>44078</v>
      </c>
      <c r="D1256" s="431">
        <v>16254</v>
      </c>
      <c r="E1256" s="436">
        <v>505303</v>
      </c>
      <c r="F1256" s="444">
        <v>-9.1861751987997713E-3</v>
      </c>
      <c r="G1256" s="427"/>
    </row>
    <row r="1257" spans="2:7" x14ac:dyDescent="0.25">
      <c r="B1257" s="430" t="s">
        <v>420</v>
      </c>
      <c r="C1257" s="434">
        <v>44081</v>
      </c>
      <c r="D1257" s="431">
        <v>16205</v>
      </c>
      <c r="E1257" s="436">
        <v>375645</v>
      </c>
      <c r="F1257" s="444">
        <v>-3.0191957375024134E-3</v>
      </c>
      <c r="G1257" s="427"/>
    </row>
    <row r="1258" spans="2:7" x14ac:dyDescent="0.25">
      <c r="B1258" s="430" t="s">
        <v>420</v>
      </c>
      <c r="C1258" s="434">
        <v>44082</v>
      </c>
      <c r="D1258" s="431">
        <v>16892</v>
      </c>
      <c r="E1258" s="436">
        <v>805606</v>
      </c>
      <c r="F1258" s="444">
        <v>4.1520300478186417E-2</v>
      </c>
      <c r="G1258" s="427"/>
    </row>
    <row r="1259" spans="2:7" x14ac:dyDescent="0.25">
      <c r="B1259" s="430" t="s">
        <v>420</v>
      </c>
      <c r="C1259" s="434">
        <v>44083</v>
      </c>
      <c r="D1259" s="431">
        <v>17582</v>
      </c>
      <c r="E1259" s="436">
        <v>770026</v>
      </c>
      <c r="F1259" s="444">
        <v>4.0035514357289796E-2</v>
      </c>
      <c r="G1259" s="427"/>
    </row>
    <row r="1260" spans="2:7" x14ac:dyDescent="0.25">
      <c r="B1260" s="430" t="s">
        <v>420</v>
      </c>
      <c r="C1260" s="434">
        <v>44084</v>
      </c>
      <c r="D1260" s="431">
        <v>17934</v>
      </c>
      <c r="E1260" s="436">
        <v>847449</v>
      </c>
      <c r="F1260" s="444">
        <v>1.982270110086887E-2</v>
      </c>
      <c r="G1260" s="427"/>
    </row>
    <row r="1261" spans="2:7" x14ac:dyDescent="0.25">
      <c r="B1261" s="430" t="s">
        <v>420</v>
      </c>
      <c r="C1261" s="434">
        <v>44085</v>
      </c>
      <c r="D1261" s="431">
        <v>18211</v>
      </c>
      <c r="E1261" s="436">
        <v>791011</v>
      </c>
      <c r="F1261" s="444">
        <v>1.5327454583826759E-2</v>
      </c>
      <c r="G1261" s="427"/>
    </row>
    <row r="1262" spans="2:7" x14ac:dyDescent="0.25">
      <c r="B1262" s="430" t="s">
        <v>420</v>
      </c>
      <c r="C1262" s="434">
        <v>44088</v>
      </c>
      <c r="D1262" s="431">
        <v>18217</v>
      </c>
      <c r="E1262" s="436">
        <v>652850</v>
      </c>
      <c r="F1262" s="444">
        <v>3.2941693500922696E-4</v>
      </c>
      <c r="G1262" s="427"/>
    </row>
    <row r="1263" spans="2:7" x14ac:dyDescent="0.25">
      <c r="B1263" s="430" t="s">
        <v>420</v>
      </c>
      <c r="C1263" s="434">
        <v>44089</v>
      </c>
      <c r="D1263" s="431">
        <v>18043</v>
      </c>
      <c r="E1263" s="436">
        <v>655959</v>
      </c>
      <c r="F1263" s="444">
        <v>-9.5974261225304919E-3</v>
      </c>
      <c r="G1263" s="427"/>
    </row>
    <row r="1264" spans="2:7" x14ac:dyDescent="0.25">
      <c r="B1264" s="430" t="s">
        <v>420</v>
      </c>
      <c r="C1264" s="434">
        <v>44090</v>
      </c>
      <c r="D1264" s="431">
        <v>17911</v>
      </c>
      <c r="E1264" s="436">
        <v>655343</v>
      </c>
      <c r="F1264" s="444">
        <v>-7.3427486830398223E-3</v>
      </c>
      <c r="G1264" s="427"/>
    </row>
    <row r="1265" spans="2:7" x14ac:dyDescent="0.25">
      <c r="B1265" s="430" t="s">
        <v>420</v>
      </c>
      <c r="C1265" s="434">
        <v>44091</v>
      </c>
      <c r="D1265" s="431">
        <v>18079</v>
      </c>
      <c r="E1265" s="436">
        <v>1482524</v>
      </c>
      <c r="F1265" s="444">
        <v>9.3359944567559614E-3</v>
      </c>
      <c r="G1265" s="427"/>
    </row>
    <row r="1266" spans="2:7" x14ac:dyDescent="0.25">
      <c r="B1266" s="430" t="s">
        <v>420</v>
      </c>
      <c r="C1266" s="434">
        <v>44092</v>
      </c>
      <c r="D1266" s="431">
        <v>18763</v>
      </c>
      <c r="E1266" s="436">
        <v>2061546</v>
      </c>
      <c r="F1266" s="444">
        <v>3.7135801805360177E-2</v>
      </c>
      <c r="G1266" s="427"/>
    </row>
    <row r="1267" spans="2:7" x14ac:dyDescent="0.25">
      <c r="B1267" s="430" t="s">
        <v>420</v>
      </c>
      <c r="C1267" s="434">
        <v>44095</v>
      </c>
      <c r="D1267" s="431">
        <v>18281</v>
      </c>
      <c r="E1267" s="436">
        <v>776858</v>
      </c>
      <c r="F1267" s="444">
        <v>-2.6024576380289339E-2</v>
      </c>
      <c r="G1267" s="427"/>
    </row>
    <row r="1268" spans="2:7" x14ac:dyDescent="0.25">
      <c r="B1268" s="430" t="s">
        <v>420</v>
      </c>
      <c r="C1268" s="434">
        <v>44096</v>
      </c>
      <c r="D1268" s="431">
        <v>18684</v>
      </c>
      <c r="E1268" s="436">
        <v>841030</v>
      </c>
      <c r="F1268" s="444">
        <v>2.1805273514913348E-2</v>
      </c>
      <c r="G1268" s="427"/>
    </row>
    <row r="1269" spans="2:7" x14ac:dyDescent="0.25">
      <c r="B1269" s="430" t="s">
        <v>420</v>
      </c>
      <c r="C1269" s="434">
        <v>44097</v>
      </c>
      <c r="D1269" s="431">
        <v>18912</v>
      </c>
      <c r="E1269" s="436">
        <v>798241</v>
      </c>
      <c r="F1269" s="444">
        <v>1.2129098583826069E-2</v>
      </c>
      <c r="G1269" s="427"/>
    </row>
    <row r="1270" spans="2:7" x14ac:dyDescent="0.25">
      <c r="B1270" s="430" t="s">
        <v>420</v>
      </c>
      <c r="C1270" s="434">
        <v>44099</v>
      </c>
      <c r="D1270" s="431">
        <v>18846</v>
      </c>
      <c r="E1270" s="436">
        <v>420962</v>
      </c>
      <c r="F1270" s="444">
        <v>-3.4959514391231742E-3</v>
      </c>
      <c r="G1270" s="427"/>
    </row>
    <row r="1271" spans="2:7" x14ac:dyDescent="0.25">
      <c r="B1271" s="430" t="s">
        <v>420</v>
      </c>
      <c r="C1271" s="434">
        <v>44102</v>
      </c>
      <c r="D1271" s="431">
        <v>18957</v>
      </c>
      <c r="E1271" s="436">
        <v>581513</v>
      </c>
      <c r="F1271" s="444">
        <v>5.8725666748633805E-3</v>
      </c>
      <c r="G1271" s="427"/>
    </row>
    <row r="1272" spans="2:7" x14ac:dyDescent="0.25">
      <c r="B1272" s="430" t="s">
        <v>420</v>
      </c>
      <c r="C1272" s="434">
        <v>44103</v>
      </c>
      <c r="D1272" s="431">
        <v>18858</v>
      </c>
      <c r="E1272" s="436">
        <v>607477</v>
      </c>
      <c r="F1272" s="444">
        <v>-5.236029415942341E-3</v>
      </c>
      <c r="G1272" s="427"/>
    </row>
    <row r="1273" spans="2:7" x14ac:dyDescent="0.25">
      <c r="B1273" s="432" t="s">
        <v>420</v>
      </c>
      <c r="C1273" s="435">
        <v>44104</v>
      </c>
      <c r="D1273" s="433">
        <v>18965</v>
      </c>
      <c r="E1273" s="437">
        <v>1596885</v>
      </c>
      <c r="F1273" s="445">
        <v>5.6579480973766964E-3</v>
      </c>
      <c r="G1273" s="427"/>
    </row>
  </sheetData>
  <conditionalFormatting sqref="D7">
    <cfRule type="cellIs" dxfId="446" priority="55" stopIfTrue="1" operator="equal">
      <formula>"ERROR"</formula>
    </cfRule>
    <cfRule type="cellIs" dxfId="445" priority="56" stopIfTrue="1" operator="equal">
      <formula>"OK"</formula>
    </cfRule>
    <cfRule type="cellIs" dxfId="444" priority="57" stopIfTrue="1" operator="equal">
      <formula>"WARNING"</formula>
    </cfRule>
  </conditionalFormatting>
  <conditionalFormatting sqref="C4">
    <cfRule type="cellIs" dxfId="443" priority="52" stopIfTrue="1" operator="equal">
      <formula>"ERROR"</formula>
    </cfRule>
    <cfRule type="cellIs" dxfId="442" priority="53" stopIfTrue="1" operator="equal">
      <formula>"OK"</formula>
    </cfRule>
    <cfRule type="cellIs" dxfId="441" priority="54" stopIfTrue="1" operator="equal">
      <formula>"WARNING"</formula>
    </cfRule>
  </conditionalFormatting>
  <conditionalFormatting sqref="H17">
    <cfRule type="cellIs" dxfId="440" priority="58" stopIfTrue="1" operator="equal">
      <formula>"ERROR"</formula>
    </cfRule>
    <cfRule type="cellIs" dxfId="439" priority="59" stopIfTrue="1" operator="equal">
      <formula>"OK"</formula>
    </cfRule>
    <cfRule type="cellIs" dxfId="438" priority="60" stopIfTrue="1" operator="equal">
      <formula>"WARNING"</formula>
    </cfRule>
  </conditionalFormatting>
  <conditionalFormatting sqref="C12">
    <cfRule type="cellIs" dxfId="437" priority="46" stopIfTrue="1" operator="equal">
      <formula>"ERROR"</formula>
    </cfRule>
  </conditionalFormatting>
  <conditionalFormatting sqref="C12">
    <cfRule type="cellIs" dxfId="436" priority="47" stopIfTrue="1" operator="equal">
      <formula>"OK"</formula>
    </cfRule>
  </conditionalFormatting>
  <conditionalFormatting sqref="C12">
    <cfRule type="cellIs" dxfId="435" priority="48" stopIfTrue="1" operator="equal">
      <formula>"WARNING"</formula>
    </cfRule>
  </conditionalFormatting>
  <conditionalFormatting sqref="S17">
    <cfRule type="cellIs" dxfId="434" priority="10" stopIfTrue="1" operator="equal">
      <formula>"ERROR"</formula>
    </cfRule>
    <cfRule type="cellIs" dxfId="433" priority="11" stopIfTrue="1" operator="equal">
      <formula>"OK"</formula>
    </cfRule>
    <cfRule type="cellIs" dxfId="432" priority="12" stopIfTrue="1" operator="equal">
      <formula>"WARNING"</formula>
    </cfRule>
  </conditionalFormatting>
  <conditionalFormatting sqref="Z17">
    <cfRule type="cellIs" dxfId="431" priority="7" stopIfTrue="1" operator="equal">
      <formula>"ERROR"</formula>
    </cfRule>
    <cfRule type="cellIs" dxfId="430" priority="8" stopIfTrue="1" operator="equal">
      <formula>"OK"</formula>
    </cfRule>
    <cfRule type="cellIs" dxfId="429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55" customWidth="1"/>
    <col min="2" max="16384" width="9" style="455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26"/>
  <sheetViews>
    <sheetView showGridLines="0" topLeftCell="A11" zoomScale="115" zoomScaleNormal="115" workbookViewId="0">
      <selection activeCell="G22" sqref="G22"/>
    </sheetView>
  </sheetViews>
  <sheetFormatPr defaultColWidth="14.75" defaultRowHeight="15" x14ac:dyDescent="0.25"/>
  <cols>
    <col min="1" max="1" width="3.75" style="455" customWidth="1"/>
    <col min="2" max="2" width="17.125" style="455" customWidth="1"/>
    <col min="3" max="3" width="9.625" style="455" customWidth="1"/>
    <col min="4" max="8" width="11.5" style="455" customWidth="1"/>
    <col min="9" max="9" width="14.75" style="455"/>
    <col min="10" max="10" width="12.125" style="455" customWidth="1"/>
    <col min="11" max="12" width="14.75" style="455"/>
    <col min="13" max="13" width="10.875" style="455" customWidth="1"/>
    <col min="14" max="22" width="14.75" style="455"/>
    <col min="23" max="23" width="11.375" style="455" customWidth="1"/>
    <col min="24" max="25" width="12.625" style="455" customWidth="1"/>
    <col min="26" max="27" width="12.75" style="455" customWidth="1"/>
    <col min="28" max="28" width="16.5" style="455" customWidth="1"/>
    <col min="29" max="29" width="12.375" style="455" customWidth="1"/>
    <col min="30" max="32" width="14.75" style="455"/>
    <col min="33" max="37" width="13.75" style="455" customWidth="1"/>
    <col min="38" max="49" width="14.75" style="455"/>
    <col min="50" max="51" width="70" style="455" bestFit="1" customWidth="1"/>
    <col min="52" max="57" width="14.75" style="455"/>
    <col min="58" max="59" width="70" style="455" bestFit="1" customWidth="1"/>
    <col min="60" max="65" width="14.75" style="455"/>
    <col min="66" max="67" width="44.5" style="455" bestFit="1" customWidth="1"/>
    <col min="68" max="69" width="14.75" style="455"/>
    <col min="70" max="71" width="44.5" style="455" bestFit="1" customWidth="1"/>
    <col min="72" max="16384" width="14.75" style="455"/>
  </cols>
  <sheetData>
    <row r="1" spans="1:72" x14ac:dyDescent="0.25">
      <c r="B1" s="418" t="s">
        <v>403</v>
      </c>
    </row>
    <row r="2" spans="1:72" ht="26.25" x14ac:dyDescent="0.4">
      <c r="B2" s="2" t="s">
        <v>537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5"/>
      <c r="BM2" s="315"/>
      <c r="BN2" s="315"/>
      <c r="BO2" s="315"/>
      <c r="BP2" s="315"/>
      <c r="BQ2" s="315"/>
      <c r="BR2" s="315"/>
      <c r="BS2" s="315"/>
      <c r="BT2" s="315"/>
    </row>
    <row r="4" spans="1:72" x14ac:dyDescent="0.25">
      <c r="B4" s="59" t="s">
        <v>155</v>
      </c>
      <c r="C4" s="310" t="str" cm="1">
        <f t="array" ref="C4">_xll.d.TestUtils_And(E7:E7)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AD4" s="308"/>
      <c r="AE4" s="308"/>
      <c r="AF4" s="308"/>
      <c r="AG4" s="308"/>
      <c r="AH4" s="308"/>
      <c r="AI4" s="308"/>
      <c r="AJ4" s="308"/>
      <c r="AK4" s="308"/>
      <c r="AL4" s="308"/>
      <c r="AM4" s="308"/>
      <c r="AN4" s="308"/>
    </row>
    <row r="5" spans="1:72" x14ac:dyDescent="0.25">
      <c r="E5" s="308"/>
      <c r="F5" s="308"/>
      <c r="G5" s="308"/>
    </row>
    <row r="6" spans="1:72" x14ac:dyDescent="0.25">
      <c r="B6" s="199" t="s">
        <v>225</v>
      </c>
      <c r="C6" s="199"/>
      <c r="D6" s="199"/>
      <c r="E6" s="200" t="s">
        <v>10</v>
      </c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</row>
    <row r="7" spans="1:72" x14ac:dyDescent="0.25">
      <c r="B7" s="425" t="s">
        <v>539</v>
      </c>
      <c r="C7" s="425"/>
      <c r="D7" s="425"/>
      <c r="E7" s="310" t="str">
        <f>C12</f>
        <v>Ok</v>
      </c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</row>
    <row r="8" spans="1:72" x14ac:dyDescent="0.25">
      <c r="E8" s="308"/>
      <c r="F8" s="308"/>
      <c r="G8" s="308"/>
    </row>
    <row r="9" spans="1:72" x14ac:dyDescent="0.25">
      <c r="E9" s="308"/>
      <c r="F9" s="308"/>
      <c r="G9" s="308"/>
    </row>
    <row r="10" spans="1:72" s="308" customFormat="1" ht="18.75" x14ac:dyDescent="0.3">
      <c r="A10" s="455"/>
      <c r="B10" s="3" t="s">
        <v>539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16"/>
      <c r="BI10" s="316"/>
      <c r="BJ10" s="316"/>
      <c r="BK10" s="316"/>
      <c r="BL10" s="316"/>
      <c r="BM10" s="316"/>
      <c r="BN10" s="316"/>
      <c r="BO10" s="316"/>
      <c r="BP10" s="316"/>
      <c r="BQ10" s="316"/>
      <c r="BR10" s="316"/>
      <c r="BS10" s="316"/>
      <c r="BT10" s="316"/>
    </row>
    <row r="12" spans="1:72" x14ac:dyDescent="0.25">
      <c r="B12" s="59" t="s">
        <v>155</v>
      </c>
      <c r="C12" s="310" t="str" cm="1">
        <f t="array" ref="C12">_xll.d.TestUtils_And(I17,R17:S21,AB17,AK17)</f>
        <v>Ok</v>
      </c>
      <c r="D12" s="308"/>
      <c r="E12" s="308"/>
    </row>
    <row r="13" spans="1:72" x14ac:dyDescent="0.25">
      <c r="B13" s="308"/>
      <c r="C13" s="308"/>
      <c r="D13" s="308"/>
      <c r="E13" s="309"/>
    </row>
    <row r="14" spans="1:72" ht="15.75" x14ac:dyDescent="0.25">
      <c r="B14" s="4" t="s">
        <v>535</v>
      </c>
      <c r="C14" s="317"/>
      <c r="D14" s="317"/>
      <c r="E14" s="317"/>
      <c r="F14" s="317"/>
      <c r="G14" s="317"/>
      <c r="H14" s="317"/>
      <c r="I14" s="317"/>
      <c r="K14" s="4" t="s">
        <v>536</v>
      </c>
      <c r="L14" s="317"/>
      <c r="M14" s="317"/>
      <c r="N14" s="317"/>
      <c r="O14" s="317"/>
      <c r="P14" s="317"/>
      <c r="Q14" s="317"/>
      <c r="R14" s="317"/>
      <c r="S14" s="317"/>
      <c r="U14" s="4" t="s">
        <v>528</v>
      </c>
      <c r="V14" s="317"/>
      <c r="W14" s="317"/>
      <c r="X14" s="317"/>
      <c r="Y14" s="317"/>
      <c r="Z14" s="317"/>
      <c r="AA14" s="317"/>
      <c r="AB14" s="317"/>
      <c r="AD14" s="4" t="s">
        <v>532</v>
      </c>
      <c r="AE14" s="317"/>
      <c r="AF14" s="317"/>
      <c r="AG14" s="317"/>
      <c r="AH14" s="317"/>
      <c r="AI14" s="317"/>
      <c r="AJ14" s="317"/>
      <c r="AK14" s="317"/>
    </row>
    <row r="15" spans="1:72" x14ac:dyDescent="0.25">
      <c r="B15" s="308"/>
      <c r="C15" s="308"/>
      <c r="D15" s="308"/>
      <c r="E15" s="309"/>
      <c r="K15" s="308"/>
      <c r="L15" s="308"/>
      <c r="M15" s="308"/>
      <c r="N15" s="309"/>
      <c r="U15" s="308"/>
      <c r="V15" s="308"/>
      <c r="W15" s="308"/>
      <c r="AD15" s="308"/>
      <c r="AE15" s="308"/>
      <c r="AF15" s="308"/>
    </row>
    <row r="16" spans="1:72" x14ac:dyDescent="0.25">
      <c r="B16" s="131" t="s">
        <v>241</v>
      </c>
      <c r="C16" s="132"/>
      <c r="D16" s="308"/>
      <c r="E16" s="131" t="s">
        <v>81</v>
      </c>
      <c r="F16" s="131" t="s">
        <v>440</v>
      </c>
      <c r="G16" s="131" t="s">
        <v>441</v>
      </c>
      <c r="H16" s="202" t="s">
        <v>82</v>
      </c>
      <c r="I16" s="132" t="s">
        <v>83</v>
      </c>
      <c r="K16" s="131" t="s">
        <v>241</v>
      </c>
      <c r="L16" s="132"/>
      <c r="M16" s="308"/>
      <c r="N16" s="131" t="s">
        <v>81</v>
      </c>
      <c r="O16" s="132"/>
      <c r="P16" s="131" t="s">
        <v>82</v>
      </c>
      <c r="Q16" s="132"/>
      <c r="R16" s="131" t="s">
        <v>83</v>
      </c>
      <c r="S16" s="131"/>
      <c r="U16" s="131" t="s">
        <v>241</v>
      </c>
      <c r="V16" s="132"/>
      <c r="W16" s="308"/>
      <c r="X16" s="131" t="s">
        <v>129</v>
      </c>
      <c r="Y16" s="202"/>
      <c r="Z16" s="202" t="s">
        <v>243</v>
      </c>
      <c r="AA16" s="202"/>
      <c r="AB16" s="132" t="s">
        <v>83</v>
      </c>
      <c r="AD16" s="131" t="s">
        <v>241</v>
      </c>
      <c r="AE16" s="132"/>
      <c r="AF16" s="308"/>
      <c r="AG16" s="131" t="s">
        <v>129</v>
      </c>
      <c r="AH16" s="202"/>
      <c r="AI16" s="202" t="s">
        <v>243</v>
      </c>
      <c r="AJ16" s="202"/>
      <c r="AK16" s="132" t="s">
        <v>83</v>
      </c>
    </row>
    <row r="17" spans="2:37" x14ac:dyDescent="0.25">
      <c r="B17" s="457" t="s">
        <v>542</v>
      </c>
      <c r="C17" s="134">
        <v>120</v>
      </c>
      <c r="D17" s="308"/>
      <c r="E17" s="415" cm="1">
        <f t="array" ref="E17">_xll.d.FX_GarmanKohlhagenFXOptionPricer(C17,C18,C19,C20,C21,C22,C23,C24)</f>
        <v>49.931353791528799</v>
      </c>
      <c r="F17" s="460">
        <f>((LN(C17/C18)+(C19-C20+0.5*C21^2)*C22))/(C21*SQRT(C22))</f>
        <v>1.0422804977154678</v>
      </c>
      <c r="G17" s="460">
        <f>F17-C21*SQRT(C22)</f>
        <v>0.29817029082404245</v>
      </c>
      <c r="H17" s="348">
        <f>C17*EXP(-C20*C22)*_xlfn.NORM.S.DIST(F17,TRUE) -C18*EXP(-C19*C22)*_xlfn.NORM.S.DIST(G17,TRUE)</f>
        <v>49.931353791528799</v>
      </c>
      <c r="I17" s="605" t="str" cm="1">
        <f t="array" ref="I17">_xll.d.TestUtils_Equal(E17,H17)</f>
        <v>Ok</v>
      </c>
      <c r="K17" s="457" t="s">
        <v>542</v>
      </c>
      <c r="L17" s="134">
        <v>120</v>
      </c>
      <c r="M17" s="308"/>
      <c r="N17" s="133" t="str" cm="1">
        <f t="array" ref="N17:O21">_xll.d.FX_GarmanKohlhagenFXOptionPricer(L17,L18,L19,L20,L21,L22,L23,L24,"VERBOSE")</f>
        <v>Price</v>
      </c>
      <c r="O17" s="592">
        <v>49.931353791528799</v>
      </c>
      <c r="P17" s="133" t="s">
        <v>522</v>
      </c>
      <c r="Q17" s="592">
        <v>49.931353791528799</v>
      </c>
      <c r="R17" s="605" t="str" cm="1">
        <f t="array" ref="R17">_xll.d.TestUtils_Equal(N17,P17)</f>
        <v>Ok</v>
      </c>
      <c r="S17" s="605" t="str" cm="1">
        <f t="array" ref="S17">_xll.d.TestUtils_Equal(O17,Q17)</f>
        <v>Ok</v>
      </c>
      <c r="U17" s="457" t="s">
        <v>542</v>
      </c>
      <c r="V17" s="134">
        <v>120</v>
      </c>
      <c r="W17" s="308"/>
      <c r="X17" s="475" t="str" cm="1">
        <f t="array" ref="X17">_xll.d.FX_GarmanKohlhagenFXOptionPricer(V17,V18,V19,V20,V21,V22,V23,V24)</f>
        <v>#∂Excel Error: Invalid option type: 'Q'</v>
      </c>
      <c r="Y17" s="476"/>
      <c r="Z17" s="477" t="s">
        <v>529</v>
      </c>
      <c r="AA17" s="478"/>
      <c r="AB17" s="348" t="str" cm="1">
        <f t="array" ref="AB17">_xll.d.TestUtils_Equal(X17,Z17)</f>
        <v>Ok</v>
      </c>
      <c r="AD17" s="457" t="s">
        <v>542</v>
      </c>
      <c r="AE17" s="134">
        <v>120</v>
      </c>
      <c r="AF17" s="308"/>
      <c r="AG17" s="475" t="str" cm="1">
        <f t="array" ref="AG17">_xll.d.FX_GarmanKohlhagenFXOptionPricer(AE17,AE18,AE19,AE20,AE21,AE22,AE23,AE24)</f>
        <v>#∂Excel Error: Invalid direction: 'Q'</v>
      </c>
      <c r="AH17" s="476"/>
      <c r="AI17" s="477" t="s">
        <v>533</v>
      </c>
      <c r="AJ17" s="478"/>
      <c r="AK17" s="348" t="str" cm="1">
        <f t="array" ref="AK17">_xll.d.TestUtils_Equal(AG17,AI17)</f>
        <v>Ok</v>
      </c>
    </row>
    <row r="18" spans="2:37" x14ac:dyDescent="0.25">
      <c r="B18" s="458" t="s">
        <v>543</v>
      </c>
      <c r="C18" s="136">
        <v>100</v>
      </c>
      <c r="D18" s="308"/>
      <c r="K18" s="458" t="s">
        <v>543</v>
      </c>
      <c r="L18" s="136">
        <v>100</v>
      </c>
      <c r="M18" s="308"/>
      <c r="N18" s="135" t="str">
        <v>d1</v>
      </c>
      <c r="O18" s="593">
        <v>1.0422804977154678</v>
      </c>
      <c r="P18" s="135" t="s">
        <v>523</v>
      </c>
      <c r="Q18" s="593">
        <v>1.0422804977154678</v>
      </c>
      <c r="R18" s="605" t="str" cm="1">
        <f t="array" ref="R18">_xll.d.TestUtils_Equal(N18,P18)</f>
        <v>Ok</v>
      </c>
      <c r="S18" s="605" t="str" cm="1">
        <f t="array" ref="S18">_xll.d.TestUtils_Equal(O18,Q18)</f>
        <v>Ok</v>
      </c>
      <c r="U18" s="458" t="s">
        <v>543</v>
      </c>
      <c r="V18" s="136">
        <v>100</v>
      </c>
      <c r="W18" s="308"/>
      <c r="AD18" s="458" t="s">
        <v>543</v>
      </c>
      <c r="AE18" s="136">
        <v>100</v>
      </c>
      <c r="AF18" s="308"/>
    </row>
    <row r="19" spans="2:37" x14ac:dyDescent="0.25">
      <c r="B19" s="458" t="s">
        <v>540</v>
      </c>
      <c r="C19" s="136">
        <v>0.1</v>
      </c>
      <c r="D19" s="308"/>
      <c r="K19" s="458" t="s">
        <v>540</v>
      </c>
      <c r="L19" s="136">
        <v>0.1</v>
      </c>
      <c r="M19" s="308"/>
      <c r="N19" s="135" t="str">
        <v>d2</v>
      </c>
      <c r="O19" s="593">
        <v>0.29817029082404245</v>
      </c>
      <c r="P19" s="135" t="s">
        <v>524</v>
      </c>
      <c r="Q19" s="593">
        <v>0.29817029082404245</v>
      </c>
      <c r="R19" s="605" t="str" cm="1">
        <f t="array" ref="R19">_xll.d.TestUtils_Equal(N19,P19)</f>
        <v>Ok</v>
      </c>
      <c r="S19" s="605" t="str" cm="1">
        <f t="array" ref="S19">_xll.d.TestUtils_Equal(O19,Q19)</f>
        <v>Ok</v>
      </c>
      <c r="U19" s="458" t="s">
        <v>540</v>
      </c>
      <c r="V19" s="136">
        <v>0.1</v>
      </c>
      <c r="W19" s="308"/>
      <c r="AD19" s="458" t="s">
        <v>540</v>
      </c>
      <c r="AE19" s="136">
        <v>0.1</v>
      </c>
      <c r="AF19" s="308"/>
    </row>
    <row r="20" spans="2:37" x14ac:dyDescent="0.25">
      <c r="B20" s="458" t="s">
        <v>541</v>
      </c>
      <c r="C20" s="136">
        <v>0.03</v>
      </c>
      <c r="D20" s="308"/>
      <c r="E20" s="309"/>
      <c r="K20" s="458" t="s">
        <v>541</v>
      </c>
      <c r="L20" s="136">
        <v>0.03</v>
      </c>
      <c r="M20" s="308"/>
      <c r="N20" s="135" t="str">
        <v>Domestic Discount Factor</v>
      </c>
      <c r="O20" s="593">
        <v>0.63635416972508707</v>
      </c>
      <c r="P20" s="135" t="s">
        <v>544</v>
      </c>
      <c r="Q20" s="593">
        <v>0.63635416972508707</v>
      </c>
      <c r="R20" s="605" t="str" cm="1">
        <f t="array" ref="R20">_xll.d.TestUtils_Equal(N20,P20)</f>
        <v>Ok</v>
      </c>
      <c r="S20" s="605" t="str" cm="1">
        <f t="array" ref="S20">_xll.d.TestUtils_Equal(O20,Q20)</f>
        <v>Ok</v>
      </c>
      <c r="U20" s="458" t="s">
        <v>541</v>
      </c>
      <c r="V20" s="136">
        <v>0.03</v>
      </c>
      <c r="W20" s="308"/>
      <c r="AD20" s="458" t="s">
        <v>541</v>
      </c>
      <c r="AE20" s="136">
        <v>0.03</v>
      </c>
      <c r="AF20" s="308"/>
    </row>
    <row r="21" spans="2:37" x14ac:dyDescent="0.25">
      <c r="B21" s="458" t="s">
        <v>88</v>
      </c>
      <c r="C21" s="136">
        <v>0.35</v>
      </c>
      <c r="E21" s="309"/>
      <c r="K21" s="458" t="s">
        <v>88</v>
      </c>
      <c r="L21" s="136">
        <v>0.35</v>
      </c>
      <c r="N21" s="137" t="str">
        <v>Foreign Discount Factor</v>
      </c>
      <c r="O21" s="594">
        <v>0.8731918393784367</v>
      </c>
      <c r="P21" s="137" t="s">
        <v>545</v>
      </c>
      <c r="Q21" s="594">
        <v>0.8731918393784367</v>
      </c>
      <c r="R21" s="605" t="str" cm="1">
        <f t="array" ref="R21">_xll.d.TestUtils_Equal(N21,P21)</f>
        <v>Ok</v>
      </c>
      <c r="S21" s="605" t="str" cm="1">
        <f t="array" ref="S21">_xll.d.TestUtils_Equal(O21,Q21)</f>
        <v>Ok</v>
      </c>
      <c r="U21" s="458" t="s">
        <v>88</v>
      </c>
      <c r="V21" s="136">
        <v>0.35</v>
      </c>
      <c r="W21" s="308"/>
      <c r="AD21" s="458" t="s">
        <v>88</v>
      </c>
      <c r="AE21" s="136">
        <v>0.35</v>
      </c>
      <c r="AF21" s="308"/>
    </row>
    <row r="22" spans="2:37" x14ac:dyDescent="0.25">
      <c r="B22" s="458" t="s">
        <v>439</v>
      </c>
      <c r="C22" s="136">
        <v>4.5199999999999996</v>
      </c>
      <c r="D22" s="308"/>
      <c r="E22" s="309"/>
      <c r="K22" s="458" t="s">
        <v>439</v>
      </c>
      <c r="L22" s="136">
        <v>4.5199999999999996</v>
      </c>
      <c r="M22" s="308"/>
      <c r="U22" s="458" t="s">
        <v>439</v>
      </c>
      <c r="V22" s="136">
        <v>4.5199999999999996</v>
      </c>
      <c r="W22" s="308"/>
      <c r="AD22" s="458" t="s">
        <v>439</v>
      </c>
      <c r="AE22" s="136">
        <v>4.5199999999999996</v>
      </c>
      <c r="AF22" s="308"/>
    </row>
    <row r="23" spans="2:37" x14ac:dyDescent="0.25">
      <c r="B23" s="458" t="s">
        <v>436</v>
      </c>
      <c r="C23" s="136" t="s">
        <v>443</v>
      </c>
      <c r="D23" s="308"/>
      <c r="E23" s="309"/>
      <c r="K23" s="458" t="s">
        <v>436</v>
      </c>
      <c r="L23" s="136" t="s">
        <v>443</v>
      </c>
      <c r="M23" s="308"/>
      <c r="U23" s="458" t="s">
        <v>436</v>
      </c>
      <c r="V23" s="136" t="s">
        <v>527</v>
      </c>
      <c r="W23" s="308"/>
      <c r="AD23" s="458" t="s">
        <v>436</v>
      </c>
      <c r="AE23" s="136" t="s">
        <v>443</v>
      </c>
      <c r="AF23" s="308"/>
    </row>
    <row r="24" spans="2:37" x14ac:dyDescent="0.25">
      <c r="B24" s="459" t="s">
        <v>442</v>
      </c>
      <c r="C24" s="138" t="s">
        <v>444</v>
      </c>
      <c r="D24" s="308"/>
      <c r="E24" s="309"/>
      <c r="K24" s="459" t="s">
        <v>442</v>
      </c>
      <c r="L24" s="138" t="s">
        <v>444</v>
      </c>
      <c r="M24" s="308"/>
      <c r="U24" s="459" t="s">
        <v>442</v>
      </c>
      <c r="V24" s="138" t="s">
        <v>444</v>
      </c>
      <c r="W24" s="308"/>
      <c r="AD24" s="459" t="s">
        <v>442</v>
      </c>
      <c r="AE24" s="138" t="s">
        <v>527</v>
      </c>
      <c r="AF24" s="308"/>
    </row>
    <row r="25" spans="2:37" x14ac:dyDescent="0.25">
      <c r="D25" s="308"/>
      <c r="E25" s="309"/>
    </row>
    <row r="26" spans="2:37" x14ac:dyDescent="0.25">
      <c r="D26" s="308"/>
      <c r="E26" s="309"/>
    </row>
  </sheetData>
  <conditionalFormatting sqref="E7">
    <cfRule type="cellIs" dxfId="428" priority="16" stopIfTrue="1" operator="equal">
      <formula>"ERROR"</formula>
    </cfRule>
    <cfRule type="cellIs" dxfId="427" priority="17" stopIfTrue="1" operator="equal">
      <formula>"OK"</formula>
    </cfRule>
    <cfRule type="cellIs" dxfId="426" priority="18" stopIfTrue="1" operator="equal">
      <formula>"WARNING"</formula>
    </cfRule>
  </conditionalFormatting>
  <conditionalFormatting sqref="C4">
    <cfRule type="cellIs" dxfId="425" priority="13" stopIfTrue="1" operator="equal">
      <formula>"ERROR"</formula>
    </cfRule>
    <cfRule type="cellIs" dxfId="424" priority="14" stopIfTrue="1" operator="equal">
      <formula>"OK"</formula>
    </cfRule>
    <cfRule type="cellIs" dxfId="423" priority="15" stopIfTrue="1" operator="equal">
      <formula>"WARNING"</formula>
    </cfRule>
  </conditionalFormatting>
  <conditionalFormatting sqref="C12">
    <cfRule type="cellIs" dxfId="422" priority="10" stopIfTrue="1" operator="equal">
      <formula>"ERROR"</formula>
    </cfRule>
  </conditionalFormatting>
  <conditionalFormatting sqref="C12">
    <cfRule type="cellIs" dxfId="421" priority="11" stopIfTrue="1" operator="equal">
      <formula>"OK"</formula>
    </cfRule>
  </conditionalFormatting>
  <conditionalFormatting sqref="C12">
    <cfRule type="cellIs" dxfId="420" priority="12" stopIfTrue="1" operator="equal">
      <formula>"WARNING"</formula>
    </cfRule>
  </conditionalFormatting>
  <conditionalFormatting sqref="I17:J17 T17">
    <cfRule type="cellIs" dxfId="419" priority="19" stopIfTrue="1" operator="equal">
      <formula>"ERROR"</formula>
    </cfRule>
    <cfRule type="cellIs" dxfId="418" priority="20" stopIfTrue="1" operator="equal">
      <formula>"OK"</formula>
    </cfRule>
    <cfRule type="cellIs" dxfId="417" priority="21" stopIfTrue="1" operator="equal">
      <formula>"WARNING"</formula>
    </cfRule>
  </conditionalFormatting>
  <conditionalFormatting sqref="AB17">
    <cfRule type="cellIs" dxfId="416" priority="7" stopIfTrue="1" operator="equal">
      <formula>"ERROR"</formula>
    </cfRule>
    <cfRule type="cellIs" dxfId="415" priority="8" stopIfTrue="1" operator="equal">
      <formula>"OK"</formula>
    </cfRule>
    <cfRule type="cellIs" dxfId="414" priority="9" stopIfTrue="1" operator="equal">
      <formula>"WARNING"</formula>
    </cfRule>
  </conditionalFormatting>
  <conditionalFormatting sqref="AK17">
    <cfRule type="cellIs" dxfId="413" priority="4" stopIfTrue="1" operator="equal">
      <formula>"ERROR"</formula>
    </cfRule>
    <cfRule type="cellIs" dxfId="412" priority="5" stopIfTrue="1" operator="equal">
      <formula>"OK"</formula>
    </cfRule>
    <cfRule type="cellIs" dxfId="411" priority="6" stopIfTrue="1" operator="equal">
      <formula>"WARNING"</formula>
    </cfRule>
  </conditionalFormatting>
  <conditionalFormatting sqref="R17:S21">
    <cfRule type="cellIs" dxfId="410" priority="1" stopIfTrue="1" operator="equal">
      <formula>"ERROR"</formula>
    </cfRule>
    <cfRule type="cellIs" dxfId="409" priority="2" stopIfTrue="1" operator="equal">
      <formula>"OK"</formula>
    </cfRule>
    <cfRule type="cellIs" dxfId="408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="85" zoomScaleNormal="85" workbookViewId="0">
      <selection activeCell="H17" sqref="H17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55"/>
    <col min="26" max="27" width="9" style="455"/>
    <col min="30" max="30" width="11.625" customWidth="1"/>
  </cols>
  <sheetData>
    <row r="1" spans="1:39" x14ac:dyDescent="0.25">
      <c r="A1" s="455"/>
      <c r="B1" s="418" t="s">
        <v>403</v>
      </c>
      <c r="C1" s="455"/>
      <c r="D1" s="455"/>
      <c r="E1" s="455"/>
      <c r="F1" s="455"/>
      <c r="G1" s="455"/>
      <c r="H1" s="455"/>
      <c r="I1" s="455"/>
      <c r="J1" s="455"/>
      <c r="K1" s="455"/>
      <c r="L1" s="455"/>
    </row>
    <row r="2" spans="1:39" ht="26.25" x14ac:dyDescent="0.4">
      <c r="A2" s="455"/>
      <c r="B2" s="2" t="s">
        <v>520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</row>
    <row r="3" spans="1:39" x14ac:dyDescent="0.25">
      <c r="A3" s="455"/>
      <c r="B3" s="455"/>
      <c r="C3" s="455"/>
      <c r="D3" s="455"/>
      <c r="E3" s="455"/>
      <c r="F3" s="455"/>
      <c r="G3" s="455"/>
      <c r="H3" s="455"/>
      <c r="I3" s="455"/>
      <c r="J3" s="455"/>
      <c r="K3" s="455"/>
      <c r="L3" s="455"/>
      <c r="AC3" s="455"/>
      <c r="AD3" s="455"/>
      <c r="AE3" s="455"/>
      <c r="AF3" s="455"/>
      <c r="AG3" s="455"/>
      <c r="AH3" s="455"/>
      <c r="AI3" s="455"/>
      <c r="AJ3" s="455"/>
      <c r="AK3" s="455"/>
      <c r="AL3" s="455"/>
      <c r="AM3" s="455"/>
    </row>
    <row r="4" spans="1:39" x14ac:dyDescent="0.25">
      <c r="A4" s="455"/>
      <c r="B4" s="59" t="s">
        <v>155</v>
      </c>
      <c r="C4" s="310" t="str" cm="1">
        <f t="array" ref="C4">_xll.d.TestUtils_And(E7)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AC4" s="455"/>
      <c r="AD4" s="455"/>
      <c r="AE4" s="455"/>
      <c r="AF4" s="455"/>
      <c r="AG4" s="455"/>
      <c r="AH4" s="455"/>
      <c r="AI4" s="455"/>
      <c r="AJ4" s="455"/>
      <c r="AK4" s="455"/>
      <c r="AL4" s="455"/>
      <c r="AM4" s="455"/>
    </row>
    <row r="5" spans="1:39" x14ac:dyDescent="0.25">
      <c r="A5" s="455"/>
      <c r="B5" s="455"/>
      <c r="C5" s="455"/>
      <c r="D5" s="455"/>
      <c r="E5" s="455"/>
      <c r="F5" s="455"/>
      <c r="G5" s="455"/>
      <c r="H5" s="455"/>
      <c r="I5" s="455"/>
      <c r="J5" s="455"/>
      <c r="K5" s="455"/>
      <c r="L5" s="308"/>
      <c r="AC5" s="455"/>
      <c r="AD5" s="455"/>
      <c r="AE5" s="455"/>
      <c r="AF5" s="455"/>
      <c r="AG5" s="455"/>
      <c r="AH5" s="455"/>
      <c r="AI5" s="455"/>
      <c r="AJ5" s="455"/>
      <c r="AK5" s="455"/>
      <c r="AL5" s="455"/>
      <c r="AM5" s="455"/>
    </row>
    <row r="6" spans="1:39" x14ac:dyDescent="0.25">
      <c r="A6" s="455"/>
      <c r="B6" s="144" t="s">
        <v>225</v>
      </c>
      <c r="C6" s="200"/>
      <c r="D6" s="200"/>
      <c r="E6" s="200" t="s">
        <v>10</v>
      </c>
      <c r="F6" s="308"/>
      <c r="G6" s="308"/>
      <c r="H6" s="308"/>
      <c r="I6" s="308"/>
      <c r="J6" s="308"/>
      <c r="K6" s="308"/>
      <c r="L6" s="308"/>
      <c r="AC6" s="455"/>
      <c r="AD6" s="455"/>
      <c r="AE6" s="455"/>
      <c r="AF6" s="455"/>
      <c r="AG6" s="455"/>
      <c r="AH6" s="455"/>
      <c r="AI6" s="455"/>
      <c r="AJ6" s="455"/>
      <c r="AK6" s="455"/>
      <c r="AL6" s="455"/>
      <c r="AM6" s="455"/>
    </row>
    <row r="7" spans="1:39" x14ac:dyDescent="0.25">
      <c r="A7" s="455"/>
      <c r="B7" s="212" t="s">
        <v>514</v>
      </c>
      <c r="C7" s="425"/>
      <c r="D7" s="425"/>
      <c r="E7" s="310" t="str">
        <f>C12</f>
        <v>Ok</v>
      </c>
      <c r="F7" s="308"/>
      <c r="G7" s="308"/>
      <c r="H7" s="308"/>
      <c r="I7" s="308"/>
      <c r="J7" s="308"/>
      <c r="K7" s="308"/>
      <c r="L7" s="308"/>
      <c r="AC7" s="455"/>
      <c r="AD7" s="455"/>
      <c r="AE7" s="455"/>
      <c r="AF7" s="455"/>
      <c r="AG7" s="455"/>
      <c r="AH7" s="455"/>
      <c r="AI7" s="455"/>
      <c r="AJ7" s="455"/>
      <c r="AK7" s="455"/>
      <c r="AL7" s="455"/>
      <c r="AM7" s="455"/>
    </row>
    <row r="8" spans="1:39" x14ac:dyDescent="0.25">
      <c r="A8" s="455"/>
      <c r="B8" s="455"/>
      <c r="C8" s="455"/>
      <c r="D8" s="455"/>
      <c r="E8" s="455"/>
      <c r="F8" s="455"/>
      <c r="G8" s="455"/>
      <c r="H8" s="455"/>
      <c r="I8" s="455"/>
      <c r="J8" s="455"/>
      <c r="K8" s="455"/>
      <c r="L8" s="455"/>
      <c r="AC8" s="455"/>
      <c r="AD8" s="455"/>
      <c r="AE8" s="455"/>
      <c r="AF8" s="455"/>
      <c r="AG8" s="455"/>
      <c r="AH8" s="455"/>
      <c r="AI8" s="455"/>
      <c r="AJ8" s="455"/>
      <c r="AK8" s="455"/>
      <c r="AL8" s="455"/>
      <c r="AM8" s="455"/>
    </row>
    <row r="9" spans="1:39" x14ac:dyDescent="0.25">
      <c r="A9" s="455"/>
      <c r="B9" s="455"/>
      <c r="C9" s="455"/>
      <c r="D9" s="455"/>
      <c r="E9" s="455"/>
      <c r="F9" s="455"/>
      <c r="G9" s="455"/>
      <c r="H9" s="455"/>
      <c r="I9" s="455"/>
      <c r="J9" s="455"/>
      <c r="K9" s="455"/>
      <c r="L9" s="455"/>
      <c r="AC9" s="455"/>
      <c r="AD9" s="455"/>
      <c r="AE9" s="455"/>
      <c r="AF9" s="455"/>
      <c r="AG9" s="455"/>
      <c r="AH9" s="455"/>
      <c r="AI9" s="455"/>
      <c r="AJ9" s="455"/>
      <c r="AK9" s="455"/>
      <c r="AL9" s="455"/>
      <c r="AM9" s="455"/>
    </row>
    <row r="10" spans="1:39" ht="18.75" x14ac:dyDescent="0.3">
      <c r="A10" s="455"/>
      <c r="B10" s="3" t="s">
        <v>514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</row>
    <row r="11" spans="1:39" x14ac:dyDescent="0.25">
      <c r="A11" s="455"/>
      <c r="B11" s="455"/>
      <c r="C11" s="455"/>
      <c r="D11" s="455"/>
      <c r="E11" s="455"/>
      <c r="F11" s="455"/>
      <c r="G11" s="455"/>
      <c r="H11" s="455"/>
      <c r="I11" s="455"/>
      <c r="J11" s="455"/>
      <c r="K11" s="455"/>
      <c r="L11" s="455"/>
    </row>
    <row r="12" spans="1:39" x14ac:dyDescent="0.25">
      <c r="A12" s="455"/>
      <c r="B12" s="59" t="s">
        <v>155</v>
      </c>
      <c r="C12" s="310" t="str" cm="1">
        <f t="array" ref="C12">_xll.d.TestUtils_And(I17:J20,Q17,AB17,AM17)</f>
        <v>Ok</v>
      </c>
      <c r="D12" s="308"/>
      <c r="E12" s="455"/>
      <c r="F12" s="455"/>
      <c r="G12" s="455"/>
      <c r="H12" s="455"/>
      <c r="I12" s="455"/>
      <c r="J12" s="455"/>
      <c r="K12" s="455"/>
      <c r="L12" s="455"/>
    </row>
    <row r="13" spans="1:39" x14ac:dyDescent="0.25">
      <c r="A13" s="455"/>
      <c r="B13" s="308"/>
      <c r="C13" s="308"/>
      <c r="D13" s="308"/>
      <c r="E13" s="308"/>
      <c r="F13" s="308"/>
      <c r="G13" s="455"/>
      <c r="H13" s="455"/>
      <c r="I13" s="455"/>
      <c r="J13" s="455"/>
      <c r="K13" s="455"/>
      <c r="L13" s="455"/>
    </row>
    <row r="14" spans="1:39" ht="15.75" x14ac:dyDescent="0.25">
      <c r="A14" s="455"/>
      <c r="B14" s="4" t="s">
        <v>521</v>
      </c>
      <c r="C14" s="317"/>
      <c r="D14" s="317"/>
      <c r="E14" s="317"/>
      <c r="F14" s="317"/>
      <c r="G14" s="317"/>
      <c r="H14" s="317"/>
      <c r="I14" s="317"/>
      <c r="J14" s="317"/>
      <c r="K14" s="455"/>
      <c r="L14" s="4" t="s">
        <v>526</v>
      </c>
      <c r="M14" s="317"/>
      <c r="N14" s="317"/>
      <c r="O14" s="317"/>
      <c r="P14" s="317"/>
      <c r="Q14" s="317"/>
      <c r="R14" s="455"/>
      <c r="S14" s="4" t="s">
        <v>528</v>
      </c>
      <c r="T14" s="317"/>
      <c r="U14" s="317"/>
      <c r="V14" s="317"/>
      <c r="W14" s="317"/>
      <c r="X14" s="317"/>
      <c r="Y14" s="317"/>
      <c r="Z14" s="317"/>
      <c r="AA14" s="317"/>
      <c r="AB14" s="317"/>
      <c r="AD14" s="4" t="s">
        <v>532</v>
      </c>
      <c r="AE14" s="317"/>
      <c r="AF14" s="317"/>
      <c r="AG14" s="317"/>
      <c r="AH14" s="317"/>
      <c r="AI14" s="317"/>
      <c r="AJ14" s="317"/>
      <c r="AK14" s="317"/>
      <c r="AL14" s="317"/>
      <c r="AM14" s="317"/>
    </row>
    <row r="15" spans="1:39" x14ac:dyDescent="0.25">
      <c r="A15" s="461"/>
      <c r="B15" s="461"/>
      <c r="C15" s="461"/>
      <c r="D15" s="461"/>
      <c r="E15" s="461"/>
      <c r="F15" s="461"/>
      <c r="G15" s="461"/>
      <c r="H15" s="461"/>
      <c r="I15" s="461"/>
      <c r="J15" s="461"/>
      <c r="K15" s="455"/>
      <c r="L15" s="461"/>
      <c r="M15" s="461"/>
      <c r="N15" s="461"/>
      <c r="O15" s="461"/>
      <c r="P15" s="461"/>
      <c r="Q15" s="461"/>
      <c r="R15" s="455"/>
      <c r="AD15" s="455"/>
      <c r="AE15" s="455"/>
      <c r="AF15" s="455"/>
      <c r="AG15" s="455"/>
      <c r="AH15" s="455"/>
      <c r="AI15" s="455"/>
      <c r="AJ15" s="455"/>
      <c r="AK15" s="455"/>
      <c r="AL15" s="455"/>
      <c r="AM15" s="455"/>
    </row>
    <row r="16" spans="1:39" x14ac:dyDescent="0.25">
      <c r="A16" s="461"/>
      <c r="B16" s="304" t="s">
        <v>241</v>
      </c>
      <c r="C16" s="306"/>
      <c r="D16" s="455"/>
      <c r="E16" s="131" t="s">
        <v>81</v>
      </c>
      <c r="F16" s="132"/>
      <c r="G16" s="131" t="s">
        <v>82</v>
      </c>
      <c r="H16" s="132"/>
      <c r="I16" s="131" t="s">
        <v>83</v>
      </c>
      <c r="J16" s="131"/>
      <c r="K16" s="455"/>
      <c r="L16" s="304" t="s">
        <v>241</v>
      </c>
      <c r="M16" s="306"/>
      <c r="N16" s="455"/>
      <c r="O16" s="597" t="s">
        <v>81</v>
      </c>
      <c r="P16" s="598" t="s">
        <v>82</v>
      </c>
      <c r="Q16" s="599" t="s">
        <v>83</v>
      </c>
      <c r="R16" s="455"/>
      <c r="S16" s="304" t="s">
        <v>241</v>
      </c>
      <c r="T16" s="306"/>
      <c r="V16" s="597" t="s">
        <v>81</v>
      </c>
      <c r="W16" s="600"/>
      <c r="X16" s="600"/>
      <c r="Y16" s="598" t="s">
        <v>82</v>
      </c>
      <c r="Z16" s="598"/>
      <c r="AA16" s="598"/>
      <c r="AB16" s="599" t="s">
        <v>83</v>
      </c>
      <c r="AD16" s="304" t="s">
        <v>241</v>
      </c>
      <c r="AE16" s="306"/>
      <c r="AF16" s="455"/>
      <c r="AG16" s="597" t="s">
        <v>81</v>
      </c>
      <c r="AH16" s="600"/>
      <c r="AI16" s="600"/>
      <c r="AJ16" s="598" t="s">
        <v>82</v>
      </c>
      <c r="AK16" s="598"/>
      <c r="AL16" s="598"/>
      <c r="AM16" s="599" t="s">
        <v>83</v>
      </c>
    </row>
    <row r="17" spans="1:39" x14ac:dyDescent="0.25">
      <c r="A17" s="455"/>
      <c r="B17" s="133" t="s">
        <v>515</v>
      </c>
      <c r="C17" s="588">
        <v>0.1</v>
      </c>
      <c r="D17" s="455"/>
      <c r="E17" s="133" t="str">
        <f t="array" ref="E17:F20">_xll.d.IR_BlackForwardOptionPricer(C17,C18,C19,C20,C21,C22,C23,"VERBOSE")</f>
        <v>Price</v>
      </c>
      <c r="F17" s="592">
        <v>5.5832072827947171E-3</v>
      </c>
      <c r="G17" s="133" t="s">
        <v>522</v>
      </c>
      <c r="H17" s="592">
        <f>-1*EXP(-1*C19*C21)*C17*(_xlfn.NORM.S.DIST(-1*H18,TRUE)-(_xlfn.NORM.S.DIST(-1*H19,TRUE)))</f>
        <v>5.5832072827947232E-3</v>
      </c>
      <c r="I17" s="595" t="str" cm="1">
        <f t="array" ref="I17">_xll.d.TestUtils_Equal(E17,G17)</f>
        <v>Ok</v>
      </c>
      <c r="J17" s="595" t="str" cm="1">
        <f t="array" ref="J17">_xll.d.TestUtils_Equal(F17,H17)</f>
        <v>Ok</v>
      </c>
      <c r="K17" s="455"/>
      <c r="L17" s="133" t="s">
        <v>515</v>
      </c>
      <c r="M17" s="588">
        <v>0.1</v>
      </c>
      <c r="N17" s="455"/>
      <c r="O17" s="596" cm="1">
        <f t="array" ref="O17">_xll.d.IR_BlackForwardOptionPricer(M17,M18,M19,M20,M21,M22,M23)</f>
        <v>5.5832072827947171E-3</v>
      </c>
      <c r="P17" s="591">
        <f>H17</f>
        <v>5.5832072827947232E-3</v>
      </c>
      <c r="Q17" s="595" t="str" cm="1">
        <f t="array" ref="Q17">_xll.d.TestUtils_Equal(O17,P17)</f>
        <v>Ok</v>
      </c>
      <c r="R17" s="455"/>
      <c r="S17" s="133" t="s">
        <v>515</v>
      </c>
      <c r="T17" s="588">
        <v>0.1</v>
      </c>
      <c r="V17" s="601" t="str" cm="1">
        <f t="array" ref="V17">_xll.d.IR_BlackForwardOptionPricer(T17,T18,T19,T20,T21,T22,T23)</f>
        <v>#∂Excel Error: Invalid option type: 'Q'</v>
      </c>
      <c r="W17" s="602"/>
      <c r="X17" s="602"/>
      <c r="Y17" s="603" t="s">
        <v>529</v>
      </c>
      <c r="Z17" s="604"/>
      <c r="AA17" s="604"/>
      <c r="AB17" s="595" t="str" cm="1">
        <f t="array" ref="AB17">_xll.d.TestUtils_Equal(V17,Y17)</f>
        <v>Ok</v>
      </c>
      <c r="AD17" s="133" t="s">
        <v>515</v>
      </c>
      <c r="AE17" s="588">
        <v>0.1</v>
      </c>
      <c r="AF17" s="455"/>
      <c r="AG17" s="601" t="str" cm="1">
        <f t="array" ref="AG17">_xll.d.IR_BlackForwardOptionPricer(AE17,AE18,AE19,AE20,AE21,AE22,AE23)</f>
        <v>#∂Excel Error: Invalid direction: 'Q'</v>
      </c>
      <c r="AH17" s="602"/>
      <c r="AI17" s="602"/>
      <c r="AJ17" s="603" t="s">
        <v>533</v>
      </c>
      <c r="AK17" s="604"/>
      <c r="AL17" s="604"/>
      <c r="AM17" s="595" t="str" cm="1">
        <f t="array" ref="AM17">_xll.d.TestUtils_Equal(AG17,AJ17)</f>
        <v>Ok</v>
      </c>
    </row>
    <row r="18" spans="1:39" x14ac:dyDescent="0.25">
      <c r="A18" s="455"/>
      <c r="B18" s="135" t="s">
        <v>516</v>
      </c>
      <c r="C18" s="589">
        <v>0.1</v>
      </c>
      <c r="D18" s="455"/>
      <c r="E18" s="135" t="str">
        <v>d1</v>
      </c>
      <c r="F18" s="593">
        <v>7.2168783648703216E-2</v>
      </c>
      <c r="G18" s="135" t="s">
        <v>523</v>
      </c>
      <c r="H18" s="593">
        <f>(LN(C17/C18)+0.5*C20*C20*C21)/(C20*SQRT(C21))</f>
        <v>7.2168783648703216E-2</v>
      </c>
      <c r="I18" s="595" t="str" cm="1">
        <f t="array" ref="I18">_xll.d.TestUtils_Equal(E18,G18)</f>
        <v>Ok</v>
      </c>
      <c r="J18" s="595" t="str" cm="1">
        <f t="array" ref="J18">_xll.d.TestUtils_Equal(F18,H18)</f>
        <v>Ok</v>
      </c>
      <c r="K18" s="455"/>
      <c r="L18" s="135" t="s">
        <v>516</v>
      </c>
      <c r="M18" s="589">
        <v>0.1</v>
      </c>
      <c r="N18" s="455"/>
      <c r="O18" s="455"/>
      <c r="P18" s="455"/>
      <c r="Q18" s="455"/>
      <c r="R18" s="455"/>
      <c r="S18" s="135" t="s">
        <v>516</v>
      </c>
      <c r="T18" s="589">
        <v>0.1</v>
      </c>
      <c r="AD18" s="135" t="s">
        <v>516</v>
      </c>
      <c r="AE18" s="589">
        <v>0.1</v>
      </c>
      <c r="AF18" s="455"/>
      <c r="AG18" s="455"/>
      <c r="AH18" s="455"/>
      <c r="AI18" s="455"/>
      <c r="AJ18" s="455"/>
      <c r="AK18" s="455"/>
      <c r="AL18" s="455"/>
      <c r="AM18" s="455"/>
    </row>
    <row r="19" spans="1:39" x14ac:dyDescent="0.25">
      <c r="A19" s="455"/>
      <c r="B19" s="135" t="s">
        <v>518</v>
      </c>
      <c r="C19" s="589">
        <v>0.09</v>
      </c>
      <c r="D19" s="455"/>
      <c r="E19" s="135" t="str">
        <v>d2</v>
      </c>
      <c r="F19" s="593">
        <v>-7.2168783648703216E-2</v>
      </c>
      <c r="G19" s="135" t="s">
        <v>524</v>
      </c>
      <c r="H19" s="593">
        <f>H18-C20*SQRT(C21)</f>
        <v>-7.2168783648703216E-2</v>
      </c>
      <c r="I19" s="595" t="str" cm="1">
        <f t="array" ref="I19">_xll.d.TestUtils_Equal(E19,G19)</f>
        <v>Ok</v>
      </c>
      <c r="J19" s="595" t="str" cm="1">
        <f t="array" ref="J19">_xll.d.TestUtils_Equal(F19,H19)</f>
        <v>Ok</v>
      </c>
      <c r="K19" s="455"/>
      <c r="L19" s="135" t="s">
        <v>518</v>
      </c>
      <c r="M19" s="589">
        <v>0.09</v>
      </c>
      <c r="N19" s="455"/>
      <c r="O19" s="455"/>
      <c r="P19" s="455"/>
      <c r="Q19" s="455"/>
      <c r="R19" s="455"/>
      <c r="S19" s="135" t="s">
        <v>518</v>
      </c>
      <c r="T19" s="589">
        <v>0.09</v>
      </c>
      <c r="AD19" s="135" t="s">
        <v>518</v>
      </c>
      <c r="AE19" s="589">
        <v>0.09</v>
      </c>
      <c r="AF19" s="455"/>
      <c r="AG19" s="455"/>
      <c r="AH19" s="455"/>
      <c r="AI19" s="455"/>
      <c r="AJ19" s="455"/>
      <c r="AK19" s="455"/>
      <c r="AL19" s="455"/>
      <c r="AM19" s="455"/>
    </row>
    <row r="20" spans="1:39" ht="15" customHeight="1" x14ac:dyDescent="0.25">
      <c r="A20" s="455"/>
      <c r="B20" s="135" t="s">
        <v>88</v>
      </c>
      <c r="C20" s="589">
        <v>0.25</v>
      </c>
      <c r="D20" s="455"/>
      <c r="E20" s="137" t="str">
        <v>Discount Factor</v>
      </c>
      <c r="F20" s="594">
        <v>0.97044553354850815</v>
      </c>
      <c r="G20" s="137" t="s">
        <v>525</v>
      </c>
      <c r="H20" s="594">
        <v>0.97044553354850815</v>
      </c>
      <c r="I20" s="595" t="str" cm="1">
        <f t="array" ref="I20">_xll.d.TestUtils_Equal(E20,G20)</f>
        <v>Ok</v>
      </c>
      <c r="J20" s="595" t="str" cm="1">
        <f t="array" ref="J20">_xll.d.TestUtils_Equal(F20,H20)</f>
        <v>Ok</v>
      </c>
      <c r="L20" s="135" t="s">
        <v>88</v>
      </c>
      <c r="M20" s="589">
        <v>0.25</v>
      </c>
      <c r="N20" s="455"/>
      <c r="O20" s="455"/>
      <c r="P20" s="455"/>
      <c r="Q20" s="455"/>
      <c r="R20" s="455"/>
      <c r="S20" s="135" t="s">
        <v>88</v>
      </c>
      <c r="T20" s="589">
        <v>0.25</v>
      </c>
      <c r="AD20" s="135" t="s">
        <v>88</v>
      </c>
      <c r="AE20" s="589">
        <v>0.25</v>
      </c>
      <c r="AF20" s="455"/>
      <c r="AG20" s="455"/>
      <c r="AH20" s="455"/>
      <c r="AI20" s="455"/>
      <c r="AJ20" s="455"/>
      <c r="AK20" s="455"/>
      <c r="AL20" s="455"/>
      <c r="AM20" s="455"/>
    </row>
    <row r="21" spans="1:39" x14ac:dyDescent="0.25">
      <c r="A21" s="455"/>
      <c r="B21" s="135" t="s">
        <v>517</v>
      </c>
      <c r="C21" s="136">
        <f>4/12</f>
        <v>0.33333333333333331</v>
      </c>
      <c r="D21" s="455"/>
      <c r="G21" s="455"/>
      <c r="H21" s="455"/>
      <c r="I21" s="455"/>
      <c r="L21" s="135" t="s">
        <v>517</v>
      </c>
      <c r="M21" s="136">
        <f>4/12</f>
        <v>0.33333333333333331</v>
      </c>
      <c r="N21" s="455"/>
      <c r="O21" s="455"/>
      <c r="P21" s="455"/>
      <c r="Q21" s="455"/>
      <c r="R21" s="455"/>
      <c r="S21" s="135" t="s">
        <v>517</v>
      </c>
      <c r="T21" s="136">
        <f>4/12</f>
        <v>0.33333333333333331</v>
      </c>
      <c r="AD21" s="135" t="s">
        <v>517</v>
      </c>
      <c r="AE21" s="136">
        <f>4/12</f>
        <v>0.33333333333333331</v>
      </c>
      <c r="AF21" s="455"/>
      <c r="AG21" s="455"/>
      <c r="AH21" s="455"/>
      <c r="AI21" s="455"/>
      <c r="AJ21" s="455"/>
      <c r="AK21" s="455"/>
      <c r="AL21" s="455"/>
      <c r="AM21" s="455"/>
    </row>
    <row r="22" spans="1:39" s="455" customFormat="1" x14ac:dyDescent="0.25">
      <c r="B22" s="135" t="s">
        <v>436</v>
      </c>
      <c r="C22" s="136" t="s">
        <v>519</v>
      </c>
      <c r="L22" s="135" t="s">
        <v>436</v>
      </c>
      <c r="M22" s="136" t="s">
        <v>519</v>
      </c>
      <c r="S22" s="135" t="s">
        <v>436</v>
      </c>
      <c r="T22" s="136" t="s">
        <v>527</v>
      </c>
      <c r="AD22" s="135" t="s">
        <v>436</v>
      </c>
      <c r="AE22" s="136" t="s">
        <v>519</v>
      </c>
    </row>
    <row r="23" spans="1:39" x14ac:dyDescent="0.25">
      <c r="A23" s="455"/>
      <c r="B23" s="137" t="s">
        <v>530</v>
      </c>
      <c r="C23" s="138" t="s">
        <v>531</v>
      </c>
      <c r="D23" s="455"/>
      <c r="G23" s="455"/>
      <c r="H23" s="455"/>
      <c r="I23" s="455"/>
      <c r="L23" s="137" t="s">
        <v>530</v>
      </c>
      <c r="M23" s="138" t="s">
        <v>531</v>
      </c>
      <c r="N23" s="455"/>
      <c r="O23" s="455"/>
      <c r="P23" s="455"/>
      <c r="Q23" s="455"/>
      <c r="R23" s="455"/>
      <c r="S23" s="137" t="s">
        <v>530</v>
      </c>
      <c r="T23" s="138" t="s">
        <v>531</v>
      </c>
      <c r="AD23" s="137" t="s">
        <v>530</v>
      </c>
      <c r="AE23" s="138" t="s">
        <v>527</v>
      </c>
      <c r="AF23" s="455"/>
      <c r="AG23" s="455"/>
      <c r="AH23" s="455"/>
      <c r="AI23" s="455"/>
      <c r="AJ23" s="455"/>
      <c r="AK23" s="455"/>
      <c r="AL23" s="455"/>
      <c r="AM23" s="455"/>
    </row>
    <row r="24" spans="1:39" x14ac:dyDescent="0.25">
      <c r="A24" s="455"/>
      <c r="D24" s="455"/>
      <c r="E24" s="455"/>
      <c r="F24" s="455"/>
      <c r="G24" s="455"/>
      <c r="H24" s="455"/>
      <c r="I24" s="455"/>
      <c r="L24" s="455"/>
      <c r="M24" s="455"/>
      <c r="N24" s="455"/>
      <c r="O24" s="455"/>
      <c r="P24" s="455"/>
      <c r="Q24" s="455"/>
      <c r="R24" s="455"/>
    </row>
    <row r="25" spans="1:39" x14ac:dyDescent="0.25">
      <c r="A25" s="455"/>
      <c r="B25" s="308"/>
      <c r="C25" s="308"/>
      <c r="D25" s="455"/>
      <c r="E25" s="455"/>
      <c r="F25" s="455"/>
      <c r="G25" s="455"/>
      <c r="H25" s="455"/>
      <c r="I25" s="455"/>
      <c r="L25" s="455"/>
    </row>
    <row r="26" spans="1:39" x14ac:dyDescent="0.25">
      <c r="A26" s="455"/>
      <c r="E26" s="455"/>
      <c r="F26" s="455"/>
      <c r="G26" s="455"/>
      <c r="H26" s="455"/>
      <c r="I26" s="455"/>
      <c r="J26" s="455"/>
      <c r="K26" s="455"/>
      <c r="L26" s="455"/>
    </row>
    <row r="27" spans="1:39" x14ac:dyDescent="0.25">
      <c r="E27" s="455"/>
      <c r="F27" s="455"/>
      <c r="G27" s="455"/>
      <c r="H27" s="455"/>
      <c r="I27" s="455"/>
      <c r="J27" s="455"/>
      <c r="K27" s="455"/>
      <c r="L27" s="455"/>
    </row>
    <row r="42" spans="3:11" x14ac:dyDescent="0.25">
      <c r="F42" s="511"/>
    </row>
    <row r="44" spans="3:11" x14ac:dyDescent="0.25">
      <c r="C44" s="511"/>
      <c r="K44" s="455"/>
    </row>
    <row r="45" spans="3:11" x14ac:dyDescent="0.25">
      <c r="K45" s="455"/>
    </row>
  </sheetData>
  <conditionalFormatting sqref="E7 Q17">
    <cfRule type="cellIs" dxfId="407" priority="19" stopIfTrue="1" operator="equal">
      <formula>"ERROR"</formula>
    </cfRule>
    <cfRule type="cellIs" dxfId="406" priority="20" stopIfTrue="1" operator="equal">
      <formula>"OK"</formula>
    </cfRule>
    <cfRule type="cellIs" dxfId="405" priority="21" stopIfTrue="1" operator="equal">
      <formula>"WARNING"</formula>
    </cfRule>
  </conditionalFormatting>
  <conditionalFormatting sqref="C4">
    <cfRule type="cellIs" dxfId="404" priority="16" stopIfTrue="1" operator="equal">
      <formula>"ERROR"</formula>
    </cfRule>
    <cfRule type="cellIs" dxfId="403" priority="17" stopIfTrue="1" operator="equal">
      <formula>"OK"</formula>
    </cfRule>
    <cfRule type="cellIs" dxfId="402" priority="18" stopIfTrue="1" operator="equal">
      <formula>"WARNING"</formula>
    </cfRule>
  </conditionalFormatting>
  <conditionalFormatting sqref="C12">
    <cfRule type="cellIs" dxfId="401" priority="13" stopIfTrue="1" operator="equal">
      <formula>"ERROR"</formula>
    </cfRule>
  </conditionalFormatting>
  <conditionalFormatting sqref="C12">
    <cfRule type="cellIs" dxfId="400" priority="14" stopIfTrue="1" operator="equal">
      <formula>"OK"</formula>
    </cfRule>
  </conditionalFormatting>
  <conditionalFormatting sqref="C12">
    <cfRule type="cellIs" dxfId="399" priority="15" stopIfTrue="1" operator="equal">
      <formula>"WARNING"</formula>
    </cfRule>
  </conditionalFormatting>
  <conditionalFormatting sqref="I17:J20">
    <cfRule type="cellIs" dxfId="398" priority="22" stopIfTrue="1" operator="equal">
      <formula>"ERROR"</formula>
    </cfRule>
    <cfRule type="cellIs" dxfId="397" priority="23" stopIfTrue="1" operator="equal">
      <formula>"OK"</formula>
    </cfRule>
    <cfRule type="cellIs" dxfId="396" priority="24" stopIfTrue="1" operator="equal">
      <formula>"WARNING"</formula>
    </cfRule>
  </conditionalFormatting>
  <conditionalFormatting sqref="AB17">
    <cfRule type="cellIs" dxfId="395" priority="4" stopIfTrue="1" operator="equal">
      <formula>"ERROR"</formula>
    </cfRule>
    <cfRule type="cellIs" dxfId="394" priority="5" stopIfTrue="1" operator="equal">
      <formula>"OK"</formula>
    </cfRule>
    <cfRule type="cellIs" dxfId="393" priority="6" stopIfTrue="1" operator="equal">
      <formula>"WARNING"</formula>
    </cfRule>
  </conditionalFormatting>
  <conditionalFormatting sqref="AM17">
    <cfRule type="cellIs" dxfId="392" priority="1" stopIfTrue="1" operator="equal">
      <formula>"ERROR"</formula>
    </cfRule>
    <cfRule type="cellIs" dxfId="391" priority="2" stopIfTrue="1" operator="equal">
      <formula>"OK"</formula>
    </cfRule>
    <cfRule type="cellIs" dxfId="390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18" t="s">
        <v>403</v>
      </c>
    </row>
    <row r="2" spans="1:54" ht="26.25" x14ac:dyDescent="0.4">
      <c r="B2" s="2" t="s">
        <v>404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</row>
    <row r="4" spans="1:54" x14ac:dyDescent="0.25">
      <c r="B4" s="59" t="s">
        <v>155</v>
      </c>
      <c r="C4" s="310" t="str" cm="1">
        <f t="array" ref="C4">_xll.d.TestUtils_And(D7:D8)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</row>
    <row r="6" spans="1:54" x14ac:dyDescent="0.25">
      <c r="B6" s="144" t="s">
        <v>225</v>
      </c>
      <c r="C6" s="200"/>
      <c r="D6" s="200" t="s">
        <v>10</v>
      </c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</row>
    <row r="7" spans="1:54" x14ac:dyDescent="0.25">
      <c r="B7" s="212" t="s">
        <v>405</v>
      </c>
      <c r="C7" s="425"/>
      <c r="D7" s="310" t="str">
        <f>C13</f>
        <v>Ok</v>
      </c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</row>
    <row r="8" spans="1:54" x14ac:dyDescent="0.25">
      <c r="B8" s="212" t="s">
        <v>406</v>
      </c>
      <c r="C8" s="425"/>
      <c r="D8" s="310" t="str">
        <f>C31</f>
        <v>Ok</v>
      </c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</row>
    <row r="11" spans="1:54" s="308" customFormat="1" ht="18.75" x14ac:dyDescent="0.3">
      <c r="A11"/>
      <c r="B11" s="3" t="s">
        <v>405</v>
      </c>
      <c r="C11" s="316"/>
      <c r="D11" s="316"/>
      <c r="E11" s="316"/>
      <c r="F11" s="316"/>
      <c r="G11" s="316"/>
      <c r="H11" s="316"/>
      <c r="I11" s="316"/>
      <c r="J11" s="316"/>
      <c r="K11" s="316"/>
      <c r="L11" s="316"/>
      <c r="M11" s="316"/>
      <c r="N11" s="316"/>
      <c r="O11" s="316"/>
      <c r="P11" s="316"/>
      <c r="Q11" s="316"/>
      <c r="R11" s="316"/>
      <c r="S11" s="316"/>
      <c r="T11" s="316"/>
      <c r="U11" s="316"/>
      <c r="V11" s="316"/>
      <c r="W11" s="316"/>
      <c r="X11" s="316"/>
      <c r="Y11" s="316"/>
      <c r="Z11" s="316"/>
      <c r="AA11" s="316"/>
      <c r="AB11" s="316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  <c r="AW11" s="316"/>
      <c r="AX11" s="316"/>
      <c r="AY11" s="316"/>
      <c r="AZ11" s="316"/>
      <c r="BA11" s="316"/>
      <c r="BB11" s="316"/>
    </row>
    <row r="13" spans="1:54" x14ac:dyDescent="0.25">
      <c r="B13" s="59" t="s">
        <v>155</v>
      </c>
      <c r="C13" s="310" t="str" cm="1">
        <f t="array" ref="C13">_xll.d.TestUtils_And(C17,AG17,AS17)</f>
        <v>Ok</v>
      </c>
      <c r="D13" s="308"/>
      <c r="G13" s="308"/>
    </row>
    <row r="14" spans="1:54" x14ac:dyDescent="0.25">
      <c r="B14" s="308"/>
      <c r="C14" s="308"/>
      <c r="D14" s="308"/>
      <c r="E14" s="308"/>
      <c r="F14" s="308"/>
      <c r="G14" s="309"/>
    </row>
    <row r="15" spans="1:54" ht="15.75" x14ac:dyDescent="0.25">
      <c r="B15" s="4" t="s">
        <v>105</v>
      </c>
      <c r="C15" s="317"/>
      <c r="D15" s="317"/>
      <c r="E15" s="317"/>
      <c r="F15" s="317"/>
      <c r="G15" s="317"/>
      <c r="H15" s="317"/>
      <c r="I15" s="317"/>
      <c r="J15" s="317"/>
      <c r="K15" s="317"/>
      <c r="L15" s="317"/>
      <c r="M15" s="317"/>
      <c r="N15" s="317"/>
      <c r="O15" s="317"/>
      <c r="P15" s="317"/>
      <c r="Q15" s="317"/>
      <c r="R15" s="317"/>
      <c r="S15" s="317"/>
      <c r="T15" s="317"/>
      <c r="U15" s="317"/>
      <c r="V15" s="317"/>
      <c r="W15" s="317"/>
      <c r="X15" s="317"/>
      <c r="Y15" s="317"/>
      <c r="Z15" s="317"/>
      <c r="AA15" s="317"/>
      <c r="AB15" s="317"/>
      <c r="AC15" s="317"/>
      <c r="AD15" s="317"/>
      <c r="AE15" s="455"/>
      <c r="AF15" s="4" t="s">
        <v>451</v>
      </c>
      <c r="AG15" s="317"/>
      <c r="AH15" s="317"/>
      <c r="AI15" s="317"/>
      <c r="AJ15" s="317"/>
      <c r="AK15" s="317"/>
      <c r="AL15" s="317"/>
      <c r="AM15" s="317"/>
      <c r="AN15" s="317"/>
      <c r="AO15" s="317"/>
      <c r="AP15" s="317"/>
      <c r="AQ15" s="455"/>
      <c r="AR15" s="4" t="s">
        <v>456</v>
      </c>
      <c r="AS15" s="317"/>
      <c r="AT15" s="317"/>
      <c r="AU15" s="317"/>
      <c r="AV15" s="317"/>
      <c r="AW15" s="317"/>
      <c r="AX15" s="317"/>
      <c r="AY15" s="317"/>
      <c r="AZ15" s="317"/>
      <c r="BA15" s="317"/>
      <c r="BB15" s="317"/>
    </row>
    <row r="16" spans="1:54" s="461" customFormat="1" x14ac:dyDescent="0.25">
      <c r="AE16" s="455"/>
      <c r="AF16" s="455"/>
      <c r="AG16" s="455"/>
      <c r="AR16" s="455"/>
      <c r="AS16" s="455"/>
    </row>
    <row r="17" spans="1:54" s="461" customFormat="1" x14ac:dyDescent="0.25">
      <c r="B17" s="59" t="s">
        <v>155</v>
      </c>
      <c r="C17" s="310" t="str" cm="1">
        <f t="array" ref="C17">_xll.d.TestUtils_And(Y21:AD26)</f>
        <v>Ok</v>
      </c>
      <c r="P17" s="660"/>
      <c r="Q17" s="660"/>
      <c r="R17" s="660"/>
      <c r="S17" s="660"/>
      <c r="T17" s="660"/>
      <c r="U17" s="660"/>
      <c r="AE17" s="455"/>
      <c r="AF17" s="59" t="s">
        <v>155</v>
      </c>
      <c r="AG17" s="471" t="str">
        <f>AP20</f>
        <v>Ok</v>
      </c>
      <c r="AR17" s="59" t="s">
        <v>155</v>
      </c>
      <c r="AS17" s="471" t="str">
        <f>BB20</f>
        <v>Ok</v>
      </c>
    </row>
    <row r="18" spans="1:54" x14ac:dyDescent="0.25">
      <c r="B18" s="308"/>
      <c r="C18" s="308"/>
      <c r="D18" s="308"/>
      <c r="F18" s="308"/>
      <c r="G18" s="629"/>
      <c r="H18" s="631">
        <v>1</v>
      </c>
      <c r="I18" s="631">
        <v>2</v>
      </c>
      <c r="J18" s="632">
        <v>4</v>
      </c>
      <c r="K18" s="632">
        <v>12</v>
      </c>
      <c r="L18" s="632"/>
      <c r="M18" s="308"/>
      <c r="N18" s="308"/>
      <c r="O18" s="309"/>
      <c r="R18" s="308"/>
      <c r="S18" s="308"/>
      <c r="T18" s="308"/>
      <c r="U18" s="308"/>
      <c r="V18" s="308"/>
      <c r="W18" s="308"/>
      <c r="X18" s="309"/>
      <c r="AA18" s="308"/>
      <c r="AB18" s="308"/>
      <c r="AC18" s="308"/>
      <c r="AD18" s="308"/>
      <c r="AE18" s="455"/>
      <c r="AQ18" s="308"/>
      <c r="AR18" s="455"/>
      <c r="AS18" s="455"/>
      <c r="AT18" s="455"/>
      <c r="AU18" s="455"/>
      <c r="AV18" s="455"/>
      <c r="AW18" s="455"/>
      <c r="AX18" s="455"/>
      <c r="AY18" s="455"/>
      <c r="AZ18" s="455"/>
      <c r="BA18" s="455"/>
      <c r="BB18" s="455"/>
    </row>
    <row r="19" spans="1:54" s="455" customFormat="1" x14ac:dyDescent="0.25">
      <c r="B19" s="131" t="s">
        <v>241</v>
      </c>
      <c r="C19" s="132"/>
      <c r="D19" s="308"/>
      <c r="E19" s="464" t="s">
        <v>571</v>
      </c>
      <c r="F19" s="308"/>
      <c r="G19" s="131" t="s">
        <v>449</v>
      </c>
      <c r="H19" s="202"/>
      <c r="I19" s="202"/>
      <c r="J19" s="202"/>
      <c r="K19" s="202"/>
      <c r="L19" s="132"/>
      <c r="N19" s="464" t="s">
        <v>129</v>
      </c>
      <c r="O19" s="308"/>
      <c r="P19" s="131" t="s">
        <v>449</v>
      </c>
      <c r="Q19" s="202"/>
      <c r="R19" s="202"/>
      <c r="S19" s="202"/>
      <c r="T19" s="202"/>
      <c r="U19" s="132"/>
      <c r="V19" s="308"/>
      <c r="W19" s="464" t="s">
        <v>83</v>
      </c>
      <c r="X19" s="308"/>
      <c r="Y19" s="131" t="s">
        <v>449</v>
      </c>
      <c r="Z19" s="202"/>
      <c r="AA19" s="202"/>
      <c r="AB19" s="202"/>
      <c r="AC19" s="202"/>
      <c r="AD19" s="132"/>
      <c r="AF19" s="12" t="s">
        <v>241</v>
      </c>
      <c r="AG19" s="12"/>
      <c r="AH19" s="132"/>
      <c r="AI19" s="461"/>
      <c r="AJ19" s="12" t="s">
        <v>129</v>
      </c>
      <c r="AK19" s="27"/>
      <c r="AL19" s="27"/>
      <c r="AM19" s="27" t="s">
        <v>243</v>
      </c>
      <c r="AN19" s="27"/>
      <c r="AO19" s="27"/>
      <c r="AP19" s="13" t="s">
        <v>83</v>
      </c>
      <c r="AR19" s="12" t="s">
        <v>241</v>
      </c>
      <c r="AS19" s="12"/>
      <c r="AT19" s="132"/>
      <c r="AU19" s="461"/>
      <c r="AV19" s="12" t="s">
        <v>129</v>
      </c>
      <c r="AW19" s="27"/>
      <c r="AX19" s="27"/>
      <c r="AY19" s="27" t="s">
        <v>243</v>
      </c>
      <c r="AZ19" s="27"/>
      <c r="BA19" s="27"/>
      <c r="BB19" s="13" t="s">
        <v>83</v>
      </c>
    </row>
    <row r="20" spans="1:54" ht="15" customHeight="1" x14ac:dyDescent="0.25">
      <c r="B20" s="501" t="s">
        <v>24</v>
      </c>
      <c r="C20" s="503">
        <v>1.15E-2</v>
      </c>
      <c r="D20" s="462"/>
      <c r="F20" s="308"/>
      <c r="G20" s="292" t="s">
        <v>234</v>
      </c>
      <c r="H20" s="293" t="s">
        <v>94</v>
      </c>
      <c r="I20" s="465" t="s">
        <v>95</v>
      </c>
      <c r="J20" s="293" t="s">
        <v>80</v>
      </c>
      <c r="K20" s="293" t="s">
        <v>79</v>
      </c>
      <c r="L20" s="294" t="s">
        <v>78</v>
      </c>
      <c r="N20" s="308"/>
      <c r="O20" s="308"/>
      <c r="P20" s="292" t="s">
        <v>234</v>
      </c>
      <c r="Q20" s="293" t="s">
        <v>94</v>
      </c>
      <c r="R20" s="465" t="s">
        <v>95</v>
      </c>
      <c r="S20" s="293" t="s">
        <v>80</v>
      </c>
      <c r="T20" s="293" t="s">
        <v>79</v>
      </c>
      <c r="U20" s="294" t="s">
        <v>78</v>
      </c>
      <c r="W20" s="455"/>
      <c r="X20" s="308"/>
      <c r="Y20" s="292" t="s">
        <v>234</v>
      </c>
      <c r="Z20" s="293" t="s">
        <v>94</v>
      </c>
      <c r="AA20" s="465" t="s">
        <v>95</v>
      </c>
      <c r="AB20" s="293" t="s">
        <v>80</v>
      </c>
      <c r="AC20" s="293" t="s">
        <v>79</v>
      </c>
      <c r="AD20" s="294" t="s">
        <v>78</v>
      </c>
      <c r="AF20" s="472" t="s">
        <v>24</v>
      </c>
      <c r="AG20" s="472"/>
      <c r="AH20" s="479">
        <v>1.15E-2</v>
      </c>
      <c r="AJ20" s="475" t="str" cm="1">
        <f t="array" ref="AJ20">_xll.d.IR_ConvertInterestRate(AH20,AH21,AH22,AH23)</f>
        <v>#∂Excel Error: Invalid old compounding convention: NACP</v>
      </c>
      <c r="AK20" s="476"/>
      <c r="AL20" s="476"/>
      <c r="AM20" s="477" t="s">
        <v>455</v>
      </c>
      <c r="AN20" s="478"/>
      <c r="AO20" s="478"/>
      <c r="AP20" s="348" t="str" cm="1">
        <f t="array" ref="AP20">_xll.d.TestUtils_Equal(AJ20,AM20)</f>
        <v>Ok</v>
      </c>
      <c r="AR20" s="472" t="s">
        <v>24</v>
      </c>
      <c r="AS20" s="472"/>
      <c r="AT20" s="479">
        <v>1.15E-2</v>
      </c>
      <c r="AU20" s="455"/>
      <c r="AV20" s="475" t="str" cm="1">
        <f t="array" ref="AV20">_xll.d.IR_ConvertInterestRate(AT20,AT21,AT22,AT23)</f>
        <v>#∂Excel Error: Invalid new compounding convention: NACP</v>
      </c>
      <c r="AW20" s="476"/>
      <c r="AX20" s="476"/>
      <c r="AY20" s="477" t="s">
        <v>454</v>
      </c>
      <c r="AZ20" s="478"/>
      <c r="BA20" s="478"/>
      <c r="BB20" s="348" t="str" cm="1">
        <f t="array" ref="BB20">_xll.d.TestUtils_Equal(AV20,AY20)</f>
        <v>Ok</v>
      </c>
    </row>
    <row r="21" spans="1:54" s="455" customFormat="1" x14ac:dyDescent="0.25">
      <c r="B21" s="502" t="s">
        <v>467</v>
      </c>
      <c r="C21" s="504">
        <f>3/12</f>
        <v>0.25</v>
      </c>
      <c r="D21" s="630"/>
      <c r="E21" s="806" t="s">
        <v>448</v>
      </c>
      <c r="F21" s="298" t="s">
        <v>234</v>
      </c>
      <c r="G21" s="467">
        <f>$C$20</f>
        <v>1.15E-2</v>
      </c>
      <c r="H21" s="505">
        <f>H$18*((1+$C$20*$C$21)^(1/(H$18*$C$21))-1)</f>
        <v>1.1549688873008002E-2</v>
      </c>
      <c r="I21" s="505">
        <f>I$18*((1+$C$20*$C$21)^(1/(I$18*$C$21))-1)</f>
        <v>1.1516531249999851E-2</v>
      </c>
      <c r="J21" s="505">
        <f>J$18*((1+$C$20*$C$21)^(1/(J$18*$C$21))-1)</f>
        <v>1.1499999999999844E-2</v>
      </c>
      <c r="K21" s="505">
        <f>K$18*((1+$C$20*$C$21)^(1/(K$18*$C$21))-1)</f>
        <v>1.1488996735719681E-2</v>
      </c>
      <c r="L21" s="506">
        <f>LN(1+$C$20*$C$21)/$C$21</f>
        <v>1.1483500366731883E-2</v>
      </c>
      <c r="N21" s="806" t="s">
        <v>448</v>
      </c>
      <c r="O21" s="298" t="s">
        <v>234</v>
      </c>
      <c r="P21" s="657" cm="1">
        <f t="array" ref="P21">_xll.d.IR_ConvertInterestRate($C$20,$O21,P$20,$C$21)</f>
        <v>1.15E-2</v>
      </c>
      <c r="Q21" s="658" cm="1">
        <f t="array" ref="Q21">_xll.d.IR_ConvertInterestRate($C$20,$O21,Q$20,$C$21)</f>
        <v>1.1549688873008002E-2</v>
      </c>
      <c r="R21" s="658" cm="1">
        <f t="array" ref="R21">_xll.d.IR_ConvertInterestRate($C$20,$O21,R$20,$C$21)</f>
        <v>1.1516531249999851E-2</v>
      </c>
      <c r="S21" s="658" cm="1">
        <f t="array" ref="S21">_xll.d.IR_ConvertInterestRate($C$20,$O21,S$20,$C$21)</f>
        <v>1.1499999999999844E-2</v>
      </c>
      <c r="T21" s="658" cm="1">
        <f t="array" ref="T21">_xll.d.IR_ConvertInterestRate($C$20,$O21,T$20,$C$21)</f>
        <v>1.1488996735719681E-2</v>
      </c>
      <c r="U21" s="661" cm="1">
        <f t="array" ref="U21">_xll.d.IR_ConvertInterestRate($C$20,$O21,U$20,$C$21)</f>
        <v>1.1483500366731883E-2</v>
      </c>
      <c r="W21" s="806" t="s">
        <v>448</v>
      </c>
      <c r="X21" s="298" t="s">
        <v>234</v>
      </c>
      <c r="Y21" s="467" t="str" cm="1">
        <f t="array" ref="Y21">_xll.d.TestUtils_Equal(G21,P21)</f>
        <v>Ok</v>
      </c>
      <c r="Z21" s="467" t="str" cm="1">
        <f t="array" ref="Z21">_xll.d.TestUtils_Equal(H21,Q21)</f>
        <v>Ok</v>
      </c>
      <c r="AA21" s="467" t="str" cm="1">
        <f t="array" ref="AA21">_xll.d.TestUtils_Equal(I21,R21)</f>
        <v>Ok</v>
      </c>
      <c r="AB21" s="467" t="str" cm="1">
        <f t="array" ref="AB21">_xll.d.TestUtils_Equal(J21,S21)</f>
        <v>Ok</v>
      </c>
      <c r="AC21" s="467" t="str" cm="1">
        <f t="array" ref="AC21">_xll.d.TestUtils_Equal(K21,T21)</f>
        <v>Ok</v>
      </c>
      <c r="AD21" s="467" t="str" cm="1">
        <f t="array" ref="AD21">_xll.d.TestUtils_Equal(L21,U21)</f>
        <v>Ok</v>
      </c>
      <c r="AF21" s="473" t="s">
        <v>452</v>
      </c>
      <c r="AG21" s="473"/>
      <c r="AH21" s="136" t="s">
        <v>450</v>
      </c>
      <c r="AJ21" s="308"/>
      <c r="AK21" s="461"/>
      <c r="AM21" s="463"/>
      <c r="AN21" s="308"/>
      <c r="AO21" s="309"/>
      <c r="AR21" s="473" t="s">
        <v>452</v>
      </c>
      <c r="AS21" s="473"/>
      <c r="AT21" s="136" t="s">
        <v>80</v>
      </c>
      <c r="AV21" s="308"/>
      <c r="AW21" s="461"/>
      <c r="AY21" s="463"/>
      <c r="AZ21" s="308"/>
      <c r="BA21" s="309"/>
    </row>
    <row r="22" spans="1:54" s="455" customFormat="1" x14ac:dyDescent="0.25">
      <c r="B22" s="308"/>
      <c r="C22" s="463"/>
      <c r="D22" s="631">
        <v>1</v>
      </c>
      <c r="E22" s="807"/>
      <c r="F22" s="299" t="s">
        <v>94</v>
      </c>
      <c r="G22" s="468">
        <f>((1+$C$20/$D22)^($D22*$C$21)-1)/$C$21</f>
        <v>1.1450736333546985E-2</v>
      </c>
      <c r="H22" s="507">
        <f>H$18*((1+$C$20/$D22)^($D22/H$18)-1)</f>
        <v>1.1500000000000066E-2</v>
      </c>
      <c r="I22" s="507">
        <f>I$18*((1+$C$20/$D22)^($D22/I$18)-1)</f>
        <v>1.1467126253869697E-2</v>
      </c>
      <c r="J22" s="507">
        <f>J$18*((1+$C$20/$D22)^($D22/J$18)-1)</f>
        <v>1.1450736333546985E-2</v>
      </c>
      <c r="K22" s="507">
        <f>K$18*((1+$C$20/$D22)^($D22/K$18)-1)</f>
        <v>1.1439827064371855E-2</v>
      </c>
      <c r="L22" s="508">
        <f>$D22*LN(1+$C$20/$D22)</f>
        <v>1.143437762566317E-2</v>
      </c>
      <c r="N22" s="807"/>
      <c r="O22" s="299" t="s">
        <v>94</v>
      </c>
      <c r="P22" s="659" cm="1">
        <f t="array" ref="P22">_xll.d.IR_ConvertInterestRate($C$20,$O22,P$20,$C$21)</f>
        <v>1.1450736333546985E-2</v>
      </c>
      <c r="Q22" s="507" cm="1">
        <f t="array" ref="Q22">_xll.d.IR_ConvertInterestRate($C$20,$O22,Q$20,$C$21)</f>
        <v>1.15E-2</v>
      </c>
      <c r="R22" s="507" cm="1">
        <f t="array" ref="R22">_xll.d.IR_ConvertInterestRate($C$20,$O22,R$20,$C$21)</f>
        <v>1.1467126253869697E-2</v>
      </c>
      <c r="S22" s="507" cm="1">
        <f t="array" ref="S22">_xll.d.IR_ConvertInterestRate($C$20,$O22,S$20,$C$21)</f>
        <v>1.1450736333546985E-2</v>
      </c>
      <c r="T22" s="507" cm="1">
        <f t="array" ref="T22">_xll.d.IR_ConvertInterestRate($C$20,$O22,T$20,$C$21)</f>
        <v>1.1439827064371855E-2</v>
      </c>
      <c r="U22" s="662" cm="1">
        <f t="array" ref="U22">_xll.d.IR_ConvertInterestRate($C$20,$O22,U$20,$C$21)</f>
        <v>1.143437762566317E-2</v>
      </c>
      <c r="W22" s="807"/>
      <c r="X22" s="299" t="s">
        <v>94</v>
      </c>
      <c r="Y22" s="467" t="str" cm="1">
        <f t="array" ref="Y22">_xll.d.TestUtils_Equal(G22,P22)</f>
        <v>Ok</v>
      </c>
      <c r="Z22" s="467" t="str" cm="1">
        <f t="array" ref="Z22">_xll.d.TestUtils_Equal(H22,Q22)</f>
        <v>Ok</v>
      </c>
      <c r="AA22" s="467" t="str" cm="1">
        <f t="array" ref="AA22">_xll.d.TestUtils_Equal(I22,R22)</f>
        <v>Ok</v>
      </c>
      <c r="AB22" s="467" t="str" cm="1">
        <f t="array" ref="AB22">_xll.d.TestUtils_Equal(J22,S22)</f>
        <v>Ok</v>
      </c>
      <c r="AC22" s="467" t="str" cm="1">
        <f t="array" ref="AC22">_xll.d.TestUtils_Equal(K22,T22)</f>
        <v>Ok</v>
      </c>
      <c r="AD22" s="467" t="str" cm="1">
        <f t="array" ref="AD22">_xll.d.TestUtils_Equal(L22,U22)</f>
        <v>Ok</v>
      </c>
      <c r="AF22" s="473" t="s">
        <v>453</v>
      </c>
      <c r="AG22" s="473"/>
      <c r="AH22" s="136" t="s">
        <v>80</v>
      </c>
      <c r="AI22"/>
      <c r="AJ22"/>
      <c r="AK22"/>
      <c r="AM22" s="308"/>
      <c r="AN22"/>
      <c r="AO22"/>
      <c r="AP22"/>
      <c r="AR22" s="473" t="s">
        <v>453</v>
      </c>
      <c r="AS22" s="473"/>
      <c r="AT22" s="136" t="s">
        <v>450</v>
      </c>
      <c r="AY22" s="308"/>
    </row>
    <row r="23" spans="1:54" s="455" customFormat="1" x14ac:dyDescent="0.25">
      <c r="B23" s="308"/>
      <c r="D23" s="631">
        <v>2</v>
      </c>
      <c r="E23" s="807"/>
      <c r="F23" s="299" t="s">
        <v>95</v>
      </c>
      <c r="G23" s="468">
        <f>((1+$C$20/$D23)^($D23*$C$21)-1)/$C$21</f>
        <v>1.1483516107226421E-2</v>
      </c>
      <c r="H23" s="507">
        <f t="shared" ref="H23:K25" si="0">H$18*((1+$C$20/$D23)^($D23/H$18)-1)</f>
        <v>1.1533062499999858E-2</v>
      </c>
      <c r="I23" s="507">
        <f t="shared" si="0"/>
        <v>1.1499999999999844E-2</v>
      </c>
      <c r="J23" s="507">
        <f t="shared" si="0"/>
        <v>1.1483516107226421E-2</v>
      </c>
      <c r="K23" s="507">
        <f t="shared" si="0"/>
        <v>1.1472544339037327E-2</v>
      </c>
      <c r="L23" s="508">
        <f>$D23*LN(1+$C$20/$D23)</f>
        <v>1.1467063695520934E-2</v>
      </c>
      <c r="N23" s="807"/>
      <c r="O23" s="299" t="s">
        <v>95</v>
      </c>
      <c r="P23" s="659" cm="1">
        <f t="array" ref="P23">_xll.d.IR_ConvertInterestRate($C$20,$O23,P$20,$C$21)</f>
        <v>1.1483516107226421E-2</v>
      </c>
      <c r="Q23" s="507" cm="1">
        <f t="array" ref="Q23">_xll.d.IR_ConvertInterestRate($C$20,$O23,Q$20,$C$21)</f>
        <v>1.1533062499999858E-2</v>
      </c>
      <c r="R23" s="507" cm="1">
        <f t="array" ref="R23">_xll.d.IR_ConvertInterestRate($C$20,$O23,R$20,$C$21)</f>
        <v>1.15E-2</v>
      </c>
      <c r="S23" s="507" cm="1">
        <f t="array" ref="S23">_xll.d.IR_ConvertInterestRate($C$20,$O23,S$20,$C$21)</f>
        <v>1.1483516107226421E-2</v>
      </c>
      <c r="T23" s="507" cm="1">
        <f t="array" ref="T23">_xll.d.IR_ConvertInterestRate($C$20,$O23,T$20,$C$21)</f>
        <v>1.1472544339037327E-2</v>
      </c>
      <c r="U23" s="662" cm="1">
        <f t="array" ref="U23">_xll.d.IR_ConvertInterestRate($C$20,$O23,U$20,$C$21)</f>
        <v>1.1467063695520934E-2</v>
      </c>
      <c r="W23" s="807"/>
      <c r="X23" s="299" t="s">
        <v>95</v>
      </c>
      <c r="Y23" s="467" t="str" cm="1">
        <f t="array" ref="Y23">_xll.d.TestUtils_Equal(G23,P23)</f>
        <v>Ok</v>
      </c>
      <c r="Z23" s="467" t="str" cm="1">
        <f t="array" ref="Z23">_xll.d.TestUtils_Equal(H23,Q23)</f>
        <v>Ok</v>
      </c>
      <c r="AA23" s="467" t="str" cm="1">
        <f t="array" ref="AA23">_xll.d.TestUtils_Equal(I23,R23)</f>
        <v>Ok</v>
      </c>
      <c r="AB23" s="467" t="str" cm="1">
        <f t="array" ref="AB23">_xll.d.TestUtils_Equal(J23,S23)</f>
        <v>Ok</v>
      </c>
      <c r="AC23" s="467" t="str" cm="1">
        <f t="array" ref="AC23">_xll.d.TestUtils_Equal(K23,T23)</f>
        <v>Ok</v>
      </c>
      <c r="AD23" s="467" t="str" cm="1">
        <f t="array" ref="AD23">_xll.d.TestUtils_Equal(L23,U23)</f>
        <v>Ok</v>
      </c>
      <c r="AF23" s="474" t="s">
        <v>467</v>
      </c>
      <c r="AG23" s="474"/>
      <c r="AH23" s="138">
        <f>3/12</f>
        <v>0.25</v>
      </c>
      <c r="AR23" s="474" t="s">
        <v>467</v>
      </c>
      <c r="AS23" s="474"/>
      <c r="AT23" s="138">
        <f>3/12</f>
        <v>0.25</v>
      </c>
    </row>
    <row r="24" spans="1:54" s="455" customFormat="1" x14ac:dyDescent="0.25">
      <c r="B24" s="308"/>
      <c r="D24" s="631">
        <v>4</v>
      </c>
      <c r="E24" s="807"/>
      <c r="F24" s="299" t="s">
        <v>80</v>
      </c>
      <c r="G24" s="468">
        <f>((1+$C$20/$D24)^($D24*$C$21)-1)/$C$21</f>
        <v>1.1499999999999844E-2</v>
      </c>
      <c r="H24" s="507">
        <f t="shared" si="0"/>
        <v>1.1549688873008002E-2</v>
      </c>
      <c r="I24" s="507">
        <f t="shared" si="0"/>
        <v>1.1516531249999851E-2</v>
      </c>
      <c r="J24" s="507">
        <f t="shared" si="0"/>
        <v>1.1499999999999844E-2</v>
      </c>
      <c r="K24" s="507">
        <f t="shared" si="0"/>
        <v>1.1488996735719681E-2</v>
      </c>
      <c r="L24" s="508">
        <f>$D24*LN(1+$C$20/$D24)</f>
        <v>1.1483500366731883E-2</v>
      </c>
      <c r="N24" s="807"/>
      <c r="O24" s="299" t="s">
        <v>80</v>
      </c>
      <c r="P24" s="659" cm="1">
        <f t="array" ref="P24">_xll.d.IR_ConvertInterestRate($C$20,$O24,P$20,$C$21)</f>
        <v>1.1499999999999844E-2</v>
      </c>
      <c r="Q24" s="507" cm="1">
        <f t="array" ref="Q24">_xll.d.IR_ConvertInterestRate($C$20,$O24,Q$20,$C$21)</f>
        <v>1.1549688873008002E-2</v>
      </c>
      <c r="R24" s="507" cm="1">
        <f t="array" ref="R24">_xll.d.IR_ConvertInterestRate($C$20,$O24,R$20,$C$21)</f>
        <v>1.1516531249999851E-2</v>
      </c>
      <c r="S24" s="507" cm="1">
        <f t="array" ref="S24">_xll.d.IR_ConvertInterestRate($C$20,$O24,S$20,$C$21)</f>
        <v>1.15E-2</v>
      </c>
      <c r="T24" s="507" cm="1">
        <f t="array" ref="T24">_xll.d.IR_ConvertInterestRate($C$20,$O24,T$20,$C$21)</f>
        <v>1.1488996735719681E-2</v>
      </c>
      <c r="U24" s="662" cm="1">
        <f t="array" ref="U24">_xll.d.IR_ConvertInterestRate($C$20,$O24,U$20,$C$21)</f>
        <v>1.1483500366731883E-2</v>
      </c>
      <c r="W24" s="807"/>
      <c r="X24" s="299" t="s">
        <v>80</v>
      </c>
      <c r="Y24" s="467" t="str" cm="1">
        <f t="array" ref="Y24">_xll.d.TestUtils_Equal(G24,P24)</f>
        <v>Ok</v>
      </c>
      <c r="Z24" s="467" t="str" cm="1">
        <f t="array" ref="Z24">_xll.d.TestUtils_Equal(H24,Q24)</f>
        <v>Ok</v>
      </c>
      <c r="AA24" s="467" t="str" cm="1">
        <f t="array" ref="AA24">_xll.d.TestUtils_Equal(I24,R24)</f>
        <v>Ok</v>
      </c>
      <c r="AB24" s="467" t="str" cm="1">
        <f t="array" ref="AB24">_xll.d.TestUtils_Equal(J24,S24)</f>
        <v>Ok</v>
      </c>
      <c r="AC24" s="467" t="str" cm="1">
        <f t="array" ref="AC24">_xll.d.TestUtils_Equal(K24,T24)</f>
        <v>Ok</v>
      </c>
      <c r="AD24" s="467" t="str" cm="1">
        <f t="array" ref="AD24">_xll.d.TestUtils_Equal(L24,U24)</f>
        <v>Ok</v>
      </c>
    </row>
    <row r="25" spans="1:54" s="455" customFormat="1" x14ac:dyDescent="0.25">
      <c r="B25" s="308"/>
      <c r="D25" s="632">
        <v>12</v>
      </c>
      <c r="E25" s="807"/>
      <c r="F25" s="299" t="s">
        <v>79</v>
      </c>
      <c r="G25" s="468">
        <f>((1+$C$20/$D25)^($D25*$C$21)-1)/$C$21</f>
        <v>1.1511024353878518E-2</v>
      </c>
      <c r="H25" s="507">
        <f t="shared" si="0"/>
        <v>1.1560808631408515E-2</v>
      </c>
      <c r="I25" s="507">
        <f t="shared" si="0"/>
        <v>1.1527587314087651E-2</v>
      </c>
      <c r="J25" s="507">
        <f t="shared" si="0"/>
        <v>1.1511024353878518E-2</v>
      </c>
      <c r="K25" s="507">
        <f t="shared" si="0"/>
        <v>1.1500000000000732E-2</v>
      </c>
      <c r="L25" s="508">
        <f>$D25*LN(1+$C$20/$D25)</f>
        <v>1.1494493101349593E-2</v>
      </c>
      <c r="N25" s="807"/>
      <c r="O25" s="299" t="s">
        <v>79</v>
      </c>
      <c r="P25" s="659" cm="1">
        <f t="array" ref="P25">_xll.d.IR_ConvertInterestRate($C$20,$O25,P$20,$C$21)</f>
        <v>1.151102435387763E-2</v>
      </c>
      <c r="Q25" s="507" cm="1">
        <f t="array" ref="Q25">_xll.d.IR_ConvertInterestRate($C$20,$O25,Q$20,$C$21)</f>
        <v>1.1560808631408515E-2</v>
      </c>
      <c r="R25" s="507" cm="1">
        <f t="array" ref="R25">_xll.d.IR_ConvertInterestRate($C$20,$O25,R$20,$C$21)</f>
        <v>1.1527587314087651E-2</v>
      </c>
      <c r="S25" s="507" cm="1">
        <f t="array" ref="S25">_xll.d.IR_ConvertInterestRate($C$20,$O25,S$20,$C$21)</f>
        <v>1.151102435387763E-2</v>
      </c>
      <c r="T25" s="507" cm="1">
        <f t="array" ref="T25">_xll.d.IR_ConvertInterestRate($C$20,$O25,T$20,$C$21)</f>
        <v>1.15E-2</v>
      </c>
      <c r="U25" s="662" cm="1">
        <f t="array" ref="U25">_xll.d.IR_ConvertInterestRate($C$20,$O25,U$20,$C$21)</f>
        <v>1.1494493101349593E-2</v>
      </c>
      <c r="W25" s="807"/>
      <c r="X25" s="299" t="s">
        <v>79</v>
      </c>
      <c r="Y25" s="467" t="str" cm="1">
        <f t="array" ref="Y25">_xll.d.TestUtils_Equal(G25,P25)</f>
        <v>Ok</v>
      </c>
      <c r="Z25" s="467" t="str" cm="1">
        <f t="array" ref="Z25">_xll.d.TestUtils_Equal(H25,Q25)</f>
        <v>Ok</v>
      </c>
      <c r="AA25" s="467" t="str" cm="1">
        <f t="array" ref="AA25">_xll.d.TestUtils_Equal(I25,R25)</f>
        <v>Ok</v>
      </c>
      <c r="AB25" s="467" t="str" cm="1">
        <f t="array" ref="AB25">_xll.d.TestUtils_Equal(J25,S25)</f>
        <v>Ok</v>
      </c>
      <c r="AC25" s="467" t="str" cm="1">
        <f t="array" ref="AC25">_xll.d.TestUtils_Equal(K25,T25)</f>
        <v>Ok</v>
      </c>
      <c r="AD25" s="467" t="str" cm="1">
        <f t="array" ref="AD25">_xll.d.TestUtils_Equal(L25,U25)</f>
        <v>Ok</v>
      </c>
    </row>
    <row r="26" spans="1:54" s="455" customFormat="1" x14ac:dyDescent="0.25">
      <c r="B26" s="308"/>
      <c r="D26" s="632"/>
      <c r="E26" s="808"/>
      <c r="F26" s="300" t="s">
        <v>78</v>
      </c>
      <c r="G26" s="469">
        <f>(EXP(C20*C21)-1)/C21</f>
        <v>1.1516547103841646E-2</v>
      </c>
      <c r="H26" s="509">
        <f>H$18*(EXP($C$20/H$18)-1)</f>
        <v>1.1566379209598576E-2</v>
      </c>
      <c r="I26" s="509">
        <f>I$18*(EXP($C$20/I$18)-1)</f>
        <v>1.1533125960990542E-2</v>
      </c>
      <c r="J26" s="509">
        <f>J$18*(EXP($C$20/J$18)-1)</f>
        <v>1.1516547103841646E-2</v>
      </c>
      <c r="K26" s="509">
        <f>K$18*(EXP($C$20/K$18)-1)</f>
        <v>1.1505512177360622E-2</v>
      </c>
      <c r="L26" s="510">
        <f>$C$20</f>
        <v>1.15E-2</v>
      </c>
      <c r="N26" s="808"/>
      <c r="O26" s="300" t="s">
        <v>78</v>
      </c>
      <c r="P26" s="663" cm="1">
        <f t="array" ref="P26">_xll.d.IR_ConvertInterestRate($C$20,$O26,P$20,$C$21)</f>
        <v>1.1516547103841646E-2</v>
      </c>
      <c r="Q26" s="664" cm="1">
        <f t="array" ref="Q26">_xll.d.IR_ConvertInterestRate($C$20,$O26,Q$20,$C$21)</f>
        <v>1.1566379209598576E-2</v>
      </c>
      <c r="R26" s="664" cm="1">
        <f t="array" ref="R26">_xll.d.IR_ConvertInterestRate($C$20,$O26,R$20,$C$21)</f>
        <v>1.1533125960990542E-2</v>
      </c>
      <c r="S26" s="664" cm="1">
        <f t="array" ref="S26">_xll.d.IR_ConvertInterestRate($C$20,$O26,S$20,$C$21)</f>
        <v>1.1516547103841646E-2</v>
      </c>
      <c r="T26" s="664" cm="1">
        <f t="array" ref="T26">_xll.d.IR_ConvertInterestRate($C$20,$O26,T$20,$C$21)</f>
        <v>1.1505512177360622E-2</v>
      </c>
      <c r="U26" s="665" cm="1">
        <f t="array" ref="U26">_xll.d.IR_ConvertInterestRate($C$20,$O26,U$20,$C$21)</f>
        <v>1.15E-2</v>
      </c>
      <c r="W26" s="808"/>
      <c r="X26" s="300" t="s">
        <v>78</v>
      </c>
      <c r="Y26" s="467" t="str" cm="1">
        <f t="array" ref="Y26">_xll.d.TestUtils_Equal(G26,P26)</f>
        <v>Ok</v>
      </c>
      <c r="Z26" s="467" t="str" cm="1">
        <f t="array" ref="Z26">_xll.d.TestUtils_Equal(H26,Q26)</f>
        <v>Ok</v>
      </c>
      <c r="AA26" s="467" t="str" cm="1">
        <f t="array" ref="AA26">_xll.d.TestUtils_Equal(I26,R26)</f>
        <v>Ok</v>
      </c>
      <c r="AB26" s="467" t="str" cm="1">
        <f t="array" ref="AB26">_xll.d.TestUtils_Equal(J26,S26)</f>
        <v>Ok</v>
      </c>
      <c r="AC26" s="467" t="str" cm="1">
        <f t="array" ref="AC26">_xll.d.TestUtils_Equal(K26,T26)</f>
        <v>Ok</v>
      </c>
      <c r="AD26" s="467" t="str" cm="1">
        <f t="array" ref="AD26">_xll.d.TestUtils_Equal(L26,U26)</f>
        <v>Ok</v>
      </c>
    </row>
    <row r="27" spans="1:54" s="455" customFormat="1" x14ac:dyDescent="0.25">
      <c r="B27" s="308"/>
      <c r="C27" s="308"/>
      <c r="D27" s="308"/>
      <c r="E27" s="308"/>
      <c r="F27" s="308"/>
      <c r="G27" s="308"/>
      <c r="H27" s="309"/>
    </row>
    <row r="28" spans="1:54" s="455" customFormat="1" x14ac:dyDescent="0.25">
      <c r="B28" s="308"/>
      <c r="C28" s="308"/>
      <c r="D28" s="308"/>
      <c r="E28" s="308"/>
      <c r="F28" s="308"/>
      <c r="G28" s="309"/>
    </row>
    <row r="29" spans="1:54" s="308" customFormat="1" ht="18.75" x14ac:dyDescent="0.3">
      <c r="A29"/>
      <c r="B29" s="3" t="s">
        <v>406</v>
      </c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316"/>
      <c r="S29" s="316"/>
      <c r="T29" s="316"/>
      <c r="U29" s="316"/>
      <c r="V29" s="316"/>
      <c r="W29" s="316"/>
      <c r="X29" s="316"/>
      <c r="Y29" s="316"/>
      <c r="Z29" s="316"/>
      <c r="AA29" s="316"/>
      <c r="AB29" s="316"/>
      <c r="AC29" s="316"/>
      <c r="AD29" s="316"/>
      <c r="AE29" s="316"/>
      <c r="AF29" s="316"/>
      <c r="AG29" s="316"/>
      <c r="AH29" s="316"/>
      <c r="AI29" s="316"/>
      <c r="AJ29" s="316"/>
      <c r="AK29" s="316"/>
      <c r="AL29" s="316"/>
      <c r="AM29" s="316"/>
      <c r="AN29" s="316"/>
      <c r="AO29" s="316"/>
      <c r="AP29" s="316"/>
      <c r="AQ29" s="316"/>
      <c r="AR29" s="316"/>
      <c r="AS29" s="316"/>
      <c r="AT29" s="316"/>
      <c r="AU29" s="316"/>
      <c r="AV29" s="316"/>
      <c r="AW29" s="316"/>
      <c r="AX29" s="316"/>
      <c r="AY29" s="316"/>
      <c r="AZ29" s="316"/>
      <c r="BA29" s="316"/>
      <c r="BB29" s="316"/>
    </row>
    <row r="31" spans="1:54" s="308" customFormat="1" x14ac:dyDescent="0.25">
      <c r="A31"/>
      <c r="B31" s="59" t="s">
        <v>155</v>
      </c>
      <c r="C31" s="310" t="str" cm="1">
        <f t="array" ref="C31">_xll.d.TestUtils_And(C35,K35)</f>
        <v>Ok</v>
      </c>
      <c r="E31" s="455"/>
      <c r="F31" s="455"/>
      <c r="G31" s="455"/>
      <c r="H31" s="455"/>
      <c r="I31" s="455"/>
    </row>
    <row r="32" spans="1:54" x14ac:dyDescent="0.25">
      <c r="E32" s="455"/>
      <c r="F32" s="455"/>
      <c r="G32" s="455"/>
      <c r="H32" s="455"/>
    </row>
    <row r="33" spans="2:24" ht="15.75" x14ac:dyDescent="0.25">
      <c r="B33" s="4" t="s">
        <v>105</v>
      </c>
      <c r="C33" s="317"/>
      <c r="D33" s="317"/>
      <c r="E33" s="317"/>
      <c r="F33" s="317"/>
      <c r="G33" s="317"/>
      <c r="H33" s="317"/>
      <c r="I33" s="455"/>
      <c r="J33" s="4" t="s">
        <v>460</v>
      </c>
      <c r="K33" s="317"/>
      <c r="L33" s="317"/>
      <c r="M33" s="317"/>
      <c r="N33" s="317"/>
      <c r="O33" s="317"/>
      <c r="P33" s="317"/>
      <c r="Q33" s="317"/>
      <c r="R33" s="317"/>
      <c r="S33" s="317"/>
    </row>
    <row r="34" spans="2:24" s="455" customFormat="1" x14ac:dyDescent="0.25"/>
    <row r="35" spans="2:24" s="455" customFormat="1" x14ac:dyDescent="0.25">
      <c r="B35" s="59" t="s">
        <v>155</v>
      </c>
      <c r="C35" s="310" t="str" cm="1">
        <f t="array" ref="C35">_xll.d.TestUtils_And(H38:H43)</f>
        <v>Ok</v>
      </c>
      <c r="J35" s="59" t="s">
        <v>155</v>
      </c>
      <c r="K35" s="471" t="str">
        <f>S38</f>
        <v>Ok</v>
      </c>
    </row>
    <row r="36" spans="2:24" s="455" customFormat="1" x14ac:dyDescent="0.25"/>
    <row r="37" spans="2:24" x14ac:dyDescent="0.25">
      <c r="B37" s="131" t="s">
        <v>241</v>
      </c>
      <c r="C37" s="132"/>
      <c r="E37" s="131"/>
      <c r="F37" s="342" t="s">
        <v>129</v>
      </c>
      <c r="G37" s="483" t="s">
        <v>243</v>
      </c>
      <c r="H37" s="470" t="s">
        <v>83</v>
      </c>
      <c r="I37" s="455"/>
      <c r="J37" s="131" t="s">
        <v>241</v>
      </c>
      <c r="K37" s="132"/>
      <c r="M37" s="131" t="s">
        <v>129</v>
      </c>
      <c r="N37" s="202"/>
      <c r="O37" s="202"/>
      <c r="P37" s="202" t="s">
        <v>243</v>
      </c>
      <c r="Q37" s="202"/>
      <c r="R37" s="202"/>
      <c r="S37" s="132" t="s">
        <v>83</v>
      </c>
    </row>
    <row r="38" spans="2:24" x14ac:dyDescent="0.25">
      <c r="B38" s="133" t="s">
        <v>457</v>
      </c>
      <c r="C38" s="480">
        <v>0.9993298952745</v>
      </c>
      <c r="D38" s="455"/>
      <c r="E38" s="413" t="s">
        <v>234</v>
      </c>
      <c r="F38" s="486" cm="1">
        <f t="array" ref="F38">_xll.d.IR_DiscountFactorsToForwardRate(E38,$C$38,$C$39,$C$40)</f>
        <v>1.1751446475177119E-2</v>
      </c>
      <c r="G38" s="487">
        <f>(C38/C39-1)/C40</f>
        <v>1.1751446475177119E-2</v>
      </c>
      <c r="H38" s="488" t="str" cm="1">
        <f t="array" ref="H38">_xll.d.TestUtils_Equal(F38,G38,0.0001)</f>
        <v>Ok</v>
      </c>
      <c r="I38" s="456"/>
      <c r="J38" s="133" t="s">
        <v>461</v>
      </c>
      <c r="K38" s="480" t="s">
        <v>450</v>
      </c>
      <c r="L38" s="455"/>
      <c r="M38" s="475" t="str" cm="1">
        <f t="array" ref="M38">_xll.d.IR_DiscountFactorsToForwardRate(K38,K39,K40,K41)</f>
        <v>#∂Excel Error: Invalid compounding convention: NACP</v>
      </c>
      <c r="N38" s="476"/>
      <c r="O38" s="476"/>
      <c r="P38" s="477" t="s">
        <v>462</v>
      </c>
      <c r="Q38" s="478"/>
      <c r="R38" s="478"/>
      <c r="S38" s="348" t="str" cm="1">
        <f t="array" ref="S38">_xll.d.TestUtils_Equal(M38,P38)</f>
        <v>Ok</v>
      </c>
      <c r="T38" s="455"/>
      <c r="U38" s="455"/>
      <c r="V38" s="455"/>
      <c r="W38" s="455"/>
      <c r="X38" s="455"/>
    </row>
    <row r="39" spans="2:24" x14ac:dyDescent="0.25">
      <c r="B39" s="135" t="s">
        <v>458</v>
      </c>
      <c r="C39" s="481">
        <v>0.99640260231230005</v>
      </c>
      <c r="D39" s="455"/>
      <c r="E39" s="484" t="s">
        <v>78</v>
      </c>
      <c r="F39" s="489" cm="1">
        <f t="array" ref="F39">_xll.d.IR_DiscountFactorsToForwardRate(E39,$C$38,$C$39,$C$40)</f>
        <v>1.1734218148106865E-2</v>
      </c>
      <c r="G39" s="490">
        <f>(LN(C38)-LN(C39))/C40</f>
        <v>1.1734218148106865E-2</v>
      </c>
      <c r="H39" s="491" t="str" cm="1">
        <f t="array" ref="H39">_xll.d.TestUtils_Equal(F39,G39,0.0001)</f>
        <v>Ok</v>
      </c>
      <c r="I39" s="455"/>
      <c r="J39" s="135" t="s">
        <v>457</v>
      </c>
      <c r="K39" s="481">
        <v>0.9993298952745</v>
      </c>
      <c r="L39" s="455"/>
      <c r="M39" s="455"/>
      <c r="N39" s="455"/>
      <c r="O39" s="482"/>
      <c r="P39" s="482"/>
      <c r="Q39" s="482"/>
      <c r="R39" s="482"/>
      <c r="S39" s="482"/>
      <c r="T39" s="482"/>
    </row>
    <row r="40" spans="2:24" x14ac:dyDescent="0.25">
      <c r="B40" s="137" t="s">
        <v>459</v>
      </c>
      <c r="C40" s="138">
        <v>0.25</v>
      </c>
      <c r="D40" s="455"/>
      <c r="E40" s="484" t="s">
        <v>94</v>
      </c>
      <c r="F40" s="489" cm="1">
        <f t="array" ref="F40">_xll.d.IR_DiscountFactorsToForwardRate(E40,$C$38,$C$39,$C$40)</f>
        <v>1.1803334162116208E-2</v>
      </c>
      <c r="G40" s="490">
        <f>EXP((LN(C38)-LN(C39))/C40)-1</f>
        <v>1.1803334162116208E-2</v>
      </c>
      <c r="H40" s="491" t="str" cm="1">
        <f t="array" ref="H40">_xll.d.TestUtils_Equal(F40,G40,0.0001)</f>
        <v>Ok</v>
      </c>
      <c r="I40" s="455"/>
      <c r="J40" s="135" t="s">
        <v>458</v>
      </c>
      <c r="K40" s="481">
        <v>0.99640260231230005</v>
      </c>
      <c r="L40" s="455"/>
      <c r="M40" s="455"/>
      <c r="N40" s="455"/>
      <c r="O40" s="482"/>
      <c r="P40" s="482"/>
      <c r="Q40" s="482"/>
      <c r="R40" s="482"/>
      <c r="S40" s="482"/>
      <c r="T40" s="482"/>
    </row>
    <row r="41" spans="2:24" x14ac:dyDescent="0.25">
      <c r="D41" s="455"/>
      <c r="E41" s="484" t="s">
        <v>95</v>
      </c>
      <c r="F41" s="489" cm="1">
        <f t="array" ref="F41">_xll.d.IR_DiscountFactorsToForwardRate(E41,$C$38,$C$39,$C$40)</f>
        <v>1.1768708536959327E-2</v>
      </c>
      <c r="G41" s="490">
        <f>((EXP((LN(C38)-LN(C39))/C40))^(0.5)-1)*2</f>
        <v>1.1768708536959327E-2</v>
      </c>
      <c r="H41" s="491" t="str" cm="1">
        <f t="array" ref="H41">_xll.d.TestUtils_Equal(F41,G41,0.0001)</f>
        <v>Ok</v>
      </c>
      <c r="I41" s="455"/>
      <c r="J41" s="137" t="s">
        <v>459</v>
      </c>
      <c r="K41" s="138">
        <v>0.25</v>
      </c>
      <c r="L41" s="455"/>
      <c r="M41" s="455"/>
      <c r="N41" s="455"/>
      <c r="O41" s="482"/>
      <c r="P41" s="482"/>
      <c r="Q41" s="482"/>
      <c r="R41" s="482"/>
      <c r="S41" s="482"/>
      <c r="T41" s="482"/>
    </row>
    <row r="42" spans="2:24" x14ac:dyDescent="0.25">
      <c r="E42" s="484" t="s">
        <v>80</v>
      </c>
      <c r="F42" s="489" cm="1">
        <f t="array" ref="F42">_xll.d.IR_DiscountFactorsToForwardRate(E42,$C$38,$C$39,$C$40)</f>
        <v>1.1751446475177119E-2</v>
      </c>
      <c r="G42" s="490">
        <f>((EXP((LN(C38)-LN(C39))/C40))^(1/4)-1)*4</f>
        <v>1.1751446475177119E-2</v>
      </c>
      <c r="H42" s="491" t="str" cm="1">
        <f t="array" ref="H42">_xll.d.TestUtils_Equal(F42,G42,0.0001)</f>
        <v>Ok</v>
      </c>
      <c r="I42" s="455"/>
      <c r="J42" s="455"/>
      <c r="K42" s="455"/>
      <c r="L42" s="455"/>
    </row>
    <row r="43" spans="2:24" x14ac:dyDescent="0.25">
      <c r="E43" s="485" t="s">
        <v>79</v>
      </c>
      <c r="F43" s="492" cm="1">
        <f t="array" ref="F43">_xll.d.IR_DiscountFactorsToForwardRate(E43,$C$38,$C$39,$C$40)</f>
        <v>1.1739957180076033E-2</v>
      </c>
      <c r="G43" s="493">
        <f>((EXP((LN(C38)-LN(C39))/C40))^(1/12)-1)*12</f>
        <v>1.1739957180076033E-2</v>
      </c>
      <c r="H43" s="494" t="str" cm="1">
        <f t="array" ref="H43">_xll.d.TestUtils_Equal(F43,G43,0.0001)</f>
        <v>Ok</v>
      </c>
      <c r="J43" s="455"/>
      <c r="K43" s="455"/>
    </row>
  </sheetData>
  <mergeCells count="3">
    <mergeCell ref="N21:N26"/>
    <mergeCell ref="E21:E26"/>
    <mergeCell ref="W21:W26"/>
  </mergeCells>
  <conditionalFormatting sqref="D7:D8">
    <cfRule type="cellIs" dxfId="389" priority="61" stopIfTrue="1" operator="equal">
      <formula>"ERROR"</formula>
    </cfRule>
    <cfRule type="cellIs" dxfId="388" priority="62" stopIfTrue="1" operator="equal">
      <formula>"OK"</formula>
    </cfRule>
    <cfRule type="cellIs" dxfId="387" priority="63" stopIfTrue="1" operator="equal">
      <formula>"WARNING"</formula>
    </cfRule>
  </conditionalFormatting>
  <conditionalFormatting sqref="C4">
    <cfRule type="cellIs" dxfId="386" priority="58" stopIfTrue="1" operator="equal">
      <formula>"ERROR"</formula>
    </cfRule>
    <cfRule type="cellIs" dxfId="385" priority="59" stopIfTrue="1" operator="equal">
      <formula>"OK"</formula>
    </cfRule>
    <cfRule type="cellIs" dxfId="384" priority="60" stopIfTrue="1" operator="equal">
      <formula>"WARNING"</formula>
    </cfRule>
  </conditionalFormatting>
  <conditionalFormatting sqref="C13">
    <cfRule type="cellIs" dxfId="383" priority="55" stopIfTrue="1" operator="equal">
      <formula>"ERROR"</formula>
    </cfRule>
  </conditionalFormatting>
  <conditionalFormatting sqref="C13">
    <cfRule type="cellIs" dxfId="382" priority="56" stopIfTrue="1" operator="equal">
      <formula>"OK"</formula>
    </cfRule>
  </conditionalFormatting>
  <conditionalFormatting sqref="C13">
    <cfRule type="cellIs" dxfId="381" priority="57" stopIfTrue="1" operator="equal">
      <formula>"WARNING"</formula>
    </cfRule>
  </conditionalFormatting>
  <conditionalFormatting sqref="C31">
    <cfRule type="cellIs" dxfId="380" priority="52" stopIfTrue="1" operator="equal">
      <formula>"ERROR"</formula>
    </cfRule>
  </conditionalFormatting>
  <conditionalFormatting sqref="C31">
    <cfRule type="cellIs" dxfId="379" priority="53" stopIfTrue="1" operator="equal">
      <formula>"OK"</formula>
    </cfRule>
  </conditionalFormatting>
  <conditionalFormatting sqref="C31">
    <cfRule type="cellIs" dxfId="378" priority="54" stopIfTrue="1" operator="equal">
      <formula>"WARNING"</formula>
    </cfRule>
  </conditionalFormatting>
  <conditionalFormatting sqref="Y21:AD26">
    <cfRule type="cellIs" dxfId="377" priority="64" stopIfTrue="1" operator="equal">
      <formula>"ERROR"</formula>
    </cfRule>
    <cfRule type="cellIs" dxfId="376" priority="65" stopIfTrue="1" operator="equal">
      <formula>"OK"</formula>
    </cfRule>
    <cfRule type="cellIs" dxfId="375" priority="66" stopIfTrue="1" operator="equal">
      <formula>"WARNING"</formula>
    </cfRule>
  </conditionalFormatting>
  <conditionalFormatting sqref="C17">
    <cfRule type="cellIs" dxfId="374" priority="16" stopIfTrue="1" operator="equal">
      <formula>"ERROR"</formula>
    </cfRule>
  </conditionalFormatting>
  <conditionalFormatting sqref="C17">
    <cfRule type="cellIs" dxfId="373" priority="17" stopIfTrue="1" operator="equal">
      <formula>"OK"</formula>
    </cfRule>
  </conditionalFormatting>
  <conditionalFormatting sqref="C17">
    <cfRule type="cellIs" dxfId="372" priority="18" stopIfTrue="1" operator="equal">
      <formula>"WARNING"</formula>
    </cfRule>
  </conditionalFormatting>
  <conditionalFormatting sqref="AP20">
    <cfRule type="cellIs" dxfId="371" priority="67" stopIfTrue="1" operator="equal">
      <formula>"ERROR"</formula>
    </cfRule>
    <cfRule type="cellIs" dxfId="370" priority="68" stopIfTrue="1" operator="equal">
      <formula>"OK"</formula>
    </cfRule>
    <cfRule type="cellIs" dxfId="369" priority="69" stopIfTrue="1" operator="equal">
      <formula>"WARNING"</formula>
    </cfRule>
  </conditionalFormatting>
  <conditionalFormatting sqref="AG17">
    <cfRule type="cellIs" dxfId="368" priority="13" stopIfTrue="1" operator="equal">
      <formula>"ERROR"</formula>
    </cfRule>
  </conditionalFormatting>
  <conditionalFormatting sqref="AG17">
    <cfRule type="cellIs" dxfId="367" priority="14" stopIfTrue="1" operator="equal">
      <formula>"OK"</formula>
    </cfRule>
  </conditionalFormatting>
  <conditionalFormatting sqref="AG17">
    <cfRule type="cellIs" dxfId="366" priority="15" stopIfTrue="1" operator="equal">
      <formula>"WARNING"</formula>
    </cfRule>
  </conditionalFormatting>
  <conditionalFormatting sqref="BB20">
    <cfRule type="cellIs" dxfId="365" priority="10" stopIfTrue="1" operator="equal">
      <formula>"ERROR"</formula>
    </cfRule>
    <cfRule type="cellIs" dxfId="364" priority="11" stopIfTrue="1" operator="equal">
      <formula>"OK"</formula>
    </cfRule>
    <cfRule type="cellIs" dxfId="363" priority="12" stopIfTrue="1" operator="equal">
      <formula>"WARNING"</formula>
    </cfRule>
  </conditionalFormatting>
  <conditionalFormatting sqref="AS17">
    <cfRule type="cellIs" dxfId="362" priority="7" stopIfTrue="1" operator="equal">
      <formula>"ERROR"</formula>
    </cfRule>
  </conditionalFormatting>
  <conditionalFormatting sqref="AS17">
    <cfRule type="cellIs" dxfId="361" priority="8" stopIfTrue="1" operator="equal">
      <formula>"OK"</formula>
    </cfRule>
  </conditionalFormatting>
  <conditionalFormatting sqref="AS17">
    <cfRule type="cellIs" dxfId="360" priority="9" stopIfTrue="1" operator="equal">
      <formula>"WARNING"</formula>
    </cfRule>
  </conditionalFormatting>
  <conditionalFormatting sqref="H38:H43">
    <cfRule type="cellIs" dxfId="359" priority="70" stopIfTrue="1" operator="equal">
      <formula>"ERROR"</formula>
    </cfRule>
  </conditionalFormatting>
  <conditionalFormatting sqref="H38:H43">
    <cfRule type="cellIs" dxfId="358" priority="71" stopIfTrue="1" operator="equal">
      <formula>"OK"</formula>
    </cfRule>
  </conditionalFormatting>
  <conditionalFormatting sqref="H38:H43">
    <cfRule type="cellIs" dxfId="357" priority="72" stopIfTrue="1" operator="equal">
      <formula>"WARNING"</formula>
    </cfRule>
  </conditionalFormatting>
  <conditionalFormatting sqref="C35">
    <cfRule type="cellIs" dxfId="356" priority="4" stopIfTrue="1" operator="equal">
      <formula>"ERROR"</formula>
    </cfRule>
  </conditionalFormatting>
  <conditionalFormatting sqref="C35">
    <cfRule type="cellIs" dxfId="355" priority="5" stopIfTrue="1" operator="equal">
      <formula>"OK"</formula>
    </cfRule>
  </conditionalFormatting>
  <conditionalFormatting sqref="C35">
    <cfRule type="cellIs" dxfId="354" priority="6" stopIfTrue="1" operator="equal">
      <formula>"WARNING"</formula>
    </cfRule>
  </conditionalFormatting>
  <conditionalFormatting sqref="K35">
    <cfRule type="cellIs" dxfId="353" priority="1" stopIfTrue="1" operator="equal">
      <formula>"ERROR"</formula>
    </cfRule>
  </conditionalFormatting>
  <conditionalFormatting sqref="K35">
    <cfRule type="cellIs" dxfId="352" priority="2" stopIfTrue="1" operator="equal">
      <formula>"OK"</formula>
    </cfRule>
  </conditionalFormatting>
  <conditionalFormatting sqref="K35">
    <cfRule type="cellIs" dxfId="351" priority="3" stopIfTrue="1" operator="equal">
      <formula>"WARNING"</formula>
    </cfRule>
  </conditionalFormatting>
  <conditionalFormatting sqref="S38">
    <cfRule type="cellIs" dxfId="350" priority="73" stopIfTrue="1" operator="equal">
      <formula>"ERROR"</formula>
    </cfRule>
  </conditionalFormatting>
  <conditionalFormatting sqref="S38">
    <cfRule type="cellIs" dxfId="349" priority="74" stopIfTrue="1" operator="equal">
      <formula>"OK"</formula>
    </cfRule>
  </conditionalFormatting>
  <conditionalFormatting sqref="S38">
    <cfRule type="cellIs" dxfId="348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1"/>
  <sheetViews>
    <sheetView showGridLines="0" topLeftCell="B1" zoomScaleNormal="100" workbookViewId="0">
      <selection activeCell="B1" sqref="B1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55" customWidth="1"/>
    <col min="9" max="11" width="16.125" customWidth="1"/>
    <col min="12" max="12" width="16.125" style="455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 x14ac:dyDescent="0.25">
      <c r="B1" s="418" t="s">
        <v>403</v>
      </c>
      <c r="C1" s="511"/>
    </row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55" customFormat="1" x14ac:dyDescent="0.25">
      <c r="B4" s="66" t="s">
        <v>155</v>
      </c>
      <c r="C4" s="174" t="str" cm="1">
        <f t="array" aca="1" ref="C4" ca="1">_xll.d.TestUtils_And(C7:C9)</f>
        <v>Error</v>
      </c>
    </row>
    <row r="5" spans="2:22" s="455" customFormat="1" x14ac:dyDescent="0.25"/>
    <row r="6" spans="2:22" x14ac:dyDescent="0.25">
      <c r="B6" s="59" t="s">
        <v>155</v>
      </c>
      <c r="C6" s="59"/>
    </row>
    <row r="7" spans="2:22" x14ac:dyDescent="0.25">
      <c r="B7" s="496" t="s">
        <v>465</v>
      </c>
      <c r="C7" s="174" t="str">
        <f ca="1">C14</f>
        <v>Error</v>
      </c>
    </row>
    <row r="8" spans="2:22" x14ac:dyDescent="0.25">
      <c r="B8" s="496" t="s">
        <v>466</v>
      </c>
      <c r="C8" s="174" t="str">
        <f>C62</f>
        <v>Ok</v>
      </c>
      <c r="E8" s="511"/>
    </row>
    <row r="9" spans="2:22" x14ac:dyDescent="0.25">
      <c r="B9" s="496" t="s">
        <v>472</v>
      </c>
      <c r="C9" s="174" t="str">
        <f ca="1">C76</f>
        <v>Error</v>
      </c>
    </row>
    <row r="12" spans="2:22" ht="18.75" x14ac:dyDescent="0.3">
      <c r="B12" s="3" t="s">
        <v>465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</row>
    <row r="14" spans="2:22" x14ac:dyDescent="0.25">
      <c r="B14" s="66" t="s">
        <v>155</v>
      </c>
      <c r="C14" s="174" t="str" cm="1">
        <f t="array" aca="1" ref="C14" ca="1">_xll.d.TestUtils_And(C42,M46)</f>
        <v>Error</v>
      </c>
    </row>
    <row r="15" spans="2:22" x14ac:dyDescent="0.25">
      <c r="M15" s="455"/>
      <c r="N15" s="455"/>
      <c r="O15" s="455"/>
      <c r="P15" s="455"/>
      <c r="Q15" s="455"/>
    </row>
    <row r="16" spans="2:22" ht="15.75" x14ac:dyDescent="0.25">
      <c r="B16" s="4" t="s">
        <v>73</v>
      </c>
      <c r="C16" s="4"/>
      <c r="D16" s="4"/>
      <c r="M16" s="455"/>
      <c r="N16" s="455"/>
      <c r="O16" s="455"/>
      <c r="P16" s="455"/>
      <c r="Q16" s="455"/>
    </row>
    <row r="17" spans="2:17" x14ac:dyDescent="0.25">
      <c r="M17" s="455"/>
      <c r="N17" s="455"/>
      <c r="O17" s="455"/>
      <c r="P17" s="455"/>
      <c r="Q17" s="455"/>
    </row>
    <row r="18" spans="2:17" x14ac:dyDescent="0.25">
      <c r="B18" s="66" t="s">
        <v>3</v>
      </c>
      <c r="C18" s="65" t="str" cm="1">
        <f t="array" ref="C18">_xll.d.Curve_Create("ExampleCurve",B21:C24,B28:B33,C28:C33)</f>
        <v>@@ExampleCurve::12:06:23</v>
      </c>
      <c r="D18" s="26"/>
      <c r="M18" s="455"/>
      <c r="N18" s="455"/>
      <c r="O18" s="455"/>
      <c r="P18" s="455"/>
      <c r="Q18" s="455"/>
    </row>
    <row r="19" spans="2:17" x14ac:dyDescent="0.25">
      <c r="M19" s="455"/>
      <c r="N19" s="455"/>
      <c r="O19" s="455"/>
      <c r="P19" s="455"/>
      <c r="Q19" s="455"/>
    </row>
    <row r="20" spans="2:17" x14ac:dyDescent="0.25">
      <c r="B20" s="12" t="s">
        <v>60</v>
      </c>
      <c r="C20" s="147"/>
      <c r="M20" s="455"/>
      <c r="N20" s="455"/>
      <c r="O20" s="455"/>
      <c r="P20" s="455"/>
      <c r="Q20" s="455"/>
    </row>
    <row r="21" spans="2:17" x14ac:dyDescent="0.25">
      <c r="B21" s="72" t="s">
        <v>31</v>
      </c>
      <c r="C21" s="148" t="s">
        <v>32</v>
      </c>
    </row>
    <row r="22" spans="2:17" x14ac:dyDescent="0.25">
      <c r="B22" s="149" t="s">
        <v>72</v>
      </c>
      <c r="C22" s="150" t="s">
        <v>69</v>
      </c>
    </row>
    <row r="23" spans="2:17" x14ac:dyDescent="0.25">
      <c r="B23" s="151" t="s">
        <v>70</v>
      </c>
      <c r="C23" s="152" t="s">
        <v>71</v>
      </c>
      <c r="E23" s="154"/>
    </row>
    <row r="24" spans="2:17" x14ac:dyDescent="0.25">
      <c r="B24" s="153" t="s">
        <v>53</v>
      </c>
      <c r="C24" s="512" t="s">
        <v>471</v>
      </c>
      <c r="D24" s="1"/>
    </row>
    <row r="26" spans="2:17" x14ac:dyDescent="0.25">
      <c r="E26" s="10"/>
    </row>
    <row r="27" spans="2:17" x14ac:dyDescent="0.25">
      <c r="B27" s="12" t="s">
        <v>0</v>
      </c>
      <c r="C27" s="13" t="s">
        <v>2</v>
      </c>
      <c r="E27" s="11"/>
    </row>
    <row r="28" spans="2:17" x14ac:dyDescent="0.25">
      <c r="B28" s="17">
        <v>44562</v>
      </c>
      <c r="C28" s="69">
        <v>1</v>
      </c>
      <c r="E28" s="8"/>
    </row>
    <row r="29" spans="2:17" x14ac:dyDescent="0.25">
      <c r="B29" s="18">
        <v>44593</v>
      </c>
      <c r="C29" s="70">
        <v>0.99</v>
      </c>
      <c r="E29" s="8"/>
    </row>
    <row r="30" spans="2:17" x14ac:dyDescent="0.25">
      <c r="B30" s="18">
        <v>44621</v>
      </c>
      <c r="C30" s="70">
        <v>0.98</v>
      </c>
    </row>
    <row r="31" spans="2:17" x14ac:dyDescent="0.25">
      <c r="B31" s="18">
        <v>44652</v>
      </c>
      <c r="C31" s="70">
        <v>0.97</v>
      </c>
      <c r="D31" s="1"/>
    </row>
    <row r="32" spans="2:17" x14ac:dyDescent="0.25">
      <c r="B32" s="18">
        <v>44682</v>
      </c>
      <c r="C32" s="70">
        <v>0.96</v>
      </c>
    </row>
    <row r="33" spans="2:20" x14ac:dyDescent="0.25">
      <c r="B33" s="19">
        <v>46022</v>
      </c>
      <c r="C33" s="71">
        <v>0.62</v>
      </c>
    </row>
    <row r="34" spans="2:20" x14ac:dyDescent="0.25">
      <c r="D34" s="5"/>
      <c r="E34" s="5"/>
    </row>
    <row r="35" spans="2:20" s="455" customFormat="1" x14ac:dyDescent="0.25">
      <c r="D35" s="5"/>
      <c r="E35" s="5"/>
    </row>
    <row r="36" spans="2:20" ht="18.75" x14ac:dyDescent="0.3">
      <c r="B36" s="3" t="s">
        <v>478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</row>
    <row r="37" spans="2:20" s="455" customFormat="1" x14ac:dyDescent="0.25">
      <c r="B37"/>
      <c r="C37"/>
      <c r="D37"/>
      <c r="E37"/>
      <c r="F37"/>
    </row>
    <row r="38" spans="2:20" s="455" customFormat="1" x14ac:dyDescent="0.25">
      <c r="B38" s="59" t="s">
        <v>122</v>
      </c>
      <c r="C38" s="174" t="str" cm="1">
        <f t="array" aca="1" ref="C38" ca="1">_xll.d.TestUtils_And(C42,H42)</f>
        <v>Error</v>
      </c>
    </row>
    <row r="39" spans="2:20" s="455" customFormat="1" x14ac:dyDescent="0.25"/>
    <row r="40" spans="2:20" s="455" customFormat="1" ht="15.75" x14ac:dyDescent="0.25">
      <c r="B40" s="4" t="s">
        <v>105</v>
      </c>
      <c r="C40" s="4"/>
      <c r="D40" s="4"/>
      <c r="E40" s="4"/>
      <c r="G40" s="4" t="s">
        <v>107</v>
      </c>
      <c r="H40" s="4"/>
      <c r="I40" s="4"/>
      <c r="J40" s="4"/>
      <c r="K40" s="4"/>
      <c r="L40" s="4"/>
      <c r="M40" s="4"/>
    </row>
    <row r="41" spans="2:20" s="455" customFormat="1" x14ac:dyDescent="0.25">
      <c r="G41"/>
    </row>
    <row r="42" spans="2:20" s="455" customFormat="1" x14ac:dyDescent="0.25">
      <c r="B42" s="59" t="s">
        <v>122</v>
      </c>
      <c r="C42" s="174" t="str" cm="1">
        <f t="array" aca="1" ref="C42" ca="1">_xll.d.TestUtils_And(E46:E56)</f>
        <v>Error</v>
      </c>
      <c r="D42"/>
      <c r="E42"/>
      <c r="G42" s="59" t="s">
        <v>122</v>
      </c>
      <c r="H42" s="500" t="str">
        <f>M46</f>
        <v>Ok</v>
      </c>
      <c r="K42"/>
    </row>
    <row r="43" spans="2:20" s="455" customFormat="1" x14ac:dyDescent="0.25">
      <c r="B43"/>
      <c r="C43"/>
      <c r="D43"/>
      <c r="E43"/>
      <c r="F43"/>
      <c r="G43"/>
      <c r="J43"/>
      <c r="K43"/>
    </row>
    <row r="44" spans="2:20" s="455" customFormat="1" x14ac:dyDescent="0.25">
      <c r="B44" s="68" t="s">
        <v>2</v>
      </c>
      <c r="C44"/>
      <c r="D44" s="495" t="s">
        <v>464</v>
      </c>
      <c r="E44"/>
      <c r="F44"/>
      <c r="G44" s="27" t="s">
        <v>154</v>
      </c>
      <c r="H44" s="27"/>
      <c r="I44" s="27"/>
      <c r="J44" s="27"/>
      <c r="K44" s="27"/>
      <c r="L44" s="27"/>
      <c r="M44" s="27"/>
    </row>
    <row r="45" spans="2:20" s="455" customFormat="1" x14ac:dyDescent="0.25">
      <c r="B45" s="58" t="s">
        <v>34</v>
      </c>
      <c r="C45" s="197" t="s">
        <v>76</v>
      </c>
      <c r="D45" s="197" t="s">
        <v>77</v>
      </c>
      <c r="E45" s="59" t="s">
        <v>83</v>
      </c>
      <c r="F45"/>
      <c r="G45" s="545" t="s">
        <v>81</v>
      </c>
      <c r="H45" s="545"/>
      <c r="I45" s="545"/>
      <c r="J45" s="545" t="s">
        <v>82</v>
      </c>
      <c r="K45" s="545"/>
      <c r="L45" s="646"/>
      <c r="M45" s="195" t="s">
        <v>83</v>
      </c>
    </row>
    <row r="46" spans="2:20" s="455" customFormat="1" x14ac:dyDescent="0.25">
      <c r="B46" s="633">
        <f>B28</f>
        <v>44562</v>
      </c>
      <c r="C46" s="56">
        <v>1</v>
      </c>
      <c r="D46" s="56" t="e" cm="1">
        <f t="array" aca="1" ref="D46" ca="1">_xll.d.Curve_GetDiscountFactors($C$18,B46)</f>
        <v>#VALUE!</v>
      </c>
      <c r="E46" s="634" t="str" cm="1">
        <f t="array" aca="1" ref="E46" ca="1">_xll.d.TestUtils_Equal(C46,D46)</f>
        <v>Error</v>
      </c>
      <c r="F46"/>
      <c r="G46" s="546" t="str" cm="1">
        <f t="array" ref="G46">_xll.d.Curve_GetZeroRates($C$18,$B67,"NACP")</f>
        <v>#∂Excel Error: Invalid compounding convention: 'NACP'</v>
      </c>
      <c r="H46" s="645"/>
      <c r="I46" s="547"/>
      <c r="J46" s="548" t="s">
        <v>576</v>
      </c>
      <c r="K46" s="549"/>
      <c r="L46" s="549"/>
      <c r="M46" s="194" t="str" cm="1">
        <f t="array" ref="M46">_xll.d.TestUtils_Equal(G46,J46)</f>
        <v>Ok</v>
      </c>
    </row>
    <row r="47" spans="2:20" s="455" customFormat="1" x14ac:dyDescent="0.25">
      <c r="B47" s="635">
        <v>44576</v>
      </c>
      <c r="C47" s="193">
        <f>EXP((LN(C29)-LN(C28))/((B29-B28)/365)*((B47-B28)/365)+LN(C28))</f>
        <v>0.99547142371128639</v>
      </c>
      <c r="D47" s="193" t="e" cm="1">
        <f t="array" aca="1" ref="D47" ca="1">_xll.d.Curve_GetDiscountFactors($C$18,B47)</f>
        <v>#VALUE!</v>
      </c>
      <c r="E47" s="634" t="str" cm="1">
        <f t="array" aca="1" ref="E47" ca="1">_xll.d.TestUtils_Equal(C47,D47)</f>
        <v>Error</v>
      </c>
      <c r="F47"/>
    </row>
    <row r="48" spans="2:20" s="455" customFormat="1" x14ac:dyDescent="0.25">
      <c r="B48" s="636">
        <f>B29</f>
        <v>44593</v>
      </c>
      <c r="C48" s="57">
        <f>EXP((LN(C29)-LN(C28))/((B29-B28)/365)*((B48-B28)/365)+LN(C28))</f>
        <v>0.99</v>
      </c>
      <c r="D48" s="57" t="e" cm="1">
        <f t="array" aca="1" ref="D48" ca="1">_xll.d.Curve_GetDiscountFactors($C$18,B48)</f>
        <v>#VALUE!</v>
      </c>
      <c r="E48" s="634" t="str" cm="1">
        <f t="array" aca="1" ref="E48" ca="1">_xll.d.TestUtils_Equal(C48,D48)</f>
        <v>Error</v>
      </c>
      <c r="F48"/>
    </row>
    <row r="49" spans="2:22" s="455" customFormat="1" x14ac:dyDescent="0.25">
      <c r="B49" s="635">
        <v>44607</v>
      </c>
      <c r="C49" s="193">
        <f>EXP((LN(C30)-LN(C29))/((B30-B29)/365)*((B49-B29)/365)+LN(C29))</f>
        <v>0.98498730956292024</v>
      </c>
      <c r="D49" s="193" t="e" cm="1">
        <f t="array" aca="1" ref="D49" ca="1">_xll.d.Curve_GetDiscountFactors($C$18,B49)</f>
        <v>#VALUE!</v>
      </c>
      <c r="E49" s="634" t="str" cm="1">
        <f t="array" aca="1" ref="E49" ca="1">_xll.d.TestUtils_Equal(C49,D49)</f>
        <v>Error</v>
      </c>
      <c r="F49"/>
    </row>
    <row r="50" spans="2:22" s="455" customFormat="1" x14ac:dyDescent="0.25">
      <c r="B50" s="636">
        <f>B30</f>
        <v>44621</v>
      </c>
      <c r="C50" s="57">
        <f>EXP((LN(C30)-LN(C29))/((B30-B29)/365)*((B50-B29)/365)+LN(C29))</f>
        <v>0.98</v>
      </c>
      <c r="D50" s="57" t="e" cm="1">
        <f t="array" aca="1" ref="D50" ca="1">_xll.d.Curve_GetDiscountFactors($C$18,B50)</f>
        <v>#VALUE!</v>
      </c>
      <c r="E50" s="634" t="str" cm="1">
        <f t="array" aca="1" ref="E50" ca="1">_xll.d.TestUtils_Equal(C50,D50)</f>
        <v>Error</v>
      </c>
      <c r="F50"/>
    </row>
    <row r="51" spans="2:22" s="455" customFormat="1" x14ac:dyDescent="0.25">
      <c r="B51" s="635">
        <v>44635</v>
      </c>
      <c r="C51" s="193">
        <f>EXP((LN(C31)-LN(C30))/((B31-B30)/365)*((B51-B30)/365)+LN(C30))</f>
        <v>0.97547116833738268</v>
      </c>
      <c r="D51" s="193" t="e" cm="1">
        <f t="array" aca="1" ref="D51" ca="1">_xll.d.Curve_GetDiscountFactors($C$18,B51)</f>
        <v>#VALUE!</v>
      </c>
      <c r="E51" s="634" t="str" cm="1">
        <f t="array" aca="1" ref="E51" ca="1">_xll.d.TestUtils_Equal(C51,D51)</f>
        <v>Error</v>
      </c>
      <c r="F51"/>
    </row>
    <row r="52" spans="2:22" s="455" customFormat="1" x14ac:dyDescent="0.25">
      <c r="B52" s="636">
        <f>B31</f>
        <v>44652</v>
      </c>
      <c r="C52" s="57">
        <f>EXP((LN(C31)-LN(C30))/((B31-B30)/365)*((B52-B30)/365)+LN(C30))</f>
        <v>0.97</v>
      </c>
      <c r="D52" s="57" t="e" cm="1">
        <f t="array" aca="1" ref="D52" ca="1">_xll.d.Curve_GetDiscountFactors($C$18,B52)</f>
        <v>#VALUE!</v>
      </c>
      <c r="E52" s="634" t="str" cm="1">
        <f t="array" aca="1" ref="E52" ca="1">_xll.d.TestUtils_Equal(C52,D52)</f>
        <v>Error</v>
      </c>
      <c r="F52"/>
    </row>
    <row r="53" spans="2:22" s="455" customFormat="1" x14ac:dyDescent="0.25">
      <c r="B53" s="635">
        <v>44666</v>
      </c>
      <c r="C53" s="193">
        <f>EXP((LN(C32)-LN(C31))/((B32-B31)/365)*((B53-B31)/365)+LN(C31))</f>
        <v>0.96532043596444328</v>
      </c>
      <c r="D53" s="193" t="e" cm="1">
        <f t="array" aca="1" ref="D53" ca="1">_xll.d.Curve_GetDiscountFactors($C$18,B53)</f>
        <v>#VALUE!</v>
      </c>
      <c r="E53" s="634" t="str" cm="1">
        <f t="array" aca="1" ref="E53" ca="1">_xll.d.TestUtils_Equal(C53,D53)</f>
        <v>Error</v>
      </c>
      <c r="F53"/>
    </row>
    <row r="54" spans="2:22" s="455" customFormat="1" x14ac:dyDescent="0.25">
      <c r="B54" s="636">
        <f>B32</f>
        <v>44682</v>
      </c>
      <c r="C54" s="57">
        <f>EXP((LN(C32)-LN(C31))/((B32-B31)/365)*((B54-B31)/365)+LN(C31))</f>
        <v>0.96</v>
      </c>
      <c r="D54" s="57" t="e" cm="1">
        <f t="array" aca="1" ref="D54" ca="1">_xll.d.Curve_GetDiscountFactors($C$18,B54)</f>
        <v>#VALUE!</v>
      </c>
      <c r="E54" s="634" t="str" cm="1">
        <f t="array" aca="1" ref="E54" ca="1">_xll.d.TestUtils_Equal(C54,D54)</f>
        <v>Error</v>
      </c>
      <c r="F54"/>
    </row>
    <row r="55" spans="2:22" s="455" customFormat="1" x14ac:dyDescent="0.25">
      <c r="B55" s="635">
        <v>45107</v>
      </c>
      <c r="C55" s="193">
        <f>EXP((LN(C33)-LN(C32))/((B33-B32)/365)*((B55-B32)/365)+LN(C32))</f>
        <v>0.8356958461194135</v>
      </c>
      <c r="D55" s="193" t="e" cm="1">
        <f t="array" aca="1" ref="D55" ca="1">_xll.d.Curve_GetDiscountFactors($C$18,B55)</f>
        <v>#VALUE!</v>
      </c>
      <c r="E55" s="634" t="str" cm="1">
        <f t="array" aca="1" ref="E55" ca="1">_xll.d.TestUtils_Equal(C55,D55)</f>
        <v>Error</v>
      </c>
      <c r="F55"/>
    </row>
    <row r="56" spans="2:22" s="455" customFormat="1" x14ac:dyDescent="0.25">
      <c r="B56" s="637">
        <f>B33</f>
        <v>46022</v>
      </c>
      <c r="C56" s="638">
        <f>EXP((LN(C33)-LN(C32))/((B33-B32)/365)*((B56-B32)/365)+LN(C32))</f>
        <v>0.62</v>
      </c>
      <c r="D56" s="638" t="e" cm="1">
        <f t="array" aca="1" ref="D56" ca="1">_xll.d.Curve_GetDiscountFactors($C$18,B56)</f>
        <v>#VALUE!</v>
      </c>
      <c r="E56" s="639" t="str" cm="1">
        <f t="array" aca="1" ref="E56" ca="1">_xll.d.TestUtils_Equal(C56,D56)</f>
        <v>Error</v>
      </c>
      <c r="F56"/>
    </row>
    <row r="57" spans="2:22" s="455" customFormat="1" x14ac:dyDescent="0.25">
      <c r="F57"/>
    </row>
    <row r="58" spans="2:22" s="455" customFormat="1" x14ac:dyDescent="0.25"/>
    <row r="59" spans="2:22" s="455" customFormat="1" x14ac:dyDescent="0.25"/>
    <row r="60" spans="2:22" ht="18.75" x14ac:dyDescent="0.3">
      <c r="B60" s="3" t="s">
        <v>466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 x14ac:dyDescent="0.25">
      <c r="E61" s="6"/>
    </row>
    <row r="62" spans="2:22" x14ac:dyDescent="0.25">
      <c r="B62" s="66" t="s">
        <v>155</v>
      </c>
      <c r="C62" s="174" t="str" cm="1">
        <f t="array" ref="C62">_xll.d.TestUtils_And(E67:E71,I67:I71,M67:M71,P67:P71,S67:S71,V67:V71)</f>
        <v>Ok</v>
      </c>
      <c r="D62" s="5"/>
      <c r="E62" s="5"/>
    </row>
    <row r="63" spans="2:22" x14ac:dyDescent="0.25">
      <c r="F63" s="5"/>
      <c r="G63" s="5"/>
      <c r="H63" s="5"/>
      <c r="J63" s="455"/>
      <c r="K63" s="455"/>
      <c r="M63" s="455"/>
    </row>
    <row r="64" spans="2:22" x14ac:dyDescent="0.25">
      <c r="F64" s="5"/>
      <c r="G64" s="5"/>
      <c r="H64" s="5"/>
      <c r="J64" s="455"/>
      <c r="K64" s="455"/>
      <c r="M64" s="455"/>
    </row>
    <row r="65" spans="2:25" x14ac:dyDescent="0.25">
      <c r="B65" s="12"/>
      <c r="C65" s="27" t="s">
        <v>78</v>
      </c>
      <c r="D65" s="27"/>
      <c r="E65" s="27"/>
      <c r="F65" s="27" t="s">
        <v>94</v>
      </c>
      <c r="G65" s="27"/>
      <c r="H65" s="27"/>
      <c r="I65" s="27"/>
      <c r="J65" s="27" t="s">
        <v>95</v>
      </c>
      <c r="K65" s="27"/>
      <c r="L65" s="27"/>
      <c r="M65" s="27"/>
      <c r="N65" s="27" t="s">
        <v>80</v>
      </c>
      <c r="O65" s="27"/>
      <c r="P65" s="27"/>
      <c r="Q65" s="27" t="s">
        <v>79</v>
      </c>
      <c r="R65" s="27"/>
      <c r="S65" s="27"/>
      <c r="T65" s="27" t="s">
        <v>234</v>
      </c>
      <c r="U65" s="27"/>
      <c r="V65" s="13"/>
    </row>
    <row r="66" spans="2:25" x14ac:dyDescent="0.25">
      <c r="B66" s="519" t="s">
        <v>34</v>
      </c>
      <c r="C66" s="520" t="s">
        <v>74</v>
      </c>
      <c r="D66" s="520" t="s">
        <v>75</v>
      </c>
      <c r="E66" s="520" t="s">
        <v>83</v>
      </c>
      <c r="F66" s="520" t="s">
        <v>74</v>
      </c>
      <c r="G66" s="520" t="s">
        <v>75</v>
      </c>
      <c r="H66" s="520"/>
      <c r="I66" s="520" t="s">
        <v>83</v>
      </c>
      <c r="J66" s="520" t="s">
        <v>74</v>
      </c>
      <c r="K66" s="520" t="s">
        <v>75</v>
      </c>
      <c r="L66" s="520"/>
      <c r="M66" s="520" t="s">
        <v>83</v>
      </c>
      <c r="N66" s="520" t="s">
        <v>74</v>
      </c>
      <c r="O66" s="520" t="s">
        <v>75</v>
      </c>
      <c r="P66" s="520" t="s">
        <v>83</v>
      </c>
      <c r="Q66" s="520" t="s">
        <v>74</v>
      </c>
      <c r="R66" s="520" t="s">
        <v>75</v>
      </c>
      <c r="S66" s="520" t="s">
        <v>83</v>
      </c>
      <c r="T66" s="520" t="s">
        <v>74</v>
      </c>
      <c r="U66" s="520" t="s">
        <v>75</v>
      </c>
      <c r="V66" s="148" t="s">
        <v>83</v>
      </c>
    </row>
    <row r="67" spans="2:25" x14ac:dyDescent="0.25">
      <c r="B67" s="544">
        <f>B29</f>
        <v>44593</v>
      </c>
      <c r="C67" s="541">
        <f>-LN(C29)/YEARFRAC($B$28,B67,3)</f>
        <v>0.11833459956542031</v>
      </c>
      <c r="D67" s="541">
        <f t="array" ref="D67:D71">_xll.d.Curve_GetZeroRates($C$18,B67:B71,"NACC")</f>
        <v>0.11833459956542096</v>
      </c>
      <c r="E67" s="536" t="str" cm="1">
        <f t="array" ref="E67">_xll.d.TestUtils_Equal(C67,D67)</f>
        <v>Ok</v>
      </c>
      <c r="F67" s="541">
        <f>1*($C29^(-1/(1*YEARFRAC($B$28,$B67,3)))-1)</f>
        <v>0.12562068055442754</v>
      </c>
      <c r="G67" s="541" cm="1">
        <f t="array" ref="G67">_xll.d.Curve_GetZeroRates($C$18,$B67,"NACA")</f>
        <v>0.12562068055442821</v>
      </c>
      <c r="H67" s="541"/>
      <c r="I67" s="536" t="str" cm="1">
        <f t="array" ref="I67">_xll.d.TestUtils_Equal(F67,G67)</f>
        <v>Ok</v>
      </c>
      <c r="J67" s="541">
        <f>2*($C29^(-1/(2*YEARFRAC($B$28,$B67,3)))-1)</f>
        <v>0.12190544610680298</v>
      </c>
      <c r="K67" s="541" cm="1">
        <f t="array" ref="K67">_xll.d.Curve_GetZeroRates($C$18,$B67,"NACS")</f>
        <v>0.12190544610680343</v>
      </c>
      <c r="L67" s="541"/>
      <c r="M67" s="536" t="str" cm="1">
        <f t="array" ref="M67">_xll.d.TestUtils_Equal(J67,K67)</f>
        <v>Ok</v>
      </c>
      <c r="N67" s="541">
        <f>4*($C29^(-1/(4*YEARFRAC($B$28,$B67,3)))-1)</f>
        <v>0.12010237358908604</v>
      </c>
      <c r="O67" s="541" cm="1">
        <f t="array" ref="O67">_xll.d.Curve_GetZeroRates($C$18,$B67,"NACQ")</f>
        <v>0.12010237358908693</v>
      </c>
      <c r="P67" s="536" t="str" cm="1">
        <f t="array" ref="P67">_xll.d.TestUtils_Equal(N67,O67)</f>
        <v>Ok</v>
      </c>
      <c r="Q67" s="541">
        <f>12*($C29^(-1/(12*YEARFRAC($B$28,$B67,3)))-1)</f>
        <v>0.11891998374379664</v>
      </c>
      <c r="R67" s="541">
        <f t="array" ref="R67">_xll.d.Curve_GetZeroRates($C$18,$B67,"NACM")</f>
        <v>0.11891998374379664</v>
      </c>
      <c r="S67" s="536" t="str" cm="1">
        <f t="array" ref="S67">_xll.d.TestUtils_Equal(Q67,R67)</f>
        <v>Ok</v>
      </c>
      <c r="T67" s="541">
        <f>(1/YEARFRAC($B$28,B67,3))*(1/C29-1)</f>
        <v>0.11893124796350681</v>
      </c>
      <c r="U67" s="541" cm="1">
        <f t="array" ref="U67">_xll.d.Curve_GetZeroRates($C$18,$B67,"Simple")</f>
        <v>0.11893124796350679</v>
      </c>
      <c r="V67" s="538" t="str" cm="1">
        <f t="array" ref="V67">_xll.d.TestUtils_Equal(T67,U67)</f>
        <v>Ok</v>
      </c>
    </row>
    <row r="68" spans="2:25" x14ac:dyDescent="0.25">
      <c r="B68" s="533">
        <f>B30</f>
        <v>44621</v>
      </c>
      <c r="C68" s="542">
        <f>-LN(C30)/YEARFRAC($B$28,B68,3)</f>
        <v>0.12498285035414584</v>
      </c>
      <c r="D68" s="542">
        <v>0.12498285035414587</v>
      </c>
      <c r="E68" s="535" t="str" cm="1">
        <f t="array" ref="E68">_xll.d.TestUtils_Equal(C68,D68)</f>
        <v>Ok</v>
      </c>
      <c r="F68" s="542">
        <f>1*($C30^(-1/(1*YEARFRAC($B$28,$B68,3)))-1)</f>
        <v>0.13312902013879047</v>
      </c>
      <c r="G68" s="542" cm="1">
        <f t="array" ref="G68">_xll.d.Curve_GetZeroRates($C$18,$B68,"NACA")</f>
        <v>0.13312902013879047</v>
      </c>
      <c r="H68" s="542"/>
      <c r="I68" s="535" t="str" cm="1">
        <f t="array" ref="I68">_xll.d.TestUtils_Equal(F68,G68)</f>
        <v>Ok</v>
      </c>
      <c r="J68" s="542">
        <f>2*($C30^(-1/(2*YEARFRAC($B$28,$B68,3)))-1)</f>
        <v>0.12897066221100451</v>
      </c>
      <c r="K68" s="542" cm="1">
        <f t="array" ref="K68">_xll.d.Curve_GetZeroRates($C$18,$B68,"NACS")</f>
        <v>0.12897066221100406</v>
      </c>
      <c r="L68" s="542"/>
      <c r="M68" s="535" t="str" cm="1">
        <f t="array" ref="M68">_xll.d.TestUtils_Equal(J68,K68)</f>
        <v>Ok</v>
      </c>
      <c r="N68" s="542">
        <f>4*($C30^(-1/(4*YEARFRAC($B$28,$B68,3)))-1)</f>
        <v>0.12695593600029031</v>
      </c>
      <c r="O68" s="542" cm="1">
        <f t="array" ref="O68">_xll.d.Curve_GetZeroRates($C$18,$B68,"NACQ")</f>
        <v>0.12695593600029031</v>
      </c>
      <c r="P68" s="535" t="str" cm="1">
        <f t="array" ref="P68">_xll.d.TestUtils_Equal(N68,O68)</f>
        <v>Ok</v>
      </c>
      <c r="Q68" s="542">
        <f>12*($C30^(-1/(12*YEARFRAC($B$28,$B68,3)))-1)</f>
        <v>0.12563597891789247</v>
      </c>
      <c r="R68" s="542" cm="1">
        <f t="array" ref="R68">_xll.d.Curve_GetZeroRates($C$18,$B68,"NACM")</f>
        <v>0.1256359789178898</v>
      </c>
      <c r="S68" s="535" t="str" cm="1">
        <f t="array" ref="S68">_xll.d.TestUtils_Equal(Q68,R68)</f>
        <v>Ok</v>
      </c>
      <c r="T68" s="542">
        <f>(1/YEARFRAC($B$28,B68,3))*(1/C30-1)</f>
        <v>0.12625389138706342</v>
      </c>
      <c r="U68" s="542" cm="1">
        <f t="array" ref="U68">_xll.d.Curve_GetZeroRates($C$18,$B68,"Simple")</f>
        <v>0.12625389138706344</v>
      </c>
      <c r="V68" s="539" t="str" cm="1">
        <f t="array" ref="V68">_xll.d.TestUtils_Equal(T68,U68)</f>
        <v>Ok</v>
      </c>
    </row>
    <row r="69" spans="2:25" x14ac:dyDescent="0.25">
      <c r="B69" s="533">
        <f>B31</f>
        <v>44652</v>
      </c>
      <c r="C69" s="542">
        <f>-LN(C31)/YEARFRAC($B$28,B69,3)</f>
        <v>0.12352900813242923</v>
      </c>
      <c r="D69" s="542">
        <v>0.12352900813242955</v>
      </c>
      <c r="E69" s="535" t="str" cm="1">
        <f t="array" ref="E69">_xll.d.TestUtils_Equal(C69,D69)</f>
        <v>Ok</v>
      </c>
      <c r="F69" s="542">
        <f>1*($C31^(-1/(1*YEARFRAC($B$28,$B69,3)))-1)</f>
        <v>0.13148282626969365</v>
      </c>
      <c r="G69" s="542" cm="1">
        <f t="array" ref="G69">_xll.d.Curve_GetZeroRates($C$18,$B69,"NACA")</f>
        <v>0.1314828262696941</v>
      </c>
      <c r="H69" s="542"/>
      <c r="I69" s="535" t="str" cm="1">
        <f t="array" ref="I69">_xll.d.TestUtils_Equal(F69,G69)</f>
        <v>Ok</v>
      </c>
      <c r="J69" s="542">
        <f>2*($C31^(-1/(2*YEARFRAC($B$28,$B69,3)))-1)</f>
        <v>0.12742363084524699</v>
      </c>
      <c r="K69" s="542" cm="1">
        <f t="array" ref="K69">_xll.d.Curve_GetZeroRates($C$18,$B69,"NACS")</f>
        <v>0.12742363084524744</v>
      </c>
      <c r="L69" s="542"/>
      <c r="M69" s="535" t="str" cm="1">
        <f t="array" ref="M69">_xll.d.TestUtils_Equal(J69,K69)</f>
        <v>Ok</v>
      </c>
      <c r="N69" s="542">
        <f>4*($C31^(-1/(4*YEARFRAC($B$28,$B69,3)))-1)</f>
        <v>0.12545622286335512</v>
      </c>
      <c r="O69" s="542" cm="1">
        <f t="array" ref="O69">_xll.d.Curve_GetZeroRates($C$18,$B69,"NACQ")</f>
        <v>0.12545622286335512</v>
      </c>
      <c r="P69" s="535" t="str" cm="1">
        <f t="array" ref="P69">_xll.d.TestUtils_Equal(N69,O69)</f>
        <v>Ok</v>
      </c>
      <c r="Q69" s="542">
        <f>12*($C31^(-1/(12*YEARFRAC($B$28,$B69,3)))-1)</f>
        <v>0.12416700444279183</v>
      </c>
      <c r="R69" s="542" cm="1">
        <f t="array" ref="R69">_xll.d.Curve_GetZeroRates($C$18,$B69,"NACM")</f>
        <v>0.12416700444279183</v>
      </c>
      <c r="S69" s="535" t="str" cm="1">
        <f t="array" ref="S69">_xll.d.TestUtils_Equal(Q69,R69)</f>
        <v>Ok</v>
      </c>
      <c r="T69" s="542">
        <f>(1/YEARFRAC($B$28,B69,3))*(1/C31-1)</f>
        <v>0.12542955326460525</v>
      </c>
      <c r="U69" s="542" cm="1">
        <f t="array" ref="U69">_xll.d.Curve_GetZeroRates($C$18,$B69,"Simple")</f>
        <v>0.12542955326460528</v>
      </c>
      <c r="V69" s="539" t="str" cm="1">
        <f t="array" ref="V69">_xll.d.TestUtils_Equal(T69,U69)</f>
        <v>Ok</v>
      </c>
    </row>
    <row r="70" spans="2:25" x14ac:dyDescent="0.25">
      <c r="B70" s="533">
        <f>B32</f>
        <v>44682</v>
      </c>
      <c r="C70" s="542">
        <f>-LN(C32)/YEARFRAC($B$28,B70,3)</f>
        <v>0.12416689999910947</v>
      </c>
      <c r="D70" s="542">
        <v>0.12416689999910957</v>
      </c>
      <c r="E70" s="535" t="str" cm="1">
        <f t="array" ref="E70">_xll.d.TestUtils_Equal(C70,D70)</f>
        <v>Ok</v>
      </c>
      <c r="F70" s="542">
        <f>1*($C32^(-1/(1*YEARFRAC($B$28,$B70,3)))-1)</f>
        <v>0.13220482021441016</v>
      </c>
      <c r="G70" s="542" cm="1">
        <f t="array" ref="G70">_xll.d.Curve_GetZeroRates($C$18,$B70,"NACA")</f>
        <v>0.13220482021441016</v>
      </c>
      <c r="H70" s="542"/>
      <c r="I70" s="535" t="str" cm="1">
        <f t="array" ref="I70">_xll.d.TestUtils_Equal(F70,G70)</f>
        <v>Ok</v>
      </c>
      <c r="J70" s="542">
        <f>2*($C32^(-1/(2*YEARFRAC($B$28,$B70,3)))-1)</f>
        <v>0.12810227217999115</v>
      </c>
      <c r="K70" s="542" cm="1">
        <f t="array" ref="K70">_xll.d.Curve_GetZeroRates($C$18,$B70,"NACS")</f>
        <v>0.12810227217999115</v>
      </c>
      <c r="L70" s="542"/>
      <c r="M70" s="535" t="str" cm="1">
        <f t="array" ref="M70">_xll.d.TestUtils_Equal(J70,K70)</f>
        <v>Ok</v>
      </c>
      <c r="N70" s="542">
        <f>4*($C32^(-1/(4*YEARFRAC($B$28,$B70,3)))-1)</f>
        <v>0.12611417406740255</v>
      </c>
      <c r="O70" s="542" cm="1">
        <f t="array" ref="O70">_xll.d.Curve_GetZeroRates($C$18,$B70,"NACQ")</f>
        <v>0.12611417406740344</v>
      </c>
      <c r="P70" s="535" t="str" cm="1">
        <f t="array" ref="P70">_xll.d.TestUtils_Equal(N70,O70)</f>
        <v>Ok</v>
      </c>
      <c r="Q70" s="542">
        <f>12*($C32^(-1/(12*YEARFRAC($B$28,$B70,3)))-1)</f>
        <v>0.12481151386647849</v>
      </c>
      <c r="R70" s="542" cm="1">
        <f t="array" ref="R70">_xll.d.Curve_GetZeroRates($C$18,$B70,"NACM")</f>
        <v>0.12481151386647849</v>
      </c>
      <c r="S70" s="535" t="str" cm="1">
        <f t="array" ref="S70">_xll.d.TestUtils_Equal(Q70,R70)</f>
        <v>Ok</v>
      </c>
      <c r="T70" s="542">
        <f>(1/YEARFRAC($B$28,B70,3))*(1/C32-1)</f>
        <v>0.12673611111111135</v>
      </c>
      <c r="U70" s="542" cm="1">
        <f t="array" ref="U70">_xll.d.Curve_GetZeroRates($C$18,$B70,"Simple")</f>
        <v>0.12673611111111135</v>
      </c>
      <c r="V70" s="539" t="str" cm="1">
        <f t="array" ref="V70">_xll.d.TestUtils_Equal(T70,U70)</f>
        <v>Ok</v>
      </c>
    </row>
    <row r="71" spans="2:25" x14ac:dyDescent="0.25">
      <c r="B71" s="534">
        <f>B33</f>
        <v>46022</v>
      </c>
      <c r="C71" s="543">
        <f>-LN(C33)/YEARFRAC($B$28,B71,3)</f>
        <v>0.11950895023574995</v>
      </c>
      <c r="D71" s="543">
        <v>0.11950895023574998</v>
      </c>
      <c r="E71" s="537" t="str" cm="1">
        <f t="array" ref="E71">_xll.d.TestUtils_Equal(C71,D71)</f>
        <v>Ok</v>
      </c>
      <c r="F71" s="543">
        <f>1*($C33^(-1/(1*YEARFRAC($B$28,$B71,3)))-1)</f>
        <v>0.12694333043055228</v>
      </c>
      <c r="G71" s="543" cm="1">
        <f t="array" ref="G71">_xll.d.Curve_GetZeroRates($C$18,$B71,"NACA")</f>
        <v>0.12694333043055228</v>
      </c>
      <c r="H71" s="543"/>
      <c r="I71" s="537" t="str" cm="1">
        <f t="array" ref="I71">_xll.d.TestUtils_Equal(F71,G71)</f>
        <v>Ok</v>
      </c>
      <c r="J71" s="543">
        <f>2*($C33^(-1/(2*YEARFRAC($B$28,$B71,3)))-1)</f>
        <v>0.12315174250975502</v>
      </c>
      <c r="K71" s="543" cm="1">
        <f t="array" ref="K71">_xll.d.Curve_GetZeroRates($C$18,$B71,"NACS")</f>
        <v>0.12315174250975502</v>
      </c>
      <c r="L71" s="543"/>
      <c r="M71" s="537" t="str" cm="1">
        <f t="array" ref="M71">_xll.d.TestUtils_Equal(J71,K71)</f>
        <v>Ok</v>
      </c>
      <c r="N71" s="543">
        <f>4*($C33^(-1/(4*YEARFRAC($B$28,$B71,3)))-1)</f>
        <v>0.1213121624159994</v>
      </c>
      <c r="O71" s="543" cm="1">
        <f t="array" ref="O71">_xll.d.Curve_GetZeroRates($C$18,$B71,"NACQ")</f>
        <v>0.1213121624159994</v>
      </c>
      <c r="P71" s="537" t="str" cm="1">
        <f t="array" ref="P71">_xll.d.TestUtils_Equal(N71,O71)</f>
        <v>Ok</v>
      </c>
      <c r="Q71" s="543">
        <f>12*($C33^(-1/(12*YEARFRAC($B$28,$B71,3)))-1)</f>
        <v>0.12010603026150424</v>
      </c>
      <c r="R71" s="543" cm="1">
        <f t="array" ref="R71">_xll.d.Curve_GetZeroRates($C$18,$B71,"NACM")</f>
        <v>0.12010603026150424</v>
      </c>
      <c r="S71" s="537" t="str" cm="1">
        <f t="array" ref="S71">_xll.d.TestUtils_Equal(Q71,R71)</f>
        <v>Ok</v>
      </c>
      <c r="T71" s="543">
        <f>(1/YEARFRAC($B$28,B71,3))*(1/C33-1)</f>
        <v>0.15322580645161293</v>
      </c>
      <c r="U71" s="543" cm="1">
        <f t="array" ref="U71">_xll.d.Curve_GetZeroRates($C$18,$B71,"Simple")</f>
        <v>0.15322580645161293</v>
      </c>
      <c r="V71" s="540" t="str" cm="1">
        <f t="array" ref="V71">_xll.d.TestUtils_Equal(T71,U71)</f>
        <v>Ok</v>
      </c>
    </row>
    <row r="74" spans="2:25" ht="18.75" x14ac:dyDescent="0.3">
      <c r="B74" s="3" t="s">
        <v>472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 x14ac:dyDescent="0.25">
      <c r="B75" s="455"/>
      <c r="C75" s="455"/>
      <c r="D75" s="455"/>
      <c r="E75" s="6"/>
      <c r="F75" s="455"/>
      <c r="G75" s="455"/>
      <c r="I75" s="455"/>
      <c r="J75" s="455"/>
      <c r="K75" s="455"/>
      <c r="M75" s="455"/>
      <c r="N75" s="455"/>
      <c r="O75" s="455"/>
      <c r="P75" s="455"/>
      <c r="Q75" s="455"/>
      <c r="R75" s="455"/>
      <c r="S75" s="455"/>
      <c r="T75" s="455"/>
      <c r="U75" s="455"/>
      <c r="V75" s="455"/>
    </row>
    <row r="76" spans="2:25" x14ac:dyDescent="0.25">
      <c r="B76" s="66" t="s">
        <v>155</v>
      </c>
      <c r="C76" s="174" t="str" cm="1">
        <f t="array" aca="1" ref="C76" ca="1">_xll.d.TestUtils_And(I81:I85,M81:M85,P81:P85,S81:S85,V81:V85,Y81:Y85)</f>
        <v>Error</v>
      </c>
      <c r="D76" s="5"/>
      <c r="E76" s="5"/>
      <c r="F76" s="455"/>
      <c r="G76" s="455"/>
      <c r="I76" s="455"/>
      <c r="J76" s="455"/>
      <c r="K76" s="455"/>
      <c r="M76" s="455"/>
      <c r="N76" s="455"/>
      <c r="O76" s="455"/>
      <c r="P76" s="455"/>
      <c r="Q76" s="455"/>
      <c r="R76" s="455"/>
      <c r="S76" s="455"/>
      <c r="T76" s="455"/>
      <c r="U76" s="455"/>
      <c r="V76" s="455"/>
    </row>
    <row r="77" spans="2:25" x14ac:dyDescent="0.25">
      <c r="B77" s="455"/>
      <c r="C77" s="455"/>
      <c r="D77" s="455"/>
      <c r="E77" s="455"/>
      <c r="F77" s="5"/>
      <c r="G77" s="5"/>
      <c r="H77" s="5"/>
      <c r="I77" s="455"/>
      <c r="J77" s="455"/>
      <c r="K77" s="455"/>
      <c r="M77" s="455"/>
      <c r="N77" s="455"/>
      <c r="O77" s="455"/>
      <c r="P77" s="455"/>
      <c r="Q77" s="455"/>
      <c r="R77" s="455"/>
      <c r="S77" s="455"/>
      <c r="T77" s="455"/>
      <c r="U77" s="455"/>
      <c r="V77" s="455"/>
    </row>
    <row r="78" spans="2:25" x14ac:dyDescent="0.25">
      <c r="B78" s="455"/>
      <c r="C78" s="455"/>
      <c r="D78" s="455"/>
      <c r="E78" s="455"/>
      <c r="F78" s="455"/>
      <c r="G78" s="455"/>
      <c r="I78" s="455"/>
      <c r="J78" s="5"/>
      <c r="K78" s="5"/>
      <c r="L78" s="5"/>
      <c r="M78" s="455"/>
      <c r="N78" s="455"/>
      <c r="O78" s="455"/>
      <c r="P78" s="455"/>
      <c r="Q78" s="455"/>
      <c r="R78" s="455"/>
      <c r="S78" s="455"/>
      <c r="T78" s="455"/>
      <c r="U78" s="455"/>
      <c r="V78" s="455"/>
      <c r="W78" s="455"/>
      <c r="X78" s="455"/>
      <c r="Y78" s="455"/>
    </row>
    <row r="79" spans="2:25" x14ac:dyDescent="0.25">
      <c r="B79" s="12"/>
      <c r="C79" s="27"/>
      <c r="D79" s="27"/>
      <c r="E79" s="27"/>
      <c r="F79" s="27" t="s">
        <v>78</v>
      </c>
      <c r="G79" s="27"/>
      <c r="H79" s="27"/>
      <c r="I79" s="27"/>
      <c r="J79" s="27" t="s">
        <v>94</v>
      </c>
      <c r="K79" s="27"/>
      <c r="L79" s="27"/>
      <c r="M79" s="27"/>
      <c r="N79" s="27" t="s">
        <v>95</v>
      </c>
      <c r="O79" s="27"/>
      <c r="P79" s="27"/>
      <c r="Q79" s="27" t="s">
        <v>80</v>
      </c>
      <c r="R79" s="27"/>
      <c r="S79" s="27"/>
      <c r="T79" s="27" t="s">
        <v>79</v>
      </c>
      <c r="U79" s="27"/>
      <c r="V79" s="27"/>
      <c r="W79" s="27" t="s">
        <v>234</v>
      </c>
      <c r="X79" s="27"/>
      <c r="Y79" s="13"/>
    </row>
    <row r="80" spans="2:25" x14ac:dyDescent="0.25">
      <c r="B80" s="519" t="s">
        <v>247</v>
      </c>
      <c r="C80" s="520" t="s">
        <v>248</v>
      </c>
      <c r="D80" s="520" t="s">
        <v>474</v>
      </c>
      <c r="E80" s="520" t="s">
        <v>475</v>
      </c>
      <c r="F80" s="520" t="s">
        <v>473</v>
      </c>
      <c r="G80" s="520" t="s">
        <v>476</v>
      </c>
      <c r="H80" s="520"/>
      <c r="I80" s="520" t="s">
        <v>83</v>
      </c>
      <c r="J80" s="520" t="s">
        <v>473</v>
      </c>
      <c r="K80" s="520" t="s">
        <v>476</v>
      </c>
      <c r="L80" s="520"/>
      <c r="M80" s="520" t="s">
        <v>83</v>
      </c>
      <c r="N80" s="520" t="s">
        <v>473</v>
      </c>
      <c r="O80" s="520" t="s">
        <v>476</v>
      </c>
      <c r="P80" s="520" t="s">
        <v>83</v>
      </c>
      <c r="Q80" s="520" t="s">
        <v>473</v>
      </c>
      <c r="R80" s="520" t="s">
        <v>476</v>
      </c>
      <c r="S80" s="520" t="s">
        <v>83</v>
      </c>
      <c r="T80" s="520" t="s">
        <v>473</v>
      </c>
      <c r="U80" s="520" t="s">
        <v>476</v>
      </c>
      <c r="V80" s="520" t="s">
        <v>83</v>
      </c>
      <c r="W80" s="520" t="s">
        <v>473</v>
      </c>
      <c r="X80" s="520" t="s">
        <v>476</v>
      </c>
      <c r="Y80" s="148" t="s">
        <v>83</v>
      </c>
    </row>
    <row r="81" spans="2:25" x14ac:dyDescent="0.25">
      <c r="B81" s="526">
        <f>B67</f>
        <v>44593</v>
      </c>
      <c r="C81" s="527">
        <f>EDATE(B81,3)</f>
        <v>44682</v>
      </c>
      <c r="D81" s="530" t="e" cm="1">
        <f t="array" aca="1" ref="D81" ca="1">_xll.d.Curve_GetDiscountFactors($C$18,B81)</f>
        <v>#VALUE!</v>
      </c>
      <c r="E81" s="530" t="e" cm="1">
        <f t="array" aca="1" ref="E81" ca="1">_xll.d.Curve_GetDiscountFactors($C$18,C81)</f>
        <v>#VALUE!</v>
      </c>
      <c r="F81" s="523" t="e" cm="1">
        <f t="array" aca="1" ref="F81" ca="1">_xll.d.IR_DiscountFactorsToForwardRate($F$79,D81,E81,YEARFRAC(B81,C81,3))</f>
        <v>#VALUE!</v>
      </c>
      <c r="G81" s="523">
        <f t="array" ref="G81:G85">_xll.d.Curve_GetForwardRates($C$18,B81:B85,C81:C85,F79)</f>
        <v>0.12619837543106849</v>
      </c>
      <c r="H81" s="523"/>
      <c r="I81" s="517" t="str" cm="1">
        <f t="array" aca="1" ref="I81" ca="1">_xll.d.TestUtils_Equal(F81,G81)</f>
        <v>Error</v>
      </c>
      <c r="J81" s="523" t="e" cm="1">
        <f t="array" aca="1" ref="J81" ca="1">_xll.d.IR_DiscountFactorsToForwardRate($J$79,D81,E81,YEARFRAC(B81,C81,3))</f>
        <v>#VALUE!</v>
      </c>
      <c r="K81" s="523">
        <f t="array" ref="K81:K85">_xll.d.Curve_GetForwardRates($C$18,B81:B85,C81:C85,J79)</f>
        <v>0.13450720431718355</v>
      </c>
      <c r="L81" s="523"/>
      <c r="M81" s="517" t="str" cm="1">
        <f t="array" aca="1" ref="M81" ca="1">_xll.d.TestUtils_Equal(J81,K81)</f>
        <v>Error</v>
      </c>
      <c r="N81" s="523" t="e" cm="1">
        <f t="array" aca="1" ref="N81" ca="1">_xll.d.IR_DiscountFactorsToForwardRate($N$79,D81,E81,YEARFRAC(B81,C81,3))</f>
        <v>#VALUE!</v>
      </c>
      <c r="O81" s="523" cm="1">
        <f t="array" ref="O81:O85">_xll.d.Curve_GetForwardRates($C$18,B81:B85,C81:C85,N79)</f>
        <v>0.13026496409923949</v>
      </c>
      <c r="P81" s="517" t="str" cm="1">
        <f t="array" aca="1" ref="P81" ca="1">_xll.d.TestUtils_Equal(N81,O81)</f>
        <v>Error</v>
      </c>
      <c r="Q81" s="523" t="e" cm="1">
        <f t="array" aca="1" ref="Q81" ca="1">_xll.d.IR_DiscountFactorsToForwardRate($Q$79,D81,E81,YEARFRAC(B81,C81,3))</f>
        <v>#VALUE!</v>
      </c>
      <c r="R81" s="523" cm="1">
        <f t="array" ref="R81:R85">_xll.d.Curve_GetForwardRates($C$18,B81:B85,C81:C85,Q79)</f>
        <v>0.12821023117693464</v>
      </c>
      <c r="S81" s="517" t="str" cm="1">
        <f t="array" aca="1" ref="S81" ca="1">_xll.d.TestUtils_Equal(Q81,R81)</f>
        <v>Error</v>
      </c>
      <c r="T81" s="523" t="e" cm="1">
        <f t="array" aca="1" ref="T81" ca="1">_xll.d.IR_DiscountFactorsToForwardRate($T$79,D81,E81,YEARFRAC(B81,C81,3))</f>
        <v>#VALUE!</v>
      </c>
      <c r="U81" s="523" cm="1">
        <f t="array" ref="U81:U85">_xll.d.Curve_GetForwardRates($C$18,B81:B85,C81:C85,T79)</f>
        <v>0.12686429234424779</v>
      </c>
      <c r="V81" s="517" t="str" cm="1">
        <f t="array" aca="1" ref="V81" ca="1">_xll.d.TestUtils_Equal(T81,U81)</f>
        <v>Error</v>
      </c>
      <c r="W81" s="523" t="e" cm="1">
        <f t="array" aca="1" ref="W81" ca="1">_xll.d.IR_DiscountFactorsToForwardRate($W$79,D81,E81,YEARFRAC(B81,C81,3))</f>
        <v>#VALUE!</v>
      </c>
      <c r="X81" s="523" cm="1">
        <f t="array" ref="X81:X85">_xll.d.Curve_GetForwardRates($C$18,B81:B85,C81:C85,W79)</f>
        <v>0.12816011235955058</v>
      </c>
      <c r="Y81" s="521" t="str" cm="1">
        <f t="array" aca="1" ref="Y81" ca="1">_xll.d.TestUtils_Equal(W81,X81)</f>
        <v>Error</v>
      </c>
    </row>
    <row r="82" spans="2:25" x14ac:dyDescent="0.25">
      <c r="B82" s="514">
        <f>B68</f>
        <v>44621</v>
      </c>
      <c r="C82" s="528">
        <f>EDATE(B82,3)</f>
        <v>44713</v>
      </c>
      <c r="D82" s="531" t="e" cm="1">
        <f t="array" aca="1" ref="D82" ca="1">_xll.d.Curve_GetDiscountFactors($C$18,B82)</f>
        <v>#VALUE!</v>
      </c>
      <c r="E82" s="531" t="e" cm="1">
        <f t="array" aca="1" ref="E82" ca="1">_xll.d.Curve_GetDiscountFactors($C$18,C82)</f>
        <v>#VALUE!</v>
      </c>
      <c r="F82" s="524" t="e" cm="1">
        <f t="array" aca="1" ref="F82" ca="1">_xll.d.IR_DiscountFactorsToForwardRate($F$79,D82,E82,YEARFRAC(B82,C82,3))</f>
        <v>#VALUE!</v>
      </c>
      <c r="G82" s="524">
        <v>0.12193354632163736</v>
      </c>
      <c r="H82" s="524"/>
      <c r="I82" s="516" t="str" cm="1">
        <f t="array" aca="1" ref="I82" ca="1">_xll.d.TestUtils_Equal(F82,G82)</f>
        <v>Error</v>
      </c>
      <c r="J82" s="524" t="e" cm="1">
        <f t="array" aca="1" ref="J82" ca="1">_xll.d.IR_DiscountFactorsToForwardRate($J$79,D82,E82,YEARFRAC(B82,C82,3))</f>
        <v>#VALUE!</v>
      </c>
      <c r="K82" s="524">
        <v>0.12967902795910358</v>
      </c>
      <c r="L82" s="524"/>
      <c r="M82" s="516" t="str" cm="1">
        <f t="array" aca="1" ref="M82" ca="1">_xll.d.TestUtils_Equal(J82,K82)</f>
        <v>Error</v>
      </c>
      <c r="N82" s="524" t="e" cm="1">
        <f t="array" aca="1" ref="N82" ca="1">_xll.d.IR_DiscountFactorsToForwardRate($N$79,D82,E82,YEARFRAC(B82,C82,3))</f>
        <v>#VALUE!</v>
      </c>
      <c r="O82" s="524">
        <v>0.12572719600526661</v>
      </c>
      <c r="P82" s="516" t="str" cm="1">
        <f t="array" aca="1" ref="P82" ca="1">_xll.d.TestUtils_Equal(N82,O82)</f>
        <v>Error</v>
      </c>
      <c r="Q82" s="524" t="e" cm="1">
        <f t="array" aca="1" ref="Q82" ca="1">_xll.d.IR_DiscountFactorsToForwardRate($Q$79,D82,E82,YEARFRAC(B82,C82,3))</f>
        <v>#VALUE!</v>
      </c>
      <c r="R82" s="524">
        <v>0.12381104902275286</v>
      </c>
      <c r="S82" s="516" t="str" cm="1">
        <f t="array" aca="1" ref="S82" ca="1">_xll.d.TestUtils_Equal(Q82,R82)</f>
        <v>Error</v>
      </c>
      <c r="T82" s="524" t="e" cm="1">
        <f t="array" aca="1" ref="T82" ca="1">_xll.d.IR_DiscountFactorsToForwardRate($T$79,D82,E82,YEARFRAC(B82,C82,3))</f>
        <v>#VALUE!</v>
      </c>
      <c r="U82" s="524">
        <v>0.12255514114432575</v>
      </c>
      <c r="V82" s="516" t="str" cm="1">
        <f t="array" aca="1" ref="V82" ca="1">_xll.d.TestUtils_Equal(T82,U82)</f>
        <v>Error</v>
      </c>
      <c r="W82" s="524" t="e" cm="1">
        <f t="array" aca="1" ref="W82" ca="1">_xll.d.IR_DiscountFactorsToForwardRate($W$79,D82,E82,YEARFRAC(B82,C82,3))</f>
        <v>#VALUE!</v>
      </c>
      <c r="X82" s="524">
        <v>0.12382663945714034</v>
      </c>
      <c r="Y82" s="522" t="str" cm="1">
        <f t="array" aca="1" ref="Y82" ca="1">_xll.d.TestUtils_Equal(W82,X82)</f>
        <v>Error</v>
      </c>
    </row>
    <row r="83" spans="2:25" x14ac:dyDescent="0.25">
      <c r="B83" s="514">
        <f>B69</f>
        <v>44652</v>
      </c>
      <c r="C83" s="528">
        <f>EDATE(B83,3)</f>
        <v>44743</v>
      </c>
      <c r="D83" s="531" t="e" cm="1">
        <f t="array" aca="1" ref="D83" ca="1">_xll.d.Curve_GetDiscountFactors($C$18,B83)</f>
        <v>#VALUE!</v>
      </c>
      <c r="E83" s="531" t="e" cm="1">
        <f t="array" aca="1" ref="E83" ca="1">_xll.d.Curve_GetDiscountFactors($C$18,C83)</f>
        <v>#VALUE!</v>
      </c>
      <c r="F83" s="524" t="e" cm="1">
        <f t="array" aca="1" ref="F83" ca="1">_xll.d.IR_DiscountFactorsToForwardRate($F$79,D83,E83,YEARFRAC(B83,C83,3))</f>
        <v>#VALUE!</v>
      </c>
      <c r="G83" s="524">
        <v>0.12139580563464152</v>
      </c>
      <c r="H83" s="524"/>
      <c r="I83" s="516" t="str" cm="1">
        <f t="array" aca="1" ref="I83" ca="1">_xll.d.TestUtils_Equal(F83,G83)</f>
        <v>Error</v>
      </c>
      <c r="J83" s="524" t="e" cm="1">
        <f t="array" aca="1" ref="J83" ca="1">_xll.d.IR_DiscountFactorsToForwardRate($J$79,D83,E83,YEARFRAC(B83,C83,3))</f>
        <v>#VALUE!</v>
      </c>
      <c r="K83" s="524">
        <v>0.12907171688509544</v>
      </c>
      <c r="L83" s="524"/>
      <c r="M83" s="516" t="str" cm="1">
        <f t="array" aca="1" ref="M83" ca="1">_xll.d.TestUtils_Equal(J83,K83)</f>
        <v>Error</v>
      </c>
      <c r="N83" s="524" t="e" cm="1">
        <f t="array" aca="1" ref="N83" ca="1">_xll.d.IR_DiscountFactorsToForwardRate($N$79,D83,E83,YEARFRAC(B83,C83,3))</f>
        <v>#VALUE!</v>
      </c>
      <c r="O83" s="524">
        <v>0.12515572783275841</v>
      </c>
      <c r="P83" s="516" t="str" cm="1">
        <f t="array" aca="1" ref="P83" ca="1">_xll.d.TestUtils_Equal(N83,O83)</f>
        <v>Error</v>
      </c>
      <c r="Q83" s="524" t="e" cm="1">
        <f t="array" aca="1" ref="Q83" ca="1">_xll.d.IR_DiscountFactorsToForwardRate($Q$79,D83,E83,YEARFRAC(B83,C83,3))</f>
        <v>#VALUE!</v>
      </c>
      <c r="R83" s="524">
        <v>0.1232567010388852</v>
      </c>
      <c r="S83" s="516" t="str" cm="1">
        <f t="array" aca="1" ref="S83" ca="1">_xll.d.TestUtils_Equal(Q83,R83)</f>
        <v>Error</v>
      </c>
      <c r="T83" s="524" t="e" cm="1">
        <f t="array" aca="1" ref="T83" ca="1">_xll.d.IR_DiscountFactorsToForwardRate($T$79,D83,E83,YEARFRAC(B83,C83,3))</f>
        <v>#VALUE!</v>
      </c>
      <c r="U83" s="524">
        <v>0.12201192072159373</v>
      </c>
      <c r="V83" s="516" t="str" cm="1">
        <f t="array" aca="1" ref="V83" ca="1">_xll.d.TestUtils_Equal(T83,U83)</f>
        <v>Error</v>
      </c>
      <c r="W83" s="524" t="e" cm="1">
        <f t="array" aca="1" ref="W83" ca="1">_xll.d.IR_DiscountFactorsToForwardRate($W$79,D83,E83,YEARFRAC(B83,C83,3))</f>
        <v>#VALUE!</v>
      </c>
      <c r="X83" s="524">
        <v>0.12325155100054225</v>
      </c>
      <c r="Y83" s="522" t="str" cm="1">
        <f t="array" aca="1" ref="Y83" ca="1">_xll.d.TestUtils_Equal(W83,X83)</f>
        <v>Error</v>
      </c>
    </row>
    <row r="84" spans="2:25" x14ac:dyDescent="0.25">
      <c r="B84" s="514">
        <f>B70</f>
        <v>44682</v>
      </c>
      <c r="C84" s="528">
        <f>EDATE(B84,3)</f>
        <v>44774</v>
      </c>
      <c r="D84" s="531" t="e" cm="1">
        <f t="array" aca="1" ref="D84" ca="1">_xll.d.Curve_GetDiscountFactors($C$18,B84)</f>
        <v>#VALUE!</v>
      </c>
      <c r="E84" s="531" t="e" cm="1">
        <f t="array" aca="1" ref="E84" ca="1">_xll.d.Curve_GetDiscountFactors($C$18,C84)</f>
        <v>#VALUE!</v>
      </c>
      <c r="F84" s="524" t="e" cm="1">
        <f t="array" aca="1" ref="F84" ca="1">_xll.d.IR_DiscountFactorsToForwardRate($F$79,D84,E84,YEARFRAC(B84,C84,3))</f>
        <v>#VALUE!</v>
      </c>
      <c r="G84" s="524">
        <v>0.11909182040619548</v>
      </c>
      <c r="H84" s="524"/>
      <c r="I84" s="516" t="str" cm="1">
        <f t="array" aca="1" ref="I84" ca="1">_xll.d.TestUtils_Equal(F84,G84)</f>
        <v>Error</v>
      </c>
      <c r="J84" s="524" t="e" cm="1">
        <f t="array" aca="1" ref="J84" ca="1">_xll.d.IR_DiscountFactorsToForwardRate($J$79,D84,E84,YEARFRAC(B84,C84,3))</f>
        <v>#VALUE!</v>
      </c>
      <c r="K84" s="524">
        <v>0.12647334678012689</v>
      </c>
      <c r="L84" s="524"/>
      <c r="M84" s="516" t="str" cm="1">
        <f t="array" aca="1" ref="M84" ca="1">_xll.d.TestUtils_Equal(J84,K84)</f>
        <v>Error</v>
      </c>
      <c r="N84" s="524" t="e" cm="1">
        <f t="array" aca="1" ref="N84" ca="1">_xll.d.IR_DiscountFactorsToForwardRate($N$79,D84,E84,YEARFRAC(B84,C84,3))</f>
        <v>#VALUE!</v>
      </c>
      <c r="O84" s="524">
        <v>0.1227089737221414</v>
      </c>
      <c r="P84" s="516" t="str" cm="1">
        <f t="array" aca="1" ref="P84" ca="1">_xll.d.TestUtils_Equal(N84,O84)</f>
        <v>Error</v>
      </c>
      <c r="Q84" s="524" t="e" cm="1">
        <f t="array" aca="1" ref="Q84" ca="1">_xll.d.IR_DiscountFactorsToForwardRate($Q$79,D84,E84,YEARFRAC(B84,C84,3))</f>
        <v>#VALUE!</v>
      </c>
      <c r="R84" s="524">
        <v>0.12088240426454444</v>
      </c>
      <c r="S84" s="516" t="str" cm="1">
        <f t="array" aca="1" ref="S84" ca="1">_xll.d.TestUtils_Equal(Q84,R84)</f>
        <v>Error</v>
      </c>
      <c r="T84" s="524" t="e" cm="1">
        <f t="array" aca="1" ref="T84" ca="1">_xll.d.IR_DiscountFactorsToForwardRate($T$79,D84,E84,YEARFRAC(B84,C84,3))</f>
        <v>#VALUE!</v>
      </c>
      <c r="U84" s="524">
        <v>0.11968473277032032</v>
      </c>
      <c r="V84" s="516" t="str" cm="1">
        <f t="array" aca="1" ref="V84" ca="1">_xll.d.TestUtils_Equal(T84,U84)</f>
        <v>Error</v>
      </c>
      <c r="W84" s="524" t="e" cm="1">
        <f t="array" aca="1" ref="W84" ca="1">_xll.d.IR_DiscountFactorsToForwardRate($W$79,D84,E84,YEARFRAC(B84,C84,3))</f>
        <v>#VALUE!</v>
      </c>
      <c r="X84" s="524">
        <v>0.12089726939132452</v>
      </c>
      <c r="Y84" s="522" t="str" cm="1">
        <f t="array" aca="1" ref="Y84" ca="1">_xll.d.TestUtils_Equal(W84,X84)</f>
        <v>Error</v>
      </c>
    </row>
    <row r="85" spans="2:25" x14ac:dyDescent="0.25">
      <c r="B85" s="515">
        <v>44713</v>
      </c>
      <c r="C85" s="529">
        <f>EDATE(B85,3)</f>
        <v>44805</v>
      </c>
      <c r="D85" s="532" t="e" cm="1">
        <f t="array" aca="1" ref="D85" ca="1">_xll.d.Curve_GetDiscountFactors($C$18,B85)</f>
        <v>#VALUE!</v>
      </c>
      <c r="E85" s="532" t="e" cm="1">
        <f t="array" aca="1" ref="E85" ca="1">_xll.d.Curve_GetDiscountFactors($C$18,C85)</f>
        <v>#VALUE!</v>
      </c>
      <c r="F85" s="525" t="e" cm="1">
        <f t="array" aca="1" ref="F85" ca="1">_xll.d.IR_DiscountFactorsToForwardRate($F$79,D85,E85,YEARFRAC(B85,C85,3))</f>
        <v>#VALUE!</v>
      </c>
      <c r="G85" s="525">
        <v>0.11909182040619463</v>
      </c>
      <c r="H85" s="525"/>
      <c r="I85" s="518" t="str" cm="1">
        <f t="array" aca="1" ref="I85" ca="1">_xll.d.TestUtils_Equal(F85,G85)</f>
        <v>Error</v>
      </c>
      <c r="J85" s="525" t="e" cm="1">
        <f t="array" aca="1" ref="J85" ca="1">_xll.d.IR_DiscountFactorsToForwardRate($J$79,D85,E85,YEARFRAC(B85,C85,3))</f>
        <v>#VALUE!</v>
      </c>
      <c r="K85" s="525">
        <v>0.12647334678012601</v>
      </c>
      <c r="L85" s="525"/>
      <c r="M85" s="518" t="str" cm="1">
        <f t="array" aca="1" ref="M85" ca="1">_xll.d.TestUtils_Equal(J85,K85)</f>
        <v>Error</v>
      </c>
      <c r="N85" s="525" t="e" cm="1">
        <f t="array" aca="1" ref="N85" ca="1">_xll.d.IR_DiscountFactorsToForwardRate($N$79,D85,E85,YEARFRAC(B85,C85,3))</f>
        <v>#VALUE!</v>
      </c>
      <c r="O85" s="525">
        <v>0.12270897372214051</v>
      </c>
      <c r="P85" s="518" t="str" cm="1">
        <f t="array" aca="1" ref="P85" ca="1">_xll.d.TestUtils_Equal(N85,O85)</f>
        <v>Error</v>
      </c>
      <c r="Q85" s="525" t="e" cm="1">
        <f t="array" aca="1" ref="Q85" ca="1">_xll.d.IR_DiscountFactorsToForwardRate($Q$79,D85,E85,YEARFRAC(B85,C85,3))</f>
        <v>#VALUE!</v>
      </c>
      <c r="R85" s="525">
        <v>0.12088240426454355</v>
      </c>
      <c r="S85" s="518" t="str" cm="1">
        <f t="array" aca="1" ref="S85" ca="1">_xll.d.TestUtils_Equal(Q85,R85)</f>
        <v>Error</v>
      </c>
      <c r="T85" s="525" t="e" cm="1">
        <f t="array" aca="1" ref="T85" ca="1">_xll.d.IR_DiscountFactorsToForwardRate($T$79,D85,E85,YEARFRAC(B85,C85,3))</f>
        <v>#VALUE!</v>
      </c>
      <c r="U85" s="525">
        <v>0.11968473277032032</v>
      </c>
      <c r="V85" s="518" t="str" cm="1">
        <f t="array" aca="1" ref="V85" ca="1">_xll.d.TestUtils_Equal(T85,U85)</f>
        <v>Error</v>
      </c>
      <c r="W85" s="525" t="e" cm="1">
        <f t="array" aca="1" ref="W85" ca="1">_xll.d.IR_DiscountFactorsToForwardRate($W$79,D85,E85,YEARFRAC(B85,C85,3))</f>
        <v>#VALUE!</v>
      </c>
      <c r="X85" s="525">
        <v>0.12089726939132364</v>
      </c>
      <c r="Y85" s="512" t="str" cm="1">
        <f t="array" aca="1" ref="Y85" ca="1">_xll.d.TestUtils_Equal(W85,X85)</f>
        <v>Error</v>
      </c>
    </row>
    <row r="86" spans="2:25" x14ac:dyDescent="0.25">
      <c r="C86" s="455"/>
      <c r="D86" s="455"/>
      <c r="E86" s="455"/>
    </row>
    <row r="87" spans="2:25" x14ac:dyDescent="0.25">
      <c r="C87" s="455"/>
      <c r="D87" s="455"/>
      <c r="E87" s="455"/>
      <c r="F87" s="513"/>
    </row>
    <row r="88" spans="2:25" x14ac:dyDescent="0.25">
      <c r="C88" s="455"/>
      <c r="D88" s="455"/>
      <c r="E88" s="455"/>
    </row>
    <row r="89" spans="2:25" x14ac:dyDescent="0.25">
      <c r="C89" s="455"/>
      <c r="D89" s="455"/>
      <c r="E89" s="455"/>
    </row>
    <row r="90" spans="2:25" x14ac:dyDescent="0.25">
      <c r="C90" s="455"/>
      <c r="D90" s="455"/>
      <c r="E90" s="455"/>
    </row>
    <row r="91" spans="2:25" x14ac:dyDescent="0.25">
      <c r="C91" s="455"/>
    </row>
  </sheetData>
  <conditionalFormatting sqref="E46:E56">
    <cfRule type="cellIs" dxfId="347" priority="39" stopIfTrue="1" operator="equal">
      <formula>"OK"</formula>
    </cfRule>
    <cfRule type="cellIs" dxfId="346" priority="40" stopIfTrue="1" operator="equal">
      <formula>"ERROR"</formula>
    </cfRule>
  </conditionalFormatting>
  <conditionalFormatting sqref="C42">
    <cfRule type="cellIs" dxfId="345" priority="37" stopIfTrue="1" operator="equal">
      <formula>"OK"</formula>
    </cfRule>
    <cfRule type="cellIs" dxfId="344" priority="38" stopIfTrue="1" operator="equal">
      <formula>"ERROR"</formula>
    </cfRule>
  </conditionalFormatting>
  <conditionalFormatting sqref="C14">
    <cfRule type="cellIs" dxfId="343" priority="41" stopIfTrue="1" operator="equal">
      <formula>"OK"</formula>
    </cfRule>
    <cfRule type="cellIs" dxfId="342" priority="42" stopIfTrue="1" operator="equal">
      <formula>"ERROR"</formula>
    </cfRule>
  </conditionalFormatting>
  <conditionalFormatting sqref="E67:E71">
    <cfRule type="cellIs" dxfId="341" priority="35" stopIfTrue="1" operator="equal">
      <formula>"OK"</formula>
    </cfRule>
    <cfRule type="cellIs" dxfId="340" priority="36" stopIfTrue="1" operator="equal">
      <formula>"ERROR"</formula>
    </cfRule>
  </conditionalFormatting>
  <conditionalFormatting sqref="S67:S71">
    <cfRule type="cellIs" dxfId="339" priority="33" stopIfTrue="1" operator="equal">
      <formula>"OK"</formula>
    </cfRule>
    <cfRule type="cellIs" dxfId="338" priority="34" stopIfTrue="1" operator="equal">
      <formula>"ERROR"</formula>
    </cfRule>
  </conditionalFormatting>
  <conditionalFormatting sqref="P67:P71">
    <cfRule type="cellIs" dxfId="337" priority="31" stopIfTrue="1" operator="equal">
      <formula>"OK"</formula>
    </cfRule>
    <cfRule type="cellIs" dxfId="336" priority="32" stopIfTrue="1" operator="equal">
      <formula>"ERROR"</formula>
    </cfRule>
  </conditionalFormatting>
  <conditionalFormatting sqref="M46">
    <cfRule type="cellIs" dxfId="335" priority="29" stopIfTrue="1" operator="equal">
      <formula>"OK"</formula>
    </cfRule>
    <cfRule type="cellIs" dxfId="334" priority="30" stopIfTrue="1" operator="equal">
      <formula>"ERROR"</formula>
    </cfRule>
  </conditionalFormatting>
  <conditionalFormatting sqref="C7">
    <cfRule type="cellIs" dxfId="333" priority="43" stopIfTrue="1" operator="equal">
      <formula>"ERROR"</formula>
    </cfRule>
    <cfRule type="cellIs" dxfId="332" priority="44" stopIfTrue="1" operator="equal">
      <formula>"OK"</formula>
    </cfRule>
    <cfRule type="cellIs" dxfId="331" priority="45" stopIfTrue="1" operator="equal">
      <formula>"WARNING"</formula>
    </cfRule>
  </conditionalFormatting>
  <conditionalFormatting sqref="H42">
    <cfRule type="cellIs" dxfId="330" priority="27" stopIfTrue="1" operator="equal">
      <formula>"OK"</formula>
    </cfRule>
    <cfRule type="cellIs" dxfId="329" priority="28" stopIfTrue="1" operator="equal">
      <formula>"ERROR"</formula>
    </cfRule>
  </conditionalFormatting>
  <conditionalFormatting sqref="I67:I71">
    <cfRule type="cellIs" dxfId="328" priority="25" stopIfTrue="1" operator="equal">
      <formula>"OK"</formula>
    </cfRule>
    <cfRule type="cellIs" dxfId="327" priority="26" stopIfTrue="1" operator="equal">
      <formula>"ERROR"</formula>
    </cfRule>
  </conditionalFormatting>
  <conditionalFormatting sqref="C62">
    <cfRule type="cellIs" dxfId="326" priority="23" stopIfTrue="1" operator="equal">
      <formula>"OK"</formula>
    </cfRule>
    <cfRule type="cellIs" dxfId="325" priority="24" stopIfTrue="1" operator="equal">
      <formula>"ERROR"</formula>
    </cfRule>
  </conditionalFormatting>
  <conditionalFormatting sqref="M67:M71">
    <cfRule type="cellIs" dxfId="324" priority="21" stopIfTrue="1" operator="equal">
      <formula>"OK"</formula>
    </cfRule>
    <cfRule type="cellIs" dxfId="323" priority="22" stopIfTrue="1" operator="equal">
      <formula>"ERROR"</formula>
    </cfRule>
  </conditionalFormatting>
  <conditionalFormatting sqref="V67:V71">
    <cfRule type="cellIs" dxfId="322" priority="19" stopIfTrue="1" operator="equal">
      <formula>"OK"</formula>
    </cfRule>
    <cfRule type="cellIs" dxfId="321" priority="20" stopIfTrue="1" operator="equal">
      <formula>"ERROR"</formula>
    </cfRule>
  </conditionalFormatting>
  <conditionalFormatting sqref="C8">
    <cfRule type="cellIs" dxfId="320" priority="46" stopIfTrue="1" operator="equal">
      <formula>"ERROR"</formula>
    </cfRule>
    <cfRule type="cellIs" dxfId="319" priority="47" stopIfTrue="1" operator="equal">
      <formula>"OK"</formula>
    </cfRule>
    <cfRule type="cellIs" dxfId="318" priority="48" stopIfTrue="1" operator="equal">
      <formula>"WARNING"</formula>
    </cfRule>
  </conditionalFormatting>
  <conditionalFormatting sqref="C4">
    <cfRule type="cellIs" dxfId="317" priority="17" stopIfTrue="1" operator="equal">
      <formula>"OK"</formula>
    </cfRule>
    <cfRule type="cellIs" dxfId="316" priority="18" stopIfTrue="1" operator="equal">
      <formula>"ERROR"</formula>
    </cfRule>
  </conditionalFormatting>
  <conditionalFormatting sqref="I81:I85">
    <cfRule type="cellIs" dxfId="315" priority="15" stopIfTrue="1" operator="equal">
      <formula>"OK"</formula>
    </cfRule>
    <cfRule type="cellIs" dxfId="314" priority="16" stopIfTrue="1" operator="equal">
      <formula>"ERROR"</formula>
    </cfRule>
  </conditionalFormatting>
  <conditionalFormatting sqref="V81:V85">
    <cfRule type="cellIs" dxfId="313" priority="13" stopIfTrue="1" operator="equal">
      <formula>"OK"</formula>
    </cfRule>
    <cfRule type="cellIs" dxfId="312" priority="14" stopIfTrue="1" operator="equal">
      <formula>"ERROR"</formula>
    </cfRule>
  </conditionalFormatting>
  <conditionalFormatting sqref="S81:S85">
    <cfRule type="cellIs" dxfId="311" priority="11" stopIfTrue="1" operator="equal">
      <formula>"OK"</formula>
    </cfRule>
    <cfRule type="cellIs" dxfId="310" priority="12" stopIfTrue="1" operator="equal">
      <formula>"ERROR"</formula>
    </cfRule>
  </conditionalFormatting>
  <conditionalFormatting sqref="M81:M85">
    <cfRule type="cellIs" dxfId="309" priority="9" stopIfTrue="1" operator="equal">
      <formula>"OK"</formula>
    </cfRule>
    <cfRule type="cellIs" dxfId="308" priority="10" stopIfTrue="1" operator="equal">
      <formula>"ERROR"</formula>
    </cfRule>
  </conditionalFormatting>
  <conditionalFormatting sqref="C76">
    <cfRule type="cellIs" dxfId="307" priority="7" stopIfTrue="1" operator="equal">
      <formula>"OK"</formula>
    </cfRule>
    <cfRule type="cellIs" dxfId="306" priority="8" stopIfTrue="1" operator="equal">
      <formula>"ERROR"</formula>
    </cfRule>
  </conditionalFormatting>
  <conditionalFormatting sqref="P81:P85">
    <cfRule type="cellIs" dxfId="305" priority="5" stopIfTrue="1" operator="equal">
      <formula>"OK"</formula>
    </cfRule>
    <cfRule type="cellIs" dxfId="304" priority="6" stopIfTrue="1" operator="equal">
      <formula>"ERROR"</formula>
    </cfRule>
  </conditionalFormatting>
  <conditionalFormatting sqref="Y81:Y85">
    <cfRule type="cellIs" dxfId="303" priority="3" stopIfTrue="1" operator="equal">
      <formula>"OK"</formula>
    </cfRule>
    <cfRule type="cellIs" dxfId="302" priority="4" stopIfTrue="1" operator="equal">
      <formula>"ERROR"</formula>
    </cfRule>
  </conditionalFormatting>
  <conditionalFormatting sqref="C9">
    <cfRule type="cellIs" dxfId="301" priority="49" stopIfTrue="1" operator="equal">
      <formula>"ERROR"</formula>
    </cfRule>
    <cfRule type="cellIs" dxfId="300" priority="50" stopIfTrue="1" operator="equal">
      <formula>"OK"</formula>
    </cfRule>
    <cfRule type="cellIs" dxfId="299" priority="51" stopIfTrue="1" operator="equal">
      <formula>"WARNING"</formula>
    </cfRule>
  </conditionalFormatting>
  <conditionalFormatting sqref="C38">
    <cfRule type="cellIs" dxfId="298" priority="1" stopIfTrue="1" operator="equal">
      <formula>"OK"</formula>
    </cfRule>
    <cfRule type="cellIs" dxfId="297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BR90"/>
  <sheetViews>
    <sheetView showGridLines="0" tabSelected="1" topLeftCell="P16" zoomScaleNormal="100" workbookViewId="0">
      <selection activeCell="X22" sqref="X22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6" width="16.5" style="455" customWidth="1"/>
    <col min="17" max="17" width="6.25" style="455" customWidth="1"/>
    <col min="18" max="18" width="16.5" style="455" customWidth="1"/>
    <col min="19" max="19" width="20.25" style="455" bestFit="1" customWidth="1"/>
    <col min="20" max="20" width="19.5" style="455" bestFit="1" customWidth="1"/>
    <col min="21" max="21" width="16.5" style="455" customWidth="1"/>
    <col min="22" max="22" width="8.375" style="455" customWidth="1"/>
    <col min="23" max="23" width="12.75" style="455" customWidth="1"/>
    <col min="24" max="24" width="18.5" style="455" bestFit="1" customWidth="1"/>
    <col min="25" max="25" width="18.75" style="455" bestFit="1" customWidth="1"/>
    <col min="26" max="26" width="12.75" style="455" customWidth="1"/>
    <col min="27" max="28" width="3.75" style="455" customWidth="1"/>
    <col min="29" max="29" width="17.75" customWidth="1"/>
    <col min="30" max="30" width="10" customWidth="1"/>
    <col min="31" max="31" width="11.25" customWidth="1"/>
    <col min="32" max="32" width="11.875" customWidth="1"/>
    <col min="33" max="33" width="10.125" bestFit="1" customWidth="1"/>
    <col min="34" max="34" width="11.375" customWidth="1"/>
    <col min="35" max="35" width="19" customWidth="1"/>
    <col min="36" max="36" width="21.5" customWidth="1"/>
    <col min="37" max="37" width="13.5" bestFit="1" customWidth="1"/>
    <col min="38" max="42" width="13.5" style="455" customWidth="1"/>
    <col min="43" max="44" width="3.75" customWidth="1"/>
    <col min="45" max="45" width="11.375" customWidth="1"/>
    <col min="47" max="47" width="11" customWidth="1"/>
    <col min="62" max="62" width="20.25" customWidth="1"/>
  </cols>
  <sheetData>
    <row r="1" spans="2:70" x14ac:dyDescent="0.25">
      <c r="B1" s="418" t="s">
        <v>403</v>
      </c>
    </row>
    <row r="2" spans="2:70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</row>
    <row r="4" spans="2:70" ht="18.75" x14ac:dyDescent="0.3">
      <c r="B4" s="3" t="s">
        <v>155</v>
      </c>
      <c r="C4" s="3"/>
      <c r="D4" s="3"/>
      <c r="E4" s="3"/>
      <c r="F4" s="3"/>
      <c r="G4" s="3"/>
      <c r="H4" s="3"/>
      <c r="I4" s="3"/>
      <c r="J4" s="3"/>
    </row>
    <row r="6" spans="2:70" x14ac:dyDescent="0.25">
      <c r="B6" s="59" t="s">
        <v>155</v>
      </c>
      <c r="C6" s="174" t="str" cm="1">
        <f t="array" aca="1" ref="C6" ca="1">_xll.d.TestUtils_And(D10:D11,D14)</f>
        <v>Ok</v>
      </c>
    </row>
    <row r="8" spans="2:70" x14ac:dyDescent="0.25">
      <c r="B8" s="199" t="s">
        <v>9</v>
      </c>
      <c r="C8" s="199"/>
      <c r="D8" s="200" t="s">
        <v>10</v>
      </c>
      <c r="K8" s="213"/>
      <c r="L8" s="21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213"/>
      <c r="AB8" s="214"/>
      <c r="AQ8" s="213"/>
      <c r="AR8" s="214"/>
    </row>
    <row r="9" spans="2:70" x14ac:dyDescent="0.25">
      <c r="B9" s="245" t="str">
        <f>B18</f>
        <v>ZAR Swap Curve Testing</v>
      </c>
      <c r="C9" s="246"/>
      <c r="D9" s="247"/>
      <c r="K9" s="213"/>
      <c r="L9" s="21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213"/>
      <c r="AB9" s="214"/>
      <c r="AQ9" s="213"/>
      <c r="AR9" s="214"/>
    </row>
    <row r="10" spans="2:70" x14ac:dyDescent="0.25">
      <c r="B10" s="417" t="str">
        <f>B20</f>
        <v>Flat Curve, 3m JIBAR</v>
      </c>
      <c r="C10" s="212"/>
      <c r="D10" s="174" t="str">
        <f ca="1">C22</f>
        <v>Ok</v>
      </c>
      <c r="K10" s="213"/>
      <c r="L10" s="21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213"/>
      <c r="AB10" s="214"/>
      <c r="AQ10" s="213"/>
      <c r="AR10" s="214"/>
    </row>
    <row r="11" spans="2:70" x14ac:dyDescent="0.25">
      <c r="B11" s="212" t="s">
        <v>606</v>
      </c>
      <c r="C11" s="212"/>
      <c r="D11" s="174" t="str">
        <f ca="1">N22</f>
        <v>Ok</v>
      </c>
      <c r="K11" s="213"/>
      <c r="L11" s="21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213"/>
      <c r="AB11" s="214"/>
      <c r="AQ11" s="213"/>
      <c r="AR11" s="214"/>
    </row>
    <row r="12" spans="2:70" s="455" customFormat="1" x14ac:dyDescent="0.25">
      <c r="K12" s="213"/>
      <c r="L12" s="21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213"/>
      <c r="AB12" s="214"/>
      <c r="AQ12" s="213"/>
      <c r="AR12" s="214"/>
    </row>
    <row r="13" spans="2:70" x14ac:dyDescent="0.25">
      <c r="B13" s="245" t="s">
        <v>206</v>
      </c>
      <c r="C13" s="246"/>
      <c r="D13" s="247"/>
      <c r="K13" s="213"/>
      <c r="L13" s="21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213"/>
      <c r="AB13" s="214"/>
      <c r="AQ13" s="213"/>
      <c r="AR13" s="214"/>
    </row>
    <row r="14" spans="2:70" x14ac:dyDescent="0.25">
      <c r="B14" s="417" t="str">
        <f>AC20</f>
        <v>Real Curve, FEDFUND</v>
      </c>
      <c r="C14" s="212"/>
      <c r="D14" s="174" t="str">
        <f ca="1">AD22</f>
        <v>Ok</v>
      </c>
      <c r="K14" s="213"/>
      <c r="L14" s="21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213"/>
      <c r="AB14" s="214"/>
      <c r="AQ14" s="213"/>
      <c r="AR14" s="214"/>
    </row>
    <row r="15" spans="2:70" x14ac:dyDescent="0.25">
      <c r="B15" s="209"/>
      <c r="C15" s="244"/>
      <c r="D15" s="174"/>
      <c r="K15" s="213"/>
      <c r="L15" s="21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213"/>
      <c r="AB15" s="214"/>
      <c r="AQ15" s="213"/>
      <c r="AR15" s="214"/>
    </row>
    <row r="16" spans="2:70" x14ac:dyDescent="0.25">
      <c r="K16" s="213"/>
      <c r="L16" s="21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213"/>
      <c r="AB16" s="214"/>
      <c r="AQ16" s="213"/>
      <c r="AR16" s="214"/>
    </row>
    <row r="17" spans="2:69" x14ac:dyDescent="0.25">
      <c r="K17" s="213"/>
      <c r="L17" s="21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814"/>
      <c r="Y17" s="64"/>
      <c r="Z17" s="64"/>
      <c r="AA17" s="213"/>
      <c r="AB17" s="214"/>
      <c r="AQ17" s="213"/>
      <c r="AR17" s="214"/>
    </row>
    <row r="18" spans="2:69" ht="18.75" x14ac:dyDescent="0.3">
      <c r="B18" s="3" t="s">
        <v>226</v>
      </c>
      <c r="C18" s="3"/>
      <c r="D18" s="3"/>
      <c r="E18" s="3"/>
      <c r="F18" s="3"/>
      <c r="G18" s="3"/>
      <c r="H18" s="3"/>
      <c r="I18" s="3"/>
      <c r="J18" s="3"/>
      <c r="K18" s="213"/>
      <c r="L18" s="214"/>
      <c r="M18" s="3" t="s">
        <v>226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213"/>
      <c r="AB18" s="214"/>
      <c r="AC18" s="3" t="s">
        <v>227</v>
      </c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213"/>
      <c r="AR18" s="214"/>
      <c r="AS18" s="3" t="s">
        <v>199</v>
      </c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</row>
    <row r="19" spans="2:69" x14ac:dyDescent="0.25">
      <c r="K19" s="213"/>
      <c r="L19" s="214"/>
      <c r="AA19" s="213"/>
      <c r="AB19" s="214"/>
      <c r="AQ19" s="213"/>
      <c r="AR19" s="214"/>
    </row>
    <row r="20" spans="2:69" ht="15.75" x14ac:dyDescent="0.25">
      <c r="B20" s="4" t="s">
        <v>207</v>
      </c>
      <c r="C20" s="4"/>
      <c r="D20" s="4"/>
      <c r="E20" s="4"/>
      <c r="F20" s="4"/>
      <c r="G20" s="4"/>
      <c r="H20" s="4"/>
      <c r="I20" s="4"/>
      <c r="J20" s="4"/>
      <c r="K20" s="213"/>
      <c r="L20" s="214"/>
      <c r="M20" s="4" t="s">
        <v>606</v>
      </c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213"/>
      <c r="AB20" s="214"/>
      <c r="AC20" s="4" t="s">
        <v>624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213"/>
      <c r="AR20" s="214"/>
      <c r="AS20" t="s">
        <v>203</v>
      </c>
      <c r="BC20" t="s">
        <v>200</v>
      </c>
    </row>
    <row r="21" spans="2:69" x14ac:dyDescent="0.25">
      <c r="K21" s="213"/>
      <c r="L21" s="214"/>
      <c r="V21" s="756"/>
      <c r="W21" s="756"/>
      <c r="X21" s="756"/>
      <c r="Y21" s="756"/>
      <c r="Z21" s="756"/>
      <c r="AA21" s="213"/>
      <c r="AB21" s="214"/>
      <c r="AQ21" s="213"/>
      <c r="AR21" s="214"/>
    </row>
    <row r="22" spans="2:69" x14ac:dyDescent="0.25">
      <c r="B22" s="59" t="s">
        <v>122</v>
      </c>
      <c r="C22" s="174" t="str" cm="1">
        <f t="array" aca="1" ref="C22" ca="1">_xll.d.TestUtils_And(J24:J29,J50:J51)</f>
        <v>Ok</v>
      </c>
      <c r="G22" s="241" t="s">
        <v>225</v>
      </c>
      <c r="H22" s="242"/>
      <c r="I22" s="242"/>
      <c r="J22" s="243"/>
      <c r="K22" s="213"/>
      <c r="L22" s="214"/>
      <c r="M22" s="59" t="s">
        <v>122</v>
      </c>
      <c r="N22" s="174" t="str" cm="1">
        <f t="array" aca="1" ref="N22" ca="1">_xll.d.TestUtils_And(U26:U36,U77:U82,Z26:Z42)</f>
        <v>Ok</v>
      </c>
      <c r="V22" s="756"/>
      <c r="W22" s="131" t="s">
        <v>508</v>
      </c>
      <c r="X22" s="815">
        <v>1E-4</v>
      </c>
      <c r="Y22" s="756"/>
      <c r="Z22" s="756"/>
      <c r="AA22" s="213"/>
      <c r="AB22" s="214"/>
      <c r="AC22" s="59" t="s">
        <v>122</v>
      </c>
      <c r="AD22" s="174" t="str" cm="1">
        <f t="array" aca="1" ref="AD22" ca="1">_xll.d.TestUtils_And(AK24:AK30,AK49:AK54,AP24:AP45)</f>
        <v>Ok</v>
      </c>
      <c r="AH22" s="131" t="s">
        <v>225</v>
      </c>
      <c r="AI22" s="202"/>
      <c r="AJ22" s="202"/>
      <c r="AK22" s="132"/>
      <c r="AM22" s="131" t="s">
        <v>34</v>
      </c>
      <c r="AN22" s="772" t="s">
        <v>2</v>
      </c>
      <c r="AO22" s="773"/>
      <c r="AP22" s="132" t="s">
        <v>83</v>
      </c>
      <c r="AQ22" s="213"/>
      <c r="AR22" s="214"/>
      <c r="AS22" s="66" t="s">
        <v>40</v>
      </c>
      <c r="AT22" s="66"/>
      <c r="AU22" s="275" t="str" cm="1">
        <f t="array" ref="AU22">_xll.d.Curve_SingleCurveBootstrap("CurveMissingBaseDate",AS26:AT28,AS33:AU38,AS40:AU43,AS45:AU48)</f>
        <v>#∂Excel Error: Curve parameter missing: 'BASEDATE'.</v>
      </c>
      <c r="AV22" s="39"/>
      <c r="AW22" s="39"/>
      <c r="AX22" s="39"/>
      <c r="AY22" s="219"/>
      <c r="BC22" s="66" t="s">
        <v>40</v>
      </c>
      <c r="BD22" s="66"/>
      <c r="BE22" s="218" t="str" cm="1">
        <f t="array" ref="BE22">_xll.d.Curve_SingleCurveBootstrap("CurveMissingRateIndex",BC26:BD28,BC33:BE38,BC40:BE43,BC45:BE48)</f>
        <v>#∂Excel Error: Curve parameter missing: 'RATEINDEXTENOR'.</v>
      </c>
      <c r="BF22" s="219"/>
      <c r="BN22" s="66" t="s">
        <v>40</v>
      </c>
      <c r="BO22" s="66"/>
      <c r="BP22" s="218"/>
      <c r="BQ22" s="219"/>
    </row>
    <row r="23" spans="2:69" x14ac:dyDescent="0.25">
      <c r="G23" s="72" t="s">
        <v>34</v>
      </c>
      <c r="H23" s="73" t="s">
        <v>41</v>
      </c>
      <c r="I23" s="73" t="s">
        <v>42</v>
      </c>
      <c r="J23" s="74" t="s">
        <v>83</v>
      </c>
      <c r="K23" s="213"/>
      <c r="L23" s="214"/>
      <c r="V23" s="756"/>
      <c r="W23" s="756"/>
      <c r="X23" s="756"/>
      <c r="Y23" s="756"/>
      <c r="Z23" s="756"/>
      <c r="AA23" s="213"/>
      <c r="AB23" s="214"/>
      <c r="AH23" s="781" t="s">
        <v>34</v>
      </c>
      <c r="AI23" s="782" t="s">
        <v>41</v>
      </c>
      <c r="AJ23" s="782" t="s">
        <v>42</v>
      </c>
      <c r="AK23" s="783" t="s">
        <v>9</v>
      </c>
      <c r="AM23" s="770"/>
      <c r="AN23" s="764" t="s">
        <v>622</v>
      </c>
      <c r="AO23" s="44" t="s">
        <v>623</v>
      </c>
      <c r="AP23" s="771"/>
      <c r="AQ23" s="213"/>
      <c r="AR23" s="214"/>
    </row>
    <row r="24" spans="2:69" x14ac:dyDescent="0.25">
      <c r="G24" s="238">
        <f>C30</f>
        <v>44713</v>
      </c>
      <c r="H24" s="248">
        <v>1</v>
      </c>
      <c r="I24" s="248" cm="1">
        <f t="array" aca="1" ref="I24" ca="1">_xll.d.Curve_GetDiscountFactors($D$25,G24)</f>
        <v>1</v>
      </c>
      <c r="J24" s="227" t="str" cm="1">
        <f t="array" aca="1" ref="J24" ca="1">_xll.d.TestUtils_Equal(H24,I24,0.00001)</f>
        <v>Ok</v>
      </c>
      <c r="K24" s="213"/>
      <c r="L24" s="214"/>
      <c r="R24" s="241" t="s">
        <v>225</v>
      </c>
      <c r="S24" s="242"/>
      <c r="T24" s="242"/>
      <c r="U24" s="243"/>
      <c r="V24" s="756"/>
      <c r="W24" s="131" t="s">
        <v>34</v>
      </c>
      <c r="X24" s="772" t="s">
        <v>2</v>
      </c>
      <c r="Y24" s="773"/>
      <c r="Z24" s="132" t="s">
        <v>83</v>
      </c>
      <c r="AA24" s="213"/>
      <c r="AB24" s="214"/>
      <c r="AH24" s="784">
        <f>AD30</f>
        <v>43921</v>
      </c>
      <c r="AI24" s="754">
        <v>1</v>
      </c>
      <c r="AJ24" s="754" cm="1">
        <f t="array" aca="1" ref="AJ24" ca="1">_xll.d.Curve_GetDiscountFactors($AE$25,AH24)</f>
        <v>1</v>
      </c>
      <c r="AK24" s="785" t="str" cm="1">
        <f t="array" aca="1" ref="AK24" ca="1">_xll.d.TestUtils_Equal(AI24,AJ24,0.001)</f>
        <v>Ok</v>
      </c>
      <c r="AM24" s="796">
        <v>43923</v>
      </c>
      <c r="AN24" s="797">
        <v>1</v>
      </c>
      <c r="AO24" s="798" cm="1">
        <f t="array" aca="1" ref="AO24" ca="1">_xll.d.Curve_GetDiscountFactors($AE$25,AM24)</f>
        <v>0.999995833404974</v>
      </c>
      <c r="AP24" s="763" t="str" cm="1">
        <f t="array" aca="1" ref="AP24" ca="1">_xll.d.TestUtils_Equal(AN24,AO24,0.0001)</f>
        <v>Ok</v>
      </c>
      <c r="AQ24" s="213"/>
      <c r="AR24" s="214"/>
      <c r="AU24" t="s">
        <v>202</v>
      </c>
    </row>
    <row r="25" spans="2:69" x14ac:dyDescent="0.25">
      <c r="B25" s="66" t="s">
        <v>40</v>
      </c>
      <c r="C25" s="66"/>
      <c r="D25" s="218" t="str" cm="1">
        <f t="array" ref="D25">_xll.d.Curve_SingleCurveBootstrap("ZARFlatCurve",B28:C33,,B36:D40,B42:D46,B48:D51)</f>
        <v>@@ZARFlatCurve::12:23:27</v>
      </c>
      <c r="E25" s="219"/>
      <c r="G25" s="239">
        <f>EDATE(G24,1)</f>
        <v>44743</v>
      </c>
      <c r="H25" s="249">
        <f>1/(1+YEARFRAC($G$24,G25,3)*C38)</f>
        <v>0.99184782608695643</v>
      </c>
      <c r="I25" s="249" cm="1">
        <f t="array" aca="1" ref="I25" ca="1">_xll.d.Curve_GetDiscountFactors($D$25,G25)</f>
        <v>0.99184782608695654</v>
      </c>
      <c r="J25" s="231" t="str" cm="1">
        <f t="array" aca="1" ref="J25" ca="1">_xll.d.TestUtils_Equal(H25,I25,0.00001)</f>
        <v>Ok</v>
      </c>
      <c r="K25" s="213"/>
      <c r="L25" s="214"/>
      <c r="M25" s="66" t="s">
        <v>40</v>
      </c>
      <c r="N25" s="66"/>
      <c r="O25" s="218" t="str" cm="1">
        <f t="array" ref="O25">_xll.d.Curve_SingleCurveBootstrap("ZARRealCurve",M28:N33,,M36:O40,M42:O50,M52:O59)</f>
        <v>@@ZARRealCurve::12:23:27</v>
      </c>
      <c r="P25" s="219"/>
      <c r="R25" s="72" t="s">
        <v>34</v>
      </c>
      <c r="S25" s="73" t="s">
        <v>41</v>
      </c>
      <c r="T25" s="73" t="s">
        <v>42</v>
      </c>
      <c r="U25" s="74" t="s">
        <v>83</v>
      </c>
      <c r="V25" s="756"/>
      <c r="W25" s="770"/>
      <c r="X25" s="764" t="s">
        <v>622</v>
      </c>
      <c r="Y25" s="44" t="s">
        <v>623</v>
      </c>
      <c r="Z25" s="771"/>
      <c r="AA25" s="213"/>
      <c r="AB25" s="214"/>
      <c r="AC25" s="66" t="s">
        <v>40</v>
      </c>
      <c r="AD25" s="66"/>
      <c r="AE25" s="218" t="str" cm="1">
        <f t="array" ref="AE25">_xll.d.Curve_SingleCurveBootstrap("USDOIS",AC28:AD33,,AC36:AE38,AC40:AE61)</f>
        <v>@@USDOIS::12:23:27</v>
      </c>
      <c r="AF25" s="219"/>
      <c r="AH25" s="786">
        <f>EDATE(AF29,1)</f>
        <v>43953</v>
      </c>
      <c r="AI25" s="755" cm="1">
        <f t="array" ref="AI25">1/(1+AD42*_xll.d.Dates_Act360($AH$24,AH25))</f>
        <v>0.99993778164914182</v>
      </c>
      <c r="AJ25" s="755" cm="1">
        <f t="array" aca="1" ref="AJ25" ca="1">_xll.d.Curve_GetDiscountFactors($AE$25,AH25)</f>
        <v>0.99993750383066682</v>
      </c>
      <c r="AK25" s="787" t="str" cm="1">
        <f t="array" aca="1" ref="AK25" ca="1">_xll.d.TestUtils_Equal(AI25,AJ25,0.001)</f>
        <v>Ok</v>
      </c>
      <c r="AM25" s="799">
        <v>43924</v>
      </c>
      <c r="AN25" s="777">
        <v>0.99999777778271604</v>
      </c>
      <c r="AO25" s="800" cm="1">
        <f t="array" aca="1" ref="AO25" ca="1">_xll.d.Curve_GetDiscountFactors($AE$25,AM25)</f>
        <v>0.99999388903101261</v>
      </c>
      <c r="AP25" s="765" t="str" cm="1">
        <f t="array" aca="1" ref="AP25" ca="1">_xll.d.TestUtils_Equal(AN25,AO25,0.0001)</f>
        <v>Ok</v>
      </c>
      <c r="AQ25" s="213"/>
      <c r="AR25" s="214"/>
    </row>
    <row r="26" spans="2:69" x14ac:dyDescent="0.25">
      <c r="G26" s="239">
        <f>EDATE(G24,2)</f>
        <v>44774</v>
      </c>
      <c r="H26" s="249">
        <f>1/(1+YEARFRAC($G$24,G26,3)*C39)</f>
        <v>0.98356238210724867</v>
      </c>
      <c r="I26" s="249" cm="1">
        <f t="array" aca="1" ref="I26" ca="1">_xll.d.Curve_GetDiscountFactors($D$25,G26)</f>
        <v>0.98356238210724867</v>
      </c>
      <c r="J26" s="231" t="str" cm="1">
        <f t="array" aca="1" ref="J26" ca="1">_xll.d.TestUtils_Equal(H26,I26,0.00001)</f>
        <v>Ok</v>
      </c>
      <c r="K26" s="213"/>
      <c r="L26" s="214"/>
      <c r="R26" s="238">
        <f>N30</f>
        <v>43861</v>
      </c>
      <c r="S26" s="749">
        <v>1</v>
      </c>
      <c r="T26" s="749" cm="1">
        <f t="array" aca="1" ref="T26" ca="1">_xll.d.Curve_GetDiscountFactors($O$25,R26)</f>
        <v>1</v>
      </c>
      <c r="U26" s="227" t="str" cm="1">
        <f t="array" aca="1" ref="U26" ca="1">_xll.d.TestUtils_Equal(S26,T26,0.00001)</f>
        <v>Ok</v>
      </c>
      <c r="V26" s="756"/>
      <c r="W26" s="767">
        <v>43861</v>
      </c>
      <c r="X26" s="774">
        <v>1</v>
      </c>
      <c r="Y26" s="775" cm="1">
        <f t="array" aca="1" ref="Y26" ca="1">_xll.d.Curve_GetDiscountFactors($O$25,W26)</f>
        <v>1</v>
      </c>
      <c r="Z26" s="763" t="str" cm="1">
        <f t="array" aca="1" ref="Z26" ca="1">_xll.d.TestUtils_Equal(X26,Y26,$X$22)</f>
        <v>Ok</v>
      </c>
      <c r="AA26" s="213"/>
      <c r="AB26" s="214"/>
      <c r="AH26" s="786">
        <f>EDATE(AH25,1)</f>
        <v>43984</v>
      </c>
      <c r="AI26" s="755" cm="1">
        <f t="array" ref="AI26">1/(1+AD43*_xll.d.Dates_Act360($AH$24,AH26))</f>
        <v>0.99987576543614454</v>
      </c>
      <c r="AJ26" s="755" cm="1">
        <f t="array" aca="1" ref="AJ26" ca="1">_xll.d.Curve_GetDiscountFactors($AE$25,AH26)</f>
        <v>0.99987554282230839</v>
      </c>
      <c r="AK26" s="787" t="str" cm="1">
        <f t="array" aca="1" ref="AK26" ca="1">_xll.d.TestUtils_Equal(AI26,AJ26,0.001)</f>
        <v>Ok</v>
      </c>
      <c r="AM26" s="799">
        <v>43955</v>
      </c>
      <c r="AN26" s="777">
        <v>0.99993778164914182</v>
      </c>
      <c r="AO26" s="800" cm="1">
        <f t="array" aca="1" ref="AO26" ca="1">_xll.d.Curve_GetDiscountFactors($AE$25,AM26)</f>
        <v>0.99993361531335445</v>
      </c>
      <c r="AP26" s="765" t="str" cm="1">
        <f t="array" aca="1" ref="AP26" ca="1">_xll.d.TestUtils_Equal(AN26,AO26,0.0001)</f>
        <v>Ok</v>
      </c>
      <c r="AQ26" s="213"/>
      <c r="AR26" s="214"/>
      <c r="AS26" s="58" t="s">
        <v>60</v>
      </c>
      <c r="AT26" s="59"/>
      <c r="BC26" s="58" t="s">
        <v>60</v>
      </c>
      <c r="BD26" s="59"/>
      <c r="BN26" s="58" t="s">
        <v>60</v>
      </c>
      <c r="BO26" s="59"/>
    </row>
    <row r="27" spans="2:69" x14ac:dyDescent="0.25">
      <c r="G27" s="239">
        <f>EDATE(G24,3)</f>
        <v>44805</v>
      </c>
      <c r="H27" s="249">
        <f>1/(1+YEARFRAC($G$24,G27,3)*C40)</f>
        <v>0.97541421699625863</v>
      </c>
      <c r="I27" s="249" cm="1">
        <f t="array" aca="1" ref="I27" ca="1">_xll.d.Curve_GetDiscountFactors($D$25,G27)</f>
        <v>0.97541421699625863</v>
      </c>
      <c r="J27" s="231" t="str" cm="1">
        <f t="array" aca="1" ref="J27" ca="1">_xll.d.TestUtils_Equal(H27,I27,0.00001)</f>
        <v>Ok</v>
      </c>
      <c r="K27" s="213"/>
      <c r="L27" s="214"/>
      <c r="R27" s="239">
        <v>43862</v>
      </c>
      <c r="S27" s="747" cm="1">
        <f t="array" ref="S27">1/(1+_xll.d.Dates_Act365($R$26,R27)*N38)</f>
        <v>0.99982802957891237</v>
      </c>
      <c r="T27" s="747" cm="1">
        <f t="array" aca="1" ref="T27" ca="1">_xll.d.Curve_GetDiscountFactors($O$25,R27)</f>
        <v>0.99982805914426409</v>
      </c>
      <c r="U27" s="231" t="str" cm="1">
        <f t="array" aca="1" ref="U27" ca="1">_xll.d.TestUtils_Equal(S27,T27,0.00001)</f>
        <v>Ok</v>
      </c>
      <c r="V27" s="756"/>
      <c r="W27" s="768">
        <v>43864</v>
      </c>
      <c r="X27" s="776">
        <v>0.99948429439882203</v>
      </c>
      <c r="Y27" s="777" cm="1">
        <f t="array" aca="1" ref="Y27" ca="1">_xll.d.Curve_GetDiscountFactors($O$25,W27)</f>
        <v>0.9994842661186828</v>
      </c>
      <c r="Z27" s="763" t="str" cm="1">
        <f t="array" aca="1" ref="Z27" ca="1">_xll.d.TestUtils_Equal(X27,Y27,$X$22)</f>
        <v>Ok</v>
      </c>
      <c r="AA27" s="213"/>
      <c r="AB27" s="214"/>
      <c r="AH27" s="786">
        <f>EDATE(AH26,1)</f>
        <v>44014</v>
      </c>
      <c r="AI27" s="755" cm="1">
        <f t="array" ref="AI27">1/(1+AD44*_xll.d.Dates_Act360($AH$24,AH27))</f>
        <v>0.99982436418669129</v>
      </c>
      <c r="AJ27" s="755" cm="1">
        <f t="array" aca="1" ref="AJ27" ca="1">_xll.d.Curve_GetDiscountFactors($AE$25,AH27)</f>
        <v>0.99982397477286578</v>
      </c>
      <c r="AK27" s="787" t="str" cm="1">
        <f t="array" aca="1" ref="AK27" ca="1">_xll.d.TestUtils_Equal(AI27,AJ27,0.001)</f>
        <v>Ok</v>
      </c>
      <c r="AM27" s="799">
        <v>43984</v>
      </c>
      <c r="AN27" s="777">
        <v>0.99987970891612998</v>
      </c>
      <c r="AO27" s="800" cm="1">
        <f t="array" aca="1" ref="AO27" ca="1">_xll.d.Curve_GetDiscountFactors($AE$25,AM27)</f>
        <v>0.99987554282230828</v>
      </c>
      <c r="AP27" s="765" t="str" cm="1">
        <f t="array" aca="1" ref="AP27" ca="1">_xll.d.TestUtils_Equal(AN27,AO27,0.0001)</f>
        <v>Ok</v>
      </c>
      <c r="AQ27" s="213"/>
      <c r="AR27" s="214"/>
      <c r="AS27" s="60" t="s">
        <v>31</v>
      </c>
      <c r="AT27" s="61" t="s">
        <v>32</v>
      </c>
      <c r="BC27" s="60" t="s">
        <v>31</v>
      </c>
      <c r="BD27" s="61" t="s">
        <v>32</v>
      </c>
      <c r="BN27" s="60" t="s">
        <v>31</v>
      </c>
      <c r="BO27" s="61" t="s">
        <v>32</v>
      </c>
    </row>
    <row r="28" spans="2:69" x14ac:dyDescent="0.25">
      <c r="B28" s="12" t="s">
        <v>60</v>
      </c>
      <c r="C28" s="13"/>
      <c r="G28" s="239">
        <f>EDATE(G24,6)</f>
        <v>44896</v>
      </c>
      <c r="H28" s="249">
        <f>H27*1/(1+YEARFRAC($G$27,G28,3)*C44)</f>
        <v>0.95168722053898536</v>
      </c>
      <c r="I28" s="249" cm="1">
        <f t="array" aca="1" ref="I28" ca="1">_xll.d.Curve_GetDiscountFactors($D$25,G28)</f>
        <v>0.95168722053898547</v>
      </c>
      <c r="J28" s="231" t="str" cm="1">
        <f t="array" aca="1" ref="J28" ca="1">_xll.d.TestUtils_Equal(H28,I28,0.00001)</f>
        <v>Ok</v>
      </c>
      <c r="K28" s="213"/>
      <c r="L28" s="214"/>
      <c r="M28" s="12" t="s">
        <v>60</v>
      </c>
      <c r="N28" s="13"/>
      <c r="R28" s="239" cm="1">
        <f t="array" ref="R28">_xll.d.Dates_AddTenorToDate($N$30,M39,"ZAR","ModFol")</f>
        <v>43889</v>
      </c>
      <c r="S28" s="747" cm="1">
        <f t="array" ref="S28">1/(1+_xll.d.Dates_Act365($R$26,R28)*N39)</f>
        <v>0.99512731140810684</v>
      </c>
      <c r="T28" s="747" cm="1">
        <f t="array" aca="1" ref="T28" ca="1">_xll.d.Curve_GetDiscountFactors($O$25,R28)</f>
        <v>0.99512731140810673</v>
      </c>
      <c r="U28" s="231" t="str" cm="1">
        <f t="array" aca="1" ref="U28" ca="1">_xll.d.TestUtils_Equal(S28,T28,0.00001)</f>
        <v>Ok</v>
      </c>
      <c r="V28" s="756"/>
      <c r="W28" s="768">
        <v>43892</v>
      </c>
      <c r="X28" s="776">
        <v>0.99460805260486285</v>
      </c>
      <c r="Y28" s="777" cm="1">
        <f t="array" aca="1" ref="Y28" ca="1">_xll.d.Curve_GetDiscountFactors($O$25,W28)</f>
        <v>0.99459025791532141</v>
      </c>
      <c r="Z28" s="763" t="str" cm="1">
        <f t="array" aca="1" ref="Z28" ca="1">_xll.d.TestUtils_Equal(X28,Y28,$X$22)</f>
        <v>Ok</v>
      </c>
      <c r="AA28" s="213"/>
      <c r="AB28" s="214"/>
      <c r="AC28" s="12" t="s">
        <v>60</v>
      </c>
      <c r="AD28" s="13"/>
      <c r="AF28" s="12" t="s">
        <v>633</v>
      </c>
      <c r="AH28" s="786">
        <f>EDATE(AH27,1)</f>
        <v>44045</v>
      </c>
      <c r="AI28" s="755" cm="1">
        <f t="array" ref="AI28">1/(1+AD45*_xll.d.Dates_Act360($AH$24,AH28))</f>
        <v>0.99976927546831706</v>
      </c>
      <c r="AJ28" s="755" cm="1">
        <f t="array" aca="1" ref="AJ28" ca="1">_xll.d.Curve_GetDiscountFactors($AE$25,AH28)</f>
        <v>0.99976875143010868</v>
      </c>
      <c r="AK28" s="787" t="str" cm="1">
        <f t="array" aca="1" ref="AK28" ca="1">_xll.d.TestUtils_Equal(AI28,AJ28,0.001)</f>
        <v>Ok</v>
      </c>
      <c r="AM28" s="799">
        <v>44014</v>
      </c>
      <c r="AN28" s="777">
        <v>0.99982814065182357</v>
      </c>
      <c r="AO28" s="800" cm="1">
        <f t="array" aca="1" ref="AO28" ca="1">_xll.d.Curve_GetDiscountFactors($AE$25,AM28)</f>
        <v>0.99982397477286578</v>
      </c>
      <c r="AP28" s="765" t="str" cm="1">
        <f t="array" aca="1" ref="AP28" ca="1">_xll.d.TestUtils_Equal(AN28,AO28,0.0001)</f>
        <v>Ok</v>
      </c>
      <c r="AQ28" s="213"/>
      <c r="AR28" s="214"/>
      <c r="AS28" s="224" t="s">
        <v>35</v>
      </c>
      <c r="AT28" s="225" t="s">
        <v>36</v>
      </c>
      <c r="AV28" s="62"/>
      <c r="BC28" s="220" t="s">
        <v>198</v>
      </c>
      <c r="BD28" s="46">
        <v>44713</v>
      </c>
      <c r="BF28" s="62"/>
      <c r="BN28" s="220" t="s">
        <v>198</v>
      </c>
      <c r="BO28" s="46">
        <v>44713</v>
      </c>
      <c r="BQ28" s="62"/>
    </row>
    <row r="29" spans="2:69" x14ac:dyDescent="0.25">
      <c r="B29" s="72" t="s">
        <v>31</v>
      </c>
      <c r="C29" s="74" t="s">
        <v>32</v>
      </c>
      <c r="G29" s="240">
        <f>EDATE(G24,9)</f>
        <v>44986</v>
      </c>
      <c r="H29" s="250">
        <f>H28*1/(1+C45*YEARFRAC(G28,G29,3))</f>
        <v>0.92878565640836808</v>
      </c>
      <c r="I29" s="250" cm="1">
        <f t="array" aca="1" ref="I29" ca="1">_xll.d.Curve_GetDiscountFactors($D$25,G29)</f>
        <v>0.92878565640836819</v>
      </c>
      <c r="J29" s="229" t="str" cm="1">
        <f t="array" aca="1" ref="J29" ca="1">_xll.d.TestUtils_Equal(H29,I29,0.00001)</f>
        <v>Ok</v>
      </c>
      <c r="K29" s="213"/>
      <c r="L29" s="214"/>
      <c r="M29" s="72" t="s">
        <v>31</v>
      </c>
      <c r="N29" s="74" t="s">
        <v>32</v>
      </c>
      <c r="R29" s="239" cm="1">
        <f t="array" ref="R29">_xll.d.Dates_AddTenorToDate($N$30,M40,"ZAR","ModFol")</f>
        <v>43951</v>
      </c>
      <c r="S29" s="747" cm="1">
        <f t="array" ref="S29">1/(1+_xll.d.Dates_Act365($R$26,R29)*N40)</f>
        <v>0.98408691024210704</v>
      </c>
      <c r="T29" s="747" cm="1">
        <f t="array" aca="1" ref="T29" ca="1">_xll.d.Curve_GetDiscountFactors($O$25,R29)</f>
        <v>0.98408691024210693</v>
      </c>
      <c r="U29" s="231" t="str" cm="1">
        <f t="array" aca="1" ref="U29" ca="1">_xll.d.TestUtils_Equal(S29,T29,0.00001)</f>
        <v>Ok</v>
      </c>
      <c r="V29" s="756"/>
      <c r="W29" s="768">
        <v>43951</v>
      </c>
      <c r="X29" s="776">
        <v>0.98408691018216155</v>
      </c>
      <c r="Y29" s="777" cm="1">
        <f t="array" aca="1" ref="Y29" ca="1">_xll.d.Curve_GetDiscountFactors($O$25,W29)</f>
        <v>0.98408691024210693</v>
      </c>
      <c r="Z29" s="763" t="str" cm="1">
        <f t="array" aca="1" ref="Z29" ca="1">_xll.d.TestUtils_Equal(X29,Y29,$X$22)</f>
        <v>Ok</v>
      </c>
      <c r="AA29" s="213"/>
      <c r="AB29" s="214"/>
      <c r="AC29" s="72" t="s">
        <v>31</v>
      </c>
      <c r="AD29" s="74" t="s">
        <v>32</v>
      </c>
      <c r="AF29" s="795" cm="1">
        <f t="array" ref="AF29">_xll.d.Dates_AddTenorToDate(AD30,"2d","USD","MODFOL")</f>
        <v>43923</v>
      </c>
      <c r="AH29" s="786">
        <f>EDATE(AH28,1)</f>
        <v>44076</v>
      </c>
      <c r="AI29" s="755" cm="1">
        <f t="array" ref="AI29">1/(1+AD46*_xll.d.Dates_Act360($AH$24,AH29))</f>
        <v>0.99971591406108762</v>
      </c>
      <c r="AJ29" s="755" cm="1">
        <f t="array" aca="1" ref="AJ29" ca="1">_xll.d.Curve_GetDiscountFactors($AE$25,AH29)</f>
        <v>0.99971541323156254</v>
      </c>
      <c r="AK29" s="787" t="str" cm="1">
        <f t="array" aca="1" ref="AK29" ca="1">_xll.d.TestUtils_Equal(AI29,AJ29,0.001)</f>
        <v>Ok</v>
      </c>
      <c r="AM29" s="799">
        <v>44046</v>
      </c>
      <c r="AN29" s="777">
        <v>0.99977113572418042</v>
      </c>
      <c r="AO29" s="800" cm="1">
        <f t="array" aca="1" ref="AO29" ca="1">_xll.d.Curve_GetDiscountFactors($AE$25,AM29)</f>
        <v>0.99976697008273918</v>
      </c>
      <c r="AP29" s="765" t="str" cm="1">
        <f t="array" aca="1" ref="AP29" ca="1">_xll.d.TestUtils_Equal(AN29,AO29,0.0001)</f>
        <v>Ok</v>
      </c>
      <c r="AQ29" s="213"/>
      <c r="AR29" s="214"/>
      <c r="AS29" s="224"/>
      <c r="AT29" s="225"/>
      <c r="AV29" s="62"/>
      <c r="BC29" s="221"/>
      <c r="BD29" s="222"/>
      <c r="BF29" s="62"/>
      <c r="BN29" s="221" t="s">
        <v>35</v>
      </c>
      <c r="BO29" s="223" t="s">
        <v>201</v>
      </c>
      <c r="BQ29" s="62"/>
    </row>
    <row r="30" spans="2:69" x14ac:dyDescent="0.25">
      <c r="B30" s="226" t="s">
        <v>198</v>
      </c>
      <c r="C30" s="230">
        <v>44713</v>
      </c>
      <c r="E30" s="62"/>
      <c r="H30" s="8"/>
      <c r="K30" s="213"/>
      <c r="L30" s="214"/>
      <c r="M30" s="226" t="s">
        <v>198</v>
      </c>
      <c r="N30" s="230">
        <v>43861</v>
      </c>
      <c r="P30" s="62"/>
      <c r="Q30" s="751" t="s">
        <v>28</v>
      </c>
      <c r="R30" s="239" cm="1">
        <f t="array" ref="R30">_xll.d.Dates_AddTenorToDate($N$30,Q30,"ZAR","ModFol")</f>
        <v>44043</v>
      </c>
      <c r="S30" s="747">
        <f t="array" ref="S30">1/(1+_xll.d.Dates_Act365($R$29,R30)*N44)*S29</f>
        <v>0.96832000758706194</v>
      </c>
      <c r="T30" s="747" cm="1">
        <f t="array" aca="1" ref="T30" ca="1">_xll.d.Curve_GetDiscountFactors($O$25,R30)</f>
        <v>0.96832386496355927</v>
      </c>
      <c r="U30" s="231" t="str" cm="1">
        <f t="array" aca="1" ref="U30" ca="1">_xll.d.TestUtils_Equal(S30,T30,0.00001)</f>
        <v>Ok</v>
      </c>
      <c r="V30" s="756"/>
      <c r="W30" s="768">
        <v>44042</v>
      </c>
      <c r="X30" s="776">
        <v>0.96848867041690068</v>
      </c>
      <c r="Y30" s="777" cm="1">
        <f t="array" aca="1" ref="Y30" ca="1">_xll.d.Curve_GetDiscountFactors($O$25,W30)</f>
        <v>0.96848867052013532</v>
      </c>
      <c r="Z30" s="763" t="str" cm="1">
        <f t="array" aca="1" ref="Z30" ca="1">_xll.d.TestUtils_Equal(X30,Y30,$X$22)</f>
        <v>Ok</v>
      </c>
      <c r="AA30" s="213"/>
      <c r="AB30" s="214"/>
      <c r="AC30" s="280" t="s">
        <v>198</v>
      </c>
      <c r="AD30" s="780">
        <v>43921</v>
      </c>
      <c r="AE30" s="8"/>
      <c r="AF30" s="62"/>
      <c r="AH30" s="788">
        <f>EDATE(AH29,1)</f>
        <v>44106</v>
      </c>
      <c r="AI30" s="789" cm="1">
        <f t="array" ref="AI30">1/(1+AD47*_xll.d.Dates_Act360($AH$24,AH30))</f>
        <v>0.99966094832835872</v>
      </c>
      <c r="AJ30" s="789" cm="1">
        <f t="array" aca="1" ref="AJ30" ca="1">_xll.d.Curve_GetDiscountFactors($AE$25,AH30)</f>
        <v>0.99966044732489656</v>
      </c>
      <c r="AK30" s="790" t="str" cm="1">
        <f t="array" aca="1" ref="AK30" ca="1">_xll.d.TestUtils_Equal(AI30,AJ30,0.001)</f>
        <v>Ok</v>
      </c>
      <c r="AM30" s="799">
        <v>44076</v>
      </c>
      <c r="AN30" s="777">
        <v>0.9997195786581865</v>
      </c>
      <c r="AO30" s="800" cm="1">
        <f t="array" aca="1" ref="AO30" ca="1">_xll.d.Curve_GetDiscountFactors($AE$25,AM30)</f>
        <v>0.99971541323156243</v>
      </c>
      <c r="AP30" s="765" t="str" cm="1">
        <f t="array" aca="1" ref="AP30" ca="1">_xll.d.TestUtils_Equal(AN30,AO30,0.0001)</f>
        <v>Ok</v>
      </c>
      <c r="AQ30" s="213"/>
      <c r="AR30" s="214"/>
    </row>
    <row r="31" spans="2:69" x14ac:dyDescent="0.25">
      <c r="B31" s="279" t="s">
        <v>233</v>
      </c>
      <c r="C31" s="251" t="s">
        <v>36</v>
      </c>
      <c r="E31" s="62"/>
      <c r="K31" s="213"/>
      <c r="L31" s="214"/>
      <c r="M31" s="279" t="s">
        <v>233</v>
      </c>
      <c r="N31" s="251" t="s">
        <v>36</v>
      </c>
      <c r="P31" s="62"/>
      <c r="Q31" s="751" t="s">
        <v>29</v>
      </c>
      <c r="R31" s="239" cm="1">
        <f t="array" ref="R31">_xll.d.Dates_AddTenorToDate($N$30,Q31,"ZAR","ModFol")</f>
        <v>44134</v>
      </c>
      <c r="S31" s="747" cm="1">
        <f t="array" ref="S31">1/(1+_xll.d.Dates_Act365(R30,R31)*N45)*S30</f>
        <v>0.95343955884482767</v>
      </c>
      <c r="T31" s="747" cm="1">
        <f t="array" aca="1" ref="T31" ca="1">_xll.d.Curve_GetDiscountFactors($O$25,R31)</f>
        <v>0.95344335694392401</v>
      </c>
      <c r="U31" s="231" t="str" cm="1">
        <f t="array" aca="1" ref="U31" ca="1">_xll.d.TestUtils_Equal(S31,T31,0.00001)</f>
        <v>Ok</v>
      </c>
      <c r="V31" s="756"/>
      <c r="W31" s="768">
        <v>44134</v>
      </c>
      <c r="X31" s="776">
        <v>0.95344335683361159</v>
      </c>
      <c r="Y31" s="777" cm="1">
        <f t="array" aca="1" ref="Y31" ca="1">_xll.d.Curve_GetDiscountFactors($O$25,W31)</f>
        <v>0.95344335694392424</v>
      </c>
      <c r="Z31" s="763" t="str" cm="1">
        <f t="array" aca="1" ref="Z31" ca="1">_xll.d.TestUtils_Equal(X31,Y31,$X$22)</f>
        <v>Ok</v>
      </c>
      <c r="AA31" s="213"/>
      <c r="AB31" s="214"/>
      <c r="AC31" s="729" t="s">
        <v>233</v>
      </c>
      <c r="AD31" s="746" t="s">
        <v>66</v>
      </c>
      <c r="AE31" s="455"/>
      <c r="AF31" s="455"/>
      <c r="AG31" s="455"/>
      <c r="AJ31" s="283"/>
      <c r="AK31" s="288"/>
      <c r="AM31" s="799">
        <v>44106</v>
      </c>
      <c r="AN31" s="777">
        <v>0.99966461252249861</v>
      </c>
      <c r="AO31" s="800" cm="1">
        <f t="array" aca="1" ref="AO31" ca="1">_xll.d.Curve_GetDiscountFactors($AE$25,AM31)</f>
        <v>0.99966044732489656</v>
      </c>
      <c r="AP31" s="765" t="str" cm="1">
        <f t="array" aca="1" ref="AP31" ca="1">_xll.d.TestUtils_Equal(AN31,AO31,0.0001)</f>
        <v>Ok</v>
      </c>
      <c r="AQ31" s="213"/>
      <c r="AR31" s="214"/>
      <c r="AS31" s="455"/>
      <c r="AT31" s="455"/>
      <c r="AU31" s="455"/>
      <c r="AV31" s="455"/>
      <c r="AW31" s="64"/>
      <c r="AX31" s="64"/>
      <c r="AY31" s="64"/>
      <c r="AZ31" s="279" t="s">
        <v>233</v>
      </c>
      <c r="BA31" s="281" t="s">
        <v>66</v>
      </c>
      <c r="BC31" s="62"/>
      <c r="BE31" s="276" t="str">
        <f>AC48</f>
        <v>9m</v>
      </c>
      <c r="BF31" s="282" t="e">
        <f>1/(1+AD48*(AC48-$AH$24)/360)</f>
        <v>#VALUE!</v>
      </c>
      <c r="BG31" s="287" t="e" cm="1">
        <f t="array" aca="1" ref="BG31" ca="1">_xll.d.Curve_GetDiscountFactors($AE$25,BE31)</f>
        <v>#VALUE!</v>
      </c>
      <c r="BH31" s="277" t="str" cm="1">
        <f t="array" aca="1" ref="BH31" ca="1">_xll.d.TestUtils_Equal(BF31,BG31,0.001)</f>
        <v>Error</v>
      </c>
      <c r="BI31" s="213"/>
      <c r="BJ31" s="214"/>
    </row>
    <row r="32" spans="2:69" x14ac:dyDescent="0.25">
      <c r="B32" s="279" t="s">
        <v>56</v>
      </c>
      <c r="C32" s="231" t="s">
        <v>25</v>
      </c>
      <c r="G32" s="131" t="s">
        <v>574</v>
      </c>
      <c r="H32" s="202"/>
      <c r="I32" s="202"/>
      <c r="J32" s="132"/>
      <c r="K32" s="213"/>
      <c r="L32" s="214"/>
      <c r="M32" s="279" t="s">
        <v>56</v>
      </c>
      <c r="N32" s="231" t="s">
        <v>25</v>
      </c>
      <c r="Q32" s="751" t="s">
        <v>612</v>
      </c>
      <c r="R32" s="239" cm="1">
        <f t="array" ref="R32">_xll.d.Dates_AddTenorToDate($N$30,Q32,"ZAR","ModFol")</f>
        <v>44225</v>
      </c>
      <c r="S32" s="747" cm="1">
        <f t="array" ref="S32">1/(1+_xll.d.Dates_Act365(R31,R32)*N46)*S31</f>
        <v>0.93890302491578215</v>
      </c>
      <c r="T32" s="747" cm="1">
        <f t="array" aca="1" ref="T32" ca="1">_xll.d.Curve_GetDiscountFactors($O$25,R32)</f>
        <v>0.93890676510748849</v>
      </c>
      <c r="U32" s="231" t="str" cm="1">
        <f t="array" aca="1" ref="U32" ca="1">_xll.d.TestUtils_Equal(S32,T32,0.00001)</f>
        <v>Ok</v>
      </c>
      <c r="V32" s="756"/>
      <c r="W32" s="768">
        <v>44229</v>
      </c>
      <c r="X32" s="776">
        <v>0.93827416773178896</v>
      </c>
      <c r="Y32" s="777" cm="1">
        <f t="array" aca="1" ref="Y32" ca="1">_xll.d.Curve_GetDiscountFactors($O$25,W32)</f>
        <v>0.93827588915259053</v>
      </c>
      <c r="Z32" s="763" t="str" cm="1">
        <f t="array" aca="1" ref="Z32" ca="1">_xll.d.TestUtils_Equal(X32,Y32,$X$22)</f>
        <v>Ok</v>
      </c>
      <c r="AA32" s="213"/>
      <c r="AB32" s="214"/>
      <c r="AC32" s="279" t="s">
        <v>56</v>
      </c>
      <c r="AD32" s="281" t="s">
        <v>67</v>
      </c>
      <c r="AF32" s="62"/>
      <c r="AH32" s="131" t="s">
        <v>574</v>
      </c>
      <c r="AI32" s="202"/>
      <c r="AJ32" s="202"/>
      <c r="AK32" s="132"/>
      <c r="AM32" s="799">
        <v>44200</v>
      </c>
      <c r="AN32" s="777">
        <v>0.99949242443046016</v>
      </c>
      <c r="AO32" s="800" cm="1">
        <f t="array" aca="1" ref="AO32" ca="1">_xll.d.Curve_GetDiscountFactors($AE$25,AM32)</f>
        <v>0.99948825995029578</v>
      </c>
      <c r="AP32" s="765" t="str" cm="1">
        <f t="array" aca="1" ref="AP32" ca="1">_xll.d.TestUtils_Equal(AN32,AO32,0.0001)</f>
        <v>Ok</v>
      </c>
      <c r="AQ32" s="213"/>
      <c r="AR32" s="214"/>
    </row>
    <row r="33" spans="1:68" x14ac:dyDescent="0.25">
      <c r="B33" s="153" t="s">
        <v>53</v>
      </c>
      <c r="C33" s="512" t="s">
        <v>471</v>
      </c>
      <c r="D33" s="628" t="s">
        <v>570</v>
      </c>
      <c r="G33" s="129" t="s">
        <v>0</v>
      </c>
      <c r="H33" s="301" t="s">
        <v>572</v>
      </c>
      <c r="I33" s="301" t="s">
        <v>573</v>
      </c>
      <c r="J33" s="130" t="s">
        <v>2</v>
      </c>
      <c r="K33" s="213"/>
      <c r="L33" s="214"/>
      <c r="M33" s="153" t="s">
        <v>53</v>
      </c>
      <c r="N33" s="512" t="s">
        <v>471</v>
      </c>
      <c r="O33" s="750" t="s">
        <v>614</v>
      </c>
      <c r="Q33" s="751" t="s">
        <v>613</v>
      </c>
      <c r="R33" s="239" cm="1">
        <f t="array" ref="R33">_xll.d.Dates_AddTenorToDate($N$30,Q33,"ZAR","ModFol")</f>
        <v>44316</v>
      </c>
      <c r="S33" s="747" cm="1">
        <f t="array" ref="S33">1/(1+_xll.d.Dates_Act365(R32,R33)*N47)*S32</f>
        <v>0.92465622578544726</v>
      </c>
      <c r="T33" s="747" cm="1">
        <f t="array" aca="1" ref="T33" ca="1">_xll.d.Curve_GetDiscountFactors($O$25,R33)</f>
        <v>0.92465799189869069</v>
      </c>
      <c r="U33" s="231" t="str" cm="1">
        <f t="array" aca="1" ref="U33" ca="1">_xll.d.TestUtils_Equal(S33,T33,0.00001)</f>
        <v>Ok</v>
      </c>
      <c r="V33" s="756"/>
      <c r="W33" s="768">
        <v>44319</v>
      </c>
      <c r="X33" s="776">
        <v>0.92419291912677659</v>
      </c>
      <c r="Y33" s="777" cm="1">
        <f t="array" aca="1" ref="Y33" ca="1">_xll.d.Curve_GetDiscountFactors($O$25,W33)</f>
        <v>0.92418977115352896</v>
      </c>
      <c r="Z33" s="763" t="str" cm="1">
        <f t="array" aca="1" ref="Z33" ca="1">_xll.d.TestUtils_Equal(X33,Y33,$X$22)</f>
        <v>Ok</v>
      </c>
      <c r="AA33" s="213"/>
      <c r="AB33" s="214"/>
      <c r="AC33" s="137" t="s">
        <v>53</v>
      </c>
      <c r="AD33" s="138" t="s">
        <v>471</v>
      </c>
      <c r="AH33" s="129" t="s">
        <v>0</v>
      </c>
      <c r="AI33" s="301" t="s">
        <v>572</v>
      </c>
      <c r="AJ33" s="301" t="s">
        <v>573</v>
      </c>
      <c r="AK33" s="130" t="s">
        <v>2</v>
      </c>
      <c r="AM33" s="799">
        <v>44291</v>
      </c>
      <c r="AN33" s="777">
        <v>0.99929516381112526</v>
      </c>
      <c r="AO33" s="800" cm="1">
        <f t="array" aca="1" ref="AO33" ca="1">_xll.d.Curve_GetDiscountFactors($AE$25,AM33)</f>
        <v>0.99928852256680867</v>
      </c>
      <c r="AP33" s="765" t="str" cm="1">
        <f t="array" aca="1" ref="AP33" ca="1">_xll.d.TestUtils_Equal(AN33,AO33,0.0001)</f>
        <v>Ok</v>
      </c>
      <c r="AQ33" s="213"/>
      <c r="AR33" s="214"/>
      <c r="AS33" s="12" t="s">
        <v>22</v>
      </c>
      <c r="AT33" s="13"/>
      <c r="AU33" s="13"/>
      <c r="BC33" s="12" t="s">
        <v>22</v>
      </c>
      <c r="BD33" s="13"/>
      <c r="BE33" s="13"/>
      <c r="BN33" s="12" t="s">
        <v>22</v>
      </c>
      <c r="BO33" s="13"/>
      <c r="BP33" s="13"/>
    </row>
    <row r="34" spans="1:68" x14ac:dyDescent="0.25">
      <c r="A34" s="455"/>
      <c r="B34" s="455"/>
      <c r="C34" s="455"/>
      <c r="D34" s="455"/>
      <c r="E34" s="455"/>
      <c r="F34" s="455"/>
      <c r="G34" s="625">
        <f t="array" ref="G34:G46">_xll.d.Dates_GenerateSchedule(C30,_xll.d.Dates_AddTenorToDate(C30,"3Y","ZAR","ModFol"),"3m","ZAR","ModFol","Forward")</f>
        <v>44713</v>
      </c>
      <c r="H34" s="738"/>
      <c r="I34" s="738"/>
      <c r="J34" s="740"/>
      <c r="K34" s="213"/>
      <c r="L34" s="214"/>
      <c r="Q34" s="751" t="s">
        <v>615</v>
      </c>
      <c r="R34" s="239" cm="1">
        <f t="array" ref="R34">_xll.d.Dates_AddTenorToDate($N$30,Q34,"ZAR","ModFol")</f>
        <v>44407</v>
      </c>
      <c r="S34" s="747" cm="1">
        <f t="array" ref="S34">1/(1+_xll.d.Dates_Act365(R33,R34)*N48)*S33</f>
        <v>0.9105585344591941</v>
      </c>
      <c r="T34" s="747" cm="1">
        <f t="array" aca="1" ref="T34" ca="1">_xll.d.Curve_GetDiscountFactors($O$25,R34)</f>
        <v>0.9105602736455447</v>
      </c>
      <c r="U34" s="231" t="str" cm="1">
        <f t="array" aca="1" ref="U34" ca="1">_xll.d.TestUtils_Equal(S34,T34,0.00001)</f>
        <v>Ok</v>
      </c>
      <c r="V34" s="756"/>
      <c r="W34" s="768">
        <v>44407</v>
      </c>
      <c r="X34" s="776">
        <v>0.91056113955799578</v>
      </c>
      <c r="Y34" s="777" cm="1">
        <f t="array" aca="1" ref="Y34" ca="1">_xll.d.Curve_GetDiscountFactors($O$25,W34)</f>
        <v>0.91056027364554482</v>
      </c>
      <c r="Z34" s="763" t="str" cm="1">
        <f t="array" aca="1" ref="Z34" ca="1">_xll.d.TestUtils_Equal(X34,Y34,$X$22)</f>
        <v>Ok</v>
      </c>
      <c r="AA34" s="213"/>
      <c r="AB34" s="214"/>
      <c r="AG34" s="8"/>
      <c r="AH34" s="739">
        <f t="array" ref="AH34:AH42">_xll.d.Dates_GenerateSchedule(AF29,_xll.d.Dates_AddTenorToDate(AF29,"8Y","USD","ModFol"),"1y","USD","ModFol","Forward")</f>
        <v>43923</v>
      </c>
      <c r="AI34" s="738"/>
      <c r="AJ34" s="738"/>
      <c r="AK34" s="740"/>
      <c r="AM34" s="799">
        <v>44473</v>
      </c>
      <c r="AN34" s="777">
        <v>0.99879392902080666</v>
      </c>
      <c r="AO34" s="800" cm="1">
        <f t="array" aca="1" ref="AO34" ca="1">_xll.d.Curve_GetDiscountFactors($AE$25,AM34)</f>
        <v>0.9987899998063251</v>
      </c>
      <c r="AP34" s="765" t="str" cm="1">
        <f t="array" aca="1" ref="AP34" ca="1">_xll.d.TestUtils_Equal(AN34,AO34,0.0001)</f>
        <v>Ok</v>
      </c>
      <c r="AQ34" s="213"/>
      <c r="AR34" s="214"/>
      <c r="AS34" s="43" t="s">
        <v>38</v>
      </c>
      <c r="AT34" s="44" t="s">
        <v>39</v>
      </c>
      <c r="AU34" s="45" t="s">
        <v>52</v>
      </c>
      <c r="BC34" s="43" t="s">
        <v>38</v>
      </c>
      <c r="BD34" s="44" t="s">
        <v>39</v>
      </c>
      <c r="BE34" s="45" t="s">
        <v>52</v>
      </c>
      <c r="BN34" s="43" t="s">
        <v>38</v>
      </c>
      <c r="BO34" s="44" t="s">
        <v>39</v>
      </c>
      <c r="BP34" s="45" t="s">
        <v>52</v>
      </c>
    </row>
    <row r="35" spans="1:68" x14ac:dyDescent="0.25">
      <c r="A35" s="455"/>
      <c r="B35" s="455"/>
      <c r="C35" s="455"/>
      <c r="D35" s="455"/>
      <c r="E35" s="455"/>
      <c r="F35" s="455"/>
      <c r="G35" s="626">
        <v>44805</v>
      </c>
      <c r="H35" s="289" cm="1">
        <f t="array" ref="H35">_xll.d.Dates_Act365(G34,G35)</f>
        <v>0.25205479452054796</v>
      </c>
      <c r="I35" s="623">
        <f t="array" ref="I35:I46">_xll.d.Curve_GetForwardRates(D25,G34:G45,G35:G46,"Simple")</f>
        <v>0.10000000000000028</v>
      </c>
      <c r="J35" s="136" cm="1">
        <f t="array" aca="1" ref="J35:J46" ca="1">_xll.d.Curve_GetDiscountFactors(D25,G35:G46)</f>
        <v>0.97541421699625874</v>
      </c>
      <c r="K35" s="213"/>
      <c r="L35" s="214"/>
      <c r="Q35" s="751" t="s">
        <v>616</v>
      </c>
      <c r="R35" s="239" cm="1">
        <f t="array" ref="R35">_xll.d.Dates_AddTenorToDate($N$30,Q35,"ZAR","ModFol")</f>
        <v>44498</v>
      </c>
      <c r="S35" s="747" cm="1">
        <f t="array" ref="S35">1/(1+_xll.d.Dates_Act365(R34,R35)*N49)*S34</f>
        <v>0.89656572268967616</v>
      </c>
      <c r="T35" s="747" cm="1">
        <f t="array" aca="1" ref="T35" ca="1">_xll.d.Curve_GetDiscountFactors($O$25,R35)</f>
        <v>0.89656743514945603</v>
      </c>
      <c r="U35" s="231" t="str" cm="1">
        <f t="array" aca="1" ref="U35" ca="1">_xll.d.TestUtils_Equal(S35,T35,0.00001)</f>
        <v>Ok</v>
      </c>
      <c r="V35" s="756"/>
      <c r="W35" s="768">
        <v>44502</v>
      </c>
      <c r="X35" s="776">
        <v>0.89595940151095488</v>
      </c>
      <c r="Y35" s="777" cm="1">
        <f t="array" aca="1" ref="Y35" ca="1">_xll.d.Curve_GetDiscountFactors($O$25,W35)</f>
        <v>0.89595168092300448</v>
      </c>
      <c r="Z35" s="763" t="str" cm="1">
        <f t="array" aca="1" ref="Z35" ca="1">_xll.d.TestUtils_Equal(X35,Y35,$X$22)</f>
        <v>Ok</v>
      </c>
      <c r="AA35" s="213"/>
      <c r="AB35" s="214"/>
      <c r="AC35" s="455"/>
      <c r="AD35" s="455"/>
      <c r="AE35" s="455"/>
      <c r="AF35" s="455"/>
      <c r="AG35" s="8"/>
      <c r="AH35" s="741">
        <v>44288</v>
      </c>
      <c r="AI35" s="290" cm="1">
        <f t="array" ref="AI35">_xll.d.Dates_Act360(AH34,AH35)</f>
        <v>1.0138888888888888</v>
      </c>
      <c r="AJ35" s="737">
        <f t="array" ref="AJ35:AJ42">_xll.d.Curve_GetForwardRates(AE25,AH34:AH41,AH35:AH42,"Simple")</f>
        <v>6.9000000000008551E-4</v>
      </c>
      <c r="AK35" s="742">
        <f t="array" aca="1" ref="AK35:AK42" ca="1">_xll.d.Curve_GetDiscountFactors(AE25,AH35:AH42)</f>
        <v>0.99929674205917507</v>
      </c>
      <c r="AM35" s="799">
        <v>44655</v>
      </c>
      <c r="AN35" s="777">
        <v>0.99831442697204265</v>
      </c>
      <c r="AO35" s="800" cm="1">
        <f t="array" aca="1" ref="AO35" ca="1">_xll.d.Curve_GetDiscountFactors($AE$25,AM35)</f>
        <v>0.99831018836473895</v>
      </c>
      <c r="AP35" s="765" t="str" cm="1">
        <f t="array" aca="1" ref="AP35" ca="1">_xll.d.TestUtils_Equal(AN35,AO35,0.0001)</f>
        <v>Ok</v>
      </c>
      <c r="AQ35" s="213"/>
      <c r="AR35" s="214"/>
      <c r="AS35" s="42" t="s">
        <v>26</v>
      </c>
      <c r="AT35" s="42">
        <v>0.1</v>
      </c>
      <c r="AU35" s="42" t="b">
        <v>1</v>
      </c>
      <c r="BC35" s="42" t="s">
        <v>26</v>
      </c>
      <c r="BD35" s="42">
        <v>0.1</v>
      </c>
      <c r="BE35" s="42" t="b">
        <v>1</v>
      </c>
      <c r="BN35" s="42" t="s">
        <v>26</v>
      </c>
      <c r="BO35" s="42">
        <v>0.1</v>
      </c>
      <c r="BP35" s="42" t="b">
        <v>1</v>
      </c>
    </row>
    <row r="36" spans="1:68" x14ac:dyDescent="0.25">
      <c r="A36" s="455"/>
      <c r="B36" s="12" t="s">
        <v>22</v>
      </c>
      <c r="C36" s="27"/>
      <c r="D36" s="13"/>
      <c r="G36" s="626">
        <v>44896</v>
      </c>
      <c r="H36" s="289" cm="1">
        <f t="array" ref="H36">_xll.d.Dates_Act365(G35,G36)</f>
        <v>0.24931506849315069</v>
      </c>
      <c r="I36" s="623">
        <v>0.10000000000000062</v>
      </c>
      <c r="J36" s="136">
        <f ca="1"/>
        <v>0.95168722053898547</v>
      </c>
      <c r="K36" s="213"/>
      <c r="L36" s="214"/>
      <c r="M36" s="12" t="s">
        <v>22</v>
      </c>
      <c r="N36" s="27"/>
      <c r="O36" s="13"/>
      <c r="Q36" s="751" t="s">
        <v>617</v>
      </c>
      <c r="R36" s="240" cm="1">
        <f t="array" ref="R36">_xll.d.Dates_AddTenorToDate($N$30,Q36,"ZAR","ModFol")</f>
        <v>44592</v>
      </c>
      <c r="S36" s="748" cm="1">
        <f t="array" ref="S36">1/(1+_xll.d.Dates_Act365(R35,R36)*N50)*S35</f>
        <v>0.88220678011621201</v>
      </c>
      <c r="T36" s="748" cm="1">
        <f t="array" aca="1" ref="T36" ca="1">_xll.d.Curve_GetDiscountFactors($O$25,R36)</f>
        <v>0.88220846515010332</v>
      </c>
      <c r="U36" s="231" t="str" cm="1">
        <f t="array" aca="1" ref="U36" ca="1">_xll.d.TestUtils_Equal(S36,T36,0.00001)</f>
        <v>Ok</v>
      </c>
      <c r="V36" s="756"/>
      <c r="W36" s="768">
        <v>44593</v>
      </c>
      <c r="X36" s="776">
        <v>0.88203888724645341</v>
      </c>
      <c r="Y36" s="777" cm="1">
        <f t="array" aca="1" ref="Y36" ca="1">_xll.d.Curve_GetDiscountFactors($O$25,W36)</f>
        <v>0.88205105245930171</v>
      </c>
      <c r="Z36" s="763" t="str" cm="1">
        <f t="array" aca="1" ref="Z36" ca="1">_xll.d.TestUtils_Equal(X36,Y36,$X$22)</f>
        <v>Ok</v>
      </c>
      <c r="AA36" s="213"/>
      <c r="AB36" s="214"/>
      <c r="AC36" s="12" t="s">
        <v>22</v>
      </c>
      <c r="AD36" s="27"/>
      <c r="AE36" s="13"/>
      <c r="AG36" s="8"/>
      <c r="AH36" s="741">
        <v>44655</v>
      </c>
      <c r="AI36" s="289" cm="1">
        <f t="array" ref="AI36">_xll.d.Dates_Act360(AH35,AH36)</f>
        <v>1.0194444444444444</v>
      </c>
      <c r="AJ36" s="623">
        <v>9.6937465456741368E-4</v>
      </c>
      <c r="AK36" s="743">
        <f ca="1"/>
        <v>0.99831018836473895</v>
      </c>
      <c r="AM36" s="799">
        <v>45019</v>
      </c>
      <c r="AN36" s="777">
        <v>0.99647638149095108</v>
      </c>
      <c r="AO36" s="800" cm="1">
        <f t="array" aca="1" ref="AO36" ca="1">_xll.d.Curve_GetDiscountFactors($AE$25,AM36)</f>
        <v>0.99647124209597093</v>
      </c>
      <c r="AP36" s="765" t="str" cm="1">
        <f t="array" aca="1" ref="AP36" ca="1">_xll.d.TestUtils_Equal(AN36,AO36,0.0001)</f>
        <v>Ok</v>
      </c>
      <c r="AQ36" s="213"/>
      <c r="AR36" s="214"/>
      <c r="AS36" s="42" t="s">
        <v>27</v>
      </c>
      <c r="AT36" s="42">
        <v>0.1</v>
      </c>
      <c r="AU36" s="42" t="b">
        <v>1</v>
      </c>
      <c r="BC36" s="42" t="s">
        <v>27</v>
      </c>
      <c r="BD36" s="42">
        <v>0.1</v>
      </c>
      <c r="BE36" s="42" t="b">
        <v>1</v>
      </c>
      <c r="BN36" s="42" t="s">
        <v>27</v>
      </c>
      <c r="BO36" s="42">
        <v>0.1</v>
      </c>
      <c r="BP36" s="42" t="b">
        <v>1</v>
      </c>
    </row>
    <row r="37" spans="1:68" x14ac:dyDescent="0.25">
      <c r="A37" s="455"/>
      <c r="B37" s="72" t="s">
        <v>38</v>
      </c>
      <c r="C37" s="73" t="s">
        <v>39</v>
      </c>
      <c r="D37" s="74" t="s">
        <v>52</v>
      </c>
      <c r="G37" s="626">
        <v>44986</v>
      </c>
      <c r="H37" s="289" cm="1">
        <f t="array" ref="H37">_xll.d.Dates_Act365(G36,G37)</f>
        <v>0.24657534246575341</v>
      </c>
      <c r="I37" s="623">
        <v>0.10000000000000005</v>
      </c>
      <c r="J37" s="136">
        <f ca="1"/>
        <v>0.92878565640836819</v>
      </c>
      <c r="K37" s="213"/>
      <c r="L37" s="214"/>
      <c r="M37" s="72" t="s">
        <v>38</v>
      </c>
      <c r="N37" s="73" t="s">
        <v>39</v>
      </c>
      <c r="O37" s="74" t="s">
        <v>52</v>
      </c>
      <c r="V37" s="756"/>
      <c r="W37" s="768">
        <v>44957</v>
      </c>
      <c r="X37" s="776">
        <v>0.82657950215859954</v>
      </c>
      <c r="Y37" s="777" cm="1">
        <f t="array" aca="1" ref="Y37" ca="1">_xll.d.Curve_GetDiscountFactors($O$25,W37)</f>
        <v>0.82657902369827241</v>
      </c>
      <c r="Z37" s="763" t="str" cm="1">
        <f t="array" aca="1" ref="Z37" ca="1">_xll.d.TestUtils_Equal(X37,Y37,$X$22)</f>
        <v>Ok</v>
      </c>
      <c r="AA37" s="213"/>
      <c r="AB37" s="214"/>
      <c r="AC37" s="72" t="s">
        <v>38</v>
      </c>
      <c r="AD37" s="73" t="s">
        <v>39</v>
      </c>
      <c r="AE37" s="74" t="s">
        <v>52</v>
      </c>
      <c r="AG37" s="8"/>
      <c r="AH37" s="741">
        <v>45019</v>
      </c>
      <c r="AI37" s="289" cm="1">
        <f t="array" ref="AI37">_xll.d.Dates_Act360(AH36,AH37)</f>
        <v>1.0111111111111111</v>
      </c>
      <c r="AJ37" s="623">
        <v>1.8251786817116121E-3</v>
      </c>
      <c r="AK37" s="743">
        <f ca="1"/>
        <v>0.99647124209597082</v>
      </c>
      <c r="AM37" s="799">
        <v>45384</v>
      </c>
      <c r="AN37" s="777">
        <v>0.99353628932238969</v>
      </c>
      <c r="AO37" s="800" cm="1">
        <f t="array" aca="1" ref="AO37" ca="1">_xll.d.Curve_GetDiscountFactors($AE$25,AM37)</f>
        <v>0.9935226136889701</v>
      </c>
      <c r="AP37" s="765" t="str" cm="1">
        <f t="array" aca="1" ref="AP37" ca="1">_xll.d.TestUtils_Equal(AN37,AO37,0.0001)</f>
        <v>Ok</v>
      </c>
      <c r="AQ37" s="213"/>
      <c r="AR37" s="214"/>
      <c r="AS37" s="42" t="s">
        <v>25</v>
      </c>
      <c r="AT37" s="42">
        <v>0.1</v>
      </c>
      <c r="AU37" s="42" t="b">
        <v>1</v>
      </c>
      <c r="BC37" s="42" t="s">
        <v>25</v>
      </c>
      <c r="BD37" s="42">
        <v>0.1</v>
      </c>
      <c r="BE37" s="42" t="b">
        <v>1</v>
      </c>
      <c r="BN37" s="42" t="s">
        <v>25</v>
      </c>
      <c r="BO37" s="42">
        <v>0.1</v>
      </c>
      <c r="BP37" s="42" t="b">
        <v>1</v>
      </c>
    </row>
    <row r="38" spans="1:68" x14ac:dyDescent="0.25">
      <c r="A38" s="455"/>
      <c r="B38" s="258" t="s">
        <v>26</v>
      </c>
      <c r="C38" s="259">
        <v>0.1</v>
      </c>
      <c r="D38" s="260" t="b">
        <v>1</v>
      </c>
      <c r="G38" s="626">
        <v>45078</v>
      </c>
      <c r="H38" s="289" cm="1">
        <f t="array" ref="H38">_xll.d.Dates_Act365(G37,G38)</f>
        <v>0.25205479452054796</v>
      </c>
      <c r="I38" s="623">
        <v>0.10000000000000028</v>
      </c>
      <c r="J38" s="136">
        <f ca="1"/>
        <v>0.90595073380292457</v>
      </c>
      <c r="K38" s="213"/>
      <c r="L38" s="214"/>
      <c r="M38" s="722" t="s">
        <v>67</v>
      </c>
      <c r="N38" s="723">
        <v>6.2780000000000002E-2</v>
      </c>
      <c r="O38" s="260" t="b">
        <v>1</v>
      </c>
      <c r="R38" s="131" t="s">
        <v>574</v>
      </c>
      <c r="S38" s="202"/>
      <c r="T38" s="202"/>
      <c r="U38" s="132"/>
      <c r="V38" s="756"/>
      <c r="W38" s="768">
        <v>45322</v>
      </c>
      <c r="X38" s="776">
        <v>0.77142555086444875</v>
      </c>
      <c r="Y38" s="777" cm="1">
        <f t="array" aca="1" ref="Y38" ca="1">_xll.d.Curve_GetDiscountFactors($O$25,W38)</f>
        <v>0.771425092989796</v>
      </c>
      <c r="Z38" s="763" t="str" cm="1">
        <f t="array" aca="1" ref="Z38" ca="1">_xll.d.TestUtils_Equal(X38,Y38,$X$22)</f>
        <v>Ok</v>
      </c>
      <c r="AA38" s="213"/>
      <c r="AB38" s="214"/>
      <c r="AC38" s="235" t="s">
        <v>67</v>
      </c>
      <c r="AD38" s="237">
        <v>8.0000000000000004E-4</v>
      </c>
      <c r="AE38" s="236" t="b">
        <v>1</v>
      </c>
      <c r="AG38" s="8"/>
      <c r="AH38" s="741">
        <v>45384</v>
      </c>
      <c r="AI38" s="289" cm="1">
        <f t="array" ref="AI38">_xll.d.Dates_Act360(AH37,AH38)</f>
        <v>1.0138888888888888</v>
      </c>
      <c r="AJ38" s="623">
        <v>2.9271968216642782E-3</v>
      </c>
      <c r="AK38" s="743">
        <f ca="1"/>
        <v>0.9935226136889701</v>
      </c>
      <c r="AM38" s="799">
        <v>45749</v>
      </c>
      <c r="AN38" s="777">
        <v>0.98925951996509143</v>
      </c>
      <c r="AO38" s="800" cm="1">
        <f t="array" aca="1" ref="AO38" ca="1">_xll.d.Curve_GetDiscountFactors($AE$25,AM38)</f>
        <v>0.98924200910255267</v>
      </c>
      <c r="AP38" s="765" t="str" cm="1">
        <f t="array" aca="1" ref="AP38" ca="1">_xll.d.TestUtils_Equal(AN38,AO38,0.0001)</f>
        <v>Ok</v>
      </c>
      <c r="AQ38" s="213"/>
      <c r="AR38" s="214"/>
      <c r="AS38" s="42" t="s">
        <v>28</v>
      </c>
      <c r="AT38" s="42">
        <v>0.1</v>
      </c>
      <c r="AU38" s="42" t="b">
        <v>1</v>
      </c>
      <c r="BC38" s="42" t="s">
        <v>28</v>
      </c>
      <c r="BD38" s="42">
        <v>0.1</v>
      </c>
      <c r="BE38" s="42" t="b">
        <v>1</v>
      </c>
      <c r="BN38" s="42" t="s">
        <v>28</v>
      </c>
      <c r="BO38" s="42">
        <v>0.1</v>
      </c>
      <c r="BP38" s="42" t="b">
        <v>1</v>
      </c>
    </row>
    <row r="39" spans="1:68" x14ac:dyDescent="0.25">
      <c r="B39" s="261" t="s">
        <v>27</v>
      </c>
      <c r="C39" s="233">
        <v>0.1</v>
      </c>
      <c r="D39" s="262" t="b">
        <v>1</v>
      </c>
      <c r="F39" s="9"/>
      <c r="G39" s="626">
        <v>45170</v>
      </c>
      <c r="H39" s="289" cm="1">
        <f t="array" ref="H39">_xll.d.Dates_Act365(G38,G39)</f>
        <v>0.25205479452054796</v>
      </c>
      <c r="I39" s="623">
        <v>0.1000000342771778</v>
      </c>
      <c r="J39" s="136">
        <f ca="1"/>
        <v>0.8836772182025413</v>
      </c>
      <c r="K39" s="213"/>
      <c r="L39" s="214"/>
      <c r="M39" s="261" t="s">
        <v>26</v>
      </c>
      <c r="N39" s="724">
        <v>6.3829999999999998E-2</v>
      </c>
      <c r="O39" s="262" t="b">
        <v>1</v>
      </c>
      <c r="R39" s="129" t="s">
        <v>0</v>
      </c>
      <c r="S39" s="301" t="s">
        <v>572</v>
      </c>
      <c r="T39" s="301" t="s">
        <v>573</v>
      </c>
      <c r="U39" s="130" t="s">
        <v>2</v>
      </c>
      <c r="V39" s="756"/>
      <c r="W39" s="768">
        <v>45688</v>
      </c>
      <c r="X39" s="776">
        <v>0.71728031027113948</v>
      </c>
      <c r="Y39" s="777" cm="1">
        <f t="array" aca="1" ref="Y39" ca="1">_xll.d.Curve_GetDiscountFactors($O$25,W39)</f>
        <v>0.71727987233787982</v>
      </c>
      <c r="Z39" s="763" t="str" cm="1">
        <f t="array" aca="1" ref="Z39" ca="1">_xll.d.TestUtils_Equal(X39,Y39,$X$22)</f>
        <v>Ok</v>
      </c>
      <c r="AA39" s="213"/>
      <c r="AB39" s="214"/>
      <c r="AG39" s="8"/>
      <c r="AH39" s="741">
        <v>45749</v>
      </c>
      <c r="AI39" s="289" cm="1">
        <f t="array" ref="AI39">_xll.d.Dates_Act360(AH38,AH39)</f>
        <v>1.0138888888888888</v>
      </c>
      <c r="AJ39" s="623">
        <v>4.2678799814167357E-3</v>
      </c>
      <c r="AK39" s="743">
        <f ca="1"/>
        <v>0.98924200910255267</v>
      </c>
      <c r="AM39" s="799">
        <v>46479</v>
      </c>
      <c r="AN39" s="777">
        <v>0.97794158297967493</v>
      </c>
      <c r="AO39" s="800" cm="1">
        <f t="array" aca="1" ref="AO39" ca="1">_xll.d.Curve_GetDiscountFactors($AE$25,AM39)</f>
        <v>0.97789827726743384</v>
      </c>
      <c r="AP39" s="765" t="str" cm="1">
        <f t="array" aca="1" ref="AP39" ca="1">_xll.d.TestUtils_Equal(AN39,AO39,0.0001)</f>
        <v>Ok</v>
      </c>
      <c r="AQ39" s="213"/>
      <c r="AR39" s="214"/>
    </row>
    <row r="40" spans="1:68" x14ac:dyDescent="0.25">
      <c r="B40" s="263" t="s">
        <v>25</v>
      </c>
      <c r="C40" s="264">
        <v>0.1</v>
      </c>
      <c r="D40" s="265" t="b">
        <v>1</v>
      </c>
      <c r="F40" s="9"/>
      <c r="G40" s="626">
        <v>45261</v>
      </c>
      <c r="H40" s="289" cm="1">
        <f t="array" ref="H40">_xll.d.Dates_Act365(G39,G40)</f>
        <v>0.24931506849315069</v>
      </c>
      <c r="I40" s="623">
        <v>9.9986450530074988E-2</v>
      </c>
      <c r="J40" s="136">
        <f ca="1"/>
        <v>0.86218457021925377</v>
      </c>
      <c r="K40" s="213"/>
      <c r="L40" s="214"/>
      <c r="M40" s="263" t="s">
        <v>25</v>
      </c>
      <c r="N40" s="725">
        <v>6.5579999999999999E-2</v>
      </c>
      <c r="O40" s="265" t="b">
        <v>1</v>
      </c>
      <c r="R40" s="739">
        <f t="array" ref="R40:R72">_xll.d.Dates_GenerateSchedule(N30,_xll.d.Dates_AddTenorToDate(N30,"8Y","ZAR","ModFol"),"3m","ZAR","ModFol","Forward")</f>
        <v>43861</v>
      </c>
      <c r="S40" s="738"/>
      <c r="T40" s="738"/>
      <c r="U40" s="740"/>
      <c r="V40" s="756"/>
      <c r="W40" s="768">
        <v>46052</v>
      </c>
      <c r="X40" s="776">
        <v>0.66351867459800129</v>
      </c>
      <c r="Y40" s="777" cm="1">
        <f t="array" aca="1" ref="Y40" ca="1">_xll.d.Curve_GetDiscountFactors($O$25,W40)</f>
        <v>0.66351825452710711</v>
      </c>
      <c r="Z40" s="763" t="str" cm="1">
        <f t="array" aca="1" ref="Z40" ca="1">_xll.d.TestUtils_Equal(X40,Y40,$X$22)</f>
        <v>Ok</v>
      </c>
      <c r="AA40" s="213"/>
      <c r="AB40" s="214"/>
      <c r="AC40" s="12" t="s">
        <v>65</v>
      </c>
      <c r="AD40" s="27"/>
      <c r="AE40" s="13"/>
      <c r="AF40" s="455"/>
      <c r="AG40" s="8"/>
      <c r="AH40" s="741">
        <v>46114</v>
      </c>
      <c r="AI40" s="289" cm="1">
        <f t="array" ref="AI40">_xll.d.Dates_Act360(AH39,AH40)</f>
        <v>1.0138888888888888</v>
      </c>
      <c r="AJ40" s="623">
        <v>5.704109949398458E-3</v>
      </c>
      <c r="AK40" s="743">
        <f ca="1"/>
        <v>0.98355378932825088</v>
      </c>
      <c r="AM40" s="799">
        <v>47575</v>
      </c>
      <c r="AN40" s="777">
        <v>0.95684032944715969</v>
      </c>
      <c r="AO40" s="800" cm="1">
        <f t="array" aca="1" ref="AO40" ca="1">_xll.d.Curve_GetDiscountFactors($AE$25,AM40)</f>
        <v>0.95681834245853103</v>
      </c>
      <c r="AP40" s="766" t="str" cm="1">
        <f t="array" aca="1" ref="AP40" ca="1">_xll.d.TestUtils_Equal(AN40,AO40,0.0001)</f>
        <v>Ok</v>
      </c>
      <c r="AQ40" s="213"/>
      <c r="AR40" s="214"/>
      <c r="AS40" s="12" t="s">
        <v>37</v>
      </c>
      <c r="AT40" s="13"/>
      <c r="AU40" s="13"/>
      <c r="BC40" s="12" t="s">
        <v>37</v>
      </c>
      <c r="BD40" s="13"/>
      <c r="BE40" s="13"/>
      <c r="BN40" s="12" t="s">
        <v>37</v>
      </c>
      <c r="BO40" s="13"/>
      <c r="BP40" s="13"/>
    </row>
    <row r="41" spans="1:68" x14ac:dyDescent="0.25">
      <c r="G41" s="626">
        <v>45352</v>
      </c>
      <c r="H41" s="289" cm="1">
        <f t="array" ref="H41">_xll.d.Dates_Act365(G40,G41)</f>
        <v>0.24931506849315069</v>
      </c>
      <c r="I41" s="623">
        <v>9.9986450530074086E-2</v>
      </c>
      <c r="J41" s="136">
        <f ca="1"/>
        <v>0.84121466278853252</v>
      </c>
      <c r="K41" s="213"/>
      <c r="L41" s="214"/>
      <c r="Q41" s="9"/>
      <c r="R41" s="741">
        <v>43951</v>
      </c>
      <c r="S41" s="290" cm="1">
        <f t="array" ref="S41">_xll.d.Dates_Act365(R40,R41)</f>
        <v>0.24657534246575341</v>
      </c>
      <c r="T41" s="737">
        <f t="array" ref="T41:T72">_xll.d.Curve_GetForwardRates(O25,R40:R71,R41:R72,"Simple")</f>
        <v>6.5579999999999708E-2</v>
      </c>
      <c r="U41" s="742">
        <f t="array" aca="1" ref="U41:U72" ca="1">_xll.d.Curve_GetDiscountFactors(O25,R41:R72)</f>
        <v>0.98408691024210715</v>
      </c>
      <c r="V41" s="756"/>
      <c r="W41" s="768">
        <v>46416</v>
      </c>
      <c r="X41" s="776">
        <v>0.61166546399400523</v>
      </c>
      <c r="Y41" s="777" cm="1">
        <f t="array" aca="1" ref="Y41" ca="1">_xll.d.Curve_GetDiscountFactors($O$25,W41)</f>
        <v>0.61166506256248221</v>
      </c>
      <c r="Z41" s="763" t="str" cm="1">
        <f t="array" aca="1" ref="Z41" ca="1">_xll.d.TestUtils_Equal(X41,Y41,$X$22)</f>
        <v>Ok</v>
      </c>
      <c r="AA41" s="213"/>
      <c r="AB41" s="214"/>
      <c r="AC41" s="72" t="s">
        <v>38</v>
      </c>
      <c r="AD41" s="73" t="s">
        <v>39</v>
      </c>
      <c r="AE41" s="74" t="s">
        <v>52</v>
      </c>
      <c r="AF41" s="455"/>
      <c r="AG41" s="8"/>
      <c r="AH41" s="741">
        <v>46479</v>
      </c>
      <c r="AI41" s="289" cm="1">
        <f t="array" ref="AI41">_xll.d.Dates_Act360(AH40,AH41)</f>
        <v>1.0138888888888888</v>
      </c>
      <c r="AJ41" s="623">
        <v>5.704109949398458E-3</v>
      </c>
      <c r="AK41" s="743">
        <f ca="1"/>
        <v>0.97789827726743384</v>
      </c>
      <c r="AM41" s="799">
        <v>48306</v>
      </c>
      <c r="AN41" s="777">
        <v>0.94199581673574373</v>
      </c>
      <c r="AO41" s="800" cm="1">
        <f t="array" aca="1" ref="AO41" ca="1">_xll.d.Curve_GetDiscountFactors($AE$25,AM41)</f>
        <v>0.94196322894163875</v>
      </c>
      <c r="AP41" s="766" t="str" cm="1">
        <f t="array" aca="1" ref="AP41" ca="1">_xll.d.TestUtils_Equal(AN41,AO41,0.0001)</f>
        <v>Ok</v>
      </c>
      <c r="AQ41" s="213"/>
      <c r="AR41" s="214"/>
      <c r="AS41" s="43" t="s">
        <v>38</v>
      </c>
      <c r="AT41" s="44" t="s">
        <v>39</v>
      </c>
      <c r="AU41" s="45" t="s">
        <v>52</v>
      </c>
      <c r="BC41" s="43" t="s">
        <v>38</v>
      </c>
      <c r="BD41" s="44" t="s">
        <v>39</v>
      </c>
      <c r="BE41" s="45" t="s">
        <v>52</v>
      </c>
      <c r="BN41" s="43" t="s">
        <v>38</v>
      </c>
      <c r="BO41" s="44" t="s">
        <v>39</v>
      </c>
      <c r="BP41" s="45" t="s">
        <v>52</v>
      </c>
    </row>
    <row r="42" spans="1:68" x14ac:dyDescent="0.25">
      <c r="B42" s="12" t="s">
        <v>37</v>
      </c>
      <c r="C42" s="27"/>
      <c r="D42" s="13"/>
      <c r="F42" s="9"/>
      <c r="G42" s="626">
        <v>45446</v>
      </c>
      <c r="H42" s="289" cm="1">
        <f t="array" ref="H42">_xll.d.Dates_Act365(G41,G42)</f>
        <v>0.25753424657534246</v>
      </c>
      <c r="I42" s="623">
        <v>0.10002720913866793</v>
      </c>
      <c r="J42" s="136">
        <f ca="1"/>
        <v>0.82008882054015264</v>
      </c>
      <c r="K42" s="213"/>
      <c r="L42" s="214"/>
      <c r="M42" s="12" t="s">
        <v>37</v>
      </c>
      <c r="N42" s="27"/>
      <c r="O42" s="13"/>
      <c r="Q42" s="9"/>
      <c r="R42" s="741">
        <v>44043</v>
      </c>
      <c r="S42" s="289" cm="1">
        <f t="array" ref="S42">_xll.d.Dates_Act365(R41,R42)</f>
        <v>0.25205479452054796</v>
      </c>
      <c r="T42" s="623">
        <v>6.4583938319547507E-2</v>
      </c>
      <c r="U42" s="743">
        <f ca="1"/>
        <v>0.96832386496355949</v>
      </c>
      <c r="V42" s="756"/>
      <c r="W42" s="769">
        <v>46783</v>
      </c>
      <c r="X42" s="778">
        <v>0.55992571979354799</v>
      </c>
      <c r="Y42" s="779" cm="1">
        <f t="array" aca="1" ref="Y42" ca="1">_xll.d.Curve_GetDiscountFactors($O$25,W42)</f>
        <v>0.5599253361226082</v>
      </c>
      <c r="Z42" s="763" t="str" cm="1">
        <f t="array" aca="1" ref="Z42" ca="1">_xll.d.TestUtils_Equal(X42,Y42,$X$22)</f>
        <v>Ok</v>
      </c>
      <c r="AA42" s="213"/>
      <c r="AB42" s="214"/>
      <c r="AC42" s="792" t="s">
        <v>26</v>
      </c>
      <c r="AD42" s="284">
        <v>7.000000000000001E-4</v>
      </c>
      <c r="AE42" s="215" t="b">
        <v>1</v>
      </c>
      <c r="AF42" s="455"/>
      <c r="AG42" s="8"/>
      <c r="AH42" s="744">
        <v>46846</v>
      </c>
      <c r="AI42" s="656" cm="1">
        <f t="array" ref="AI42">_xll.d.Dates_Act360(AH41,AH42)</f>
        <v>1.0194444444444444</v>
      </c>
      <c r="AJ42" s="745">
        <v>7.1841692349993245E-3</v>
      </c>
      <c r="AK42" s="338">
        <f ca="1"/>
        <v>0.97078835787150619</v>
      </c>
      <c r="AM42" s="799">
        <v>49401</v>
      </c>
      <c r="AN42" s="777">
        <v>0.92158205934554305</v>
      </c>
      <c r="AO42" s="800" cm="1">
        <f t="array" aca="1" ref="AO42" ca="1">_xll.d.Curve_GetDiscountFactors($AE$25,AM42)</f>
        <v>0.92156171445373047</v>
      </c>
      <c r="AP42" s="766" t="str" cm="1">
        <f t="array" aca="1" ref="AP42" ca="1">_xll.d.TestUtils_Equal(AN42,AO42,0.0001)</f>
        <v>Ok</v>
      </c>
      <c r="AQ42" s="213"/>
      <c r="AR42" s="214"/>
      <c r="AS42" s="42" t="s">
        <v>28</v>
      </c>
      <c r="AT42" s="42">
        <v>0.1</v>
      </c>
      <c r="AU42" s="42" t="b">
        <v>1</v>
      </c>
      <c r="BC42" s="42" t="s">
        <v>28</v>
      </c>
      <c r="BD42" s="42">
        <v>0.1</v>
      </c>
      <c r="BE42" s="42" t="b">
        <v>1</v>
      </c>
      <c r="BN42" s="42" t="s">
        <v>28</v>
      </c>
      <c r="BO42" s="42">
        <v>0.1</v>
      </c>
      <c r="BP42" s="42" t="b">
        <v>1</v>
      </c>
    </row>
    <row r="43" spans="1:68" x14ac:dyDescent="0.25">
      <c r="B43" s="72" t="s">
        <v>208</v>
      </c>
      <c r="C43" s="73" t="s">
        <v>39</v>
      </c>
      <c r="D43" s="74" t="s">
        <v>52</v>
      </c>
      <c r="F43" s="9"/>
      <c r="G43" s="626">
        <v>45537</v>
      </c>
      <c r="H43" s="289" cm="1">
        <f t="array" ref="H43">_xll.d.Dates_Act365(G42,G43)</f>
        <v>0.24931506849315069</v>
      </c>
      <c r="I43" s="623">
        <v>9.9999999999999728E-2</v>
      </c>
      <c r="J43" s="136">
        <f ca="1"/>
        <v>0.80014012161763093</v>
      </c>
      <c r="K43" s="213"/>
      <c r="L43" s="214"/>
      <c r="M43" s="72" t="s">
        <v>208</v>
      </c>
      <c r="N43" s="73" t="s">
        <v>39</v>
      </c>
      <c r="O43" s="74" t="s">
        <v>52</v>
      </c>
      <c r="R43" s="741">
        <v>44134</v>
      </c>
      <c r="S43" s="289" cm="1">
        <f t="array" ref="S43">_xll.d.Dates_Act365(R42,R43)</f>
        <v>0.24931506849315069</v>
      </c>
      <c r="T43" s="623">
        <v>6.2599999999999503E-2</v>
      </c>
      <c r="U43" s="743">
        <f ca="1"/>
        <v>0.95344335694392446</v>
      </c>
      <c r="V43" s="756"/>
      <c r="W43" s="756"/>
      <c r="X43" s="756"/>
      <c r="Y43" s="756"/>
      <c r="Z43" s="756"/>
      <c r="AA43" s="213"/>
      <c r="AB43" s="214"/>
      <c r="AC43" s="793" t="s">
        <v>27</v>
      </c>
      <c r="AD43" s="285">
        <v>7.0999999999999991E-4</v>
      </c>
      <c r="AE43" s="216" t="b">
        <v>1</v>
      </c>
      <c r="AF43" s="455"/>
      <c r="AH43" s="455"/>
      <c r="AI43" s="455"/>
      <c r="AJ43" s="455"/>
      <c r="AK43" s="455"/>
      <c r="AM43" s="799">
        <v>51228</v>
      </c>
      <c r="AN43" s="777">
        <v>0.88718364143951234</v>
      </c>
      <c r="AO43" s="800" cm="1">
        <f t="array" aca="1" ref="AO43" ca="1">_xll.d.Curve_GetDiscountFactors($AE$25,AM43)</f>
        <v>0.88716540900503738</v>
      </c>
      <c r="AP43" s="766" t="str" cm="1">
        <f t="array" aca="1" ref="AP43" ca="1">_xll.d.TestUtils_Equal(AN43,AO43,0.0001)</f>
        <v>Ok</v>
      </c>
      <c r="AQ43" s="213"/>
      <c r="AR43" s="214"/>
      <c r="AS43" s="42" t="s">
        <v>29</v>
      </c>
      <c r="AT43" s="42">
        <v>0.1</v>
      </c>
      <c r="AU43" s="42" t="b">
        <v>1</v>
      </c>
      <c r="BC43" s="42" t="s">
        <v>29</v>
      </c>
      <c r="BD43" s="42">
        <v>0.1</v>
      </c>
      <c r="BE43" s="42" t="b">
        <v>1</v>
      </c>
      <c r="BN43" s="42" t="s">
        <v>29</v>
      </c>
      <c r="BO43" s="42">
        <v>0.1</v>
      </c>
      <c r="BP43" s="42" t="b">
        <v>1</v>
      </c>
    </row>
    <row r="44" spans="1:68" x14ac:dyDescent="0.25">
      <c r="B44" s="266" t="s">
        <v>209</v>
      </c>
      <c r="C44" s="257">
        <v>0.1</v>
      </c>
      <c r="D44" s="256" t="b">
        <v>1</v>
      </c>
      <c r="G44" s="626">
        <v>45628</v>
      </c>
      <c r="H44" s="289" cm="1">
        <f t="array" ref="H44">_xll.d.Dates_Act365(G43,G44)</f>
        <v>0.24931506849315069</v>
      </c>
      <c r="I44" s="623">
        <v>9.9999999999999728E-2</v>
      </c>
      <c r="J44" s="136">
        <f ca="1"/>
        <v>0.78067667572957855</v>
      </c>
      <c r="K44" s="213"/>
      <c r="L44" s="214"/>
      <c r="M44" s="266" t="s">
        <v>209</v>
      </c>
      <c r="N44" s="731">
        <v>6.4600000000000005E-2</v>
      </c>
      <c r="O44" s="256" t="b">
        <v>1</v>
      </c>
      <c r="Q44" s="9"/>
      <c r="R44" s="741">
        <v>44225</v>
      </c>
      <c r="S44" s="289" cm="1">
        <f t="array" ref="S44">_xll.d.Dates_Act365(R43,R44)</f>
        <v>0.24931506849315069</v>
      </c>
      <c r="T44" s="623">
        <v>6.2100000000000218E-2</v>
      </c>
      <c r="U44" s="743">
        <f ca="1"/>
        <v>0.93890676510748894</v>
      </c>
      <c r="V44" s="756"/>
      <c r="W44" s="756"/>
      <c r="X44" s="756"/>
      <c r="Y44" s="756"/>
      <c r="Z44" s="756"/>
      <c r="AA44" s="213"/>
      <c r="AB44" s="214"/>
      <c r="AC44" s="793" t="s">
        <v>25</v>
      </c>
      <c r="AD44" s="285">
        <v>6.8000000000000005E-4</v>
      </c>
      <c r="AE44" s="216" t="b">
        <v>1</v>
      </c>
      <c r="AF44" s="455"/>
      <c r="AH44" s="455"/>
      <c r="AI44" s="455"/>
      <c r="AJ44" s="455"/>
      <c r="AK44" s="455"/>
      <c r="AM44" s="799">
        <v>53055</v>
      </c>
      <c r="AN44" s="777">
        <v>0.85641643828217151</v>
      </c>
      <c r="AO44" s="800" cm="1">
        <f t="array" aca="1" ref="AO44" ca="1">_xll.d.Curve_GetDiscountFactors($AE$25,AM44)</f>
        <v>0.85640111401297891</v>
      </c>
      <c r="AP44" s="766" t="str" cm="1">
        <f t="array" aca="1" ref="AP44" ca="1">_xll.d.TestUtils_Equal(AN44,AO44,0.0001)</f>
        <v>Ok</v>
      </c>
      <c r="AQ44" s="213"/>
      <c r="AR44" s="214"/>
    </row>
    <row r="45" spans="1:68" x14ac:dyDescent="0.25">
      <c r="B45" s="267" t="s">
        <v>210</v>
      </c>
      <c r="C45" s="252">
        <v>0.1</v>
      </c>
      <c r="D45" s="253" t="b">
        <v>1</v>
      </c>
      <c r="F45" s="628"/>
      <c r="G45" s="626">
        <v>45719</v>
      </c>
      <c r="H45" s="289" cm="1">
        <f t="array" ref="H45">_xll.d.Dates_Act365(G44,G45)</f>
        <v>0.24931506849315069</v>
      </c>
      <c r="I45" s="623">
        <v>9.9999999999999728E-2</v>
      </c>
      <c r="J45" s="136">
        <f ca="1"/>
        <v>0.76168667907323229</v>
      </c>
      <c r="K45" s="213"/>
      <c r="L45" s="214"/>
      <c r="M45" s="267" t="s">
        <v>210</v>
      </c>
      <c r="N45" s="732">
        <v>6.2600000000000003E-2</v>
      </c>
      <c r="O45" s="253" t="b">
        <v>1</v>
      </c>
      <c r="Q45" s="9"/>
      <c r="R45" s="741">
        <v>44316</v>
      </c>
      <c r="S45" s="289" cm="1">
        <f t="array" ref="S45">_xll.d.Dates_Act365(R44,R45)</f>
        <v>0.24931506849315069</v>
      </c>
      <c r="T45" s="623">
        <v>6.1808445134625675E-2</v>
      </c>
      <c r="U45" s="743">
        <f ca="1"/>
        <v>0.92465799189869102</v>
      </c>
      <c r="V45" s="756"/>
      <c r="W45" s="756"/>
      <c r="X45" s="756"/>
      <c r="Y45" s="756"/>
      <c r="Z45" s="756"/>
      <c r="AA45" s="213"/>
      <c r="AB45" s="214"/>
      <c r="AC45" s="793" t="s">
        <v>625</v>
      </c>
      <c r="AD45" s="285">
        <v>6.7000000000000002E-4</v>
      </c>
      <c r="AE45" s="216" t="b">
        <v>1</v>
      </c>
      <c r="AF45" s="455"/>
      <c r="AH45" s="455"/>
      <c r="AI45" s="455"/>
      <c r="AJ45" s="455"/>
      <c r="AK45" s="455"/>
      <c r="AM45" s="801">
        <v>54882</v>
      </c>
      <c r="AN45" s="802">
        <v>0.82945903335872884</v>
      </c>
      <c r="AO45" s="803" cm="1">
        <f t="array" aca="1" ref="AO45" ca="1">_xll.d.Curve_GetDiscountFactors($AE$25,AM45)</f>
        <v>0.82944410369347776</v>
      </c>
      <c r="AP45" s="766" t="str" cm="1">
        <f t="array" aca="1" ref="AP45" ca="1">_xll.d.TestUtils_Equal(AN45,AO45,0.0001)</f>
        <v>Ok</v>
      </c>
      <c r="AQ45" s="213"/>
      <c r="AR45" s="214"/>
      <c r="AS45" s="12" t="s">
        <v>45</v>
      </c>
      <c r="AT45" s="13"/>
      <c r="AU45" s="13"/>
      <c r="BC45" s="12" t="s">
        <v>45</v>
      </c>
      <c r="BD45" s="13"/>
      <c r="BE45" s="13"/>
      <c r="BN45" s="12" t="s">
        <v>45</v>
      </c>
      <c r="BO45" s="13"/>
      <c r="BP45" s="13"/>
    </row>
    <row r="46" spans="1:68" x14ac:dyDescent="0.25">
      <c r="B46" s="268" t="s">
        <v>211</v>
      </c>
      <c r="C46" s="254">
        <v>0.1</v>
      </c>
      <c r="D46" s="255" t="b">
        <v>1</v>
      </c>
      <c r="G46" s="627">
        <v>45810</v>
      </c>
      <c r="H46" s="201" cm="1">
        <f t="array" ref="H46">_xll.d.Dates_Act365(G45,G46)</f>
        <v>0.24931506849315069</v>
      </c>
      <c r="I46" s="624">
        <v>0.10000000000000062</v>
      </c>
      <c r="J46" s="138">
        <f ca="1"/>
        <v>0.74315861497388347</v>
      </c>
      <c r="K46" s="213"/>
      <c r="L46" s="214"/>
      <c r="M46" s="267" t="s">
        <v>211</v>
      </c>
      <c r="N46" s="732">
        <v>6.2100000000000002E-2</v>
      </c>
      <c r="O46" s="253" t="b">
        <v>1</v>
      </c>
      <c r="R46" s="741">
        <v>44407</v>
      </c>
      <c r="S46" s="289" cm="1">
        <f t="array" ref="S46">_xll.d.Dates_Act365(R45,R46)</f>
        <v>0.24931506849315069</v>
      </c>
      <c r="T46" s="623">
        <v>6.2100000000000218E-2</v>
      </c>
      <c r="U46" s="743">
        <f ca="1"/>
        <v>0.91056027364554482</v>
      </c>
      <c r="V46" s="756"/>
      <c r="W46" s="756"/>
      <c r="X46" s="756"/>
      <c r="Y46" s="756"/>
      <c r="Z46" s="756"/>
      <c r="AA46" s="213"/>
      <c r="AB46" s="214"/>
      <c r="AC46" s="793" t="s">
        <v>626</v>
      </c>
      <c r="AD46" s="285">
        <v>6.6E-4</v>
      </c>
      <c r="AE46" s="216" t="b">
        <v>1</v>
      </c>
      <c r="AF46" s="455"/>
      <c r="AH46" s="455"/>
      <c r="AI46" s="455"/>
      <c r="AJ46" s="455"/>
      <c r="AK46" s="455"/>
      <c r="AQ46" s="213"/>
      <c r="AR46" s="214"/>
      <c r="AS46" s="43" t="s">
        <v>38</v>
      </c>
      <c r="AT46" s="44" t="s">
        <v>39</v>
      </c>
      <c r="AU46" s="45" t="s">
        <v>52</v>
      </c>
      <c r="BC46" s="43" t="s">
        <v>38</v>
      </c>
      <c r="BD46" s="44" t="s">
        <v>39</v>
      </c>
      <c r="BE46" s="45" t="s">
        <v>52</v>
      </c>
      <c r="BN46" s="43" t="s">
        <v>38</v>
      </c>
      <c r="BO46" s="44" t="s">
        <v>39</v>
      </c>
      <c r="BP46" s="45" t="s">
        <v>52</v>
      </c>
    </row>
    <row r="47" spans="1:68" x14ac:dyDescent="0.25">
      <c r="K47" s="213"/>
      <c r="L47" s="214"/>
      <c r="M47" s="729" t="s">
        <v>607</v>
      </c>
      <c r="N47" s="732">
        <v>6.1800000000000001E-2</v>
      </c>
      <c r="O47" s="253" t="b">
        <v>1</v>
      </c>
      <c r="Q47" s="628"/>
      <c r="R47" s="741">
        <v>44498</v>
      </c>
      <c r="S47" s="289" cm="1">
        <f t="array" ref="S47">_xll.d.Dates_Act365(R46,R47)</f>
        <v>0.24931506849315069</v>
      </c>
      <c r="T47" s="623">
        <v>6.2599999999999503E-2</v>
      </c>
      <c r="U47" s="743">
        <f ca="1"/>
        <v>0.89656743514945603</v>
      </c>
      <c r="V47" s="756"/>
      <c r="W47" s="756"/>
      <c r="X47" s="756"/>
      <c r="Y47" s="756"/>
      <c r="Z47" s="756"/>
      <c r="AA47" s="213"/>
      <c r="AB47" s="214"/>
      <c r="AC47" s="793" t="s">
        <v>28</v>
      </c>
      <c r="AD47" s="285">
        <v>6.6E-4</v>
      </c>
      <c r="AE47" s="216" t="b">
        <v>1</v>
      </c>
      <c r="AF47" s="455"/>
      <c r="AH47" s="304" t="s">
        <v>575</v>
      </c>
      <c r="AI47" s="305"/>
      <c r="AJ47" s="305"/>
      <c r="AK47" s="306"/>
      <c r="AQ47" s="213"/>
      <c r="AR47" s="214"/>
      <c r="AS47" s="42" t="s">
        <v>62</v>
      </c>
      <c r="AT47" s="42">
        <v>0.1</v>
      </c>
      <c r="AU47" s="42" t="b">
        <v>1</v>
      </c>
      <c r="BC47" s="42" t="s">
        <v>62</v>
      </c>
      <c r="BD47" s="42">
        <v>0.1</v>
      </c>
      <c r="BE47" s="42" t="b">
        <v>1</v>
      </c>
      <c r="BN47" s="42" t="s">
        <v>62</v>
      </c>
      <c r="BO47" s="42">
        <v>0.1</v>
      </c>
      <c r="BP47" s="42" t="b">
        <v>1</v>
      </c>
    </row>
    <row r="48" spans="1:68" x14ac:dyDescent="0.25">
      <c r="B48" s="12" t="s">
        <v>45</v>
      </c>
      <c r="C48" s="27"/>
      <c r="D48" s="13"/>
      <c r="G48" s="304" t="s">
        <v>575</v>
      </c>
      <c r="H48" s="305"/>
      <c r="I48" s="305"/>
      <c r="J48" s="306"/>
      <c r="K48" s="213"/>
      <c r="L48" s="214"/>
      <c r="M48" s="729" t="s">
        <v>608</v>
      </c>
      <c r="N48" s="732">
        <v>6.2100000000000002E-2</v>
      </c>
      <c r="O48" s="253" t="b">
        <v>1</v>
      </c>
      <c r="R48" s="741">
        <v>44592</v>
      </c>
      <c r="S48" s="289" cm="1">
        <f t="array" ref="S48">_xll.d.Dates_Act365(R47,R48)</f>
        <v>0.25753424657534246</v>
      </c>
      <c r="T48" s="623">
        <v>6.3199999999999867E-2</v>
      </c>
      <c r="U48" s="743">
        <f ca="1"/>
        <v>0.88220846515010332</v>
      </c>
      <c r="V48" s="756"/>
      <c r="W48" s="756"/>
      <c r="X48" s="756"/>
      <c r="Y48" s="756"/>
      <c r="Z48" s="756"/>
      <c r="AA48" s="213"/>
      <c r="AB48" s="214"/>
      <c r="AC48" s="793" t="s">
        <v>29</v>
      </c>
      <c r="AD48" s="285">
        <v>6.6E-4</v>
      </c>
      <c r="AE48" s="216" t="b">
        <v>1</v>
      </c>
      <c r="AF48" s="455"/>
      <c r="AH48" s="519" t="s">
        <v>23</v>
      </c>
      <c r="AI48" s="640" t="s">
        <v>81</v>
      </c>
      <c r="AJ48" s="640" t="s">
        <v>82</v>
      </c>
      <c r="AK48" s="641" t="s">
        <v>83</v>
      </c>
      <c r="AQ48" s="213"/>
      <c r="AR48" s="214"/>
      <c r="AS48" s="42" t="s">
        <v>68</v>
      </c>
      <c r="AT48" s="42">
        <v>0.1</v>
      </c>
      <c r="AU48" s="42" t="b">
        <v>1</v>
      </c>
      <c r="BC48" s="42" t="s">
        <v>68</v>
      </c>
      <c r="BD48" s="42">
        <v>0.1</v>
      </c>
      <c r="BE48" s="42" t="b">
        <v>1</v>
      </c>
      <c r="BN48" s="42" t="s">
        <v>68</v>
      </c>
      <c r="BO48" s="42">
        <v>0.1</v>
      </c>
      <c r="BP48" s="42" t="b">
        <v>1</v>
      </c>
    </row>
    <row r="49" spans="2:54" x14ac:dyDescent="0.25">
      <c r="B49" s="72" t="s">
        <v>38</v>
      </c>
      <c r="C49" s="73" t="s">
        <v>39</v>
      </c>
      <c r="D49" s="74" t="s">
        <v>52</v>
      </c>
      <c r="G49" s="519" t="s">
        <v>23</v>
      </c>
      <c r="H49" s="640" t="s">
        <v>81</v>
      </c>
      <c r="I49" s="640" t="s">
        <v>82</v>
      </c>
      <c r="J49" s="641" t="s">
        <v>83</v>
      </c>
      <c r="K49" s="213"/>
      <c r="L49" s="214"/>
      <c r="M49" s="729" t="s">
        <v>609</v>
      </c>
      <c r="N49" s="732">
        <v>6.2600000000000003E-2</v>
      </c>
      <c r="O49" s="253" t="b">
        <v>1</v>
      </c>
      <c r="R49" s="741">
        <v>44680</v>
      </c>
      <c r="S49" s="289" cm="1">
        <f t="array" ref="S49">_xll.d.Dates_Act365(R48,R49)</f>
        <v>0.24109589041095891</v>
      </c>
      <c r="T49" s="623">
        <v>6.5646944639983829E-2</v>
      </c>
      <c r="U49" s="743">
        <f ca="1"/>
        <v>0.8684631182417003</v>
      </c>
      <c r="V49" s="756"/>
      <c r="W49" s="756"/>
      <c r="X49" s="756"/>
      <c r="Y49" s="756"/>
      <c r="Z49" s="756"/>
      <c r="AA49" s="213"/>
      <c r="AB49" s="214"/>
      <c r="AC49" s="793" t="s">
        <v>612</v>
      </c>
      <c r="AD49" s="285">
        <v>6.9000000000000008E-4</v>
      </c>
      <c r="AE49" s="216" t="b">
        <v>1</v>
      </c>
      <c r="AF49" s="455"/>
      <c r="AH49" s="642" t="s">
        <v>61</v>
      </c>
      <c r="AI49" s="752">
        <f ca="1">SUMPRODUCT(AI35,AJ35,AK35)/SUMPRODUCT(AI35,AK35)</f>
        <v>6.900000000000854E-4</v>
      </c>
      <c r="AJ49" s="752">
        <f>AD49</f>
        <v>6.9000000000000008E-4</v>
      </c>
      <c r="AK49" s="205" t="str" cm="1">
        <f t="array" aca="1" ref="AK49" ca="1">_xll.d.TestUtils_Equal(AI49,AJ49,0.00001)</f>
        <v>Ok</v>
      </c>
      <c r="AL49" s="791"/>
      <c r="AQ49" s="213"/>
      <c r="AR49" s="214"/>
      <c r="AS49" s="64"/>
      <c r="AT49" s="64"/>
      <c r="AU49" s="64"/>
      <c r="AV49" s="64"/>
      <c r="AW49" s="64"/>
      <c r="AX49" s="64"/>
      <c r="AY49" s="64"/>
      <c r="AZ49" s="64"/>
      <c r="BA49" s="64"/>
      <c r="BB49" s="64"/>
    </row>
    <row r="50" spans="2:54" x14ac:dyDescent="0.25">
      <c r="B50" s="226" t="s">
        <v>62</v>
      </c>
      <c r="C50" s="232">
        <v>0.1</v>
      </c>
      <c r="D50" s="227" t="b">
        <v>1</v>
      </c>
      <c r="G50" s="642" t="s">
        <v>62</v>
      </c>
      <c r="H50" s="204">
        <f ca="1">SUMPRODUCT(H35:H42,I35:I42,J35:J42)/SUMPRODUCT(H35:H42,J35:J42)</f>
        <v>9.9999999999999936E-2</v>
      </c>
      <c r="I50" s="204">
        <f>C50</f>
        <v>0.1</v>
      </c>
      <c r="J50" s="205" t="str" cm="1">
        <f t="array" aca="1" ref="J50" ca="1">_xll.d.TestUtils_Equal(H50,I50,0.00001)</f>
        <v>Ok</v>
      </c>
      <c r="K50" s="213"/>
      <c r="L50" s="214"/>
      <c r="M50" s="730" t="s">
        <v>610</v>
      </c>
      <c r="N50" s="733">
        <v>6.3200000000000006E-2</v>
      </c>
      <c r="O50" s="255" t="b">
        <v>1</v>
      </c>
      <c r="R50" s="741">
        <v>44771</v>
      </c>
      <c r="S50" s="289" cm="1">
        <f t="array" ref="S50">_xll.d.Dates_Act365(R49,R50)</f>
        <v>0.24931506849315069</v>
      </c>
      <c r="T50" s="623">
        <v>6.5664565447257517E-2</v>
      </c>
      <c r="U50" s="743">
        <f ca="1"/>
        <v>0.85447437669251913</v>
      </c>
      <c r="V50" s="756"/>
      <c r="W50" s="756"/>
      <c r="X50" s="756"/>
      <c r="Y50" s="756"/>
      <c r="Z50" s="756"/>
      <c r="AA50" s="213"/>
      <c r="AB50" s="214"/>
      <c r="AC50" s="793" t="s">
        <v>615</v>
      </c>
      <c r="AD50" s="285">
        <v>7.9000000000000001E-4</v>
      </c>
      <c r="AE50" s="216" t="b">
        <v>1</v>
      </c>
      <c r="AF50" s="455"/>
      <c r="AH50" s="759" t="s">
        <v>62</v>
      </c>
      <c r="AI50" s="760">
        <f t="array" aca="1" ref="AI50" ca="1">SUMPRODUCT(AI35:AI36,AJ35:AJ36,AK35:AK36)/SUMPRODUCT(AI35:AI36,AK35:AK36)</f>
        <v>8.2999999999999459E-4</v>
      </c>
      <c r="AJ50" s="760">
        <f>AD51</f>
        <v>8.3000000000000001E-4</v>
      </c>
      <c r="AK50" s="702" t="str" cm="1">
        <f t="array" aca="1" ref="AK50" ca="1">_xll.d.TestUtils_Equal(AI50,AJ50,0.00001)</f>
        <v>Ok</v>
      </c>
      <c r="AL50" s="791"/>
      <c r="AQ50" s="213"/>
      <c r="AR50" s="214"/>
      <c r="AS50" s="64"/>
      <c r="AT50" s="64"/>
      <c r="AU50" s="64"/>
      <c r="AV50" s="64"/>
      <c r="AW50" s="64"/>
      <c r="AX50" s="64"/>
      <c r="AY50" s="64"/>
      <c r="AZ50" s="64"/>
      <c r="BA50" s="64"/>
      <c r="BB50" s="64"/>
    </row>
    <row r="51" spans="2:54" x14ac:dyDescent="0.25">
      <c r="B51" s="228" t="s">
        <v>68</v>
      </c>
      <c r="C51" s="234">
        <v>0.1</v>
      </c>
      <c r="D51" s="229" t="b">
        <v>1</v>
      </c>
      <c r="G51" s="643" t="s">
        <v>68</v>
      </c>
      <c r="H51" s="644">
        <f ca="1">SUMPRODUCT(H35:H46,I35:I46,J35:J46)/SUMPRODUCT(H35:H46,J35:J46)</f>
        <v>9.9999999999999964E-2</v>
      </c>
      <c r="I51" s="644">
        <f>C51</f>
        <v>0.1</v>
      </c>
      <c r="J51" s="208" t="str" cm="1">
        <f t="array" aca="1" ref="J51" ca="1">_xll.d.TestUtils_Equal(H51,I51,0.00001)</f>
        <v>Ok</v>
      </c>
      <c r="K51" s="213"/>
      <c r="L51" s="214"/>
      <c r="M51" s="726"/>
      <c r="N51" s="727"/>
      <c r="O51" s="728"/>
      <c r="R51" s="741">
        <v>44865</v>
      </c>
      <c r="S51" s="289" cm="1">
        <f t="array" ref="S51">_xll.d.Dates_Act365(R50,R51)</f>
        <v>0.25753424657534246</v>
      </c>
      <c r="T51" s="623">
        <v>6.5682192552889401E-2</v>
      </c>
      <c r="U51" s="743">
        <f ca="1"/>
        <v>0.84026101379913332</v>
      </c>
      <c r="V51" s="756"/>
      <c r="W51" s="756"/>
      <c r="X51" s="756"/>
      <c r="Y51" s="756"/>
      <c r="Z51" s="756"/>
      <c r="AA51" s="213"/>
      <c r="AB51" s="214"/>
      <c r="AC51" s="793" t="s">
        <v>62</v>
      </c>
      <c r="AD51" s="285">
        <v>8.3000000000000001E-4</v>
      </c>
      <c r="AE51" s="216" t="b">
        <v>1</v>
      </c>
      <c r="AF51" s="455"/>
      <c r="AH51" s="761" t="s">
        <v>68</v>
      </c>
      <c r="AI51" s="760">
        <f ca="1">SUMPRODUCT(AI35:AI37,AJ35:AJ37,AK35:AK37)/SUMPRODUCT(AI35:AI37,AK35:AK37)</f>
        <v>1.1599999999999759E-3</v>
      </c>
      <c r="AJ51" s="762">
        <f>AD52</f>
        <v>1.16E-3</v>
      </c>
      <c r="AK51" s="702" t="str" cm="1">
        <f t="array" aca="1" ref="AK51" ca="1">_xll.d.TestUtils_Equal(AI51,AJ51,0.00001)</f>
        <v>Ok</v>
      </c>
      <c r="AL51" s="791"/>
      <c r="AQ51" s="213"/>
      <c r="AR51" s="214"/>
      <c r="AS51" s="64"/>
      <c r="AT51" s="64"/>
      <c r="AU51" s="64"/>
      <c r="AV51" s="64"/>
      <c r="AW51" s="64"/>
      <c r="AX51" s="64"/>
      <c r="AY51" s="64"/>
      <c r="AZ51" s="64"/>
      <c r="BA51" s="64"/>
      <c r="BB51" s="64"/>
    </row>
    <row r="52" spans="2:54" x14ac:dyDescent="0.25">
      <c r="K52" s="213"/>
      <c r="L52" s="214"/>
      <c r="M52" s="12" t="s">
        <v>45</v>
      </c>
      <c r="N52" s="27"/>
      <c r="O52" s="13"/>
      <c r="R52" s="741">
        <v>44957</v>
      </c>
      <c r="S52" s="289" cm="1">
        <f t="array" ref="S52">_xll.d.Dates_Act365(R51,R52)</f>
        <v>0.25205479452054796</v>
      </c>
      <c r="T52" s="623">
        <v>6.5670440449192277E-2</v>
      </c>
      <c r="U52" s="743">
        <f ca="1"/>
        <v>0.8265790236982723</v>
      </c>
      <c r="V52" s="756"/>
      <c r="W52" s="756"/>
      <c r="X52" s="756"/>
      <c r="Y52" s="756"/>
      <c r="Z52" s="756"/>
      <c r="AA52" s="213"/>
      <c r="AB52" s="214"/>
      <c r="AC52" s="793" t="s">
        <v>68</v>
      </c>
      <c r="AD52" s="285">
        <v>1.16E-3</v>
      </c>
      <c r="AE52" s="216" t="b">
        <v>1</v>
      </c>
      <c r="AF52" s="455"/>
      <c r="AH52" s="759" t="s">
        <v>611</v>
      </c>
      <c r="AI52" s="760">
        <f ca="1">SUMPRODUCT(AI$35:AI38,AJ$35:AJ38,AK$35:AK38)/SUMPRODUCT(AI$35:AI38,AK$35:AK38)</f>
        <v>1.5999999999999936E-3</v>
      </c>
      <c r="AJ52" s="760">
        <f>AD53</f>
        <v>1.6000000000000001E-3</v>
      </c>
      <c r="AK52" s="702" t="str" cm="1">
        <f t="array" aca="1" ref="AK52" ca="1">_xll.d.TestUtils_Equal(AI52,AJ52,0.00001)</f>
        <v>Ok</v>
      </c>
      <c r="AL52" s="791"/>
      <c r="AQ52" s="213"/>
      <c r="AR52" s="214"/>
      <c r="AS52" s="64"/>
      <c r="AT52" s="64"/>
      <c r="AU52" s="64"/>
      <c r="AV52" s="64"/>
      <c r="AW52" s="64"/>
      <c r="AX52" s="64"/>
      <c r="AY52" s="64"/>
      <c r="AZ52" s="64"/>
      <c r="BA52" s="64"/>
      <c r="BB52" s="64"/>
    </row>
    <row r="53" spans="2:54" x14ac:dyDescent="0.25">
      <c r="G53" t="s">
        <v>229</v>
      </c>
      <c r="K53" s="213"/>
      <c r="L53" s="214"/>
      <c r="M53" s="72" t="s">
        <v>38</v>
      </c>
      <c r="N53" s="73" t="s">
        <v>39</v>
      </c>
      <c r="O53" s="74" t="s">
        <v>52</v>
      </c>
      <c r="R53" s="741">
        <v>45044</v>
      </c>
      <c r="S53" s="289" cm="1">
        <f t="array" ref="S53">_xll.d.Dates_Act365(R52,R53)</f>
        <v>0.23835616438356164</v>
      </c>
      <c r="T53" s="623">
        <v>6.9627409251721714E-2</v>
      </c>
      <c r="U53" s="743">
        <f ca="1"/>
        <v>0.81308496623541449</v>
      </c>
      <c r="V53" s="756"/>
      <c r="W53" s="756"/>
      <c r="X53" s="756"/>
      <c r="Y53" s="756"/>
      <c r="Z53" s="756"/>
      <c r="AA53" s="213"/>
      <c r="AB53" s="214"/>
      <c r="AC53" s="793" t="s">
        <v>611</v>
      </c>
      <c r="AD53" s="285">
        <v>1.6000000000000001E-3</v>
      </c>
      <c r="AE53" s="216" t="b">
        <v>1</v>
      </c>
      <c r="AF53" s="455"/>
      <c r="AH53" s="761" t="s">
        <v>618</v>
      </c>
      <c r="AI53" s="760">
        <f ca="1">SUMPRODUCT(AI$35:AI39,AJ$35:AJ39,AK$35:AK39)/SUMPRODUCT(AI$35:AI39,AK$35:AK39)</f>
        <v>2.1299999999999843E-3</v>
      </c>
      <c r="AJ53" s="762">
        <f>AD54</f>
        <v>2.1299999999999999E-3</v>
      </c>
      <c r="AK53" s="702" t="str" cm="1">
        <f t="array" aca="1" ref="AK53" ca="1">_xll.d.TestUtils_Equal(AI53,AJ53,0.00001)</f>
        <v>Ok</v>
      </c>
      <c r="AL53" s="791"/>
      <c r="AQ53" s="213"/>
      <c r="AR53" s="214"/>
      <c r="AS53" s="64"/>
      <c r="AT53" s="64"/>
      <c r="AU53" s="64"/>
      <c r="AV53" s="64"/>
      <c r="AW53" s="64"/>
      <c r="AX53" s="64"/>
      <c r="AY53" s="64"/>
      <c r="AZ53" s="64"/>
      <c r="BA53" s="64"/>
      <c r="BB53" s="64"/>
    </row>
    <row r="54" spans="2:54" x14ac:dyDescent="0.25">
      <c r="G54" s="278" t="s">
        <v>228</v>
      </c>
      <c r="K54" s="213"/>
      <c r="L54" s="214"/>
      <c r="M54" s="734" t="s">
        <v>68</v>
      </c>
      <c r="N54" s="735">
        <v>6.3899999999999998E-2</v>
      </c>
      <c r="O54" s="227" t="b">
        <v>1</v>
      </c>
      <c r="R54" s="741">
        <v>45138</v>
      </c>
      <c r="S54" s="289" cm="1">
        <f t="array" ref="S54">_xll.d.Dates_Act365(R53,R54)</f>
        <v>0.25753424657534246</v>
      </c>
      <c r="T54" s="623">
        <v>6.9673662080722773E-2</v>
      </c>
      <c r="U54" s="743">
        <f ca="1"/>
        <v>0.79875266436428716</v>
      </c>
      <c r="V54" s="756"/>
      <c r="W54" s="756"/>
      <c r="X54" s="756"/>
      <c r="Y54" s="756"/>
      <c r="Z54" s="756"/>
      <c r="AA54" s="213"/>
      <c r="AB54" s="214"/>
      <c r="AC54" s="793" t="s">
        <v>618</v>
      </c>
      <c r="AD54" s="285">
        <v>2.1299999999999999E-3</v>
      </c>
      <c r="AE54" s="216" t="b">
        <v>1</v>
      </c>
      <c r="AF54" s="455"/>
      <c r="AH54" s="643" t="s">
        <v>620</v>
      </c>
      <c r="AI54" s="753">
        <f ca="1">SUMPRODUCT(AI$35:AI41,AJ$35:AJ41,AK$35:AK41)/SUMPRODUCT(AI$35:AI41,AK$35:AK41)</f>
        <v>3.1399999999999957E-3</v>
      </c>
      <c r="AJ54" s="753">
        <f>AD55</f>
        <v>3.14E-3</v>
      </c>
      <c r="AK54" s="208" t="str" cm="1">
        <f t="array" aca="1" ref="AK54" ca="1">_xll.d.TestUtils_Equal(AI54,AJ54,0.00001)</f>
        <v>Ok</v>
      </c>
      <c r="AL54" s="791"/>
      <c r="AQ54" s="213"/>
      <c r="AR54" s="214"/>
      <c r="AS54" s="64"/>
      <c r="AT54" s="64"/>
      <c r="AU54" s="64"/>
      <c r="AV54" s="64"/>
      <c r="AW54" s="64"/>
      <c r="AX54" s="64"/>
      <c r="AY54" s="64"/>
      <c r="AZ54" s="64"/>
      <c r="BA54" s="64"/>
      <c r="BB54" s="64"/>
    </row>
    <row r="55" spans="2:54" x14ac:dyDescent="0.25">
      <c r="K55" s="213"/>
      <c r="L55" s="214"/>
      <c r="M55" s="729" t="s">
        <v>611</v>
      </c>
      <c r="N55" s="724">
        <v>6.5199999999999994E-2</v>
      </c>
      <c r="O55" s="231" t="b">
        <v>1</v>
      </c>
      <c r="R55" s="741">
        <v>45230</v>
      </c>
      <c r="S55" s="289" cm="1">
        <f t="array" ref="S55">_xll.d.Dates_Act365(R54,R55)</f>
        <v>0.25205479452054796</v>
      </c>
      <c r="T55" s="623">
        <v>6.9660442813451517E-2</v>
      </c>
      <c r="U55" s="743">
        <f ca="1"/>
        <v>0.78496996654844531</v>
      </c>
      <c r="V55" s="756"/>
      <c r="W55" s="756"/>
      <c r="X55" s="756"/>
      <c r="Y55" s="756"/>
      <c r="Z55" s="756"/>
      <c r="AA55" s="213"/>
      <c r="AB55" s="214"/>
      <c r="AC55" s="793" t="s">
        <v>620</v>
      </c>
      <c r="AD55" s="285">
        <v>3.14E-3</v>
      </c>
      <c r="AE55" s="216" t="b">
        <v>1</v>
      </c>
      <c r="AF55" s="455"/>
      <c r="AH55" s="455"/>
      <c r="AI55" s="455"/>
      <c r="AJ55" s="455"/>
      <c r="AK55" s="455"/>
      <c r="AQ55" s="213"/>
      <c r="AR55" s="214"/>
      <c r="AS55" s="64"/>
      <c r="AT55" s="64"/>
      <c r="AU55" s="64"/>
      <c r="AV55" s="64"/>
      <c r="AW55" s="64"/>
      <c r="AX55" s="64"/>
      <c r="AY55" s="64"/>
      <c r="AZ55" s="64"/>
      <c r="BA55" s="64"/>
      <c r="BB55" s="64"/>
    </row>
    <row r="56" spans="2:54" x14ac:dyDescent="0.25">
      <c r="K56" s="213"/>
      <c r="L56" s="214"/>
      <c r="M56" s="757" t="s">
        <v>618</v>
      </c>
      <c r="N56" s="724">
        <v>6.6600000000000006E-2</v>
      </c>
      <c r="O56" s="231" t="b">
        <v>1</v>
      </c>
      <c r="R56" s="741">
        <v>45322</v>
      </c>
      <c r="S56" s="289" cm="1">
        <f t="array" ref="S56">_xll.d.Dates_Act365(R55,R56)</f>
        <v>0.25205479452054796</v>
      </c>
      <c r="T56" s="623">
        <v>6.9660442813451517E-2</v>
      </c>
      <c r="U56" s="743">
        <f ca="1"/>
        <v>0.77142509298979567</v>
      </c>
      <c r="V56" s="756"/>
      <c r="W56" s="756"/>
      <c r="X56" s="756"/>
      <c r="Y56" s="756"/>
      <c r="Z56" s="756"/>
      <c r="AA56" s="213"/>
      <c r="AB56" s="214"/>
      <c r="AC56" s="793" t="s">
        <v>627</v>
      </c>
      <c r="AD56" s="285">
        <v>4.3299999999999996E-3</v>
      </c>
      <c r="AE56" s="216" t="b">
        <v>1</v>
      </c>
      <c r="AF56" s="455"/>
      <c r="AH56" s="308" t="s">
        <v>229</v>
      </c>
      <c r="AI56" s="455"/>
      <c r="AJ56" s="455"/>
      <c r="AK56" s="455"/>
      <c r="AQ56" s="213"/>
      <c r="AR56" s="214"/>
      <c r="AS56" s="64"/>
      <c r="AT56" s="64"/>
      <c r="AU56" s="64"/>
      <c r="AV56" s="64"/>
      <c r="AW56" s="64"/>
      <c r="AX56" s="64"/>
      <c r="AY56" s="64"/>
      <c r="AZ56" s="64"/>
      <c r="BA56" s="64"/>
      <c r="BB56" s="64"/>
    </row>
    <row r="57" spans="2:54" x14ac:dyDescent="0.25">
      <c r="K57" s="213"/>
      <c r="L57" s="214"/>
      <c r="M57" s="757" t="s">
        <v>619</v>
      </c>
      <c r="N57" s="724">
        <v>6.83E-2</v>
      </c>
      <c r="O57" s="231" t="b">
        <v>1</v>
      </c>
      <c r="R57" s="741">
        <v>45412</v>
      </c>
      <c r="S57" s="289" cm="1">
        <f t="array" ref="S57">_xll.d.Dates_Act365(R56,R57)</f>
        <v>0.24657534246575341</v>
      </c>
      <c r="T57" s="623">
        <v>7.3227894012978037E-2</v>
      </c>
      <c r="U57" s="743">
        <f ca="1"/>
        <v>0.75774313663669324</v>
      </c>
      <c r="V57" s="756"/>
      <c r="W57" s="756"/>
      <c r="X57" s="756"/>
      <c r="Y57" s="756"/>
      <c r="Z57" s="756"/>
      <c r="AA57" s="213"/>
      <c r="AB57" s="214"/>
      <c r="AC57" s="793" t="s">
        <v>628</v>
      </c>
      <c r="AD57" s="285">
        <v>4.8799999999999998E-3</v>
      </c>
      <c r="AE57" s="216" t="b">
        <v>1</v>
      </c>
      <c r="AF57" s="455"/>
      <c r="AH57" s="278" t="s">
        <v>228</v>
      </c>
      <c r="AI57" s="455"/>
      <c r="AJ57" s="455"/>
      <c r="AK57" s="455"/>
      <c r="AQ57" s="213"/>
      <c r="AR57" s="214"/>
      <c r="AS57" s="64"/>
      <c r="AT57" s="64"/>
      <c r="AU57" s="64"/>
      <c r="AV57" s="64"/>
      <c r="AW57" s="64"/>
      <c r="AX57" s="64"/>
      <c r="AY57" s="64"/>
      <c r="AZ57" s="64"/>
      <c r="BA57" s="64"/>
      <c r="BB57" s="64"/>
    </row>
    <row r="58" spans="2:54" x14ac:dyDescent="0.25">
      <c r="K58" s="213"/>
      <c r="L58" s="214"/>
      <c r="M58" s="757" t="s">
        <v>620</v>
      </c>
      <c r="N58" s="724">
        <v>6.9900000000000004E-2</v>
      </c>
      <c r="O58" s="231" t="b">
        <v>1</v>
      </c>
      <c r="R58" s="741">
        <v>45504</v>
      </c>
      <c r="S58" s="289" cm="1">
        <f t="array" ref="S58">_xll.d.Dates_Act365(R57,R58)</f>
        <v>0.25205479452054796</v>
      </c>
      <c r="T58" s="623">
        <v>7.3242499618522236E-2</v>
      </c>
      <c r="U58" s="743">
        <f ca="1"/>
        <v>0.7440079148649078</v>
      </c>
      <c r="V58" s="756"/>
      <c r="W58" s="756"/>
      <c r="X58" s="756"/>
      <c r="Y58" s="756"/>
      <c r="Z58" s="756"/>
      <c r="AA58" s="213"/>
      <c r="AB58" s="214"/>
      <c r="AC58" s="793" t="s">
        <v>629</v>
      </c>
      <c r="AD58" s="285">
        <v>5.3300000000000005E-3</v>
      </c>
      <c r="AE58" s="216" t="b">
        <v>1</v>
      </c>
      <c r="AF58" s="455"/>
      <c r="AH58" s="455"/>
      <c r="AI58" s="455"/>
      <c r="AJ58" s="455"/>
      <c r="AK58" s="455"/>
      <c r="AQ58" s="213"/>
      <c r="AR58" s="214"/>
      <c r="AS58" s="64"/>
      <c r="AT58" s="64"/>
      <c r="AU58" s="64"/>
      <c r="AV58" s="64"/>
      <c r="AW58" s="64"/>
      <c r="AX58" s="64"/>
      <c r="AY58" s="64"/>
      <c r="AZ58" s="64"/>
      <c r="BA58" s="64"/>
      <c r="BB58" s="64"/>
    </row>
    <row r="59" spans="2:54" x14ac:dyDescent="0.25">
      <c r="K59" s="213"/>
      <c r="L59" s="214"/>
      <c r="M59" s="758" t="s">
        <v>621</v>
      </c>
      <c r="N59" s="736">
        <v>7.17E-2</v>
      </c>
      <c r="O59" s="229" t="b">
        <v>1</v>
      </c>
      <c r="R59" s="741">
        <v>45596</v>
      </c>
      <c r="S59" s="289" cm="1">
        <f t="array" ref="S59">_xll.d.Dates_Act365(R58,R59)</f>
        <v>0.25205479452054796</v>
      </c>
      <c r="T59" s="623">
        <v>7.3242499618522236E-2</v>
      </c>
      <c r="U59" s="743">
        <f ca="1"/>
        <v>0.73052166442390531</v>
      </c>
      <c r="V59" s="756"/>
      <c r="W59" s="756"/>
      <c r="X59" s="756"/>
      <c r="Y59" s="756"/>
      <c r="Z59" s="756"/>
      <c r="AA59" s="213"/>
      <c r="AB59" s="214"/>
      <c r="AC59" s="793" t="s">
        <v>630</v>
      </c>
      <c r="AD59" s="285">
        <v>5.8499999999999993E-3</v>
      </c>
      <c r="AE59" s="216" t="b">
        <v>1</v>
      </c>
      <c r="AF59" s="455"/>
      <c r="AH59" s="455"/>
      <c r="AI59" s="455"/>
      <c r="AJ59" s="455"/>
      <c r="AK59" s="455"/>
      <c r="AQ59" s="213"/>
      <c r="AR59" s="214"/>
      <c r="AS59" s="64"/>
      <c r="AT59" s="64"/>
      <c r="AU59" s="64"/>
      <c r="AV59" s="64"/>
      <c r="AW59" s="64"/>
      <c r="AX59" s="64"/>
      <c r="AY59" s="64"/>
      <c r="AZ59" s="64"/>
      <c r="BA59" s="64"/>
      <c r="BB59" s="64"/>
    </row>
    <row r="60" spans="2:54" x14ac:dyDescent="0.25">
      <c r="B60" s="10"/>
      <c r="K60" s="213"/>
      <c r="L60" s="214"/>
      <c r="R60" s="741">
        <v>45688</v>
      </c>
      <c r="S60" s="289" cm="1">
        <f t="array" ref="S60">_xll.d.Dates_Act365(R59,R60)</f>
        <v>0.25205479452054796</v>
      </c>
      <c r="T60" s="623">
        <v>7.3242499618522236E-2</v>
      </c>
      <c r="U60" s="743">
        <f ca="1"/>
        <v>0.71727987233787949</v>
      </c>
      <c r="V60" s="756"/>
      <c r="W60" s="756"/>
      <c r="X60" s="756"/>
      <c r="Y60" s="756"/>
      <c r="Z60" s="756"/>
      <c r="AA60" s="213"/>
      <c r="AB60" s="214"/>
      <c r="AC60" s="793" t="s">
        <v>631</v>
      </c>
      <c r="AD60" s="285">
        <v>6.0599999999999994E-3</v>
      </c>
      <c r="AE60" s="216" t="b">
        <v>1</v>
      </c>
      <c r="AF60" s="455"/>
      <c r="AG60" s="455"/>
      <c r="AH60" s="455"/>
      <c r="AI60" s="455"/>
      <c r="AJ60" s="455"/>
      <c r="AK60" s="455"/>
      <c r="AQ60" s="213"/>
      <c r="AR60" s="214"/>
      <c r="AS60" s="64"/>
      <c r="AT60" s="64"/>
      <c r="AU60" s="64"/>
      <c r="AV60" s="64"/>
      <c r="AW60" s="64"/>
      <c r="AX60" s="64"/>
      <c r="AY60" s="64"/>
      <c r="AZ60" s="64"/>
      <c r="BA60" s="64"/>
      <c r="BB60" s="64"/>
    </row>
    <row r="61" spans="2:54" x14ac:dyDescent="0.25">
      <c r="K61" s="213"/>
      <c r="L61" s="214"/>
      <c r="R61" s="741">
        <v>45777</v>
      </c>
      <c r="S61" s="289" cm="1">
        <f t="array" ref="S61">_xll.d.Dates_Act365(R60,R61)</f>
        <v>0.24383561643835616</v>
      </c>
      <c r="T61" s="623">
        <v>7.8872625681942893E-2</v>
      </c>
      <c r="U61" s="743">
        <f ca="1"/>
        <v>0.70374547089671624</v>
      </c>
      <c r="V61" s="756"/>
      <c r="W61" s="756"/>
      <c r="X61" s="756"/>
      <c r="Y61" s="756"/>
      <c r="Z61" s="756"/>
      <c r="AA61" s="213"/>
      <c r="AB61" s="214"/>
      <c r="AC61" s="794" t="s">
        <v>632</v>
      </c>
      <c r="AD61" s="286">
        <v>6.0999999999999995E-3</v>
      </c>
      <c r="AE61" s="217" t="b">
        <v>1</v>
      </c>
      <c r="AF61" s="455"/>
      <c r="AG61" s="455"/>
      <c r="AH61" s="455"/>
      <c r="AI61" s="455"/>
      <c r="AJ61" s="455"/>
      <c r="AK61" s="455"/>
      <c r="AQ61" s="213"/>
      <c r="AR61" s="214"/>
      <c r="AS61" s="64"/>
      <c r="AT61" s="64"/>
      <c r="AU61" s="64"/>
      <c r="AV61" s="64"/>
      <c r="AW61" s="64"/>
      <c r="AX61" s="64"/>
      <c r="AY61" s="64"/>
      <c r="AZ61" s="64"/>
      <c r="BA61" s="64"/>
      <c r="BB61" s="64"/>
    </row>
    <row r="62" spans="2:54" x14ac:dyDescent="0.25">
      <c r="K62" s="213"/>
      <c r="L62" s="214"/>
      <c r="R62" s="741">
        <v>45869</v>
      </c>
      <c r="S62" s="289" cm="1">
        <f t="array" ref="S62">_xll.d.Dates_Act365(R61,R62)</f>
        <v>0.25205479452054796</v>
      </c>
      <c r="T62" s="623">
        <v>7.8898034102186321E-2</v>
      </c>
      <c r="U62" s="743">
        <f ca="1"/>
        <v>0.69002323565405865</v>
      </c>
      <c r="V62" s="756"/>
      <c r="W62" s="756"/>
      <c r="X62" s="756"/>
      <c r="Y62" s="756"/>
      <c r="Z62" s="756"/>
      <c r="AA62" s="213"/>
      <c r="AB62" s="214"/>
      <c r="AC62" s="1"/>
      <c r="AG62" s="455"/>
      <c r="AH62" s="455"/>
      <c r="AI62" s="455"/>
      <c r="AJ62" s="455"/>
      <c r="AK62" s="455"/>
      <c r="AQ62" s="213"/>
      <c r="AR62" s="214"/>
    </row>
    <row r="63" spans="2:54" x14ac:dyDescent="0.25">
      <c r="B63" s="10"/>
      <c r="K63" s="213"/>
      <c r="L63" s="214"/>
      <c r="R63" s="741">
        <v>45961</v>
      </c>
      <c r="S63" s="289" cm="1">
        <f t="array" ref="S63">_xll.d.Dates_Act365(R62,R63)</f>
        <v>0.25205479452054796</v>
      </c>
      <c r="T63" s="623">
        <v>7.8898034102187209E-2</v>
      </c>
      <c r="U63" s="743">
        <f ca="1"/>
        <v>0.67656856837146884</v>
      </c>
      <c r="V63" s="756"/>
      <c r="W63" s="756"/>
      <c r="X63" s="756"/>
      <c r="Y63" s="756"/>
      <c r="Z63" s="756"/>
      <c r="AA63" s="213"/>
      <c r="AB63" s="214"/>
      <c r="AC63" s="1"/>
      <c r="AG63" s="455"/>
      <c r="AQ63" s="213"/>
      <c r="AR63" s="214"/>
    </row>
    <row r="64" spans="2:54" x14ac:dyDescent="0.25">
      <c r="G64" s="68"/>
      <c r="K64" s="213"/>
      <c r="L64" s="214"/>
      <c r="R64" s="741">
        <v>46052</v>
      </c>
      <c r="S64" s="289" cm="1">
        <f t="array" ref="S64">_xll.d.Dates_Act365(R63,R64)</f>
        <v>0.24931506849315069</v>
      </c>
      <c r="T64" s="623">
        <v>7.8889563418266861E-2</v>
      </c>
      <c r="U64" s="743">
        <f ca="1"/>
        <v>0.66351825452710678</v>
      </c>
      <c r="V64" s="756"/>
      <c r="W64" s="756"/>
      <c r="X64" s="756"/>
      <c r="Y64" s="756"/>
      <c r="Z64" s="756"/>
      <c r="AA64" s="213"/>
      <c r="AB64" s="214"/>
      <c r="AG64" s="455"/>
      <c r="AQ64" s="213"/>
      <c r="AR64" s="214"/>
    </row>
    <row r="65" spans="2:44" x14ac:dyDescent="0.25">
      <c r="G65" s="10"/>
      <c r="K65" s="213"/>
      <c r="L65" s="214"/>
      <c r="R65" s="741">
        <v>46142</v>
      </c>
      <c r="S65" s="289" cm="1">
        <f t="array" ref="S65">_xll.d.Dates_Act365(R64,R65)</f>
        <v>0.24657534246575341</v>
      </c>
      <c r="T65" s="623">
        <v>8.242141632233177E-2</v>
      </c>
      <c r="U65" s="743">
        <f ca="1"/>
        <v>0.65030210695898072</v>
      </c>
      <c r="V65" s="756"/>
      <c r="W65" s="756"/>
      <c r="X65" s="756"/>
      <c r="Y65" s="756"/>
      <c r="Z65" s="756"/>
      <c r="AA65" s="213"/>
      <c r="AB65" s="214"/>
      <c r="AG65" s="455"/>
      <c r="AQ65" s="213"/>
      <c r="AR65" s="214"/>
    </row>
    <row r="66" spans="2:44" x14ac:dyDescent="0.25">
      <c r="B66" s="10"/>
      <c r="G66" s="10"/>
      <c r="K66" s="213"/>
      <c r="L66" s="214"/>
      <c r="R66" s="741">
        <v>46234</v>
      </c>
      <c r="S66" s="289" cm="1">
        <f t="array" ref="S66">_xll.d.Dates_Act365(R65,R66)</f>
        <v>0.25205479452054796</v>
      </c>
      <c r="T66" s="623">
        <v>8.2439906018475229E-2</v>
      </c>
      <c r="U66" s="743">
        <f ca="1"/>
        <v>0.63706430967891448</v>
      </c>
      <c r="V66" s="756"/>
      <c r="W66" s="756"/>
      <c r="X66" s="756"/>
      <c r="Y66" s="756"/>
      <c r="Z66" s="756"/>
      <c r="AA66" s="213"/>
      <c r="AB66" s="214"/>
      <c r="AG66" s="455"/>
      <c r="AQ66" s="213"/>
      <c r="AR66" s="214"/>
    </row>
    <row r="67" spans="2:44" x14ac:dyDescent="0.25">
      <c r="K67" s="213"/>
      <c r="R67" s="741">
        <v>46325</v>
      </c>
      <c r="S67" s="289" cm="1">
        <f t="array" ref="S67">_xll.d.Dates_Act365(R66,R67)</f>
        <v>0.24931506849315069</v>
      </c>
      <c r="T67" s="623">
        <v>8.2430660480347487E-2</v>
      </c>
      <c r="U67" s="743">
        <f ca="1"/>
        <v>0.62423551712160508</v>
      </c>
      <c r="V67" s="756"/>
      <c r="W67" s="756"/>
      <c r="X67" s="756"/>
      <c r="Y67" s="756"/>
      <c r="Z67" s="756"/>
      <c r="AA67" s="213"/>
      <c r="AG67" s="455"/>
      <c r="AQ67" s="213"/>
      <c r="AR67" s="214"/>
    </row>
    <row r="68" spans="2:44" x14ac:dyDescent="0.25">
      <c r="K68" s="213"/>
      <c r="L68" s="455"/>
      <c r="R68" s="741">
        <v>46416</v>
      </c>
      <c r="S68" s="289" cm="1">
        <f t="array" ref="S68">_xll.d.Dates_Act365(R67,R68)</f>
        <v>0.24931506849315069</v>
      </c>
      <c r="T68" s="623">
        <v>8.2430660480348375E-2</v>
      </c>
      <c r="U68" s="743">
        <f ca="1"/>
        <v>0.61166506256248221</v>
      </c>
      <c r="V68" s="756"/>
      <c r="W68" s="756"/>
      <c r="X68" s="756"/>
      <c r="Y68" s="756"/>
      <c r="Z68" s="756"/>
      <c r="AA68" s="213"/>
      <c r="AG68" s="455"/>
      <c r="AQ68" s="213"/>
      <c r="AR68" s="214"/>
    </row>
    <row r="69" spans="2:44" x14ac:dyDescent="0.25">
      <c r="K69" s="213"/>
      <c r="L69" s="455"/>
      <c r="R69" s="741">
        <v>46507</v>
      </c>
      <c r="S69" s="289" cm="1">
        <f t="array" ref="S69">_xll.d.Dates_Act365(R68,R69)</f>
        <v>0.24931506849315069</v>
      </c>
      <c r="T69" s="623">
        <v>8.8869984701113194E-2</v>
      </c>
      <c r="U69" s="743">
        <f ca="1"/>
        <v>0.59840639566460185</v>
      </c>
      <c r="V69" s="756"/>
      <c r="W69" s="756"/>
      <c r="X69" s="756"/>
      <c r="Y69" s="756"/>
      <c r="Z69" s="756"/>
      <c r="AA69" s="213"/>
      <c r="AG69" s="455"/>
      <c r="AQ69" s="213"/>
      <c r="AR69" s="214"/>
    </row>
    <row r="70" spans="2:44" x14ac:dyDescent="0.25">
      <c r="K70" s="213"/>
      <c r="L70" s="455"/>
      <c r="R70" s="741">
        <v>46598</v>
      </c>
      <c r="S70" s="289" cm="1">
        <f t="array" ref="S70">_xll.d.Dates_Act365(R69,R70)</f>
        <v>0.24931506849315069</v>
      </c>
      <c r="T70" s="623">
        <v>8.8869984701114083E-2</v>
      </c>
      <c r="U70" s="743">
        <f ca="1"/>
        <v>0.58543512829085398</v>
      </c>
      <c r="V70" s="756"/>
      <c r="W70" s="756"/>
      <c r="X70" s="756"/>
      <c r="Y70" s="756"/>
      <c r="Z70" s="756"/>
      <c r="AA70" s="213"/>
      <c r="AG70" s="455"/>
      <c r="AQ70" s="213"/>
      <c r="AR70" s="214"/>
    </row>
    <row r="71" spans="2:44" x14ac:dyDescent="0.25">
      <c r="K71" s="213"/>
      <c r="L71" s="455"/>
      <c r="R71" s="741">
        <v>46689</v>
      </c>
      <c r="S71" s="289" cm="1">
        <f t="array" ref="S71">_xll.d.Dates_Act365(R70,R71)</f>
        <v>0.24931506849315069</v>
      </c>
      <c r="T71" s="623">
        <v>8.8869984701112306E-2</v>
      </c>
      <c r="U71" s="743">
        <f ca="1"/>
        <v>0.57274503066813198</v>
      </c>
      <c r="V71" s="756"/>
      <c r="AA71" s="213"/>
      <c r="AG71" s="455"/>
      <c r="AQ71" s="213"/>
      <c r="AR71" s="214"/>
    </row>
    <row r="72" spans="2:44" x14ac:dyDescent="0.25">
      <c r="K72" s="213"/>
      <c r="L72" s="455"/>
      <c r="R72" s="744">
        <v>46783</v>
      </c>
      <c r="S72" s="656" cm="1">
        <f t="array" ref="S72">_xll.d.Dates_Act365(R71,R72)</f>
        <v>0.25753424657534246</v>
      </c>
      <c r="T72" s="745">
        <v>8.8902212401247502E-2</v>
      </c>
      <c r="U72" s="338">
        <f ca="1"/>
        <v>0.55992533612260764</v>
      </c>
      <c r="V72" s="756"/>
      <c r="AA72" s="213"/>
      <c r="AG72" s="455"/>
      <c r="AQ72" s="213"/>
      <c r="AR72" s="214"/>
    </row>
    <row r="73" spans="2:44" x14ac:dyDescent="0.25">
      <c r="K73" s="213"/>
      <c r="L73" s="455"/>
      <c r="V73" s="756"/>
      <c r="AA73" s="213"/>
      <c r="AG73" s="455"/>
      <c r="AQ73" s="213"/>
      <c r="AR73" s="214"/>
    </row>
    <row r="74" spans="2:44" x14ac:dyDescent="0.25">
      <c r="K74" s="213"/>
      <c r="L74" s="455"/>
      <c r="V74" s="756"/>
      <c r="AA74" s="213"/>
      <c r="AG74" s="455"/>
      <c r="AQ74" s="213"/>
      <c r="AR74" s="214"/>
    </row>
    <row r="75" spans="2:44" x14ac:dyDescent="0.25">
      <c r="K75" s="213"/>
      <c r="L75" s="455"/>
      <c r="R75" s="304" t="s">
        <v>575</v>
      </c>
      <c r="S75" s="305"/>
      <c r="T75" s="305"/>
      <c r="U75" s="306"/>
      <c r="V75" s="756"/>
      <c r="AA75" s="213"/>
      <c r="AG75" s="455"/>
      <c r="AQ75" s="213"/>
      <c r="AR75" s="214"/>
    </row>
    <row r="76" spans="2:44" x14ac:dyDescent="0.25">
      <c r="K76" s="213"/>
      <c r="L76" s="455"/>
      <c r="R76" s="519" t="s">
        <v>23</v>
      </c>
      <c r="S76" s="640" t="s">
        <v>81</v>
      </c>
      <c r="T76" s="640" t="s">
        <v>82</v>
      </c>
      <c r="U76" s="641" t="s">
        <v>83</v>
      </c>
      <c r="V76" s="756"/>
      <c r="AA76" s="213"/>
      <c r="AG76" s="455"/>
      <c r="AQ76" s="213"/>
      <c r="AR76" s="214"/>
    </row>
    <row r="77" spans="2:44" x14ac:dyDescent="0.25">
      <c r="K77" s="213"/>
      <c r="L77" s="455"/>
      <c r="R77" s="642" t="s">
        <v>68</v>
      </c>
      <c r="S77" s="752">
        <f ca="1">SUMPRODUCT(S41:S52,T41:T52,U41:U52)/SUMPRODUCT(S41:S52,U41:U52)</f>
        <v>6.3899999999999998E-2</v>
      </c>
      <c r="T77" s="752">
        <f t="shared" ref="T77:T82" si="0">N54</f>
        <v>6.3899999999999998E-2</v>
      </c>
      <c r="U77" s="205" t="str" cm="1">
        <f t="array" aca="1" ref="U77" ca="1">_xll.d.TestUtils_Equal(S77,T77,0.00001)</f>
        <v>Ok</v>
      </c>
      <c r="V77" s="756"/>
      <c r="AA77" s="213"/>
      <c r="AQ77" s="213"/>
      <c r="AR77" s="214"/>
    </row>
    <row r="78" spans="2:44" x14ac:dyDescent="0.25">
      <c r="K78" s="213"/>
      <c r="L78" s="455"/>
      <c r="R78" s="759" t="s">
        <v>611</v>
      </c>
      <c r="S78" s="760">
        <f ca="1">SUMPRODUCT(S41:S56,T41:T56,U41:U56)/SUMPRODUCT(S41:S56,U41:U56)</f>
        <v>6.519999999999998E-2</v>
      </c>
      <c r="T78" s="760">
        <f t="shared" si="0"/>
        <v>6.5199999999999994E-2</v>
      </c>
      <c r="U78" s="702" t="str" cm="1">
        <f t="array" aca="1" ref="U78" ca="1">_xll.d.TestUtils_Equal(S78,T78,0.00001)</f>
        <v>Ok</v>
      </c>
      <c r="V78" s="756"/>
      <c r="AA78" s="213"/>
      <c r="AQ78" s="213"/>
      <c r="AR78" s="214"/>
    </row>
    <row r="79" spans="2:44" x14ac:dyDescent="0.25">
      <c r="K79" s="213"/>
      <c r="L79" s="455"/>
      <c r="R79" s="761" t="s">
        <v>618</v>
      </c>
      <c r="S79" s="760">
        <f ca="1">SUMPRODUCT(S41:S60,T41:T60,U41:U60)/SUMPRODUCT(S41:S60,U41:U60)</f>
        <v>6.6600000000000006E-2</v>
      </c>
      <c r="T79" s="762">
        <f t="shared" si="0"/>
        <v>6.6600000000000006E-2</v>
      </c>
      <c r="U79" s="702" t="str" cm="1">
        <f t="array" aca="1" ref="U79" ca="1">_xll.d.TestUtils_Equal(S79,T79,0.00001)</f>
        <v>Ok</v>
      </c>
      <c r="V79" s="756"/>
      <c r="AA79" s="213"/>
      <c r="AQ79" s="213"/>
      <c r="AR79" s="214"/>
    </row>
    <row r="80" spans="2:44" x14ac:dyDescent="0.25">
      <c r="K80" s="213"/>
      <c r="L80" s="455"/>
      <c r="R80" s="759" t="s">
        <v>619</v>
      </c>
      <c r="S80" s="760">
        <f ca="1">SUMPRODUCT(S41:S64,T41:T64,U41:U64)/SUMPRODUCT(S41:S64,U41:U64)</f>
        <v>6.8299999999999972E-2</v>
      </c>
      <c r="T80" s="760">
        <f t="shared" si="0"/>
        <v>6.83E-2</v>
      </c>
      <c r="U80" s="702" t="str" cm="1">
        <f t="array" aca="1" ref="U80" ca="1">_xll.d.TestUtils_Equal(S80,T80,0.00001)</f>
        <v>Ok</v>
      </c>
      <c r="V80" s="756"/>
      <c r="AA80" s="213"/>
      <c r="AQ80" s="213"/>
      <c r="AR80" s="214"/>
    </row>
    <row r="81" spans="2:44" x14ac:dyDescent="0.25">
      <c r="K81" s="213"/>
      <c r="L81" s="455"/>
      <c r="R81" s="761" t="s">
        <v>620</v>
      </c>
      <c r="S81" s="760">
        <f ca="1">SUMPRODUCT(S41:S68,T41:T68,U41:U68)/SUMPRODUCT(S41:S68,U41:U68)</f>
        <v>6.9900000000000004E-2</v>
      </c>
      <c r="T81" s="762">
        <f t="shared" si="0"/>
        <v>6.9900000000000004E-2</v>
      </c>
      <c r="U81" s="702" t="str" cm="1">
        <f t="array" aca="1" ref="U81" ca="1">_xll.d.TestUtils_Equal(S81,T81,0.00001)</f>
        <v>Ok</v>
      </c>
      <c r="V81" s="756"/>
      <c r="AA81" s="213"/>
      <c r="AQ81" s="213"/>
      <c r="AR81" s="214"/>
    </row>
    <row r="82" spans="2:44" x14ac:dyDescent="0.25">
      <c r="K82" s="213"/>
      <c r="L82" s="455"/>
      <c r="R82" s="643" t="s">
        <v>621</v>
      </c>
      <c r="S82" s="753">
        <f ca="1">SUMPRODUCT(S41:S72,T41:T72,U41:U72)/SUMPRODUCT(S41:S72,U41:U72)</f>
        <v>7.1699999999999972E-2</v>
      </c>
      <c r="T82" s="753">
        <f t="shared" si="0"/>
        <v>7.17E-2</v>
      </c>
      <c r="U82" s="208" t="str" cm="1">
        <f t="array" aca="1" ref="U82" ca="1">_xll.d.TestUtils_Equal(S82,T82,0.00001)</f>
        <v>Ok</v>
      </c>
      <c r="AA82" s="213"/>
      <c r="AQ82" s="213"/>
      <c r="AR82" s="214"/>
    </row>
    <row r="83" spans="2:44" x14ac:dyDescent="0.25">
      <c r="K83" s="213"/>
      <c r="L83" s="455"/>
      <c r="AA83" s="213"/>
      <c r="AQ83" s="213"/>
      <c r="AR83" s="214"/>
    </row>
    <row r="84" spans="2:44" x14ac:dyDescent="0.25">
      <c r="K84" s="213"/>
      <c r="L84" s="455"/>
      <c r="R84" s="308" t="s">
        <v>229</v>
      </c>
      <c r="AA84" s="213"/>
      <c r="AQ84" s="213"/>
      <c r="AR84" s="214"/>
    </row>
    <row r="85" spans="2:44" x14ac:dyDescent="0.25">
      <c r="K85" s="213"/>
      <c r="L85" s="455"/>
      <c r="R85" s="278" t="s">
        <v>228</v>
      </c>
      <c r="AA85" s="213"/>
      <c r="AQ85" s="213"/>
      <c r="AR85" s="214"/>
    </row>
    <row r="90" spans="2:44" x14ac:dyDescent="0.25">
      <c r="B90" s="455"/>
      <c r="C90" s="455"/>
      <c r="D90" s="455"/>
      <c r="E90" s="455"/>
      <c r="F90" s="455"/>
      <c r="G90" s="455"/>
      <c r="H90" s="455"/>
      <c r="I90" s="455"/>
      <c r="J90" s="455"/>
    </row>
  </sheetData>
  <conditionalFormatting sqref="J24:J29 D10 D14:D15 AK24:AK30 BH31 U77:U78 U26:V36 W25:X25 V24:V81 W26:Z70 V21:Z21 V23:Z23 V22 X22:Z22">
    <cfRule type="cellIs" dxfId="296" priority="64" stopIfTrue="1" operator="equal">
      <formula>"ERROR"</formula>
    </cfRule>
    <cfRule type="cellIs" dxfId="295" priority="65" stopIfTrue="1" operator="equal">
      <formula>"OK"</formula>
    </cfRule>
    <cfRule type="cellIs" dxfId="294" priority="66" stopIfTrue="1" operator="equal">
      <formula>"WARNING"</formula>
    </cfRule>
  </conditionalFormatting>
  <conditionalFormatting sqref="C6">
    <cfRule type="cellIs" dxfId="293" priority="61" stopIfTrue="1" operator="equal">
      <formula>"ERROR"</formula>
    </cfRule>
    <cfRule type="cellIs" dxfId="292" priority="62" stopIfTrue="1" operator="equal">
      <formula>"OK"</formula>
    </cfRule>
    <cfRule type="cellIs" dxfId="291" priority="63" stopIfTrue="1" operator="equal">
      <formula>"WARNING"</formula>
    </cfRule>
  </conditionalFormatting>
  <conditionalFormatting sqref="C22">
    <cfRule type="cellIs" dxfId="290" priority="58" stopIfTrue="1" operator="equal">
      <formula>"ERROR"</formula>
    </cfRule>
    <cfRule type="cellIs" dxfId="289" priority="59" stopIfTrue="1" operator="equal">
      <formula>"OK"</formula>
    </cfRule>
    <cfRule type="cellIs" dxfId="288" priority="60" stopIfTrue="1" operator="equal">
      <formula>"WARNING"</formula>
    </cfRule>
  </conditionalFormatting>
  <conditionalFormatting sqref="AD22">
    <cfRule type="cellIs" dxfId="287" priority="55" stopIfTrue="1" operator="equal">
      <formula>"ERROR"</formula>
    </cfRule>
    <cfRule type="cellIs" dxfId="286" priority="56" stopIfTrue="1" operator="equal">
      <formula>"OK"</formula>
    </cfRule>
    <cfRule type="cellIs" dxfId="285" priority="57" stopIfTrue="1" operator="equal">
      <formula>"WARNING"</formula>
    </cfRule>
  </conditionalFormatting>
  <conditionalFormatting sqref="J50:J51">
    <cfRule type="cellIs" dxfId="284" priority="70" stopIfTrue="1" operator="equal">
      <formula>"ERROR"</formula>
    </cfRule>
    <cfRule type="cellIs" dxfId="283" priority="71" stopIfTrue="1" operator="equal">
      <formula>"OK"</formula>
    </cfRule>
    <cfRule type="cellIs" dxfId="282" priority="72" stopIfTrue="1" operator="equal">
      <formula>"WARNING"</formula>
    </cfRule>
  </conditionalFormatting>
  <conditionalFormatting sqref="N22">
    <cfRule type="cellIs" dxfId="281" priority="46" stopIfTrue="1" operator="equal">
      <formula>"ERROR"</formula>
    </cfRule>
    <cfRule type="cellIs" dxfId="280" priority="47" stopIfTrue="1" operator="equal">
      <formula>"OK"</formula>
    </cfRule>
    <cfRule type="cellIs" dxfId="279" priority="48" stopIfTrue="1" operator="equal">
      <formula>"WARNING"</formula>
    </cfRule>
  </conditionalFormatting>
  <conditionalFormatting sqref="D11">
    <cfRule type="cellIs" dxfId="278" priority="73" stopIfTrue="1" operator="equal">
      <formula>"ERROR"</formula>
    </cfRule>
    <cfRule type="cellIs" dxfId="277" priority="74" stopIfTrue="1" operator="equal">
      <formula>"OK"</formula>
    </cfRule>
    <cfRule type="cellIs" dxfId="276" priority="75" stopIfTrue="1" operator="equal">
      <formula>"WARNING"</formula>
    </cfRule>
  </conditionalFormatting>
  <conditionalFormatting sqref="U79:U80">
    <cfRule type="cellIs" dxfId="275" priority="43" stopIfTrue="1" operator="equal">
      <formula>"ERROR"</formula>
    </cfRule>
    <cfRule type="cellIs" dxfId="274" priority="44" stopIfTrue="1" operator="equal">
      <formula>"OK"</formula>
    </cfRule>
    <cfRule type="cellIs" dxfId="273" priority="45" stopIfTrue="1" operator="equal">
      <formula>"WARNING"</formula>
    </cfRule>
  </conditionalFormatting>
  <conditionalFormatting sqref="U81:U82">
    <cfRule type="cellIs" dxfId="272" priority="40" stopIfTrue="1" operator="equal">
      <formula>"ERROR"</formula>
    </cfRule>
    <cfRule type="cellIs" dxfId="271" priority="41" stopIfTrue="1" operator="equal">
      <formula>"OK"</formula>
    </cfRule>
    <cfRule type="cellIs" dxfId="270" priority="42" stopIfTrue="1" operator="equal">
      <formula>"WARNING"</formula>
    </cfRule>
  </conditionalFormatting>
  <conditionalFormatting sqref="U80">
    <cfRule type="cellIs" dxfId="269" priority="37" stopIfTrue="1" operator="equal">
      <formula>"ERROR"</formula>
    </cfRule>
    <cfRule type="cellIs" dxfId="268" priority="38" stopIfTrue="1" operator="equal">
      <formula>"OK"</formula>
    </cfRule>
    <cfRule type="cellIs" dxfId="267" priority="39" stopIfTrue="1" operator="equal">
      <formula>"WARNING"</formula>
    </cfRule>
  </conditionalFormatting>
  <conditionalFormatting sqref="U81:U82">
    <cfRule type="cellIs" dxfId="266" priority="34" stopIfTrue="1" operator="equal">
      <formula>"ERROR"</formula>
    </cfRule>
    <cfRule type="cellIs" dxfId="265" priority="35" stopIfTrue="1" operator="equal">
      <formula>"OK"</formula>
    </cfRule>
    <cfRule type="cellIs" dxfId="264" priority="36" stopIfTrue="1" operator="equal">
      <formula>"WARNING"</formula>
    </cfRule>
  </conditionalFormatting>
  <conditionalFormatting sqref="AK49:AK50">
    <cfRule type="cellIs" dxfId="263" priority="31" stopIfTrue="1" operator="equal">
      <formula>"ERROR"</formula>
    </cfRule>
    <cfRule type="cellIs" dxfId="262" priority="32" stopIfTrue="1" operator="equal">
      <formula>"OK"</formula>
    </cfRule>
    <cfRule type="cellIs" dxfId="261" priority="33" stopIfTrue="1" operator="equal">
      <formula>"WARNING"</formula>
    </cfRule>
  </conditionalFormatting>
  <conditionalFormatting sqref="AK51:AK52">
    <cfRule type="cellIs" dxfId="260" priority="28" stopIfTrue="1" operator="equal">
      <formula>"ERROR"</formula>
    </cfRule>
    <cfRule type="cellIs" dxfId="259" priority="29" stopIfTrue="1" operator="equal">
      <formula>"OK"</formula>
    </cfRule>
    <cfRule type="cellIs" dxfId="258" priority="30" stopIfTrue="1" operator="equal">
      <formula>"WARNING"</formula>
    </cfRule>
  </conditionalFormatting>
  <conditionalFormatting sqref="AK53:AK54">
    <cfRule type="cellIs" dxfId="257" priority="25" stopIfTrue="1" operator="equal">
      <formula>"ERROR"</formula>
    </cfRule>
    <cfRule type="cellIs" dxfId="256" priority="26" stopIfTrue="1" operator="equal">
      <formula>"OK"</formula>
    </cfRule>
    <cfRule type="cellIs" dxfId="255" priority="27" stopIfTrue="1" operator="equal">
      <formula>"WARNING"</formula>
    </cfRule>
  </conditionalFormatting>
  <conditionalFormatting sqref="AK52">
    <cfRule type="cellIs" dxfId="254" priority="22" stopIfTrue="1" operator="equal">
      <formula>"ERROR"</formula>
    </cfRule>
    <cfRule type="cellIs" dxfId="253" priority="23" stopIfTrue="1" operator="equal">
      <formula>"OK"</formula>
    </cfRule>
    <cfRule type="cellIs" dxfId="252" priority="24" stopIfTrue="1" operator="equal">
      <formula>"WARNING"</formula>
    </cfRule>
  </conditionalFormatting>
  <conditionalFormatting sqref="AK53:AK54">
    <cfRule type="cellIs" dxfId="251" priority="19" stopIfTrue="1" operator="equal">
      <formula>"ERROR"</formula>
    </cfRule>
    <cfRule type="cellIs" dxfId="250" priority="20" stopIfTrue="1" operator="equal">
      <formula>"OK"</formula>
    </cfRule>
    <cfRule type="cellIs" dxfId="249" priority="21" stopIfTrue="1" operator="equal">
      <formula>"WARNING"</formula>
    </cfRule>
  </conditionalFormatting>
  <conditionalFormatting sqref="AM23:AN23 AM24:AM39 AO24:AP39 AP40:AP45">
    <cfRule type="cellIs" dxfId="248" priority="16" stopIfTrue="1" operator="equal">
      <formula>"ERROR"</formula>
    </cfRule>
    <cfRule type="cellIs" dxfId="247" priority="17" stopIfTrue="1" operator="equal">
      <formula>"OK"</formula>
    </cfRule>
    <cfRule type="cellIs" dxfId="246" priority="18" stopIfTrue="1" operator="equal">
      <formula>"WARNING"</formula>
    </cfRule>
  </conditionalFormatting>
  <conditionalFormatting sqref="AN24:AN39">
    <cfRule type="cellIs" dxfId="245" priority="13" stopIfTrue="1" operator="equal">
      <formula>"ERROR"</formula>
    </cfRule>
    <cfRule type="cellIs" dxfId="244" priority="14" stopIfTrue="1" operator="equal">
      <formula>"OK"</formula>
    </cfRule>
    <cfRule type="cellIs" dxfId="243" priority="15" stopIfTrue="1" operator="equal">
      <formula>"WARNING"</formula>
    </cfRule>
  </conditionalFormatting>
  <conditionalFormatting sqref="AM44:AM45 AO44:AO45">
    <cfRule type="cellIs" dxfId="242" priority="10" stopIfTrue="1" operator="equal">
      <formula>"ERROR"</formula>
    </cfRule>
    <cfRule type="cellIs" dxfId="241" priority="11" stopIfTrue="1" operator="equal">
      <formula>"OK"</formula>
    </cfRule>
    <cfRule type="cellIs" dxfId="240" priority="12" stopIfTrue="1" operator="equal">
      <formula>"WARNING"</formula>
    </cfRule>
  </conditionalFormatting>
  <conditionalFormatting sqref="AN44:AN45">
    <cfRule type="cellIs" dxfId="239" priority="7" stopIfTrue="1" operator="equal">
      <formula>"ERROR"</formula>
    </cfRule>
    <cfRule type="cellIs" dxfId="238" priority="8" stopIfTrue="1" operator="equal">
      <formula>"OK"</formula>
    </cfRule>
    <cfRule type="cellIs" dxfId="237" priority="9" stopIfTrue="1" operator="equal">
      <formula>"WARNING"</formula>
    </cfRule>
  </conditionalFormatting>
  <conditionalFormatting sqref="AM40:AM43 AO40:AO43">
    <cfRule type="cellIs" dxfId="236" priority="4" stopIfTrue="1" operator="equal">
      <formula>"ERROR"</formula>
    </cfRule>
    <cfRule type="cellIs" dxfId="235" priority="5" stopIfTrue="1" operator="equal">
      <formula>"OK"</formula>
    </cfRule>
    <cfRule type="cellIs" dxfId="234" priority="6" stopIfTrue="1" operator="equal">
      <formula>"WARNING"</formula>
    </cfRule>
  </conditionalFormatting>
  <conditionalFormatting sqref="AN40:AN43">
    <cfRule type="cellIs" dxfId="233" priority="1" stopIfTrue="1" operator="equal">
      <formula>"ERROR"</formula>
    </cfRule>
    <cfRule type="cellIs" dxfId="232" priority="2" stopIfTrue="1" operator="equal">
      <formula>"OK"</formula>
    </cfRule>
    <cfRule type="cellIs" dxfId="231" priority="3" stopIfTrue="1" operator="equal">
      <formula>"WARNING"</formula>
    </cfRule>
  </conditionalFormatting>
  <hyperlinks>
    <hyperlink ref="G54" r:id="rId1" xr:uid="{6E83939E-DE65-46DA-A531-F038BB9EC528}"/>
    <hyperlink ref="B1" location="Summary!A1" display="Summary!A1" xr:uid="{459312DD-6101-46DE-85A3-7ECDBFC6C9BD}"/>
    <hyperlink ref="B10:C10" location="SinlgeCurveBootstrapping.Title.FlatCurve3mJIBAR" display="SinlgeCurveBootstrapping.Title.FlatCurve3mJIBAR" xr:uid="{FD99D492-5903-451C-B64E-2436C274EEE5}"/>
    <hyperlink ref="R85" r:id="rId2" xr:uid="{1E8674F0-71D9-4940-A38B-A454D20F27EA}"/>
    <hyperlink ref="B11:C11" location="SinlgeCurveBootstrapping.Title.RealCurve3mJIBAR" display="SinlgeCurveBootstrapping.Title.RealCurve3mJIBAR" xr:uid="{D136C4A4-E52C-451C-AA87-97C19147958A}"/>
    <hyperlink ref="AH57" r:id="rId3" xr:uid="{32E84A7D-5DFC-4C02-BF7E-1C234160C1D7}"/>
    <hyperlink ref="B14:C14" location="SinlgeCurveBootstrapping.Title.NonFlatCurveFEDFUND" display="SinlgeCurveBootstrapping.Title.NonFlatCurveFEDFUND" xr:uid="{DA90851C-C88D-4735-94FE-A1D7C00691DD}"/>
  </hyperlinks>
  <pageMargins left="0.7" right="0.7" top="0.75" bottom="0.75" header="0.3" footer="0.3"/>
  <pageSetup paperSize="9" orientation="portrait"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MultiCurveBootstrapping">
    <tabColor theme="4" tint="-0.499984740745262"/>
  </sheetPr>
  <dimension ref="B1:M39"/>
  <sheetViews>
    <sheetView showGridLines="0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18" t="s">
        <v>403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18" t="s">
        <v>403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Parameter not set: 'DayCountConvention'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18" t="s">
        <v>403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155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155</v>
      </c>
      <c r="C6" s="174" t="str" cm="1">
        <f t="array" aca="1" ref="C6" ca="1">_xll.d.TestUtils_And(D10:D13)</f>
        <v>Error</v>
      </c>
    </row>
    <row r="8" spans="2:10" x14ac:dyDescent="0.25">
      <c r="B8" s="199" t="s">
        <v>9</v>
      </c>
      <c r="C8" s="199"/>
      <c r="D8" s="200" t="s">
        <v>10</v>
      </c>
    </row>
    <row r="9" spans="2:10" x14ac:dyDescent="0.25">
      <c r="B9" s="245" t="s">
        <v>205</v>
      </c>
      <c r="C9" s="246"/>
      <c r="D9" s="247"/>
    </row>
    <row r="10" spans="2:10" x14ac:dyDescent="0.25">
      <c r="B10" s="209" t="str">
        <f>B18</f>
        <v>Flat Curve, 3m JIBAR</v>
      </c>
      <c r="C10" s="244"/>
      <c r="D10" s="174" t="str">
        <f ca="1">C20</f>
        <v>Error</v>
      </c>
    </row>
    <row r="12" spans="2:10" x14ac:dyDescent="0.25">
      <c r="B12" s="245" t="s">
        <v>206</v>
      </c>
      <c r="C12" s="246"/>
      <c r="D12" s="247"/>
    </row>
    <row r="13" spans="2:10" x14ac:dyDescent="0.25">
      <c r="B13" s="209" t="e">
        <f>#REF!</f>
        <v>#REF!</v>
      </c>
      <c r="C13" s="244"/>
      <c r="D13" s="174" t="str">
        <f>C32</f>
        <v>ZAR</v>
      </c>
    </row>
    <row r="16" spans="2:10" ht="18.75" x14ac:dyDescent="0.3">
      <c r="B16" s="3" t="s">
        <v>212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207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122</v>
      </c>
      <c r="C20" s="174" t="str" cm="1">
        <f t="array" aca="1" ref="C20" ca="1">_xll.d.TestUtils_And(J22:J27)</f>
        <v>Error</v>
      </c>
      <c r="G20" s="241" t="s">
        <v>204</v>
      </c>
      <c r="H20" s="242"/>
      <c r="I20" s="242"/>
      <c r="J20" s="243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83</v>
      </c>
    </row>
    <row r="22" spans="2:10" x14ac:dyDescent="0.25">
      <c r="G22" s="238">
        <f>C28</f>
        <v>44713</v>
      </c>
      <c r="H22" s="248">
        <v>1</v>
      </c>
      <c r="I22" s="248" t="e" cm="1">
        <f t="array" aca="1" ref="I22" ca="1">_xll.d.Curve_GetDiscountFactors($C$23,G22)</f>
        <v>#VALUE!</v>
      </c>
      <c r="J22" s="227" t="str" cm="1">
        <f t="array" aca="1" ref="J22" ca="1">_xll.d.TestUtils_Equal(H22,I22,0.00001)</f>
        <v>Error</v>
      </c>
    </row>
    <row r="23" spans="2:10" x14ac:dyDescent="0.25">
      <c r="B23" s="66" t="s">
        <v>217</v>
      </c>
      <c r="C23" s="272" t="s">
        <v>218</v>
      </c>
      <c r="D23" s="219"/>
      <c r="G23" s="239">
        <f>EDATE(G22,1)</f>
        <v>44743</v>
      </c>
      <c r="H23" s="249" t="e">
        <f>1/(1+YEARFRAC($G$22,G23,3)*#REF!)</f>
        <v>#REF!</v>
      </c>
      <c r="I23" s="249" t="e" cm="1">
        <f t="array" aca="1" ref="I23" ca="1">_xll.d.Curve_GetDiscountFactors($C$23,G23)</f>
        <v>#VALUE!</v>
      </c>
      <c r="J23" s="231" t="str" cm="1">
        <f t="array" aca="1" ref="J23" ca="1">_xll.d.TestUtils_Equal(H23,I23,0.00001)</f>
        <v>Error</v>
      </c>
    </row>
    <row r="24" spans="2:10" x14ac:dyDescent="0.25">
      <c r="G24" s="239">
        <f>EDATE(G22,2)</f>
        <v>44774</v>
      </c>
      <c r="H24" s="249" t="e">
        <f>1/(1+YEARFRAC($G$22,G24,3)*#REF!)</f>
        <v>#REF!</v>
      </c>
      <c r="I24" s="249" t="e" cm="1">
        <f t="array" aca="1" ref="I24" ca="1">_xll.d.Curve_GetDiscountFactors($C$23,G24)</f>
        <v>#VALUE!</v>
      </c>
      <c r="J24" s="231" t="str" cm="1">
        <f t="array" aca="1" ref="J24" ca="1">_xll.d.TestUtils_Equal(H24,I24,0.00001)</f>
        <v>Error</v>
      </c>
    </row>
    <row r="25" spans="2:10" x14ac:dyDescent="0.25">
      <c r="G25" s="239">
        <f>EDATE(G22,3)</f>
        <v>44805</v>
      </c>
      <c r="H25" s="249" t="e">
        <f>1/(1+YEARFRAC($G$22,G25,3)*#REF!)</f>
        <v>#REF!</v>
      </c>
      <c r="I25" s="249" t="e" cm="1">
        <f t="array" aca="1" ref="I25" ca="1">_xll.d.Curve_GetDiscountFactors($C$23,G25)</f>
        <v>#VALUE!</v>
      </c>
      <c r="J25" s="231" t="str" cm="1">
        <f t="array" aca="1" ref="J25" ca="1">_xll.d.TestUtils_Equal(H25,I25,0.00001)</f>
        <v>Error</v>
      </c>
    </row>
    <row r="26" spans="2:10" x14ac:dyDescent="0.25">
      <c r="B26" s="12" t="s">
        <v>213</v>
      </c>
      <c r="C26" s="13"/>
      <c r="G26" s="239">
        <f>EDATE(G22,6)</f>
        <v>44896</v>
      </c>
      <c r="H26" s="249" t="e">
        <f>H25*1/(1+YEARFRAC($G$25,G26,3)*#REF!)</f>
        <v>#REF!</v>
      </c>
      <c r="I26" s="249" t="e" cm="1">
        <f t="array" aca="1" ref="I26" ca="1">_xll.d.Curve_GetDiscountFactors($C$23,G26)</f>
        <v>#VALUE!</v>
      </c>
      <c r="J26" s="231" t="str" cm="1">
        <f t="array" aca="1" ref="J26" ca="1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0">
        <f>EDATE(G22,9)</f>
        <v>44986</v>
      </c>
      <c r="H27" s="250" t="e">
        <f>H26*1/(1+#REF!*YEARFRAC(G26,G27,3))</f>
        <v>#REF!</v>
      </c>
      <c r="I27" s="250" t="e" cm="1">
        <f t="array" aca="1" ref="I27" ca="1">_xll.d.Curve_GetDiscountFactors($C$23,G27)</f>
        <v>#VALUE!</v>
      </c>
      <c r="J27" s="229" t="str" cm="1">
        <f t="array" aca="1" ref="J27" ca="1">_xll.d.TestUtils_Equal(H27,I27,0.00001)</f>
        <v>Error</v>
      </c>
    </row>
    <row r="28" spans="2:10" x14ac:dyDescent="0.25">
      <c r="B28" s="269" t="s">
        <v>214</v>
      </c>
      <c r="C28" s="230">
        <v>44713</v>
      </c>
      <c r="E28" s="62"/>
    </row>
    <row r="29" spans="2:10" x14ac:dyDescent="0.25">
      <c r="B29" s="270" t="s">
        <v>215</v>
      </c>
      <c r="C29" s="251">
        <f>C28+365</f>
        <v>45078</v>
      </c>
      <c r="E29" s="62"/>
    </row>
    <row r="30" spans="2:10" x14ac:dyDescent="0.25">
      <c r="B30" s="271" t="s">
        <v>216</v>
      </c>
      <c r="C30" s="273" t="s">
        <v>219</v>
      </c>
    </row>
    <row r="31" spans="2:10" x14ac:dyDescent="0.25">
      <c r="B31" s="274" t="s">
        <v>220</v>
      </c>
      <c r="C31">
        <v>1000000</v>
      </c>
    </row>
    <row r="32" spans="2:10" x14ac:dyDescent="0.25">
      <c r="B32" s="274" t="s">
        <v>222</v>
      </c>
      <c r="C32" t="s">
        <v>69</v>
      </c>
      <c r="D32" t="s">
        <v>223</v>
      </c>
    </row>
    <row r="33" spans="2:3" x14ac:dyDescent="0.25">
      <c r="B33" s="274" t="s">
        <v>224</v>
      </c>
    </row>
    <row r="34" spans="2:3" x14ac:dyDescent="0.25">
      <c r="B34" s="274" t="s">
        <v>221</v>
      </c>
      <c r="C34" t="s">
        <v>25</v>
      </c>
    </row>
  </sheetData>
  <conditionalFormatting sqref="J22:J27 D10 D13">
    <cfRule type="cellIs" dxfId="230" priority="7" stopIfTrue="1" operator="equal">
      <formula>"ERROR"</formula>
    </cfRule>
    <cfRule type="cellIs" dxfId="229" priority="8" stopIfTrue="1" operator="equal">
      <formula>"OK"</formula>
    </cfRule>
    <cfRule type="cellIs" dxfId="228" priority="9" stopIfTrue="1" operator="equal">
      <formula>"WARNING"</formula>
    </cfRule>
  </conditionalFormatting>
  <conditionalFormatting sqref="C6">
    <cfRule type="cellIs" dxfId="227" priority="4" stopIfTrue="1" operator="equal">
      <formula>"ERROR"</formula>
    </cfRule>
    <cfRule type="cellIs" dxfId="226" priority="5" stopIfTrue="1" operator="equal">
      <formula>"OK"</formula>
    </cfRule>
    <cfRule type="cellIs" dxfId="225" priority="6" stopIfTrue="1" operator="equal">
      <formula>"WARNING"</formula>
    </cfRule>
  </conditionalFormatting>
  <conditionalFormatting sqref="C20">
    <cfRule type="cellIs" dxfId="224" priority="1" stopIfTrue="1" operator="equal">
      <formula>"ERROR"</formula>
    </cfRule>
    <cfRule type="cellIs" dxfId="223" priority="2" stopIfTrue="1" operator="equal">
      <formula>"OK"</formula>
    </cfRule>
    <cfRule type="cellIs" dxfId="222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85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 x14ac:dyDescent="0.25"/>
  <cols>
    <col min="1" max="1" width="3.75" style="455" customWidth="1"/>
    <col min="2" max="4" width="14.125" style="455" customWidth="1"/>
    <col min="5" max="5" width="11.75" style="455" customWidth="1"/>
    <col min="6" max="8" width="14.125" style="455" customWidth="1"/>
    <col min="9" max="9" width="11.375" style="455" bestFit="1" customWidth="1"/>
    <col min="10" max="16384" width="9" style="455"/>
  </cols>
  <sheetData>
    <row r="1" spans="2:34" x14ac:dyDescent="0.25">
      <c r="B1" s="418" t="s">
        <v>403</v>
      </c>
    </row>
    <row r="2" spans="2:34" ht="26.25" x14ac:dyDescent="0.4">
      <c r="B2" s="2" t="s">
        <v>582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 x14ac:dyDescent="0.25">
      <c r="N3" s="511"/>
      <c r="O3" s="511"/>
      <c r="P3" s="511"/>
      <c r="Q3" s="511"/>
      <c r="R3" s="511"/>
    </row>
    <row r="4" spans="2:34" x14ac:dyDescent="0.25">
      <c r="B4" s="197" t="s">
        <v>157</v>
      </c>
      <c r="C4" s="198" t="str" cm="1">
        <f t="array" ref="C4">_xll.d.TestUtils_And(C8:C9)</f>
        <v>Ok</v>
      </c>
      <c r="E4" s="144" t="s">
        <v>112</v>
      </c>
      <c r="F4" s="59"/>
    </row>
    <row r="5" spans="2:34" x14ac:dyDescent="0.25">
      <c r="E5" s="612" t="s">
        <v>469</v>
      </c>
      <c r="F5" s="613"/>
    </row>
    <row r="6" spans="2:34" x14ac:dyDescent="0.25">
      <c r="E6" s="614" t="s">
        <v>468</v>
      </c>
      <c r="F6" s="615"/>
    </row>
    <row r="7" spans="2:34" x14ac:dyDescent="0.25">
      <c r="B7" s="199" t="s">
        <v>9</v>
      </c>
      <c r="C7" s="200" t="s">
        <v>10</v>
      </c>
    </row>
    <row r="8" spans="2:34" x14ac:dyDescent="0.25">
      <c r="B8" s="496" t="s">
        <v>585</v>
      </c>
      <c r="C8" s="174" t="str" cm="1">
        <f t="array" ref="C8">_xll.d.TestUtils_And(J20,J23,H26:J28,H31:J33,Y20,Y23,Y26,Y31)</f>
        <v>Ok</v>
      </c>
      <c r="E8" s="628" t="s">
        <v>590</v>
      </c>
    </row>
    <row r="9" spans="2:34" x14ac:dyDescent="0.25">
      <c r="B9" s="496" t="s">
        <v>586</v>
      </c>
      <c r="C9" s="174" t="str" cm="1">
        <f t="array" ref="C9">_xll.d.TestUtils_And(J39,J42,H45:J47,H50:J52,Y39,Y42,Y45,Y50)</f>
        <v>Ok</v>
      </c>
      <c r="E9" s="628" t="s">
        <v>591</v>
      </c>
    </row>
    <row r="12" spans="2:34" x14ac:dyDescent="0.25">
      <c r="B12" s="59" t="s">
        <v>595</v>
      </c>
      <c r="C12" s="59" t="s">
        <v>584</v>
      </c>
      <c r="D12" s="59"/>
      <c r="E12" s="59"/>
      <c r="F12" s="59"/>
      <c r="G12" s="59"/>
      <c r="H12" s="59"/>
    </row>
    <row r="13" spans="2:34" x14ac:dyDescent="0.25">
      <c r="B13" s="669" t="s">
        <v>585</v>
      </c>
      <c r="C13" s="670" t="s">
        <v>581</v>
      </c>
      <c r="D13" s="650"/>
      <c r="E13" s="650"/>
      <c r="F13" s="650"/>
      <c r="G13" s="650"/>
      <c r="H13" s="651"/>
    </row>
    <row r="14" spans="2:34" x14ac:dyDescent="0.25">
      <c r="B14" s="671" t="s">
        <v>586</v>
      </c>
      <c r="C14" s="672" t="s">
        <v>583</v>
      </c>
      <c r="D14" s="652"/>
      <c r="E14" s="652"/>
      <c r="F14" s="652"/>
      <c r="G14" s="652"/>
      <c r="H14" s="653"/>
    </row>
    <row r="17" spans="2:34" ht="18.75" x14ac:dyDescent="0.3">
      <c r="B17" s="3" t="s">
        <v>585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 x14ac:dyDescent="0.25">
      <c r="B19" s="59" t="s">
        <v>577</v>
      </c>
      <c r="C19" s="59"/>
      <c r="D19" s="59"/>
      <c r="E19" s="59" t="s">
        <v>592</v>
      </c>
      <c r="F19" s="59"/>
      <c r="G19" s="59"/>
      <c r="H19" s="59" t="s">
        <v>596</v>
      </c>
      <c r="I19" s="59"/>
      <c r="J19" s="59"/>
      <c r="K19" s="59" t="s">
        <v>599</v>
      </c>
      <c r="L19" s="59"/>
      <c r="M19" s="59"/>
      <c r="N19" s="59"/>
      <c r="O19" s="59"/>
      <c r="P19" s="59"/>
      <c r="Q19" s="59"/>
      <c r="R19" s="59" t="s">
        <v>598</v>
      </c>
      <c r="S19" s="59"/>
      <c r="T19" s="59"/>
      <c r="U19" s="59"/>
      <c r="V19" s="59"/>
      <c r="W19" s="59"/>
      <c r="X19" s="59"/>
      <c r="Y19" s="59" t="s">
        <v>600</v>
      </c>
      <c r="AF19" s="649" t="s">
        <v>577</v>
      </c>
      <c r="AG19" s="649"/>
      <c r="AH19" s="649"/>
    </row>
    <row r="20" spans="2:34" x14ac:dyDescent="0.25">
      <c r="B20" s="682"/>
      <c r="C20" s="683"/>
      <c r="D20" s="683">
        <f t="array" ref="D20">[1]Sheet1!$B$3</f>
        <v>8093742</v>
      </c>
      <c r="E20" s="682"/>
      <c r="F20" s="683"/>
      <c r="G20" s="684">
        <v>8093742</v>
      </c>
      <c r="H20" s="685"/>
      <c r="I20" s="686"/>
      <c r="J20" s="320" t="str" cm="1">
        <f t="array" ref="J20">_xll.d.TestUtils_Equal(FixEMSLinks.File1.SingleCell,G20)</f>
        <v>Ok</v>
      </c>
      <c r="K20" s="687" t="s">
        <v>601</v>
      </c>
      <c r="L20" s="688"/>
      <c r="M20" s="688"/>
      <c r="N20" s="688"/>
      <c r="O20" s="688"/>
      <c r="P20" s="688"/>
      <c r="Q20" s="689"/>
      <c r="R20" s="688" t="s">
        <v>601</v>
      </c>
      <c r="S20" s="688"/>
      <c r="T20" s="688"/>
      <c r="U20" s="688"/>
      <c r="V20" s="688"/>
      <c r="W20" s="688"/>
      <c r="X20" s="689"/>
      <c r="Y20" s="310" t="str" cm="1">
        <f t="array" ref="Y20">_xll.d.TestUtils_Equal(K20,FixEMSLinks.File1.SingleCell.ActualPath)</f>
        <v>Ok</v>
      </c>
      <c r="Z20" s="308"/>
      <c r="AA20" s="308"/>
      <c r="AB20" s="308"/>
      <c r="AC20" s="308"/>
      <c r="AD20" s="308"/>
      <c r="AE20" s="308"/>
      <c r="AF20" s="308"/>
      <c r="AG20" s="308"/>
      <c r="AH20" s="667">
        <f t="array" ref="AH20">[2]Sheet1!$B$3</f>
        <v>3545764</v>
      </c>
    </row>
    <row r="21" spans="2:34" x14ac:dyDescent="0.25">
      <c r="B21" s="668"/>
      <c r="C21" s="668"/>
      <c r="D21" s="668"/>
      <c r="E21" s="668"/>
      <c r="F21" s="668"/>
      <c r="G21" s="668"/>
      <c r="I21" s="308"/>
      <c r="J21" s="308"/>
      <c r="R21" s="308"/>
      <c r="S21" s="308"/>
      <c r="T21" s="308"/>
      <c r="U21" s="308"/>
      <c r="V21" s="308"/>
      <c r="W21" s="308"/>
      <c r="X21" s="308"/>
      <c r="Y21" s="308"/>
      <c r="Z21" s="308"/>
      <c r="AA21" s="308"/>
      <c r="AB21" s="308"/>
      <c r="AC21" s="308"/>
      <c r="AD21" s="308"/>
      <c r="AE21" s="308"/>
      <c r="AF21" s="308"/>
      <c r="AG21" s="308"/>
      <c r="AH21" s="308"/>
    </row>
    <row r="22" spans="2:34" x14ac:dyDescent="0.25">
      <c r="B22" s="59" t="s">
        <v>578</v>
      </c>
      <c r="C22" s="59"/>
      <c r="D22" s="59"/>
      <c r="E22" s="59" t="s">
        <v>592</v>
      </c>
      <c r="F22" s="59"/>
      <c r="G22" s="59"/>
      <c r="H22" s="59" t="s">
        <v>596</v>
      </c>
      <c r="I22" s="59"/>
      <c r="J22" s="59"/>
      <c r="K22" s="59" t="s">
        <v>599</v>
      </c>
      <c r="L22" s="59"/>
      <c r="M22" s="59"/>
      <c r="N22" s="59"/>
      <c r="O22" s="59"/>
      <c r="P22" s="59"/>
      <c r="Q22" s="59"/>
      <c r="R22" s="59" t="s">
        <v>598</v>
      </c>
      <c r="S22" s="59"/>
      <c r="T22" s="59"/>
      <c r="U22" s="59"/>
      <c r="V22" s="59"/>
      <c r="W22" s="59"/>
      <c r="X22" s="59"/>
      <c r="Y22" s="59" t="s">
        <v>600</v>
      </c>
      <c r="Z22" s="308"/>
      <c r="AA22" s="308"/>
      <c r="AB22" s="308"/>
      <c r="AC22" s="308"/>
      <c r="AD22" s="308"/>
      <c r="AE22" s="308"/>
      <c r="AF22" s="649" t="s">
        <v>578</v>
      </c>
      <c r="AG22" s="649"/>
      <c r="AH22" s="649"/>
    </row>
    <row r="23" spans="2:34" x14ac:dyDescent="0.25">
      <c r="B23" s="682"/>
      <c r="C23" s="683"/>
      <c r="D23" s="683">
        <f t="array" ref="D23">[1]!SingleCell</f>
        <v>4513215</v>
      </c>
      <c r="E23" s="682"/>
      <c r="F23" s="683"/>
      <c r="G23" s="684">
        <v>4513215</v>
      </c>
      <c r="H23" s="685"/>
      <c r="I23" s="686"/>
      <c r="J23" s="320" t="str" cm="1">
        <f t="array" ref="J23">_xll.d.TestUtils_Equal(FixEMSLinks.File1.SingleCellNamedRange,G23)</f>
        <v>Ok</v>
      </c>
      <c r="K23" s="687" t="s">
        <v>601</v>
      </c>
      <c r="L23" s="688"/>
      <c r="M23" s="688"/>
      <c r="N23" s="688"/>
      <c r="O23" s="688"/>
      <c r="P23" s="688"/>
      <c r="Q23" s="689"/>
      <c r="R23" s="688" t="s">
        <v>601</v>
      </c>
      <c r="S23" s="688"/>
      <c r="T23" s="688"/>
      <c r="U23" s="688"/>
      <c r="V23" s="688"/>
      <c r="W23" s="688"/>
      <c r="X23" s="689"/>
      <c r="Y23" s="310" t="str" cm="1">
        <f t="array" ref="Y23">_xll.d.TestUtils_Equal(K23,FixEMSLinks.File1.SingleCellNamedRange.ActualPath)</f>
        <v>Ok</v>
      </c>
      <c r="Z23" s="308"/>
      <c r="AA23" s="308"/>
      <c r="AB23" s="308"/>
      <c r="AC23" s="308"/>
      <c r="AD23" s="308"/>
      <c r="AE23" s="308"/>
      <c r="AF23" s="308"/>
      <c r="AG23" s="308"/>
      <c r="AH23" s="667">
        <f t="array" ref="AH23">[2]!SingleCell</f>
        <v>26215498721</v>
      </c>
    </row>
    <row r="24" spans="2:34" x14ac:dyDescent="0.25">
      <c r="B24" s="668"/>
      <c r="C24" s="668"/>
      <c r="D24" s="668"/>
      <c r="E24" s="668"/>
      <c r="F24" s="668"/>
      <c r="G24" s="668"/>
      <c r="H24" s="308"/>
      <c r="I24" s="308"/>
      <c r="J24" s="308"/>
      <c r="R24" s="308"/>
      <c r="S24" s="308"/>
      <c r="T24" s="308"/>
      <c r="U24" s="308"/>
      <c r="V24" s="308"/>
      <c r="W24" s="308"/>
      <c r="X24" s="308"/>
      <c r="Y24" s="308"/>
      <c r="Z24" s="308"/>
      <c r="AA24" s="308"/>
      <c r="AB24" s="308"/>
      <c r="AC24" s="308"/>
      <c r="AD24" s="308"/>
      <c r="AE24" s="308"/>
      <c r="AF24" s="308"/>
      <c r="AG24" s="308"/>
      <c r="AH24" s="308"/>
    </row>
    <row r="25" spans="2:34" x14ac:dyDescent="0.25">
      <c r="B25" s="59" t="s">
        <v>579</v>
      </c>
      <c r="C25" s="59"/>
      <c r="D25" s="59"/>
      <c r="E25" s="59" t="s">
        <v>597</v>
      </c>
      <c r="F25" s="59"/>
      <c r="G25" s="59"/>
      <c r="H25" s="59" t="s">
        <v>596</v>
      </c>
      <c r="I25" s="59"/>
      <c r="J25" s="59"/>
      <c r="K25" s="59" t="s">
        <v>599</v>
      </c>
      <c r="L25" s="59"/>
      <c r="M25" s="59"/>
      <c r="N25" s="59"/>
      <c r="O25" s="59"/>
      <c r="P25" s="59"/>
      <c r="Q25" s="59"/>
      <c r="R25" s="59" t="s">
        <v>598</v>
      </c>
      <c r="S25" s="59"/>
      <c r="T25" s="59"/>
      <c r="U25" s="59"/>
      <c r="V25" s="59"/>
      <c r="W25" s="59"/>
      <c r="X25" s="59"/>
      <c r="Y25" s="59" t="s">
        <v>600</v>
      </c>
      <c r="Z25" s="308"/>
      <c r="AA25" s="308"/>
      <c r="AB25" s="308"/>
      <c r="AC25" s="308"/>
      <c r="AD25" s="308"/>
      <c r="AE25" s="308"/>
      <c r="AF25" s="649" t="s">
        <v>579</v>
      </c>
      <c r="AG25" s="649"/>
      <c r="AH25" s="649"/>
    </row>
    <row r="26" spans="2:34" x14ac:dyDescent="0.25">
      <c r="B26" s="673">
        <f t="array" ref="B26:D28">[1]Sheet1!$B$9:$D$11</f>
        <v>1654654654</v>
      </c>
      <c r="C26" s="674">
        <v>3554129</v>
      </c>
      <c r="D26" s="675">
        <v>321754</v>
      </c>
      <c r="E26" s="673">
        <v>1654654654</v>
      </c>
      <c r="F26" s="674">
        <v>3554129</v>
      </c>
      <c r="G26" s="675">
        <v>321754</v>
      </c>
      <c r="H26" s="310" t="str" cm="1">
        <f t="array" ref="H26">_xll.d.TestUtils_Equal(B26,E26)</f>
        <v>Ok</v>
      </c>
      <c r="I26" s="310" t="str" cm="1">
        <f t="array" ref="I26">_xll.d.TestUtils_Equal(C26,F26)</f>
        <v>Ok</v>
      </c>
      <c r="J26" s="310" t="str" cm="1">
        <f t="array" ref="J26">_xll.d.TestUtils_Equal(D26,G26)</f>
        <v>Ok</v>
      </c>
      <c r="K26" s="696" t="s">
        <v>601</v>
      </c>
      <c r="L26" s="690"/>
      <c r="M26" s="690"/>
      <c r="N26" s="690"/>
      <c r="O26" s="690"/>
      <c r="P26" s="690"/>
      <c r="Q26" s="691"/>
      <c r="R26" s="690" t="s">
        <v>601</v>
      </c>
      <c r="S26" s="690"/>
      <c r="T26" s="690"/>
      <c r="U26" s="690"/>
      <c r="V26" s="690"/>
      <c r="W26" s="690"/>
      <c r="X26" s="691"/>
      <c r="Y26" s="310" t="str" cm="1">
        <f t="array" ref="Y26">_xll.d.TestUtils_Equal(K26,FixEMSLinks.File1.Array.ActualPath)</f>
        <v>Ok</v>
      </c>
      <c r="Z26" s="308"/>
      <c r="AA26" s="308"/>
      <c r="AB26" s="308"/>
      <c r="AC26" s="308"/>
      <c r="AD26" s="308"/>
      <c r="AE26" s="308"/>
      <c r="AF26" s="667">
        <f t="array" ref="AF26:AH28">[2]Sheet1!$B$9:$D$11</f>
        <v>6768</v>
      </c>
      <c r="AG26" s="667">
        <v>87784</v>
      </c>
      <c r="AH26" s="667">
        <v>8486787</v>
      </c>
    </row>
    <row r="27" spans="2:34" x14ac:dyDescent="0.25">
      <c r="B27" s="676">
        <v>454654</v>
      </c>
      <c r="C27" s="677">
        <v>23154</v>
      </c>
      <c r="D27" s="678">
        <v>258724</v>
      </c>
      <c r="E27" s="676">
        <v>454654</v>
      </c>
      <c r="F27" s="677">
        <v>23154</v>
      </c>
      <c r="G27" s="678">
        <v>258724</v>
      </c>
      <c r="H27" s="310" t="str" cm="1">
        <f t="array" ref="H27">_xll.d.TestUtils_Equal(B27,E27)</f>
        <v>Ok</v>
      </c>
      <c r="I27" s="310" t="str" cm="1">
        <f t="array" ref="I27">_xll.d.TestUtils_Equal(C27,F27)</f>
        <v>Ok</v>
      </c>
      <c r="J27" s="310" t="str" cm="1">
        <f t="array" ref="J27">_xll.d.TestUtils_Equal(D27,G27)</f>
        <v>Ok</v>
      </c>
      <c r="K27" s="697"/>
      <c r="L27" s="692"/>
      <c r="M27" s="692"/>
      <c r="N27" s="692"/>
      <c r="O27" s="692"/>
      <c r="P27" s="692"/>
      <c r="Q27" s="693"/>
      <c r="R27" s="692"/>
      <c r="S27" s="692"/>
      <c r="T27" s="692"/>
      <c r="U27" s="692"/>
      <c r="V27" s="692"/>
      <c r="W27" s="692"/>
      <c r="X27" s="693"/>
      <c r="Y27" s="308"/>
      <c r="Z27" s="308"/>
      <c r="AA27" s="308"/>
      <c r="AB27" s="308"/>
      <c r="AC27" s="308"/>
      <c r="AD27" s="308"/>
      <c r="AE27" s="308"/>
      <c r="AF27" s="667">
        <v>351132</v>
      </c>
      <c r="AG27" s="667">
        <v>468468</v>
      </c>
      <c r="AH27" s="667">
        <v>486864</v>
      </c>
    </row>
    <row r="28" spans="2:34" x14ac:dyDescent="0.25">
      <c r="B28" s="679">
        <v>873213</v>
      </c>
      <c r="C28" s="680">
        <v>45321</v>
      </c>
      <c r="D28" s="681">
        <v>1475435</v>
      </c>
      <c r="E28" s="679">
        <v>873213</v>
      </c>
      <c r="F28" s="680">
        <v>45321</v>
      </c>
      <c r="G28" s="681">
        <v>1475435</v>
      </c>
      <c r="H28" s="310" t="str" cm="1">
        <f t="array" ref="H28">_xll.d.TestUtils_Equal(B28,E28)</f>
        <v>Ok</v>
      </c>
      <c r="I28" s="310" t="str" cm="1">
        <f t="array" ref="I28">_xll.d.TestUtils_Equal(C28,F28)</f>
        <v>Ok</v>
      </c>
      <c r="J28" s="310" t="str" cm="1">
        <f t="array" ref="J28">_xll.d.TestUtils_Equal(D28,G28)</f>
        <v>Ok</v>
      </c>
      <c r="K28" s="698"/>
      <c r="L28" s="694"/>
      <c r="M28" s="694"/>
      <c r="N28" s="694"/>
      <c r="O28" s="694"/>
      <c r="P28" s="694"/>
      <c r="Q28" s="695"/>
      <c r="R28" s="694"/>
      <c r="S28" s="694"/>
      <c r="T28" s="694"/>
      <c r="U28" s="694"/>
      <c r="V28" s="694"/>
      <c r="W28" s="694"/>
      <c r="X28" s="695"/>
      <c r="Y28" s="308"/>
      <c r="Z28" s="308"/>
      <c r="AA28" s="308"/>
      <c r="AB28" s="308"/>
      <c r="AC28" s="308"/>
      <c r="AD28" s="308"/>
      <c r="AE28" s="308"/>
      <c r="AF28" s="667">
        <v>49848519</v>
      </c>
      <c r="AG28" s="667">
        <v>1974746</v>
      </c>
      <c r="AH28" s="667">
        <v>5445</v>
      </c>
    </row>
    <row r="29" spans="2:34" x14ac:dyDescent="0.25">
      <c r="B29" s="668"/>
      <c r="C29" s="668"/>
      <c r="D29" s="668"/>
      <c r="E29" s="668"/>
      <c r="F29" s="668"/>
      <c r="G29" s="668"/>
      <c r="H29" s="308"/>
      <c r="I29" s="308"/>
      <c r="J29" s="308"/>
      <c r="R29" s="308"/>
      <c r="S29" s="308"/>
      <c r="T29" s="308"/>
      <c r="U29" s="308"/>
      <c r="V29" s="308"/>
      <c r="W29" s="308"/>
      <c r="X29" s="308"/>
      <c r="Y29" s="308"/>
      <c r="Z29" s="308"/>
      <c r="AA29" s="308"/>
      <c r="AB29" s="308"/>
      <c r="AC29" s="308"/>
      <c r="AD29" s="308"/>
      <c r="AE29" s="308"/>
      <c r="AF29" s="308"/>
      <c r="AG29" s="308"/>
      <c r="AH29" s="308"/>
    </row>
    <row r="30" spans="2:34" x14ac:dyDescent="0.25">
      <c r="B30" s="59" t="s">
        <v>580</v>
      </c>
      <c r="C30" s="59"/>
      <c r="D30" s="59"/>
      <c r="E30" s="59" t="s">
        <v>597</v>
      </c>
      <c r="F30" s="59"/>
      <c r="G30" s="59"/>
      <c r="H30" s="59" t="s">
        <v>596</v>
      </c>
      <c r="I30" s="59"/>
      <c r="J30" s="59"/>
      <c r="K30" s="59" t="s">
        <v>599</v>
      </c>
      <c r="L30" s="59"/>
      <c r="M30" s="59"/>
      <c r="N30" s="59"/>
      <c r="O30" s="59"/>
      <c r="P30" s="59"/>
      <c r="Q30" s="59"/>
      <c r="R30" s="59" t="s">
        <v>598</v>
      </c>
      <c r="S30" s="59"/>
      <c r="T30" s="59"/>
      <c r="U30" s="59"/>
      <c r="V30" s="59"/>
      <c r="W30" s="59"/>
      <c r="X30" s="59"/>
      <c r="Y30" s="59" t="s">
        <v>600</v>
      </c>
      <c r="Z30" s="308"/>
      <c r="AA30" s="308"/>
      <c r="AB30" s="308"/>
      <c r="AC30" s="308"/>
      <c r="AD30" s="308"/>
      <c r="AE30" s="308"/>
      <c r="AF30" s="649" t="s">
        <v>580</v>
      </c>
      <c r="AG30" s="649"/>
      <c r="AH30" s="649"/>
    </row>
    <row r="31" spans="2:34" x14ac:dyDescent="0.25">
      <c r="B31" s="673">
        <f t="array" ref="B31:D33">[1]!Array</f>
        <v>154</v>
      </c>
      <c r="C31" s="674">
        <v>254257</v>
      </c>
      <c r="D31" s="675">
        <v>1358354</v>
      </c>
      <c r="E31" s="673">
        <v>154</v>
      </c>
      <c r="F31" s="674">
        <v>254257</v>
      </c>
      <c r="G31" s="675">
        <v>1358354</v>
      </c>
      <c r="H31" s="310" t="str" cm="1">
        <f t="array" ref="H31">_xll.d.TestUtils_Equal(B31,E31)</f>
        <v>Ok</v>
      </c>
      <c r="I31" s="310" t="str" cm="1">
        <f t="array" ref="I31">_xll.d.TestUtils_Equal(C31,F31)</f>
        <v>Ok</v>
      </c>
      <c r="J31" s="310" t="str" cm="1">
        <f t="array" ref="J31">_xll.d.TestUtils_Equal(D31,G31)</f>
        <v>Ok</v>
      </c>
      <c r="K31" s="696" t="s">
        <v>601</v>
      </c>
      <c r="L31" s="690"/>
      <c r="M31" s="690"/>
      <c r="N31" s="690"/>
      <c r="O31" s="690"/>
      <c r="P31" s="690"/>
      <c r="Q31" s="691"/>
      <c r="R31" s="690" t="s">
        <v>601</v>
      </c>
      <c r="S31" s="690"/>
      <c r="T31" s="690"/>
      <c r="U31" s="690"/>
      <c r="V31" s="690"/>
      <c r="W31" s="690"/>
      <c r="X31" s="691"/>
      <c r="Y31" s="310" t="str" cm="1">
        <f t="array" ref="Y31">_xll.d.TestUtils_Equal(K31,FixEMSLinks.File1.ArrayNamedRange.ActualPath)</f>
        <v>Ok</v>
      </c>
      <c r="Z31" s="308"/>
      <c r="AA31" s="308"/>
      <c r="AB31" s="308"/>
      <c r="AC31" s="308"/>
      <c r="AD31" s="308"/>
      <c r="AE31" s="308"/>
      <c r="AF31" s="667">
        <f t="array" ref="AF31:AH33">[2]!Array</f>
        <v>56384</v>
      </c>
      <c r="AG31" s="667">
        <v>89436</v>
      </c>
      <c r="AH31" s="667">
        <v>4497</v>
      </c>
    </row>
    <row r="32" spans="2:34" x14ac:dyDescent="0.25">
      <c r="B32" s="676">
        <v>835</v>
      </c>
      <c r="C32" s="677">
        <v>76843</v>
      </c>
      <c r="D32" s="678">
        <v>332156</v>
      </c>
      <c r="E32" s="676">
        <v>835</v>
      </c>
      <c r="F32" s="677">
        <v>76843</v>
      </c>
      <c r="G32" s="678">
        <v>332156</v>
      </c>
      <c r="H32" s="310" t="str" cm="1">
        <f t="array" ref="H32">_xll.d.TestUtils_Equal(B32,E32)</f>
        <v>Ok</v>
      </c>
      <c r="I32" s="310" t="str" cm="1">
        <f t="array" ref="I32">_xll.d.TestUtils_Equal(C32,F32)</f>
        <v>Ok</v>
      </c>
      <c r="J32" s="310" t="str" cm="1">
        <f t="array" ref="J32">_xll.d.TestUtils_Equal(D32,G32)</f>
        <v>Ok</v>
      </c>
      <c r="K32" s="697"/>
      <c r="L32" s="692"/>
      <c r="M32" s="692"/>
      <c r="N32" s="692"/>
      <c r="O32" s="692"/>
      <c r="P32" s="692"/>
      <c r="Q32" s="693"/>
      <c r="R32" s="692"/>
      <c r="S32" s="692"/>
      <c r="T32" s="692"/>
      <c r="U32" s="692"/>
      <c r="V32" s="692"/>
      <c r="W32" s="692"/>
      <c r="X32" s="693"/>
      <c r="Y32" s="308"/>
      <c r="Z32" s="308"/>
      <c r="AA32" s="308"/>
      <c r="AB32" s="308"/>
      <c r="AC32" s="308"/>
      <c r="AD32" s="308"/>
      <c r="AE32" s="308"/>
      <c r="AF32" s="667">
        <v>486465</v>
      </c>
      <c r="AG32" s="667">
        <v>4863</v>
      </c>
      <c r="AH32" s="667">
        <v>44978</v>
      </c>
    </row>
    <row r="33" spans="2:34" x14ac:dyDescent="0.25">
      <c r="B33" s="679">
        <v>45358</v>
      </c>
      <c r="C33" s="680">
        <v>6546</v>
      </c>
      <c r="D33" s="681">
        <v>53853654</v>
      </c>
      <c r="E33" s="679">
        <v>45358</v>
      </c>
      <c r="F33" s="680">
        <v>6546</v>
      </c>
      <c r="G33" s="681">
        <v>53853654</v>
      </c>
      <c r="H33" s="310" t="str" cm="1">
        <f t="array" ref="H33">_xll.d.TestUtils_Equal(B33,E33)</f>
        <v>Ok</v>
      </c>
      <c r="I33" s="310" t="str" cm="1">
        <f t="array" ref="I33">_xll.d.TestUtils_Equal(C33,F33)</f>
        <v>Ok</v>
      </c>
      <c r="J33" s="310" t="str" cm="1">
        <f t="array" ref="J33">_xll.d.TestUtils_Equal(D33,G33)</f>
        <v>Ok</v>
      </c>
      <c r="K33" s="698"/>
      <c r="L33" s="694"/>
      <c r="M33" s="694"/>
      <c r="N33" s="694"/>
      <c r="O33" s="694"/>
      <c r="P33" s="694"/>
      <c r="Q33" s="695"/>
      <c r="R33" s="694"/>
      <c r="S33" s="694"/>
      <c r="T33" s="694"/>
      <c r="U33" s="694"/>
      <c r="V33" s="694"/>
      <c r="W33" s="694"/>
      <c r="X33" s="695"/>
      <c r="Y33" s="308"/>
      <c r="Z33" s="308"/>
      <c r="AA33" s="308"/>
      <c r="AB33" s="308"/>
      <c r="AC33" s="308"/>
      <c r="AD33" s="308"/>
      <c r="AE33" s="308"/>
      <c r="AF33" s="667">
        <v>687845</v>
      </c>
      <c r="AG33" s="667">
        <v>8977986</v>
      </c>
      <c r="AH33" s="667">
        <v>3687</v>
      </c>
    </row>
    <row r="36" spans="2:34" ht="18.75" x14ac:dyDescent="0.3">
      <c r="B36" s="3" t="s">
        <v>586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 x14ac:dyDescent="0.25">
      <c r="B38" s="59" t="s">
        <v>577</v>
      </c>
      <c r="C38" s="59"/>
      <c r="D38" s="59"/>
      <c r="E38" s="59" t="s">
        <v>592</v>
      </c>
      <c r="F38" s="59"/>
      <c r="G38" s="59"/>
      <c r="H38" s="59" t="s">
        <v>596</v>
      </c>
      <c r="I38" s="59"/>
      <c r="J38" s="59"/>
      <c r="K38" s="59" t="s">
        <v>599</v>
      </c>
      <c r="L38" s="59"/>
      <c r="M38" s="59"/>
      <c r="N38" s="59"/>
      <c r="O38" s="59"/>
      <c r="P38" s="59"/>
      <c r="Q38" s="59"/>
      <c r="R38" s="59" t="s">
        <v>598</v>
      </c>
      <c r="S38" s="59"/>
      <c r="T38" s="59"/>
      <c r="U38" s="59"/>
      <c r="V38" s="59"/>
      <c r="W38" s="59"/>
      <c r="X38" s="59"/>
      <c r="Y38" s="59" t="s">
        <v>600</v>
      </c>
    </row>
    <row r="39" spans="2:34" x14ac:dyDescent="0.25">
      <c r="B39" s="682"/>
      <c r="C39" s="683"/>
      <c r="D39" s="683">
        <f t="array" ref="D39">[2]Sheet1!$B$3</f>
        <v>3545764</v>
      </c>
      <c r="E39" s="682"/>
      <c r="F39" s="683"/>
      <c r="G39" s="684">
        <v>3545764</v>
      </c>
      <c r="H39" s="685"/>
      <c r="I39" s="686"/>
      <c r="J39" s="320" t="str" cm="1">
        <f t="array" ref="J39">_xll.d.TestUtils_Equal(D39,G39)</f>
        <v>Ok</v>
      </c>
      <c r="K39" s="687" t="s">
        <v>601</v>
      </c>
      <c r="L39" s="688"/>
      <c r="M39" s="688"/>
      <c r="N39" s="688"/>
      <c r="O39" s="688"/>
      <c r="P39" s="688"/>
      <c r="Q39" s="689"/>
      <c r="R39" s="688" t="s">
        <v>601</v>
      </c>
      <c r="S39" s="688"/>
      <c r="T39" s="688"/>
      <c r="U39" s="688"/>
      <c r="V39" s="688"/>
      <c r="W39" s="688"/>
      <c r="X39" s="689"/>
      <c r="Y39" s="310" t="str" cm="1">
        <f t="array" ref="Y39">_xll.d.TestUtils_Equal(K39,FixEMSLinks.File2.SingleCell.ActualPath)</f>
        <v>Ok</v>
      </c>
    </row>
    <row r="40" spans="2:34" x14ac:dyDescent="0.25">
      <c r="B40" s="668"/>
      <c r="C40" s="668"/>
      <c r="D40" s="668"/>
      <c r="E40" s="668"/>
      <c r="F40" s="668"/>
      <c r="G40" s="668"/>
      <c r="I40" s="308"/>
      <c r="J40" s="308"/>
    </row>
    <row r="41" spans="2:34" x14ac:dyDescent="0.25">
      <c r="B41" s="59" t="s">
        <v>578</v>
      </c>
      <c r="C41" s="59"/>
      <c r="D41" s="59"/>
      <c r="E41" s="59" t="s">
        <v>592</v>
      </c>
      <c r="F41" s="59"/>
      <c r="G41" s="59"/>
      <c r="H41" s="59" t="s">
        <v>596</v>
      </c>
      <c r="I41" s="59"/>
      <c r="J41" s="59"/>
      <c r="K41" s="59" t="s">
        <v>599</v>
      </c>
      <c r="L41" s="59"/>
      <c r="M41" s="59"/>
      <c r="N41" s="59"/>
      <c r="O41" s="59"/>
      <c r="P41" s="59"/>
      <c r="Q41" s="59"/>
      <c r="R41" s="59" t="s">
        <v>598</v>
      </c>
      <c r="S41" s="59"/>
      <c r="T41" s="59"/>
      <c r="U41" s="59"/>
      <c r="V41" s="59"/>
      <c r="W41" s="59"/>
      <c r="X41" s="59"/>
      <c r="Y41" s="59" t="s">
        <v>600</v>
      </c>
    </row>
    <row r="42" spans="2:34" x14ac:dyDescent="0.25">
      <c r="B42" s="682"/>
      <c r="C42" s="683"/>
      <c r="D42" s="683">
        <f t="array" ref="D42">[2]!SingleCell</f>
        <v>26215498721</v>
      </c>
      <c r="E42" s="682"/>
      <c r="F42" s="683"/>
      <c r="G42" s="684">
        <v>26215498721</v>
      </c>
      <c r="H42" s="685"/>
      <c r="I42" s="686"/>
      <c r="J42" s="320" t="str" cm="1">
        <f t="array" ref="J42">_xll.d.TestUtils_Equal(D42,G42)</f>
        <v>Ok</v>
      </c>
      <c r="K42" s="687" t="s">
        <v>601</v>
      </c>
      <c r="L42" s="688"/>
      <c r="M42" s="688"/>
      <c r="N42" s="688"/>
      <c r="O42" s="688"/>
      <c r="P42" s="688"/>
      <c r="Q42" s="689"/>
      <c r="R42" s="688" t="s">
        <v>601</v>
      </c>
      <c r="S42" s="688"/>
      <c r="T42" s="688"/>
      <c r="U42" s="688"/>
      <c r="V42" s="688"/>
      <c r="W42" s="688"/>
      <c r="X42" s="689"/>
      <c r="Y42" s="310" t="str" cm="1">
        <f t="array" ref="Y42">_xll.d.TestUtils_Equal(K42,FixEMSLinks.File2.SingleCellNamedRange.ActualPath)</f>
        <v>Ok</v>
      </c>
    </row>
    <row r="43" spans="2:34" x14ac:dyDescent="0.25">
      <c r="B43" s="668"/>
      <c r="C43" s="668"/>
      <c r="D43" s="668"/>
      <c r="E43" s="668"/>
      <c r="F43" s="668"/>
      <c r="G43" s="668"/>
      <c r="H43" s="308"/>
      <c r="I43" s="308"/>
      <c r="J43" s="308"/>
    </row>
    <row r="44" spans="2:34" x14ac:dyDescent="0.25">
      <c r="B44" s="59" t="s">
        <v>579</v>
      </c>
      <c r="C44" s="59"/>
      <c r="D44" s="59"/>
      <c r="E44" s="59" t="s">
        <v>597</v>
      </c>
      <c r="F44" s="59"/>
      <c r="G44" s="59"/>
      <c r="H44" s="59" t="s">
        <v>596</v>
      </c>
      <c r="I44" s="59"/>
      <c r="J44" s="59"/>
      <c r="K44" s="59" t="s">
        <v>599</v>
      </c>
      <c r="L44" s="59"/>
      <c r="M44" s="59"/>
      <c r="N44" s="59"/>
      <c r="O44" s="59"/>
      <c r="P44" s="59"/>
      <c r="Q44" s="59"/>
      <c r="R44" s="59" t="s">
        <v>598</v>
      </c>
      <c r="S44" s="59"/>
      <c r="T44" s="59"/>
      <c r="U44" s="59"/>
      <c r="V44" s="59"/>
      <c r="W44" s="59"/>
      <c r="X44" s="59"/>
      <c r="Y44" s="59" t="s">
        <v>600</v>
      </c>
    </row>
    <row r="45" spans="2:34" x14ac:dyDescent="0.25">
      <c r="B45" s="673">
        <f t="array" ref="B45:D47">[2]Sheet1!$B$9:$D$11</f>
        <v>6768</v>
      </c>
      <c r="C45" s="674">
        <v>87784</v>
      </c>
      <c r="D45" s="675">
        <v>8486787</v>
      </c>
      <c r="E45" s="673">
        <v>6768</v>
      </c>
      <c r="F45" s="674">
        <v>87784</v>
      </c>
      <c r="G45" s="675">
        <v>8486787</v>
      </c>
      <c r="H45" s="310" t="str" cm="1">
        <f t="array" ref="H45">_xll.d.TestUtils_Equal(B45,E45)</f>
        <v>Ok</v>
      </c>
      <c r="I45" s="310" t="str" cm="1">
        <f t="array" ref="I45">_xll.d.TestUtils_Equal(C45,F45)</f>
        <v>Ok</v>
      </c>
      <c r="J45" s="310" t="str" cm="1">
        <f t="array" ref="J45">_xll.d.TestUtils_Equal(D45,G45)</f>
        <v>Ok</v>
      </c>
      <c r="K45" s="696" t="s">
        <v>601</v>
      </c>
      <c r="L45" s="690"/>
      <c r="M45" s="690"/>
      <c r="N45" s="690"/>
      <c r="O45" s="690"/>
      <c r="P45" s="690"/>
      <c r="Q45" s="691"/>
      <c r="R45" s="690" t="s">
        <v>601</v>
      </c>
      <c r="S45" s="690"/>
      <c r="T45" s="690"/>
      <c r="U45" s="690"/>
      <c r="V45" s="690"/>
      <c r="W45" s="690"/>
      <c r="X45" s="691"/>
      <c r="Y45" s="310" t="str" cm="1">
        <f t="array" ref="Y45">_xll.d.TestUtils_Equal(K45,FixEMSLinks.File2.Array.ActualPath)</f>
        <v>Ok</v>
      </c>
    </row>
    <row r="46" spans="2:34" x14ac:dyDescent="0.25">
      <c r="B46" s="676">
        <v>351132</v>
      </c>
      <c r="C46" s="677">
        <v>468468</v>
      </c>
      <c r="D46" s="678">
        <v>486864</v>
      </c>
      <c r="E46" s="676">
        <v>351132</v>
      </c>
      <c r="F46" s="677">
        <v>468468</v>
      </c>
      <c r="G46" s="678">
        <v>486864</v>
      </c>
      <c r="H46" s="310" t="str" cm="1">
        <f t="array" ref="H46">_xll.d.TestUtils_Equal(B46,E46)</f>
        <v>Ok</v>
      </c>
      <c r="I46" s="310" t="str" cm="1">
        <f t="array" ref="I46">_xll.d.TestUtils_Equal(C46,F46)</f>
        <v>Ok</v>
      </c>
      <c r="J46" s="310" t="str" cm="1">
        <f t="array" ref="J46">_xll.d.TestUtils_Equal(D46,G46)</f>
        <v>Ok</v>
      </c>
      <c r="K46" s="697"/>
      <c r="L46" s="692"/>
      <c r="M46" s="692"/>
      <c r="N46" s="692"/>
      <c r="O46" s="692"/>
      <c r="P46" s="692"/>
      <c r="Q46" s="693"/>
      <c r="R46" s="692"/>
      <c r="S46" s="692"/>
      <c r="T46" s="692"/>
      <c r="U46" s="692"/>
      <c r="V46" s="692"/>
      <c r="W46" s="692"/>
      <c r="X46" s="693"/>
      <c r="Y46" s="308"/>
    </row>
    <row r="47" spans="2:34" x14ac:dyDescent="0.25">
      <c r="B47" s="679">
        <v>49848519</v>
      </c>
      <c r="C47" s="680">
        <v>1974746</v>
      </c>
      <c r="D47" s="681">
        <v>5445</v>
      </c>
      <c r="E47" s="679">
        <v>49848519</v>
      </c>
      <c r="F47" s="680">
        <v>1974746</v>
      </c>
      <c r="G47" s="681">
        <v>5445</v>
      </c>
      <c r="H47" s="310" t="str" cm="1">
        <f t="array" ref="H47">_xll.d.TestUtils_Equal(B47,E47)</f>
        <v>Ok</v>
      </c>
      <c r="I47" s="310" t="str" cm="1">
        <f t="array" ref="I47">_xll.d.TestUtils_Equal(C47,F47)</f>
        <v>Ok</v>
      </c>
      <c r="J47" s="310" t="str" cm="1">
        <f t="array" ref="J47">_xll.d.TestUtils_Equal(D47,G47)</f>
        <v>Ok</v>
      </c>
      <c r="K47" s="698"/>
      <c r="L47" s="694"/>
      <c r="M47" s="694"/>
      <c r="N47" s="694"/>
      <c r="O47" s="694"/>
      <c r="P47" s="694"/>
      <c r="Q47" s="695"/>
      <c r="R47" s="694"/>
      <c r="S47" s="694"/>
      <c r="T47" s="694"/>
      <c r="U47" s="694"/>
      <c r="V47" s="694"/>
      <c r="W47" s="694"/>
      <c r="X47" s="695"/>
      <c r="Y47" s="308"/>
    </row>
    <row r="48" spans="2:34" x14ac:dyDescent="0.25">
      <c r="B48" s="668"/>
      <c r="C48" s="668"/>
      <c r="D48" s="668"/>
      <c r="E48" s="668"/>
      <c r="F48" s="668"/>
      <c r="G48" s="668"/>
      <c r="H48" s="308"/>
      <c r="I48" s="308"/>
      <c r="J48" s="308"/>
    </row>
    <row r="49" spans="2:25" x14ac:dyDescent="0.25">
      <c r="B49" s="59" t="s">
        <v>580</v>
      </c>
      <c r="C49" s="59"/>
      <c r="D49" s="59"/>
      <c r="E49" s="59" t="s">
        <v>597</v>
      </c>
      <c r="F49" s="59"/>
      <c r="G49" s="59"/>
      <c r="H49" s="59" t="s">
        <v>596</v>
      </c>
      <c r="I49" s="59"/>
      <c r="J49" s="59"/>
      <c r="K49" s="59" t="s">
        <v>599</v>
      </c>
      <c r="L49" s="59"/>
      <c r="M49" s="59"/>
      <c r="N49" s="59"/>
      <c r="O49" s="59"/>
      <c r="P49" s="59"/>
      <c r="Q49" s="59"/>
      <c r="R49" s="59" t="s">
        <v>598</v>
      </c>
      <c r="S49" s="59"/>
      <c r="T49" s="59"/>
      <c r="U49" s="59"/>
      <c r="V49" s="59"/>
      <c r="W49" s="59"/>
      <c r="X49" s="59"/>
      <c r="Y49" s="59" t="s">
        <v>600</v>
      </c>
    </row>
    <row r="50" spans="2:25" x14ac:dyDescent="0.25">
      <c r="B50" s="673">
        <f t="array" ref="B50:D52">[2]!Array</f>
        <v>56384</v>
      </c>
      <c r="C50" s="674">
        <v>89436</v>
      </c>
      <c r="D50" s="675">
        <v>4497</v>
      </c>
      <c r="E50" s="673">
        <v>56384</v>
      </c>
      <c r="F50" s="674">
        <v>89436</v>
      </c>
      <c r="G50" s="675">
        <v>4497</v>
      </c>
      <c r="H50" s="310" t="str" cm="1">
        <f t="array" ref="H50">_xll.d.TestUtils_Equal(B50,E50)</f>
        <v>Ok</v>
      </c>
      <c r="I50" s="310" t="str" cm="1">
        <f t="array" ref="I50">_xll.d.TestUtils_Equal(C50,F50)</f>
        <v>Ok</v>
      </c>
      <c r="J50" s="310" t="str" cm="1">
        <f t="array" ref="J50">_xll.d.TestUtils_Equal(D50,G50)</f>
        <v>Ok</v>
      </c>
      <c r="K50" s="696" t="s">
        <v>601</v>
      </c>
      <c r="L50" s="690"/>
      <c r="M50" s="690"/>
      <c r="N50" s="690"/>
      <c r="O50" s="690"/>
      <c r="P50" s="690"/>
      <c r="Q50" s="691"/>
      <c r="R50" s="690" t="s">
        <v>601</v>
      </c>
      <c r="S50" s="690"/>
      <c r="T50" s="690"/>
      <c r="U50" s="690"/>
      <c r="V50" s="690"/>
      <c r="W50" s="690"/>
      <c r="X50" s="691"/>
      <c r="Y50" s="310" t="str" cm="1">
        <f t="array" ref="Y50">_xll.d.TestUtils_Equal(K50,FixEMSLinks.File2.ArrayNamedRange.ActualPath)</f>
        <v>Ok</v>
      </c>
    </row>
    <row r="51" spans="2:25" x14ac:dyDescent="0.25">
      <c r="B51" s="676">
        <v>486465</v>
      </c>
      <c r="C51" s="677">
        <v>4863</v>
      </c>
      <c r="D51" s="678">
        <v>44978</v>
      </c>
      <c r="E51" s="676">
        <v>486465</v>
      </c>
      <c r="F51" s="677">
        <v>4863</v>
      </c>
      <c r="G51" s="678">
        <v>44978</v>
      </c>
      <c r="H51" s="310" t="str" cm="1">
        <f t="array" ref="H51">_xll.d.TestUtils_Equal(B51,E51)</f>
        <v>Ok</v>
      </c>
      <c r="I51" s="310" t="str" cm="1">
        <f t="array" ref="I51">_xll.d.TestUtils_Equal(C51,F51)</f>
        <v>Ok</v>
      </c>
      <c r="J51" s="310" t="str" cm="1">
        <f t="array" ref="J51">_xll.d.TestUtils_Equal(D51,G51)</f>
        <v>Ok</v>
      </c>
      <c r="K51" s="697"/>
      <c r="L51" s="692"/>
      <c r="M51" s="692"/>
      <c r="N51" s="692"/>
      <c r="O51" s="692"/>
      <c r="P51" s="692"/>
      <c r="Q51" s="693"/>
      <c r="R51" s="692"/>
      <c r="S51" s="692"/>
      <c r="T51" s="692"/>
      <c r="U51" s="692"/>
      <c r="V51" s="692"/>
      <c r="W51" s="692"/>
      <c r="X51" s="693"/>
      <c r="Y51" s="308"/>
    </row>
    <row r="52" spans="2:25" x14ac:dyDescent="0.25">
      <c r="B52" s="679">
        <v>687845</v>
      </c>
      <c r="C52" s="680">
        <v>8977986</v>
      </c>
      <c r="D52" s="681">
        <v>3687</v>
      </c>
      <c r="E52" s="679">
        <v>687845</v>
      </c>
      <c r="F52" s="680">
        <v>8977986</v>
      </c>
      <c r="G52" s="681">
        <v>3687</v>
      </c>
      <c r="H52" s="310" t="str" cm="1">
        <f t="array" ref="H52">_xll.d.TestUtils_Equal(B52,E52)</f>
        <v>Ok</v>
      </c>
      <c r="I52" s="310" t="str" cm="1">
        <f t="array" ref="I52">_xll.d.TestUtils_Equal(C52,F52)</f>
        <v>Ok</v>
      </c>
      <c r="J52" s="310" t="str" cm="1">
        <f t="array" ref="J52">_xll.d.TestUtils_Equal(D52,G52)</f>
        <v>Ok</v>
      </c>
      <c r="K52" s="698"/>
      <c r="L52" s="694"/>
      <c r="M52" s="694"/>
      <c r="N52" s="694"/>
      <c r="O52" s="694"/>
      <c r="P52" s="694"/>
      <c r="Q52" s="695"/>
      <c r="R52" s="694"/>
      <c r="S52" s="694"/>
      <c r="T52" s="694"/>
      <c r="U52" s="694"/>
      <c r="V52" s="694"/>
      <c r="W52" s="694"/>
      <c r="X52" s="695"/>
      <c r="Y52" s="308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18" t="s">
        <v>403</v>
      </c>
    </row>
    <row r="2" spans="2:21" ht="26.25" x14ac:dyDescent="0.4">
      <c r="B2" s="2" t="s">
        <v>555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55"/>
      <c r="C3" s="455"/>
      <c r="D3" s="455"/>
      <c r="E3" s="455"/>
      <c r="F3" s="455"/>
      <c r="G3" s="455"/>
      <c r="H3" s="455"/>
      <c r="N3" s="511"/>
    </row>
    <row r="4" spans="2:21" x14ac:dyDescent="0.25">
      <c r="B4" s="197" t="s">
        <v>157</v>
      </c>
      <c r="C4" s="198" t="str" cm="1">
        <f t="array" aca="1" ref="C4" ca="1">_xll.d.TestUtils_And(C7:C11)</f>
        <v>Ok</v>
      </c>
      <c r="D4" s="455"/>
      <c r="E4" s="144" t="s">
        <v>112</v>
      </c>
      <c r="F4" s="59"/>
      <c r="G4" s="455"/>
      <c r="H4" s="455"/>
    </row>
    <row r="5" spans="2:21" x14ac:dyDescent="0.25">
      <c r="B5" s="455"/>
      <c r="C5" s="455"/>
      <c r="D5" s="455"/>
      <c r="E5" s="612" t="s">
        <v>469</v>
      </c>
      <c r="F5" s="613"/>
      <c r="G5" s="455"/>
      <c r="H5" s="455"/>
    </row>
    <row r="6" spans="2:21" x14ac:dyDescent="0.25">
      <c r="B6" s="199" t="s">
        <v>9</v>
      </c>
      <c r="C6" s="200" t="s">
        <v>10</v>
      </c>
      <c r="D6" s="455"/>
      <c r="E6" s="614" t="s">
        <v>468</v>
      </c>
      <c r="F6" s="615"/>
      <c r="G6" s="455"/>
      <c r="H6" s="455"/>
    </row>
    <row r="7" spans="2:21" x14ac:dyDescent="0.25">
      <c r="B7" s="610" t="s">
        <v>105</v>
      </c>
      <c r="C7" s="174" t="str">
        <f ca="1">C16</f>
        <v>Ok</v>
      </c>
      <c r="D7" s="455"/>
      <c r="E7" s="455"/>
      <c r="F7" s="455"/>
      <c r="G7" s="455"/>
      <c r="H7" s="455"/>
      <c r="K7" s="455"/>
      <c r="L7" s="455"/>
      <c r="M7" s="455"/>
      <c r="N7" s="455"/>
      <c r="T7" s="455"/>
      <c r="U7" s="455"/>
    </row>
    <row r="8" spans="2:21" s="455" customFormat="1" x14ac:dyDescent="0.25">
      <c r="B8" s="610" t="s">
        <v>107</v>
      </c>
      <c r="C8" s="174" t="str">
        <f ca="1">HyperlinkUtils.Test3.TestResult</f>
        <v>Ok</v>
      </c>
    </row>
    <row r="9" spans="2:21" s="455" customFormat="1" x14ac:dyDescent="0.25">
      <c r="B9" s="610" t="s">
        <v>108</v>
      </c>
      <c r="C9" s="174" t="str">
        <f ca="1">HyperlinkUtils.Test3.TestResult</f>
        <v>Ok</v>
      </c>
    </row>
    <row r="10" spans="2:21" s="455" customFormat="1" x14ac:dyDescent="0.25">
      <c r="B10" s="610" t="s">
        <v>111</v>
      </c>
      <c r="C10" s="174" t="str">
        <f ca="1">HyperlinkUtils.Test4.TestResult</f>
        <v>Ok</v>
      </c>
    </row>
    <row r="11" spans="2:21" x14ac:dyDescent="0.25">
      <c r="B11" s="610" t="s">
        <v>114</v>
      </c>
      <c r="C11" s="174" t="str">
        <f ca="1">HyperlinkUtils.Test5.TestResult</f>
        <v>Ok</v>
      </c>
      <c r="N11" s="511"/>
      <c r="T11" s="455"/>
      <c r="U11" s="455"/>
    </row>
    <row r="12" spans="2:21" s="455" customFormat="1" x14ac:dyDescent="0.25"/>
    <row r="13" spans="2:21" x14ac:dyDescent="0.25">
      <c r="T13" s="455"/>
      <c r="U13" s="455"/>
    </row>
    <row r="14" spans="2:21" ht="15.75" x14ac:dyDescent="0.25">
      <c r="B14" s="4" t="s">
        <v>557</v>
      </c>
      <c r="C14" s="4"/>
      <c r="D14" s="4"/>
      <c r="E14" s="4"/>
      <c r="F14" s="4"/>
      <c r="G14" s="4"/>
      <c r="H14" s="4"/>
      <c r="I14" s="4"/>
      <c r="J14" s="4"/>
      <c r="K14" s="4"/>
      <c r="T14" s="455"/>
      <c r="U14" s="455"/>
    </row>
    <row r="15" spans="2:21" x14ac:dyDescent="0.25">
      <c r="B15" s="455"/>
      <c r="C15" s="455"/>
      <c r="D15" s="455"/>
      <c r="E15" s="455"/>
      <c r="F15" s="455"/>
      <c r="G15" s="455"/>
      <c r="H15" s="455"/>
      <c r="I15" s="455"/>
      <c r="J15" s="455"/>
      <c r="K15" s="455"/>
      <c r="M15" s="511"/>
      <c r="T15" s="455"/>
      <c r="U15" s="455"/>
    </row>
    <row r="16" spans="2:21" x14ac:dyDescent="0.25">
      <c r="B16" s="59" t="s">
        <v>122</v>
      </c>
      <c r="C16" s="174" t="str" cm="1">
        <f t="array" aca="1" ref="C16" ca="1">_xll.d.TestUtils_And(D23:E23)</f>
        <v>Ok</v>
      </c>
      <c r="D16" s="455"/>
      <c r="E16" s="455"/>
      <c r="F16" s="455"/>
      <c r="G16" s="455"/>
      <c r="H16" s="455"/>
      <c r="I16" s="455"/>
      <c r="J16" s="455"/>
      <c r="K16" s="455"/>
    </row>
    <row r="17" spans="2:11" x14ac:dyDescent="0.25">
      <c r="B17" s="455"/>
      <c r="C17" s="455"/>
      <c r="D17" s="455"/>
      <c r="E17" s="455"/>
      <c r="F17" s="455"/>
      <c r="G17" s="455"/>
      <c r="H17" s="455"/>
      <c r="I17" s="455"/>
      <c r="J17" s="455"/>
      <c r="K17" s="455"/>
    </row>
    <row r="18" spans="2:11" s="455" customFormat="1" x14ac:dyDescent="0.25">
      <c r="B18" s="199" t="s">
        <v>550</v>
      </c>
      <c r="D18" s="609" t="s">
        <v>551</v>
      </c>
    </row>
    <row r="19" spans="2:11" s="455" customFormat="1" ht="15.75" x14ac:dyDescent="0.25">
      <c r="B19" s="616" t="s">
        <v>549</v>
      </c>
      <c r="C19" s="608"/>
      <c r="D19" s="4" t="s">
        <v>559</v>
      </c>
    </row>
    <row r="20" spans="2:11" s="455" customFormat="1" x14ac:dyDescent="0.25">
      <c r="B20" s="617" t="s">
        <v>109</v>
      </c>
      <c r="C20" s="608"/>
    </row>
    <row r="21" spans="2:11" s="455" customFormat="1" x14ac:dyDescent="0.25">
      <c r="B21" s="64"/>
      <c r="C21" s="608"/>
    </row>
    <row r="22" spans="2:11" x14ac:dyDescent="0.25">
      <c r="B22" s="59" t="s">
        <v>81</v>
      </c>
      <c r="C22" s="59" t="s">
        <v>82</v>
      </c>
      <c r="D22" s="59" t="s">
        <v>548</v>
      </c>
      <c r="E22" s="41" t="s">
        <v>556</v>
      </c>
    </row>
    <row r="23" spans="2:11" x14ac:dyDescent="0.25">
      <c r="B23" s="496" t="s">
        <v>559</v>
      </c>
      <c r="C23" s="496" t="s">
        <v>559</v>
      </c>
      <c r="D23" s="174" t="str" cm="1">
        <f t="array" aca="1" ref="D23" ca="1">_xll.d.TestUtils_IsTrue(_xll.d.Formatting_Equal(B23,C23))</f>
        <v>Ok</v>
      </c>
      <c r="E23" s="174" t="s">
        <v>124</v>
      </c>
    </row>
    <row r="26" spans="2:11" ht="15.75" x14ac:dyDescent="0.25">
      <c r="B26" s="4" t="s">
        <v>558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9" t="s">
        <v>122</v>
      </c>
      <c r="C28" s="174" t="str" cm="1">
        <f t="array" aca="1" ref="C28" ca="1">_xll.d.TestUtils_And(D35:E35)</f>
        <v>Ok</v>
      </c>
      <c r="D28" s="455"/>
      <c r="E28" s="455"/>
      <c r="F28" s="455"/>
      <c r="G28" s="455"/>
      <c r="H28" s="455"/>
      <c r="I28" s="455"/>
      <c r="J28" s="455"/>
      <c r="K28" s="455"/>
    </row>
    <row r="29" spans="2:11" x14ac:dyDescent="0.25">
      <c r="B29" s="455"/>
      <c r="C29" s="455"/>
      <c r="D29" s="455"/>
      <c r="E29" s="455"/>
      <c r="F29" s="455"/>
      <c r="G29" s="455"/>
      <c r="H29" s="455"/>
      <c r="I29" s="455"/>
      <c r="J29" s="455"/>
      <c r="K29" s="455"/>
    </row>
    <row r="30" spans="2:11" x14ac:dyDescent="0.25">
      <c r="B30" s="199" t="s">
        <v>550</v>
      </c>
      <c r="C30" s="455"/>
      <c r="D30" s="609" t="s">
        <v>551</v>
      </c>
      <c r="E30" s="455"/>
      <c r="F30" s="455"/>
      <c r="G30" s="455"/>
      <c r="H30" s="455"/>
      <c r="I30" s="455"/>
      <c r="J30" s="455"/>
      <c r="K30" s="455"/>
    </row>
    <row r="31" spans="2:11" ht="15.75" x14ac:dyDescent="0.25">
      <c r="B31" s="616" t="s">
        <v>549</v>
      </c>
      <c r="C31" s="608"/>
      <c r="D31" s="4" t="s">
        <v>560</v>
      </c>
      <c r="E31" s="4"/>
      <c r="F31" s="455"/>
      <c r="G31" s="455"/>
      <c r="H31" s="455"/>
      <c r="I31" s="455"/>
      <c r="J31" s="455"/>
      <c r="K31" s="455"/>
    </row>
    <row r="32" spans="2:11" x14ac:dyDescent="0.25">
      <c r="B32" s="617" t="s">
        <v>109</v>
      </c>
      <c r="C32" s="608"/>
      <c r="D32" s="455"/>
      <c r="E32" s="455"/>
      <c r="F32" s="455"/>
      <c r="G32" s="455"/>
      <c r="H32" s="455"/>
      <c r="I32" s="455"/>
      <c r="J32" s="455"/>
      <c r="K32" s="455"/>
    </row>
    <row r="33" spans="2:11" x14ac:dyDescent="0.25">
      <c r="B33" s="64"/>
      <c r="C33" s="608"/>
      <c r="D33" s="455"/>
      <c r="E33" s="455"/>
      <c r="F33" s="455"/>
      <c r="G33" s="455"/>
      <c r="H33" s="455"/>
      <c r="I33" s="455"/>
      <c r="J33" s="455"/>
      <c r="K33" s="455"/>
    </row>
    <row r="34" spans="2:11" x14ac:dyDescent="0.25">
      <c r="B34" s="59" t="s">
        <v>81</v>
      </c>
      <c r="C34" s="59" t="s">
        <v>82</v>
      </c>
      <c r="D34" s="59" t="s">
        <v>548</v>
      </c>
      <c r="E34" s="41" t="s">
        <v>556</v>
      </c>
      <c r="F34" s="455"/>
      <c r="G34" s="455"/>
      <c r="H34" s="455"/>
      <c r="I34" s="455"/>
      <c r="J34" s="455"/>
      <c r="K34" s="455"/>
    </row>
    <row r="35" spans="2:11" x14ac:dyDescent="0.25">
      <c r="B35" s="496" t="s">
        <v>560</v>
      </c>
      <c r="C35" s="496" t="s">
        <v>560</v>
      </c>
      <c r="D35" s="174" t="str" cm="1">
        <f t="array" aca="1" ref="D35" ca="1">_xll.d.TestUtils_IsTrue(_xll.d.Formatting_Equal(B35,C35))</f>
        <v>Ok</v>
      </c>
      <c r="E35" s="174" t="s">
        <v>124</v>
      </c>
      <c r="F35" s="455"/>
      <c r="G35" s="455"/>
      <c r="H35" s="455"/>
      <c r="I35" s="455"/>
      <c r="J35" s="455"/>
      <c r="K35" s="455"/>
    </row>
    <row r="37" spans="2:11" s="455" customFormat="1" x14ac:dyDescent="0.25"/>
    <row r="38" spans="2:11" ht="15.75" x14ac:dyDescent="0.25">
      <c r="B38" s="4" t="s">
        <v>561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55"/>
      <c r="C39" s="455"/>
      <c r="D39" s="455"/>
      <c r="E39" s="455"/>
      <c r="F39" s="455"/>
      <c r="G39" s="455"/>
      <c r="H39" s="455"/>
      <c r="I39" s="455"/>
      <c r="J39" s="455"/>
      <c r="K39" s="455"/>
    </row>
    <row r="40" spans="2:11" x14ac:dyDescent="0.25">
      <c r="B40" s="59" t="s">
        <v>122</v>
      </c>
      <c r="C40" s="174" t="str" cm="1">
        <f t="array" aca="1" ref="C40" ca="1">_xll.d.TestUtils_And(D47:E47)</f>
        <v>Ok</v>
      </c>
      <c r="D40" s="455"/>
      <c r="E40" s="455"/>
      <c r="F40" s="455"/>
      <c r="G40" s="455"/>
      <c r="H40" s="455"/>
      <c r="I40" s="455"/>
      <c r="J40" s="455"/>
      <c r="K40" s="455"/>
    </row>
    <row r="41" spans="2:11" x14ac:dyDescent="0.25">
      <c r="B41" s="455"/>
      <c r="C41" s="455"/>
      <c r="D41" s="455"/>
      <c r="E41" s="455"/>
      <c r="F41" s="455"/>
      <c r="G41" s="455"/>
      <c r="H41" s="455"/>
      <c r="I41" s="455"/>
      <c r="J41" s="455"/>
      <c r="K41" s="455"/>
    </row>
    <row r="42" spans="2:11" x14ac:dyDescent="0.25">
      <c r="B42" s="199" t="s">
        <v>550</v>
      </c>
      <c r="C42" s="455"/>
      <c r="D42" s="609" t="s">
        <v>551</v>
      </c>
      <c r="E42" s="455"/>
      <c r="F42" s="455"/>
      <c r="G42" s="455"/>
      <c r="H42" s="455"/>
      <c r="I42" s="455"/>
      <c r="J42" s="455"/>
      <c r="K42" s="455"/>
    </row>
    <row r="43" spans="2:11" ht="15.75" x14ac:dyDescent="0.25">
      <c r="B43" s="616" t="s">
        <v>549</v>
      </c>
      <c r="C43" s="608"/>
      <c r="D43" s="4" t="s">
        <v>562</v>
      </c>
      <c r="E43" s="455"/>
      <c r="F43" s="455"/>
      <c r="G43" s="455"/>
      <c r="H43" s="455"/>
      <c r="I43" s="455"/>
      <c r="J43" s="455"/>
      <c r="K43" s="455"/>
    </row>
    <row r="44" spans="2:11" x14ac:dyDescent="0.25">
      <c r="B44" s="617" t="s">
        <v>109</v>
      </c>
      <c r="C44" s="608"/>
      <c r="D44" s="455"/>
      <c r="E44" s="455"/>
      <c r="F44" s="455"/>
      <c r="G44" s="455"/>
      <c r="H44" s="455"/>
      <c r="I44" s="455"/>
      <c r="J44" s="455"/>
      <c r="K44" s="455"/>
    </row>
    <row r="45" spans="2:11" x14ac:dyDescent="0.25">
      <c r="B45" s="64"/>
      <c r="C45" s="608"/>
      <c r="D45" s="455"/>
      <c r="E45" s="455"/>
      <c r="F45" s="455"/>
      <c r="G45" s="455"/>
      <c r="H45" s="455"/>
      <c r="I45" s="455"/>
      <c r="J45" s="455"/>
      <c r="K45" s="455"/>
    </row>
    <row r="46" spans="2:11" x14ac:dyDescent="0.25">
      <c r="B46" s="59" t="s">
        <v>81</v>
      </c>
      <c r="C46" s="59" t="s">
        <v>82</v>
      </c>
      <c r="D46" s="59" t="s">
        <v>548</v>
      </c>
      <c r="E46" s="41" t="s">
        <v>556</v>
      </c>
      <c r="F46" s="455"/>
      <c r="G46" s="455"/>
      <c r="H46" s="455"/>
      <c r="I46" s="455"/>
      <c r="J46" s="455"/>
      <c r="K46" s="455"/>
    </row>
    <row r="47" spans="2:11" x14ac:dyDescent="0.25">
      <c r="B47" s="496" t="s">
        <v>562</v>
      </c>
      <c r="C47" s="496" t="s">
        <v>562</v>
      </c>
      <c r="D47" s="174" t="str" cm="1">
        <f t="array" aca="1" ref="D47" ca="1">_xll.d.TestUtils_IsTrue(_xll.d.Formatting_Equal(B47,C47))</f>
        <v>Ok</v>
      </c>
      <c r="E47" s="174" t="s">
        <v>124</v>
      </c>
      <c r="F47" s="455"/>
      <c r="G47" s="455"/>
      <c r="H47" s="455"/>
      <c r="I47" s="455"/>
      <c r="J47" s="455"/>
      <c r="K47" s="455"/>
    </row>
    <row r="50" spans="2:11" ht="15.75" x14ac:dyDescent="0.25">
      <c r="B50" s="4" t="s">
        <v>563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55"/>
      <c r="C51" s="455"/>
      <c r="D51" s="455"/>
      <c r="E51" s="455"/>
      <c r="F51" s="455"/>
      <c r="G51" s="455"/>
      <c r="H51" s="455"/>
      <c r="I51" s="455"/>
      <c r="J51" s="455"/>
      <c r="K51" s="455"/>
    </row>
    <row r="52" spans="2:11" x14ac:dyDescent="0.25">
      <c r="B52" s="59" t="s">
        <v>122</v>
      </c>
      <c r="C52" s="174" t="str" cm="1">
        <f t="array" aca="1" ref="C52" ca="1">_xll.d.TestUtils_And(D59:E59)</f>
        <v>Ok</v>
      </c>
      <c r="D52" s="455"/>
      <c r="E52" s="455"/>
      <c r="F52" s="455"/>
      <c r="G52" s="455"/>
      <c r="H52" s="455"/>
      <c r="I52" s="455"/>
      <c r="J52" s="455"/>
      <c r="K52" s="455"/>
    </row>
    <row r="53" spans="2:11" x14ac:dyDescent="0.25">
      <c r="B53" s="455"/>
      <c r="C53" s="455"/>
      <c r="D53" s="455"/>
      <c r="E53" s="455"/>
      <c r="F53" s="455"/>
      <c r="G53" s="455"/>
      <c r="H53" s="455"/>
      <c r="I53" s="455"/>
      <c r="J53" s="455"/>
      <c r="K53" s="455"/>
    </row>
    <row r="54" spans="2:11" x14ac:dyDescent="0.25">
      <c r="B54" s="199" t="s">
        <v>550</v>
      </c>
      <c r="C54" s="455"/>
      <c r="D54" s="609" t="s">
        <v>551</v>
      </c>
      <c r="E54" s="455"/>
      <c r="F54" s="455"/>
      <c r="G54" s="455"/>
      <c r="H54" s="455"/>
      <c r="I54" s="455"/>
      <c r="J54" s="455"/>
      <c r="K54" s="455"/>
    </row>
    <row r="55" spans="2:11" ht="15.75" x14ac:dyDescent="0.25">
      <c r="B55" s="616" t="s">
        <v>549</v>
      </c>
      <c r="C55" s="608"/>
      <c r="D55" s="4" t="s">
        <v>564</v>
      </c>
      <c r="E55" s="4"/>
      <c r="F55" s="455"/>
      <c r="G55" s="455"/>
      <c r="H55" s="455"/>
      <c r="I55" s="455"/>
      <c r="J55" s="455"/>
      <c r="K55" s="455"/>
    </row>
    <row r="56" spans="2:11" x14ac:dyDescent="0.25">
      <c r="B56" s="617" t="s">
        <v>109</v>
      </c>
      <c r="C56" s="608"/>
      <c r="D56" s="455"/>
      <c r="E56" s="455"/>
      <c r="F56" s="455"/>
      <c r="G56" s="455"/>
      <c r="H56" s="455"/>
      <c r="I56" s="455"/>
      <c r="J56" s="455"/>
      <c r="K56" s="455"/>
    </row>
    <row r="57" spans="2:11" x14ac:dyDescent="0.25">
      <c r="B57" s="64"/>
      <c r="C57" s="608"/>
      <c r="D57" s="455"/>
      <c r="E57" s="455"/>
      <c r="F57" s="455"/>
      <c r="G57" s="455"/>
      <c r="H57" s="455"/>
      <c r="I57" s="455"/>
      <c r="J57" s="455"/>
      <c r="K57" s="455"/>
    </row>
    <row r="58" spans="2:11" x14ac:dyDescent="0.25">
      <c r="B58" s="59" t="s">
        <v>81</v>
      </c>
      <c r="C58" s="59" t="s">
        <v>82</v>
      </c>
      <c r="D58" s="59" t="s">
        <v>548</v>
      </c>
      <c r="E58" s="41" t="s">
        <v>556</v>
      </c>
      <c r="F58" s="455"/>
      <c r="G58" s="455"/>
      <c r="H58" s="455"/>
      <c r="I58" s="455"/>
      <c r="J58" s="455"/>
      <c r="K58" s="455"/>
    </row>
    <row r="59" spans="2:11" x14ac:dyDescent="0.25">
      <c r="B59" s="496" t="s">
        <v>564</v>
      </c>
      <c r="C59" s="496" t="s">
        <v>564</v>
      </c>
      <c r="D59" s="174" t="str" cm="1">
        <f t="array" aca="1" ref="D59" ca="1">_xll.d.TestUtils_IsTrue(_xll.d.Formatting_Equal(B59,C59))</f>
        <v>Ok</v>
      </c>
      <c r="E59" s="174" t="s">
        <v>124</v>
      </c>
      <c r="F59" s="455"/>
      <c r="G59" s="455"/>
      <c r="H59" s="455"/>
      <c r="I59" s="455"/>
      <c r="J59" s="455"/>
      <c r="K59" s="455"/>
    </row>
    <row r="62" spans="2:11" ht="15.75" x14ac:dyDescent="0.25">
      <c r="B62" s="4" t="s">
        <v>567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55"/>
      <c r="C63" s="455"/>
      <c r="D63" s="455"/>
      <c r="E63" s="455"/>
      <c r="F63" s="455"/>
      <c r="G63" s="455"/>
      <c r="H63" s="455"/>
      <c r="I63" s="455"/>
      <c r="J63" s="455"/>
      <c r="K63" s="455"/>
    </row>
    <row r="64" spans="2:11" x14ac:dyDescent="0.25">
      <c r="B64" s="59" t="s">
        <v>122</v>
      </c>
      <c r="C64" s="174" t="str" cm="1">
        <f t="array" aca="1" ref="C64" ca="1">_xll.d.TestUtils_And(D71:E71)</f>
        <v>Ok</v>
      </c>
      <c r="D64" s="455"/>
      <c r="E64" s="455"/>
      <c r="F64" s="455"/>
      <c r="G64" s="455"/>
      <c r="H64" s="455"/>
      <c r="I64" s="455"/>
      <c r="J64" s="455"/>
      <c r="K64" s="455"/>
    </row>
    <row r="65" spans="2:11" x14ac:dyDescent="0.25">
      <c r="B65" s="455"/>
      <c r="C65" s="455"/>
      <c r="D65" s="455"/>
      <c r="E65" s="455"/>
      <c r="F65" s="455"/>
      <c r="G65" s="455"/>
      <c r="H65" s="455"/>
      <c r="I65" s="455"/>
      <c r="J65" s="455"/>
      <c r="K65" s="455"/>
    </row>
    <row r="66" spans="2:11" x14ac:dyDescent="0.25">
      <c r="B66" s="199" t="s">
        <v>550</v>
      </c>
      <c r="C66" s="455"/>
      <c r="D66" s="609" t="s">
        <v>551</v>
      </c>
      <c r="E66" s="455"/>
      <c r="F66" s="455"/>
      <c r="G66" s="455"/>
      <c r="H66" s="455"/>
      <c r="I66" s="455"/>
      <c r="J66" s="455"/>
      <c r="K66" s="455"/>
    </row>
    <row r="67" spans="2:11" ht="15.75" x14ac:dyDescent="0.25">
      <c r="B67" s="616" t="s">
        <v>549</v>
      </c>
      <c r="C67" s="608"/>
      <c r="D67" s="4" t="s">
        <v>565</v>
      </c>
      <c r="E67" s="4"/>
      <c r="F67" s="455"/>
      <c r="G67" s="455"/>
      <c r="H67" s="455"/>
      <c r="I67" s="455"/>
      <c r="J67" s="455"/>
      <c r="K67" s="455"/>
    </row>
    <row r="68" spans="2:11" ht="15.75" x14ac:dyDescent="0.25">
      <c r="B68" s="617" t="s">
        <v>109</v>
      </c>
      <c r="C68" s="608"/>
      <c r="D68" s="4" t="s">
        <v>566</v>
      </c>
      <c r="E68" s="4"/>
      <c r="F68" s="455"/>
      <c r="G68" s="455"/>
      <c r="H68" s="455"/>
      <c r="I68" s="455"/>
      <c r="J68" s="455"/>
      <c r="K68" s="455"/>
    </row>
    <row r="69" spans="2:11" x14ac:dyDescent="0.25">
      <c r="B69" s="64"/>
      <c r="C69" s="608"/>
      <c r="D69" s="455"/>
      <c r="E69" s="455"/>
      <c r="F69" s="455"/>
      <c r="G69" s="455"/>
      <c r="H69" s="455"/>
      <c r="I69" s="455"/>
      <c r="J69" s="455"/>
      <c r="K69" s="455"/>
    </row>
    <row r="70" spans="2:11" x14ac:dyDescent="0.25">
      <c r="B70" s="59" t="s">
        <v>81</v>
      </c>
      <c r="C70" s="59" t="s">
        <v>82</v>
      </c>
      <c r="D70" s="59" t="s">
        <v>548</v>
      </c>
      <c r="E70" s="41" t="s">
        <v>556</v>
      </c>
      <c r="F70" s="455"/>
      <c r="G70" s="455"/>
      <c r="H70" s="455"/>
      <c r="I70" s="455"/>
      <c r="J70" s="455"/>
      <c r="K70" s="455"/>
    </row>
    <row r="71" spans="2:11" x14ac:dyDescent="0.25">
      <c r="B71" s="496" t="s">
        <v>565</v>
      </c>
      <c r="C71" s="496" t="s">
        <v>565</v>
      </c>
      <c r="D71" s="174" t="str" cm="1">
        <f t="array" aca="1" ref="D71" ca="1">_xll.d.TestUtils_IsTrue(_xll.d.Formatting_Equal(B71,C71))</f>
        <v>Ok</v>
      </c>
      <c r="E71" s="174" t="s">
        <v>124</v>
      </c>
      <c r="F71" s="455"/>
      <c r="G71" s="455"/>
      <c r="H71" s="455"/>
      <c r="I71" s="455"/>
      <c r="J71" s="455"/>
      <c r="K71" s="455"/>
    </row>
    <row r="72" spans="2:11" x14ac:dyDescent="0.25">
      <c r="B72" s="496" t="s">
        <v>566</v>
      </c>
      <c r="C72" s="496" t="s">
        <v>566</v>
      </c>
      <c r="D72" s="174" t="str" cm="1">
        <f t="array" aca="1" ref="D72" ca="1">_xll.d.TestUtils_IsTrue(_xll.d.Formatting_Equal(B72,C72))</f>
        <v>Ok</v>
      </c>
      <c r="E72" s="174" t="s">
        <v>124</v>
      </c>
    </row>
    <row r="73" spans="2:11" x14ac:dyDescent="0.25">
      <c r="F73" s="618"/>
      <c r="G73" s="618"/>
    </row>
    <row r="74" spans="2:11" x14ac:dyDescent="0.25">
      <c r="G74" s="9"/>
    </row>
    <row r="75" spans="2:11" x14ac:dyDescent="0.25">
      <c r="G75" s="618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18" t="s">
        <v>403</v>
      </c>
    </row>
    <row r="2" spans="2:23" ht="26.25" x14ac:dyDescent="0.4">
      <c r="B2" s="75" t="s">
        <v>169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155</v>
      </c>
      <c r="C4" s="174" t="str" cm="1">
        <f t="array" ref="C4">_xll.d.TestUtils_And(C7:C16)</f>
        <v>Ok</v>
      </c>
    </row>
    <row r="6" spans="2:23" x14ac:dyDescent="0.25">
      <c r="B6" s="199" t="s">
        <v>9</v>
      </c>
      <c r="C6" s="200" t="s">
        <v>10</v>
      </c>
    </row>
    <row r="7" spans="2:23" x14ac:dyDescent="0.25">
      <c r="B7" s="209" t="s">
        <v>105</v>
      </c>
      <c r="C7" s="174" t="str">
        <f>C21</f>
        <v>Ok</v>
      </c>
      <c r="F7" s="455"/>
      <c r="G7" s="455"/>
      <c r="H7" s="455"/>
      <c r="I7" s="455"/>
      <c r="J7" s="455"/>
    </row>
    <row r="8" spans="2:23" x14ac:dyDescent="0.25">
      <c r="B8" s="209" t="s">
        <v>107</v>
      </c>
      <c r="C8" s="174" t="str">
        <f>C43</f>
        <v>Ok</v>
      </c>
      <c r="F8" s="455"/>
      <c r="G8" s="455"/>
      <c r="H8" s="455"/>
      <c r="I8" s="455"/>
      <c r="J8" s="455"/>
    </row>
    <row r="9" spans="2:23" x14ac:dyDescent="0.25">
      <c r="B9" s="209" t="s">
        <v>108</v>
      </c>
      <c r="C9" s="174" t="str">
        <f>C65</f>
        <v>Ok</v>
      </c>
      <c r="F9" s="455"/>
      <c r="G9" s="455"/>
      <c r="H9" s="455"/>
      <c r="I9" s="455"/>
      <c r="J9" s="455"/>
    </row>
    <row r="10" spans="2:23" x14ac:dyDescent="0.25">
      <c r="B10" s="209" t="s">
        <v>111</v>
      </c>
      <c r="C10" s="174" t="str">
        <f>C87</f>
        <v>Ok</v>
      </c>
      <c r="F10" s="455"/>
      <c r="G10" s="455"/>
      <c r="H10" s="455"/>
      <c r="I10" s="455"/>
      <c r="J10" s="455"/>
    </row>
    <row r="11" spans="2:23" x14ac:dyDescent="0.25">
      <c r="B11" s="209" t="s">
        <v>114</v>
      </c>
      <c r="C11" s="174" t="str">
        <f>C109</f>
        <v>Ok</v>
      </c>
      <c r="F11" s="455"/>
      <c r="G11" s="455"/>
      <c r="H11" s="455"/>
      <c r="I11" s="455"/>
      <c r="J11" s="455"/>
    </row>
    <row r="12" spans="2:23" x14ac:dyDescent="0.25">
      <c r="B12" s="209" t="s">
        <v>116</v>
      </c>
      <c r="C12" s="174" t="str">
        <f>C131</f>
        <v>Ok</v>
      </c>
      <c r="F12" s="455"/>
      <c r="G12" s="455"/>
      <c r="H12" s="455"/>
      <c r="I12" s="455"/>
      <c r="J12" s="455"/>
    </row>
    <row r="13" spans="2:23" x14ac:dyDescent="0.25">
      <c r="B13" s="209" t="s">
        <v>158</v>
      </c>
      <c r="C13" s="174" t="str">
        <f>C153</f>
        <v>Ok</v>
      </c>
      <c r="F13" s="455"/>
      <c r="G13" s="455"/>
      <c r="H13" s="455"/>
      <c r="I13" s="455"/>
      <c r="J13" s="455"/>
    </row>
    <row r="14" spans="2:23" x14ac:dyDescent="0.25">
      <c r="B14" s="209" t="s">
        <v>163</v>
      </c>
      <c r="C14" s="174" t="str">
        <f>C175</f>
        <v>Ok</v>
      </c>
      <c r="F14" s="455"/>
      <c r="G14" s="455"/>
      <c r="H14" s="455"/>
      <c r="I14" s="455"/>
      <c r="J14" s="455"/>
    </row>
    <row r="15" spans="2:23" x14ac:dyDescent="0.25">
      <c r="B15" s="209" t="s">
        <v>168</v>
      </c>
      <c r="C15" s="174" t="str">
        <f>C197</f>
        <v>Ok</v>
      </c>
    </row>
    <row r="16" spans="2:23" x14ac:dyDescent="0.25">
      <c r="B16" s="209" t="s">
        <v>185</v>
      </c>
      <c r="C16" s="174" t="str">
        <f>C219</f>
        <v>Ok</v>
      </c>
    </row>
    <row r="17" spans="2:23" x14ac:dyDescent="0.25">
      <c r="B17" s="209"/>
    </row>
    <row r="19" spans="2:23" ht="18.75" x14ac:dyDescent="0.3">
      <c r="B19" s="3" t="s">
        <v>105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122</v>
      </c>
      <c r="C21" s="174" t="str" cm="1">
        <f t="array" ref="C21">_xll.d.TestUtils_And(C27,F27,K27,P27)</f>
        <v>Ok</v>
      </c>
    </row>
    <row r="23" spans="2:23" x14ac:dyDescent="0.25">
      <c r="B23" t="s">
        <v>176</v>
      </c>
    </row>
    <row r="25" spans="2:23" ht="15.75" x14ac:dyDescent="0.25">
      <c r="B25" s="4" t="s">
        <v>125</v>
      </c>
      <c r="C25" s="4"/>
      <c r="E25" s="4" t="s">
        <v>126</v>
      </c>
      <c r="F25" s="4"/>
      <c r="G25" s="4"/>
      <c r="H25" s="4"/>
      <c r="J25" s="4" t="s">
        <v>127</v>
      </c>
      <c r="K25" s="4"/>
      <c r="L25" s="4"/>
      <c r="M25" s="4"/>
      <c r="O25" s="4" t="s">
        <v>142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122</v>
      </c>
      <c r="C27" s="174" t="str" cm="1">
        <f t="array" ref="C27">_xll.d.TestUtils_IsTrue(C32="OK")</f>
        <v>Ok</v>
      </c>
      <c r="E27" s="59" t="s">
        <v>122</v>
      </c>
      <c r="F27" s="174" t="str" cm="1">
        <f t="array" ref="F27">_xll.d.TestUtils_IsTrue(E35="OK")</f>
        <v>Ok</v>
      </c>
      <c r="J27" s="59" t="s">
        <v>122</v>
      </c>
      <c r="K27" s="174" t="str" cm="1">
        <f t="array" ref="K27">_xll.d.TestUtils_IsTrue(J32="OK")</f>
        <v>Ok</v>
      </c>
      <c r="O27" s="59" t="s">
        <v>122</v>
      </c>
      <c r="P27" s="174" t="str" cm="1">
        <f t="array" ref="P27">_xll.d.TestUtils_IsTrue(O32="OK")</f>
        <v>Ok</v>
      </c>
    </row>
    <row r="29" spans="2:23" x14ac:dyDescent="0.25">
      <c r="B29" s="191" t="s">
        <v>130</v>
      </c>
      <c r="C29" s="175" t="s">
        <v>170</v>
      </c>
      <c r="E29" s="191" t="s">
        <v>130</v>
      </c>
      <c r="F29" s="175" t="s">
        <v>170</v>
      </c>
      <c r="J29" s="191" t="s">
        <v>130</v>
      </c>
      <c r="K29" s="175" t="s">
        <v>170</v>
      </c>
      <c r="O29" s="191" t="s">
        <v>130</v>
      </c>
      <c r="P29" s="175" t="s">
        <v>170</v>
      </c>
    </row>
    <row r="30" spans="2:23" x14ac:dyDescent="0.25">
      <c r="B30" s="175"/>
    </row>
    <row r="31" spans="2:23" x14ac:dyDescent="0.25">
      <c r="B31" s="192" t="s">
        <v>128</v>
      </c>
      <c r="C31" s="192" t="s">
        <v>129</v>
      </c>
      <c r="E31" s="192" t="s">
        <v>128</v>
      </c>
      <c r="J31" s="192" t="s">
        <v>129</v>
      </c>
      <c r="O31" s="192" t="s">
        <v>129</v>
      </c>
    </row>
    <row r="32" spans="2:23" x14ac:dyDescent="0.25">
      <c r="B32" s="175" t="s">
        <v>124</v>
      </c>
      <c r="C32" s="175" t="str" cm="1">
        <f t="array" ref="C32">_xll.d.TestUtils_And(B32:B35)</f>
        <v>Ok</v>
      </c>
      <c r="E32" s="175" t="s">
        <v>124</v>
      </c>
      <c r="F32" s="175" t="s">
        <v>124</v>
      </c>
      <c r="G32" s="175" t="s">
        <v>124</v>
      </c>
      <c r="H32" s="175" t="s">
        <v>124</v>
      </c>
      <c r="J32" s="175" t="str" cm="1">
        <f t="array" ref="J32">_xll.d.TestUtils_And(J35:M38)</f>
        <v>Ok</v>
      </c>
      <c r="O32" s="175" t="str" cm="1">
        <f t="array" ref="O32">_xll.d.TestUtils_And(O35,O37:Q37,S35:S38,U35:W38)</f>
        <v>Ok</v>
      </c>
    </row>
    <row r="33" spans="2:23" x14ac:dyDescent="0.25">
      <c r="B33" s="175" t="s">
        <v>124</v>
      </c>
    </row>
    <row r="34" spans="2:23" x14ac:dyDescent="0.25">
      <c r="B34" s="175" t="s">
        <v>124</v>
      </c>
      <c r="E34" s="192" t="s">
        <v>129</v>
      </c>
      <c r="J34" s="68" t="s">
        <v>128</v>
      </c>
      <c r="O34" s="68" t="s">
        <v>128</v>
      </c>
    </row>
    <row r="35" spans="2:23" x14ac:dyDescent="0.25">
      <c r="B35" s="175" t="s">
        <v>124</v>
      </c>
      <c r="E35" s="175" t="str" cm="1">
        <f t="array" ref="E35">_xll.d.TestUtils_And(E32:H32)</f>
        <v>Ok</v>
      </c>
      <c r="J35" s="175" t="s">
        <v>124</v>
      </c>
      <c r="K35" s="175" t="s">
        <v>124</v>
      </c>
      <c r="L35" s="175" t="s">
        <v>124</v>
      </c>
      <c r="M35" s="175" t="s">
        <v>124</v>
      </c>
      <c r="O35" s="175" t="s">
        <v>124</v>
      </c>
      <c r="R35" s="175"/>
      <c r="S35" s="175" t="s">
        <v>124</v>
      </c>
      <c r="U35" s="175" t="s">
        <v>124</v>
      </c>
      <c r="V35" s="175" t="s">
        <v>124</v>
      </c>
      <c r="W35" s="175" t="s">
        <v>124</v>
      </c>
    </row>
    <row r="36" spans="2:23" x14ac:dyDescent="0.25">
      <c r="J36" s="175" t="s">
        <v>124</v>
      </c>
      <c r="K36" s="175" t="s">
        <v>124</v>
      </c>
      <c r="L36" s="175" t="s">
        <v>124</v>
      </c>
      <c r="M36" s="175" t="s">
        <v>124</v>
      </c>
      <c r="S36" s="175" t="s">
        <v>124</v>
      </c>
      <c r="U36" s="175" t="s">
        <v>124</v>
      </c>
      <c r="V36" s="175" t="s">
        <v>124</v>
      </c>
      <c r="W36" s="175" t="s">
        <v>124</v>
      </c>
    </row>
    <row r="37" spans="2:23" x14ac:dyDescent="0.25">
      <c r="J37" s="175" t="s">
        <v>124</v>
      </c>
      <c r="K37" s="175" t="s">
        <v>124</v>
      </c>
      <c r="L37" s="175" t="s">
        <v>124</v>
      </c>
      <c r="M37" s="175" t="s">
        <v>124</v>
      </c>
      <c r="O37" s="175" t="s">
        <v>124</v>
      </c>
      <c r="P37" s="175" t="s">
        <v>124</v>
      </c>
      <c r="Q37" s="175" t="s">
        <v>124</v>
      </c>
      <c r="S37" s="175" t="s">
        <v>124</v>
      </c>
      <c r="U37" s="175" t="s">
        <v>124</v>
      </c>
      <c r="V37" s="175" t="s">
        <v>124</v>
      </c>
      <c r="W37" s="175" t="s">
        <v>124</v>
      </c>
    </row>
    <row r="38" spans="2:23" x14ac:dyDescent="0.25">
      <c r="C38" s="174"/>
      <c r="J38" s="175" t="s">
        <v>124</v>
      </c>
      <c r="K38" s="175" t="s">
        <v>124</v>
      </c>
      <c r="L38" s="175" t="s">
        <v>124</v>
      </c>
      <c r="M38" s="175" t="s">
        <v>124</v>
      </c>
      <c r="S38" s="175" t="s">
        <v>124</v>
      </c>
      <c r="U38" s="175" t="s">
        <v>124</v>
      </c>
      <c r="V38" s="175" t="s">
        <v>124</v>
      </c>
      <c r="W38" s="175" t="s">
        <v>124</v>
      </c>
    </row>
    <row r="39" spans="2:23" x14ac:dyDescent="0.25">
      <c r="C39" s="174"/>
    </row>
    <row r="41" spans="2:23" ht="18.75" x14ac:dyDescent="0.3">
      <c r="B41" s="3" t="s">
        <v>107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122</v>
      </c>
      <c r="C43" s="174" t="str" cm="1">
        <f t="array" ref="C43">_xll.d.TestUtils_And(C49,F49,K49,P49)</f>
        <v>Ok</v>
      </c>
    </row>
    <row r="45" spans="2:23" x14ac:dyDescent="0.25">
      <c r="B45" t="s">
        <v>177</v>
      </c>
    </row>
    <row r="47" spans="2:23" ht="15.75" x14ac:dyDescent="0.25">
      <c r="B47" s="4" t="s">
        <v>131</v>
      </c>
      <c r="C47" s="4"/>
      <c r="E47" s="4" t="s">
        <v>132</v>
      </c>
      <c r="F47" s="4"/>
      <c r="G47" s="4"/>
      <c r="H47" s="4"/>
      <c r="J47" s="4" t="s">
        <v>133</v>
      </c>
      <c r="K47" s="4"/>
      <c r="L47" s="4"/>
      <c r="M47" s="4"/>
      <c r="O47" s="4" t="s">
        <v>143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122</v>
      </c>
      <c r="C49" s="174" t="str" cm="1">
        <f t="array" ref="C49">_xll.d.TestUtils_IsTrue(C54="ERROR")</f>
        <v>Ok</v>
      </c>
      <c r="E49" s="59" t="s">
        <v>122</v>
      </c>
      <c r="F49" s="174" t="str" cm="1">
        <f t="array" ref="F49">_xll.d.TestUtils_IsTrue(E54="ERROR")</f>
        <v>Ok</v>
      </c>
      <c r="J49" s="59" t="s">
        <v>122</v>
      </c>
      <c r="K49" s="174" t="str" cm="1">
        <f t="array" ref="K49">_xll.d.TestUtils_IsTrue(J54="ERROR")</f>
        <v>Ok</v>
      </c>
      <c r="O49" s="59" t="s">
        <v>122</v>
      </c>
      <c r="P49" s="174" t="str" cm="1">
        <f t="array" ref="P49">_xll.d.TestUtils_IsTrue(O54="ERROR")</f>
        <v>Ok</v>
      </c>
    </row>
    <row r="51" spans="2:23" x14ac:dyDescent="0.25">
      <c r="B51" s="191" t="s">
        <v>130</v>
      </c>
      <c r="C51" s="175" t="s">
        <v>170</v>
      </c>
      <c r="E51" s="191" t="s">
        <v>130</v>
      </c>
      <c r="F51" s="175" t="s">
        <v>170</v>
      </c>
      <c r="J51" s="191" t="s">
        <v>130</v>
      </c>
      <c r="K51" s="175" t="s">
        <v>170</v>
      </c>
      <c r="O51" s="191" t="s">
        <v>130</v>
      </c>
      <c r="P51" s="175" t="s">
        <v>170</v>
      </c>
    </row>
    <row r="52" spans="2:23" x14ac:dyDescent="0.25">
      <c r="B52" s="175"/>
    </row>
    <row r="53" spans="2:23" x14ac:dyDescent="0.25">
      <c r="B53" s="192" t="s">
        <v>128</v>
      </c>
      <c r="C53" s="192" t="s">
        <v>129</v>
      </c>
      <c r="E53" s="192" t="s">
        <v>129</v>
      </c>
      <c r="J53" s="192" t="s">
        <v>129</v>
      </c>
      <c r="O53" s="192" t="s">
        <v>129</v>
      </c>
    </row>
    <row r="54" spans="2:23" x14ac:dyDescent="0.25">
      <c r="B54" s="175" t="s">
        <v>124</v>
      </c>
      <c r="C54" s="175" t="str" cm="1">
        <f t="array" ref="C54">_xll.d.TestUtils_And(B54:B57)</f>
        <v>Error</v>
      </c>
      <c r="E54" s="175" t="str" cm="1">
        <f t="array" ref="E54">_xll.d.TestUtils_And(E57:H57)</f>
        <v>Error</v>
      </c>
      <c r="J54" s="175" t="str" cm="1">
        <f t="array" ref="J54">_xll.d.TestUtils_And(J57:M60)</f>
        <v>Error</v>
      </c>
      <c r="O54" s="175" t="str" cm="1">
        <f t="array" ref="O54">_xll.d.TestUtils_And(O57,O59:Q59,S57:S60,U57:W60)</f>
        <v>Error</v>
      </c>
    </row>
    <row r="55" spans="2:23" x14ac:dyDescent="0.25">
      <c r="B55" s="175" t="s">
        <v>124</v>
      </c>
    </row>
    <row r="56" spans="2:23" x14ac:dyDescent="0.25">
      <c r="B56" s="175" t="s">
        <v>134</v>
      </c>
      <c r="E56" s="192" t="s">
        <v>128</v>
      </c>
      <c r="J56" s="68" t="s">
        <v>128</v>
      </c>
      <c r="O56" s="68" t="s">
        <v>128</v>
      </c>
    </row>
    <row r="57" spans="2:23" x14ac:dyDescent="0.25">
      <c r="B57" s="175" t="s">
        <v>124</v>
      </c>
      <c r="E57" s="175" t="s">
        <v>124</v>
      </c>
      <c r="F57" s="175" t="s">
        <v>134</v>
      </c>
      <c r="G57" s="175" t="s">
        <v>124</v>
      </c>
      <c r="H57" s="175" t="s">
        <v>124</v>
      </c>
      <c r="J57" s="175" t="s">
        <v>124</v>
      </c>
      <c r="K57" s="175" t="s">
        <v>124</v>
      </c>
      <c r="L57" s="175" t="s">
        <v>124</v>
      </c>
      <c r="M57" s="175" t="s">
        <v>124</v>
      </c>
      <c r="O57" s="175" t="s">
        <v>124</v>
      </c>
      <c r="R57" s="175"/>
      <c r="S57" s="175" t="s">
        <v>124</v>
      </c>
      <c r="U57" s="175" t="s">
        <v>124</v>
      </c>
      <c r="V57" s="175" t="s">
        <v>124</v>
      </c>
      <c r="W57" s="175" t="s">
        <v>124</v>
      </c>
    </row>
    <row r="58" spans="2:23" x14ac:dyDescent="0.25">
      <c r="J58" s="175" t="s">
        <v>124</v>
      </c>
      <c r="K58" s="175" t="s">
        <v>124</v>
      </c>
      <c r="L58" s="175" t="s">
        <v>124</v>
      </c>
      <c r="M58" s="175" t="s">
        <v>124</v>
      </c>
      <c r="S58" s="175" t="s">
        <v>124</v>
      </c>
      <c r="U58" s="175" t="s">
        <v>124</v>
      </c>
      <c r="V58" s="175" t="s">
        <v>124</v>
      </c>
      <c r="W58" s="175" t="s">
        <v>124</v>
      </c>
    </row>
    <row r="59" spans="2:23" x14ac:dyDescent="0.25">
      <c r="J59" s="175" t="s">
        <v>124</v>
      </c>
      <c r="K59" s="175" t="s">
        <v>124</v>
      </c>
      <c r="L59" s="175" t="s">
        <v>134</v>
      </c>
      <c r="M59" s="175" t="s">
        <v>124</v>
      </c>
      <c r="O59" s="175" t="s">
        <v>124</v>
      </c>
      <c r="P59" s="175" t="s">
        <v>134</v>
      </c>
      <c r="Q59" s="175" t="s">
        <v>124</v>
      </c>
      <c r="S59" s="175" t="s">
        <v>124</v>
      </c>
      <c r="U59" s="175" t="s">
        <v>124</v>
      </c>
      <c r="V59" s="175" t="s">
        <v>124</v>
      </c>
      <c r="W59" s="175" t="s">
        <v>124</v>
      </c>
    </row>
    <row r="60" spans="2:23" x14ac:dyDescent="0.25">
      <c r="C60" s="174"/>
      <c r="J60" s="175" t="s">
        <v>124</v>
      </c>
      <c r="K60" s="175" t="s">
        <v>124</v>
      </c>
      <c r="L60" s="175" t="s">
        <v>124</v>
      </c>
      <c r="M60" s="175" t="s">
        <v>124</v>
      </c>
      <c r="S60" s="175" t="s">
        <v>124</v>
      </c>
      <c r="U60" s="175" t="s">
        <v>124</v>
      </c>
      <c r="V60" s="175" t="s">
        <v>124</v>
      </c>
      <c r="W60" s="175" t="s">
        <v>124</v>
      </c>
    </row>
    <row r="63" spans="2:23" ht="18.75" x14ac:dyDescent="0.3">
      <c r="B63" s="3" t="s">
        <v>108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122</v>
      </c>
      <c r="C65" s="174" t="str" cm="1">
        <f t="array" ref="C65">_xll.d.TestUtils_And(C71,F71,K71,P71)</f>
        <v>Ok</v>
      </c>
    </row>
    <row r="67" spans="2:23" x14ac:dyDescent="0.25">
      <c r="B67" t="s">
        <v>178</v>
      </c>
    </row>
    <row r="69" spans="2:23" s="64" customFormat="1" ht="15.75" x14ac:dyDescent="0.25">
      <c r="B69" s="4" t="s">
        <v>135</v>
      </c>
      <c r="C69" s="4"/>
      <c r="E69" s="4" t="s">
        <v>136</v>
      </c>
      <c r="F69" s="4"/>
      <c r="G69" s="4"/>
      <c r="H69" s="4"/>
      <c r="J69" s="4" t="s">
        <v>137</v>
      </c>
      <c r="K69" s="4"/>
      <c r="L69" s="4"/>
      <c r="M69" s="4"/>
      <c r="O69" s="4" t="s">
        <v>144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122</v>
      </c>
      <c r="C71" s="174" t="str" cm="1">
        <f t="array" ref="C71">_xll.d.TestUtils_IsTrue(C76="WARNING")</f>
        <v>Ok</v>
      </c>
      <c r="E71" s="59" t="s">
        <v>122</v>
      </c>
      <c r="F71" s="174" t="str" cm="1">
        <f t="array" ref="F71">_xll.d.TestUtils_IsTrue(E76="WARNING")</f>
        <v>Ok</v>
      </c>
      <c r="J71" s="59" t="s">
        <v>122</v>
      </c>
      <c r="K71" s="174" t="str" cm="1">
        <f t="array" ref="K71">_xll.d.TestUtils_IsTrue(J76="WARNING")</f>
        <v>Ok</v>
      </c>
      <c r="O71" s="59" t="s">
        <v>122</v>
      </c>
      <c r="P71" s="174" t="str" cm="1">
        <f t="array" ref="P71">_xll.d.TestUtils_IsTrue(O76="WARNING")</f>
        <v>Ok</v>
      </c>
    </row>
    <row r="73" spans="2:23" x14ac:dyDescent="0.25">
      <c r="B73" s="191" t="s">
        <v>130</v>
      </c>
      <c r="C73" s="175" t="s">
        <v>170</v>
      </c>
      <c r="E73" s="191" t="s">
        <v>130</v>
      </c>
      <c r="F73" s="175" t="s">
        <v>170</v>
      </c>
      <c r="J73" s="191" t="s">
        <v>130</v>
      </c>
      <c r="K73" s="175" t="s">
        <v>170</v>
      </c>
      <c r="O73" s="191" t="s">
        <v>130</v>
      </c>
      <c r="P73" s="175" t="s">
        <v>170</v>
      </c>
    </row>
    <row r="74" spans="2:23" x14ac:dyDescent="0.25">
      <c r="B74" s="175"/>
    </row>
    <row r="75" spans="2:23" x14ac:dyDescent="0.25">
      <c r="B75" s="192" t="s">
        <v>128</v>
      </c>
      <c r="C75" s="192" t="s">
        <v>129</v>
      </c>
      <c r="E75" s="192" t="s">
        <v>129</v>
      </c>
      <c r="J75" s="192" t="s">
        <v>129</v>
      </c>
      <c r="O75" s="192" t="s">
        <v>129</v>
      </c>
    </row>
    <row r="76" spans="2:23" x14ac:dyDescent="0.25">
      <c r="B76" s="175" t="s">
        <v>124</v>
      </c>
      <c r="C76" s="175" t="str" cm="1">
        <f t="array" ref="C76">_xll.d.TestUtils_And(B76:B79)</f>
        <v>Warning</v>
      </c>
      <c r="E76" s="175" t="str" cm="1">
        <f t="array" ref="E76">_xll.d.TestUtils_And(E79:H79)</f>
        <v>Warning</v>
      </c>
      <c r="J76" s="175" t="str" cm="1">
        <f t="array" ref="J76">_xll.d.TestUtils_And(J79:M82)</f>
        <v>Warning</v>
      </c>
      <c r="O76" s="175" t="str" cm="1">
        <f t="array" ref="O76">_xll.d.TestUtils_And(O79,O81:Q81,S79:S82,U79:W82)</f>
        <v>Warning</v>
      </c>
    </row>
    <row r="77" spans="2:23" x14ac:dyDescent="0.25">
      <c r="B77" s="175" t="s">
        <v>124</v>
      </c>
    </row>
    <row r="78" spans="2:23" x14ac:dyDescent="0.25">
      <c r="B78" s="175" t="s">
        <v>138</v>
      </c>
      <c r="E78" s="192" t="s">
        <v>128</v>
      </c>
      <c r="J78" s="68" t="s">
        <v>128</v>
      </c>
      <c r="O78" s="68" t="s">
        <v>128</v>
      </c>
    </row>
    <row r="79" spans="2:23" x14ac:dyDescent="0.25">
      <c r="B79" s="175" t="s">
        <v>124</v>
      </c>
      <c r="E79" s="175" t="s">
        <v>124</v>
      </c>
      <c r="F79" s="175" t="s">
        <v>138</v>
      </c>
      <c r="G79" s="175" t="s">
        <v>124</v>
      </c>
      <c r="H79" s="175" t="s">
        <v>124</v>
      </c>
      <c r="J79" s="175" t="s">
        <v>124</v>
      </c>
      <c r="K79" s="175" t="s">
        <v>124</v>
      </c>
      <c r="L79" s="175" t="s">
        <v>124</v>
      </c>
      <c r="M79" s="175" t="s">
        <v>124</v>
      </c>
      <c r="O79" s="175" t="s">
        <v>124</v>
      </c>
      <c r="R79" s="175"/>
      <c r="S79" s="175" t="s">
        <v>124</v>
      </c>
      <c r="U79" s="175" t="s">
        <v>124</v>
      </c>
      <c r="V79" s="175" t="s">
        <v>124</v>
      </c>
      <c r="W79" s="175" t="s">
        <v>124</v>
      </c>
    </row>
    <row r="80" spans="2:23" x14ac:dyDescent="0.25">
      <c r="J80" s="175" t="s">
        <v>124</v>
      </c>
      <c r="K80" s="175" t="s">
        <v>124</v>
      </c>
      <c r="L80" s="175" t="s">
        <v>124</v>
      </c>
      <c r="M80" s="175" t="s">
        <v>124</v>
      </c>
      <c r="S80" s="175" t="s">
        <v>124</v>
      </c>
      <c r="U80" s="175" t="s">
        <v>124</v>
      </c>
      <c r="V80" s="175" t="s">
        <v>124</v>
      </c>
      <c r="W80" s="175" t="s">
        <v>124</v>
      </c>
    </row>
    <row r="81" spans="2:23" x14ac:dyDescent="0.25">
      <c r="J81" s="175" t="s">
        <v>124</v>
      </c>
      <c r="K81" s="175" t="s">
        <v>124</v>
      </c>
      <c r="L81" s="175" t="s">
        <v>138</v>
      </c>
      <c r="M81" s="175" t="s">
        <v>124</v>
      </c>
      <c r="O81" s="175" t="s">
        <v>124</v>
      </c>
      <c r="P81" s="175" t="s">
        <v>138</v>
      </c>
      <c r="Q81" s="175" t="s">
        <v>124</v>
      </c>
      <c r="S81" s="175" t="s">
        <v>124</v>
      </c>
      <c r="U81" s="175" t="s">
        <v>124</v>
      </c>
      <c r="V81" s="175" t="s">
        <v>124</v>
      </c>
      <c r="W81" s="175" t="s">
        <v>124</v>
      </c>
    </row>
    <row r="82" spans="2:23" x14ac:dyDescent="0.25">
      <c r="C82" s="174"/>
      <c r="J82" s="175" t="s">
        <v>124</v>
      </c>
      <c r="K82" s="175" t="s">
        <v>124</v>
      </c>
      <c r="L82" s="175" t="s">
        <v>124</v>
      </c>
      <c r="M82" s="175" t="s">
        <v>124</v>
      </c>
      <c r="S82" s="175" t="s">
        <v>124</v>
      </c>
      <c r="U82" s="175" t="s">
        <v>124</v>
      </c>
      <c r="V82" s="175" t="s">
        <v>124</v>
      </c>
      <c r="W82" s="175" t="s">
        <v>124</v>
      </c>
    </row>
    <row r="85" spans="2:23" ht="18.75" x14ac:dyDescent="0.3">
      <c r="B85" s="3" t="s">
        <v>111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122</v>
      </c>
      <c r="C87" s="174" t="str" cm="1">
        <f t="array" ref="C87">_xll.d.TestUtils_And(C93,F93,K93,P93)</f>
        <v>Ok</v>
      </c>
    </row>
    <row r="89" spans="2:23" x14ac:dyDescent="0.25">
      <c r="B89" t="s">
        <v>179</v>
      </c>
    </row>
    <row r="91" spans="2:23" ht="15.75" x14ac:dyDescent="0.25">
      <c r="B91" s="4" t="s">
        <v>139</v>
      </c>
      <c r="C91" s="4"/>
      <c r="E91" s="4" t="s">
        <v>140</v>
      </c>
      <c r="F91" s="4"/>
      <c r="G91" s="4"/>
      <c r="H91" s="4"/>
      <c r="J91" s="4" t="s">
        <v>141</v>
      </c>
      <c r="K91" s="4"/>
      <c r="L91" s="4"/>
      <c r="M91" s="4"/>
      <c r="O91" s="4" t="s">
        <v>145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122</v>
      </c>
      <c r="C93" s="174" t="str" cm="1">
        <f t="array" ref="C93">_xll.d.TestUtils_IsTrue(C98="ERROR")</f>
        <v>Ok</v>
      </c>
      <c r="E93" s="59" t="s">
        <v>122</v>
      </c>
      <c r="F93" s="174" t="str" cm="1">
        <f t="array" ref="F93">_xll.d.TestUtils_IsTrue(E98="ERROR")</f>
        <v>Ok</v>
      </c>
      <c r="J93" s="59" t="s">
        <v>122</v>
      </c>
      <c r="K93" s="174" t="str" cm="1">
        <f t="array" ref="K93">_xll.d.TestUtils_IsTrue(J98="ERROR")</f>
        <v>Ok</v>
      </c>
      <c r="O93" s="59" t="s">
        <v>122</v>
      </c>
      <c r="P93" s="174" t="str" cm="1">
        <f t="array" ref="P93">_xll.d.TestUtils_IsTrue(O98="ERROR")</f>
        <v>Ok</v>
      </c>
    </row>
    <row r="95" spans="2:23" x14ac:dyDescent="0.25">
      <c r="B95" s="191" t="s">
        <v>130</v>
      </c>
      <c r="C95" s="175" t="s">
        <v>170</v>
      </c>
      <c r="E95" s="191" t="s">
        <v>130</v>
      </c>
      <c r="F95" s="175" t="s">
        <v>170</v>
      </c>
      <c r="J95" s="191" t="s">
        <v>130</v>
      </c>
      <c r="K95" s="175" t="s">
        <v>170</v>
      </c>
      <c r="O95" s="191" t="s">
        <v>130</v>
      </c>
      <c r="P95" s="175" t="s">
        <v>170</v>
      </c>
    </row>
    <row r="96" spans="2:23" x14ac:dyDescent="0.25">
      <c r="B96" s="175"/>
    </row>
    <row r="97" spans="2:23" x14ac:dyDescent="0.25">
      <c r="B97" s="192" t="s">
        <v>128</v>
      </c>
      <c r="C97" s="192" t="s">
        <v>129</v>
      </c>
      <c r="E97" s="192" t="s">
        <v>129</v>
      </c>
      <c r="J97" s="192" t="s">
        <v>129</v>
      </c>
      <c r="O97" s="192" t="s">
        <v>129</v>
      </c>
    </row>
    <row r="98" spans="2:23" x14ac:dyDescent="0.25">
      <c r="B98" s="175" t="s">
        <v>124</v>
      </c>
      <c r="C98" s="175" t="str" cm="1">
        <f t="array" ref="C98">_xll.d.TestUtils_And(B98:B101)</f>
        <v>Error</v>
      </c>
      <c r="E98" s="175" t="str" cm="1">
        <f t="array" ref="E98">_xll.d.TestUtils_And(E101:H101)</f>
        <v>Error</v>
      </c>
      <c r="J98" s="175" t="str" cm="1">
        <f t="array" ref="J98">_xll.d.TestUtils_And(J101:M104)</f>
        <v>Error</v>
      </c>
      <c r="O98" s="175" t="str" cm="1">
        <f t="array" ref="O98">_xll.d.TestUtils_And(O101,O103:Q103,S101:S104,U101:W104)</f>
        <v>Error</v>
      </c>
    </row>
    <row r="99" spans="2:23" x14ac:dyDescent="0.25">
      <c r="B99" s="175" t="s">
        <v>134</v>
      </c>
    </row>
    <row r="100" spans="2:23" x14ac:dyDescent="0.25">
      <c r="B100" s="175" t="s">
        <v>138</v>
      </c>
      <c r="E100" s="192" t="s">
        <v>128</v>
      </c>
      <c r="J100" s="68" t="s">
        <v>128</v>
      </c>
      <c r="O100" s="68" t="s">
        <v>128</v>
      </c>
    </row>
    <row r="101" spans="2:23" x14ac:dyDescent="0.25">
      <c r="B101" s="175" t="s">
        <v>124</v>
      </c>
      <c r="E101" s="175" t="s">
        <v>124</v>
      </c>
      <c r="F101" s="175" t="s">
        <v>138</v>
      </c>
      <c r="G101" s="175" t="s">
        <v>124</v>
      </c>
      <c r="H101" s="175" t="s">
        <v>134</v>
      </c>
      <c r="J101" s="175" t="s">
        <v>124</v>
      </c>
      <c r="K101" s="175" t="s">
        <v>124</v>
      </c>
      <c r="L101" s="175" t="s">
        <v>124</v>
      </c>
      <c r="M101" s="175" t="s">
        <v>124</v>
      </c>
      <c r="O101" s="175" t="s">
        <v>124</v>
      </c>
      <c r="R101" s="175"/>
      <c r="S101" s="175" t="s">
        <v>124</v>
      </c>
      <c r="U101" s="175" t="s">
        <v>124</v>
      </c>
      <c r="V101" s="175" t="s">
        <v>124</v>
      </c>
      <c r="W101" s="175" t="s">
        <v>124</v>
      </c>
    </row>
    <row r="102" spans="2:23" x14ac:dyDescent="0.25">
      <c r="J102" s="175" t="s">
        <v>124</v>
      </c>
      <c r="K102" s="175" t="s">
        <v>124</v>
      </c>
      <c r="L102" s="175" t="s">
        <v>124</v>
      </c>
      <c r="M102" s="175" t="s">
        <v>124</v>
      </c>
      <c r="S102" s="175" t="s">
        <v>124</v>
      </c>
      <c r="U102" s="175" t="s">
        <v>124</v>
      </c>
      <c r="V102" s="175" t="s">
        <v>124</v>
      </c>
      <c r="W102" s="175" t="s">
        <v>124</v>
      </c>
    </row>
    <row r="103" spans="2:23" x14ac:dyDescent="0.25">
      <c r="J103" s="175" t="s">
        <v>124</v>
      </c>
      <c r="K103" s="175" t="s">
        <v>124</v>
      </c>
      <c r="L103" s="175" t="s">
        <v>138</v>
      </c>
      <c r="M103" s="175" t="s">
        <v>124</v>
      </c>
      <c r="O103" s="175" t="s">
        <v>124</v>
      </c>
      <c r="P103" s="175" t="s">
        <v>138</v>
      </c>
      <c r="Q103" s="175" t="s">
        <v>124</v>
      </c>
      <c r="S103" s="175" t="s">
        <v>124</v>
      </c>
      <c r="U103" s="175" t="s">
        <v>134</v>
      </c>
      <c r="V103" s="175" t="s">
        <v>124</v>
      </c>
      <c r="W103" s="175" t="s">
        <v>124</v>
      </c>
    </row>
    <row r="104" spans="2:23" x14ac:dyDescent="0.25">
      <c r="C104" s="174"/>
      <c r="J104" s="175" t="s">
        <v>124</v>
      </c>
      <c r="K104" s="175" t="s">
        <v>124</v>
      </c>
      <c r="L104" s="175" t="s">
        <v>124</v>
      </c>
      <c r="M104" s="175" t="s">
        <v>134</v>
      </c>
      <c r="S104" s="175" t="s">
        <v>124</v>
      </c>
      <c r="U104" s="175" t="s">
        <v>124</v>
      </c>
      <c r="V104" s="175" t="s">
        <v>124</v>
      </c>
      <c r="W104" s="175" t="s">
        <v>124</v>
      </c>
    </row>
    <row r="107" spans="2:23" ht="18.75" x14ac:dyDescent="0.3">
      <c r="B107" s="3" t="s">
        <v>114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122</v>
      </c>
      <c r="C109" s="174" t="str" cm="1">
        <f t="array" ref="C109">_xll.d.TestUtils_And(C115,F115,K115,P115)</f>
        <v>Ok</v>
      </c>
    </row>
    <row r="111" spans="2:23" x14ac:dyDescent="0.25">
      <c r="B111" t="s">
        <v>180</v>
      </c>
    </row>
    <row r="113" spans="2:23" ht="15.75" x14ac:dyDescent="0.25">
      <c r="B113" s="4" t="s">
        <v>146</v>
      </c>
      <c r="C113" s="4"/>
      <c r="E113" s="4" t="s">
        <v>147</v>
      </c>
      <c r="F113" s="4"/>
      <c r="G113" s="4"/>
      <c r="H113" s="4"/>
      <c r="J113" s="4" t="s">
        <v>148</v>
      </c>
      <c r="K113" s="4"/>
      <c r="L113" s="4"/>
      <c r="M113" s="4"/>
      <c r="O113" s="4" t="s">
        <v>149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122</v>
      </c>
      <c r="C115" s="174" t="str" cm="1">
        <f t="array" ref="C115">_xll.d.TestUtils_IsTrue(C120="ERROR")</f>
        <v>Ok</v>
      </c>
      <c r="E115" s="59" t="s">
        <v>122</v>
      </c>
      <c r="F115" s="174" t="str" cm="1">
        <f t="array" ref="F115">_xll.d.TestUtils_IsTrue(E120="ERROR")</f>
        <v>Ok</v>
      </c>
      <c r="J115" s="59" t="s">
        <v>122</v>
      </c>
      <c r="K115" s="174" t="str" cm="1">
        <f t="array" ref="K115">_xll.d.TestUtils_IsTrue(J120="ERROR")</f>
        <v>Ok</v>
      </c>
      <c r="O115" s="59" t="s">
        <v>122</v>
      </c>
      <c r="P115" s="174" t="str" cm="1">
        <f t="array" ref="P115">_xll.d.TestUtils_IsTrue(O120="ERROR")</f>
        <v>Ok</v>
      </c>
    </row>
    <row r="117" spans="2:23" x14ac:dyDescent="0.25">
      <c r="B117" s="191" t="s">
        <v>130</v>
      </c>
      <c r="C117" s="175" t="s">
        <v>171</v>
      </c>
      <c r="E117" s="191" t="s">
        <v>130</v>
      </c>
      <c r="F117" s="175" t="s">
        <v>171</v>
      </c>
      <c r="J117" s="191" t="s">
        <v>130</v>
      </c>
      <c r="K117" s="175" t="s">
        <v>171</v>
      </c>
      <c r="O117" s="191" t="s">
        <v>130</v>
      </c>
      <c r="P117" s="175" t="s">
        <v>171</v>
      </c>
    </row>
    <row r="118" spans="2:23" x14ac:dyDescent="0.25">
      <c r="B118" s="175"/>
    </row>
    <row r="119" spans="2:23" x14ac:dyDescent="0.25">
      <c r="B119" s="192" t="s">
        <v>128</v>
      </c>
      <c r="C119" s="192" t="s">
        <v>129</v>
      </c>
      <c r="E119" s="192" t="s">
        <v>129</v>
      </c>
      <c r="J119" s="192" t="s">
        <v>129</v>
      </c>
      <c r="O119" s="192" t="s">
        <v>129</v>
      </c>
    </row>
    <row r="120" spans="2:23" x14ac:dyDescent="0.25">
      <c r="B120" s="175" t="s">
        <v>134</v>
      </c>
      <c r="C120" s="175" t="str" cm="1">
        <f t="array" ref="C120">_xll.d.TestUtils_Or(B120:B123)</f>
        <v>Error</v>
      </c>
      <c r="E120" s="175" t="str" cm="1">
        <f t="array" ref="E120">_xll.d.TestUtils_Or(E123:H123)</f>
        <v>Error</v>
      </c>
      <c r="J120" s="175" t="str" cm="1">
        <f t="array" ref="J120">_xll.d.TestUtils_Or(J123:M126)</f>
        <v>Error</v>
      </c>
      <c r="O120" s="175" t="str" cm="1">
        <f t="array" ref="O120">_xll.d.TestUtils_Or(O123,O125:Q125,S123:S126,U123:W126)</f>
        <v>Error</v>
      </c>
    </row>
    <row r="121" spans="2:23" x14ac:dyDescent="0.25">
      <c r="B121" s="175" t="s">
        <v>134</v>
      </c>
    </row>
    <row r="122" spans="2:23" x14ac:dyDescent="0.25">
      <c r="B122" s="175" t="s">
        <v>134</v>
      </c>
      <c r="E122" s="192" t="s">
        <v>128</v>
      </c>
      <c r="J122" s="68" t="s">
        <v>128</v>
      </c>
      <c r="O122" s="68" t="s">
        <v>128</v>
      </c>
    </row>
    <row r="123" spans="2:23" x14ac:dyDescent="0.25">
      <c r="B123" s="175" t="s">
        <v>134</v>
      </c>
      <c r="E123" s="175" t="s">
        <v>134</v>
      </c>
      <c r="F123" s="175" t="s">
        <v>134</v>
      </c>
      <c r="G123" s="175" t="s">
        <v>134</v>
      </c>
      <c r="H123" s="175" t="s">
        <v>134</v>
      </c>
      <c r="J123" s="175" t="s">
        <v>134</v>
      </c>
      <c r="K123" s="175" t="s">
        <v>134</v>
      </c>
      <c r="L123" s="175" t="s">
        <v>134</v>
      </c>
      <c r="M123" s="175" t="s">
        <v>134</v>
      </c>
      <c r="O123" s="175" t="s">
        <v>134</v>
      </c>
      <c r="R123" s="175"/>
      <c r="S123" s="175" t="s">
        <v>134</v>
      </c>
      <c r="U123" s="175" t="s">
        <v>134</v>
      </c>
      <c r="V123" s="175" t="s">
        <v>134</v>
      </c>
      <c r="W123" s="175" t="s">
        <v>134</v>
      </c>
    </row>
    <row r="124" spans="2:23" x14ac:dyDescent="0.25">
      <c r="J124" s="175" t="s">
        <v>134</v>
      </c>
      <c r="K124" s="175" t="s">
        <v>134</v>
      </c>
      <c r="L124" s="175" t="s">
        <v>134</v>
      </c>
      <c r="M124" s="175" t="s">
        <v>134</v>
      </c>
      <c r="S124" s="175" t="s">
        <v>134</v>
      </c>
      <c r="U124" s="175" t="s">
        <v>134</v>
      </c>
      <c r="V124" s="175" t="s">
        <v>134</v>
      </c>
      <c r="W124" s="175" t="s">
        <v>134</v>
      </c>
    </row>
    <row r="125" spans="2:23" x14ac:dyDescent="0.25">
      <c r="J125" s="175" t="s">
        <v>134</v>
      </c>
      <c r="K125" s="175" t="s">
        <v>134</v>
      </c>
      <c r="L125" s="175" t="s">
        <v>134</v>
      </c>
      <c r="M125" s="175" t="s">
        <v>134</v>
      </c>
      <c r="O125" s="175" t="s">
        <v>134</v>
      </c>
      <c r="P125" s="175" t="s">
        <v>134</v>
      </c>
      <c r="Q125" s="175" t="s">
        <v>134</v>
      </c>
      <c r="S125" s="175" t="s">
        <v>134</v>
      </c>
      <c r="U125" s="175" t="s">
        <v>134</v>
      </c>
      <c r="V125" s="175" t="s">
        <v>134</v>
      </c>
      <c r="W125" s="175" t="s">
        <v>134</v>
      </c>
    </row>
    <row r="126" spans="2:23" x14ac:dyDescent="0.25">
      <c r="C126" s="174"/>
      <c r="J126" s="175" t="s">
        <v>134</v>
      </c>
      <c r="K126" s="175" t="s">
        <v>134</v>
      </c>
      <c r="L126" s="175" t="s">
        <v>134</v>
      </c>
      <c r="M126" s="175" t="s">
        <v>134</v>
      </c>
      <c r="S126" s="175" t="s">
        <v>134</v>
      </c>
      <c r="U126" s="175" t="s">
        <v>134</v>
      </c>
      <c r="V126" s="175" t="s">
        <v>134</v>
      </c>
      <c r="W126" s="175" t="s">
        <v>134</v>
      </c>
    </row>
    <row r="129" spans="2:23" ht="18.75" x14ac:dyDescent="0.3">
      <c r="B129" s="3" t="s">
        <v>116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122</v>
      </c>
      <c r="C131" s="174" t="str" cm="1">
        <f t="array" ref="C131">_xll.d.TestUtils_And(C137,F137,K137,P137)</f>
        <v>Ok</v>
      </c>
    </row>
    <row r="133" spans="2:23" x14ac:dyDescent="0.25">
      <c r="B133" t="s">
        <v>181</v>
      </c>
    </row>
    <row r="135" spans="2:23" ht="15.75" x14ac:dyDescent="0.25">
      <c r="B135" s="4" t="s">
        <v>153</v>
      </c>
      <c r="C135" s="4"/>
      <c r="E135" s="4" t="s">
        <v>150</v>
      </c>
      <c r="F135" s="4"/>
      <c r="G135" s="4"/>
      <c r="H135" s="4"/>
      <c r="J135" s="4" t="s">
        <v>151</v>
      </c>
      <c r="K135" s="4"/>
      <c r="L135" s="4"/>
      <c r="M135" s="4"/>
      <c r="O135" s="4" t="s">
        <v>152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122</v>
      </c>
      <c r="C137" s="174" t="str" cm="1">
        <f t="array" ref="C137">_xll.d.TestUtils_IsTrue(C142="OK")</f>
        <v>Ok</v>
      </c>
      <c r="E137" s="59" t="s">
        <v>122</v>
      </c>
      <c r="F137" s="174" t="str" cm="1">
        <f t="array" ref="F137">_xll.d.TestUtils_IsTrue(E142="OK")</f>
        <v>Ok</v>
      </c>
      <c r="J137" s="59" t="s">
        <v>122</v>
      </c>
      <c r="K137" s="174" t="str" cm="1">
        <f t="array" ref="K137">_xll.d.TestUtils_IsTrue(J142="OK")</f>
        <v>Ok</v>
      </c>
      <c r="O137" s="59" t="s">
        <v>122</v>
      </c>
      <c r="P137" s="174" t="str" cm="1">
        <f t="array" ref="P137">_xll.d.TestUtils_IsTrue(O142="OK")</f>
        <v>Ok</v>
      </c>
    </row>
    <row r="139" spans="2:23" x14ac:dyDescent="0.25">
      <c r="B139" s="191" t="s">
        <v>130</v>
      </c>
      <c r="C139" s="175" t="s">
        <v>171</v>
      </c>
      <c r="E139" s="191" t="s">
        <v>130</v>
      </c>
      <c r="F139" s="175" t="s">
        <v>171</v>
      </c>
      <c r="J139" s="191" t="s">
        <v>130</v>
      </c>
      <c r="K139" s="175" t="s">
        <v>171</v>
      </c>
      <c r="O139" s="191" t="s">
        <v>130</v>
      </c>
      <c r="P139" s="175" t="s">
        <v>171</v>
      </c>
    </row>
    <row r="140" spans="2:23" x14ac:dyDescent="0.25">
      <c r="B140" s="175"/>
    </row>
    <row r="141" spans="2:23" x14ac:dyDescent="0.25">
      <c r="B141" s="192" t="s">
        <v>128</v>
      </c>
      <c r="C141" s="192" t="s">
        <v>129</v>
      </c>
      <c r="E141" s="192" t="s">
        <v>129</v>
      </c>
      <c r="J141" s="192" t="s">
        <v>129</v>
      </c>
      <c r="O141" s="192" t="s">
        <v>129</v>
      </c>
    </row>
    <row r="142" spans="2:23" x14ac:dyDescent="0.25">
      <c r="B142" s="175" t="s">
        <v>134</v>
      </c>
      <c r="C142" s="175" t="str" cm="1">
        <f t="array" ref="C142">_xll.d.TestUtils_Or(B142:B145)</f>
        <v>Ok</v>
      </c>
      <c r="E142" s="175" t="str" cm="1">
        <f t="array" ref="E142">_xll.d.TestUtils_Or(E145:H145)</f>
        <v>Ok</v>
      </c>
      <c r="J142" s="175" t="str" cm="1">
        <f t="array" ref="J142">_xll.d.TestUtils_Or(J145:M148)</f>
        <v>Ok</v>
      </c>
      <c r="O142" s="175" t="str" cm="1">
        <f t="array" ref="O142">_xll.d.TestUtils_Or(O145,O147:Q147,S145:S148,U145:W148)</f>
        <v>Ok</v>
      </c>
    </row>
    <row r="143" spans="2:23" x14ac:dyDescent="0.25">
      <c r="B143" s="175" t="s">
        <v>134</v>
      </c>
    </row>
    <row r="144" spans="2:23" x14ac:dyDescent="0.25">
      <c r="B144" s="175" t="s">
        <v>124</v>
      </c>
      <c r="E144" s="192" t="s">
        <v>128</v>
      </c>
      <c r="J144" s="68" t="s">
        <v>128</v>
      </c>
      <c r="O144" s="68" t="s">
        <v>128</v>
      </c>
    </row>
    <row r="145" spans="2:23" x14ac:dyDescent="0.25">
      <c r="B145" s="175" t="s">
        <v>134</v>
      </c>
      <c r="E145" s="175" t="s">
        <v>134</v>
      </c>
      <c r="F145" s="175" t="s">
        <v>124</v>
      </c>
      <c r="G145" t="s">
        <v>134</v>
      </c>
      <c r="H145" s="175" t="s">
        <v>134</v>
      </c>
      <c r="J145" s="175" t="s">
        <v>134</v>
      </c>
      <c r="K145" s="175" t="s">
        <v>134</v>
      </c>
      <c r="L145" s="175" t="s">
        <v>134</v>
      </c>
      <c r="M145" s="175" t="s">
        <v>124</v>
      </c>
      <c r="O145" s="175" t="s">
        <v>134</v>
      </c>
      <c r="R145" s="175"/>
      <c r="S145" s="175" t="s">
        <v>134</v>
      </c>
      <c r="U145" s="175" t="s">
        <v>134</v>
      </c>
      <c r="V145" s="175" t="s">
        <v>134</v>
      </c>
      <c r="W145" s="175" t="s">
        <v>134</v>
      </c>
    </row>
    <row r="146" spans="2:23" x14ac:dyDescent="0.25">
      <c r="J146" s="175" t="s">
        <v>134</v>
      </c>
      <c r="K146" s="175" t="s">
        <v>134</v>
      </c>
      <c r="L146" s="175" t="s">
        <v>134</v>
      </c>
      <c r="M146" s="175" t="s">
        <v>134</v>
      </c>
      <c r="S146" s="175" t="s">
        <v>134</v>
      </c>
      <c r="U146" s="175" t="s">
        <v>134</v>
      </c>
      <c r="V146" s="175" t="s">
        <v>134</v>
      </c>
      <c r="W146" s="175" t="s">
        <v>134</v>
      </c>
    </row>
    <row r="147" spans="2:23" x14ac:dyDescent="0.25">
      <c r="J147" s="175" t="s">
        <v>134</v>
      </c>
      <c r="K147" s="175" t="s">
        <v>134</v>
      </c>
      <c r="L147" s="175" t="s">
        <v>134</v>
      </c>
      <c r="M147" s="175" t="s">
        <v>134</v>
      </c>
      <c r="O147" s="175" t="s">
        <v>134</v>
      </c>
      <c r="P147" s="175" t="s">
        <v>134</v>
      </c>
      <c r="Q147" s="175" t="s">
        <v>124</v>
      </c>
      <c r="S147" s="175" t="s">
        <v>134</v>
      </c>
      <c r="U147" s="175" t="s">
        <v>134</v>
      </c>
      <c r="V147" s="175" t="s">
        <v>134</v>
      </c>
      <c r="W147" s="175" t="s">
        <v>134</v>
      </c>
    </row>
    <row r="148" spans="2:23" x14ac:dyDescent="0.25">
      <c r="J148" s="175" t="s">
        <v>134</v>
      </c>
      <c r="K148" s="175" t="s">
        <v>134</v>
      </c>
      <c r="L148" s="175" t="s">
        <v>134</v>
      </c>
      <c r="M148" s="175" t="s">
        <v>134</v>
      </c>
      <c r="S148" s="175" t="s">
        <v>124</v>
      </c>
      <c r="U148" s="175" t="s">
        <v>134</v>
      </c>
      <c r="V148" s="175" t="s">
        <v>134</v>
      </c>
      <c r="W148" s="175" t="s">
        <v>134</v>
      </c>
    </row>
    <row r="151" spans="2:23" ht="18.75" x14ac:dyDescent="0.3">
      <c r="B151" s="3" t="s">
        <v>158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122</v>
      </c>
      <c r="C153" s="174" t="str" cm="1">
        <f t="array" ref="C153">_xll.d.TestUtils_And(C159,F159,K159,P159)</f>
        <v>Ok</v>
      </c>
    </row>
    <row r="155" spans="2:23" x14ac:dyDescent="0.25">
      <c r="B155" t="s">
        <v>182</v>
      </c>
    </row>
    <row r="157" spans="2:23" ht="15.75" x14ac:dyDescent="0.25">
      <c r="B157" s="4" t="s">
        <v>159</v>
      </c>
      <c r="C157" s="4"/>
      <c r="E157" s="4" t="s">
        <v>160</v>
      </c>
      <c r="F157" s="4"/>
      <c r="G157" s="4"/>
      <c r="H157" s="4"/>
      <c r="J157" s="4" t="s">
        <v>161</v>
      </c>
      <c r="K157" s="4"/>
      <c r="L157" s="4"/>
      <c r="M157" s="4"/>
      <c r="O157" s="4" t="s">
        <v>162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122</v>
      </c>
      <c r="C159" s="174" t="str" cm="1">
        <f t="array" ref="C159">_xll.d.TestUtils_IsTrue(C164="WARNING")</f>
        <v>Ok</v>
      </c>
      <c r="E159" s="59" t="s">
        <v>122</v>
      </c>
      <c r="F159" s="174" t="str" cm="1">
        <f t="array" ref="F159">_xll.d.TestUtils_IsTrue(E164="WARNING")</f>
        <v>Ok</v>
      </c>
      <c r="J159" s="59" t="s">
        <v>122</v>
      </c>
      <c r="K159" s="174" t="str" cm="1">
        <f t="array" ref="K159">_xll.d.TestUtils_IsTrue(J164="WARNING")</f>
        <v>Ok</v>
      </c>
      <c r="O159" s="59" t="s">
        <v>122</v>
      </c>
      <c r="P159" s="174" t="str" cm="1">
        <f t="array" ref="P159">_xll.d.TestUtils_IsTrue(O164="WARNING")</f>
        <v>Ok</v>
      </c>
    </row>
    <row r="161" spans="2:23" x14ac:dyDescent="0.25">
      <c r="B161" s="191" t="s">
        <v>130</v>
      </c>
      <c r="C161" s="175" t="s">
        <v>171</v>
      </c>
      <c r="E161" s="191" t="s">
        <v>130</v>
      </c>
      <c r="F161" s="175" t="s">
        <v>171</v>
      </c>
      <c r="J161" s="191" t="s">
        <v>130</v>
      </c>
      <c r="K161" s="175" t="s">
        <v>171</v>
      </c>
      <c r="O161" s="191" t="s">
        <v>130</v>
      </c>
      <c r="P161" s="175" t="s">
        <v>171</v>
      </c>
    </row>
    <row r="162" spans="2:23" x14ac:dyDescent="0.25">
      <c r="B162" s="175"/>
    </row>
    <row r="163" spans="2:23" x14ac:dyDescent="0.25">
      <c r="B163" s="192" t="s">
        <v>128</v>
      </c>
      <c r="C163" s="192" t="s">
        <v>129</v>
      </c>
      <c r="E163" s="192" t="s">
        <v>129</v>
      </c>
      <c r="J163" s="192" t="s">
        <v>129</v>
      </c>
      <c r="O163" s="192" t="s">
        <v>129</v>
      </c>
    </row>
    <row r="164" spans="2:23" x14ac:dyDescent="0.25">
      <c r="B164" s="175" t="s">
        <v>134</v>
      </c>
      <c r="C164" s="175" t="str" cm="1">
        <f t="array" ref="C164">_xll.d.TestUtils_Or(B164:B167)</f>
        <v>Warning</v>
      </c>
      <c r="E164" s="175" t="str" cm="1">
        <f t="array" ref="E164">_xll.d.TestUtils_Or(E167:H167)</f>
        <v>Warning</v>
      </c>
      <c r="J164" s="175" t="str" cm="1">
        <f t="array" ref="J164">_xll.d.TestUtils_Or(J167:M170)</f>
        <v>Warning</v>
      </c>
      <c r="O164" s="175" t="str" cm="1">
        <f t="array" ref="O164">_xll.d.TestUtils_Or(O167,O169:Q169,S167:S170,U167:W170)</f>
        <v>Warning</v>
      </c>
    </row>
    <row r="165" spans="2:23" x14ac:dyDescent="0.25">
      <c r="B165" s="175" t="s">
        <v>138</v>
      </c>
    </row>
    <row r="166" spans="2:23" x14ac:dyDescent="0.25">
      <c r="B166" s="175" t="s">
        <v>134</v>
      </c>
      <c r="E166" s="192" t="s">
        <v>128</v>
      </c>
      <c r="J166" s="68" t="s">
        <v>128</v>
      </c>
      <c r="O166" s="68" t="s">
        <v>128</v>
      </c>
    </row>
    <row r="167" spans="2:23" x14ac:dyDescent="0.25">
      <c r="B167" s="175" t="s">
        <v>134</v>
      </c>
      <c r="E167" s="175" t="s">
        <v>134</v>
      </c>
      <c r="F167" s="175" t="s">
        <v>134</v>
      </c>
      <c r="G167" s="175" t="s">
        <v>134</v>
      </c>
      <c r="H167" s="175" t="s">
        <v>138</v>
      </c>
      <c r="J167" s="175" t="s">
        <v>134</v>
      </c>
      <c r="K167" s="175" t="s">
        <v>134</v>
      </c>
      <c r="L167" s="175" t="s">
        <v>134</v>
      </c>
      <c r="M167" s="175" t="s">
        <v>134</v>
      </c>
      <c r="O167" s="175" t="s">
        <v>134</v>
      </c>
      <c r="R167" s="175"/>
      <c r="S167" s="175" t="s">
        <v>134</v>
      </c>
      <c r="U167" s="175" t="s">
        <v>134</v>
      </c>
      <c r="V167" s="175" t="s">
        <v>134</v>
      </c>
      <c r="W167" s="175" t="s">
        <v>134</v>
      </c>
    </row>
    <row r="168" spans="2:23" x14ac:dyDescent="0.25">
      <c r="J168" s="175" t="s">
        <v>134</v>
      </c>
      <c r="K168" s="175" t="s">
        <v>134</v>
      </c>
      <c r="L168" s="175" t="s">
        <v>134</v>
      </c>
      <c r="M168" s="175" t="s">
        <v>134</v>
      </c>
      <c r="S168" s="175" t="s">
        <v>134</v>
      </c>
      <c r="U168" s="175" t="s">
        <v>134</v>
      </c>
      <c r="V168" s="175" t="s">
        <v>134</v>
      </c>
      <c r="W168" s="175" t="s">
        <v>134</v>
      </c>
    </row>
    <row r="169" spans="2:23" x14ac:dyDescent="0.25">
      <c r="J169" s="175" t="s">
        <v>134</v>
      </c>
      <c r="K169" s="175" t="s">
        <v>138</v>
      </c>
      <c r="L169" s="175" t="s">
        <v>134</v>
      </c>
      <c r="M169" s="175" t="s">
        <v>134</v>
      </c>
      <c r="O169" s="175" t="s">
        <v>134</v>
      </c>
      <c r="P169" s="175" t="s">
        <v>134</v>
      </c>
      <c r="Q169" s="175" t="s">
        <v>138</v>
      </c>
      <c r="S169" s="175" t="s">
        <v>134</v>
      </c>
      <c r="U169" s="175" t="s">
        <v>134</v>
      </c>
      <c r="V169" s="175" t="s">
        <v>134</v>
      </c>
      <c r="W169" s="175" t="s">
        <v>134</v>
      </c>
    </row>
    <row r="170" spans="2:23" x14ac:dyDescent="0.25">
      <c r="J170" s="175" t="s">
        <v>134</v>
      </c>
      <c r="K170" s="175" t="s">
        <v>134</v>
      </c>
      <c r="L170" s="175" t="s">
        <v>134</v>
      </c>
      <c r="M170" s="175" t="s">
        <v>134</v>
      </c>
      <c r="S170" s="175" t="s">
        <v>134</v>
      </c>
      <c r="U170" s="175" t="s">
        <v>134</v>
      </c>
      <c r="V170" s="175" t="s">
        <v>134</v>
      </c>
      <c r="W170" s="175" t="s">
        <v>134</v>
      </c>
    </row>
    <row r="173" spans="2:23" ht="18.75" x14ac:dyDescent="0.3">
      <c r="B173" s="3" t="s">
        <v>163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122</v>
      </c>
      <c r="C175" s="174" t="str" cm="1">
        <f t="array" ref="C175">_xll.d.TestUtils_And(C181,F181,K181,P181)</f>
        <v>Ok</v>
      </c>
    </row>
    <row r="177" spans="2:23" x14ac:dyDescent="0.25">
      <c r="B177" t="s">
        <v>183</v>
      </c>
    </row>
    <row r="179" spans="2:23" ht="15.75" x14ac:dyDescent="0.25">
      <c r="B179" s="4" t="s">
        <v>167</v>
      </c>
      <c r="C179" s="4"/>
      <c r="E179" s="4" t="s">
        <v>164</v>
      </c>
      <c r="F179" s="4"/>
      <c r="G179" s="4"/>
      <c r="H179" s="4"/>
      <c r="J179" s="4" t="s">
        <v>165</v>
      </c>
      <c r="K179" s="4"/>
      <c r="L179" s="4"/>
      <c r="M179" s="4"/>
      <c r="O179" s="4" t="s">
        <v>166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122</v>
      </c>
      <c r="C181" s="174" t="str" cm="1">
        <f t="array" ref="C181">_xll.d.TestUtils_IsTrue(C186="OK")</f>
        <v>Ok</v>
      </c>
      <c r="E181" s="59" t="s">
        <v>122</v>
      </c>
      <c r="F181" s="174" t="str" cm="1">
        <f t="array" ref="F181">_xll.d.TestUtils_IsTrue(E186="OK")</f>
        <v>Ok</v>
      </c>
      <c r="J181" s="59" t="s">
        <v>122</v>
      </c>
      <c r="K181" s="174" t="str" cm="1">
        <f t="array" ref="K181">_xll.d.TestUtils_IsTrue(J186="OK")</f>
        <v>Ok</v>
      </c>
      <c r="O181" s="59" t="s">
        <v>122</v>
      </c>
      <c r="P181" s="174" t="str" cm="1">
        <f t="array" ref="P181">_xll.d.TestUtils_IsTrue(O186="OK")</f>
        <v>Ok</v>
      </c>
    </row>
    <row r="183" spans="2:23" x14ac:dyDescent="0.25">
      <c r="B183" s="191" t="s">
        <v>130</v>
      </c>
      <c r="C183" s="175" t="s">
        <v>171</v>
      </c>
      <c r="E183" s="191" t="s">
        <v>130</v>
      </c>
      <c r="F183" s="175" t="s">
        <v>171</v>
      </c>
      <c r="J183" s="191" t="s">
        <v>130</v>
      </c>
      <c r="K183" s="175" t="s">
        <v>171</v>
      </c>
      <c r="O183" s="191" t="s">
        <v>130</v>
      </c>
      <c r="P183" s="175" t="s">
        <v>171</v>
      </c>
    </row>
    <row r="184" spans="2:23" x14ac:dyDescent="0.25">
      <c r="B184" s="175"/>
    </row>
    <row r="185" spans="2:23" x14ac:dyDescent="0.25">
      <c r="B185" s="192" t="s">
        <v>128</v>
      </c>
      <c r="C185" s="192" t="s">
        <v>129</v>
      </c>
      <c r="E185" s="192" t="s">
        <v>129</v>
      </c>
      <c r="J185" s="192" t="s">
        <v>129</v>
      </c>
      <c r="O185" s="192" t="s">
        <v>129</v>
      </c>
    </row>
    <row r="186" spans="2:23" x14ac:dyDescent="0.25">
      <c r="B186" s="175" t="s">
        <v>134</v>
      </c>
      <c r="C186" s="175" t="str" cm="1">
        <f t="array" ref="C186">_xll.d.TestUtils_Or(B186:B189)</f>
        <v>Ok</v>
      </c>
      <c r="E186" s="175" t="str" cm="1">
        <f t="array" ref="E186">_xll.d.TestUtils_Or(E189:H189)</f>
        <v>Ok</v>
      </c>
      <c r="J186" s="175" t="str" cm="1">
        <f t="array" ref="J186">_xll.d.TestUtils_Or(J189:M192)</f>
        <v>Ok</v>
      </c>
      <c r="O186" s="175" t="str" cm="1">
        <f t="array" ref="O186">_xll.d.TestUtils_Or(O189,O191:Q191,S189:S192,U189:W192)</f>
        <v>Ok</v>
      </c>
    </row>
    <row r="187" spans="2:23" x14ac:dyDescent="0.25">
      <c r="B187" s="175" t="s">
        <v>138</v>
      </c>
    </row>
    <row r="188" spans="2:23" x14ac:dyDescent="0.25">
      <c r="B188" s="175" t="s">
        <v>134</v>
      </c>
      <c r="E188" s="192" t="s">
        <v>128</v>
      </c>
      <c r="J188" s="68" t="s">
        <v>128</v>
      </c>
      <c r="O188" s="68" t="s">
        <v>128</v>
      </c>
    </row>
    <row r="189" spans="2:23" x14ac:dyDescent="0.25">
      <c r="B189" s="175" t="s">
        <v>124</v>
      </c>
      <c r="E189" s="175" t="s">
        <v>134</v>
      </c>
      <c r="F189" s="175" t="s">
        <v>124</v>
      </c>
      <c r="G189" s="175" t="s">
        <v>134</v>
      </c>
      <c r="H189" s="175" t="s">
        <v>138</v>
      </c>
      <c r="J189" s="175" t="s">
        <v>134</v>
      </c>
      <c r="K189" s="175" t="s">
        <v>134</v>
      </c>
      <c r="L189" s="175" t="s">
        <v>134</v>
      </c>
      <c r="M189" s="175" t="s">
        <v>134</v>
      </c>
      <c r="O189" s="175" t="s">
        <v>134</v>
      </c>
      <c r="R189" s="175"/>
      <c r="S189" s="175" t="s">
        <v>134</v>
      </c>
      <c r="U189" s="175" t="s">
        <v>134</v>
      </c>
      <c r="V189" s="175" t="s">
        <v>134</v>
      </c>
      <c r="W189" s="175" t="s">
        <v>134</v>
      </c>
    </row>
    <row r="190" spans="2:23" x14ac:dyDescent="0.25">
      <c r="J190" s="175" t="s">
        <v>134</v>
      </c>
      <c r="K190" s="175" t="s">
        <v>134</v>
      </c>
      <c r="L190" s="175" t="s">
        <v>124</v>
      </c>
      <c r="M190" s="175" t="s">
        <v>134</v>
      </c>
      <c r="S190" s="175" t="s">
        <v>134</v>
      </c>
      <c r="U190" s="175" t="s">
        <v>134</v>
      </c>
      <c r="V190" s="175" t="s">
        <v>124</v>
      </c>
      <c r="W190" s="175" t="s">
        <v>134</v>
      </c>
    </row>
    <row r="191" spans="2:23" x14ac:dyDescent="0.25">
      <c r="J191" s="175" t="s">
        <v>134</v>
      </c>
      <c r="K191" s="175" t="s">
        <v>138</v>
      </c>
      <c r="L191" s="175" t="s">
        <v>134</v>
      </c>
      <c r="M191" s="175" t="s">
        <v>134</v>
      </c>
      <c r="O191" s="175" t="s">
        <v>134</v>
      </c>
      <c r="P191" s="175" t="s">
        <v>134</v>
      </c>
      <c r="Q191" s="175" t="s">
        <v>138</v>
      </c>
      <c r="S191" s="175" t="s">
        <v>134</v>
      </c>
      <c r="U191" s="175" t="s">
        <v>134</v>
      </c>
      <c r="V191" s="175" t="s">
        <v>134</v>
      </c>
      <c r="W191" s="175" t="s">
        <v>134</v>
      </c>
    </row>
    <row r="192" spans="2:23" x14ac:dyDescent="0.25">
      <c r="J192" s="175" t="s">
        <v>134</v>
      </c>
      <c r="K192" s="175" t="s">
        <v>134</v>
      </c>
      <c r="L192" s="175" t="s">
        <v>134</v>
      </c>
      <c r="M192" s="175" t="s">
        <v>134</v>
      </c>
      <c r="S192" s="175" t="s">
        <v>134</v>
      </c>
      <c r="U192" s="175" t="s">
        <v>134</v>
      </c>
      <c r="V192" s="175" t="s">
        <v>134</v>
      </c>
      <c r="W192" s="175" t="s">
        <v>134</v>
      </c>
    </row>
    <row r="195" spans="2:23" ht="18.75" x14ac:dyDescent="0.3">
      <c r="B195" s="3" t="s">
        <v>168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122</v>
      </c>
      <c r="C197" s="174" t="str" cm="1">
        <f t="array" ref="C197">_xll.d.TestUtils_And(C203,F203,K203,P203)</f>
        <v>Ok</v>
      </c>
    </row>
    <row r="199" spans="2:23" x14ac:dyDescent="0.25">
      <c r="B199" t="s">
        <v>184</v>
      </c>
    </row>
    <row r="201" spans="2:23" ht="15.75" x14ac:dyDescent="0.25">
      <c r="B201" s="4" t="s">
        <v>172</v>
      </c>
      <c r="C201" s="4"/>
      <c r="E201" s="4" t="s">
        <v>173</v>
      </c>
      <c r="F201" s="4"/>
      <c r="G201" s="4"/>
      <c r="H201" s="4"/>
      <c r="J201" s="4" t="s">
        <v>174</v>
      </c>
      <c r="K201" s="4"/>
      <c r="L201" s="4"/>
      <c r="M201" s="4"/>
      <c r="O201" s="4" t="s">
        <v>175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122</v>
      </c>
      <c r="C203" s="174" t="str" cm="1">
        <f t="array" ref="C203">_xll.d.TestUtils_IsTrue(C208="OK")</f>
        <v>Ok</v>
      </c>
      <c r="E203" s="59" t="s">
        <v>122</v>
      </c>
      <c r="F203" s="174" t="str" cm="1">
        <f t="array" ref="F203">_xll.d.TestUtils_IsTrue(E208="OK")</f>
        <v>Ok</v>
      </c>
      <c r="J203" s="59" t="s">
        <v>122</v>
      </c>
      <c r="K203" s="174" t="str" cm="1">
        <f t="array" ref="K203">_xll.d.TestUtils_IsTrue(J208="OK")</f>
        <v>Ok</v>
      </c>
      <c r="O203" s="59" t="s">
        <v>122</v>
      </c>
      <c r="P203" s="174" t="str" cm="1">
        <f t="array" ref="P203">_xll.d.TestUtils_IsTrue(O208="OK")</f>
        <v>Ok</v>
      </c>
    </row>
    <row r="205" spans="2:23" x14ac:dyDescent="0.25">
      <c r="B205" s="191" t="s">
        <v>130</v>
      </c>
      <c r="C205" s="175" t="s">
        <v>171</v>
      </c>
      <c r="E205" s="191" t="s">
        <v>130</v>
      </c>
      <c r="F205" s="175" t="s">
        <v>171</v>
      </c>
      <c r="J205" s="191" t="s">
        <v>130</v>
      </c>
      <c r="K205" s="175" t="s">
        <v>171</v>
      </c>
      <c r="O205" s="191" t="s">
        <v>130</v>
      </c>
      <c r="P205" s="175" t="s">
        <v>171</v>
      </c>
    </row>
    <row r="206" spans="2:23" x14ac:dyDescent="0.25">
      <c r="B206" s="175"/>
    </row>
    <row r="207" spans="2:23" x14ac:dyDescent="0.25">
      <c r="B207" s="192" t="s">
        <v>128</v>
      </c>
      <c r="C207" s="192" t="s">
        <v>129</v>
      </c>
      <c r="E207" s="192" t="s">
        <v>129</v>
      </c>
      <c r="J207" s="192" t="s">
        <v>129</v>
      </c>
      <c r="O207" s="192" t="s">
        <v>129</v>
      </c>
    </row>
    <row r="208" spans="2:23" x14ac:dyDescent="0.25">
      <c r="B208" s="175" t="s">
        <v>134</v>
      </c>
      <c r="C208" s="175" t="str">
        <f t="array" ref="C208:C211">_xll.d.TestUtils_Not(B208:B211)</f>
        <v>Ok</v>
      </c>
      <c r="E208" s="175" t="str" cm="1">
        <f t="array" ref="E208">_xll.d.TestUtils_Or(E211:H211)</f>
        <v>Ok</v>
      </c>
      <c r="J208" s="175" t="str" cm="1">
        <f t="array" ref="J208">_xll.d.TestUtils_Or(J211:M214)</f>
        <v>Ok</v>
      </c>
      <c r="O208" s="175" t="str" cm="1">
        <f t="array" ref="O208">_xll.d.TestUtils_Or(O211,O213:Q213,S211:S214,U211:W214)</f>
        <v>Ok</v>
      </c>
    </row>
    <row r="209" spans="2:23" x14ac:dyDescent="0.25">
      <c r="B209" s="175" t="s">
        <v>138</v>
      </c>
      <c r="C209" t="str">
        <v>Warning</v>
      </c>
    </row>
    <row r="210" spans="2:23" x14ac:dyDescent="0.25">
      <c r="B210" s="175" t="s">
        <v>134</v>
      </c>
      <c r="C210" t="str">
        <v>Ok</v>
      </c>
      <c r="E210" s="192" t="s">
        <v>128</v>
      </c>
      <c r="J210" s="68" t="s">
        <v>128</v>
      </c>
      <c r="O210" s="68" t="s">
        <v>128</v>
      </c>
    </row>
    <row r="211" spans="2:23" x14ac:dyDescent="0.25">
      <c r="B211" s="175" t="s">
        <v>124</v>
      </c>
      <c r="C211" t="str">
        <v>Error</v>
      </c>
      <c r="E211" s="175" t="s">
        <v>134</v>
      </c>
      <c r="F211" s="175" t="s">
        <v>124</v>
      </c>
      <c r="G211" s="175" t="s">
        <v>134</v>
      </c>
      <c r="H211" s="175" t="s">
        <v>138</v>
      </c>
      <c r="J211" s="175" t="s">
        <v>134</v>
      </c>
      <c r="K211" s="175" t="s">
        <v>134</v>
      </c>
      <c r="L211" s="175" t="s">
        <v>134</v>
      </c>
      <c r="M211" s="175" t="s">
        <v>134</v>
      </c>
      <c r="O211" s="175" t="s">
        <v>134</v>
      </c>
      <c r="R211" s="175"/>
      <c r="S211" s="175" t="s">
        <v>134</v>
      </c>
      <c r="U211" s="175" t="s">
        <v>134</v>
      </c>
      <c r="V211" s="175" t="s">
        <v>134</v>
      </c>
      <c r="W211" s="175" t="s">
        <v>134</v>
      </c>
    </row>
    <row r="212" spans="2:23" x14ac:dyDescent="0.25">
      <c r="J212" s="175" t="s">
        <v>134</v>
      </c>
      <c r="K212" s="175" t="s">
        <v>134</v>
      </c>
      <c r="L212" s="175" t="s">
        <v>124</v>
      </c>
      <c r="M212" s="175" t="s">
        <v>134</v>
      </c>
      <c r="S212" s="175" t="s">
        <v>134</v>
      </c>
      <c r="U212" s="175" t="s">
        <v>134</v>
      </c>
      <c r="V212" s="175" t="s">
        <v>124</v>
      </c>
      <c r="W212" s="175" t="s">
        <v>134</v>
      </c>
    </row>
    <row r="213" spans="2:23" x14ac:dyDescent="0.25">
      <c r="J213" s="175" t="s">
        <v>134</v>
      </c>
      <c r="K213" s="175" t="s">
        <v>138</v>
      </c>
      <c r="L213" s="175" t="s">
        <v>134</v>
      </c>
      <c r="M213" s="175" t="s">
        <v>134</v>
      </c>
      <c r="O213" s="175" t="s">
        <v>134</v>
      </c>
      <c r="P213" s="175" t="s">
        <v>134</v>
      </c>
      <c r="Q213" s="175" t="s">
        <v>138</v>
      </c>
      <c r="S213" s="175" t="s">
        <v>134</v>
      </c>
      <c r="U213" s="175" t="s">
        <v>134</v>
      </c>
      <c r="V213" s="175" t="s">
        <v>134</v>
      </c>
      <c r="W213" s="175" t="s">
        <v>134</v>
      </c>
    </row>
    <row r="214" spans="2:23" x14ac:dyDescent="0.25">
      <c r="J214" s="175" t="s">
        <v>134</v>
      </c>
      <c r="K214" s="175" t="s">
        <v>134</v>
      </c>
      <c r="L214" s="175" t="s">
        <v>134</v>
      </c>
      <c r="M214" s="175" t="s">
        <v>134</v>
      </c>
      <c r="S214" s="175" t="s">
        <v>134</v>
      </c>
      <c r="U214" s="175" t="s">
        <v>134</v>
      </c>
      <c r="V214" s="175" t="s">
        <v>134</v>
      </c>
      <c r="W214" s="175" t="s">
        <v>134</v>
      </c>
    </row>
    <row r="217" spans="2:23" ht="18.75" x14ac:dyDescent="0.3">
      <c r="B217" s="3" t="s">
        <v>185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122</v>
      </c>
      <c r="C219" s="174" t="str" cm="1">
        <f t="array" ref="C219">_xll.d.TestUtils_And(C225,F225,I225,L225)</f>
        <v>Ok</v>
      </c>
    </row>
    <row r="221" spans="2:23" x14ac:dyDescent="0.25">
      <c r="B221" t="s">
        <v>190</v>
      </c>
    </row>
    <row r="223" spans="2:23" ht="15.75" x14ac:dyDescent="0.25">
      <c r="B223" s="4" t="s">
        <v>186</v>
      </c>
      <c r="C223" s="4"/>
      <c r="E223" s="4" t="s">
        <v>187</v>
      </c>
      <c r="F223" s="4"/>
      <c r="H223" s="4" t="s">
        <v>188</v>
      </c>
      <c r="I223" s="4"/>
      <c r="K223" s="4" t="s">
        <v>189</v>
      </c>
      <c r="L223" s="4"/>
      <c r="N223" s="4" t="s">
        <v>193</v>
      </c>
      <c r="O223" s="4"/>
      <c r="Q223" s="4" t="s">
        <v>195</v>
      </c>
      <c r="R223" s="4"/>
      <c r="T223" s="4" t="s">
        <v>195</v>
      </c>
      <c r="U223" s="4"/>
    </row>
    <row r="225" spans="2:21" x14ac:dyDescent="0.25">
      <c r="B225" s="59" t="s">
        <v>122</v>
      </c>
      <c r="C225" s="174" t="str" cm="1">
        <f t="array" ref="C225">_xll.d.TestUtils_IsTrue(C230="ERROR")</f>
        <v>Ok</v>
      </c>
      <c r="E225" s="59" t="s">
        <v>122</v>
      </c>
      <c r="F225" s="174" t="str" cm="1">
        <f t="array" ref="F225">_xll.d.TestUtils_IsTrue(F230="ERROR")</f>
        <v>Ok</v>
      </c>
      <c r="H225" s="59" t="s">
        <v>122</v>
      </c>
      <c r="I225" s="174" t="str" cm="1">
        <f t="array" ref="I225">_xll.d.TestUtils_IsTrue(_xll.d.TestUtils_Or(I230:I233)="ERROR")</f>
        <v>Ok</v>
      </c>
      <c r="K225" s="59" t="s">
        <v>122</v>
      </c>
      <c r="L225" s="174" t="str" cm="1">
        <f t="array" ref="L225">_xll.d.TestUtils_IsTrue(L230="ERROR")</f>
        <v>Ok</v>
      </c>
      <c r="N225" s="59" t="s">
        <v>122</v>
      </c>
      <c r="O225" s="174" t="str" cm="1">
        <f t="array" ref="O225">_xll.d.TestUtils_IsTrue(O230="ERROR")</f>
        <v>Ok</v>
      </c>
      <c r="Q225" s="59" t="s">
        <v>122</v>
      </c>
      <c r="R225" s="174" t="str" cm="1">
        <f t="array" ref="R225">_xll.d.TestUtils_IsTrue(R230="ERROR")</f>
        <v>Ok</v>
      </c>
      <c r="T225" s="59" t="s">
        <v>122</v>
      </c>
      <c r="U225" s="174" t="str" cm="1">
        <f t="array" ref="U225">_xll.d.TestUtils_IsTrue(U230="ERROR")</f>
        <v>Ok</v>
      </c>
    </row>
    <row r="227" spans="2:21" x14ac:dyDescent="0.25">
      <c r="B227" s="191" t="s">
        <v>130</v>
      </c>
      <c r="C227" s="175" t="s">
        <v>170</v>
      </c>
      <c r="E227" s="191" t="s">
        <v>130</v>
      </c>
      <c r="F227" s="175" t="s">
        <v>171</v>
      </c>
      <c r="H227" s="191" t="s">
        <v>130</v>
      </c>
      <c r="I227" s="175" t="s">
        <v>191</v>
      </c>
      <c r="K227" s="191" t="s">
        <v>130</v>
      </c>
      <c r="L227" s="175" t="s">
        <v>192</v>
      </c>
      <c r="N227" s="191" t="s">
        <v>130</v>
      </c>
      <c r="O227" s="175" t="s">
        <v>194</v>
      </c>
      <c r="Q227" s="191" t="s">
        <v>130</v>
      </c>
      <c r="R227" s="175" t="s">
        <v>196</v>
      </c>
      <c r="T227" s="191" t="s">
        <v>130</v>
      </c>
      <c r="U227" s="175" t="s">
        <v>197</v>
      </c>
    </row>
    <row r="228" spans="2:21" x14ac:dyDescent="0.25">
      <c r="B228" s="175"/>
    </row>
    <row r="229" spans="2:21" x14ac:dyDescent="0.25">
      <c r="B229" s="192" t="s">
        <v>128</v>
      </c>
      <c r="C229" s="192" t="s">
        <v>129</v>
      </c>
      <c r="E229" s="192" t="s">
        <v>128</v>
      </c>
      <c r="F229" s="192" t="s">
        <v>129</v>
      </c>
      <c r="H229" s="192" t="s">
        <v>128</v>
      </c>
      <c r="I229" s="192" t="s">
        <v>129</v>
      </c>
      <c r="K229" s="192" t="s">
        <v>128</v>
      </c>
      <c r="L229" s="192" t="s">
        <v>129</v>
      </c>
      <c r="N229" s="192" t="s">
        <v>128</v>
      </c>
      <c r="O229" s="192" t="s">
        <v>129</v>
      </c>
      <c r="Q229" s="192" t="s">
        <v>128</v>
      </c>
      <c r="R229" s="192" t="s">
        <v>129</v>
      </c>
      <c r="T229" s="192" t="s">
        <v>128</v>
      </c>
      <c r="U229" s="192" t="s">
        <v>129</v>
      </c>
    </row>
    <row r="230" spans="2:21" x14ac:dyDescent="0.25">
      <c r="B230" s="175" t="s">
        <v>124</v>
      </c>
      <c r="C230" s="175" t="str" cm="1">
        <f t="array" ref="C230">_xll.d.TestUtils_And(B230:B233)</f>
        <v>Error</v>
      </c>
      <c r="E230" s="175" t="s">
        <v>124</v>
      </c>
      <c r="F230" s="175" t="str" cm="1">
        <f t="array" ref="F230">_xll.d.TestUtils_Or(E230:E233)</f>
        <v>Error</v>
      </c>
      <c r="H230" s="175" t="s">
        <v>124</v>
      </c>
      <c r="I230" s="174" t="str">
        <f t="array" ref="I230:I233">_xll.d.TestUtils_Not(H230:H233)</f>
        <v>Error</v>
      </c>
      <c r="K230" s="175" t="e">
        <f>NA()</f>
        <v>#N/A</v>
      </c>
      <c r="L230" s="174" t="str" cm="1">
        <f t="array" ref="L230">_xll.d.TestUtils_IsTrue(K230)</f>
        <v>Error</v>
      </c>
      <c r="N230" s="175" t="e">
        <f>NA()</f>
        <v>#N/A</v>
      </c>
      <c r="O230" s="174" t="str" cm="1">
        <f t="array" ref="O230">_xll.d.TestUtils_IsFalse(N230)</f>
        <v>Error</v>
      </c>
      <c r="Q230" s="175">
        <v>10</v>
      </c>
      <c r="R230" s="174" t="str" cm="1">
        <f t="array" ref="R230">_xll.d.TestUtils_GreaterThan(Q230,Q231)</f>
        <v>Error</v>
      </c>
      <c r="T230" s="175">
        <v>10</v>
      </c>
      <c r="U230" s="174" t="str" cm="1">
        <f t="array" ref="U230">_xll.d.TestUtils_LessThan(T230,T231)</f>
        <v>Error</v>
      </c>
    </row>
    <row r="231" spans="2:21" x14ac:dyDescent="0.25">
      <c r="B231" s="175" t="s">
        <v>138</v>
      </c>
      <c r="E231" s="175" t="s">
        <v>138</v>
      </c>
      <c r="H231" s="175" t="s">
        <v>138</v>
      </c>
      <c r="I231" s="174" t="str">
        <v>Error</v>
      </c>
      <c r="K231" s="174"/>
      <c r="N231" s="174"/>
      <c r="Q231" t="e">
        <f>NA()</f>
        <v>#N/A</v>
      </c>
      <c r="T231" t="e">
        <f>NA()</f>
        <v>#N/A</v>
      </c>
    </row>
    <row r="232" spans="2:21" x14ac:dyDescent="0.25">
      <c r="B232" s="175" t="e">
        <f>NA()</f>
        <v>#N/A</v>
      </c>
      <c r="E232" s="175" t="e">
        <f>NA()</f>
        <v>#N/A</v>
      </c>
      <c r="H232" s="175" t="e">
        <f>NA()</f>
        <v>#N/A</v>
      </c>
      <c r="I232" s="174" t="str">
        <v>Error</v>
      </c>
      <c r="L232" s="174"/>
    </row>
    <row r="233" spans="2:21" x14ac:dyDescent="0.25">
      <c r="B233" s="175" t="s">
        <v>124</v>
      </c>
      <c r="E233" s="175" t="s">
        <v>124</v>
      </c>
      <c r="F233" s="175"/>
      <c r="H233" s="175" t="s">
        <v>124</v>
      </c>
      <c r="I233" s="174" t="str">
        <v>Error</v>
      </c>
      <c r="K233" s="175"/>
      <c r="L233" s="174"/>
    </row>
    <row r="234" spans="2:21" x14ac:dyDescent="0.25">
      <c r="H234" s="175"/>
      <c r="I234" s="175"/>
    </row>
    <row r="235" spans="2:21" x14ac:dyDescent="0.25">
      <c r="H235" s="175"/>
      <c r="I235" s="175"/>
      <c r="L235" s="175"/>
    </row>
    <row r="236" spans="2:21" x14ac:dyDescent="0.25">
      <c r="H236" s="175"/>
      <c r="I236" s="17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18" t="s">
        <v>403</v>
      </c>
    </row>
    <row r="2" spans="2:56" ht="26.25" x14ac:dyDescent="0.4">
      <c r="B2" s="2" t="s">
        <v>84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97" t="s">
        <v>157</v>
      </c>
      <c r="C4" s="198" t="str" cm="1">
        <f t="array" aca="1" ref="C4" ca="1">_xll.d.TestUtils_And(C7:C14)</f>
        <v>Error</v>
      </c>
      <c r="E4" s="144" t="s">
        <v>112</v>
      </c>
      <c r="F4" s="59"/>
    </row>
    <row r="5" spans="2:56" x14ac:dyDescent="0.25">
      <c r="E5" s="419" t="s">
        <v>469</v>
      </c>
      <c r="F5" s="420"/>
    </row>
    <row r="6" spans="2:56" x14ac:dyDescent="0.25">
      <c r="B6" s="199" t="s">
        <v>9</v>
      </c>
      <c r="C6" s="200" t="s">
        <v>10</v>
      </c>
      <c r="E6" s="421" t="s">
        <v>468</v>
      </c>
      <c r="F6" s="141"/>
    </row>
    <row r="7" spans="2:56" x14ac:dyDescent="0.25">
      <c r="B7" s="196" t="s">
        <v>105</v>
      </c>
      <c r="C7" s="174" t="str">
        <f ca="1">C24</f>
        <v>Error</v>
      </c>
    </row>
    <row r="8" spans="2:56" x14ac:dyDescent="0.25">
      <c r="B8" s="196" t="s">
        <v>107</v>
      </c>
      <c r="C8" s="174" t="str">
        <f ca="1">C48</f>
        <v>Error</v>
      </c>
    </row>
    <row r="9" spans="2:56" x14ac:dyDescent="0.25">
      <c r="B9" s="196" t="s">
        <v>108</v>
      </c>
      <c r="C9" s="174" t="str">
        <f ca="1">C72</f>
        <v>Ok</v>
      </c>
    </row>
    <row r="10" spans="2:56" x14ac:dyDescent="0.25">
      <c r="B10" s="196" t="s">
        <v>111</v>
      </c>
      <c r="C10" s="174" t="str">
        <f ca="1">C108</f>
        <v>Ok</v>
      </c>
    </row>
    <row r="11" spans="2:56" x14ac:dyDescent="0.25">
      <c r="B11" s="196" t="s">
        <v>114</v>
      </c>
      <c r="C11" s="174" t="str">
        <f ca="1">C144</f>
        <v>Ok</v>
      </c>
    </row>
    <row r="12" spans="2:56" x14ac:dyDescent="0.25">
      <c r="B12" s="196" t="s">
        <v>116</v>
      </c>
      <c r="C12" s="174" t="str">
        <f ca="1">C166</f>
        <v>Ok</v>
      </c>
    </row>
    <row r="13" spans="2:56" x14ac:dyDescent="0.25">
      <c r="B13" s="196" t="s">
        <v>158</v>
      </c>
      <c r="C13" s="174" t="str">
        <f ca="1">C186</f>
        <v>Ok</v>
      </c>
    </row>
    <row r="14" spans="2:56" x14ac:dyDescent="0.25">
      <c r="B14" s="196" t="s">
        <v>163</v>
      </c>
      <c r="C14" s="174" t="str">
        <f ca="1">C203</f>
        <v>Ok</v>
      </c>
    </row>
    <row r="17" spans="2:72" s="64" customFormat="1" x14ac:dyDescent="0.25">
      <c r="B17" s="606" t="s">
        <v>546</v>
      </c>
    </row>
    <row r="18" spans="2:72" x14ac:dyDescent="0.25">
      <c r="B18" s="607" t="s">
        <v>552</v>
      </c>
    </row>
    <row r="19" spans="2:72" x14ac:dyDescent="0.25">
      <c r="B19" s="607"/>
    </row>
    <row r="20" spans="2:72" x14ac:dyDescent="0.25">
      <c r="B20" s="607" t="s">
        <v>547</v>
      </c>
    </row>
    <row r="22" spans="2:72" ht="18.75" x14ac:dyDescent="0.3">
      <c r="B22" s="3" t="s">
        <v>105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9" t="s">
        <v>122</v>
      </c>
      <c r="C24" s="174" t="str" cm="1">
        <f t="array" aca="1" ref="C24" ca="1">_xll.d.TestUtils_And(BD39:BT43)</f>
        <v>Error</v>
      </c>
    </row>
    <row r="26" spans="2:72" x14ac:dyDescent="0.25">
      <c r="B26" s="59" t="s">
        <v>106</v>
      </c>
      <c r="C26" s="59" t="s">
        <v>32</v>
      </c>
    </row>
    <row r="27" spans="2:72" x14ac:dyDescent="0.25">
      <c r="B27" s="91" t="s">
        <v>101</v>
      </c>
      <c r="C27" s="156" t="s">
        <v>118</v>
      </c>
    </row>
    <row r="28" spans="2:72" x14ac:dyDescent="0.25">
      <c r="B28" s="85" t="s">
        <v>102</v>
      </c>
      <c r="C28" s="157" t="s">
        <v>0</v>
      </c>
    </row>
    <row r="29" spans="2:72" x14ac:dyDescent="0.25">
      <c r="B29" s="87"/>
      <c r="C29" s="158" t="s">
        <v>103</v>
      </c>
    </row>
    <row r="30" spans="2:72" x14ac:dyDescent="0.25">
      <c r="B30" s="89"/>
      <c r="C30" s="159" t="s">
        <v>104</v>
      </c>
    </row>
    <row r="31" spans="2:72" x14ac:dyDescent="0.25">
      <c r="B31" s="155" t="s">
        <v>117</v>
      </c>
      <c r="C31" s="161">
        <v>2</v>
      </c>
    </row>
    <row r="32" spans="2:72" x14ac:dyDescent="0.25">
      <c r="B32" s="155" t="s">
        <v>118</v>
      </c>
      <c r="C32" s="161">
        <v>0</v>
      </c>
    </row>
    <row r="33" spans="2:72" x14ac:dyDescent="0.25">
      <c r="B33" s="139" t="s">
        <v>109</v>
      </c>
      <c r="C33" s="140"/>
    </row>
    <row r="35" spans="2:72" x14ac:dyDescent="0.25">
      <c r="B35" t="s">
        <v>87</v>
      </c>
    </row>
    <row r="37" spans="2:72" x14ac:dyDescent="0.25">
      <c r="B37" s="68" t="s">
        <v>86</v>
      </c>
      <c r="T37" s="68" t="s">
        <v>99</v>
      </c>
      <c r="AL37" s="68" t="s">
        <v>100</v>
      </c>
      <c r="BD37" s="68" t="s">
        <v>123</v>
      </c>
    </row>
    <row r="39" spans="2:72" x14ac:dyDescent="0.25">
      <c r="B39" s="12" t="s">
        <v>89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46" t="s">
        <v>89</v>
      </c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L39" s="304" t="s">
        <v>89</v>
      </c>
      <c r="AM39" s="305"/>
      <c r="AN39" s="305"/>
      <c r="AO39" s="305"/>
      <c r="AP39" s="305"/>
      <c r="AQ39" s="305"/>
      <c r="AR39" s="305"/>
      <c r="AS39" s="305"/>
      <c r="AT39" s="305"/>
      <c r="AU39" s="305"/>
      <c r="AV39" s="305"/>
      <c r="AW39" s="305"/>
      <c r="AX39" s="305"/>
      <c r="AY39" s="305"/>
      <c r="AZ39" s="305"/>
      <c r="BA39" s="305"/>
      <c r="BB39" s="306"/>
      <c r="BD39" s="174" t="str" cm="1">
        <f t="array" aca="1" ref="BD39" ca="1">_xll.d.TestUtils_IsTrue(_xll.d.Formatting_Equal(B39,AL39))</f>
        <v>Error</v>
      </c>
      <c r="BE39" s="174" t="str" cm="1">
        <f t="array" aca="1" ref="BE39" ca="1">_xll.d.TestUtils_IsTrue(_xll.d.Formatting_Equal(C39,AM39))</f>
        <v>Error</v>
      </c>
      <c r="BF39" s="174" t="str" cm="1">
        <f t="array" aca="1" ref="BF39" ca="1">_xll.d.TestUtils_IsTrue(_xll.d.Formatting_Equal(D39,AN39))</f>
        <v>Error</v>
      </c>
      <c r="BG39" s="174" t="str" cm="1">
        <f t="array" aca="1" ref="BG39" ca="1">_xll.d.TestUtils_IsTrue(_xll.d.Formatting_Equal(E39,AO39))</f>
        <v>Error</v>
      </c>
      <c r="BH39" s="174" t="str" cm="1">
        <f t="array" aca="1" ref="BH39" ca="1">_xll.d.TestUtils_IsTrue(_xll.d.Formatting_Equal(F39,AP39))</f>
        <v>Error</v>
      </c>
      <c r="BI39" s="174" t="str" cm="1">
        <f t="array" aca="1" ref="BI39" ca="1">_xll.d.TestUtils_IsTrue(_xll.d.Formatting_Equal(G39,AQ39))</f>
        <v>Error</v>
      </c>
      <c r="BJ39" s="174" t="str" cm="1">
        <f t="array" aca="1" ref="BJ39" ca="1">_xll.d.TestUtils_IsTrue(_xll.d.Formatting_Equal(H39,AR39))</f>
        <v>Error</v>
      </c>
      <c r="BK39" s="174" t="str" cm="1">
        <f t="array" aca="1" ref="BK39" ca="1">_xll.d.TestUtils_IsTrue(_xll.d.Formatting_Equal(I39,AS39))</f>
        <v>Error</v>
      </c>
      <c r="BL39" s="174" t="str" cm="1">
        <f t="array" aca="1" ref="BL39" ca="1">_xll.d.TestUtils_IsTrue(_xll.d.Formatting_Equal(J39,AT39))</f>
        <v>Error</v>
      </c>
      <c r="BM39" s="174" t="str" cm="1">
        <f t="array" aca="1" ref="BM39" ca="1">_xll.d.TestUtils_IsTrue(_xll.d.Formatting_Equal(K39,AU39))</f>
        <v>Error</v>
      </c>
      <c r="BN39" s="174" t="str" cm="1">
        <f t="array" aca="1" ref="BN39" ca="1">_xll.d.TestUtils_IsTrue(_xll.d.Formatting_Equal(L39,AV39))</f>
        <v>Error</v>
      </c>
      <c r="BO39" s="174" t="str" cm="1">
        <f t="array" aca="1" ref="BO39" ca="1">_xll.d.TestUtils_IsTrue(_xll.d.Formatting_Equal(M39,AW39))</f>
        <v>Error</v>
      </c>
      <c r="BP39" s="174" t="str" cm="1">
        <f t="array" aca="1" ref="BP39" ca="1">_xll.d.TestUtils_IsTrue(_xll.d.Formatting_Equal(N39,AX39))</f>
        <v>Error</v>
      </c>
      <c r="BQ39" s="174" t="str" cm="1">
        <f t="array" aca="1" ref="BQ39" ca="1">_xll.d.TestUtils_IsTrue(_xll.d.Formatting_Equal(O39,AY39))</f>
        <v>Error</v>
      </c>
      <c r="BR39" s="174" t="str" cm="1">
        <f t="array" aca="1" ref="BR39" ca="1">_xll.d.TestUtils_IsTrue(_xll.d.Formatting_Equal(P39,AZ39))</f>
        <v>Error</v>
      </c>
      <c r="BS39" s="174" t="str" cm="1">
        <f t="array" aca="1" ref="BS39" ca="1">_xll.d.TestUtils_IsTrue(_xll.d.Formatting_Equal(Q39,BA39))</f>
        <v>Error</v>
      </c>
      <c r="BT39" s="174" t="str" cm="1">
        <f t="array" aca="1" ref="BT39" ca="1">_xll.d.TestUtils_IsTrue(_xll.d.Formatting_Equal(R39,BB39))</f>
        <v>Error</v>
      </c>
    </row>
    <row r="40" spans="2:72" x14ac:dyDescent="0.25">
      <c r="B40" s="72" t="s">
        <v>34</v>
      </c>
      <c r="C40" s="73" t="s">
        <v>0</v>
      </c>
      <c r="D40" s="73" t="s">
        <v>90</v>
      </c>
      <c r="E40" s="73" t="s">
        <v>91</v>
      </c>
      <c r="F40" s="73" t="s">
        <v>92</v>
      </c>
      <c r="G40" s="73" t="s">
        <v>93</v>
      </c>
      <c r="H40" s="73" t="s">
        <v>94</v>
      </c>
      <c r="I40" s="73" t="s">
        <v>78</v>
      </c>
      <c r="J40" s="73" t="s">
        <v>79</v>
      </c>
      <c r="K40" s="73" t="s">
        <v>80</v>
      </c>
      <c r="L40" s="73" t="s">
        <v>95</v>
      </c>
      <c r="M40" s="73" t="s">
        <v>24</v>
      </c>
      <c r="N40" s="73" t="s">
        <v>39</v>
      </c>
      <c r="O40" s="73" t="s">
        <v>96</v>
      </c>
      <c r="P40" s="73" t="s">
        <v>88</v>
      </c>
      <c r="Q40" s="73" t="s">
        <v>98</v>
      </c>
      <c r="R40" s="74" t="s">
        <v>97</v>
      </c>
      <c r="T40" s="146" t="s">
        <v>34</v>
      </c>
      <c r="U40" s="146" t="s">
        <v>0</v>
      </c>
      <c r="V40" s="146" t="s">
        <v>90</v>
      </c>
      <c r="W40" s="146" t="s">
        <v>91</v>
      </c>
      <c r="X40" s="146" t="s">
        <v>92</v>
      </c>
      <c r="Y40" s="146" t="s">
        <v>93</v>
      </c>
      <c r="Z40" s="146" t="s">
        <v>94</v>
      </c>
      <c r="AA40" s="146" t="s">
        <v>78</v>
      </c>
      <c r="AB40" s="146" t="s">
        <v>79</v>
      </c>
      <c r="AC40" s="146" t="s">
        <v>80</v>
      </c>
      <c r="AD40" s="146" t="s">
        <v>95</v>
      </c>
      <c r="AE40" s="146" t="s">
        <v>24</v>
      </c>
      <c r="AF40" s="146" t="s">
        <v>39</v>
      </c>
      <c r="AG40" s="146" t="s">
        <v>96</v>
      </c>
      <c r="AH40" s="146" t="s">
        <v>88</v>
      </c>
      <c r="AI40" s="146" t="s">
        <v>98</v>
      </c>
      <c r="AJ40" s="146" t="s">
        <v>97</v>
      </c>
      <c r="AL40" s="332" t="s">
        <v>34</v>
      </c>
      <c r="AM40" s="640" t="s">
        <v>0</v>
      </c>
      <c r="AN40" s="640" t="s">
        <v>90</v>
      </c>
      <c r="AO40" s="640" t="s">
        <v>91</v>
      </c>
      <c r="AP40" s="640" t="s">
        <v>92</v>
      </c>
      <c r="AQ40" s="640" t="s">
        <v>93</v>
      </c>
      <c r="AR40" s="640" t="s">
        <v>94</v>
      </c>
      <c r="AS40" s="640" t="s">
        <v>78</v>
      </c>
      <c r="AT40" s="640" t="s">
        <v>79</v>
      </c>
      <c r="AU40" s="640" t="s">
        <v>80</v>
      </c>
      <c r="AV40" s="640" t="s">
        <v>95</v>
      </c>
      <c r="AW40" s="640" t="s">
        <v>24</v>
      </c>
      <c r="AX40" s="640" t="s">
        <v>39</v>
      </c>
      <c r="AY40" s="640" t="s">
        <v>96</v>
      </c>
      <c r="AZ40" s="640" t="s">
        <v>88</v>
      </c>
      <c r="BA40" s="640" t="s">
        <v>98</v>
      </c>
      <c r="BB40" s="641" t="s">
        <v>97</v>
      </c>
      <c r="BD40" s="174" t="str" cm="1">
        <f t="array" aca="1" ref="BD40" ca="1">_xll.d.TestUtils_IsTrue(_xll.d.Formatting_Equal(B40,AL40))</f>
        <v>Error</v>
      </c>
      <c r="BE40" s="174" t="str" cm="1">
        <f t="array" aca="1" ref="BE40" ca="1">_xll.d.TestUtils_IsTrue(_xll.d.Formatting_Equal(C40,AM40))</f>
        <v>Error</v>
      </c>
      <c r="BF40" s="174" t="str" cm="1">
        <f t="array" aca="1" ref="BF40" ca="1">_xll.d.TestUtils_IsTrue(_xll.d.Formatting_Equal(D40,AN40))</f>
        <v>Error</v>
      </c>
      <c r="BG40" s="174" t="str" cm="1">
        <f t="array" aca="1" ref="BG40" ca="1">_xll.d.TestUtils_IsTrue(_xll.d.Formatting_Equal(E40,AO40))</f>
        <v>Error</v>
      </c>
      <c r="BH40" s="174" t="str" cm="1">
        <f t="array" aca="1" ref="BH40" ca="1">_xll.d.TestUtils_IsTrue(_xll.d.Formatting_Equal(F40,AP40))</f>
        <v>Error</v>
      </c>
      <c r="BI40" s="174" t="str" cm="1">
        <f t="array" aca="1" ref="BI40" ca="1">_xll.d.TestUtils_IsTrue(_xll.d.Formatting_Equal(G40,AQ40))</f>
        <v>Error</v>
      </c>
      <c r="BJ40" s="174" t="str" cm="1">
        <f t="array" aca="1" ref="BJ40" ca="1">_xll.d.TestUtils_IsTrue(_xll.d.Formatting_Equal(H40,AR40))</f>
        <v>Error</v>
      </c>
      <c r="BK40" s="174" t="str" cm="1">
        <f t="array" aca="1" ref="BK40" ca="1">_xll.d.TestUtils_IsTrue(_xll.d.Formatting_Equal(I40,AS40))</f>
        <v>Error</v>
      </c>
      <c r="BL40" s="174" t="str" cm="1">
        <f t="array" aca="1" ref="BL40" ca="1">_xll.d.TestUtils_IsTrue(_xll.d.Formatting_Equal(J40,AT40))</f>
        <v>Error</v>
      </c>
      <c r="BM40" s="174" t="str" cm="1">
        <f t="array" aca="1" ref="BM40" ca="1">_xll.d.TestUtils_IsTrue(_xll.d.Formatting_Equal(K40,AU40))</f>
        <v>Error</v>
      </c>
      <c r="BN40" s="174" t="str" cm="1">
        <f t="array" aca="1" ref="BN40" ca="1">_xll.d.TestUtils_IsTrue(_xll.d.Formatting_Equal(L40,AV40))</f>
        <v>Error</v>
      </c>
      <c r="BO40" s="174" t="str" cm="1">
        <f t="array" aca="1" ref="BO40" ca="1">_xll.d.TestUtils_IsTrue(_xll.d.Formatting_Equal(M40,AW40))</f>
        <v>Error</v>
      </c>
      <c r="BP40" s="174" t="str" cm="1">
        <f t="array" aca="1" ref="BP40" ca="1">_xll.d.TestUtils_IsTrue(_xll.d.Formatting_Equal(N40,AX40))</f>
        <v>Error</v>
      </c>
      <c r="BQ40" s="174" t="str" cm="1">
        <f t="array" aca="1" ref="BQ40" ca="1">_xll.d.TestUtils_IsTrue(_xll.d.Formatting_Equal(O40,AY40))</f>
        <v>Error</v>
      </c>
      <c r="BR40" s="174" t="str" cm="1">
        <f t="array" aca="1" ref="BR40" ca="1">_xll.d.TestUtils_IsTrue(_xll.d.Formatting_Equal(P40,AZ40))</f>
        <v>Error</v>
      </c>
      <c r="BS40" s="174" t="str" cm="1">
        <f t="array" aca="1" ref="BS40" ca="1">_xll.d.TestUtils_IsTrue(_xll.d.Formatting_Equal(Q40,BA40))</f>
        <v>Error</v>
      </c>
      <c r="BT40" s="174" t="str" cm="1">
        <f t="array" aca="1" ref="BT40" ca="1">_xll.d.TestUtils_IsTrue(_xll.d.Formatting_Equal(R40,BB40))</f>
        <v>Error</v>
      </c>
    </row>
    <row r="41" spans="2:72" x14ac:dyDescent="0.25">
      <c r="B41" s="121">
        <v>44562</v>
      </c>
      <c r="C41" s="124">
        <v>44562</v>
      </c>
      <c r="D41" s="103">
        <v>1000</v>
      </c>
      <c r="E41" s="106">
        <v>1000</v>
      </c>
      <c r="F41" s="109">
        <v>1000</v>
      </c>
      <c r="G41" s="112">
        <v>1000</v>
      </c>
      <c r="H41" s="115">
        <v>0.3</v>
      </c>
      <c r="I41" s="115">
        <v>0.3</v>
      </c>
      <c r="J41" s="115">
        <v>0.3</v>
      </c>
      <c r="K41" s="115">
        <v>0.3</v>
      </c>
      <c r="L41" s="115">
        <v>0.3</v>
      </c>
      <c r="M41" s="115">
        <v>0.3</v>
      </c>
      <c r="N41" s="115">
        <v>0.3</v>
      </c>
      <c r="O41" s="115">
        <v>0.3</v>
      </c>
      <c r="P41" s="115">
        <v>0.3</v>
      </c>
      <c r="Q41" s="115">
        <v>0.3</v>
      </c>
      <c r="R41" s="118">
        <v>0.3</v>
      </c>
      <c r="T41" s="146">
        <v>44562</v>
      </c>
      <c r="U41" s="146">
        <v>44562</v>
      </c>
      <c r="V41" s="146">
        <v>1000</v>
      </c>
      <c r="W41" s="146">
        <v>1000</v>
      </c>
      <c r="X41" s="146">
        <v>1000</v>
      </c>
      <c r="Y41" s="146">
        <v>1000</v>
      </c>
      <c r="Z41" s="146">
        <v>0.3</v>
      </c>
      <c r="AA41" s="146">
        <v>0.3</v>
      </c>
      <c r="AB41" s="146">
        <v>0.3</v>
      </c>
      <c r="AC41" s="146">
        <v>0.3</v>
      </c>
      <c r="AD41" s="146">
        <v>0.3</v>
      </c>
      <c r="AE41" s="146">
        <v>0.3</v>
      </c>
      <c r="AF41" s="146">
        <v>0.3</v>
      </c>
      <c r="AG41" s="146">
        <v>0.3</v>
      </c>
      <c r="AH41" s="146">
        <v>0.3</v>
      </c>
      <c r="AI41" s="146">
        <v>0.3</v>
      </c>
      <c r="AJ41" s="146">
        <v>0.3</v>
      </c>
      <c r="AL41" s="170">
        <v>44562</v>
      </c>
      <c r="AM41" s="172">
        <v>44562</v>
      </c>
      <c r="AN41" s="703">
        <v>1000</v>
      </c>
      <c r="AO41" s="705">
        <v>1000</v>
      </c>
      <c r="AP41" s="707">
        <v>1000</v>
      </c>
      <c r="AQ41" s="709">
        <v>1000</v>
      </c>
      <c r="AR41" s="711">
        <v>0.3</v>
      </c>
      <c r="AS41" s="711">
        <v>0.3</v>
      </c>
      <c r="AT41" s="711">
        <v>0.3</v>
      </c>
      <c r="AU41" s="711">
        <v>0.3</v>
      </c>
      <c r="AV41" s="711">
        <v>0.3</v>
      </c>
      <c r="AW41" s="711">
        <v>0.3</v>
      </c>
      <c r="AX41" s="711">
        <v>0.3</v>
      </c>
      <c r="AY41" s="711">
        <v>0.3</v>
      </c>
      <c r="AZ41" s="711">
        <v>0.3</v>
      </c>
      <c r="BA41" s="711">
        <v>0.3</v>
      </c>
      <c r="BB41" s="712">
        <v>0.3</v>
      </c>
      <c r="BD41" s="174" t="str" cm="1">
        <f t="array" aca="1" ref="BD41" ca="1">_xll.d.TestUtils_IsTrue(_xll.d.Formatting_Equal(B41,AL41))</f>
        <v>Error</v>
      </c>
      <c r="BE41" s="174" t="str" cm="1">
        <f t="array" aca="1" ref="BE41" ca="1">_xll.d.TestUtils_IsTrue(_xll.d.Formatting_Equal(C41,AM41))</f>
        <v>Error</v>
      </c>
      <c r="BF41" s="174" t="str" cm="1">
        <f t="array" aca="1" ref="BF41" ca="1">_xll.d.TestUtils_IsTrue(_xll.d.Formatting_Equal(D41,AN41))</f>
        <v>Error</v>
      </c>
      <c r="BG41" s="174" t="str" cm="1">
        <f t="array" aca="1" ref="BG41" ca="1">_xll.d.TestUtils_IsTrue(_xll.d.Formatting_Equal(E41,AO41))</f>
        <v>Error</v>
      </c>
      <c r="BH41" s="174" t="str" cm="1">
        <f t="array" aca="1" ref="BH41" ca="1">_xll.d.TestUtils_IsTrue(_xll.d.Formatting_Equal(F41,AP41))</f>
        <v>Error</v>
      </c>
      <c r="BI41" s="174" t="str" cm="1">
        <f t="array" aca="1" ref="BI41" ca="1">_xll.d.TestUtils_IsTrue(_xll.d.Formatting_Equal(G41,AQ41))</f>
        <v>Error</v>
      </c>
      <c r="BJ41" s="174" t="str" cm="1">
        <f t="array" aca="1" ref="BJ41" ca="1">_xll.d.TestUtils_IsTrue(_xll.d.Formatting_Equal(H41,AR41))</f>
        <v>Error</v>
      </c>
      <c r="BK41" s="174" t="str" cm="1">
        <f t="array" aca="1" ref="BK41" ca="1">_xll.d.TestUtils_IsTrue(_xll.d.Formatting_Equal(I41,AS41))</f>
        <v>Error</v>
      </c>
      <c r="BL41" s="174" t="str" cm="1">
        <f t="array" aca="1" ref="BL41" ca="1">_xll.d.TestUtils_IsTrue(_xll.d.Formatting_Equal(J41,AT41))</f>
        <v>Error</v>
      </c>
      <c r="BM41" s="174" t="str" cm="1">
        <f t="array" aca="1" ref="BM41" ca="1">_xll.d.TestUtils_IsTrue(_xll.d.Formatting_Equal(K41,AU41))</f>
        <v>Error</v>
      </c>
      <c r="BN41" s="174" t="str" cm="1">
        <f t="array" aca="1" ref="BN41" ca="1">_xll.d.TestUtils_IsTrue(_xll.d.Formatting_Equal(L41,AV41))</f>
        <v>Error</v>
      </c>
      <c r="BO41" s="174" t="str" cm="1">
        <f t="array" aca="1" ref="BO41" ca="1">_xll.d.TestUtils_IsTrue(_xll.d.Formatting_Equal(M41,AW41))</f>
        <v>Error</v>
      </c>
      <c r="BP41" s="174" t="str" cm="1">
        <f t="array" aca="1" ref="BP41" ca="1">_xll.d.TestUtils_IsTrue(_xll.d.Formatting_Equal(N41,AX41))</f>
        <v>Error</v>
      </c>
      <c r="BQ41" s="174" t="str" cm="1">
        <f t="array" aca="1" ref="BQ41" ca="1">_xll.d.TestUtils_IsTrue(_xll.d.Formatting_Equal(O41,AY41))</f>
        <v>Error</v>
      </c>
      <c r="BR41" s="174" t="str" cm="1">
        <f t="array" aca="1" ref="BR41" ca="1">_xll.d.TestUtils_IsTrue(_xll.d.Formatting_Equal(P41,AZ41))</f>
        <v>Ok</v>
      </c>
      <c r="BS41" s="174" t="str" cm="1">
        <f t="array" aca="1" ref="BS41" ca="1">_xll.d.TestUtils_IsTrue(_xll.d.Formatting_Equal(Q41,BA41))</f>
        <v>Error</v>
      </c>
      <c r="BT41" s="174" t="str" cm="1">
        <f t="array" aca="1" ref="BT41" ca="1">_xll.d.TestUtils_IsTrue(_xll.d.Formatting_Equal(R41,BB41))</f>
        <v>Error</v>
      </c>
    </row>
    <row r="42" spans="2:72" x14ac:dyDescent="0.25">
      <c r="B42" s="122">
        <v>44593</v>
      </c>
      <c r="C42" s="125">
        <v>44593</v>
      </c>
      <c r="D42" s="104">
        <v>2000</v>
      </c>
      <c r="E42" s="107">
        <v>2000</v>
      </c>
      <c r="F42" s="110">
        <v>2000</v>
      </c>
      <c r="G42" s="113">
        <v>2000</v>
      </c>
      <c r="H42" s="116">
        <v>0.4</v>
      </c>
      <c r="I42" s="116">
        <v>0.4</v>
      </c>
      <c r="J42" s="116">
        <v>0.4</v>
      </c>
      <c r="K42" s="116">
        <v>0.4</v>
      </c>
      <c r="L42" s="116">
        <v>0.4</v>
      </c>
      <c r="M42" s="116">
        <v>0.4</v>
      </c>
      <c r="N42" s="116">
        <v>0.4</v>
      </c>
      <c r="O42" s="116">
        <v>0.4</v>
      </c>
      <c r="P42" s="116">
        <v>0.4</v>
      </c>
      <c r="Q42" s="116">
        <v>0.4</v>
      </c>
      <c r="R42" s="119">
        <v>0.4</v>
      </c>
      <c r="T42" s="146">
        <v>44593</v>
      </c>
      <c r="U42" s="146">
        <v>44593</v>
      </c>
      <c r="V42" s="146">
        <v>2000</v>
      </c>
      <c r="W42" s="146">
        <v>2000</v>
      </c>
      <c r="X42" s="146">
        <v>2000</v>
      </c>
      <c r="Y42" s="146">
        <v>2000</v>
      </c>
      <c r="Z42" s="146">
        <v>0.4</v>
      </c>
      <c r="AA42" s="146">
        <v>0.4</v>
      </c>
      <c r="AB42" s="146">
        <v>0.4</v>
      </c>
      <c r="AC42" s="146">
        <v>0.4</v>
      </c>
      <c r="AD42" s="146">
        <v>0.4</v>
      </c>
      <c r="AE42" s="146">
        <v>0.4</v>
      </c>
      <c r="AF42" s="146">
        <v>0.4</v>
      </c>
      <c r="AG42" s="146">
        <v>0.4</v>
      </c>
      <c r="AH42" s="146">
        <v>0.4</v>
      </c>
      <c r="AI42" s="146">
        <v>0.4</v>
      </c>
      <c r="AJ42" s="146">
        <v>0.4</v>
      </c>
      <c r="AL42" s="171">
        <v>44593</v>
      </c>
      <c r="AM42" s="173">
        <v>44593</v>
      </c>
      <c r="AN42" s="162">
        <v>2000</v>
      </c>
      <c r="AO42" s="163">
        <v>2000</v>
      </c>
      <c r="AP42" s="164">
        <v>2000</v>
      </c>
      <c r="AQ42" s="165">
        <v>2000</v>
      </c>
      <c r="AR42" s="166">
        <v>0.4</v>
      </c>
      <c r="AS42" s="166">
        <v>0.4</v>
      </c>
      <c r="AT42" s="166">
        <v>0.4</v>
      </c>
      <c r="AU42" s="166">
        <v>0.4</v>
      </c>
      <c r="AV42" s="166">
        <v>0.4</v>
      </c>
      <c r="AW42" s="166">
        <v>0.4</v>
      </c>
      <c r="AX42" s="166">
        <v>0.4</v>
      </c>
      <c r="AY42" s="166">
        <v>0.4</v>
      </c>
      <c r="AZ42" s="166">
        <v>0.4</v>
      </c>
      <c r="BA42" s="166">
        <v>0.4</v>
      </c>
      <c r="BB42" s="168">
        <v>0.4</v>
      </c>
      <c r="BD42" s="174" t="str" cm="1">
        <f t="array" aca="1" ref="BD42" ca="1">_xll.d.TestUtils_IsTrue(_xll.d.Formatting_Equal(B42,AL42))</f>
        <v>Error</v>
      </c>
      <c r="BE42" s="174" t="str" cm="1">
        <f t="array" aca="1" ref="BE42" ca="1">_xll.d.TestUtils_IsTrue(_xll.d.Formatting_Equal(C42,AM42))</f>
        <v>Error</v>
      </c>
      <c r="BF42" s="174" t="str" cm="1">
        <f t="array" aca="1" ref="BF42" ca="1">_xll.d.TestUtils_IsTrue(_xll.d.Formatting_Equal(D42,AN42))</f>
        <v>Error</v>
      </c>
      <c r="BG42" s="174" t="str" cm="1">
        <f t="array" aca="1" ref="BG42" ca="1">_xll.d.TestUtils_IsTrue(_xll.d.Formatting_Equal(E42,AO42))</f>
        <v>Error</v>
      </c>
      <c r="BH42" s="174" t="str" cm="1">
        <f t="array" aca="1" ref="BH42" ca="1">_xll.d.TestUtils_IsTrue(_xll.d.Formatting_Equal(F42,AP42))</f>
        <v>Error</v>
      </c>
      <c r="BI42" s="174" t="str" cm="1">
        <f t="array" aca="1" ref="BI42" ca="1">_xll.d.TestUtils_IsTrue(_xll.d.Formatting_Equal(G42,AQ42))</f>
        <v>Error</v>
      </c>
      <c r="BJ42" s="174" t="str" cm="1">
        <f t="array" aca="1" ref="BJ42" ca="1">_xll.d.TestUtils_IsTrue(_xll.d.Formatting_Equal(H42,AR42))</f>
        <v>Error</v>
      </c>
      <c r="BK42" s="174" t="str" cm="1">
        <f t="array" aca="1" ref="BK42" ca="1">_xll.d.TestUtils_IsTrue(_xll.d.Formatting_Equal(I42,AS42))</f>
        <v>Error</v>
      </c>
      <c r="BL42" s="174" t="str" cm="1">
        <f t="array" aca="1" ref="BL42" ca="1">_xll.d.TestUtils_IsTrue(_xll.d.Formatting_Equal(J42,AT42))</f>
        <v>Error</v>
      </c>
      <c r="BM42" s="174" t="str" cm="1">
        <f t="array" aca="1" ref="BM42" ca="1">_xll.d.TestUtils_IsTrue(_xll.d.Formatting_Equal(K42,AU42))</f>
        <v>Error</v>
      </c>
      <c r="BN42" s="174" t="str" cm="1">
        <f t="array" aca="1" ref="BN42" ca="1">_xll.d.TestUtils_IsTrue(_xll.d.Formatting_Equal(L42,AV42))</f>
        <v>Error</v>
      </c>
      <c r="BO42" s="174" t="str" cm="1">
        <f t="array" aca="1" ref="BO42" ca="1">_xll.d.TestUtils_IsTrue(_xll.d.Formatting_Equal(M42,AW42))</f>
        <v>Error</v>
      </c>
      <c r="BP42" s="174" t="str" cm="1">
        <f t="array" aca="1" ref="BP42" ca="1">_xll.d.TestUtils_IsTrue(_xll.d.Formatting_Equal(N42,AX42))</f>
        <v>Error</v>
      </c>
      <c r="BQ42" s="174" t="str" cm="1">
        <f t="array" aca="1" ref="BQ42" ca="1">_xll.d.TestUtils_IsTrue(_xll.d.Formatting_Equal(O42,AY42))</f>
        <v>Error</v>
      </c>
      <c r="BR42" s="174" t="str" cm="1">
        <f t="array" aca="1" ref="BR42" ca="1">_xll.d.TestUtils_IsTrue(_xll.d.Formatting_Equal(P42,AZ42))</f>
        <v>Error</v>
      </c>
      <c r="BS42" s="174" t="str" cm="1">
        <f t="array" aca="1" ref="BS42" ca="1">_xll.d.TestUtils_IsTrue(_xll.d.Formatting_Equal(Q42,BA42))</f>
        <v>Error</v>
      </c>
      <c r="BT42" s="174" t="str" cm="1">
        <f t="array" aca="1" ref="BT42" ca="1">_xll.d.TestUtils_IsTrue(_xll.d.Formatting_Equal(R42,BB42))</f>
        <v>Error</v>
      </c>
    </row>
    <row r="43" spans="2:72" x14ac:dyDescent="0.25">
      <c r="B43" s="123">
        <v>44621</v>
      </c>
      <c r="C43" s="126">
        <v>44621</v>
      </c>
      <c r="D43" s="105">
        <v>3000</v>
      </c>
      <c r="E43" s="108">
        <v>3000</v>
      </c>
      <c r="F43" s="111">
        <v>3000</v>
      </c>
      <c r="G43" s="114">
        <v>3000</v>
      </c>
      <c r="H43" s="117">
        <v>0.5</v>
      </c>
      <c r="I43" s="117">
        <v>0.5</v>
      </c>
      <c r="J43" s="117">
        <v>0.5</v>
      </c>
      <c r="K43" s="117">
        <v>0.5</v>
      </c>
      <c r="L43" s="117">
        <v>0.5</v>
      </c>
      <c r="M43" s="117">
        <v>0.5</v>
      </c>
      <c r="N43" s="117">
        <v>0.5</v>
      </c>
      <c r="O43" s="117">
        <v>0.5</v>
      </c>
      <c r="P43" s="117">
        <v>0.5</v>
      </c>
      <c r="Q43" s="117">
        <v>0.5</v>
      </c>
      <c r="R43" s="120">
        <v>0.5</v>
      </c>
      <c r="T43" s="146">
        <v>44621</v>
      </c>
      <c r="U43" s="146">
        <v>44621</v>
      </c>
      <c r="V43" s="146">
        <v>3000</v>
      </c>
      <c r="W43" s="146">
        <v>3000</v>
      </c>
      <c r="X43" s="146">
        <v>3000</v>
      </c>
      <c r="Y43" s="146">
        <v>3000</v>
      </c>
      <c r="Z43" s="146">
        <v>0.5</v>
      </c>
      <c r="AA43" s="146">
        <v>0.5</v>
      </c>
      <c r="AB43" s="146">
        <v>0.5</v>
      </c>
      <c r="AC43" s="146">
        <v>0.5</v>
      </c>
      <c r="AD43" s="146">
        <v>0.5</v>
      </c>
      <c r="AE43" s="146">
        <v>0.5</v>
      </c>
      <c r="AF43" s="146">
        <v>0.5</v>
      </c>
      <c r="AG43" s="146">
        <v>0.5</v>
      </c>
      <c r="AH43" s="146">
        <v>0.5</v>
      </c>
      <c r="AI43" s="146">
        <v>0.5</v>
      </c>
      <c r="AJ43" s="146">
        <v>0.5</v>
      </c>
      <c r="AL43" s="713">
        <v>44621</v>
      </c>
      <c r="AM43" s="714">
        <v>44621</v>
      </c>
      <c r="AN43" s="704">
        <v>3000</v>
      </c>
      <c r="AO43" s="706">
        <v>3000</v>
      </c>
      <c r="AP43" s="708">
        <v>3000</v>
      </c>
      <c r="AQ43" s="710">
        <v>3000</v>
      </c>
      <c r="AR43" s="167">
        <v>0.5</v>
      </c>
      <c r="AS43" s="167">
        <v>0.5</v>
      </c>
      <c r="AT43" s="167">
        <v>0.5</v>
      </c>
      <c r="AU43" s="167">
        <v>0.5</v>
      </c>
      <c r="AV43" s="167">
        <v>0.5</v>
      </c>
      <c r="AW43" s="167">
        <v>0.5</v>
      </c>
      <c r="AX43" s="167">
        <v>0.5</v>
      </c>
      <c r="AY43" s="167">
        <v>0.5</v>
      </c>
      <c r="AZ43" s="167">
        <v>0.5</v>
      </c>
      <c r="BA43" s="167">
        <v>0.5</v>
      </c>
      <c r="BB43" s="169">
        <v>0.5</v>
      </c>
      <c r="BD43" s="174" t="str" cm="1">
        <f t="array" aca="1" ref="BD43" ca="1">_xll.d.TestUtils_IsTrue(_xll.d.Formatting_Equal(B43,AL43))</f>
        <v>Error</v>
      </c>
      <c r="BE43" s="174" t="str" cm="1">
        <f t="array" aca="1" ref="BE43" ca="1">_xll.d.TestUtils_IsTrue(_xll.d.Formatting_Equal(C43,AM43))</f>
        <v>Error</v>
      </c>
      <c r="BF43" s="174" t="str" cm="1">
        <f t="array" aca="1" ref="BF43" ca="1">_xll.d.TestUtils_IsTrue(_xll.d.Formatting_Equal(D43,AN43))</f>
        <v>Error</v>
      </c>
      <c r="BG43" s="174" t="str" cm="1">
        <f t="array" aca="1" ref="BG43" ca="1">_xll.d.TestUtils_IsTrue(_xll.d.Formatting_Equal(E43,AO43))</f>
        <v>Error</v>
      </c>
      <c r="BH43" s="174" t="str" cm="1">
        <f t="array" aca="1" ref="BH43" ca="1">_xll.d.TestUtils_IsTrue(_xll.d.Formatting_Equal(F43,AP43))</f>
        <v>Error</v>
      </c>
      <c r="BI43" s="174" t="str" cm="1">
        <f t="array" aca="1" ref="BI43" ca="1">_xll.d.TestUtils_IsTrue(_xll.d.Formatting_Equal(G43,AQ43))</f>
        <v>Error</v>
      </c>
      <c r="BJ43" s="174" t="str" cm="1">
        <f t="array" aca="1" ref="BJ43" ca="1">_xll.d.TestUtils_IsTrue(_xll.d.Formatting_Equal(H43,AR43))</f>
        <v>Error</v>
      </c>
      <c r="BK43" s="174" t="str" cm="1">
        <f t="array" aca="1" ref="BK43" ca="1">_xll.d.TestUtils_IsTrue(_xll.d.Formatting_Equal(I43,AS43))</f>
        <v>Error</v>
      </c>
      <c r="BL43" s="174" t="str" cm="1">
        <f t="array" aca="1" ref="BL43" ca="1">_xll.d.TestUtils_IsTrue(_xll.d.Formatting_Equal(J43,AT43))</f>
        <v>Error</v>
      </c>
      <c r="BM43" s="174" t="str" cm="1">
        <f t="array" aca="1" ref="BM43" ca="1">_xll.d.TestUtils_IsTrue(_xll.d.Formatting_Equal(K43,AU43))</f>
        <v>Error</v>
      </c>
      <c r="BN43" s="174" t="str" cm="1">
        <f t="array" aca="1" ref="BN43" ca="1">_xll.d.TestUtils_IsTrue(_xll.d.Formatting_Equal(L43,AV43))</f>
        <v>Error</v>
      </c>
      <c r="BO43" s="174" t="str" cm="1">
        <f t="array" aca="1" ref="BO43" ca="1">_xll.d.TestUtils_IsTrue(_xll.d.Formatting_Equal(M43,AW43))</f>
        <v>Error</v>
      </c>
      <c r="BP43" s="174" t="str" cm="1">
        <f t="array" aca="1" ref="BP43" ca="1">_xll.d.TestUtils_IsTrue(_xll.d.Formatting_Equal(N43,AX43))</f>
        <v>Error</v>
      </c>
      <c r="BQ43" s="174" t="str" cm="1">
        <f t="array" aca="1" ref="BQ43" ca="1">_xll.d.TestUtils_IsTrue(_xll.d.Formatting_Equal(O43,AY43))</f>
        <v>Error</v>
      </c>
      <c r="BR43" s="174" t="str" cm="1">
        <f t="array" aca="1" ref="BR43" ca="1">_xll.d.TestUtils_IsTrue(_xll.d.Formatting_Equal(P43,AZ43))</f>
        <v>Error</v>
      </c>
      <c r="BS43" s="174" t="str" cm="1">
        <f t="array" aca="1" ref="BS43" ca="1">_xll.d.TestUtils_IsTrue(_xll.d.Formatting_Equal(Q43,BA43))</f>
        <v>Error</v>
      </c>
      <c r="BT43" s="174" t="str" cm="1">
        <f t="array" aca="1" ref="BT43" ca="1">_xll.d.TestUtils_IsTrue(_xll.d.Formatting_Equal(R43,BB43))</f>
        <v>Error</v>
      </c>
    </row>
    <row r="44" spans="2:72" x14ac:dyDescent="0.25"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  <c r="BA44" s="146"/>
      <c r="BB44" s="146"/>
    </row>
    <row r="46" spans="2:72" ht="18.75" x14ac:dyDescent="0.3">
      <c r="B46" s="3" t="s">
        <v>107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122</v>
      </c>
      <c r="C48" s="174" t="str" cm="1">
        <f t="array" aca="1" ref="C48" ca="1">_xll.d.TestUtils_And(BD63:BT67)</f>
        <v>Error</v>
      </c>
    </row>
    <row r="50" spans="2:72" x14ac:dyDescent="0.25">
      <c r="B50" s="59" t="s">
        <v>106</v>
      </c>
      <c r="C50" s="59" t="s">
        <v>32</v>
      </c>
    </row>
    <row r="51" spans="2:72" x14ac:dyDescent="0.25">
      <c r="B51" s="91" t="s">
        <v>101</v>
      </c>
      <c r="C51" s="92" t="s">
        <v>117</v>
      </c>
    </row>
    <row r="52" spans="2:72" x14ac:dyDescent="0.25">
      <c r="B52" s="85" t="s">
        <v>102</v>
      </c>
      <c r="C52" s="86" t="s">
        <v>0</v>
      </c>
    </row>
    <row r="53" spans="2:72" x14ac:dyDescent="0.25">
      <c r="B53" s="87"/>
      <c r="C53" s="88" t="s">
        <v>103</v>
      </c>
    </row>
    <row r="54" spans="2:72" x14ac:dyDescent="0.25">
      <c r="B54" s="89"/>
      <c r="C54" s="90" t="s">
        <v>104</v>
      </c>
    </row>
    <row r="55" spans="2:72" x14ac:dyDescent="0.25">
      <c r="B55" s="155" t="s">
        <v>117</v>
      </c>
      <c r="C55" s="161">
        <v>2</v>
      </c>
    </row>
    <row r="56" spans="2:72" x14ac:dyDescent="0.25">
      <c r="B56" s="155" t="s">
        <v>118</v>
      </c>
      <c r="C56" s="161">
        <v>0</v>
      </c>
    </row>
    <row r="57" spans="2:72" x14ac:dyDescent="0.25">
      <c r="B57" s="139" t="s">
        <v>109</v>
      </c>
      <c r="C57" s="140"/>
    </row>
    <row r="58" spans="2:72" x14ac:dyDescent="0.25">
      <c r="B58" s="64"/>
      <c r="C58" s="64"/>
    </row>
    <row r="59" spans="2:72" x14ac:dyDescent="0.25">
      <c r="B59" t="s">
        <v>110</v>
      </c>
      <c r="C59" s="64"/>
    </row>
    <row r="60" spans="2:72" x14ac:dyDescent="0.25">
      <c r="B60" s="64"/>
      <c r="C60" s="64"/>
    </row>
    <row r="61" spans="2:72" x14ac:dyDescent="0.25">
      <c r="B61" s="68" t="s">
        <v>86</v>
      </c>
      <c r="E61" s="154"/>
      <c r="T61" s="68" t="s">
        <v>99</v>
      </c>
      <c r="AL61" s="68" t="s">
        <v>100</v>
      </c>
      <c r="BD61" s="68" t="s">
        <v>123</v>
      </c>
    </row>
    <row r="63" spans="2:72" x14ac:dyDescent="0.25">
      <c r="B63" s="145" t="s">
        <v>89</v>
      </c>
      <c r="C63" s="145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T63" s="12" t="s">
        <v>89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5" t="s">
        <v>89</v>
      </c>
      <c r="AM63" s="145"/>
      <c r="AN63" s="145"/>
      <c r="AO63" s="145"/>
      <c r="AP63" s="145"/>
      <c r="AQ63" s="145"/>
      <c r="AR63" s="145"/>
      <c r="AS63" s="145"/>
      <c r="AT63" s="145"/>
      <c r="AU63" s="145"/>
      <c r="AV63" s="145"/>
      <c r="AW63" s="145"/>
      <c r="AX63" s="145"/>
      <c r="AY63" s="145"/>
      <c r="AZ63" s="145"/>
      <c r="BA63" s="145"/>
      <c r="BB63" s="145"/>
      <c r="BD63" s="174" t="str" cm="1">
        <f t="array" aca="1" ref="BD63" ca="1">_xll.d.TestUtils_IsTrue(_xll.d.Formatting_Equal(B63,AL63))</f>
        <v>Ok</v>
      </c>
      <c r="BE63" s="174" t="str" cm="1">
        <f t="array" aca="1" ref="BE63" ca="1">_xll.d.TestUtils_IsTrue(_xll.d.Formatting_Equal(C63,AM63))</f>
        <v>Ok</v>
      </c>
      <c r="BF63" s="174" t="str" cm="1">
        <f t="array" aca="1" ref="BF63" ca="1">_xll.d.TestUtils_IsTrue(_xll.d.Formatting_Equal(D63,AN63))</f>
        <v>Ok</v>
      </c>
      <c r="BG63" s="174" t="str" cm="1">
        <f t="array" aca="1" ref="BG63" ca="1">_xll.d.TestUtils_IsTrue(_xll.d.Formatting_Equal(E63,AO63))</f>
        <v>Ok</v>
      </c>
      <c r="BH63" s="174" t="str" cm="1">
        <f t="array" aca="1" ref="BH63" ca="1">_xll.d.TestUtils_IsTrue(_xll.d.Formatting_Equal(F63,AP63))</f>
        <v>Ok</v>
      </c>
      <c r="BI63" s="174" t="str" cm="1">
        <f t="array" aca="1" ref="BI63" ca="1">_xll.d.TestUtils_IsTrue(_xll.d.Formatting_Equal(G63,AQ63))</f>
        <v>Error</v>
      </c>
      <c r="BJ63" s="174" t="str" cm="1">
        <f t="array" aca="1" ref="BJ63" ca="1">_xll.d.TestUtils_IsTrue(_xll.d.Formatting_Equal(H63,AR63))</f>
        <v>Error</v>
      </c>
      <c r="BK63" s="174" t="str" cm="1">
        <f t="array" aca="1" ref="BK63" ca="1">_xll.d.TestUtils_IsTrue(_xll.d.Formatting_Equal(I63,AS63))</f>
        <v>Ok</v>
      </c>
      <c r="BL63" s="174" t="str" cm="1">
        <f t="array" aca="1" ref="BL63" ca="1">_xll.d.TestUtils_IsTrue(_xll.d.Formatting_Equal(J63,AT63))</f>
        <v>Ok</v>
      </c>
      <c r="BM63" s="174" t="str" cm="1">
        <f t="array" aca="1" ref="BM63" ca="1">_xll.d.TestUtils_IsTrue(_xll.d.Formatting_Equal(K63,AU63))</f>
        <v>Error</v>
      </c>
      <c r="BN63" s="174" t="str" cm="1">
        <f t="array" aca="1" ref="BN63" ca="1">_xll.d.TestUtils_IsTrue(_xll.d.Formatting_Equal(L63,AV63))</f>
        <v>Error</v>
      </c>
      <c r="BO63" s="174" t="str" cm="1">
        <f t="array" aca="1" ref="BO63" ca="1">_xll.d.TestUtils_IsTrue(_xll.d.Formatting_Equal(M63,AW63))</f>
        <v>Ok</v>
      </c>
      <c r="BP63" s="174" t="str" cm="1">
        <f t="array" aca="1" ref="BP63" ca="1">_xll.d.TestUtils_IsTrue(_xll.d.Formatting_Equal(N63,AX63))</f>
        <v>Ok</v>
      </c>
      <c r="BQ63" s="174" t="str" cm="1">
        <f t="array" aca="1" ref="BQ63" ca="1">_xll.d.TestUtils_IsTrue(_xll.d.Formatting_Equal(O63,AY63))</f>
        <v>Ok</v>
      </c>
      <c r="BR63" s="174" t="str" cm="1">
        <f t="array" aca="1" ref="BR63" ca="1">_xll.d.TestUtils_IsTrue(_xll.d.Formatting_Equal(P63,AZ63))</f>
        <v>Ok</v>
      </c>
      <c r="BS63" s="174" t="str" cm="1">
        <f t="array" aca="1" ref="BS63" ca="1">_xll.d.TestUtils_IsTrue(_xll.d.Formatting_Equal(Q63,BA63))</f>
        <v>Error</v>
      </c>
      <c r="BT63" s="174" t="str" cm="1">
        <f t="array" aca="1" ref="BT63" ca="1">_xll.d.TestUtils_IsTrue(_xll.d.Formatting_Equal(R63,BB63))</f>
        <v>Error</v>
      </c>
    </row>
    <row r="64" spans="2:72" x14ac:dyDescent="0.25">
      <c r="B64" s="145" t="s">
        <v>34</v>
      </c>
      <c r="C64" s="145" t="s">
        <v>0</v>
      </c>
      <c r="D64" s="145" t="s">
        <v>90</v>
      </c>
      <c r="E64" s="145" t="s">
        <v>91</v>
      </c>
      <c r="F64" s="145" t="s">
        <v>92</v>
      </c>
      <c r="G64" s="145" t="s">
        <v>93</v>
      </c>
      <c r="H64" s="145" t="s">
        <v>94</v>
      </c>
      <c r="I64" s="145" t="s">
        <v>78</v>
      </c>
      <c r="J64" s="145" t="s">
        <v>79</v>
      </c>
      <c r="K64" s="145" t="s">
        <v>80</v>
      </c>
      <c r="L64" s="145" t="s">
        <v>95</v>
      </c>
      <c r="M64" s="145" t="s">
        <v>24</v>
      </c>
      <c r="N64" s="145" t="s">
        <v>39</v>
      </c>
      <c r="O64" s="145" t="s">
        <v>96</v>
      </c>
      <c r="P64" s="145" t="s">
        <v>88</v>
      </c>
      <c r="Q64" s="145" t="s">
        <v>98</v>
      </c>
      <c r="R64" s="145" t="s">
        <v>97</v>
      </c>
      <c r="T64" s="72" t="s">
        <v>34</v>
      </c>
      <c r="U64" s="73" t="s">
        <v>0</v>
      </c>
      <c r="V64" s="73" t="s">
        <v>90</v>
      </c>
      <c r="W64" s="73" t="s">
        <v>91</v>
      </c>
      <c r="X64" s="73" t="s">
        <v>92</v>
      </c>
      <c r="Y64" s="73" t="s">
        <v>93</v>
      </c>
      <c r="Z64" s="73" t="s">
        <v>94</v>
      </c>
      <c r="AA64" s="73" t="s">
        <v>78</v>
      </c>
      <c r="AB64" s="73" t="s">
        <v>79</v>
      </c>
      <c r="AC64" s="73" t="s">
        <v>80</v>
      </c>
      <c r="AD64" s="73" t="s">
        <v>95</v>
      </c>
      <c r="AE64" s="73" t="s">
        <v>24</v>
      </c>
      <c r="AF64" s="73" t="s">
        <v>39</v>
      </c>
      <c r="AG64" s="73" t="s">
        <v>96</v>
      </c>
      <c r="AH64" s="73" t="s">
        <v>88</v>
      </c>
      <c r="AI64" s="73" t="s">
        <v>98</v>
      </c>
      <c r="AJ64" s="74" t="s">
        <v>97</v>
      </c>
      <c r="AL64" s="145" t="s">
        <v>34</v>
      </c>
      <c r="AM64" s="145" t="s">
        <v>0</v>
      </c>
      <c r="AN64" s="145" t="s">
        <v>90</v>
      </c>
      <c r="AO64" s="145" t="s">
        <v>91</v>
      </c>
      <c r="AP64" s="145" t="s">
        <v>92</v>
      </c>
      <c r="AQ64" s="145" t="s">
        <v>93</v>
      </c>
      <c r="AR64" s="145" t="s">
        <v>94</v>
      </c>
      <c r="AS64" s="145" t="s">
        <v>78</v>
      </c>
      <c r="AT64" s="145" t="s">
        <v>79</v>
      </c>
      <c r="AU64" s="145" t="s">
        <v>80</v>
      </c>
      <c r="AV64" s="145" t="s">
        <v>95</v>
      </c>
      <c r="AW64" s="145" t="s">
        <v>24</v>
      </c>
      <c r="AX64" s="145" t="s">
        <v>39</v>
      </c>
      <c r="AY64" s="145" t="s">
        <v>96</v>
      </c>
      <c r="AZ64" s="145" t="s">
        <v>88</v>
      </c>
      <c r="BA64" s="145" t="s">
        <v>98</v>
      </c>
      <c r="BB64" s="145" t="s">
        <v>97</v>
      </c>
      <c r="BD64" s="174" t="str" cm="1">
        <f t="array" aca="1" ref="BD64" ca="1">_xll.d.TestUtils_IsTrue(_xll.d.Formatting_Equal(B64,AL64))</f>
        <v>Ok</v>
      </c>
      <c r="BE64" s="174" t="str" cm="1">
        <f t="array" aca="1" ref="BE64" ca="1">_xll.d.TestUtils_IsTrue(_xll.d.Formatting_Equal(C64,AM64))</f>
        <v>Ok</v>
      </c>
      <c r="BF64" s="174" t="str" cm="1">
        <f t="array" aca="1" ref="BF64" ca="1">_xll.d.TestUtils_IsTrue(_xll.d.Formatting_Equal(D64,AN64))</f>
        <v>Ok</v>
      </c>
      <c r="BG64" s="174" t="str" cm="1">
        <f t="array" aca="1" ref="BG64" ca="1">_xll.d.TestUtils_IsTrue(_xll.d.Formatting_Equal(E64,AO64))</f>
        <v>Ok</v>
      </c>
      <c r="BH64" s="174" t="str" cm="1">
        <f t="array" aca="1" ref="BH64" ca="1">_xll.d.TestUtils_IsTrue(_xll.d.Formatting_Equal(F64,AP64))</f>
        <v>Ok</v>
      </c>
      <c r="BI64" s="174" t="str" cm="1">
        <f t="array" aca="1" ref="BI64" ca="1">_xll.d.TestUtils_IsTrue(_xll.d.Formatting_Equal(G64,AQ64))</f>
        <v>Error</v>
      </c>
      <c r="BJ64" s="174" t="str" cm="1">
        <f t="array" aca="1" ref="BJ64" ca="1">_xll.d.TestUtils_IsTrue(_xll.d.Formatting_Equal(H64,AR64))</f>
        <v>Error</v>
      </c>
      <c r="BK64" s="174" t="str" cm="1">
        <f t="array" aca="1" ref="BK64" ca="1">_xll.d.TestUtils_IsTrue(_xll.d.Formatting_Equal(I64,AS64))</f>
        <v>Ok</v>
      </c>
      <c r="BL64" s="174" t="str" cm="1">
        <f t="array" aca="1" ref="BL64" ca="1">_xll.d.TestUtils_IsTrue(_xll.d.Formatting_Equal(J64,AT64))</f>
        <v>Ok</v>
      </c>
      <c r="BM64" s="174" t="str" cm="1">
        <f t="array" aca="1" ref="BM64" ca="1">_xll.d.TestUtils_IsTrue(_xll.d.Formatting_Equal(K64,AU64))</f>
        <v>Error</v>
      </c>
      <c r="BN64" s="174" t="str" cm="1">
        <f t="array" aca="1" ref="BN64" ca="1">_xll.d.TestUtils_IsTrue(_xll.d.Formatting_Equal(L64,AV64))</f>
        <v>Error</v>
      </c>
      <c r="BO64" s="174" t="str" cm="1">
        <f t="array" aca="1" ref="BO64" ca="1">_xll.d.TestUtils_IsTrue(_xll.d.Formatting_Equal(M64,AW64))</f>
        <v>Ok</v>
      </c>
      <c r="BP64" s="174" t="str" cm="1">
        <f t="array" aca="1" ref="BP64" ca="1">_xll.d.TestUtils_IsTrue(_xll.d.Formatting_Equal(N64,AX64))</f>
        <v>Ok</v>
      </c>
      <c r="BQ64" s="174" t="str" cm="1">
        <f t="array" aca="1" ref="BQ64" ca="1">_xll.d.TestUtils_IsTrue(_xll.d.Formatting_Equal(O64,AY64))</f>
        <v>Ok</v>
      </c>
      <c r="BR64" s="174" t="str" cm="1">
        <f t="array" aca="1" ref="BR64" ca="1">_xll.d.TestUtils_IsTrue(_xll.d.Formatting_Equal(P64,AZ64))</f>
        <v>Ok</v>
      </c>
      <c r="BS64" s="174" t="str" cm="1">
        <f t="array" aca="1" ref="BS64" ca="1">_xll.d.TestUtils_IsTrue(_xll.d.Formatting_Equal(Q64,BA64))</f>
        <v>Error</v>
      </c>
      <c r="BT64" s="174" t="str" cm="1">
        <f t="array" aca="1" ref="BT64" ca="1">_xll.d.TestUtils_IsTrue(_xll.d.Formatting_Equal(R64,BB64))</f>
        <v>Error</v>
      </c>
    </row>
    <row r="65" spans="2:72" x14ac:dyDescent="0.25">
      <c r="B65" s="145">
        <v>44562</v>
      </c>
      <c r="C65" s="145">
        <v>44562</v>
      </c>
      <c r="D65" s="146">
        <v>1000</v>
      </c>
      <c r="E65" s="146">
        <v>1000</v>
      </c>
      <c r="F65" s="146">
        <v>1000</v>
      </c>
      <c r="G65" s="146">
        <v>1000</v>
      </c>
      <c r="H65" s="145">
        <v>0.3</v>
      </c>
      <c r="I65" s="145">
        <v>0.3</v>
      </c>
      <c r="J65" s="145">
        <v>0.3</v>
      </c>
      <c r="K65" s="145">
        <v>0.3</v>
      </c>
      <c r="L65" s="145">
        <v>0.3</v>
      </c>
      <c r="M65" s="145">
        <v>0.3</v>
      </c>
      <c r="N65" s="145">
        <v>0.3</v>
      </c>
      <c r="O65" s="145">
        <v>0.3</v>
      </c>
      <c r="P65" s="145">
        <v>0.3</v>
      </c>
      <c r="Q65" s="145">
        <v>0.3</v>
      </c>
      <c r="R65" s="145">
        <v>0.3</v>
      </c>
      <c r="T65" s="121">
        <v>44562</v>
      </c>
      <c r="U65" s="124">
        <v>44562</v>
      </c>
      <c r="V65" s="103">
        <v>1000</v>
      </c>
      <c r="W65" s="106">
        <v>1000</v>
      </c>
      <c r="X65" s="109">
        <v>1000</v>
      </c>
      <c r="Y65" s="112">
        <v>1000</v>
      </c>
      <c r="Z65" s="115">
        <v>0.3</v>
      </c>
      <c r="AA65" s="115">
        <v>0.3</v>
      </c>
      <c r="AB65" s="115">
        <v>0.3</v>
      </c>
      <c r="AC65" s="115">
        <v>0.3</v>
      </c>
      <c r="AD65" s="115">
        <v>0.3</v>
      </c>
      <c r="AE65" s="115">
        <v>0.3</v>
      </c>
      <c r="AF65" s="115">
        <v>0.3</v>
      </c>
      <c r="AG65" s="115">
        <v>0.3</v>
      </c>
      <c r="AH65" s="115">
        <v>0.3</v>
      </c>
      <c r="AI65" s="115">
        <v>0.3</v>
      </c>
      <c r="AJ65" s="118">
        <v>0.3</v>
      </c>
      <c r="AL65" s="145">
        <v>44562</v>
      </c>
      <c r="AM65" s="145">
        <v>44562</v>
      </c>
      <c r="AN65" s="146">
        <v>1000</v>
      </c>
      <c r="AO65" s="146">
        <v>1000</v>
      </c>
      <c r="AP65" s="146">
        <v>1000</v>
      </c>
      <c r="AQ65" s="146">
        <v>1000</v>
      </c>
      <c r="AR65" s="145">
        <v>0.3</v>
      </c>
      <c r="AS65" s="145">
        <v>0.3</v>
      </c>
      <c r="AT65" s="145">
        <v>0.3</v>
      </c>
      <c r="AU65" s="145">
        <v>0.3</v>
      </c>
      <c r="AV65" s="145">
        <v>0.3</v>
      </c>
      <c r="AW65" s="145">
        <v>0.3</v>
      </c>
      <c r="AX65" s="145">
        <v>0.3</v>
      </c>
      <c r="AY65" s="145">
        <v>0.3</v>
      </c>
      <c r="AZ65" s="145">
        <v>0.3</v>
      </c>
      <c r="BA65" s="145">
        <v>0.3</v>
      </c>
      <c r="BB65" s="145">
        <v>0.3</v>
      </c>
      <c r="BD65" s="174" t="str" cm="1">
        <f t="array" aca="1" ref="BD65" ca="1">_xll.d.TestUtils_IsTrue(_xll.d.Formatting_Equal(B65,AL65))</f>
        <v>Ok</v>
      </c>
      <c r="BE65" s="174" t="str" cm="1">
        <f t="array" aca="1" ref="BE65" ca="1">_xll.d.TestUtils_IsTrue(_xll.d.Formatting_Equal(C65,AM65))</f>
        <v>Ok</v>
      </c>
      <c r="BF65" s="174" t="str" cm="1">
        <f t="array" aca="1" ref="BF65" ca="1">_xll.d.TestUtils_IsTrue(_xll.d.Formatting_Equal(D65,AN65))</f>
        <v>Ok</v>
      </c>
      <c r="BG65" s="174" t="str" cm="1">
        <f t="array" aca="1" ref="BG65" ca="1">_xll.d.TestUtils_IsTrue(_xll.d.Formatting_Equal(E65,AO65))</f>
        <v>Ok</v>
      </c>
      <c r="BH65" s="174" t="str" cm="1">
        <f t="array" aca="1" ref="BH65" ca="1">_xll.d.TestUtils_IsTrue(_xll.d.Formatting_Equal(F65,AP65))</f>
        <v>Ok</v>
      </c>
      <c r="BI65" s="174" t="str" cm="1">
        <f t="array" aca="1" ref="BI65" ca="1">_xll.d.TestUtils_IsTrue(_xll.d.Formatting_Equal(G65,AQ65))</f>
        <v>Error</v>
      </c>
      <c r="BJ65" s="174" t="str" cm="1">
        <f t="array" aca="1" ref="BJ65" ca="1">_xll.d.TestUtils_IsTrue(_xll.d.Formatting_Equal(H65,AR65))</f>
        <v>Error</v>
      </c>
      <c r="BK65" s="174" t="str" cm="1">
        <f t="array" aca="1" ref="BK65" ca="1">_xll.d.TestUtils_IsTrue(_xll.d.Formatting_Equal(I65,AS65))</f>
        <v>Ok</v>
      </c>
      <c r="BL65" s="174" t="str" cm="1">
        <f t="array" aca="1" ref="BL65" ca="1">_xll.d.TestUtils_IsTrue(_xll.d.Formatting_Equal(J65,AT65))</f>
        <v>Ok</v>
      </c>
      <c r="BM65" s="174" t="str" cm="1">
        <f t="array" aca="1" ref="BM65" ca="1">_xll.d.TestUtils_IsTrue(_xll.d.Formatting_Equal(K65,AU65))</f>
        <v>Error</v>
      </c>
      <c r="BN65" s="174" t="str" cm="1">
        <f t="array" aca="1" ref="BN65" ca="1">_xll.d.TestUtils_IsTrue(_xll.d.Formatting_Equal(L65,AV65))</f>
        <v>Error</v>
      </c>
      <c r="BO65" s="174" t="str" cm="1">
        <f t="array" aca="1" ref="BO65" ca="1">_xll.d.TestUtils_IsTrue(_xll.d.Formatting_Equal(M65,AW65))</f>
        <v>Ok</v>
      </c>
      <c r="BP65" s="174" t="str" cm="1">
        <f t="array" aca="1" ref="BP65" ca="1">_xll.d.TestUtils_IsTrue(_xll.d.Formatting_Equal(N65,AX65))</f>
        <v>Ok</v>
      </c>
      <c r="BQ65" s="174" t="str" cm="1">
        <f t="array" aca="1" ref="BQ65" ca="1">_xll.d.TestUtils_IsTrue(_xll.d.Formatting_Equal(O65,AY65))</f>
        <v>Ok</v>
      </c>
      <c r="BR65" s="174" t="str" cm="1">
        <f t="array" aca="1" ref="BR65" ca="1">_xll.d.TestUtils_IsTrue(_xll.d.Formatting_Equal(P65,AZ65))</f>
        <v>Ok</v>
      </c>
      <c r="BS65" s="174" t="str" cm="1">
        <f t="array" aca="1" ref="BS65" ca="1">_xll.d.TestUtils_IsTrue(_xll.d.Formatting_Equal(Q65,BA65))</f>
        <v>Error</v>
      </c>
      <c r="BT65" s="174" t="str" cm="1">
        <f t="array" aca="1" ref="BT65" ca="1">_xll.d.TestUtils_IsTrue(_xll.d.Formatting_Equal(R65,BB65))</f>
        <v>Error</v>
      </c>
    </row>
    <row r="66" spans="2:72" x14ac:dyDescent="0.25">
      <c r="B66" s="145">
        <v>44593</v>
      </c>
      <c r="C66" s="145">
        <v>44593</v>
      </c>
      <c r="D66" s="146">
        <v>2000</v>
      </c>
      <c r="E66" s="146">
        <v>2000</v>
      </c>
      <c r="F66" s="146">
        <v>2000</v>
      </c>
      <c r="G66" s="146">
        <v>2000</v>
      </c>
      <c r="H66" s="145">
        <v>0.4</v>
      </c>
      <c r="I66" s="145">
        <v>0.4</v>
      </c>
      <c r="J66" s="145">
        <v>0.4</v>
      </c>
      <c r="K66" s="145">
        <v>0.4</v>
      </c>
      <c r="L66" s="145">
        <v>0.4</v>
      </c>
      <c r="M66" s="145">
        <v>0.4</v>
      </c>
      <c r="N66" s="145">
        <v>0.4</v>
      </c>
      <c r="O66" s="145">
        <v>0.4</v>
      </c>
      <c r="P66" s="145">
        <v>0.4</v>
      </c>
      <c r="Q66" s="145">
        <v>0.4</v>
      </c>
      <c r="R66" s="145">
        <v>0.4</v>
      </c>
      <c r="T66" s="122">
        <v>44593</v>
      </c>
      <c r="U66" s="125">
        <v>44593</v>
      </c>
      <c r="V66" s="104">
        <v>2000</v>
      </c>
      <c r="W66" s="107">
        <v>2000</v>
      </c>
      <c r="X66" s="110">
        <v>2000</v>
      </c>
      <c r="Y66" s="113">
        <v>2000</v>
      </c>
      <c r="Z66" s="116">
        <v>0.4</v>
      </c>
      <c r="AA66" s="116">
        <v>0.4</v>
      </c>
      <c r="AB66" s="116">
        <v>0.4</v>
      </c>
      <c r="AC66" s="116">
        <v>0.4</v>
      </c>
      <c r="AD66" s="116">
        <v>0.4</v>
      </c>
      <c r="AE66" s="116">
        <v>0.4</v>
      </c>
      <c r="AF66" s="116">
        <v>0.4</v>
      </c>
      <c r="AG66" s="116">
        <v>0.4</v>
      </c>
      <c r="AH66" s="116">
        <v>0.4</v>
      </c>
      <c r="AI66" s="116">
        <v>0.4</v>
      </c>
      <c r="AJ66" s="119">
        <v>0.4</v>
      </c>
      <c r="AL66" s="145">
        <v>44593</v>
      </c>
      <c r="AM66" s="145">
        <v>44593</v>
      </c>
      <c r="AN66" s="146">
        <v>2000</v>
      </c>
      <c r="AO66" s="146">
        <v>2000</v>
      </c>
      <c r="AP66" s="146">
        <v>2000</v>
      </c>
      <c r="AQ66" s="146">
        <v>2000</v>
      </c>
      <c r="AR66" s="145">
        <v>0.4</v>
      </c>
      <c r="AS66" s="145">
        <v>0.4</v>
      </c>
      <c r="AT66" s="145">
        <v>0.4</v>
      </c>
      <c r="AU66" s="145">
        <v>0.4</v>
      </c>
      <c r="AV66" s="145">
        <v>0.4</v>
      </c>
      <c r="AW66" s="145">
        <v>0.4</v>
      </c>
      <c r="AX66" s="145">
        <v>0.4</v>
      </c>
      <c r="AY66" s="145">
        <v>0.4</v>
      </c>
      <c r="AZ66" s="145">
        <v>0.4</v>
      </c>
      <c r="BA66" s="145">
        <v>0.4</v>
      </c>
      <c r="BB66" s="145">
        <v>0.4</v>
      </c>
      <c r="BD66" s="174" t="str" cm="1">
        <f t="array" aca="1" ref="BD66" ca="1">_xll.d.TestUtils_IsTrue(_xll.d.Formatting_Equal(B66,AL66))</f>
        <v>Ok</v>
      </c>
      <c r="BE66" s="174" t="str" cm="1">
        <f t="array" aca="1" ref="BE66" ca="1">_xll.d.TestUtils_IsTrue(_xll.d.Formatting_Equal(C66,AM66))</f>
        <v>Ok</v>
      </c>
      <c r="BF66" s="174" t="str" cm="1">
        <f t="array" aca="1" ref="BF66" ca="1">_xll.d.TestUtils_IsTrue(_xll.d.Formatting_Equal(D66,AN66))</f>
        <v>Ok</v>
      </c>
      <c r="BG66" s="174" t="str" cm="1">
        <f t="array" aca="1" ref="BG66" ca="1">_xll.d.TestUtils_IsTrue(_xll.d.Formatting_Equal(E66,AO66))</f>
        <v>Ok</v>
      </c>
      <c r="BH66" s="174" t="str" cm="1">
        <f t="array" aca="1" ref="BH66" ca="1">_xll.d.TestUtils_IsTrue(_xll.d.Formatting_Equal(F66,AP66))</f>
        <v>Ok</v>
      </c>
      <c r="BI66" s="174" t="str" cm="1">
        <f t="array" aca="1" ref="BI66" ca="1">_xll.d.TestUtils_IsTrue(_xll.d.Formatting_Equal(G66,AQ66))</f>
        <v>Error</v>
      </c>
      <c r="BJ66" s="174" t="str" cm="1">
        <f t="array" aca="1" ref="BJ66" ca="1">_xll.d.TestUtils_IsTrue(_xll.d.Formatting_Equal(H66,AR66))</f>
        <v>Error</v>
      </c>
      <c r="BK66" s="174" t="str" cm="1">
        <f t="array" aca="1" ref="BK66" ca="1">_xll.d.TestUtils_IsTrue(_xll.d.Formatting_Equal(I66,AS66))</f>
        <v>Ok</v>
      </c>
      <c r="BL66" s="174" t="str" cm="1">
        <f t="array" aca="1" ref="BL66" ca="1">_xll.d.TestUtils_IsTrue(_xll.d.Formatting_Equal(J66,AT66))</f>
        <v>Ok</v>
      </c>
      <c r="BM66" s="174" t="str" cm="1">
        <f t="array" aca="1" ref="BM66" ca="1">_xll.d.TestUtils_IsTrue(_xll.d.Formatting_Equal(K66,AU66))</f>
        <v>Error</v>
      </c>
      <c r="BN66" s="174" t="str" cm="1">
        <f t="array" aca="1" ref="BN66" ca="1">_xll.d.TestUtils_IsTrue(_xll.d.Formatting_Equal(L66,AV66))</f>
        <v>Error</v>
      </c>
      <c r="BO66" s="174" t="str" cm="1">
        <f t="array" aca="1" ref="BO66" ca="1">_xll.d.TestUtils_IsTrue(_xll.d.Formatting_Equal(M66,AW66))</f>
        <v>Ok</v>
      </c>
      <c r="BP66" s="174" t="str" cm="1">
        <f t="array" aca="1" ref="BP66" ca="1">_xll.d.TestUtils_IsTrue(_xll.d.Formatting_Equal(N66,AX66))</f>
        <v>Ok</v>
      </c>
      <c r="BQ66" s="174" t="str" cm="1">
        <f t="array" aca="1" ref="BQ66" ca="1">_xll.d.TestUtils_IsTrue(_xll.d.Formatting_Equal(O66,AY66))</f>
        <v>Ok</v>
      </c>
      <c r="BR66" s="174" t="str" cm="1">
        <f t="array" aca="1" ref="BR66" ca="1">_xll.d.TestUtils_IsTrue(_xll.d.Formatting_Equal(P66,AZ66))</f>
        <v>Ok</v>
      </c>
      <c r="BS66" s="174" t="str" cm="1">
        <f t="array" aca="1" ref="BS66" ca="1">_xll.d.TestUtils_IsTrue(_xll.d.Formatting_Equal(Q66,BA66))</f>
        <v>Error</v>
      </c>
      <c r="BT66" s="174" t="str" cm="1">
        <f t="array" aca="1" ref="BT66" ca="1">_xll.d.TestUtils_IsTrue(_xll.d.Formatting_Equal(R66,BB66))</f>
        <v>Error</v>
      </c>
    </row>
    <row r="67" spans="2:72" x14ac:dyDescent="0.25">
      <c r="B67" s="145">
        <v>44621</v>
      </c>
      <c r="C67" s="145">
        <v>44621</v>
      </c>
      <c r="D67" s="146">
        <v>3000</v>
      </c>
      <c r="E67" s="146">
        <v>3000</v>
      </c>
      <c r="F67" s="146">
        <v>3000</v>
      </c>
      <c r="G67" s="146">
        <v>3000</v>
      </c>
      <c r="H67" s="145">
        <v>0.5</v>
      </c>
      <c r="I67" s="145">
        <v>0.5</v>
      </c>
      <c r="J67" s="145">
        <v>0.5</v>
      </c>
      <c r="K67" s="145">
        <v>0.5</v>
      </c>
      <c r="L67" s="145">
        <v>0.5</v>
      </c>
      <c r="M67" s="145">
        <v>0.5</v>
      </c>
      <c r="N67" s="145">
        <v>0.5</v>
      </c>
      <c r="O67" s="145">
        <v>0.5</v>
      </c>
      <c r="P67" s="145">
        <v>0.5</v>
      </c>
      <c r="Q67" s="145">
        <v>0.5</v>
      </c>
      <c r="R67" s="145">
        <v>0.5</v>
      </c>
      <c r="T67" s="123">
        <v>44621</v>
      </c>
      <c r="U67" s="126">
        <v>44621</v>
      </c>
      <c r="V67" s="105">
        <v>3000</v>
      </c>
      <c r="W67" s="108">
        <v>3000</v>
      </c>
      <c r="X67" s="111">
        <v>3000</v>
      </c>
      <c r="Y67" s="114">
        <v>3000</v>
      </c>
      <c r="Z67" s="117">
        <v>0.5</v>
      </c>
      <c r="AA67" s="117">
        <v>0.5</v>
      </c>
      <c r="AB67" s="117">
        <v>0.5</v>
      </c>
      <c r="AC67" s="117">
        <v>0.5</v>
      </c>
      <c r="AD67" s="117">
        <v>0.5</v>
      </c>
      <c r="AE67" s="117">
        <v>0.5</v>
      </c>
      <c r="AF67" s="117">
        <v>0.5</v>
      </c>
      <c r="AG67" s="117">
        <v>0.5</v>
      </c>
      <c r="AH67" s="117">
        <v>0.5</v>
      </c>
      <c r="AI67" s="117">
        <v>0.5</v>
      </c>
      <c r="AJ67" s="120">
        <v>0.5</v>
      </c>
      <c r="AL67" s="145">
        <v>44621</v>
      </c>
      <c r="AM67" s="145">
        <v>44621</v>
      </c>
      <c r="AN67" s="146">
        <v>3000</v>
      </c>
      <c r="AO67" s="146">
        <v>3000</v>
      </c>
      <c r="AP67" s="146">
        <v>3000</v>
      </c>
      <c r="AQ67" s="146">
        <v>3000</v>
      </c>
      <c r="AR67" s="145">
        <v>0.5</v>
      </c>
      <c r="AS67" s="145">
        <v>0.5</v>
      </c>
      <c r="AT67" s="145">
        <v>0.5</v>
      </c>
      <c r="AU67" s="145">
        <v>0.5</v>
      </c>
      <c r="AV67" s="145">
        <v>0.5</v>
      </c>
      <c r="AW67" s="145">
        <v>0.5</v>
      </c>
      <c r="AX67" s="145">
        <v>0.5</v>
      </c>
      <c r="AY67" s="145">
        <v>0.5</v>
      </c>
      <c r="AZ67" s="145">
        <v>0.5</v>
      </c>
      <c r="BA67" s="145">
        <v>0.5</v>
      </c>
      <c r="BB67" s="145">
        <v>0.5</v>
      </c>
      <c r="BD67" s="174" t="str" cm="1">
        <f t="array" aca="1" ref="BD67" ca="1">_xll.d.TestUtils_IsTrue(_xll.d.Formatting_Equal(B67,AL67))</f>
        <v>Ok</v>
      </c>
      <c r="BE67" s="174" t="str" cm="1">
        <f t="array" aca="1" ref="BE67" ca="1">_xll.d.TestUtils_IsTrue(_xll.d.Formatting_Equal(C67,AM67))</f>
        <v>Ok</v>
      </c>
      <c r="BF67" s="174" t="str" cm="1">
        <f t="array" aca="1" ref="BF67" ca="1">_xll.d.TestUtils_IsTrue(_xll.d.Formatting_Equal(D67,AN67))</f>
        <v>Ok</v>
      </c>
      <c r="BG67" s="174" t="str" cm="1">
        <f t="array" aca="1" ref="BG67" ca="1">_xll.d.TestUtils_IsTrue(_xll.d.Formatting_Equal(E67,AO67))</f>
        <v>Ok</v>
      </c>
      <c r="BH67" s="174" t="str" cm="1">
        <f t="array" aca="1" ref="BH67" ca="1">_xll.d.TestUtils_IsTrue(_xll.d.Formatting_Equal(F67,AP67))</f>
        <v>Ok</v>
      </c>
      <c r="BI67" s="174" t="str" cm="1">
        <f t="array" aca="1" ref="BI67" ca="1">_xll.d.TestUtils_IsTrue(_xll.d.Formatting_Equal(G67,AQ67))</f>
        <v>Error</v>
      </c>
      <c r="BJ67" s="174" t="str" cm="1">
        <f t="array" aca="1" ref="BJ67" ca="1">_xll.d.TestUtils_IsTrue(_xll.d.Formatting_Equal(H67,AR67))</f>
        <v>Error</v>
      </c>
      <c r="BK67" s="174" t="str" cm="1">
        <f t="array" aca="1" ref="BK67" ca="1">_xll.d.TestUtils_IsTrue(_xll.d.Formatting_Equal(I67,AS67))</f>
        <v>Ok</v>
      </c>
      <c r="BL67" s="174" t="str" cm="1">
        <f t="array" aca="1" ref="BL67" ca="1">_xll.d.TestUtils_IsTrue(_xll.d.Formatting_Equal(J67,AT67))</f>
        <v>Ok</v>
      </c>
      <c r="BM67" s="174" t="str" cm="1">
        <f t="array" aca="1" ref="BM67" ca="1">_xll.d.TestUtils_IsTrue(_xll.d.Formatting_Equal(K67,AU67))</f>
        <v>Error</v>
      </c>
      <c r="BN67" s="174" t="str" cm="1">
        <f t="array" aca="1" ref="BN67" ca="1">_xll.d.TestUtils_IsTrue(_xll.d.Formatting_Equal(L67,AV67))</f>
        <v>Error</v>
      </c>
      <c r="BO67" s="174" t="str" cm="1">
        <f t="array" aca="1" ref="BO67" ca="1">_xll.d.TestUtils_IsTrue(_xll.d.Formatting_Equal(M67,AW67))</f>
        <v>Ok</v>
      </c>
      <c r="BP67" s="174" t="str" cm="1">
        <f t="array" aca="1" ref="BP67" ca="1">_xll.d.TestUtils_IsTrue(_xll.d.Formatting_Equal(N67,AX67))</f>
        <v>Ok</v>
      </c>
      <c r="BQ67" s="174" t="str" cm="1">
        <f t="array" aca="1" ref="BQ67" ca="1">_xll.d.TestUtils_IsTrue(_xll.d.Formatting_Equal(O67,AY67))</f>
        <v>Ok</v>
      </c>
      <c r="BR67" s="174" t="str" cm="1">
        <f t="array" aca="1" ref="BR67" ca="1">_xll.d.TestUtils_IsTrue(_xll.d.Formatting_Equal(P67,AZ67))</f>
        <v>Ok</v>
      </c>
      <c r="BS67" s="174" t="str" cm="1">
        <f t="array" aca="1" ref="BS67" ca="1">_xll.d.TestUtils_IsTrue(_xll.d.Formatting_Equal(Q67,BA67))</f>
        <v>Error</v>
      </c>
      <c r="BT67" s="174" t="str" cm="1">
        <f t="array" aca="1" ref="BT67" ca="1">_xll.d.TestUtils_IsTrue(_xll.d.Formatting_Equal(R67,BB67))</f>
        <v>Error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108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122</v>
      </c>
      <c r="C72" s="174" t="str" cm="1">
        <f t="array" aca="1" ref="C72" ca="1">_xll.d.TestUtils_And(T87:X103)</f>
        <v>Ok</v>
      </c>
    </row>
    <row r="74" spans="2:72" x14ac:dyDescent="0.25">
      <c r="B74" s="59" t="s">
        <v>106</v>
      </c>
      <c r="C74" s="59" t="s">
        <v>32</v>
      </c>
    </row>
    <row r="75" spans="2:72" x14ac:dyDescent="0.25">
      <c r="B75" s="91" t="s">
        <v>101</v>
      </c>
      <c r="C75" s="92" t="s">
        <v>118</v>
      </c>
    </row>
    <row r="76" spans="2:72" x14ac:dyDescent="0.25">
      <c r="B76" s="85" t="s">
        <v>102</v>
      </c>
      <c r="C76" s="86" t="s">
        <v>0</v>
      </c>
    </row>
    <row r="77" spans="2:72" x14ac:dyDescent="0.25">
      <c r="B77" s="87"/>
      <c r="C77" s="88" t="s">
        <v>103</v>
      </c>
    </row>
    <row r="78" spans="2:72" x14ac:dyDescent="0.25">
      <c r="B78" s="89"/>
      <c r="C78" s="90" t="s">
        <v>104</v>
      </c>
    </row>
    <row r="79" spans="2:72" x14ac:dyDescent="0.25">
      <c r="B79" s="155" t="s">
        <v>117</v>
      </c>
      <c r="C79" s="161">
        <v>0</v>
      </c>
    </row>
    <row r="80" spans="2:72" x14ac:dyDescent="0.25">
      <c r="B80" s="155" t="s">
        <v>118</v>
      </c>
      <c r="C80" s="161">
        <v>2</v>
      </c>
    </row>
    <row r="81" spans="2:24" x14ac:dyDescent="0.25">
      <c r="B81" s="142" t="s">
        <v>109</v>
      </c>
      <c r="C81" s="141"/>
    </row>
    <row r="83" spans="2:24" x14ac:dyDescent="0.25">
      <c r="B83" t="s">
        <v>87</v>
      </c>
    </row>
    <row r="85" spans="2:24" x14ac:dyDescent="0.25">
      <c r="B85" s="68" t="s">
        <v>86</v>
      </c>
      <c r="H85" s="68" t="s">
        <v>99</v>
      </c>
      <c r="N85" s="68" t="s">
        <v>100</v>
      </c>
      <c r="T85" s="68" t="s">
        <v>123</v>
      </c>
    </row>
    <row r="87" spans="2:24" ht="15" customHeight="1" x14ac:dyDescent="0.25">
      <c r="B87" s="809" t="s">
        <v>89</v>
      </c>
      <c r="C87" s="176" t="s">
        <v>34</v>
      </c>
      <c r="D87" s="170">
        <v>44562</v>
      </c>
      <c r="E87" s="172">
        <v>44593</v>
      </c>
      <c r="F87" s="189">
        <v>44621</v>
      </c>
      <c r="H87" s="93" t="s">
        <v>89</v>
      </c>
      <c r="I87" s="93" t="s">
        <v>34</v>
      </c>
      <c r="J87" s="128">
        <v>44562</v>
      </c>
      <c r="K87" s="128">
        <v>44593</v>
      </c>
      <c r="L87" s="128">
        <v>44621</v>
      </c>
      <c r="N87" s="809" t="s">
        <v>89</v>
      </c>
      <c r="O87" s="176" t="s">
        <v>34</v>
      </c>
      <c r="P87" s="170">
        <v>44562</v>
      </c>
      <c r="Q87" s="172">
        <v>44593</v>
      </c>
      <c r="R87" s="189">
        <v>44621</v>
      </c>
      <c r="T87" s="174" t="str" cm="1">
        <f t="array" aca="1" ref="T87" ca="1">_xll.d.TestUtils_IsTrue(_xll.d.Formatting_Equal(B87,N87))</f>
        <v>Ok</v>
      </c>
      <c r="U87" s="174" t="str" cm="1">
        <f t="array" aca="1" ref="U87" ca="1">_xll.d.TestUtils_IsTrue(_xll.d.Formatting_Equal(C87,O87))</f>
        <v>Ok</v>
      </c>
      <c r="V87" s="174" t="str" cm="1">
        <f t="array" aca="1" ref="V87" ca="1">_xll.d.TestUtils_IsTrue(_xll.d.Formatting_Equal(D87,P87))</f>
        <v>Ok</v>
      </c>
      <c r="W87" s="174" t="str" cm="1">
        <f t="array" aca="1" ref="W87" ca="1">_xll.d.TestUtils_IsTrue(_xll.d.Formatting_Equal(E87,Q87))</f>
        <v>Ok</v>
      </c>
      <c r="X87" s="174" t="str" cm="1">
        <f t="array" aca="1" ref="X87" ca="1">_xll.d.TestUtils_IsTrue(_xll.d.Formatting_Equal(F87,R87))</f>
        <v>Ok</v>
      </c>
    </row>
    <row r="88" spans="2:24" x14ac:dyDescent="0.25">
      <c r="B88" s="810"/>
      <c r="C88" s="177" t="s">
        <v>0</v>
      </c>
      <c r="D88" s="171">
        <v>44562</v>
      </c>
      <c r="E88" s="173">
        <v>44593</v>
      </c>
      <c r="F88" s="190">
        <v>44621</v>
      </c>
      <c r="H88" s="93"/>
      <c r="I88" s="93" t="s">
        <v>0</v>
      </c>
      <c r="J88" s="128">
        <v>44562</v>
      </c>
      <c r="K88" s="128">
        <v>44593</v>
      </c>
      <c r="L88" s="128">
        <v>44621</v>
      </c>
      <c r="N88" s="810"/>
      <c r="O88" s="177" t="s">
        <v>0</v>
      </c>
      <c r="P88" s="171">
        <v>44562</v>
      </c>
      <c r="Q88" s="173">
        <v>44593</v>
      </c>
      <c r="R88" s="190">
        <v>44621</v>
      </c>
      <c r="T88" s="174" t="str" cm="1">
        <f t="array" aca="1" ref="T88" ca="1">_xll.d.TestUtils_IsTrue(_xll.d.Formatting_Equal(B88,N88))</f>
        <v>Ok</v>
      </c>
      <c r="U88" s="174" t="str" cm="1">
        <f t="array" aca="1" ref="U88" ca="1">_xll.d.TestUtils_IsTrue(_xll.d.Formatting_Equal(C88,O88))</f>
        <v>Ok</v>
      </c>
      <c r="V88" s="174" t="str" cm="1">
        <f t="array" aca="1" ref="V88" ca="1">_xll.d.TestUtils_IsTrue(_xll.d.Formatting_Equal(D88,P88))</f>
        <v>Ok</v>
      </c>
      <c r="W88" s="174" t="str" cm="1">
        <f t="array" aca="1" ref="W88" ca="1">_xll.d.TestUtils_IsTrue(_xll.d.Formatting_Equal(E88,Q88))</f>
        <v>Ok</v>
      </c>
      <c r="X88" s="174" t="str" cm="1">
        <f t="array" aca="1" ref="X88" ca="1">_xll.d.TestUtils_IsTrue(_xll.d.Formatting_Equal(F88,R88))</f>
        <v>Ok</v>
      </c>
    </row>
    <row r="89" spans="2:24" x14ac:dyDescent="0.25">
      <c r="B89" s="810"/>
      <c r="C89" s="177" t="s">
        <v>90</v>
      </c>
      <c r="D89" s="179">
        <v>1000</v>
      </c>
      <c r="E89" s="162">
        <v>2000</v>
      </c>
      <c r="F89" s="180">
        <v>3000</v>
      </c>
      <c r="H89" s="93"/>
      <c r="I89" s="93" t="s">
        <v>90</v>
      </c>
      <c r="J89" s="128">
        <v>1000</v>
      </c>
      <c r="K89" s="128">
        <v>2000</v>
      </c>
      <c r="L89" s="128">
        <v>3000</v>
      </c>
      <c r="N89" s="810"/>
      <c r="O89" s="177" t="s">
        <v>90</v>
      </c>
      <c r="P89" s="179">
        <v>1000</v>
      </c>
      <c r="Q89" s="162">
        <v>2000</v>
      </c>
      <c r="R89" s="180">
        <v>3000</v>
      </c>
      <c r="T89" s="174" t="str" cm="1">
        <f t="array" aca="1" ref="T89" ca="1">_xll.d.TestUtils_IsTrue(_xll.d.Formatting_Equal(B89,N89))</f>
        <v>Ok</v>
      </c>
      <c r="U89" s="174" t="str" cm="1">
        <f t="array" aca="1" ref="U89" ca="1">_xll.d.TestUtils_IsTrue(_xll.d.Formatting_Equal(C89,O89))</f>
        <v>Ok</v>
      </c>
      <c r="V89" s="174" t="str" cm="1">
        <f t="array" aca="1" ref="V89" ca="1">_xll.d.TestUtils_IsTrue(_xll.d.Formatting_Equal(D89,P89))</f>
        <v>Ok</v>
      </c>
      <c r="W89" s="174" t="str" cm="1">
        <f t="array" aca="1" ref="W89" ca="1">_xll.d.TestUtils_IsTrue(_xll.d.Formatting_Equal(E89,Q89))</f>
        <v>Ok</v>
      </c>
      <c r="X89" s="174" t="str" cm="1">
        <f t="array" aca="1" ref="X89" ca="1">_xll.d.TestUtils_IsTrue(_xll.d.Formatting_Equal(F89,R89))</f>
        <v>Ok</v>
      </c>
    </row>
    <row r="90" spans="2:24" x14ac:dyDescent="0.25">
      <c r="B90" s="810"/>
      <c r="C90" s="177" t="s">
        <v>91</v>
      </c>
      <c r="D90" s="181">
        <v>1000</v>
      </c>
      <c r="E90" s="163">
        <v>2000</v>
      </c>
      <c r="F90" s="182">
        <v>3000</v>
      </c>
      <c r="H90" s="93"/>
      <c r="I90" s="93" t="s">
        <v>91</v>
      </c>
      <c r="J90" s="128">
        <v>1000</v>
      </c>
      <c r="K90" s="128">
        <v>2000</v>
      </c>
      <c r="L90" s="128">
        <v>3000</v>
      </c>
      <c r="N90" s="810"/>
      <c r="O90" s="177" t="s">
        <v>91</v>
      </c>
      <c r="P90" s="181">
        <v>1000</v>
      </c>
      <c r="Q90" s="163">
        <v>2000</v>
      </c>
      <c r="R90" s="182">
        <v>3000</v>
      </c>
      <c r="T90" s="174" t="str" cm="1">
        <f t="array" aca="1" ref="T90" ca="1">_xll.d.TestUtils_IsTrue(_xll.d.Formatting_Equal(B90,N90))</f>
        <v>Ok</v>
      </c>
      <c r="U90" s="174" t="str" cm="1">
        <f t="array" aca="1" ref="U90" ca="1">_xll.d.TestUtils_IsTrue(_xll.d.Formatting_Equal(C90,O90))</f>
        <v>Ok</v>
      </c>
      <c r="V90" s="174" t="str" cm="1">
        <f t="array" aca="1" ref="V90" ca="1">_xll.d.TestUtils_IsTrue(_xll.d.Formatting_Equal(D90,P90))</f>
        <v>Ok</v>
      </c>
      <c r="W90" s="174" t="str" cm="1">
        <f t="array" aca="1" ref="W90" ca="1">_xll.d.TestUtils_IsTrue(_xll.d.Formatting_Equal(E90,Q90))</f>
        <v>Ok</v>
      </c>
      <c r="X90" s="174" t="str" cm="1">
        <f t="array" aca="1" ref="X90" ca="1">_xll.d.TestUtils_IsTrue(_xll.d.Formatting_Equal(F90,R90))</f>
        <v>Ok</v>
      </c>
    </row>
    <row r="91" spans="2:24" x14ac:dyDescent="0.25">
      <c r="B91" s="810"/>
      <c r="C91" s="177" t="s">
        <v>92</v>
      </c>
      <c r="D91" s="183">
        <v>1000</v>
      </c>
      <c r="E91" s="164">
        <v>2000</v>
      </c>
      <c r="F91" s="184">
        <v>3000</v>
      </c>
      <c r="H91" s="93"/>
      <c r="I91" s="93" t="s">
        <v>92</v>
      </c>
      <c r="J91" s="128">
        <v>1000</v>
      </c>
      <c r="K91" s="128">
        <v>2000</v>
      </c>
      <c r="L91" s="128">
        <v>3000</v>
      </c>
      <c r="N91" s="810"/>
      <c r="O91" s="177" t="s">
        <v>92</v>
      </c>
      <c r="P91" s="183">
        <v>1000</v>
      </c>
      <c r="Q91" s="164">
        <v>2000</v>
      </c>
      <c r="R91" s="184">
        <v>3000</v>
      </c>
      <c r="T91" s="174" t="str" cm="1">
        <f t="array" aca="1" ref="T91" ca="1">_xll.d.TestUtils_IsTrue(_xll.d.Formatting_Equal(B91,N91))</f>
        <v>Ok</v>
      </c>
      <c r="U91" s="174" t="str" cm="1">
        <f t="array" aca="1" ref="U91" ca="1">_xll.d.TestUtils_IsTrue(_xll.d.Formatting_Equal(C91,O91))</f>
        <v>Ok</v>
      </c>
      <c r="V91" s="174" t="str" cm="1">
        <f t="array" aca="1" ref="V91" ca="1">_xll.d.TestUtils_IsTrue(_xll.d.Formatting_Equal(D91,P91))</f>
        <v>Ok</v>
      </c>
      <c r="W91" s="174" t="str" cm="1">
        <f t="array" aca="1" ref="W91" ca="1">_xll.d.TestUtils_IsTrue(_xll.d.Formatting_Equal(E91,Q91))</f>
        <v>Ok</v>
      </c>
      <c r="X91" s="174" t="str" cm="1">
        <f t="array" aca="1" ref="X91" ca="1">_xll.d.TestUtils_IsTrue(_xll.d.Formatting_Equal(F91,R91))</f>
        <v>Ok</v>
      </c>
    </row>
    <row r="92" spans="2:24" x14ac:dyDescent="0.25">
      <c r="B92" s="810"/>
      <c r="C92" s="177" t="s">
        <v>93</v>
      </c>
      <c r="D92" s="185">
        <v>1000</v>
      </c>
      <c r="E92" s="165">
        <v>2000</v>
      </c>
      <c r="F92" s="186">
        <v>3000</v>
      </c>
      <c r="H92" s="93"/>
      <c r="I92" s="93" t="s">
        <v>93</v>
      </c>
      <c r="J92" s="128">
        <v>1000</v>
      </c>
      <c r="K92" s="128">
        <v>2000</v>
      </c>
      <c r="L92" s="128">
        <v>3000</v>
      </c>
      <c r="N92" s="810"/>
      <c r="O92" s="177" t="s">
        <v>93</v>
      </c>
      <c r="P92" s="185">
        <v>1000</v>
      </c>
      <c r="Q92" s="165">
        <v>2000</v>
      </c>
      <c r="R92" s="186">
        <v>3000</v>
      </c>
      <c r="T92" s="174" t="str" cm="1">
        <f t="array" aca="1" ref="T92" ca="1">_xll.d.TestUtils_IsTrue(_xll.d.Formatting_Equal(B92,N92))</f>
        <v>Ok</v>
      </c>
      <c r="U92" s="174" t="str" cm="1">
        <f t="array" aca="1" ref="U92" ca="1">_xll.d.TestUtils_IsTrue(_xll.d.Formatting_Equal(C92,O92))</f>
        <v>Ok</v>
      </c>
      <c r="V92" s="174" t="str" cm="1">
        <f t="array" aca="1" ref="V92" ca="1">_xll.d.TestUtils_IsTrue(_xll.d.Formatting_Equal(D92,P92))</f>
        <v>Ok</v>
      </c>
      <c r="W92" s="174" t="str" cm="1">
        <f t="array" aca="1" ref="W92" ca="1">_xll.d.TestUtils_IsTrue(_xll.d.Formatting_Equal(E92,Q92))</f>
        <v>Ok</v>
      </c>
      <c r="X92" s="174" t="str" cm="1">
        <f t="array" aca="1" ref="X92" ca="1">_xll.d.TestUtils_IsTrue(_xll.d.Formatting_Equal(F92,R92))</f>
        <v>Ok</v>
      </c>
    </row>
    <row r="93" spans="2:24" x14ac:dyDescent="0.25">
      <c r="B93" s="810"/>
      <c r="C93" s="177" t="s">
        <v>94</v>
      </c>
      <c r="D93" s="187">
        <v>0.3</v>
      </c>
      <c r="E93" s="166">
        <v>0.4</v>
      </c>
      <c r="F93" s="168">
        <v>0.5</v>
      </c>
      <c r="H93" s="93"/>
      <c r="I93" s="93" t="s">
        <v>94</v>
      </c>
      <c r="J93" s="127">
        <v>0.3</v>
      </c>
      <c r="K93" s="127">
        <v>0.4</v>
      </c>
      <c r="L93" s="127">
        <v>0.5</v>
      </c>
      <c r="N93" s="810"/>
      <c r="O93" s="177" t="s">
        <v>94</v>
      </c>
      <c r="P93" s="187">
        <v>0.3</v>
      </c>
      <c r="Q93" s="166">
        <v>0.4</v>
      </c>
      <c r="R93" s="168">
        <v>0.5</v>
      </c>
      <c r="T93" s="174" t="str" cm="1">
        <f t="array" aca="1" ref="T93" ca="1">_xll.d.TestUtils_IsTrue(_xll.d.Formatting_Equal(B93,N93))</f>
        <v>Ok</v>
      </c>
      <c r="U93" s="174" t="str" cm="1">
        <f t="array" aca="1" ref="U93" ca="1">_xll.d.TestUtils_IsTrue(_xll.d.Formatting_Equal(C93,O93))</f>
        <v>Ok</v>
      </c>
      <c r="V93" s="174" t="str" cm="1">
        <f t="array" aca="1" ref="V93" ca="1">_xll.d.TestUtils_IsTrue(_xll.d.Formatting_Equal(D93,P93))</f>
        <v>Ok</v>
      </c>
      <c r="W93" s="174" t="str" cm="1">
        <f t="array" aca="1" ref="W93" ca="1">_xll.d.TestUtils_IsTrue(_xll.d.Formatting_Equal(E93,Q93))</f>
        <v>Ok</v>
      </c>
      <c r="X93" s="174" t="str" cm="1">
        <f t="array" aca="1" ref="X93" ca="1">_xll.d.TestUtils_IsTrue(_xll.d.Formatting_Equal(F93,R93))</f>
        <v>Ok</v>
      </c>
    </row>
    <row r="94" spans="2:24" x14ac:dyDescent="0.25">
      <c r="B94" s="810"/>
      <c r="C94" s="177" t="s">
        <v>78</v>
      </c>
      <c r="D94" s="187">
        <v>0.3</v>
      </c>
      <c r="E94" s="166">
        <v>0.4</v>
      </c>
      <c r="F94" s="168">
        <v>0.5</v>
      </c>
      <c r="H94" s="93"/>
      <c r="I94" s="93" t="s">
        <v>78</v>
      </c>
      <c r="J94" s="127">
        <v>0.3</v>
      </c>
      <c r="K94" s="127">
        <v>0.4</v>
      </c>
      <c r="L94" s="127">
        <v>0.5</v>
      </c>
      <c r="N94" s="810"/>
      <c r="O94" s="177" t="s">
        <v>78</v>
      </c>
      <c r="P94" s="187">
        <v>0.3</v>
      </c>
      <c r="Q94" s="166">
        <v>0.4</v>
      </c>
      <c r="R94" s="168">
        <v>0.5</v>
      </c>
      <c r="T94" s="174" t="str" cm="1">
        <f t="array" aca="1" ref="T94" ca="1">_xll.d.TestUtils_IsTrue(_xll.d.Formatting_Equal(B94,N94))</f>
        <v>Ok</v>
      </c>
      <c r="U94" s="174" t="str" cm="1">
        <f t="array" aca="1" ref="U94" ca="1">_xll.d.TestUtils_IsTrue(_xll.d.Formatting_Equal(C94,O94))</f>
        <v>Ok</v>
      </c>
      <c r="V94" s="174" t="str" cm="1">
        <f t="array" aca="1" ref="V94" ca="1">_xll.d.TestUtils_IsTrue(_xll.d.Formatting_Equal(D94,P94))</f>
        <v>Ok</v>
      </c>
      <c r="W94" s="174" t="str" cm="1">
        <f t="array" aca="1" ref="W94" ca="1">_xll.d.TestUtils_IsTrue(_xll.d.Formatting_Equal(E94,Q94))</f>
        <v>Ok</v>
      </c>
      <c r="X94" s="174" t="str" cm="1">
        <f t="array" aca="1" ref="X94" ca="1">_xll.d.TestUtils_IsTrue(_xll.d.Formatting_Equal(F94,R94))</f>
        <v>Ok</v>
      </c>
    </row>
    <row r="95" spans="2:24" x14ac:dyDescent="0.25">
      <c r="B95" s="810"/>
      <c r="C95" s="177" t="s">
        <v>79</v>
      </c>
      <c r="D95" s="187">
        <v>0.3</v>
      </c>
      <c r="E95" s="166">
        <v>0.4</v>
      </c>
      <c r="F95" s="168">
        <v>0.5</v>
      </c>
      <c r="H95" s="93"/>
      <c r="I95" s="93" t="s">
        <v>79</v>
      </c>
      <c r="J95" s="127">
        <v>0.3</v>
      </c>
      <c r="K95" s="127">
        <v>0.4</v>
      </c>
      <c r="L95" s="127">
        <v>0.5</v>
      </c>
      <c r="N95" s="810"/>
      <c r="O95" s="177" t="s">
        <v>79</v>
      </c>
      <c r="P95" s="187">
        <v>0.3</v>
      </c>
      <c r="Q95" s="166">
        <v>0.4</v>
      </c>
      <c r="R95" s="168">
        <v>0.5</v>
      </c>
      <c r="T95" s="174" t="str" cm="1">
        <f t="array" aca="1" ref="T95" ca="1">_xll.d.TestUtils_IsTrue(_xll.d.Formatting_Equal(B95,N95))</f>
        <v>Ok</v>
      </c>
      <c r="U95" s="174" t="str" cm="1">
        <f t="array" aca="1" ref="U95" ca="1">_xll.d.TestUtils_IsTrue(_xll.d.Formatting_Equal(C95,O95))</f>
        <v>Ok</v>
      </c>
      <c r="V95" s="174" t="str" cm="1">
        <f t="array" aca="1" ref="V95" ca="1">_xll.d.TestUtils_IsTrue(_xll.d.Formatting_Equal(D95,P95))</f>
        <v>Ok</v>
      </c>
      <c r="W95" s="174" t="str" cm="1">
        <f t="array" aca="1" ref="W95" ca="1">_xll.d.TestUtils_IsTrue(_xll.d.Formatting_Equal(E95,Q95))</f>
        <v>Ok</v>
      </c>
      <c r="X95" s="174" t="str" cm="1">
        <f t="array" aca="1" ref="X95" ca="1">_xll.d.TestUtils_IsTrue(_xll.d.Formatting_Equal(F95,R95))</f>
        <v>Ok</v>
      </c>
    </row>
    <row r="96" spans="2:24" x14ac:dyDescent="0.25">
      <c r="B96" s="810"/>
      <c r="C96" s="177" t="s">
        <v>80</v>
      </c>
      <c r="D96" s="187">
        <v>0.3</v>
      </c>
      <c r="E96" s="166">
        <v>0.4</v>
      </c>
      <c r="F96" s="168">
        <v>0.5</v>
      </c>
      <c r="H96" s="93"/>
      <c r="I96" s="93" t="s">
        <v>80</v>
      </c>
      <c r="J96" s="127">
        <v>0.3</v>
      </c>
      <c r="K96" s="127">
        <v>0.4</v>
      </c>
      <c r="L96" s="127">
        <v>0.5</v>
      </c>
      <c r="N96" s="810"/>
      <c r="O96" s="177" t="s">
        <v>80</v>
      </c>
      <c r="P96" s="187">
        <v>0.3</v>
      </c>
      <c r="Q96" s="166">
        <v>0.4</v>
      </c>
      <c r="R96" s="168">
        <v>0.5</v>
      </c>
      <c r="T96" s="174" t="str" cm="1">
        <f t="array" aca="1" ref="T96" ca="1">_xll.d.TestUtils_IsTrue(_xll.d.Formatting_Equal(B96,N96))</f>
        <v>Ok</v>
      </c>
      <c r="U96" s="174" t="str" cm="1">
        <f t="array" aca="1" ref="U96" ca="1">_xll.d.TestUtils_IsTrue(_xll.d.Formatting_Equal(C96,O96))</f>
        <v>Ok</v>
      </c>
      <c r="V96" s="174" t="str" cm="1">
        <f t="array" aca="1" ref="V96" ca="1">_xll.d.TestUtils_IsTrue(_xll.d.Formatting_Equal(D96,P96))</f>
        <v>Ok</v>
      </c>
      <c r="W96" s="174" t="str" cm="1">
        <f t="array" aca="1" ref="W96" ca="1">_xll.d.TestUtils_IsTrue(_xll.d.Formatting_Equal(E96,Q96))</f>
        <v>Ok</v>
      </c>
      <c r="X96" s="174" t="str" cm="1">
        <f t="array" aca="1" ref="X96" ca="1">_xll.d.TestUtils_IsTrue(_xll.d.Formatting_Equal(F96,R96))</f>
        <v>Ok</v>
      </c>
    </row>
    <row r="97" spans="2:55" x14ac:dyDescent="0.25">
      <c r="B97" s="810"/>
      <c r="C97" s="177" t="s">
        <v>95</v>
      </c>
      <c r="D97" s="187">
        <v>0.3</v>
      </c>
      <c r="E97" s="166">
        <v>0.4</v>
      </c>
      <c r="F97" s="168">
        <v>0.5</v>
      </c>
      <c r="H97" s="93"/>
      <c r="I97" s="93" t="s">
        <v>95</v>
      </c>
      <c r="J97" s="127">
        <v>0.3</v>
      </c>
      <c r="K97" s="127">
        <v>0.4</v>
      </c>
      <c r="L97" s="127">
        <v>0.5</v>
      </c>
      <c r="N97" s="810"/>
      <c r="O97" s="177" t="s">
        <v>95</v>
      </c>
      <c r="P97" s="187">
        <v>0.3</v>
      </c>
      <c r="Q97" s="166">
        <v>0.4</v>
      </c>
      <c r="R97" s="168">
        <v>0.5</v>
      </c>
      <c r="T97" s="174" t="str" cm="1">
        <f t="array" aca="1" ref="T97" ca="1">_xll.d.TestUtils_IsTrue(_xll.d.Formatting_Equal(B97,N97))</f>
        <v>Ok</v>
      </c>
      <c r="U97" s="174" t="str" cm="1">
        <f t="array" aca="1" ref="U97" ca="1">_xll.d.TestUtils_IsTrue(_xll.d.Formatting_Equal(C97,O97))</f>
        <v>Ok</v>
      </c>
      <c r="V97" s="174" t="str" cm="1">
        <f t="array" aca="1" ref="V97" ca="1">_xll.d.TestUtils_IsTrue(_xll.d.Formatting_Equal(D97,P97))</f>
        <v>Ok</v>
      </c>
      <c r="W97" s="174" t="str" cm="1">
        <f t="array" aca="1" ref="W97" ca="1">_xll.d.TestUtils_IsTrue(_xll.d.Formatting_Equal(E97,Q97))</f>
        <v>Ok</v>
      </c>
      <c r="X97" s="174" t="str" cm="1">
        <f t="array" aca="1" ref="X97" ca="1">_xll.d.TestUtils_IsTrue(_xll.d.Formatting_Equal(F97,R97))</f>
        <v>Ok</v>
      </c>
    </row>
    <row r="98" spans="2:55" x14ac:dyDescent="0.25">
      <c r="B98" s="810"/>
      <c r="C98" s="177" t="s">
        <v>24</v>
      </c>
      <c r="D98" s="187">
        <v>0.3</v>
      </c>
      <c r="E98" s="166">
        <v>0.4</v>
      </c>
      <c r="F98" s="168">
        <v>0.5</v>
      </c>
      <c r="H98" s="93"/>
      <c r="I98" s="93" t="s">
        <v>24</v>
      </c>
      <c r="J98" s="127">
        <v>0.3</v>
      </c>
      <c r="K98" s="127">
        <v>0.4</v>
      </c>
      <c r="L98" s="127">
        <v>0.5</v>
      </c>
      <c r="N98" s="810"/>
      <c r="O98" s="177" t="s">
        <v>24</v>
      </c>
      <c r="P98" s="187">
        <v>0.3</v>
      </c>
      <c r="Q98" s="166">
        <v>0.4</v>
      </c>
      <c r="R98" s="168">
        <v>0.5</v>
      </c>
      <c r="T98" s="174" t="str" cm="1">
        <f t="array" aca="1" ref="T98" ca="1">_xll.d.TestUtils_IsTrue(_xll.d.Formatting_Equal(B98,N98))</f>
        <v>Ok</v>
      </c>
      <c r="U98" s="174" t="str" cm="1">
        <f t="array" aca="1" ref="U98" ca="1">_xll.d.TestUtils_IsTrue(_xll.d.Formatting_Equal(C98,O98))</f>
        <v>Ok</v>
      </c>
      <c r="V98" s="174" t="str" cm="1">
        <f t="array" aca="1" ref="V98" ca="1">_xll.d.TestUtils_IsTrue(_xll.d.Formatting_Equal(D98,P98))</f>
        <v>Ok</v>
      </c>
      <c r="W98" s="174" t="str" cm="1">
        <f t="array" aca="1" ref="W98" ca="1">_xll.d.TestUtils_IsTrue(_xll.d.Formatting_Equal(E98,Q98))</f>
        <v>Ok</v>
      </c>
      <c r="X98" s="174" t="str" cm="1">
        <f t="array" aca="1" ref="X98" ca="1">_xll.d.TestUtils_IsTrue(_xll.d.Formatting_Equal(F98,R98))</f>
        <v>Ok</v>
      </c>
    </row>
    <row r="99" spans="2:55" x14ac:dyDescent="0.25">
      <c r="B99" s="810"/>
      <c r="C99" s="177" t="s">
        <v>39</v>
      </c>
      <c r="D99" s="187">
        <v>0.3</v>
      </c>
      <c r="E99" s="166">
        <v>0.4</v>
      </c>
      <c r="F99" s="168">
        <v>0.5</v>
      </c>
      <c r="H99" s="93"/>
      <c r="I99" s="93" t="s">
        <v>39</v>
      </c>
      <c r="J99" s="127">
        <v>0.3</v>
      </c>
      <c r="K99" s="127">
        <v>0.4</v>
      </c>
      <c r="L99" s="127">
        <v>0.5</v>
      </c>
      <c r="N99" s="810"/>
      <c r="O99" s="177" t="s">
        <v>39</v>
      </c>
      <c r="P99" s="187">
        <v>0.3</v>
      </c>
      <c r="Q99" s="166">
        <v>0.4</v>
      </c>
      <c r="R99" s="168">
        <v>0.5</v>
      </c>
      <c r="T99" s="174" t="str" cm="1">
        <f t="array" aca="1" ref="T99" ca="1">_xll.d.TestUtils_IsTrue(_xll.d.Formatting_Equal(B99,N99))</f>
        <v>Ok</v>
      </c>
      <c r="U99" s="174" t="str" cm="1">
        <f t="array" aca="1" ref="U99" ca="1">_xll.d.TestUtils_IsTrue(_xll.d.Formatting_Equal(C99,O99))</f>
        <v>Ok</v>
      </c>
      <c r="V99" s="174" t="str" cm="1">
        <f t="array" aca="1" ref="V99" ca="1">_xll.d.TestUtils_IsTrue(_xll.d.Formatting_Equal(D99,P99))</f>
        <v>Ok</v>
      </c>
      <c r="W99" s="174" t="str" cm="1">
        <f t="array" aca="1" ref="W99" ca="1">_xll.d.TestUtils_IsTrue(_xll.d.Formatting_Equal(E99,Q99))</f>
        <v>Ok</v>
      </c>
      <c r="X99" s="174" t="str" cm="1">
        <f t="array" aca="1" ref="X99" ca="1">_xll.d.TestUtils_IsTrue(_xll.d.Formatting_Equal(F99,R99))</f>
        <v>Ok</v>
      </c>
    </row>
    <row r="100" spans="2:55" x14ac:dyDescent="0.25">
      <c r="B100" s="810"/>
      <c r="C100" s="177" t="s">
        <v>96</v>
      </c>
      <c r="D100" s="187">
        <v>0.3</v>
      </c>
      <c r="E100" s="166">
        <v>0.4</v>
      </c>
      <c r="F100" s="168">
        <v>0.5</v>
      </c>
      <c r="H100" s="93"/>
      <c r="I100" s="93" t="s">
        <v>96</v>
      </c>
      <c r="J100" s="127">
        <v>0.3</v>
      </c>
      <c r="K100" s="127">
        <v>0.4</v>
      </c>
      <c r="L100" s="127">
        <v>0.5</v>
      </c>
      <c r="N100" s="810"/>
      <c r="O100" s="177" t="s">
        <v>96</v>
      </c>
      <c r="P100" s="187">
        <v>0.3</v>
      </c>
      <c r="Q100" s="166">
        <v>0.4</v>
      </c>
      <c r="R100" s="168">
        <v>0.5</v>
      </c>
      <c r="T100" s="174" t="str" cm="1">
        <f t="array" aca="1" ref="T100" ca="1">_xll.d.TestUtils_IsTrue(_xll.d.Formatting_Equal(B100,N100))</f>
        <v>Ok</v>
      </c>
      <c r="U100" s="174" t="str" cm="1">
        <f t="array" aca="1" ref="U100" ca="1">_xll.d.TestUtils_IsTrue(_xll.d.Formatting_Equal(C100,O100))</f>
        <v>Ok</v>
      </c>
      <c r="V100" s="174" t="str" cm="1">
        <f t="array" aca="1" ref="V100" ca="1">_xll.d.TestUtils_IsTrue(_xll.d.Formatting_Equal(D100,P100))</f>
        <v>Ok</v>
      </c>
      <c r="W100" s="174" t="str" cm="1">
        <f t="array" aca="1" ref="W100" ca="1">_xll.d.TestUtils_IsTrue(_xll.d.Formatting_Equal(E100,Q100))</f>
        <v>Ok</v>
      </c>
      <c r="X100" s="174" t="str" cm="1">
        <f t="array" aca="1" ref="X100" ca="1">_xll.d.TestUtils_IsTrue(_xll.d.Formatting_Equal(F100,R100))</f>
        <v>Ok</v>
      </c>
    </row>
    <row r="101" spans="2:55" x14ac:dyDescent="0.25">
      <c r="B101" s="810"/>
      <c r="C101" s="177" t="s">
        <v>88</v>
      </c>
      <c r="D101" s="187">
        <v>0.3</v>
      </c>
      <c r="E101" s="166">
        <v>0.4</v>
      </c>
      <c r="F101" s="168">
        <v>0.5</v>
      </c>
      <c r="H101" s="93"/>
      <c r="I101" s="93" t="s">
        <v>88</v>
      </c>
      <c r="J101" s="127">
        <v>0.3</v>
      </c>
      <c r="K101" s="127">
        <v>0.4</v>
      </c>
      <c r="L101" s="127">
        <v>0.5</v>
      </c>
      <c r="N101" s="810"/>
      <c r="O101" s="177" t="s">
        <v>88</v>
      </c>
      <c r="P101" s="187">
        <v>0.3</v>
      </c>
      <c r="Q101" s="166">
        <v>0.4</v>
      </c>
      <c r="R101" s="168">
        <v>0.5</v>
      </c>
      <c r="T101" s="174" t="str" cm="1">
        <f t="array" aca="1" ref="T101" ca="1">_xll.d.TestUtils_IsTrue(_xll.d.Formatting_Equal(B101,N101))</f>
        <v>Ok</v>
      </c>
      <c r="U101" s="174" t="str" cm="1">
        <f t="array" aca="1" ref="U101" ca="1">_xll.d.TestUtils_IsTrue(_xll.d.Formatting_Equal(C101,O101))</f>
        <v>Ok</v>
      </c>
      <c r="V101" s="174" t="str" cm="1">
        <f t="array" aca="1" ref="V101" ca="1">_xll.d.TestUtils_IsTrue(_xll.d.Formatting_Equal(D101,P101))</f>
        <v>Ok</v>
      </c>
      <c r="W101" s="174" t="str" cm="1">
        <f t="array" aca="1" ref="W101" ca="1">_xll.d.TestUtils_IsTrue(_xll.d.Formatting_Equal(E101,Q101))</f>
        <v>Ok</v>
      </c>
      <c r="X101" s="174" t="str" cm="1">
        <f t="array" aca="1" ref="X101" ca="1">_xll.d.TestUtils_IsTrue(_xll.d.Formatting_Equal(F101,R101))</f>
        <v>Ok</v>
      </c>
    </row>
    <row r="102" spans="2:55" x14ac:dyDescent="0.25">
      <c r="B102" s="810"/>
      <c r="C102" s="177" t="s">
        <v>98</v>
      </c>
      <c r="D102" s="187">
        <v>0.3</v>
      </c>
      <c r="E102" s="166">
        <v>0.4</v>
      </c>
      <c r="F102" s="168">
        <v>0.5</v>
      </c>
      <c r="H102" s="93"/>
      <c r="I102" s="93" t="s">
        <v>98</v>
      </c>
      <c r="J102" s="127">
        <v>0.3</v>
      </c>
      <c r="K102" s="127">
        <v>0.4</v>
      </c>
      <c r="L102" s="127">
        <v>0.5</v>
      </c>
      <c r="N102" s="810"/>
      <c r="O102" s="177" t="s">
        <v>98</v>
      </c>
      <c r="P102" s="187">
        <v>0.3</v>
      </c>
      <c r="Q102" s="166">
        <v>0.4</v>
      </c>
      <c r="R102" s="168">
        <v>0.5</v>
      </c>
      <c r="T102" s="174" t="str" cm="1">
        <f t="array" aca="1" ref="T102" ca="1">_xll.d.TestUtils_IsTrue(_xll.d.Formatting_Equal(B102,N102))</f>
        <v>Ok</v>
      </c>
      <c r="U102" s="174" t="str" cm="1">
        <f t="array" aca="1" ref="U102" ca="1">_xll.d.TestUtils_IsTrue(_xll.d.Formatting_Equal(C102,O102))</f>
        <v>Ok</v>
      </c>
      <c r="V102" s="174" t="str" cm="1">
        <f t="array" aca="1" ref="V102" ca="1">_xll.d.TestUtils_IsTrue(_xll.d.Formatting_Equal(D102,P102))</f>
        <v>Ok</v>
      </c>
      <c r="W102" s="174" t="str" cm="1">
        <f t="array" aca="1" ref="W102" ca="1">_xll.d.TestUtils_IsTrue(_xll.d.Formatting_Equal(E102,Q102))</f>
        <v>Ok</v>
      </c>
      <c r="X102" s="174" t="str" cm="1">
        <f t="array" aca="1" ref="X102" ca="1">_xll.d.TestUtils_IsTrue(_xll.d.Formatting_Equal(F102,R102))</f>
        <v>Ok</v>
      </c>
    </row>
    <row r="103" spans="2:55" x14ac:dyDescent="0.25">
      <c r="B103" s="811"/>
      <c r="C103" s="178" t="s">
        <v>97</v>
      </c>
      <c r="D103" s="188">
        <v>0.3</v>
      </c>
      <c r="E103" s="167">
        <v>0.4</v>
      </c>
      <c r="F103" s="169">
        <v>0.5</v>
      </c>
      <c r="H103" s="93"/>
      <c r="I103" s="93" t="s">
        <v>97</v>
      </c>
      <c r="J103" s="127">
        <v>0.3</v>
      </c>
      <c r="K103" s="127">
        <v>0.4</v>
      </c>
      <c r="L103" s="127">
        <v>0.5</v>
      </c>
      <c r="N103" s="811"/>
      <c r="O103" s="178" t="s">
        <v>97</v>
      </c>
      <c r="P103" s="188">
        <v>0.3</v>
      </c>
      <c r="Q103" s="167">
        <v>0.4</v>
      </c>
      <c r="R103" s="169">
        <v>0.5</v>
      </c>
      <c r="T103" s="174" t="str" cm="1">
        <f t="array" aca="1" ref="T103" ca="1">_xll.d.TestUtils_IsTrue(_xll.d.Formatting_Equal(B103,N103))</f>
        <v>Ok</v>
      </c>
      <c r="U103" s="174" t="str" cm="1">
        <f t="array" aca="1" ref="U103" ca="1">_xll.d.TestUtils_IsTrue(_xll.d.Formatting_Equal(C103,O103))</f>
        <v>Ok</v>
      </c>
      <c r="V103" s="174" t="str" cm="1">
        <f t="array" aca="1" ref="V103" ca="1">_xll.d.TestUtils_IsTrue(_xll.d.Formatting_Equal(D103,P103))</f>
        <v>Ok</v>
      </c>
      <c r="W103" s="174" t="str" cm="1">
        <f t="array" aca="1" ref="W103" ca="1">_xll.d.TestUtils_IsTrue(_xll.d.Formatting_Equal(E103,Q103))</f>
        <v>Ok</v>
      </c>
      <c r="X103" s="174" t="str" cm="1">
        <f t="array" aca="1" ref="X103" ca="1">_xll.d.TestUtils_IsTrue(_xll.d.Formatting_Equal(F103,R103))</f>
        <v>Ok</v>
      </c>
    </row>
    <row r="106" spans="2:55" ht="18.75" x14ac:dyDescent="0.3">
      <c r="B106" s="3" t="s">
        <v>111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122</v>
      </c>
      <c r="C108" s="174" t="str" cm="1">
        <f t="array" aca="1" ref="C108" ca="1">_xll.d.TestUtils_And(T123:X139)</f>
        <v>Ok</v>
      </c>
    </row>
    <row r="110" spans="2:55" x14ac:dyDescent="0.25">
      <c r="B110" s="59" t="s">
        <v>106</v>
      </c>
      <c r="C110" s="59" t="s">
        <v>32</v>
      </c>
    </row>
    <row r="111" spans="2:55" x14ac:dyDescent="0.25">
      <c r="B111" s="91" t="s">
        <v>101</v>
      </c>
      <c r="C111" s="92" t="s">
        <v>117</v>
      </c>
    </row>
    <row r="112" spans="2:55" x14ac:dyDescent="0.25">
      <c r="B112" s="85" t="s">
        <v>102</v>
      </c>
      <c r="C112" s="86" t="s">
        <v>0</v>
      </c>
    </row>
    <row r="113" spans="2:24" x14ac:dyDescent="0.25">
      <c r="B113" s="87"/>
      <c r="C113" s="88" t="s">
        <v>103</v>
      </c>
    </row>
    <row r="114" spans="2:24" x14ac:dyDescent="0.25">
      <c r="B114" s="89"/>
      <c r="C114" s="90" t="s">
        <v>104</v>
      </c>
    </row>
    <row r="115" spans="2:24" x14ac:dyDescent="0.25">
      <c r="B115" s="155" t="s">
        <v>117</v>
      </c>
      <c r="C115" s="161">
        <v>0</v>
      </c>
    </row>
    <row r="116" spans="2:24" x14ac:dyDescent="0.25">
      <c r="B116" s="155" t="s">
        <v>118</v>
      </c>
      <c r="C116" s="161">
        <v>2</v>
      </c>
    </row>
    <row r="117" spans="2:24" x14ac:dyDescent="0.25">
      <c r="B117" s="142" t="s">
        <v>109</v>
      </c>
      <c r="C117" s="143"/>
    </row>
    <row r="119" spans="2:24" x14ac:dyDescent="0.25">
      <c r="B119" t="s">
        <v>110</v>
      </c>
    </row>
    <row r="121" spans="2:24" x14ac:dyDescent="0.25">
      <c r="B121" s="68" t="s">
        <v>86</v>
      </c>
      <c r="H121" s="68" t="s">
        <v>99</v>
      </c>
      <c r="N121" s="68" t="s">
        <v>100</v>
      </c>
      <c r="T121" s="68" t="s">
        <v>123</v>
      </c>
    </row>
    <row r="123" spans="2:24" ht="15" customHeight="1" x14ac:dyDescent="0.25">
      <c r="B123" s="145" t="s">
        <v>89</v>
      </c>
      <c r="C123" s="145" t="s">
        <v>34</v>
      </c>
      <c r="D123" s="145">
        <v>44562</v>
      </c>
      <c r="E123" s="145">
        <v>44593</v>
      </c>
      <c r="F123" s="145">
        <v>44621</v>
      </c>
      <c r="H123" s="812" t="s">
        <v>89</v>
      </c>
      <c r="I123" s="94" t="s">
        <v>34</v>
      </c>
      <c r="J123" s="78">
        <v>44562</v>
      </c>
      <c r="K123" s="80">
        <v>44593</v>
      </c>
      <c r="L123" s="97">
        <v>44621</v>
      </c>
      <c r="N123" s="145" t="s">
        <v>89</v>
      </c>
      <c r="O123" s="145" t="s">
        <v>34</v>
      </c>
      <c r="P123" s="145">
        <v>44562</v>
      </c>
      <c r="Q123" s="145">
        <v>44593</v>
      </c>
      <c r="R123" s="145">
        <v>44621</v>
      </c>
      <c r="T123" s="174" t="str" cm="1">
        <f t="array" aca="1" ref="T123" ca="1">_xll.d.TestUtils_IsTrue(_xll.d.Formatting_Equal(B123,N123))</f>
        <v>Ok</v>
      </c>
      <c r="U123" s="174" t="str" cm="1">
        <f t="array" aca="1" ref="U123" ca="1">_xll.d.TestUtils_IsTrue(_xll.d.Formatting_Equal(C123,O123))</f>
        <v>Ok</v>
      </c>
      <c r="V123" s="174" t="str" cm="1">
        <f t="array" aca="1" ref="V123" ca="1">_xll.d.TestUtils_IsTrue(_xll.d.Formatting_Equal(D123,P123))</f>
        <v>Ok</v>
      </c>
      <c r="W123" s="174" t="str" cm="1">
        <f t="array" aca="1" ref="W123" ca="1">_xll.d.TestUtils_IsTrue(_xll.d.Formatting_Equal(E123,Q123))</f>
        <v>Ok</v>
      </c>
      <c r="X123" s="174" t="str" cm="1">
        <f t="array" aca="1" ref="X123" ca="1">_xll.d.TestUtils_IsTrue(_xll.d.Formatting_Equal(F123,R123))</f>
        <v>Ok</v>
      </c>
    </row>
    <row r="124" spans="2:24" x14ac:dyDescent="0.25">
      <c r="B124" s="146"/>
      <c r="C124" s="145" t="s">
        <v>0</v>
      </c>
      <c r="D124" s="145">
        <v>44562</v>
      </c>
      <c r="E124" s="145">
        <v>44593</v>
      </c>
      <c r="F124" s="145">
        <v>44621</v>
      </c>
      <c r="H124" s="813"/>
      <c r="I124" s="95" t="s">
        <v>0</v>
      </c>
      <c r="J124" s="79">
        <v>44562</v>
      </c>
      <c r="K124" s="81">
        <v>44593</v>
      </c>
      <c r="L124" s="98">
        <v>44621</v>
      </c>
      <c r="N124" s="146"/>
      <c r="O124" s="145" t="s">
        <v>0</v>
      </c>
      <c r="P124" s="145">
        <v>44562</v>
      </c>
      <c r="Q124" s="145">
        <v>44593</v>
      </c>
      <c r="R124" s="145">
        <v>44621</v>
      </c>
      <c r="T124" s="174" t="str" cm="1">
        <f t="array" aca="1" ref="T124" ca="1">_xll.d.TestUtils_IsTrue(_xll.d.Formatting_Equal(B124,N124))</f>
        <v>Ok</v>
      </c>
      <c r="U124" s="174" t="str" cm="1">
        <f t="array" aca="1" ref="U124" ca="1">_xll.d.TestUtils_IsTrue(_xll.d.Formatting_Equal(C124,O124))</f>
        <v>Ok</v>
      </c>
      <c r="V124" s="174" t="str" cm="1">
        <f t="array" aca="1" ref="V124" ca="1">_xll.d.TestUtils_IsTrue(_xll.d.Formatting_Equal(D124,P124))</f>
        <v>Ok</v>
      </c>
      <c r="W124" s="174" t="str" cm="1">
        <f t="array" aca="1" ref="W124" ca="1">_xll.d.TestUtils_IsTrue(_xll.d.Formatting_Equal(E124,Q124))</f>
        <v>Ok</v>
      </c>
      <c r="X124" s="174" t="str" cm="1">
        <f t="array" aca="1" ref="X124" ca="1">_xll.d.TestUtils_IsTrue(_xll.d.Formatting_Equal(F124,R124))</f>
        <v>Ok</v>
      </c>
    </row>
    <row r="125" spans="2:24" x14ac:dyDescent="0.25">
      <c r="B125" s="146"/>
      <c r="C125" s="145" t="s">
        <v>90</v>
      </c>
      <c r="D125" s="146">
        <v>1000</v>
      </c>
      <c r="E125" s="146">
        <v>2000</v>
      </c>
      <c r="F125" s="146">
        <v>3000</v>
      </c>
      <c r="H125" s="813"/>
      <c r="I125" s="95" t="s">
        <v>90</v>
      </c>
      <c r="J125" s="99">
        <v>1000</v>
      </c>
      <c r="K125" s="82">
        <v>2000</v>
      </c>
      <c r="L125" s="100">
        <v>3000</v>
      </c>
      <c r="N125" s="146"/>
      <c r="O125" s="145" t="s">
        <v>90</v>
      </c>
      <c r="P125" s="146">
        <v>1000</v>
      </c>
      <c r="Q125" s="146">
        <v>2000</v>
      </c>
      <c r="R125" s="146">
        <v>3000</v>
      </c>
      <c r="T125" s="174" t="str" cm="1">
        <f t="array" aca="1" ref="T125" ca="1">_xll.d.TestUtils_IsTrue(_xll.d.Formatting_Equal(B125,N125))</f>
        <v>Ok</v>
      </c>
      <c r="U125" s="174" t="str" cm="1">
        <f t="array" aca="1" ref="U125" ca="1">_xll.d.TestUtils_IsTrue(_xll.d.Formatting_Equal(C125,O125))</f>
        <v>Ok</v>
      </c>
      <c r="V125" s="174" t="str" cm="1">
        <f t="array" aca="1" ref="V125" ca="1">_xll.d.TestUtils_IsTrue(_xll.d.Formatting_Equal(D125,P125))</f>
        <v>Ok</v>
      </c>
      <c r="W125" s="174" t="str" cm="1">
        <f t="array" aca="1" ref="W125" ca="1">_xll.d.TestUtils_IsTrue(_xll.d.Formatting_Equal(E125,Q125))</f>
        <v>Ok</v>
      </c>
      <c r="X125" s="174" t="str" cm="1">
        <f t="array" aca="1" ref="X125" ca="1">_xll.d.TestUtils_IsTrue(_xll.d.Formatting_Equal(F125,R125))</f>
        <v>Ok</v>
      </c>
    </row>
    <row r="126" spans="2:24" x14ac:dyDescent="0.25">
      <c r="B126" s="146"/>
      <c r="C126" s="145" t="s">
        <v>91</v>
      </c>
      <c r="D126" s="146">
        <v>1000</v>
      </c>
      <c r="E126" s="146">
        <v>2000</v>
      </c>
      <c r="F126" s="146">
        <v>3000</v>
      </c>
      <c r="H126" s="813"/>
      <c r="I126" s="95" t="s">
        <v>91</v>
      </c>
      <c r="J126" s="99">
        <v>1000</v>
      </c>
      <c r="K126" s="82">
        <v>2000</v>
      </c>
      <c r="L126" s="100">
        <v>3000</v>
      </c>
      <c r="N126" s="146"/>
      <c r="O126" s="145" t="s">
        <v>91</v>
      </c>
      <c r="P126" s="146">
        <v>1000</v>
      </c>
      <c r="Q126" s="146">
        <v>2000</v>
      </c>
      <c r="R126" s="146">
        <v>3000</v>
      </c>
      <c r="T126" s="174" t="str" cm="1">
        <f t="array" aca="1" ref="T126" ca="1">_xll.d.TestUtils_IsTrue(_xll.d.Formatting_Equal(B126,N126))</f>
        <v>Ok</v>
      </c>
      <c r="U126" s="174" t="str" cm="1">
        <f t="array" aca="1" ref="U126" ca="1">_xll.d.TestUtils_IsTrue(_xll.d.Formatting_Equal(C126,O126))</f>
        <v>Ok</v>
      </c>
      <c r="V126" s="174" t="str" cm="1">
        <f t="array" aca="1" ref="V126" ca="1">_xll.d.TestUtils_IsTrue(_xll.d.Formatting_Equal(D126,P126))</f>
        <v>Ok</v>
      </c>
      <c r="W126" s="174" t="str" cm="1">
        <f t="array" aca="1" ref="W126" ca="1">_xll.d.TestUtils_IsTrue(_xll.d.Formatting_Equal(E126,Q126))</f>
        <v>Ok</v>
      </c>
      <c r="X126" s="174" t="str" cm="1">
        <f t="array" aca="1" ref="X126" ca="1">_xll.d.TestUtils_IsTrue(_xll.d.Formatting_Equal(F126,R126))</f>
        <v>Ok</v>
      </c>
    </row>
    <row r="127" spans="2:24" x14ac:dyDescent="0.25">
      <c r="B127" s="146"/>
      <c r="C127" s="145" t="s">
        <v>92</v>
      </c>
      <c r="D127" s="146">
        <v>1000</v>
      </c>
      <c r="E127" s="146">
        <v>2000</v>
      </c>
      <c r="F127" s="146">
        <v>3000</v>
      </c>
      <c r="H127" s="813"/>
      <c r="I127" s="95" t="s">
        <v>92</v>
      </c>
      <c r="J127" s="99">
        <v>1000</v>
      </c>
      <c r="K127" s="82">
        <v>2000</v>
      </c>
      <c r="L127" s="100">
        <v>3000</v>
      </c>
      <c r="N127" s="146"/>
      <c r="O127" s="145" t="s">
        <v>92</v>
      </c>
      <c r="P127" s="146">
        <v>1000</v>
      </c>
      <c r="Q127" s="146">
        <v>2000</v>
      </c>
      <c r="R127" s="146">
        <v>3000</v>
      </c>
      <c r="T127" s="174" t="str" cm="1">
        <f t="array" aca="1" ref="T127" ca="1">_xll.d.TestUtils_IsTrue(_xll.d.Formatting_Equal(B127,N127))</f>
        <v>Ok</v>
      </c>
      <c r="U127" s="174" t="str" cm="1">
        <f t="array" aca="1" ref="U127" ca="1">_xll.d.TestUtils_IsTrue(_xll.d.Formatting_Equal(C127,O127))</f>
        <v>Ok</v>
      </c>
      <c r="V127" s="174" t="str" cm="1">
        <f t="array" aca="1" ref="V127" ca="1">_xll.d.TestUtils_IsTrue(_xll.d.Formatting_Equal(D127,P127))</f>
        <v>Ok</v>
      </c>
      <c r="W127" s="174" t="str" cm="1">
        <f t="array" aca="1" ref="W127" ca="1">_xll.d.TestUtils_IsTrue(_xll.d.Formatting_Equal(E127,Q127))</f>
        <v>Ok</v>
      </c>
      <c r="X127" s="174" t="str" cm="1">
        <f t="array" aca="1" ref="X127" ca="1">_xll.d.TestUtils_IsTrue(_xll.d.Formatting_Equal(F127,R127))</f>
        <v>Ok</v>
      </c>
    </row>
    <row r="128" spans="2:24" x14ac:dyDescent="0.25">
      <c r="B128" s="146"/>
      <c r="C128" s="145" t="s">
        <v>93</v>
      </c>
      <c r="D128" s="146">
        <v>1000</v>
      </c>
      <c r="E128" s="146">
        <v>2000</v>
      </c>
      <c r="F128" s="146">
        <v>3000</v>
      </c>
      <c r="H128" s="813"/>
      <c r="I128" s="95" t="s">
        <v>93</v>
      </c>
      <c r="J128" s="99">
        <v>1000</v>
      </c>
      <c r="K128" s="82">
        <v>2000</v>
      </c>
      <c r="L128" s="100">
        <v>3000</v>
      </c>
      <c r="N128" s="146"/>
      <c r="O128" s="145" t="s">
        <v>93</v>
      </c>
      <c r="P128" s="146">
        <v>1000</v>
      </c>
      <c r="Q128" s="146">
        <v>2000</v>
      </c>
      <c r="R128" s="146">
        <v>3000</v>
      </c>
      <c r="T128" s="174" t="str" cm="1">
        <f t="array" aca="1" ref="T128" ca="1">_xll.d.TestUtils_IsTrue(_xll.d.Formatting_Equal(B128,N128))</f>
        <v>Ok</v>
      </c>
      <c r="U128" s="174" t="str" cm="1">
        <f t="array" aca="1" ref="U128" ca="1">_xll.d.TestUtils_IsTrue(_xll.d.Formatting_Equal(C128,O128))</f>
        <v>Ok</v>
      </c>
      <c r="V128" s="174" t="str" cm="1">
        <f t="array" aca="1" ref="V128" ca="1">_xll.d.TestUtils_IsTrue(_xll.d.Formatting_Equal(D128,P128))</f>
        <v>Ok</v>
      </c>
      <c r="W128" s="174" t="str" cm="1">
        <f t="array" aca="1" ref="W128" ca="1">_xll.d.TestUtils_IsTrue(_xll.d.Formatting_Equal(E128,Q128))</f>
        <v>Ok</v>
      </c>
      <c r="X128" s="174" t="str" cm="1">
        <f t="array" aca="1" ref="X128" ca="1">_xll.d.TestUtils_IsTrue(_xll.d.Formatting_Equal(F128,R128))</f>
        <v>Ok</v>
      </c>
    </row>
    <row r="129" spans="2:55" x14ac:dyDescent="0.25">
      <c r="B129" s="146"/>
      <c r="C129" s="145" t="s">
        <v>94</v>
      </c>
      <c r="D129" s="145">
        <v>0.3</v>
      </c>
      <c r="E129" s="145">
        <v>0.4</v>
      </c>
      <c r="F129" s="145">
        <v>0.5</v>
      </c>
      <c r="H129" s="813"/>
      <c r="I129" s="95" t="s">
        <v>94</v>
      </c>
      <c r="J129" s="101">
        <v>0.3</v>
      </c>
      <c r="K129" s="83">
        <v>0.4</v>
      </c>
      <c r="L129" s="76">
        <v>0.5</v>
      </c>
      <c r="N129" s="146"/>
      <c r="O129" s="145" t="s">
        <v>94</v>
      </c>
      <c r="P129" s="145">
        <v>0.3</v>
      </c>
      <c r="Q129" s="145">
        <v>0.4</v>
      </c>
      <c r="R129" s="145">
        <v>0.5</v>
      </c>
      <c r="T129" s="174" t="str" cm="1">
        <f t="array" aca="1" ref="T129" ca="1">_xll.d.TestUtils_IsTrue(_xll.d.Formatting_Equal(B129,N129))</f>
        <v>Ok</v>
      </c>
      <c r="U129" s="174" t="str" cm="1">
        <f t="array" aca="1" ref="U129" ca="1">_xll.d.TestUtils_IsTrue(_xll.d.Formatting_Equal(C129,O129))</f>
        <v>Ok</v>
      </c>
      <c r="V129" s="174" t="str" cm="1">
        <f t="array" aca="1" ref="V129" ca="1">_xll.d.TestUtils_IsTrue(_xll.d.Formatting_Equal(D129,P129))</f>
        <v>Ok</v>
      </c>
      <c r="W129" s="174" t="str" cm="1">
        <f t="array" aca="1" ref="W129" ca="1">_xll.d.TestUtils_IsTrue(_xll.d.Formatting_Equal(E129,Q129))</f>
        <v>Ok</v>
      </c>
      <c r="X129" s="174" t="str" cm="1">
        <f t="array" aca="1" ref="X129" ca="1">_xll.d.TestUtils_IsTrue(_xll.d.Formatting_Equal(F129,R129))</f>
        <v>Ok</v>
      </c>
    </row>
    <row r="130" spans="2:55" x14ac:dyDescent="0.25">
      <c r="B130" s="146"/>
      <c r="C130" s="145" t="s">
        <v>78</v>
      </c>
      <c r="D130" s="145">
        <v>0.3</v>
      </c>
      <c r="E130" s="145">
        <v>0.4</v>
      </c>
      <c r="F130" s="145">
        <v>0.5</v>
      </c>
      <c r="H130" s="813"/>
      <c r="I130" s="95" t="s">
        <v>78</v>
      </c>
      <c r="J130" s="101">
        <v>0.3</v>
      </c>
      <c r="K130" s="83">
        <v>0.4</v>
      </c>
      <c r="L130" s="76">
        <v>0.5</v>
      </c>
      <c r="N130" s="146"/>
      <c r="O130" s="145" t="s">
        <v>78</v>
      </c>
      <c r="P130" s="145">
        <v>0.3</v>
      </c>
      <c r="Q130" s="145">
        <v>0.4</v>
      </c>
      <c r="R130" s="145">
        <v>0.5</v>
      </c>
      <c r="T130" s="174" t="str" cm="1">
        <f t="array" aca="1" ref="T130" ca="1">_xll.d.TestUtils_IsTrue(_xll.d.Formatting_Equal(B130,N130))</f>
        <v>Ok</v>
      </c>
      <c r="U130" s="174" t="str" cm="1">
        <f t="array" aca="1" ref="U130" ca="1">_xll.d.TestUtils_IsTrue(_xll.d.Formatting_Equal(C130,O130))</f>
        <v>Ok</v>
      </c>
      <c r="V130" s="174" t="str" cm="1">
        <f t="array" aca="1" ref="V130" ca="1">_xll.d.TestUtils_IsTrue(_xll.d.Formatting_Equal(D130,P130))</f>
        <v>Ok</v>
      </c>
      <c r="W130" s="174" t="str" cm="1">
        <f t="array" aca="1" ref="W130" ca="1">_xll.d.TestUtils_IsTrue(_xll.d.Formatting_Equal(E130,Q130))</f>
        <v>Ok</v>
      </c>
      <c r="X130" s="174" t="str" cm="1">
        <f t="array" aca="1" ref="X130" ca="1">_xll.d.TestUtils_IsTrue(_xll.d.Formatting_Equal(F130,R130))</f>
        <v>Ok</v>
      </c>
    </row>
    <row r="131" spans="2:55" x14ac:dyDescent="0.25">
      <c r="B131" s="146"/>
      <c r="C131" s="145" t="s">
        <v>79</v>
      </c>
      <c r="D131" s="145">
        <v>0.3</v>
      </c>
      <c r="E131" s="145">
        <v>0.4</v>
      </c>
      <c r="F131" s="145">
        <v>0.5</v>
      </c>
      <c r="H131" s="813"/>
      <c r="I131" s="95" t="s">
        <v>79</v>
      </c>
      <c r="J131" s="101">
        <v>0.3</v>
      </c>
      <c r="K131" s="83">
        <v>0.4</v>
      </c>
      <c r="L131" s="76">
        <v>0.5</v>
      </c>
      <c r="N131" s="146"/>
      <c r="O131" s="145" t="s">
        <v>79</v>
      </c>
      <c r="P131" s="145">
        <v>0.3</v>
      </c>
      <c r="Q131" s="145">
        <v>0.4</v>
      </c>
      <c r="R131" s="145">
        <v>0.5</v>
      </c>
      <c r="T131" s="174" t="str" cm="1">
        <f t="array" aca="1" ref="T131" ca="1">_xll.d.TestUtils_IsTrue(_xll.d.Formatting_Equal(B131,N131))</f>
        <v>Ok</v>
      </c>
      <c r="U131" s="174" t="str" cm="1">
        <f t="array" aca="1" ref="U131" ca="1">_xll.d.TestUtils_IsTrue(_xll.d.Formatting_Equal(C131,O131))</f>
        <v>Ok</v>
      </c>
      <c r="V131" s="174" t="str" cm="1">
        <f t="array" aca="1" ref="V131" ca="1">_xll.d.TestUtils_IsTrue(_xll.d.Formatting_Equal(D131,P131))</f>
        <v>Ok</v>
      </c>
      <c r="W131" s="174" t="str" cm="1">
        <f t="array" aca="1" ref="W131" ca="1">_xll.d.TestUtils_IsTrue(_xll.d.Formatting_Equal(E131,Q131))</f>
        <v>Ok</v>
      </c>
      <c r="X131" s="174" t="str" cm="1">
        <f t="array" aca="1" ref="X131" ca="1">_xll.d.TestUtils_IsTrue(_xll.d.Formatting_Equal(F131,R131))</f>
        <v>Ok</v>
      </c>
    </row>
    <row r="132" spans="2:55" x14ac:dyDescent="0.25">
      <c r="B132" s="146"/>
      <c r="C132" s="145" t="s">
        <v>80</v>
      </c>
      <c r="D132" s="145">
        <v>0.3</v>
      </c>
      <c r="E132" s="145">
        <v>0.4</v>
      </c>
      <c r="F132" s="145">
        <v>0.5</v>
      </c>
      <c r="H132" s="813"/>
      <c r="I132" s="95" t="s">
        <v>80</v>
      </c>
      <c r="J132" s="101">
        <v>0.3</v>
      </c>
      <c r="K132" s="83">
        <v>0.4</v>
      </c>
      <c r="L132" s="76">
        <v>0.5</v>
      </c>
      <c r="N132" s="146"/>
      <c r="O132" s="145" t="s">
        <v>80</v>
      </c>
      <c r="P132" s="145">
        <v>0.3</v>
      </c>
      <c r="Q132" s="145">
        <v>0.4</v>
      </c>
      <c r="R132" s="145">
        <v>0.5</v>
      </c>
      <c r="T132" s="174" t="str" cm="1">
        <f t="array" aca="1" ref="T132" ca="1">_xll.d.TestUtils_IsTrue(_xll.d.Formatting_Equal(B132,N132))</f>
        <v>Ok</v>
      </c>
      <c r="U132" s="174" t="str" cm="1">
        <f t="array" aca="1" ref="U132" ca="1">_xll.d.TestUtils_IsTrue(_xll.d.Formatting_Equal(C132,O132))</f>
        <v>Ok</v>
      </c>
      <c r="V132" s="174" t="str" cm="1">
        <f t="array" aca="1" ref="V132" ca="1">_xll.d.TestUtils_IsTrue(_xll.d.Formatting_Equal(D132,P132))</f>
        <v>Ok</v>
      </c>
      <c r="W132" s="174" t="str" cm="1">
        <f t="array" aca="1" ref="W132" ca="1">_xll.d.TestUtils_IsTrue(_xll.d.Formatting_Equal(E132,Q132))</f>
        <v>Ok</v>
      </c>
      <c r="X132" s="174" t="str" cm="1">
        <f t="array" aca="1" ref="X132" ca="1">_xll.d.TestUtils_IsTrue(_xll.d.Formatting_Equal(F132,R132))</f>
        <v>Ok</v>
      </c>
    </row>
    <row r="133" spans="2:55" x14ac:dyDescent="0.25">
      <c r="B133" s="146"/>
      <c r="C133" s="145" t="s">
        <v>95</v>
      </c>
      <c r="D133" s="145">
        <v>0.3</v>
      </c>
      <c r="E133" s="145">
        <v>0.4</v>
      </c>
      <c r="F133" s="145">
        <v>0.5</v>
      </c>
      <c r="H133" s="813"/>
      <c r="I133" s="95" t="s">
        <v>95</v>
      </c>
      <c r="J133" s="101">
        <v>0.3</v>
      </c>
      <c r="K133" s="83">
        <v>0.4</v>
      </c>
      <c r="L133" s="76">
        <v>0.5</v>
      </c>
      <c r="N133" s="146"/>
      <c r="O133" s="145" t="s">
        <v>95</v>
      </c>
      <c r="P133" s="145">
        <v>0.3</v>
      </c>
      <c r="Q133" s="145">
        <v>0.4</v>
      </c>
      <c r="R133" s="145">
        <v>0.5</v>
      </c>
      <c r="T133" s="174" t="str" cm="1">
        <f t="array" aca="1" ref="T133" ca="1">_xll.d.TestUtils_IsTrue(_xll.d.Formatting_Equal(B133,N133))</f>
        <v>Ok</v>
      </c>
      <c r="U133" s="174" t="str" cm="1">
        <f t="array" aca="1" ref="U133" ca="1">_xll.d.TestUtils_IsTrue(_xll.d.Formatting_Equal(C133,O133))</f>
        <v>Ok</v>
      </c>
      <c r="V133" s="174" t="str" cm="1">
        <f t="array" aca="1" ref="V133" ca="1">_xll.d.TestUtils_IsTrue(_xll.d.Formatting_Equal(D133,P133))</f>
        <v>Ok</v>
      </c>
      <c r="W133" s="174" t="str" cm="1">
        <f t="array" aca="1" ref="W133" ca="1">_xll.d.TestUtils_IsTrue(_xll.d.Formatting_Equal(E133,Q133))</f>
        <v>Ok</v>
      </c>
      <c r="X133" s="174" t="str" cm="1">
        <f t="array" aca="1" ref="X133" ca="1">_xll.d.TestUtils_IsTrue(_xll.d.Formatting_Equal(F133,R133))</f>
        <v>Ok</v>
      </c>
    </row>
    <row r="134" spans="2:55" x14ac:dyDescent="0.25">
      <c r="B134" s="146"/>
      <c r="C134" s="145" t="s">
        <v>24</v>
      </c>
      <c r="D134" s="145">
        <v>0.3</v>
      </c>
      <c r="E134" s="145">
        <v>0.4</v>
      </c>
      <c r="F134" s="145">
        <v>0.5</v>
      </c>
      <c r="H134" s="813"/>
      <c r="I134" s="95" t="s">
        <v>24</v>
      </c>
      <c r="J134" s="101">
        <v>0.3</v>
      </c>
      <c r="K134" s="83">
        <v>0.4</v>
      </c>
      <c r="L134" s="76">
        <v>0.5</v>
      </c>
      <c r="N134" s="146"/>
      <c r="O134" s="145" t="s">
        <v>24</v>
      </c>
      <c r="P134" s="145">
        <v>0.3</v>
      </c>
      <c r="Q134" s="145">
        <v>0.4</v>
      </c>
      <c r="R134" s="145">
        <v>0.5</v>
      </c>
      <c r="T134" s="174" t="str" cm="1">
        <f t="array" aca="1" ref="T134" ca="1">_xll.d.TestUtils_IsTrue(_xll.d.Formatting_Equal(B134,N134))</f>
        <v>Ok</v>
      </c>
      <c r="U134" s="174" t="str" cm="1">
        <f t="array" aca="1" ref="U134" ca="1">_xll.d.TestUtils_IsTrue(_xll.d.Formatting_Equal(C134,O134))</f>
        <v>Ok</v>
      </c>
      <c r="V134" s="174" t="str" cm="1">
        <f t="array" aca="1" ref="V134" ca="1">_xll.d.TestUtils_IsTrue(_xll.d.Formatting_Equal(D134,P134))</f>
        <v>Ok</v>
      </c>
      <c r="W134" s="174" t="str" cm="1">
        <f t="array" aca="1" ref="W134" ca="1">_xll.d.TestUtils_IsTrue(_xll.d.Formatting_Equal(E134,Q134))</f>
        <v>Ok</v>
      </c>
      <c r="X134" s="174" t="str" cm="1">
        <f t="array" aca="1" ref="X134" ca="1">_xll.d.TestUtils_IsTrue(_xll.d.Formatting_Equal(F134,R134))</f>
        <v>Ok</v>
      </c>
    </row>
    <row r="135" spans="2:55" x14ac:dyDescent="0.25">
      <c r="B135" s="146"/>
      <c r="C135" s="145" t="s">
        <v>39</v>
      </c>
      <c r="D135" s="145">
        <v>0.3</v>
      </c>
      <c r="E135" s="145">
        <v>0.4</v>
      </c>
      <c r="F135" s="145">
        <v>0.5</v>
      </c>
      <c r="H135" s="813"/>
      <c r="I135" s="95" t="s">
        <v>39</v>
      </c>
      <c r="J135" s="101">
        <v>0.3</v>
      </c>
      <c r="K135" s="83">
        <v>0.4</v>
      </c>
      <c r="L135" s="76">
        <v>0.5</v>
      </c>
      <c r="N135" s="146"/>
      <c r="O135" s="145" t="s">
        <v>39</v>
      </c>
      <c r="P135" s="145">
        <v>0.3</v>
      </c>
      <c r="Q135" s="145">
        <v>0.4</v>
      </c>
      <c r="R135" s="145">
        <v>0.5</v>
      </c>
      <c r="T135" s="174" t="str" cm="1">
        <f t="array" aca="1" ref="T135" ca="1">_xll.d.TestUtils_IsTrue(_xll.d.Formatting_Equal(B135,N135))</f>
        <v>Ok</v>
      </c>
      <c r="U135" s="174" t="str" cm="1">
        <f t="array" aca="1" ref="U135" ca="1">_xll.d.TestUtils_IsTrue(_xll.d.Formatting_Equal(C135,O135))</f>
        <v>Ok</v>
      </c>
      <c r="V135" s="174" t="str" cm="1">
        <f t="array" aca="1" ref="V135" ca="1">_xll.d.TestUtils_IsTrue(_xll.d.Formatting_Equal(D135,P135))</f>
        <v>Ok</v>
      </c>
      <c r="W135" s="174" t="str" cm="1">
        <f t="array" aca="1" ref="W135" ca="1">_xll.d.TestUtils_IsTrue(_xll.d.Formatting_Equal(E135,Q135))</f>
        <v>Ok</v>
      </c>
      <c r="X135" s="174" t="str" cm="1">
        <f t="array" aca="1" ref="X135" ca="1">_xll.d.TestUtils_IsTrue(_xll.d.Formatting_Equal(F135,R135))</f>
        <v>Ok</v>
      </c>
    </row>
    <row r="136" spans="2:55" x14ac:dyDescent="0.25">
      <c r="B136" s="146"/>
      <c r="C136" s="145" t="s">
        <v>96</v>
      </c>
      <c r="D136" s="145">
        <v>0.3</v>
      </c>
      <c r="E136" s="145">
        <v>0.4</v>
      </c>
      <c r="F136" s="145">
        <v>0.5</v>
      </c>
      <c r="H136" s="813"/>
      <c r="I136" s="95" t="s">
        <v>96</v>
      </c>
      <c r="J136" s="101">
        <v>0.3</v>
      </c>
      <c r="K136" s="83">
        <v>0.4</v>
      </c>
      <c r="L136" s="76">
        <v>0.5</v>
      </c>
      <c r="N136" s="146"/>
      <c r="O136" s="145" t="s">
        <v>96</v>
      </c>
      <c r="P136" s="145">
        <v>0.3</v>
      </c>
      <c r="Q136" s="145">
        <v>0.4</v>
      </c>
      <c r="R136" s="145">
        <v>0.5</v>
      </c>
      <c r="T136" s="174" t="str" cm="1">
        <f t="array" aca="1" ref="T136" ca="1">_xll.d.TestUtils_IsTrue(_xll.d.Formatting_Equal(B136,N136))</f>
        <v>Ok</v>
      </c>
      <c r="U136" s="174" t="str" cm="1">
        <f t="array" aca="1" ref="U136" ca="1">_xll.d.TestUtils_IsTrue(_xll.d.Formatting_Equal(C136,O136))</f>
        <v>Ok</v>
      </c>
      <c r="V136" s="174" t="str" cm="1">
        <f t="array" aca="1" ref="V136" ca="1">_xll.d.TestUtils_IsTrue(_xll.d.Formatting_Equal(D136,P136))</f>
        <v>Ok</v>
      </c>
      <c r="W136" s="174" t="str" cm="1">
        <f t="array" aca="1" ref="W136" ca="1">_xll.d.TestUtils_IsTrue(_xll.d.Formatting_Equal(E136,Q136))</f>
        <v>Ok</v>
      </c>
      <c r="X136" s="174" t="str" cm="1">
        <f t="array" aca="1" ref="X136" ca="1">_xll.d.TestUtils_IsTrue(_xll.d.Formatting_Equal(F136,R136))</f>
        <v>Ok</v>
      </c>
    </row>
    <row r="137" spans="2:55" x14ac:dyDescent="0.25">
      <c r="B137" s="146"/>
      <c r="C137" s="145" t="s">
        <v>88</v>
      </c>
      <c r="D137" s="145">
        <v>0.3</v>
      </c>
      <c r="E137" s="145">
        <v>0.4</v>
      </c>
      <c r="F137" s="145">
        <v>0.5</v>
      </c>
      <c r="H137" s="813"/>
      <c r="I137" s="95" t="s">
        <v>88</v>
      </c>
      <c r="J137" s="101">
        <v>0.3</v>
      </c>
      <c r="K137" s="83">
        <v>0.4</v>
      </c>
      <c r="L137" s="76">
        <v>0.5</v>
      </c>
      <c r="N137" s="146"/>
      <c r="O137" s="145" t="s">
        <v>88</v>
      </c>
      <c r="P137" s="145">
        <v>0.3</v>
      </c>
      <c r="Q137" s="145">
        <v>0.4</v>
      </c>
      <c r="R137" s="145">
        <v>0.5</v>
      </c>
      <c r="T137" s="174" t="str" cm="1">
        <f t="array" aca="1" ref="T137" ca="1">_xll.d.TestUtils_IsTrue(_xll.d.Formatting_Equal(B137,N137))</f>
        <v>Ok</v>
      </c>
      <c r="U137" s="174" t="str" cm="1">
        <f t="array" aca="1" ref="U137" ca="1">_xll.d.TestUtils_IsTrue(_xll.d.Formatting_Equal(C137,O137))</f>
        <v>Ok</v>
      </c>
      <c r="V137" s="174" t="str" cm="1">
        <f t="array" aca="1" ref="V137" ca="1">_xll.d.TestUtils_IsTrue(_xll.d.Formatting_Equal(D137,P137))</f>
        <v>Ok</v>
      </c>
      <c r="W137" s="174" t="str" cm="1">
        <f t="array" aca="1" ref="W137" ca="1">_xll.d.TestUtils_IsTrue(_xll.d.Formatting_Equal(E137,Q137))</f>
        <v>Ok</v>
      </c>
      <c r="X137" s="174" t="str" cm="1">
        <f t="array" aca="1" ref="X137" ca="1">_xll.d.TestUtils_IsTrue(_xll.d.Formatting_Equal(F137,R137))</f>
        <v>Ok</v>
      </c>
    </row>
    <row r="138" spans="2:55" x14ac:dyDescent="0.25">
      <c r="B138" s="146"/>
      <c r="C138" s="145" t="s">
        <v>98</v>
      </c>
      <c r="D138" s="145">
        <v>0.3</v>
      </c>
      <c r="E138" s="145">
        <v>0.4</v>
      </c>
      <c r="F138" s="145">
        <v>0.5</v>
      </c>
      <c r="H138" s="813"/>
      <c r="I138" s="95" t="s">
        <v>98</v>
      </c>
      <c r="J138" s="101">
        <v>0.3</v>
      </c>
      <c r="K138" s="83">
        <v>0.4</v>
      </c>
      <c r="L138" s="76">
        <v>0.5</v>
      </c>
      <c r="N138" s="146"/>
      <c r="O138" s="145" t="s">
        <v>98</v>
      </c>
      <c r="P138" s="145">
        <v>0.3</v>
      </c>
      <c r="Q138" s="145">
        <v>0.4</v>
      </c>
      <c r="R138" s="145">
        <v>0.5</v>
      </c>
      <c r="T138" s="174" t="str" cm="1">
        <f t="array" aca="1" ref="T138" ca="1">_xll.d.TestUtils_IsTrue(_xll.d.Formatting_Equal(B138,N138))</f>
        <v>Ok</v>
      </c>
      <c r="U138" s="174" t="str" cm="1">
        <f t="array" aca="1" ref="U138" ca="1">_xll.d.TestUtils_IsTrue(_xll.d.Formatting_Equal(C138,O138))</f>
        <v>Ok</v>
      </c>
      <c r="V138" s="174" t="str" cm="1">
        <f t="array" aca="1" ref="V138" ca="1">_xll.d.TestUtils_IsTrue(_xll.d.Formatting_Equal(D138,P138))</f>
        <v>Ok</v>
      </c>
      <c r="W138" s="174" t="str" cm="1">
        <f t="array" aca="1" ref="W138" ca="1">_xll.d.TestUtils_IsTrue(_xll.d.Formatting_Equal(E138,Q138))</f>
        <v>Ok</v>
      </c>
      <c r="X138" s="174" t="str" cm="1">
        <f t="array" aca="1" ref="X138" ca="1">_xll.d.TestUtils_IsTrue(_xll.d.Formatting_Equal(F138,R138))</f>
        <v>Ok</v>
      </c>
    </row>
    <row r="139" spans="2:55" x14ac:dyDescent="0.25">
      <c r="B139" s="146"/>
      <c r="C139" s="145" t="s">
        <v>97</v>
      </c>
      <c r="D139" s="145">
        <v>0.3</v>
      </c>
      <c r="E139" s="145">
        <v>0.4</v>
      </c>
      <c r="F139" s="145">
        <v>0.5</v>
      </c>
      <c r="H139" s="813"/>
      <c r="I139" s="96" t="s">
        <v>97</v>
      </c>
      <c r="J139" s="102">
        <v>0.3</v>
      </c>
      <c r="K139" s="84">
        <v>0.4</v>
      </c>
      <c r="L139" s="77">
        <v>0.5</v>
      </c>
      <c r="N139" s="146"/>
      <c r="O139" s="145" t="s">
        <v>97</v>
      </c>
      <c r="P139" s="145">
        <v>0.3</v>
      </c>
      <c r="Q139" s="145">
        <v>0.4</v>
      </c>
      <c r="R139" s="145">
        <v>0.5</v>
      </c>
      <c r="T139" s="174" t="str" cm="1">
        <f t="array" aca="1" ref="T139" ca="1">_xll.d.TestUtils_IsTrue(_xll.d.Formatting_Equal(B139,N139))</f>
        <v>Ok</v>
      </c>
      <c r="U139" s="174" t="str" cm="1">
        <f t="array" aca="1" ref="U139" ca="1">_xll.d.TestUtils_IsTrue(_xll.d.Formatting_Equal(C139,O139))</f>
        <v>Ok</v>
      </c>
      <c r="V139" s="174" t="str" cm="1">
        <f t="array" aca="1" ref="V139" ca="1">_xll.d.TestUtils_IsTrue(_xll.d.Formatting_Equal(D139,P139))</f>
        <v>Ok</v>
      </c>
      <c r="W139" s="174" t="str" cm="1">
        <f t="array" aca="1" ref="W139" ca="1">_xll.d.TestUtils_IsTrue(_xll.d.Formatting_Equal(E139,Q139))</f>
        <v>Ok</v>
      </c>
      <c r="X139" s="174" t="str" cm="1">
        <f t="array" aca="1" ref="X139" ca="1">_xll.d.TestUtils_IsTrue(_xll.d.Formatting_Equal(F139,R139))</f>
        <v>Ok</v>
      </c>
    </row>
    <row r="142" spans="2:55" ht="18.75" x14ac:dyDescent="0.3">
      <c r="B142" s="3" t="s">
        <v>114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122</v>
      </c>
      <c r="C144" s="174" t="str" cm="1">
        <f t="array" aca="1" ref="C144" ca="1">_xll.d.TestUtils_And(K157:L160)</f>
        <v>Ok</v>
      </c>
    </row>
    <row r="146" spans="2:12" x14ac:dyDescent="0.25">
      <c r="B146" s="59" t="s">
        <v>106</v>
      </c>
      <c r="C146" s="59" t="s">
        <v>32</v>
      </c>
    </row>
    <row r="147" spans="2:12" x14ac:dyDescent="0.25">
      <c r="B147" s="91" t="s">
        <v>101</v>
      </c>
      <c r="C147" s="92" t="s">
        <v>118</v>
      </c>
    </row>
    <row r="148" spans="2:12" x14ac:dyDescent="0.25">
      <c r="B148" s="85" t="s">
        <v>102</v>
      </c>
      <c r="C148" s="86" t="s">
        <v>115</v>
      </c>
    </row>
    <row r="149" spans="2:12" x14ac:dyDescent="0.25">
      <c r="B149" s="91" t="s">
        <v>117</v>
      </c>
      <c r="C149" s="160">
        <v>2</v>
      </c>
    </row>
    <row r="150" spans="2:12" x14ac:dyDescent="0.25">
      <c r="B150" s="155" t="s">
        <v>118</v>
      </c>
      <c r="C150" s="161">
        <v>0</v>
      </c>
    </row>
    <row r="151" spans="2:12" x14ac:dyDescent="0.25">
      <c r="B151" s="142" t="s">
        <v>109</v>
      </c>
      <c r="C151" s="143"/>
    </row>
    <row r="153" spans="2:12" x14ac:dyDescent="0.25">
      <c r="B153" t="s">
        <v>156</v>
      </c>
    </row>
    <row r="155" spans="2:12" x14ac:dyDescent="0.25">
      <c r="B155" s="68" t="s">
        <v>86</v>
      </c>
      <c r="E155" s="68" t="s">
        <v>99</v>
      </c>
      <c r="H155" s="68" t="s">
        <v>100</v>
      </c>
      <c r="K155" s="68" t="s">
        <v>123</v>
      </c>
    </row>
    <row r="157" spans="2:12" x14ac:dyDescent="0.25">
      <c r="B157" s="131" t="s">
        <v>57</v>
      </c>
      <c r="C157" s="132"/>
      <c r="E157" t="s">
        <v>57</v>
      </c>
      <c r="H157" s="131" t="s">
        <v>57</v>
      </c>
      <c r="I157" s="132"/>
      <c r="K157" s="174" t="str" cm="1">
        <f t="array" aca="1" ref="K157" ca="1">_xll.d.TestUtils_IsTrue(_xll.d.Formatting_Equal(B157,H157))</f>
        <v>Ok</v>
      </c>
      <c r="L157" s="174" t="str" cm="1">
        <f t="array" aca="1" ref="L157" ca="1">_xll.d.TestUtils_IsTrue(_xll.d.Formatting_Equal(C157,I157))</f>
        <v>Ok</v>
      </c>
    </row>
    <row r="158" spans="2:12" x14ac:dyDescent="0.25">
      <c r="B158" s="129" t="s">
        <v>31</v>
      </c>
      <c r="C158" s="130" t="s">
        <v>32</v>
      </c>
      <c r="E158" t="s">
        <v>31</v>
      </c>
      <c r="F158" t="s">
        <v>32</v>
      </c>
      <c r="H158" s="129" t="s">
        <v>31</v>
      </c>
      <c r="I158" s="130" t="s">
        <v>32</v>
      </c>
      <c r="K158" s="174" t="str" cm="1">
        <f t="array" aca="1" ref="K158" ca="1">_xll.d.TestUtils_IsTrue(_xll.d.Formatting_Equal(B158,H158))</f>
        <v>Ok</v>
      </c>
      <c r="L158" s="174" t="str" cm="1">
        <f t="array" aca="1" ref="L158" ca="1">_xll.d.TestUtils_IsTrue(_xll.d.Formatting_Equal(C158,I158))</f>
        <v>Ok</v>
      </c>
    </row>
    <row r="159" spans="2:12" x14ac:dyDescent="0.25">
      <c r="B159" s="133" t="s">
        <v>12</v>
      </c>
      <c r="C159" s="134" t="s">
        <v>46</v>
      </c>
      <c r="E159" t="s">
        <v>12</v>
      </c>
      <c r="F159" t="s">
        <v>46</v>
      </c>
      <c r="H159" s="133" t="s">
        <v>12</v>
      </c>
      <c r="I159" s="134" t="s">
        <v>46</v>
      </c>
      <c r="K159" s="174" t="str" cm="1">
        <f t="array" aca="1" ref="K159" ca="1">_xll.d.TestUtils_IsTrue(_xll.d.Formatting_Equal(B159,H159))</f>
        <v>Ok</v>
      </c>
      <c r="L159" s="174" t="str" cm="1">
        <f t="array" aca="1" ref="L159" ca="1">_xll.d.TestUtils_IsTrue(_xll.d.Formatting_Equal(C159,I159))</f>
        <v>Ok</v>
      </c>
    </row>
    <row r="160" spans="2:12" x14ac:dyDescent="0.25">
      <c r="B160" s="135" t="s">
        <v>35</v>
      </c>
      <c r="C160" s="136" t="s">
        <v>36</v>
      </c>
      <c r="E160" t="s">
        <v>35</v>
      </c>
      <c r="F160" t="s">
        <v>36</v>
      </c>
      <c r="H160" s="135" t="s">
        <v>35</v>
      </c>
      <c r="I160" s="136" t="s">
        <v>36</v>
      </c>
      <c r="K160" s="174" t="str" cm="1">
        <f t="array" aca="1" ref="K160" ca="1">_xll.d.TestUtils_IsTrue(_xll.d.Formatting_Equal(B160,H160))</f>
        <v>Ok</v>
      </c>
      <c r="L160" s="174" t="str" cm="1">
        <f t="array" aca="1" ref="L160" ca="1">_xll.d.TestUtils_IsTrue(_xll.d.Formatting_Equal(C160,I160))</f>
        <v>Ok</v>
      </c>
    </row>
    <row r="161" spans="2:55" x14ac:dyDescent="0.25">
      <c r="B161" s="137" t="s">
        <v>56</v>
      </c>
      <c r="C161" s="138" t="s">
        <v>25</v>
      </c>
      <c r="E161" t="s">
        <v>56</v>
      </c>
      <c r="F161" t="s">
        <v>25</v>
      </c>
      <c r="H161" s="137" t="s">
        <v>56</v>
      </c>
      <c r="I161" s="138" t="s">
        <v>25</v>
      </c>
      <c r="K161" s="174" t="str" cm="1">
        <f t="array" aca="1" ref="K161" ca="1">_xll.d.TestUtils_IsTrue(_xll.d.Formatting_Equal(B161,H161))</f>
        <v>Ok</v>
      </c>
      <c r="L161" s="174" t="str" cm="1">
        <f t="array" aca="1" ref="L161" ca="1">_xll.d.TestUtils_IsTrue(_xll.d.Formatting_Equal(C161,I161))</f>
        <v>Ok</v>
      </c>
    </row>
    <row r="164" spans="2:55" ht="18.75" x14ac:dyDescent="0.3">
      <c r="B164" s="3" t="s">
        <v>116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122</v>
      </c>
      <c r="C166" s="174" t="str" cm="1">
        <f t="array" aca="1" ref="C166" ca="1">_xll.d.TestUtils_And(K177:L181)</f>
        <v>Ok</v>
      </c>
    </row>
    <row r="168" spans="2:55" x14ac:dyDescent="0.25">
      <c r="B168" s="59" t="s">
        <v>106</v>
      </c>
      <c r="C168" s="59" t="s">
        <v>32</v>
      </c>
    </row>
    <row r="169" spans="2:55" x14ac:dyDescent="0.25">
      <c r="B169" s="91" t="s">
        <v>101</v>
      </c>
      <c r="C169" s="92" t="s">
        <v>118</v>
      </c>
    </row>
    <row r="170" spans="2:55" x14ac:dyDescent="0.25">
      <c r="B170" s="85" t="s">
        <v>102</v>
      </c>
      <c r="C170" s="86" t="s">
        <v>115</v>
      </c>
    </row>
    <row r="171" spans="2:55" x14ac:dyDescent="0.25">
      <c r="B171" s="142" t="s">
        <v>109</v>
      </c>
      <c r="C171" s="143"/>
    </row>
    <row r="173" spans="2:55" x14ac:dyDescent="0.25">
      <c r="B173" t="s">
        <v>119</v>
      </c>
    </row>
    <row r="175" spans="2:55" x14ac:dyDescent="0.25">
      <c r="B175" s="68" t="s">
        <v>86</v>
      </c>
      <c r="E175" s="68" t="s">
        <v>99</v>
      </c>
      <c r="H175" s="68" t="s">
        <v>100</v>
      </c>
      <c r="K175" s="68" t="s">
        <v>123</v>
      </c>
    </row>
    <row r="177" spans="2:55" x14ac:dyDescent="0.25">
      <c r="B177" s="145" t="s">
        <v>57</v>
      </c>
      <c r="C177" s="145"/>
      <c r="E177" s="131" t="s">
        <v>57</v>
      </c>
      <c r="F177" s="132"/>
      <c r="H177" s="146" t="s">
        <v>57</v>
      </c>
      <c r="I177" s="146"/>
      <c r="K177" s="174" t="str" cm="1">
        <f t="array" aca="1" ref="K177" ca="1">_xll.d.TestUtils_IsTrue(_xll.d.Formatting_Equal(B177,H177))</f>
        <v>Ok</v>
      </c>
      <c r="L177" s="174" t="str" cm="1">
        <f t="array" aca="1" ref="L177" ca="1">_xll.d.TestUtils_IsTrue(_xll.d.Formatting_Equal(C177,I177))</f>
        <v>Ok</v>
      </c>
    </row>
    <row r="178" spans="2:55" x14ac:dyDescent="0.25">
      <c r="B178" s="145" t="s">
        <v>31</v>
      </c>
      <c r="C178" s="145" t="s">
        <v>32</v>
      </c>
      <c r="E178" s="129" t="s">
        <v>31</v>
      </c>
      <c r="F178" s="130" t="s">
        <v>32</v>
      </c>
      <c r="H178" s="146" t="s">
        <v>31</v>
      </c>
      <c r="I178" s="146" t="s">
        <v>32</v>
      </c>
      <c r="K178" s="174" t="str" cm="1">
        <f t="array" aca="1" ref="K178" ca="1">_xll.d.TestUtils_IsTrue(_xll.d.Formatting_Equal(B178,H178))</f>
        <v>Ok</v>
      </c>
      <c r="L178" s="174" t="str" cm="1">
        <f t="array" aca="1" ref="L178" ca="1">_xll.d.TestUtils_IsTrue(_xll.d.Formatting_Equal(C178,I178))</f>
        <v>Ok</v>
      </c>
    </row>
    <row r="179" spans="2:55" x14ac:dyDescent="0.25">
      <c r="B179" s="145" t="s">
        <v>12</v>
      </c>
      <c r="C179" s="145" t="s">
        <v>46</v>
      </c>
      <c r="E179" s="133" t="s">
        <v>12</v>
      </c>
      <c r="F179" s="134" t="s">
        <v>46</v>
      </c>
      <c r="H179" s="146" t="s">
        <v>12</v>
      </c>
      <c r="I179" s="146" t="s">
        <v>46</v>
      </c>
      <c r="K179" s="174" t="str" cm="1">
        <f t="array" aca="1" ref="K179" ca="1">_xll.d.TestUtils_IsTrue(_xll.d.Formatting_Equal(B179,H179))</f>
        <v>Ok</v>
      </c>
      <c r="L179" s="174" t="str" cm="1">
        <f t="array" aca="1" ref="L179" ca="1">_xll.d.TestUtils_IsTrue(_xll.d.Formatting_Equal(C179,I179))</f>
        <v>Ok</v>
      </c>
    </row>
    <row r="180" spans="2:55" x14ac:dyDescent="0.25">
      <c r="B180" s="145" t="s">
        <v>35</v>
      </c>
      <c r="C180" s="145" t="s">
        <v>36</v>
      </c>
      <c r="E180" s="135" t="s">
        <v>35</v>
      </c>
      <c r="F180" s="136" t="s">
        <v>36</v>
      </c>
      <c r="H180" s="146" t="s">
        <v>35</v>
      </c>
      <c r="I180" s="146" t="s">
        <v>36</v>
      </c>
      <c r="K180" s="174" t="str" cm="1">
        <f t="array" aca="1" ref="K180" ca="1">_xll.d.TestUtils_IsTrue(_xll.d.Formatting_Equal(B180,H180))</f>
        <v>Ok</v>
      </c>
      <c r="L180" s="174" t="str" cm="1">
        <f t="array" aca="1" ref="L180" ca="1">_xll.d.TestUtils_IsTrue(_xll.d.Formatting_Equal(C180,I180))</f>
        <v>Ok</v>
      </c>
    </row>
    <row r="181" spans="2:55" x14ac:dyDescent="0.25">
      <c r="B181" s="145" t="s">
        <v>56</v>
      </c>
      <c r="C181" s="145" t="s">
        <v>25</v>
      </c>
      <c r="E181" s="137" t="s">
        <v>56</v>
      </c>
      <c r="F181" s="138" t="s">
        <v>25</v>
      </c>
      <c r="H181" s="146" t="s">
        <v>56</v>
      </c>
      <c r="I181" s="146" t="s">
        <v>25</v>
      </c>
      <c r="K181" s="174" t="str" cm="1">
        <f t="array" aca="1" ref="K181" ca="1">_xll.d.TestUtils_IsTrue(_xll.d.Formatting_Equal(B181,H181))</f>
        <v>Ok</v>
      </c>
      <c r="L181" s="174" t="str" cm="1">
        <f t="array" aca="1" ref="L181" ca="1">_xll.d.TestUtils_IsTrue(_xll.d.Formatting_Equal(C181,I181))</f>
        <v>Ok</v>
      </c>
    </row>
    <row r="184" spans="2:55" ht="18.75" x14ac:dyDescent="0.3">
      <c r="B184" s="3" t="s">
        <v>158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122</v>
      </c>
      <c r="C186" s="174" t="str" cm="1">
        <f t="array" aca="1" ref="C186" ca="1">_xll.d.TestUtils_And(T197:X198)</f>
        <v>Ok</v>
      </c>
    </row>
    <row r="188" spans="2:55" x14ac:dyDescent="0.25">
      <c r="B188" s="59" t="s">
        <v>106</v>
      </c>
      <c r="C188" s="59" t="s">
        <v>32</v>
      </c>
    </row>
    <row r="189" spans="2:55" x14ac:dyDescent="0.25">
      <c r="B189" s="91" t="s">
        <v>101</v>
      </c>
      <c r="C189" s="92" t="s">
        <v>117</v>
      </c>
    </row>
    <row r="190" spans="2:55" x14ac:dyDescent="0.25">
      <c r="B190" s="85" t="s">
        <v>102</v>
      </c>
      <c r="C190" s="86" t="s">
        <v>115</v>
      </c>
    </row>
    <row r="191" spans="2:55" x14ac:dyDescent="0.25">
      <c r="B191" s="142" t="s">
        <v>109</v>
      </c>
      <c r="C191" s="143"/>
    </row>
    <row r="193" spans="2:55" x14ac:dyDescent="0.25">
      <c r="B193" t="s">
        <v>119</v>
      </c>
    </row>
    <row r="195" spans="2:55" x14ac:dyDescent="0.25">
      <c r="B195" s="68" t="s">
        <v>86</v>
      </c>
      <c r="H195" s="68" t="s">
        <v>99</v>
      </c>
      <c r="N195" s="68" t="s">
        <v>100</v>
      </c>
      <c r="T195" s="68" t="s">
        <v>123</v>
      </c>
    </row>
    <row r="196" spans="2:55" x14ac:dyDescent="0.25">
      <c r="B196" s="145"/>
      <c r="C196" s="145"/>
      <c r="L196" s="146"/>
      <c r="M196" s="146"/>
    </row>
    <row r="197" spans="2:55" ht="15" customHeight="1" x14ac:dyDescent="0.25">
      <c r="B197" s="809" t="s">
        <v>57</v>
      </c>
      <c r="C197" s="176" t="s">
        <v>31</v>
      </c>
      <c r="D197" s="203" t="s">
        <v>12</v>
      </c>
      <c r="E197" s="204" t="s">
        <v>35</v>
      </c>
      <c r="F197" s="205" t="s">
        <v>56</v>
      </c>
      <c r="H197" s="146" t="s">
        <v>57</v>
      </c>
      <c r="I197" s="146" t="s">
        <v>31</v>
      </c>
      <c r="J197" s="146" t="s">
        <v>12</v>
      </c>
      <c r="K197" s="146" t="s">
        <v>35</v>
      </c>
      <c r="L197" s="146" t="s">
        <v>56</v>
      </c>
      <c r="N197" s="809" t="s">
        <v>57</v>
      </c>
      <c r="O197" s="176" t="s">
        <v>31</v>
      </c>
      <c r="P197" s="203" t="s">
        <v>12</v>
      </c>
      <c r="Q197" s="204" t="s">
        <v>35</v>
      </c>
      <c r="R197" s="205" t="s">
        <v>56</v>
      </c>
      <c r="T197" s="174" t="str" cm="1">
        <f t="array" aca="1" ref="T197" ca="1">_xll.d.TestUtils_IsTrue(_xll.d.Formatting_Equal(B197,N197))</f>
        <v>Ok</v>
      </c>
      <c r="U197" s="174" t="str" cm="1">
        <f t="array" aca="1" ref="U197" ca="1">_xll.d.TestUtils_IsTrue(_xll.d.Formatting_Equal(C197,O197))</f>
        <v>Ok</v>
      </c>
      <c r="V197" s="174" t="str" cm="1">
        <f t="array" aca="1" ref="V197" ca="1">_xll.d.TestUtils_IsTrue(_xll.d.Formatting_Equal(D197,P197))</f>
        <v>Ok</v>
      </c>
      <c r="W197" s="174" t="str" cm="1">
        <f t="array" aca="1" ref="W197" ca="1">_xll.d.TestUtils_IsTrue(_xll.d.Formatting_Equal(E197,Q197))</f>
        <v>Ok</v>
      </c>
      <c r="X197" s="174" t="str" cm="1">
        <f t="array" aca="1" ref="X197" ca="1">_xll.d.TestUtils_IsTrue(_xll.d.Formatting_Equal(F197,R197))</f>
        <v>Ok</v>
      </c>
    </row>
    <row r="198" spans="2:55" x14ac:dyDescent="0.25">
      <c r="B198" s="811"/>
      <c r="C198" s="178" t="s">
        <v>32</v>
      </c>
      <c r="D198" s="206" t="s">
        <v>46</v>
      </c>
      <c r="E198" s="207" t="s">
        <v>36</v>
      </c>
      <c r="F198" s="208" t="s">
        <v>25</v>
      </c>
      <c r="H198" s="146"/>
      <c r="I198" s="146" t="s">
        <v>32</v>
      </c>
      <c r="J198" s="146" t="s">
        <v>46</v>
      </c>
      <c r="K198" s="146" t="s">
        <v>36</v>
      </c>
      <c r="L198" s="146" t="s">
        <v>25</v>
      </c>
      <c r="N198" s="811"/>
      <c r="O198" s="178" t="s">
        <v>32</v>
      </c>
      <c r="P198" s="206" t="s">
        <v>46</v>
      </c>
      <c r="Q198" s="207" t="s">
        <v>36</v>
      </c>
      <c r="R198" s="208" t="s">
        <v>25</v>
      </c>
      <c r="T198" s="174" t="str" cm="1">
        <f t="array" aca="1" ref="T198" ca="1">_xll.d.TestUtils_IsTrue(_xll.d.Formatting_Equal(B198,N198))</f>
        <v>Ok</v>
      </c>
      <c r="U198" s="174" t="str" cm="1">
        <f t="array" aca="1" ref="U198" ca="1">_xll.d.TestUtils_IsTrue(_xll.d.Formatting_Equal(C198,O198))</f>
        <v>Ok</v>
      </c>
      <c r="V198" s="174" t="str" cm="1">
        <f t="array" aca="1" ref="V198" ca="1">_xll.d.TestUtils_IsTrue(_xll.d.Formatting_Equal(D198,P198))</f>
        <v>Ok</v>
      </c>
      <c r="W198" s="174" t="str" cm="1">
        <f t="array" aca="1" ref="W198" ca="1">_xll.d.TestUtils_IsTrue(_xll.d.Formatting_Equal(E198,Q198))</f>
        <v>Ok</v>
      </c>
      <c r="X198" s="174" t="str" cm="1">
        <f t="array" aca="1" ref="X198" ca="1">_xll.d.TestUtils_IsTrue(_xll.d.Formatting_Equal(F198,R198))</f>
        <v>Ok</v>
      </c>
    </row>
    <row r="201" spans="2:55" ht="18.75" x14ac:dyDescent="0.3">
      <c r="B201" s="3" t="s">
        <v>163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122</v>
      </c>
      <c r="C203" s="174" t="str" cm="1">
        <f t="array" aca="1" ref="C203" ca="1">_xll.d.TestUtils_And(T217:X223)</f>
        <v>Ok</v>
      </c>
    </row>
    <row r="205" spans="2:55" x14ac:dyDescent="0.25">
      <c r="B205" s="59" t="s">
        <v>106</v>
      </c>
      <c r="C205" s="59" t="s">
        <v>32</v>
      </c>
    </row>
    <row r="206" spans="2:55" x14ac:dyDescent="0.25">
      <c r="B206" s="85" t="s">
        <v>101</v>
      </c>
      <c r="C206" s="86" t="s">
        <v>237</v>
      </c>
    </row>
    <row r="207" spans="2:55" x14ac:dyDescent="0.25">
      <c r="B207" s="87"/>
      <c r="C207" s="88" t="s">
        <v>117</v>
      </c>
    </row>
    <row r="208" spans="2:55" x14ac:dyDescent="0.25">
      <c r="B208" s="91" t="s">
        <v>102</v>
      </c>
      <c r="C208" s="92" t="s">
        <v>103</v>
      </c>
    </row>
    <row r="209" spans="2:24" x14ac:dyDescent="0.25">
      <c r="B209" s="155" t="s">
        <v>117</v>
      </c>
      <c r="C209" s="161">
        <v>2</v>
      </c>
    </row>
    <row r="210" spans="2:24" x14ac:dyDescent="0.25">
      <c r="B210" s="155" t="s">
        <v>118</v>
      </c>
      <c r="C210" s="161">
        <v>2</v>
      </c>
    </row>
    <row r="211" spans="2:24" x14ac:dyDescent="0.25">
      <c r="B211" s="142" t="s">
        <v>109</v>
      </c>
      <c r="C211" s="143"/>
    </row>
    <row r="213" spans="2:24" x14ac:dyDescent="0.25">
      <c r="B213" t="s">
        <v>238</v>
      </c>
    </row>
    <row r="215" spans="2:24" x14ac:dyDescent="0.25">
      <c r="B215" s="68" t="s">
        <v>86</v>
      </c>
      <c r="H215" s="68" t="s">
        <v>99</v>
      </c>
      <c r="N215" s="68" t="s">
        <v>100</v>
      </c>
      <c r="T215" s="68" t="s">
        <v>123</v>
      </c>
    </row>
    <row r="216" spans="2:24" x14ac:dyDescent="0.25">
      <c r="B216" s="145"/>
      <c r="C216" s="145"/>
      <c r="L216" s="146"/>
      <c r="M216" s="146"/>
    </row>
    <row r="217" spans="2:24" x14ac:dyDescent="0.25">
      <c r="B217" s="146" t="s">
        <v>235</v>
      </c>
      <c r="C217" s="146"/>
      <c r="D217" s="131" t="s">
        <v>236</v>
      </c>
      <c r="E217" s="202"/>
      <c r="F217" s="132"/>
      <c r="H217" s="146" t="s">
        <v>235</v>
      </c>
      <c r="I217" s="303" t="s">
        <v>239</v>
      </c>
      <c r="J217" s="146" t="s">
        <v>236</v>
      </c>
      <c r="K217" s="146"/>
      <c r="L217" s="146"/>
      <c r="M217" s="146"/>
      <c r="N217" s="146" t="s">
        <v>235</v>
      </c>
      <c r="O217" s="303" t="s">
        <v>239</v>
      </c>
      <c r="P217" s="304" t="s">
        <v>236</v>
      </c>
      <c r="Q217" s="305"/>
      <c r="R217" s="306"/>
      <c r="T217" s="174" t="str" cm="1">
        <f t="array" aca="1" ref="T217" ca="1">_xll.d.TestUtils_IsTrue(_xll.d.Formatting_Equal(B217,N217))</f>
        <v>Ok</v>
      </c>
      <c r="U217" s="174" t="str" cm="1">
        <f t="array" aca="1" ref="U217" ca="1">_xll.d.TestUtils_IsTrue(_xll.d.Formatting_Equal(C217,O217))</f>
        <v>Ok</v>
      </c>
      <c r="V217" s="174" t="str" cm="1">
        <f t="array" aca="1" ref="V217" ca="1">_xll.d.TestUtils_IsTrue(_xll.d.Formatting_Equal(D217,P217))</f>
        <v>Ok</v>
      </c>
      <c r="W217" s="174" t="str" cm="1">
        <f t="array" aca="1" ref="W217" ca="1">_xll.d.TestUtils_IsTrue(_xll.d.Formatting_Equal(E217,Q217))</f>
        <v>Ok</v>
      </c>
      <c r="X217" s="174" t="str" cm="1">
        <f t="array" aca="1" ref="X217" ca="1">_xll.d.TestUtils_IsTrue(_xll.d.Formatting_Equal(F217,R217))</f>
        <v>Ok</v>
      </c>
    </row>
    <row r="218" spans="2:24" x14ac:dyDescent="0.25">
      <c r="B218" s="146"/>
      <c r="C218" s="146"/>
      <c r="D218" s="292">
        <v>0.75</v>
      </c>
      <c r="E218" s="293">
        <v>1</v>
      </c>
      <c r="F218" s="294">
        <v>1.25</v>
      </c>
      <c r="H218" s="303" t="s">
        <v>239</v>
      </c>
      <c r="I218" s="303" t="s">
        <v>239</v>
      </c>
      <c r="J218" s="146">
        <v>0.75</v>
      </c>
      <c r="K218" s="146">
        <v>1</v>
      </c>
      <c r="L218" s="146">
        <v>1.25</v>
      </c>
      <c r="M218" s="146"/>
      <c r="N218" s="303" t="s">
        <v>239</v>
      </c>
      <c r="O218" s="303" t="s">
        <v>239</v>
      </c>
      <c r="P218" s="699">
        <v>0.75</v>
      </c>
      <c r="Q218" s="700">
        <v>1</v>
      </c>
      <c r="R218" s="307">
        <v>1.25</v>
      </c>
      <c r="T218" s="174" t="str" cm="1">
        <f t="array" aca="1" ref="T218" ca="1">_xll.d.TestUtils_IsTrue(_xll.d.Formatting_Equal(B218,N218))</f>
        <v>Ok</v>
      </c>
      <c r="U218" s="174" t="str" cm="1">
        <f t="array" aca="1" ref="U218" ca="1">_xll.d.TestUtils_IsTrue(_xll.d.Formatting_Equal(C218,O218))</f>
        <v>Ok</v>
      </c>
      <c r="V218" s="174" t="str" cm="1">
        <f t="array" aca="1" ref="V218" ca="1">_xll.d.TestUtils_IsTrue(_xll.d.Formatting_Equal(D218,P218))</f>
        <v>Ok</v>
      </c>
      <c r="W218" s="174" t="str" cm="1">
        <f t="array" aca="1" ref="W218" ca="1">_xll.d.TestUtils_IsTrue(_xll.d.Formatting_Equal(E218,Q218))</f>
        <v>Ok</v>
      </c>
      <c r="X218" s="174" t="str" cm="1">
        <f t="array" aca="1" ref="X218" ca="1">_xll.d.TestUtils_IsTrue(_xll.d.Formatting_Equal(F218,R218))</f>
        <v>Ok</v>
      </c>
    </row>
    <row r="219" spans="2:24" ht="15" customHeight="1" x14ac:dyDescent="0.25">
      <c r="B219" s="809" t="s">
        <v>38</v>
      </c>
      <c r="C219" s="298" t="s">
        <v>26</v>
      </c>
      <c r="D219" s="295">
        <v>0.25</v>
      </c>
      <c r="E219" s="290">
        <v>0.27</v>
      </c>
      <c r="F219" s="291">
        <v>0.28999999999999998</v>
      </c>
      <c r="H219" s="146" t="s">
        <v>38</v>
      </c>
      <c r="I219" s="146" t="s">
        <v>26</v>
      </c>
      <c r="J219" s="146">
        <v>0.25</v>
      </c>
      <c r="K219" s="146">
        <v>0.27</v>
      </c>
      <c r="L219" s="146">
        <v>0.28999999999999998</v>
      </c>
      <c r="M219" s="146"/>
      <c r="N219" s="809" t="s">
        <v>38</v>
      </c>
      <c r="O219" s="715" t="s">
        <v>26</v>
      </c>
      <c r="P219" s="719">
        <v>0.25</v>
      </c>
      <c r="Q219" s="717">
        <v>0.27</v>
      </c>
      <c r="R219" s="718">
        <v>0.28999999999999998</v>
      </c>
      <c r="T219" s="174" t="str" cm="1">
        <f t="array" aca="1" ref="T219" ca="1">_xll.d.TestUtils_IsTrue(_xll.d.Formatting_Equal(B219,N219))</f>
        <v>Ok</v>
      </c>
      <c r="U219" s="174" t="str" cm="1">
        <f t="array" aca="1" ref="U219" ca="1">_xll.d.TestUtils_IsTrue(_xll.d.Formatting_Equal(C219,O219))</f>
        <v>Ok</v>
      </c>
      <c r="V219" s="174" t="str" cm="1">
        <f t="array" aca="1" ref="V219" ca="1">_xll.d.TestUtils_IsTrue(_xll.d.Formatting_Equal(D219,P219))</f>
        <v>Ok</v>
      </c>
      <c r="W219" s="174" t="str" cm="1">
        <f t="array" aca="1" ref="W219" ca="1">_xll.d.TestUtils_IsTrue(_xll.d.Formatting_Equal(E219,Q219))</f>
        <v>Ok</v>
      </c>
      <c r="X219" s="174" t="str" cm="1">
        <f t="array" aca="1" ref="X219" ca="1">_xll.d.TestUtils_IsTrue(_xll.d.Formatting_Equal(F219,R219))</f>
        <v>Ok</v>
      </c>
    </row>
    <row r="220" spans="2:24" x14ac:dyDescent="0.25">
      <c r="B220" s="810"/>
      <c r="C220" s="299" t="s">
        <v>27</v>
      </c>
      <c r="D220" s="296">
        <v>0.27</v>
      </c>
      <c r="E220" s="289">
        <v>0.28999999999999998</v>
      </c>
      <c r="F220" s="136">
        <v>0.31</v>
      </c>
      <c r="H220" s="146"/>
      <c r="I220" s="146" t="s">
        <v>27</v>
      </c>
      <c r="J220" s="146">
        <v>0.27</v>
      </c>
      <c r="K220" s="146">
        <v>0.28999999999999998</v>
      </c>
      <c r="L220" s="146">
        <v>0.31</v>
      </c>
      <c r="M220" s="146"/>
      <c r="N220" s="810"/>
      <c r="O220" s="716" t="s">
        <v>27</v>
      </c>
      <c r="P220" s="720">
        <v>0.27</v>
      </c>
      <c r="Q220" s="701">
        <v>0.28999999999999998</v>
      </c>
      <c r="R220" s="702">
        <v>0.31</v>
      </c>
      <c r="T220" s="174" t="str" cm="1">
        <f t="array" aca="1" ref="T220" ca="1">_xll.d.TestUtils_IsTrue(_xll.d.Formatting_Equal(B220,N220))</f>
        <v>Ok</v>
      </c>
      <c r="U220" s="174" t="str" cm="1">
        <f t="array" aca="1" ref="U220" ca="1">_xll.d.TestUtils_IsTrue(_xll.d.Formatting_Equal(C220,O220))</f>
        <v>Ok</v>
      </c>
      <c r="V220" s="174" t="str" cm="1">
        <f t="array" aca="1" ref="V220" ca="1">_xll.d.TestUtils_IsTrue(_xll.d.Formatting_Equal(D220,P220))</f>
        <v>Ok</v>
      </c>
      <c r="W220" s="174" t="str" cm="1">
        <f t="array" aca="1" ref="W220" ca="1">_xll.d.TestUtils_IsTrue(_xll.d.Formatting_Equal(E220,Q220))</f>
        <v>Ok</v>
      </c>
      <c r="X220" s="174" t="str" cm="1">
        <f t="array" aca="1" ref="X220" ca="1">_xll.d.TestUtils_IsTrue(_xll.d.Formatting_Equal(F220,R220))</f>
        <v>Ok</v>
      </c>
    </row>
    <row r="221" spans="2:24" x14ac:dyDescent="0.25">
      <c r="B221" s="810"/>
      <c r="C221" s="299" t="s">
        <v>25</v>
      </c>
      <c r="D221" s="296">
        <v>0.28999999999999998</v>
      </c>
      <c r="E221" s="289">
        <v>0.31</v>
      </c>
      <c r="F221" s="136">
        <v>0.33</v>
      </c>
      <c r="H221" s="146"/>
      <c r="I221" s="146" t="s">
        <v>25</v>
      </c>
      <c r="J221" s="146">
        <v>0.28999999999999998</v>
      </c>
      <c r="K221" s="146">
        <v>0.31</v>
      </c>
      <c r="L221" s="146">
        <v>0.33</v>
      </c>
      <c r="M221" s="146"/>
      <c r="N221" s="810"/>
      <c r="O221" s="716" t="s">
        <v>25</v>
      </c>
      <c r="P221" s="720">
        <v>0.28999999999999998</v>
      </c>
      <c r="Q221" s="701">
        <v>0.31</v>
      </c>
      <c r="R221" s="702">
        <v>0.33</v>
      </c>
      <c r="T221" s="174" t="str" cm="1">
        <f t="array" aca="1" ref="T221" ca="1">_xll.d.TestUtils_IsTrue(_xll.d.Formatting_Equal(B221,N221))</f>
        <v>Ok</v>
      </c>
      <c r="U221" s="174" t="str" cm="1">
        <f t="array" aca="1" ref="U221" ca="1">_xll.d.TestUtils_IsTrue(_xll.d.Formatting_Equal(C221,O221))</f>
        <v>Ok</v>
      </c>
      <c r="V221" s="174" t="str" cm="1">
        <f t="array" aca="1" ref="V221" ca="1">_xll.d.TestUtils_IsTrue(_xll.d.Formatting_Equal(D221,P221))</f>
        <v>Ok</v>
      </c>
      <c r="W221" s="174" t="str" cm="1">
        <f t="array" aca="1" ref="W221" ca="1">_xll.d.TestUtils_IsTrue(_xll.d.Formatting_Equal(E221,Q221))</f>
        <v>Ok</v>
      </c>
      <c r="X221" s="174" t="str" cm="1">
        <f t="array" aca="1" ref="X221" ca="1">_xll.d.TestUtils_IsTrue(_xll.d.Formatting_Equal(F221,R221))</f>
        <v>Ok</v>
      </c>
    </row>
    <row r="222" spans="2:24" x14ac:dyDescent="0.25">
      <c r="B222" s="810"/>
      <c r="C222" s="299" t="s">
        <v>28</v>
      </c>
      <c r="D222" s="296">
        <v>0.31</v>
      </c>
      <c r="E222" s="289">
        <v>0.33</v>
      </c>
      <c r="F222" s="136">
        <v>0.35</v>
      </c>
      <c r="H222" s="146"/>
      <c r="I222" s="146" t="s">
        <v>28</v>
      </c>
      <c r="J222" s="146">
        <v>0.31</v>
      </c>
      <c r="K222" s="146">
        <v>0.33</v>
      </c>
      <c r="L222" s="146">
        <v>0.35</v>
      </c>
      <c r="M222" s="146"/>
      <c r="N222" s="810"/>
      <c r="O222" s="716" t="s">
        <v>28</v>
      </c>
      <c r="P222" s="720">
        <v>0.31</v>
      </c>
      <c r="Q222" s="701">
        <v>0.33</v>
      </c>
      <c r="R222" s="702">
        <v>0.35</v>
      </c>
      <c r="T222" s="174" t="str" cm="1">
        <f t="array" aca="1" ref="T222" ca="1">_xll.d.TestUtils_IsTrue(_xll.d.Formatting_Equal(B222,N222))</f>
        <v>Ok</v>
      </c>
      <c r="U222" s="174" t="str" cm="1">
        <f t="array" aca="1" ref="U222" ca="1">_xll.d.TestUtils_IsTrue(_xll.d.Formatting_Equal(C222,O222))</f>
        <v>Ok</v>
      </c>
      <c r="V222" s="174" t="str" cm="1">
        <f t="array" aca="1" ref="V222" ca="1">_xll.d.TestUtils_IsTrue(_xll.d.Formatting_Equal(D222,P222))</f>
        <v>Ok</v>
      </c>
      <c r="W222" s="174" t="str" cm="1">
        <f t="array" aca="1" ref="W222" ca="1">_xll.d.TestUtils_IsTrue(_xll.d.Formatting_Equal(E222,Q222))</f>
        <v>Ok</v>
      </c>
      <c r="X222" s="174" t="str" cm="1">
        <f t="array" aca="1" ref="X222" ca="1">_xll.d.TestUtils_IsTrue(_xll.d.Formatting_Equal(F222,R222))</f>
        <v>Ok</v>
      </c>
    </row>
    <row r="223" spans="2:24" x14ac:dyDescent="0.25">
      <c r="B223" s="811"/>
      <c r="C223" s="300" t="s">
        <v>61</v>
      </c>
      <c r="D223" s="297">
        <v>0.33</v>
      </c>
      <c r="E223" s="201">
        <v>0.35</v>
      </c>
      <c r="F223" s="138">
        <v>0.37</v>
      </c>
      <c r="H223" s="146"/>
      <c r="I223" s="146" t="s">
        <v>61</v>
      </c>
      <c r="J223" s="146">
        <v>0.33</v>
      </c>
      <c r="K223" s="146">
        <v>0.35</v>
      </c>
      <c r="L223" s="146">
        <v>0.37</v>
      </c>
      <c r="M223" s="146"/>
      <c r="N223" s="811"/>
      <c r="O223" s="302" t="s">
        <v>61</v>
      </c>
      <c r="P223" s="721">
        <v>0.33</v>
      </c>
      <c r="Q223" s="207">
        <v>0.35</v>
      </c>
      <c r="R223" s="208">
        <v>0.37</v>
      </c>
      <c r="T223" s="174" t="str" cm="1">
        <f t="array" aca="1" ref="T223" ca="1">_xll.d.TestUtils_IsTrue(_xll.d.Formatting_Equal(B223,N223))</f>
        <v>Ok</v>
      </c>
      <c r="U223" s="174" t="str" cm="1">
        <f t="array" aca="1" ref="U223" ca="1">_xll.d.TestUtils_IsTrue(_xll.d.Formatting_Equal(C223,O223))</f>
        <v>Ok</v>
      </c>
      <c r="V223" s="174" t="str" cm="1">
        <f t="array" aca="1" ref="V223" ca="1">_xll.d.TestUtils_IsTrue(_xll.d.Formatting_Equal(D223,P223))</f>
        <v>Ok</v>
      </c>
      <c r="W223" s="174" t="str" cm="1">
        <f t="array" aca="1" ref="W223" ca="1">_xll.d.TestUtils_IsTrue(_xll.d.Formatting_Equal(E223,Q223))</f>
        <v>Ok</v>
      </c>
      <c r="X223" s="174" t="str" cm="1">
        <f t="array" aca="1" ref="X223" ca="1">_xll.d.TestUtils_IsTrue(_xll.d.Formatting_Equal(F223,R223))</f>
        <v>Ok</v>
      </c>
    </row>
    <row r="224" spans="2:24" x14ac:dyDescent="0.25"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175</vt:i4>
      </vt:variant>
    </vt:vector>
  </HeadingPairs>
  <TitlesOfParts>
    <vt:vector size="199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Interest Rates</vt:lpstr>
      <vt:lpstr>Interest Rate Pricers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Dates!Curves.Title</vt:lpstr>
      <vt:lpstr>'Equity Pricers'!Curves.Title</vt:lpstr>
      <vt:lpstr>'Equity Utils'!Curves.Title</vt:lpstr>
      <vt:lpstr>'FX Pricers'!Curves.Title</vt:lpstr>
      <vt:lpstr>Mathematics!Curves.Title</vt:lpstr>
      <vt:lpstr>'Rate Utils'!Curves.Title</vt:lpstr>
      <vt:lpstr>Stats!Curves.Title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Curves.Title.d.Curve_GetZeroRates</vt:lpstr>
      <vt:lpstr>Curves.Title.Setup</vt:lpstr>
      <vt:lpstr>Curves.Title.Test1</vt:lpstr>
      <vt:lpstr>Curves.Title.Test2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SinlgeCurveBootstrapping.Title.ExceptionTesting</vt:lpstr>
      <vt:lpstr>SinlgeCurveBootstrapping.Title.FlatCurve3mJIBAR</vt:lpstr>
      <vt:lpstr>SinlgeCurveBootstrapping.Title.NonFlatCurveFEDFUND</vt:lpstr>
      <vt:lpstr>SinlgeCurveBootstrapping.Title.RealCurve3mJIBAR</vt:lpstr>
      <vt:lpstr>SinlgeCurveBootstrapping.Title.RealCurveFEDFUND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SinlgeCurveBootstrapping.Title.ZARSwapCurveTesting</vt:lpstr>
      <vt:lpstr>Summary.AllTests.Reset</vt:lpstr>
      <vt:lpstr>Summary.AllTests.Run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2023-03-13T10:23:31Z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