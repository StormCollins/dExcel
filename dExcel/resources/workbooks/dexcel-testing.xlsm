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B9AE3D31-C132-4906-8A41-CC05DDBEC3D6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13" l="1"/>
  <c r="F41" i="13" s="1"/>
  <c r="C30" i="13"/>
  <c r="F29" i="13" s="1"/>
  <c r="C54" i="13"/>
  <c r="F53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S21" i="17" a="1"/>
  <c r="U21" i="17" a="1"/>
  <c r="R24" i="17" a="1"/>
  <c r="T21" i="17" a="1"/>
  <c r="Q24" i="17" a="1"/>
  <c r="P23" i="17" a="1"/>
  <c r="D241" i="13" a="1"/>
  <c r="Q23" i="17" a="1"/>
  <c r="Q25" i="17" a="1"/>
  <c r="Q26" i="17" a="1"/>
  <c r="U26" i="17" a="1"/>
  <c r="T22" i="17" a="1"/>
  <c r="F39" i="17" a="1"/>
  <c r="C244" i="13" a="1"/>
  <c r="C243" i="13" a="1"/>
  <c r="E53" i="13" a="1"/>
  <c r="D244" i="13" a="1"/>
  <c r="BG40" i="5" a="1"/>
  <c r="D5" i="8" a="1"/>
  <c r="U25" i="17" a="1"/>
  <c r="E196" i="13" a="1"/>
  <c r="AB65" i="13" a="1"/>
  <c r="AV20" i="17" a="1"/>
  <c r="BD63" i="5" a="1"/>
  <c r="P24" i="17" a="1"/>
  <c r="E65" i="13" a="1"/>
  <c r="Q21" i="17" a="1"/>
  <c r="C36" i="13" a="1"/>
  <c r="F43" i="17" a="1"/>
  <c r="P25" i="17" a="1"/>
  <c r="T24" i="17" a="1"/>
  <c r="D245" i="13" a="1"/>
  <c r="D247" i="13" a="1"/>
  <c r="D242" i="13" a="1"/>
  <c r="L65" i="13" a="1"/>
  <c r="R25" i="17" a="1"/>
  <c r="P21" i="17" a="1"/>
  <c r="T69" i="13" a="1"/>
  <c r="F40" i="17" a="1"/>
  <c r="T25" i="17" a="1"/>
  <c r="S23" i="17" a="1"/>
  <c r="U24" i="17" a="1"/>
  <c r="Q22" i="17" a="1"/>
  <c r="P26" i="17" a="1"/>
  <c r="S24" i="17" a="1"/>
  <c r="D243" i="13" a="1"/>
  <c r="S26" i="17" a="1"/>
  <c r="E29" i="13" a="1"/>
  <c r="M38" i="17" a="1"/>
  <c r="C247" i="13" a="1"/>
  <c r="E110" i="13" a="1"/>
  <c r="F42" i="17" a="1"/>
  <c r="F38" i="17" a="1"/>
  <c r="T23" i="17" a="1"/>
  <c r="P22" i="17" a="1"/>
  <c r="F41" i="17" a="1"/>
  <c r="C241" i="13" a="1"/>
  <c r="C19" i="1" a="1"/>
  <c r="U23" i="17" a="1"/>
  <c r="S65" i="13" a="1"/>
  <c r="C242" i="13" a="1"/>
  <c r="R22" i="17" a="1"/>
  <c r="C246" i="13" a="1"/>
  <c r="C24" i="13" a="1"/>
  <c r="E169" i="13" a="1"/>
  <c r="C245" i="13" a="1"/>
  <c r="E41" i="13" a="1"/>
  <c r="S22" i="17" a="1"/>
  <c r="AJ20" i="17" a="1"/>
  <c r="T26" i="17" a="1"/>
  <c r="S25" i="17" a="1"/>
  <c r="R21" i="17" a="1"/>
  <c r="R26" i="17" a="1"/>
  <c r="R23" i="17" a="1"/>
  <c r="X48" i="15" a="1"/>
  <c r="U22" i="17" a="1"/>
  <c r="D24" i="3" a="1"/>
  <c r="O24" i="3" a="1"/>
  <c r="D246" i="13" a="1"/>
  <c r="BG40" i="5" l="1"/>
  <c r="BD63" i="5"/>
  <c r="E65" i="13"/>
  <c r="S65" i="13"/>
  <c r="T69" i="13"/>
  <c r="X48" i="15"/>
  <c r="C36" i="13"/>
  <c r="D8" i="13" s="1"/>
  <c r="E29" i="13"/>
  <c r="E41" i="13"/>
  <c r="C24" i="13"/>
  <c r="D7" i="13" s="1"/>
  <c r="G24" i="17"/>
  <c r="E53" i="13"/>
  <c r="C19" i="1"/>
  <c r="D246" i="13"/>
  <c r="G25" i="17"/>
  <c r="D244" i="13"/>
  <c r="D243" i="13"/>
  <c r="D245" i="13"/>
  <c r="D247" i="13"/>
  <c r="D241" i="13"/>
  <c r="D242" i="13"/>
  <c r="G22" i="17"/>
  <c r="G23" i="17"/>
  <c r="G26" i="17"/>
  <c r="C244" i="13"/>
  <c r="C242" i="13"/>
  <c r="C243" i="13"/>
  <c r="C241" i="13"/>
  <c r="C247" i="13"/>
  <c r="C246" i="13"/>
  <c r="C245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L65" i="13"/>
  <c r="O24" i="3"/>
  <c r="AB65" i="13"/>
  <c r="E110" i="13"/>
  <c r="D24" i="3"/>
  <c r="E169" i="13"/>
  <c r="E199" i="13"/>
  <c r="E196" i="13"/>
  <c r="E197" i="13"/>
  <c r="E198" i="13"/>
  <c r="E200" i="13"/>
  <c r="M38" i="17"/>
  <c r="F38" i="17"/>
  <c r="F39" i="17"/>
  <c r="F40" i="17"/>
  <c r="F41" i="17"/>
  <c r="F42" i="17"/>
  <c r="F43" i="17"/>
  <c r="AA24" i="17" a="1"/>
  <c r="AC22" i="17" a="1"/>
  <c r="G41" i="13" a="1"/>
  <c r="AC26" i="17" a="1"/>
  <c r="Y21" i="17" a="1"/>
  <c r="S38" i="17" a="1"/>
  <c r="AA21" i="17" a="1"/>
  <c r="D50" i="1" a="1"/>
  <c r="Y23" i="17" a="1"/>
  <c r="D6" i="8" a="1"/>
  <c r="Z22" i="17" a="1"/>
  <c r="AD25" i="17" a="1"/>
  <c r="AC23" i="17" a="1"/>
  <c r="AB26" i="17" a="1"/>
  <c r="H39" i="17" a="1"/>
  <c r="Y22" i="17" a="1"/>
  <c r="AB23" i="17" a="1"/>
  <c r="AA22" i="17" a="1"/>
  <c r="AA23" i="17" a="1"/>
  <c r="D86" i="1" a="1"/>
  <c r="AB22" i="17" a="1"/>
  <c r="H42" i="17" a="1"/>
  <c r="Z26" i="17" a="1"/>
  <c r="AD22" i="17" a="1"/>
  <c r="AD24" i="17" a="1"/>
  <c r="Z25" i="17" a="1"/>
  <c r="AB25" i="17" a="1"/>
  <c r="D48" i="1" a="1"/>
  <c r="AD23" i="17" a="1"/>
  <c r="Z21" i="17" a="1"/>
  <c r="H43" i="17" a="1"/>
  <c r="AJ65" i="13" a="1"/>
  <c r="AC21" i="17" a="1"/>
  <c r="BB20" i="17" a="1"/>
  <c r="H38" i="17" a="1"/>
  <c r="AB24" i="17" a="1"/>
  <c r="E86" i="1" a="1"/>
  <c r="AD21" i="17" a="1"/>
  <c r="Y25" i="17" a="1"/>
  <c r="Y26" i="17" a="1"/>
  <c r="AA26" i="17" a="1"/>
  <c r="Y24" i="17" a="1"/>
  <c r="G53" i="13" a="1"/>
  <c r="AC24" i="17" a="1"/>
  <c r="AC25" i="17" a="1"/>
  <c r="Z24" i="17" a="1"/>
  <c r="G29" i="13" a="1"/>
  <c r="AB21" i="17" a="1"/>
  <c r="AD26" i="17" a="1"/>
  <c r="AP20" i="17" a="1"/>
  <c r="AA25" i="17" a="1"/>
  <c r="H40" i="17" a="1"/>
  <c r="H41" i="17" a="1"/>
  <c r="Z23" i="17" a="1"/>
  <c r="AD48" i="15" l="1"/>
  <c r="AE48" i="15"/>
  <c r="G53" i="13"/>
  <c r="G41" i="13"/>
  <c r="G29" i="13"/>
  <c r="AJ65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45" i="13" a="1"/>
  <c r="U86" i="1" a="1"/>
  <c r="R86" i="1" a="1"/>
  <c r="C35" i="17" a="1"/>
  <c r="E241" i="13" a="1"/>
  <c r="O86" i="1" a="1"/>
  <c r="I86" i="1" a="1"/>
  <c r="E243" i="13" a="1"/>
  <c r="E247" i="13" a="1"/>
  <c r="F86" i="1" a="1"/>
  <c r="E242" i="13" a="1"/>
  <c r="L86" i="1" a="1"/>
  <c r="E244" i="13" a="1"/>
  <c r="C48" i="13" a="1"/>
  <c r="E246" i="13" a="1"/>
  <c r="AE51" i="15" a="1"/>
  <c r="AD51" i="15" a="1"/>
  <c r="AD51" i="15" l="1"/>
  <c r="AE51" i="15"/>
  <c r="C48" i="13"/>
  <c r="D9" i="13" s="1"/>
  <c r="E243" i="13"/>
  <c r="E246" i="13"/>
  <c r="E245" i="13"/>
  <c r="E244" i="13"/>
  <c r="E242" i="13"/>
  <c r="E241" i="13"/>
  <c r="E247" i="13"/>
  <c r="U86" i="1"/>
  <c r="O86" i="1"/>
  <c r="L86" i="1"/>
  <c r="I86" i="1"/>
  <c r="R86" i="1"/>
  <c r="F86" i="1"/>
  <c r="C35" i="17"/>
  <c r="C31" i="17" a="1"/>
  <c r="C236" i="13" a="1"/>
  <c r="C236" i="13" l="1"/>
  <c r="D19" i="13" s="1"/>
  <c r="C31" i="17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T19" i="15" a="1"/>
  <c r="T87" i="5" a="1"/>
  <c r="J30" i="14" a="1"/>
  <c r="V218" i="5" a="1"/>
  <c r="F19" i="15" a="1"/>
  <c r="V222" i="5" a="1"/>
  <c r="T102" i="5" a="1"/>
  <c r="O18" i="19" a="1"/>
  <c r="X220" i="5" a="1"/>
  <c r="T223" i="5" a="1"/>
  <c r="T90" i="5" a="1"/>
  <c r="F33" i="15" a="1"/>
  <c r="U218" i="5" a="1"/>
  <c r="G174" i="13" a="1"/>
  <c r="X223" i="5" a="1"/>
  <c r="L196" i="13" a="1"/>
  <c r="X222" i="5" a="1"/>
  <c r="W218" i="5" a="1"/>
  <c r="X218" i="5" a="1"/>
  <c r="T97" i="5" a="1"/>
  <c r="E35" i="9" a="1"/>
  <c r="W18" i="14" a="1"/>
  <c r="T94" i="5" a="1"/>
  <c r="AF19" i="15" a="1"/>
  <c r="W223" i="5" a="1"/>
  <c r="F18" i="14" a="1"/>
  <c r="T220" i="5" a="1"/>
  <c r="V18" i="19" a="1"/>
  <c r="AU18" i="14" a="1"/>
  <c r="AB95" i="13" a="1"/>
  <c r="W221" i="5" a="1"/>
  <c r="AR19" i="15" a="1"/>
  <c r="BG30" i="14" a="1"/>
  <c r="AM18" i="14" a="1"/>
  <c r="T92" i="5" a="1"/>
  <c r="E35" i="19" a="1"/>
  <c r="G175" i="13" a="1"/>
  <c r="U220" i="5" a="1"/>
  <c r="T219" i="5" a="1"/>
  <c r="G173" i="13" a="1"/>
  <c r="T101" i="5" a="1"/>
  <c r="AE18" i="14" a="1"/>
  <c r="AA196" i="13" a="1"/>
  <c r="M110" i="13" a="1"/>
  <c r="L95" i="13" a="1"/>
  <c r="T218" i="5" a="1"/>
  <c r="T222" i="5" a="1"/>
  <c r="S196" i="13" a="1"/>
  <c r="U219" i="5" a="1"/>
  <c r="L80" i="13" a="1"/>
  <c r="B227" i="13" a="1"/>
  <c r="M227" i="13" a="1"/>
  <c r="V220" i="5" a="1"/>
  <c r="T91" i="5" a="1"/>
  <c r="N231" i="13" a="1"/>
  <c r="O227" i="13" a="1"/>
  <c r="T33" i="15" a="1"/>
  <c r="AB35" i="15" s="1" a="1"/>
  <c r="W217" i="5" a="1"/>
  <c r="V219" i="5" a="1"/>
  <c r="T95" i="5" a="1"/>
  <c r="T93" i="5" a="1"/>
  <c r="X217" i="5" a="1"/>
  <c r="T88" i="5" a="1"/>
  <c r="B212" i="13" a="1"/>
  <c r="U110" i="13" a="1"/>
  <c r="U221" i="5" a="1"/>
  <c r="O229" i="13" a="1"/>
  <c r="N227" i="13" a="1"/>
  <c r="W219" i="5" a="1"/>
  <c r="V217" i="5" a="1"/>
  <c r="V221" i="5" a="1"/>
  <c r="G171" i="13" a="1"/>
  <c r="E95" i="13" a="1"/>
  <c r="G170" i="13" a="1"/>
  <c r="I213" i="13" a="1"/>
  <c r="B124" i="13" a="1"/>
  <c r="L154" i="13" a="1"/>
  <c r="M231" i="13" a="1"/>
  <c r="L129" i="13" a="1"/>
  <c r="O152" i="13" a="1"/>
  <c r="N132" i="13" a="1"/>
  <c r="N144" i="13" a="1"/>
  <c r="M228" i="13" a="1"/>
  <c r="D48" i="15" a="1"/>
  <c r="O138" i="13" a="1"/>
  <c r="N125" i="13" a="1"/>
  <c r="M132" i="13" a="1"/>
  <c r="H213" i="13" a="1"/>
  <c r="N230" i="13" a="1"/>
  <c r="L127" i="13" a="1"/>
  <c r="T221" i="5" a="1"/>
  <c r="BC18" i="14" a="1"/>
  <c r="T96" i="5" a="1"/>
  <c r="S169" i="13" a="1"/>
  <c r="T89" i="5" a="1"/>
  <c r="T100" i="5" a="1"/>
  <c r="I212" i="13" a="1"/>
  <c r="O155" i="13" a="1"/>
  <c r="L132" i="13" a="1"/>
  <c r="T99" i="5" a="1"/>
  <c r="L228" i="13" a="1"/>
  <c r="O157" i="13" a="1"/>
  <c r="L140" i="13" a="1"/>
  <c r="O133" i="13" a="1"/>
  <c r="N152" i="13" a="1"/>
  <c r="L131" i="13" a="1"/>
  <c r="M155" i="13" a="1"/>
  <c r="O154" i="13" a="1"/>
  <c r="N141" i="13" a="1"/>
  <c r="M148" i="13" a="1"/>
  <c r="L144" i="13" a="1"/>
  <c r="L230" i="13" a="1"/>
  <c r="AD33" i="15" a="1"/>
  <c r="AC34" i="15" a="1"/>
  <c r="U222" i="5" a="1"/>
  <c r="W222" i="5" a="1"/>
  <c r="AU30" i="14" a="1"/>
  <c r="U217" i="5" a="1"/>
  <c r="O127" i="13" a="1"/>
  <c r="N158" i="13" a="1"/>
  <c r="N140" i="13" a="1"/>
  <c r="M149" i="13" a="1"/>
  <c r="AB34" i="15" a="1"/>
  <c r="M130" i="13" a="1"/>
  <c r="N137" i="13" a="1"/>
  <c r="S95" i="13" a="1"/>
  <c r="X221" i="5" a="1"/>
  <c r="S80" i="13" a="1"/>
  <c r="L169" i="13" a="1"/>
  <c r="E80" i="13" a="1"/>
  <c r="T98" i="5" a="1"/>
  <c r="M48" i="15" a="1"/>
  <c r="I215" i="13" a="1"/>
  <c r="O132" i="13" a="1"/>
  <c r="N131" i="13" a="1"/>
  <c r="W30" i="14" a="1"/>
  <c r="M137" i="13" a="1"/>
  <c r="N156" i="13" a="1"/>
  <c r="N147" i="13" a="1"/>
  <c r="N128" i="13" a="1"/>
  <c r="M136" i="13" a="1"/>
  <c r="L151" i="13" a="1"/>
  <c r="O131" i="13" a="1"/>
  <c r="O134" i="13" a="1"/>
  <c r="L138" i="13" a="1"/>
  <c r="L155" i="13" a="1"/>
  <c r="L229" i="13" a="1"/>
  <c r="G177" i="13" a="1"/>
  <c r="W220" i="5" a="1"/>
  <c r="H18" i="19" a="1"/>
  <c r="L142" i="13" a="1"/>
  <c r="AC33" i="15" a="1"/>
  <c r="L153" i="13" a="1"/>
  <c r="O145" i="13" a="1"/>
  <c r="O148" i="13" a="1"/>
  <c r="V223" i="5" a="1"/>
  <c r="AI30" i="14" a="1"/>
  <c r="N18" i="14" a="1"/>
  <c r="T217" i="5" a="1"/>
  <c r="X219" i="5" a="1"/>
  <c r="AI110" i="13" a="1"/>
  <c r="AB80" i="13" a="1"/>
  <c r="I214" i="13" a="1"/>
  <c r="N229" i="13" a="1"/>
  <c r="O230" i="13" a="1"/>
  <c r="T103" i="5" a="1"/>
  <c r="O158" i="13" a="1"/>
  <c r="N129" i="13" a="1"/>
  <c r="N133" i="13" a="1"/>
  <c r="M133" i="13" a="1"/>
  <c r="O135" i="13" a="1"/>
  <c r="O146" i="13" a="1"/>
  <c r="N135" i="13" a="1"/>
  <c r="O143" i="13" a="1"/>
  <c r="M138" i="13" a="1"/>
  <c r="L139" i="13" a="1"/>
  <c r="N228" i="13" a="1"/>
  <c r="AD34" i="15" a="1"/>
  <c r="G176" i="13" a="1"/>
  <c r="U223" i="5" a="1"/>
  <c r="N136" i="13" a="1"/>
  <c r="L130" i="13" a="1"/>
  <c r="M153" i="13" a="1"/>
  <c r="O140" i="13" a="1"/>
  <c r="N157" i="13" a="1"/>
  <c r="O139" i="13" a="1"/>
  <c r="AD35" i="15" a="1"/>
  <c r="L231" i="13" a="1"/>
  <c r="O228" i="13" a="1"/>
  <c r="M229" i="13" a="1"/>
  <c r="M230" i="13" a="1"/>
  <c r="O231" i="13" a="1"/>
  <c r="H215" i="13" a="1"/>
  <c r="I216" i="13" a="1"/>
  <c r="N146" i="13" a="1"/>
  <c r="O147" i="13" a="1"/>
  <c r="O156" i="13" a="1"/>
  <c r="L134" i="13" a="1"/>
  <c r="M141" i="13" a="1"/>
  <c r="O153" i="13" a="1"/>
  <c r="M128" i="13" a="1"/>
  <c r="N134" i="13" a="1"/>
  <c r="M127" i="13" a="1"/>
  <c r="L141" i="13" a="1"/>
  <c r="N155" i="13" a="1"/>
  <c r="L145" i="13" a="1"/>
  <c r="N126" i="13" a="1"/>
  <c r="M140" i="13" a="1"/>
  <c r="L147" i="13" a="1"/>
  <c r="N139" i="13" a="1"/>
  <c r="L150" i="13" a="1"/>
  <c r="L158" i="13" a="1"/>
  <c r="L156" i="13" a="1"/>
  <c r="L146" i="13" a="1"/>
  <c r="N150" i="13" a="1"/>
  <c r="M134" i="13" a="1"/>
  <c r="N153" i="13" a="1"/>
  <c r="M125" i="13" a="1"/>
  <c r="M124" i="13" a="1"/>
  <c r="N142" i="13" a="1"/>
  <c r="O137" i="13" a="1"/>
  <c r="M154" i="13" a="1"/>
  <c r="M146" i="13" a="1"/>
  <c r="L135" i="13" a="1"/>
  <c r="M152" i="13" a="1"/>
  <c r="L136" i="13" a="1"/>
  <c r="M129" i="13" a="1"/>
  <c r="N154" i="13" a="1"/>
  <c r="M131" i="13" a="1"/>
  <c r="O142" i="13" a="1"/>
  <c r="N148" i="13" a="1"/>
  <c r="O124" i="13" a="1"/>
  <c r="M158" i="13" a="1"/>
  <c r="O130" i="13" a="1"/>
  <c r="M135" i="13" a="1"/>
  <c r="M145" i="13" a="1"/>
  <c r="O144" i="13" a="1"/>
  <c r="L128" i="13" a="1"/>
  <c r="M143" i="13" a="1"/>
  <c r="L137" i="13" a="1"/>
  <c r="N138" i="13" a="1"/>
  <c r="O136" i="13" a="1"/>
  <c r="N151" i="13" a="1"/>
  <c r="L157" i="13" a="1"/>
  <c r="N143" i="13" a="1"/>
  <c r="N145" i="13" a="1"/>
  <c r="M139" i="13" a="1"/>
  <c r="M156" i="13" a="1"/>
  <c r="O126" i="13" a="1"/>
  <c r="M151" i="13" a="1"/>
  <c r="O141" i="13" a="1"/>
  <c r="O151" i="13" a="1"/>
  <c r="L148" i="13" a="1"/>
  <c r="O129" i="13" a="1"/>
  <c r="O128" i="13" a="1"/>
  <c r="O125" i="13" a="1"/>
  <c r="O149" i="13" a="1"/>
  <c r="L143" i="13" a="1"/>
  <c r="L126" i="13" a="1"/>
  <c r="M126" i="13" a="1"/>
  <c r="M150" i="13" a="1"/>
  <c r="M147" i="13" a="1"/>
  <c r="M144" i="13" a="1"/>
  <c r="N149" i="13" a="1"/>
  <c r="N124" i="13" a="1"/>
  <c r="L133" i="13" a="1"/>
  <c r="N130" i="13" a="1"/>
  <c r="M142" i="13" a="1"/>
  <c r="N127" i="13" a="1"/>
  <c r="O150" i="13" a="1"/>
  <c r="L152" i="13" a="1"/>
  <c r="M157" i="13" a="1"/>
  <c r="L149" i="13" a="1"/>
  <c r="L125" i="13" a="1"/>
  <c r="L158" i="13" l="1"/>
  <c r="M158" i="13"/>
  <c r="O158" i="13"/>
  <c r="N158" i="13"/>
  <c r="O18" i="19"/>
  <c r="V18" i="19"/>
  <c r="O37" i="19"/>
  <c r="V37" i="19"/>
  <c r="H18" i="19"/>
  <c r="E35" i="19"/>
  <c r="F19" i="19"/>
  <c r="I18" i="19" s="1"/>
  <c r="W30" i="14"/>
  <c r="E95" i="13"/>
  <c r="L95" i="13"/>
  <c r="AI110" i="13"/>
  <c r="E80" i="13"/>
  <c r="S95" i="13"/>
  <c r="B124" i="13"/>
  <c r="S198" i="13"/>
  <c r="S196" i="13"/>
  <c r="S199" i="13"/>
  <c r="S200" i="13"/>
  <c r="S197" i="13"/>
  <c r="U110" i="13"/>
  <c r="AB95" i="13"/>
  <c r="AA196" i="13"/>
  <c r="S80" i="13"/>
  <c r="L169" i="13"/>
  <c r="B212" i="13"/>
  <c r="L80" i="13"/>
  <c r="AB80" i="13"/>
  <c r="M110" i="13"/>
  <c r="S169" i="13"/>
  <c r="L196" i="13"/>
  <c r="L199" i="13"/>
  <c r="L197" i="13"/>
  <c r="L198" i="13"/>
  <c r="L200" i="13"/>
  <c r="B227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AF19" i="15"/>
  <c r="AR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230" i="13"/>
  <c r="L229" i="13"/>
  <c r="L228" i="13"/>
  <c r="O229" i="13"/>
  <c r="O231" i="13"/>
  <c r="M227" i="13"/>
  <c r="O230" i="13"/>
  <c r="M228" i="13"/>
  <c r="M230" i="13"/>
  <c r="N227" i="13"/>
  <c r="M125" i="13"/>
  <c r="M127" i="13"/>
  <c r="M129" i="13"/>
  <c r="M131" i="13"/>
  <c r="M133" i="13"/>
  <c r="M135" i="13"/>
  <c r="M137" i="13"/>
  <c r="M139" i="13"/>
  <c r="M143" i="13"/>
  <c r="M147" i="13"/>
  <c r="M149" i="13"/>
  <c r="M153" i="13"/>
  <c r="M157" i="13"/>
  <c r="L140" i="13"/>
  <c r="N125" i="13"/>
  <c r="N127" i="13"/>
  <c r="N129" i="13"/>
  <c r="N131" i="13"/>
  <c r="N133" i="13"/>
  <c r="N135" i="13"/>
  <c r="N137" i="13"/>
  <c r="N139" i="13"/>
  <c r="N141" i="13"/>
  <c r="N143" i="13"/>
  <c r="N145" i="13"/>
  <c r="N147" i="13"/>
  <c r="N149" i="13"/>
  <c r="N151" i="13"/>
  <c r="N153" i="13"/>
  <c r="N155" i="13"/>
  <c r="N157" i="13"/>
  <c r="L129" i="13"/>
  <c r="L135" i="13"/>
  <c r="L141" i="13"/>
  <c r="L147" i="13"/>
  <c r="L153" i="13"/>
  <c r="N231" i="13"/>
  <c r="L146" i="13"/>
  <c r="L134" i="13"/>
  <c r="M155" i="13"/>
  <c r="M141" i="13"/>
  <c r="H215" i="13"/>
  <c r="M229" i="13"/>
  <c r="L157" i="13"/>
  <c r="L145" i="13"/>
  <c r="L133" i="13"/>
  <c r="O154" i="13"/>
  <c r="O150" i="13"/>
  <c r="O148" i="13"/>
  <c r="O146" i="13"/>
  <c r="O142" i="13"/>
  <c r="O140" i="13"/>
  <c r="O138" i="13"/>
  <c r="O136" i="13"/>
  <c r="O134" i="13"/>
  <c r="O132" i="13"/>
  <c r="O130" i="13"/>
  <c r="O128" i="13"/>
  <c r="O126" i="13"/>
  <c r="O124" i="13"/>
  <c r="I214" i="13"/>
  <c r="N229" i="13"/>
  <c r="L152" i="13"/>
  <c r="L128" i="13"/>
  <c r="M151" i="13"/>
  <c r="M145" i="13"/>
  <c r="I213" i="13"/>
  <c r="M231" i="13"/>
  <c r="L151" i="13"/>
  <c r="L139" i="13"/>
  <c r="L127" i="13"/>
  <c r="O156" i="13"/>
  <c r="O152" i="13"/>
  <c r="O144" i="13"/>
  <c r="L231" i="13"/>
  <c r="L150" i="13"/>
  <c r="L156" i="13"/>
  <c r="L138" i="13"/>
  <c r="L126" i="13"/>
  <c r="N154" i="13"/>
  <c r="N148" i="13"/>
  <c r="N144" i="13"/>
  <c r="N140" i="13"/>
  <c r="N138" i="13"/>
  <c r="N134" i="13"/>
  <c r="N132" i="13"/>
  <c r="N130" i="13"/>
  <c r="N126" i="13"/>
  <c r="N124" i="13"/>
  <c r="I212" i="13"/>
  <c r="O228" i="13"/>
  <c r="L144" i="13"/>
  <c r="L132" i="13"/>
  <c r="N156" i="13"/>
  <c r="N152" i="13"/>
  <c r="N150" i="13"/>
  <c r="N146" i="13"/>
  <c r="N142" i="13"/>
  <c r="N136" i="13"/>
  <c r="N128" i="13"/>
  <c r="H213" i="13"/>
  <c r="O227" i="13"/>
  <c r="N230" i="13"/>
  <c r="N228" i="13"/>
  <c r="L155" i="13"/>
  <c r="L149" i="13"/>
  <c r="L143" i="13"/>
  <c r="L137" i="13"/>
  <c r="L131" i="13"/>
  <c r="L125" i="13"/>
  <c r="M156" i="13"/>
  <c r="M154" i="13"/>
  <c r="M152" i="13"/>
  <c r="M150" i="13"/>
  <c r="M148" i="13"/>
  <c r="M146" i="13"/>
  <c r="M144" i="13"/>
  <c r="M142" i="13"/>
  <c r="M140" i="13"/>
  <c r="M138" i="13"/>
  <c r="M136" i="13"/>
  <c r="M134" i="13"/>
  <c r="M132" i="13"/>
  <c r="M130" i="13"/>
  <c r="M128" i="13"/>
  <c r="M126" i="13"/>
  <c r="M124" i="13"/>
  <c r="I216" i="13"/>
  <c r="L154" i="13"/>
  <c r="L148" i="13"/>
  <c r="L142" i="13"/>
  <c r="L136" i="13"/>
  <c r="L130" i="13"/>
  <c r="O157" i="13"/>
  <c r="O155" i="13"/>
  <c r="O153" i="13"/>
  <c r="O151" i="13"/>
  <c r="O149" i="13"/>
  <c r="O147" i="13"/>
  <c r="O145" i="13"/>
  <c r="O143" i="13"/>
  <c r="O141" i="13"/>
  <c r="O139" i="13"/>
  <c r="O137" i="13"/>
  <c r="O135" i="13"/>
  <c r="O133" i="13"/>
  <c r="O131" i="13"/>
  <c r="O129" i="13"/>
  <c r="O127" i="13"/>
  <c r="O125" i="13"/>
  <c r="I215" i="13"/>
  <c r="G177" i="13"/>
  <c r="G171" i="13"/>
  <c r="G176" i="13"/>
  <c r="G170" i="13"/>
  <c r="G175" i="13"/>
  <c r="G174" i="13"/>
  <c r="G17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M34" i="15" a="1"/>
  <c r="AJ80" i="13" a="1"/>
  <c r="G80" i="13" a="1"/>
  <c r="N174" i="13" a="1"/>
  <c r="N176" i="13" a="1"/>
  <c r="X35" i="19" a="1"/>
  <c r="H214" i="13" a="1"/>
  <c r="G197" i="13" a="1"/>
  <c r="N185" i="13" a="1"/>
  <c r="AB33" i="15" a="1"/>
  <c r="Y18" i="14" a="1"/>
  <c r="J18" i="19" a="1"/>
  <c r="M19" i="15" a="1"/>
  <c r="G65" i="13" a="1"/>
  <c r="U199" i="13" a="1"/>
  <c r="N20" i="15" a="1"/>
  <c r="N197" i="13" a="1"/>
  <c r="O110" i="13" a="1"/>
  <c r="G196" i="13" a="1"/>
  <c r="W80" i="13" a="1"/>
  <c r="G198" i="13" a="1"/>
  <c r="AI196" i="13" a="1"/>
  <c r="H212" i="13" a="1"/>
  <c r="N177" i="13" a="1"/>
  <c r="N179" i="13" a="1"/>
  <c r="AL19" i="15" a="1"/>
  <c r="N200" i="13" a="1"/>
  <c r="AG18" i="14" a="1"/>
  <c r="N170" i="13" a="1"/>
  <c r="AS110" i="13" a="1"/>
  <c r="AW18" i="14" a="1"/>
  <c r="G200" i="13" a="1"/>
  <c r="M21" i="15" a="1"/>
  <c r="N172" i="13" a="1"/>
  <c r="N175" i="13" a="1"/>
  <c r="Z19" i="15" a="1"/>
  <c r="N80" i="13" a="1"/>
  <c r="Q18" i="19" a="1"/>
  <c r="M20" i="15" a="1"/>
  <c r="N184" i="13" a="1"/>
  <c r="N171" i="13" a="1"/>
  <c r="N19" i="15" a="1"/>
  <c r="N181" i="13" a="1"/>
  <c r="L227" i="13" a="1"/>
  <c r="X18" i="19" a="1"/>
  <c r="N178" i="13" a="1"/>
  <c r="G199" i="13" a="1"/>
  <c r="P18" i="14" a="1"/>
  <c r="AC110" i="13" a="1"/>
  <c r="N183" i="13" a="1"/>
  <c r="M33" i="15" a="1"/>
  <c r="G95" i="13" a="1"/>
  <c r="U198" i="13" a="1"/>
  <c r="W65" i="13" a="1"/>
  <c r="N182" i="13" a="1"/>
  <c r="N65" i="13" a="1"/>
  <c r="L19" i="15" a="1"/>
  <c r="L124" i="13" a="1"/>
  <c r="BE18" i="14" a="1"/>
  <c r="N95" i="13" a="1"/>
  <c r="H18" i="14" a="1"/>
  <c r="G172" i="13" a="1"/>
  <c r="Q35" i="19" a="1"/>
  <c r="U200" i="13" a="1"/>
  <c r="W95" i="13" a="1"/>
  <c r="AX19" i="15" a="1"/>
  <c r="N199" i="13" a="1"/>
  <c r="L33" i="15" a="1"/>
  <c r="N169" i="13" a="1"/>
  <c r="AA169" i="13" a="1"/>
  <c r="N198" i="13" a="1"/>
  <c r="AO18" i="14" a="1"/>
  <c r="H216" i="13" a="1"/>
  <c r="U197" i="13" a="1"/>
  <c r="C203" i="5" a="1"/>
  <c r="H35" i="19" a="1"/>
  <c r="L30" i="14" a="1"/>
  <c r="N173" i="13" a="1"/>
  <c r="N21" i="15" a="1"/>
  <c r="G169" i="13" a="1"/>
  <c r="N196" i="13" a="1"/>
  <c r="AW30" i="14" a="1"/>
  <c r="U196" i="13" a="1"/>
  <c r="L20" i="15" a="1"/>
  <c r="N186" i="13" a="1"/>
  <c r="AK30" i="14" a="1"/>
  <c r="G110" i="13" a="1"/>
  <c r="AC35" i="15" a="1"/>
  <c r="AJ95" i="13" a="1"/>
  <c r="BI30" i="14" a="1"/>
  <c r="L21" i="15" a="1"/>
  <c r="Y30" i="14" a="1"/>
  <c r="N180" i="13" a="1"/>
  <c r="L34" i="15" a="1"/>
  <c r="M34" i="15" l="1"/>
  <c r="BI30" i="14"/>
  <c r="Z19" i="15"/>
  <c r="AX19" i="15"/>
  <c r="AL19" i="15"/>
  <c r="AC110" i="13"/>
  <c r="AA169" i="13"/>
  <c r="M33" i="15"/>
  <c r="X18" i="19"/>
  <c r="H214" i="13"/>
  <c r="L34" i="15"/>
  <c r="AC35" i="15"/>
  <c r="Q18" i="19"/>
  <c r="B3" i="8"/>
  <c r="X35" i="19"/>
  <c r="Q35" i="19"/>
  <c r="H35" i="19"/>
  <c r="J18" i="19"/>
  <c r="Y30" i="14"/>
  <c r="K48" i="15"/>
  <c r="J48" i="15"/>
  <c r="T48" i="15"/>
  <c r="S48" i="15"/>
  <c r="AB33" i="15"/>
  <c r="L33" i="15"/>
  <c r="M20" i="15"/>
  <c r="N19" i="15"/>
  <c r="M19" i="15"/>
  <c r="L20" i="15"/>
  <c r="N21" i="15"/>
  <c r="L21" i="15"/>
  <c r="M21" i="15"/>
  <c r="L19" i="15"/>
  <c r="N20" i="15"/>
  <c r="AW30" i="14"/>
  <c r="AK30" i="14"/>
  <c r="L30" i="14"/>
  <c r="BE18" i="14"/>
  <c r="AW18" i="14"/>
  <c r="AO18" i="14"/>
  <c r="AG18" i="14"/>
  <c r="Y18" i="14"/>
  <c r="P18" i="14"/>
  <c r="H18" i="14"/>
  <c r="AI196" i="13"/>
  <c r="H216" i="13"/>
  <c r="N200" i="13"/>
  <c r="U200" i="13"/>
  <c r="N196" i="13"/>
  <c r="N198" i="13"/>
  <c r="U199" i="13"/>
  <c r="N197" i="13"/>
  <c r="U198" i="13"/>
  <c r="U197" i="13"/>
  <c r="G198" i="13"/>
  <c r="U196" i="13"/>
  <c r="G197" i="13"/>
  <c r="G196" i="13"/>
  <c r="G200" i="13"/>
  <c r="L124" i="13"/>
  <c r="G199" i="13"/>
  <c r="L227" i="13"/>
  <c r="N199" i="13"/>
  <c r="O110" i="13"/>
  <c r="H212" i="13"/>
  <c r="AS110" i="13"/>
  <c r="G172" i="13"/>
  <c r="G110" i="13"/>
  <c r="G95" i="13"/>
  <c r="N80" i="13"/>
  <c r="N95" i="13"/>
  <c r="W80" i="13"/>
  <c r="AJ95" i="13"/>
  <c r="AJ80" i="13"/>
  <c r="W95" i="13"/>
  <c r="G80" i="13"/>
  <c r="N180" i="13"/>
  <c r="N175" i="13"/>
  <c r="N183" i="13"/>
  <c r="G169" i="13"/>
  <c r="N177" i="13"/>
  <c r="N181" i="13"/>
  <c r="N182" i="13"/>
  <c r="N185" i="13"/>
  <c r="N179" i="13"/>
  <c r="N169" i="13"/>
  <c r="N184" i="13"/>
  <c r="N173" i="13"/>
  <c r="N178" i="13"/>
  <c r="N172" i="13"/>
  <c r="N186" i="13"/>
  <c r="N171" i="13"/>
  <c r="N176" i="13"/>
  <c r="N170" i="13"/>
  <c r="N174" i="13"/>
  <c r="N65" i="13"/>
  <c r="G65" i="13"/>
  <c r="W6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9" i="3" a="1"/>
  <c r="C222" i="13" a="1"/>
  <c r="C119" i="13" a="1"/>
  <c r="T25" i="3" a="1"/>
  <c r="T31" i="3" a="1"/>
  <c r="C207" i="13" a="1"/>
  <c r="T32" i="3" a="1"/>
  <c r="S35" i="19" a="1"/>
  <c r="T38" i="3" a="1"/>
  <c r="T27" i="3" a="1"/>
  <c r="T30" i="3" a="1"/>
  <c r="T26" i="3" a="1"/>
  <c r="T37" i="3" a="1"/>
  <c r="T28" i="3" a="1"/>
  <c r="C191" i="13" a="1"/>
  <c r="C90" i="13" a="1"/>
  <c r="C17" i="17" a="1"/>
  <c r="T35" i="3" a="1"/>
  <c r="T36" i="3" a="1"/>
  <c r="T24" i="3" a="1"/>
  <c r="C60" i="13" a="1"/>
  <c r="C14" i="15" a="1"/>
  <c r="C75" i="13" a="1"/>
  <c r="T34" i="3" a="1"/>
  <c r="C13" i="14" a="1"/>
  <c r="T33" i="3" a="1"/>
  <c r="T23" i="3" a="1"/>
  <c r="C13" i="19" a="1"/>
  <c r="C105" i="13" a="1"/>
  <c r="Z35" i="19" a="1"/>
  <c r="T39" i="3" a="1"/>
  <c r="C27" i="15" a="1"/>
  <c r="C164" i="13" a="1"/>
  <c r="C25" i="14" a="1"/>
  <c r="K51" i="15" a="1"/>
  <c r="J51" i="15" a="1"/>
  <c r="S51" i="15" a="1"/>
  <c r="T51" i="15" a="1"/>
  <c r="C119" i="13" l="1"/>
  <c r="D14" i="13" s="1"/>
  <c r="C13" i="19"/>
  <c r="D7" i="19" s="1"/>
  <c r="C17" i="17"/>
  <c r="S35" i="19"/>
  <c r="Z35" i="19"/>
  <c r="K51" i="15"/>
  <c r="T51" i="15"/>
  <c r="J51" i="15"/>
  <c r="S51" i="15"/>
  <c r="C27" i="15"/>
  <c r="D8" i="15" s="1"/>
  <c r="C14" i="15"/>
  <c r="D7" i="15" s="1"/>
  <c r="C25" i="14"/>
  <c r="D8" i="14" s="1"/>
  <c r="C13" i="14"/>
  <c r="D7" i="14" s="1"/>
  <c r="C191" i="13"/>
  <c r="D16" i="13" s="1"/>
  <c r="C222" i="13"/>
  <c r="D18" i="13" s="1"/>
  <c r="C207" i="13"/>
  <c r="D17" i="13" s="1"/>
  <c r="C164" i="13"/>
  <c r="D15" i="13" s="1"/>
  <c r="C105" i="13"/>
  <c r="D13" i="13" s="1"/>
  <c r="C90" i="13"/>
  <c r="D12" i="13" s="1"/>
  <c r="C75" i="13"/>
  <c r="D11" i="13" s="1"/>
  <c r="C60" i="13"/>
  <c r="D10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13" i="17" a="1"/>
  <c r="U38" i="3" a="1"/>
  <c r="U31" i="3" a="1"/>
  <c r="U37" i="3" a="1"/>
  <c r="U35" i="3" a="1"/>
  <c r="U36" i="3" a="1"/>
  <c r="U33" i="3" a="1"/>
  <c r="C30" i="19" a="1"/>
  <c r="U30" i="3" a="1"/>
  <c r="C4" i="13" a="1"/>
  <c r="U34" i="3" a="1"/>
  <c r="C43" i="15" a="1"/>
  <c r="C4" i="14" a="1"/>
  <c r="C4" i="15" a="1"/>
  <c r="U24" i="3" a="1"/>
  <c r="U39" i="3" a="1"/>
  <c r="U32" i="3" a="1"/>
  <c r="U25" i="3" a="1"/>
  <c r="C43" i="15" l="1"/>
  <c r="D9" i="15" s="1"/>
  <c r="C4" i="13"/>
  <c r="C19" i="8" s="1"/>
  <c r="C13" i="17"/>
  <c r="D7" i="17" s="1"/>
  <c r="C30" i="19"/>
  <c r="D8" i="19" s="1"/>
  <c r="C4" i="15"/>
  <c r="C21" i="8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BT64" i="5" a="1"/>
  <c r="BE40" i="5" a="1"/>
  <c r="L159" i="5" a="1"/>
  <c r="BN66" i="5" a="1"/>
  <c r="I230" i="9" a="1"/>
  <c r="U126" i="5" a="1"/>
  <c r="V139" i="5" a="1"/>
  <c r="X197" i="5" a="1"/>
  <c r="BO67" i="5" a="1"/>
  <c r="X131" i="5" a="1"/>
  <c r="BR42" i="5" a="1"/>
  <c r="X136" i="5" a="1"/>
  <c r="W130" i="5" a="1"/>
  <c r="BM40" i="5" a="1"/>
  <c r="T136" i="5" a="1"/>
  <c r="BD42" i="5" a="1"/>
  <c r="BR43" i="5" a="1"/>
  <c r="W125" i="5" a="1"/>
  <c r="BD41" i="5" a="1"/>
  <c r="U137" i="5" a="1"/>
  <c r="T198" i="5" a="1"/>
  <c r="BJ42" i="5" a="1"/>
  <c r="U132" i="5" a="1"/>
  <c r="T126" i="5" a="1"/>
  <c r="BD67" i="5" a="1"/>
  <c r="BK41" i="5" a="1"/>
  <c r="O76" i="9" a="1"/>
  <c r="V129" i="5" a="1"/>
  <c r="BF40" i="5" a="1"/>
  <c r="V130" i="5" a="1"/>
  <c r="W136" i="5" a="1"/>
  <c r="BT41" i="5" a="1"/>
  <c r="S72" i="1" a="1"/>
  <c r="BS66" i="5" a="1"/>
  <c r="X101" i="5" a="1"/>
  <c r="Z21" i="3" a="1"/>
  <c r="BM66" i="5" a="1"/>
  <c r="BM42" i="5" a="1"/>
  <c r="BP64" i="5" a="1"/>
  <c r="O54" i="9" a="1"/>
  <c r="W127" i="5" a="1"/>
  <c r="X103" i="5" a="1"/>
  <c r="U138" i="5" a="1"/>
  <c r="V90" i="5" a="1"/>
  <c r="BK64" i="5" a="1"/>
  <c r="V133" i="5" a="1"/>
  <c r="BD40" i="5" a="1"/>
  <c r="BF67" i="5" a="1"/>
  <c r="X134" i="5" a="1"/>
  <c r="BL67" i="5" a="1"/>
  <c r="BH63" i="5" a="1"/>
  <c r="BG39" i="5" a="1"/>
  <c r="BN40" i="5" a="1"/>
  <c r="BR66" i="5" a="1"/>
  <c r="U96" i="5" a="1"/>
  <c r="W95" i="5" a="1"/>
  <c r="W126" i="5" a="1"/>
  <c r="BS67" i="5" a="1"/>
  <c r="W132" i="5" a="1"/>
  <c r="BJ39" i="5" a="1"/>
  <c r="BD65" i="5" a="1"/>
  <c r="X128" i="5" a="1"/>
  <c r="V197" i="5" a="1"/>
  <c r="BR63" i="5" a="1"/>
  <c r="W129" i="5" a="1"/>
  <c r="L179" i="5" a="1"/>
  <c r="E208" i="9" a="1"/>
  <c r="BT65" i="5" a="1"/>
  <c r="BQ40" i="5" a="1"/>
  <c r="X139" i="5" a="1"/>
  <c r="K158" i="5" a="1"/>
  <c r="R230" i="9" a="1"/>
  <c r="BJ40" i="5" a="1"/>
  <c r="W88" i="5" a="1"/>
  <c r="X92" i="5" a="1"/>
  <c r="V137" i="5" a="1"/>
  <c r="BF65" i="5" a="1"/>
  <c r="J68" i="1" a="1"/>
  <c r="D5" i="4" a="1"/>
  <c r="U98" i="5" a="1"/>
  <c r="O120" i="9" a="1"/>
  <c r="BM64" i="5" a="1"/>
  <c r="BH40" i="5" a="1"/>
  <c r="E164" i="9" a="1"/>
  <c r="J98" i="9" a="1"/>
  <c r="V135" i="5" a="1"/>
  <c r="BG42" i="5" a="1"/>
  <c r="T139" i="5" a="1"/>
  <c r="BF41" i="5" a="1"/>
  <c r="U93" i="5" a="1"/>
  <c r="T127" i="5" a="1"/>
  <c r="AJ21" i="3" a="1"/>
  <c r="W131" i="5" a="1"/>
  <c r="BN43" i="5" a="1"/>
  <c r="BE65" i="5" a="1"/>
  <c r="BI64" i="5" a="1"/>
  <c r="BL66" i="5" a="1"/>
  <c r="C208" i="9" a="1"/>
  <c r="BE67" i="5" a="1"/>
  <c r="U197" i="5" a="1"/>
  <c r="W103" i="5" a="1"/>
  <c r="L230" i="9" a="1"/>
  <c r="BM67" i="5" a="1"/>
  <c r="L178" i="5" a="1"/>
  <c r="W87" i="5" a="1"/>
  <c r="BE43" i="5" a="1"/>
  <c r="J71" i="1" a="1"/>
  <c r="V87" i="5" a="1"/>
  <c r="BQ66" i="5" a="1"/>
  <c r="E98" i="9" a="1"/>
  <c r="BS65" i="5" a="1"/>
  <c r="V102" i="5" a="1"/>
  <c r="BF63" i="5" a="1"/>
  <c r="E120" i="9" a="1"/>
  <c r="U97" i="5" a="1"/>
  <c r="L177" i="5" a="1"/>
  <c r="O186" i="9" a="1"/>
  <c r="BJ66" i="5" a="1"/>
  <c r="BT67" i="5" a="1"/>
  <c r="C164" i="9" a="1"/>
  <c r="J120" i="9" a="1"/>
  <c r="V123" i="5" a="1"/>
  <c r="W99" i="5" a="1"/>
  <c r="G72" i="1" a="1"/>
  <c r="U23" i="3" a="1"/>
  <c r="L161" i="5" a="1"/>
  <c r="BO41" i="5" a="1"/>
  <c r="BM65" i="5" a="1"/>
  <c r="V127" i="5" a="1"/>
  <c r="K159" i="5" a="1"/>
  <c r="BI43" i="5" a="1"/>
  <c r="BJ63" i="5" a="1"/>
  <c r="BN42" i="5" a="1"/>
  <c r="T133" i="5" a="1"/>
  <c r="X102" i="5" a="1"/>
  <c r="O32" i="9" a="1"/>
  <c r="G68" i="1" a="1"/>
  <c r="X87" i="5" a="1"/>
  <c r="BN64" i="5" a="1"/>
  <c r="X130" i="5" a="1"/>
  <c r="I27" i="11" a="1"/>
  <c r="BG43" i="5" a="1"/>
  <c r="J142" i="9" a="1"/>
  <c r="S68" i="1" a="1"/>
  <c r="BN39" i="5" a="1"/>
  <c r="V99" i="5" a="1"/>
  <c r="C54" i="9" a="1"/>
  <c r="X90" i="5" a="1"/>
  <c r="V136" i="5" a="1"/>
  <c r="BO66" i="5" a="1"/>
  <c r="U90" i="5" a="1"/>
  <c r="BQ64" i="5" a="1"/>
  <c r="BR65" i="5" a="1"/>
  <c r="T197" i="5" a="1"/>
  <c r="U134" i="5" a="1"/>
  <c r="W197" i="5" a="1"/>
  <c r="BL42" i="5" a="1"/>
  <c r="BH64" i="5" a="1"/>
  <c r="C142" i="9" a="1"/>
  <c r="L181" i="5" a="1"/>
  <c r="BO39" i="5" a="1"/>
  <c r="E142" i="9" a="1"/>
  <c r="BK65" i="5" a="1"/>
  <c r="C186" i="9" a="1"/>
  <c r="X89" i="5" a="1"/>
  <c r="BS39" i="5" a="1"/>
  <c r="T132" i="5" a="1"/>
  <c r="J72" i="1" a="1"/>
  <c r="K179" i="5" a="1"/>
  <c r="O208" i="9" a="1"/>
  <c r="BI63" i="5" a="1"/>
  <c r="O142" i="9" a="1"/>
  <c r="BO40" i="5" a="1"/>
  <c r="BK66" i="5" a="1"/>
  <c r="X96" i="5" a="1"/>
  <c r="BF39" i="5" a="1"/>
  <c r="BR39" i="5" a="1"/>
  <c r="BL65" i="5" a="1"/>
  <c r="BO64" i="5" a="1"/>
  <c r="BH65" i="5" a="1"/>
  <c r="U94" i="5" a="1"/>
  <c r="U133" i="5" a="1"/>
  <c r="BJ41" i="5" a="1"/>
  <c r="J208" i="9" a="1"/>
  <c r="U92" i="5" a="1"/>
  <c r="X138" i="5" a="1"/>
  <c r="J70" i="1" a="1"/>
  <c r="U130" i="5" a="1"/>
  <c r="V131" i="5" a="1"/>
  <c r="G71" i="1" a="1"/>
  <c r="BH67" i="5" a="1"/>
  <c r="X100" i="5" a="1"/>
  <c r="C32" i="9" a="1"/>
  <c r="X125" i="5" a="1"/>
  <c r="V126" i="5" a="1"/>
  <c r="BF64" i="5" a="1"/>
  <c r="W100" i="5" a="1"/>
  <c r="BP67" i="5" a="1"/>
  <c r="K178" i="5" a="1"/>
  <c r="I22" i="11" a="1"/>
  <c r="X123" i="5" a="1"/>
  <c r="W139" i="5" a="1"/>
  <c r="BH66" i="5" a="1"/>
  <c r="W102" i="5" a="1"/>
  <c r="U230" i="9" a="1"/>
  <c r="BT42" i="5" a="1"/>
  <c r="BS63" i="5" a="1"/>
  <c r="BT66" i="5" a="1"/>
  <c r="BL64" i="5" a="1"/>
  <c r="BJ67" i="5" a="1"/>
  <c r="J186" i="9" a="1"/>
  <c r="BL41" i="5" a="1"/>
  <c r="BK63" i="5" a="1"/>
  <c r="BH42" i="5" a="1"/>
  <c r="BN63" i="5" a="1"/>
  <c r="K180" i="5" a="1"/>
  <c r="D4" i="4" a="1"/>
  <c r="L158" i="5" a="1"/>
  <c r="T134" i="5" a="1"/>
  <c r="BN41" i="5" a="1"/>
  <c r="V124" i="5" a="1"/>
  <c r="BP40" i="5" a="1"/>
  <c r="BK67" i="5" a="1"/>
  <c r="J32" i="9" a="1"/>
  <c r="V93" i="5" a="1"/>
  <c r="BD64" i="5" a="1"/>
  <c r="BO65" i="5" a="1"/>
  <c r="U99" i="5" a="1"/>
  <c r="X132" i="5" a="1"/>
  <c r="BI41" i="5" a="1"/>
  <c r="BO63" i="5" a="1"/>
  <c r="V100" i="5" a="1"/>
  <c r="V91" i="5" a="1"/>
  <c r="U101" i="5" a="1"/>
  <c r="V97" i="5" a="1"/>
  <c r="W134" i="5" a="1"/>
  <c r="X124" i="5" a="1"/>
  <c r="W89" i="5" a="1"/>
  <c r="BO43" i="5" a="1"/>
  <c r="T124" i="5" a="1"/>
  <c r="X129" i="5" a="1"/>
  <c r="BF43" i="5" a="1"/>
  <c r="U129" i="5" a="1"/>
  <c r="BI65" i="5" a="1"/>
  <c r="D49" i="1" a="1"/>
  <c r="BS41" i="5" a="1"/>
  <c r="K160" i="5" a="1"/>
  <c r="X135" i="5" a="1"/>
  <c r="V94" i="5" a="1"/>
  <c r="U135" i="5" a="1"/>
  <c r="V98" i="5" a="1"/>
  <c r="BL63" i="5" a="1"/>
  <c r="BP39" i="5" a="1"/>
  <c r="D51" i="1" a="1"/>
  <c r="BP63" i="5" a="1"/>
  <c r="V125" i="5" a="1"/>
  <c r="C6" i="2" a="1"/>
  <c r="K161" i="5" a="1"/>
  <c r="BS64" i="5" a="1"/>
  <c r="BT43" i="5" a="1"/>
  <c r="BP42" i="5" a="1"/>
  <c r="U87" i="5" a="1"/>
  <c r="C98" i="9" a="1"/>
  <c r="BH43" i="5" a="1"/>
  <c r="BL40" i="5" a="1"/>
  <c r="X91" i="5" a="1"/>
  <c r="X95" i="5" a="1"/>
  <c r="U89" i="5" a="1"/>
  <c r="BG67" i="5" a="1"/>
  <c r="V89" i="5" a="1"/>
  <c r="S70" i="1" a="1"/>
  <c r="T137" i="5" a="1"/>
  <c r="BS42" i="5" a="1"/>
  <c r="U123" i="5" a="1"/>
  <c r="W124" i="5" a="1"/>
  <c r="O164" i="9" a="1"/>
  <c r="V95" i="5" a="1"/>
  <c r="BI66" i="5" a="1"/>
  <c r="BP66" i="5" a="1"/>
  <c r="T129" i="5" a="1"/>
  <c r="X88" i="5" a="1"/>
  <c r="BG63" i="5" a="1"/>
  <c r="W96" i="5" a="1"/>
  <c r="G69" i="1" a="1"/>
  <c r="D47" i="1" a="1"/>
  <c r="W128" i="5" a="1"/>
  <c r="BM63" i="5" a="1"/>
  <c r="BT39" i="5" a="1"/>
  <c r="K157" i="5" a="1"/>
  <c r="W137" i="5" a="1"/>
  <c r="T135" i="5" a="1"/>
  <c r="BN65" i="5" a="1"/>
  <c r="E76" i="9" a="1"/>
  <c r="O98" i="9" a="1"/>
  <c r="W138" i="5" a="1"/>
  <c r="BI42" i="5" a="1"/>
  <c r="G47" i="1" a="1"/>
  <c r="W93" i="5" a="1"/>
  <c r="V132" i="5" a="1"/>
  <c r="BL43" i="5" a="1"/>
  <c r="BH41" i="5" a="1"/>
  <c r="BR67" i="5" a="1"/>
  <c r="W133" i="5" a="1"/>
  <c r="BP43" i="5" a="1"/>
  <c r="V88" i="5" a="1"/>
  <c r="BQ41" i="5" a="1"/>
  <c r="S69" i="1" a="1"/>
  <c r="BQ42" i="5" a="1"/>
  <c r="W97" i="5" a="1"/>
  <c r="BG66" i="5" a="1"/>
  <c r="BP65" i="5" a="1"/>
  <c r="S71" i="1" a="1"/>
  <c r="K177" i="5" a="1"/>
  <c r="U131" i="5" a="1"/>
  <c r="BQ39" i="5" a="1"/>
  <c r="U100" i="5" a="1"/>
  <c r="F230" i="9" a="1"/>
  <c r="AU21" i="3" a="1"/>
  <c r="V198" i="5" a="1"/>
  <c r="L157" i="5" a="1"/>
  <c r="X126" i="5" a="1"/>
  <c r="V134" i="5" a="1"/>
  <c r="BM43" i="5" a="1"/>
  <c r="BT63" i="5" a="1"/>
  <c r="BT40" i="5" a="1"/>
  <c r="BQ63" i="5" a="1"/>
  <c r="U95" i="5" a="1"/>
  <c r="V103" i="5" a="1"/>
  <c r="K181" i="5" a="1"/>
  <c r="T138" i="5" a="1"/>
  <c r="BF66" i="5" a="1"/>
  <c r="BN67" i="5" a="1"/>
  <c r="BO42" i="5" a="1"/>
  <c r="V96" i="5" a="1"/>
  <c r="J54" i="9" a="1"/>
  <c r="C230" i="9" a="1"/>
  <c r="BR64" i="5" a="1"/>
  <c r="BM39" i="5" a="1"/>
  <c r="BM41" i="5" a="1"/>
  <c r="U139" i="5" a="1"/>
  <c r="E54" i="9" a="1"/>
  <c r="BK42" i="5" a="1"/>
  <c r="J164" i="9" a="1"/>
  <c r="BE63" i="5" a="1"/>
  <c r="X137" i="5" a="1"/>
  <c r="J76" i="9" a="1"/>
  <c r="W98" i="5" a="1"/>
  <c r="BQ67" i="5" a="1"/>
  <c r="T131" i="5" a="1"/>
  <c r="X98" i="5" a="1"/>
  <c r="BJ43" i="5" a="1"/>
  <c r="U91" i="5" a="1"/>
  <c r="W90" i="5" a="1"/>
  <c r="BK40" i="5" a="1"/>
  <c r="BR40" i="5" a="1"/>
  <c r="X198" i="5" a="1"/>
  <c r="W123" i="5" a="1"/>
  <c r="BR41" i="5" a="1"/>
  <c r="C76" i="9" a="1"/>
  <c r="W135" i="5" a="1"/>
  <c r="BD39" i="5" a="1"/>
  <c r="BG64" i="5" a="1"/>
  <c r="U124" i="5" a="1"/>
  <c r="BJ65" i="5" a="1"/>
  <c r="W94" i="5" a="1"/>
  <c r="U88" i="5" a="1"/>
  <c r="BE66" i="5" a="1"/>
  <c r="V128" i="5" a="1"/>
  <c r="U198" i="5" a="1"/>
  <c r="BS40" i="5" a="1"/>
  <c r="X93" i="5" a="1"/>
  <c r="U128" i="5" a="1"/>
  <c r="BS43" i="5" a="1"/>
  <c r="BQ65" i="5" a="1"/>
  <c r="X97" i="5" a="1"/>
  <c r="U125" i="5" a="1"/>
  <c r="T128" i="5" a="1"/>
  <c r="BE41" i="5" a="1"/>
  <c r="J69" i="1" a="1"/>
  <c r="BJ64" i="5" a="1"/>
  <c r="BG41" i="5" a="1"/>
  <c r="U103" i="5" a="1"/>
  <c r="T123" i="5" a="1"/>
  <c r="BP41" i="5" a="1"/>
  <c r="V138" i="5" a="1"/>
  <c r="V101" i="5" a="1"/>
  <c r="L180" i="5" a="1"/>
  <c r="BH39" i="5" a="1"/>
  <c r="BE64" i="5" a="1"/>
  <c r="U127" i="5" a="1"/>
  <c r="X127" i="5" a="1"/>
  <c r="BF42" i="5" a="1"/>
  <c r="BD43" i="5" a="1"/>
  <c r="X99" i="5" a="1"/>
  <c r="BI39" i="5" a="1"/>
  <c r="U136" i="5" a="1"/>
  <c r="C120" i="9" a="1"/>
  <c r="O230" i="9" a="1"/>
  <c r="T125" i="5" a="1"/>
  <c r="BQ43" i="5" a="1"/>
  <c r="BE39" i="5" a="1"/>
  <c r="T130" i="5" a="1"/>
  <c r="BG65" i="5" a="1"/>
  <c r="BE42" i="5" a="1"/>
  <c r="L160" i="5" a="1"/>
  <c r="X94" i="5" a="1"/>
  <c r="V92" i="5" a="1"/>
  <c r="U102" i="5" a="1"/>
  <c r="W92" i="5" a="1"/>
  <c r="BI67" i="5" a="1"/>
  <c r="W101" i="5" a="1"/>
  <c r="W91" i="5" a="1"/>
  <c r="BI40" i="5" a="1"/>
  <c r="G70" i="1" a="1"/>
  <c r="BD66" i="5" a="1"/>
  <c r="BK39" i="5" a="1"/>
  <c r="BK43" i="5" a="1"/>
  <c r="W198" i="5" a="1"/>
  <c r="E186" i="9" a="1"/>
  <c r="BL39" i="5" a="1"/>
  <c r="X133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C24" i="5" a="1"/>
  <c r="H17" i="2" a="1"/>
  <c r="K69" i="1" a="1"/>
  <c r="K47" i="1" a="1"/>
  <c r="D83" i="1" a="1"/>
  <c r="H71" i="1" a="1"/>
  <c r="F225" i="9" a="1"/>
  <c r="F93" i="9" a="1"/>
  <c r="M68" i="1" a="1"/>
  <c r="M72" i="1" a="1"/>
  <c r="I23" i="11" a="1"/>
  <c r="I24" i="11" a="1"/>
  <c r="D55" i="1" a="1"/>
  <c r="P71" i="1" a="1"/>
  <c r="H72" i="1" a="1"/>
  <c r="F137" i="9" a="1"/>
  <c r="C144" i="5" a="1"/>
  <c r="C72" i="5" a="1"/>
  <c r="F159" i="9" a="1"/>
  <c r="I26" i="3" a="1"/>
  <c r="M70" i="1" a="1"/>
  <c r="C49" i="9" a="1"/>
  <c r="C203" i="9" a="1"/>
  <c r="T70" i="1" a="1"/>
  <c r="C159" i="9" a="1"/>
  <c r="C48" i="5" a="1"/>
  <c r="I25" i="11" a="1"/>
  <c r="F181" i="9" a="1"/>
  <c r="H70" i="1" a="1"/>
  <c r="C115" i="9" a="1"/>
  <c r="P27" i="9" a="1"/>
  <c r="K68" i="1" a="1"/>
  <c r="K137" i="9" a="1"/>
  <c r="L225" i="9" a="1"/>
  <c r="O225" i="9" a="1"/>
  <c r="F27" i="9" a="1"/>
  <c r="D52" i="1" a="1"/>
  <c r="D85" i="1" a="1"/>
  <c r="I225" i="9" a="1"/>
  <c r="I23" i="3" a="1"/>
  <c r="P71" i="9" a="1"/>
  <c r="D54" i="1" a="1"/>
  <c r="J22" i="11" a="1"/>
  <c r="P137" i="9" a="1"/>
  <c r="K71" i="9" a="1"/>
  <c r="P181" i="9" a="1"/>
  <c r="C71" i="9" a="1"/>
  <c r="T71" i="1" a="1"/>
  <c r="U225" i="9" a="1"/>
  <c r="C108" i="5" a="1"/>
  <c r="R225" i="9" a="1"/>
  <c r="K49" i="9" a="1"/>
  <c r="P159" i="9" a="1"/>
  <c r="C181" i="9" a="1"/>
  <c r="F203" i="9" a="1"/>
  <c r="K181" i="9" a="1"/>
  <c r="T68" i="1" a="1"/>
  <c r="K72" i="1" a="1"/>
  <c r="K159" i="9" a="1"/>
  <c r="C186" i="5" a="1"/>
  <c r="P93" i="9" a="1"/>
  <c r="F71" i="9" a="1"/>
  <c r="M71" i="1" a="1"/>
  <c r="K70" i="1" a="1"/>
  <c r="P68" i="1" a="1"/>
  <c r="I27" i="3" a="1"/>
  <c r="P49" i="9" a="1"/>
  <c r="F49" i="9" a="1"/>
  <c r="P115" i="9" a="1"/>
  <c r="C166" i="5" a="1"/>
  <c r="M69" i="1" a="1"/>
  <c r="P70" i="1" a="1"/>
  <c r="H69" i="1" a="1"/>
  <c r="C27" i="9" a="1"/>
  <c r="H68" i="1" a="1"/>
  <c r="P69" i="1" a="1"/>
  <c r="I28" i="3" a="1"/>
  <c r="D82" i="1" a="1"/>
  <c r="K203" i="9" a="1"/>
  <c r="P203" i="9" a="1"/>
  <c r="I25" i="3" a="1"/>
  <c r="D84" i="1" a="1"/>
  <c r="K93" i="9" a="1"/>
  <c r="D53" i="1" a="1"/>
  <c r="P72" i="1" a="1"/>
  <c r="T69" i="1" a="1"/>
  <c r="I24" i="3" a="1"/>
  <c r="F115" i="9" a="1"/>
  <c r="K115" i="9" a="1"/>
  <c r="K71" i="1" a="1"/>
  <c r="C93" i="9" a="1"/>
  <c r="T72" i="1" a="1"/>
  <c r="K27" i="9" a="1"/>
  <c r="D57" i="1" a="1"/>
  <c r="I26" i="11" a="1"/>
  <c r="C137" i="9" a="1"/>
  <c r="C225" i="9" a="1"/>
  <c r="D56" i="1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4" i="11" a="1"/>
  <c r="J82" i="1" a="1"/>
  <c r="E52" i="1" a="1"/>
  <c r="E56" i="1" a="1"/>
  <c r="E85" i="1" a="1"/>
  <c r="G21" i="2" a="1"/>
  <c r="E84" i="1" a="1"/>
  <c r="G82" i="1" a="1"/>
  <c r="N72" i="1" a="1"/>
  <c r="N71" i="1" a="1"/>
  <c r="C153" i="9" a="1"/>
  <c r="E55" i="1" a="1"/>
  <c r="C43" i="9" a="1"/>
  <c r="E83" i="1" a="1"/>
  <c r="U26" i="3" a="1"/>
  <c r="C87" i="9" a="1"/>
  <c r="N69" i="1" a="1"/>
  <c r="E82" i="1" a="1"/>
  <c r="S82" i="1" a="1"/>
  <c r="J24" i="3" a="1"/>
  <c r="J25" i="3" a="1"/>
  <c r="C4" i="5" a="1"/>
  <c r="Q70" i="1" a="1"/>
  <c r="E48" i="1" a="1"/>
  <c r="C175" i="9" a="1"/>
  <c r="N70" i="1" a="1"/>
  <c r="N68" i="1" a="1"/>
  <c r="U28" i="3" a="1"/>
  <c r="J27" i="3" a="1"/>
  <c r="U29" i="3" a="1"/>
  <c r="J28" i="3" a="1"/>
  <c r="Q69" i="1" a="1"/>
  <c r="E57" i="1" a="1"/>
  <c r="E53" i="1" a="1"/>
  <c r="C131" i="9" a="1"/>
  <c r="C219" i="9" a="1"/>
  <c r="J26" i="11" a="1"/>
  <c r="J23" i="11" a="1"/>
  <c r="C21" i="9" a="1"/>
  <c r="J26" i="3" a="1"/>
  <c r="E50" i="1" a="1"/>
  <c r="J25" i="11" a="1"/>
  <c r="E54" i="1" a="1"/>
  <c r="M82" i="1" a="1"/>
  <c r="E51" i="1" a="1"/>
  <c r="Q68" i="1" a="1"/>
  <c r="V82" i="1" a="1"/>
  <c r="Q71" i="1" a="1"/>
  <c r="C65" i="9" a="1"/>
  <c r="E47" i="1" a="1"/>
  <c r="E49" i="1" a="1"/>
  <c r="C109" i="9" a="1"/>
  <c r="U27" i="3" a="1"/>
  <c r="J23" i="3" a="1"/>
  <c r="P82" i="1" a="1"/>
  <c r="C197" i="9" a="1"/>
  <c r="Q72" i="1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I84" i="1" a="1"/>
  <c r="L85" i="1" a="1"/>
  <c r="R84" i="1" a="1"/>
  <c r="R83" i="1" a="1"/>
  <c r="R85" i="1" a="1"/>
  <c r="H86" i="1" a="1"/>
  <c r="F82" i="1" a="1"/>
  <c r="U83" i="1" a="1"/>
  <c r="O85" i="1" a="1"/>
  <c r="N86" i="1" a="1"/>
  <c r="U85" i="1" a="1"/>
  <c r="I82" i="1" a="1"/>
  <c r="R82" i="1" a="1"/>
  <c r="L82" i="1" a="1"/>
  <c r="C43" i="1" a="1"/>
  <c r="C21" i="3" a="1"/>
  <c r="N21" i="3" a="1"/>
  <c r="F84" i="1" a="1"/>
  <c r="F83" i="1" a="1"/>
  <c r="Q86" i="1" a="1"/>
  <c r="U82" i="1" a="1"/>
  <c r="I83" i="1" a="1"/>
  <c r="F85" i="1" a="1"/>
  <c r="J27" i="11" a="1"/>
  <c r="U84" i="1" a="1"/>
  <c r="O84" i="1" a="1"/>
  <c r="K86" i="1" a="1"/>
  <c r="I85" i="1" a="1"/>
  <c r="T86" i="1" a="1"/>
  <c r="O83" i="1" a="1"/>
  <c r="W86" i="1" a="1"/>
  <c r="L83" i="1" a="1"/>
  <c r="O82" i="1" a="1"/>
  <c r="L84" i="1" a="1"/>
  <c r="C4" i="9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4" i="8" s="1"/>
  <c r="C58" i="2"/>
  <c r="Q83" i="1" a="1"/>
  <c r="C39" i="1" a="1"/>
  <c r="N83" i="1" a="1"/>
  <c r="W85" i="1" a="1"/>
  <c r="Q84" i="1" a="1"/>
  <c r="H84" i="1" a="1"/>
  <c r="Q85" i="1" a="1"/>
  <c r="N84" i="1" a="1"/>
  <c r="K85" i="1" a="1"/>
  <c r="H83" i="1" a="1"/>
  <c r="T82" i="1" a="1"/>
  <c r="C15" i="1" a="1"/>
  <c r="W84" i="1" a="1"/>
  <c r="T85" i="1" a="1"/>
  <c r="K84" i="1" a="1"/>
  <c r="H85" i="1" a="1"/>
  <c r="T83" i="1" a="1"/>
  <c r="C20" i="11" a="1"/>
  <c r="T84" i="1" a="1"/>
  <c r="K82" i="1" a="1"/>
  <c r="N82" i="1" a="1"/>
  <c r="W82" i="1" a="1"/>
  <c r="Q82" i="1" a="1"/>
  <c r="N85" i="1" a="1"/>
  <c r="W83" i="1" a="1"/>
  <c r="K83" i="1" a="1"/>
  <c r="H82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6" i="3" a="1"/>
  <c r="C77" i="1" a="1"/>
  <c r="C6" i="11" a="1"/>
  <c r="C77" i="1" l="1"/>
  <c r="C10" i="1" s="1"/>
  <c r="C6" i="3"/>
  <c r="C29" i="8" s="1"/>
  <c r="C6" i="11"/>
  <c r="D68" i="1" a="1"/>
  <c r="D70" i="1" l="1"/>
  <c r="D68" i="1"/>
  <c r="D69" i="1"/>
  <c r="D71" i="1"/>
  <c r="D72" i="1"/>
  <c r="E72" i="1" a="1"/>
  <c r="E69" i="1" a="1"/>
  <c r="E71" i="1" a="1"/>
  <c r="E70" i="1" a="1"/>
  <c r="E68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s="1" a="1"/>
  <c r="B10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<sst xmlns="http://schemas.openxmlformats.org/spreadsheetml/2006/main" count="3810" uniqueCount="515">
  <si>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</si>
  <si>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</si>
  <si>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</si>
  <si>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</si>
  <si>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</si>
  <si>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</si>
  <si>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</si>
  <si>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</si>
  <si>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</si>
  <si>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</si>
  <si>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</si>
  <si>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</si>
  <si>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</si>
  <si>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</si>
  <si>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</si>
  <si>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</si>
  <si>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</si>
  <si>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</si>
  <si>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</si>
  <si>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</si>
  <si>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</si>
  <si>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</si>
  <si>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</si>
  <si>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</si>
  <si>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</si>
  <si>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</si>
  <si>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</si>
  <si>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</si>
  <si>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</si>
  <si>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</si>
  <si>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</si>
  <si>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</si>
  <si>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</si>
  <si>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</si>
  <si>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</si>
  <si>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</si>
  <si>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</si>
  <si>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</si>
  <si>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</si>
  <si>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</si>
  <si>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</si>
  <si>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</si>
  <si>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</si>
  <si>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</si>
  <si>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</si>
  <si>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</si>
  <si>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</si>
  <si>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</si>
  <si>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</si>
  <si>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</si>
  <si>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</si>
  <si>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</si>
  <si>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</si>
  <si>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</si>
  <si>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</si>
  <si>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</si>
  <si>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</si>
  <si>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</si>
  <si>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</si>
  <si>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</si>
  <si>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</si>
  <si>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</si>
  <si>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</si>
  <si>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</si>
  <si>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</si>
  <si>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</si>
  <si>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</si>
  <si>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</si>
  <si>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</si>
  <si>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</si>
  <si>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</si>
  <si>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</si>
  <si>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</si>
  <si>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</si>
  <si>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</si>
  <si>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</si>
  <si>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</si>
  <si>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</si>
  <si>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</si>
  <si>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</si>
  <si>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</si>
  <si>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</si>
  <si>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</si>
  <si>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</si>
  <si>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</si>
  <si>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</si>
  <si>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</si>
  <si>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</si>
  <si>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</si>
  <si>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</si>
  <si>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</si>
  <si>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</si>
  <si>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</si>
  <si>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</si>
  <si>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</si>
  <si>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</si>
  <si>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</si>
  <si>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</si>
  <si>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</si>
  <si>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</si>
  <si>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</si>
  <si>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</si>
  <si>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</si>
  <si>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</si>
  <si>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</si>
  <si>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</si>
  <si>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</si>
  <si>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</si>
  <si>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</si>
  <si>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</si>
  <si>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</si>
  <si>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</si>
  <si>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</si>
  <si>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</si>
  <si>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</si>
  <si>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</si>
  <si>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</si>
  <si>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</si>
  <si>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</si>
  <si>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</si>
  <si>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</si>
  <si>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</si>
  <si>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</si>
  <si>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</si>
  <si>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</si>
  <si>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</si>
  <si>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</si>
  <si>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</si>
  <si>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</si>
  <si>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</si>
  <si>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</si>
  <si>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</si>
  <si>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</si>
  <si>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</si>
  <si>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</si>
  <si>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</si>
  <si>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</si>
  <si>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</si>
  <si>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</si>
  <si>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</si>
  <si>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</si>
  <si>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</si>
  <si>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</si>
  <si>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</si>
  <si>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</si>
  <si>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</si>
  <si>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</si>
  <si>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</si>
  <si>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</si>
  <si>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</si>
  <si>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</si>
  <si>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</si>
  <si>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</si>
  <si>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</si>
  <si>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</si>
  <si>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</si>
  <si>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</si>
  <si>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</si>
  <si>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</si>
  <si>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</si>
  <si>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</si>
  <si>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</si>
  <si>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</si>
  <si>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</si>
  <si>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</si>
  <si>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</si>
  <si>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</si>
  <si>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</si>
  <si>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</si>
  <si>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</si>
  <si>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</si>
  <si>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</si>
  <si>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</si>
  <si>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</si>
  <si>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</si>
  <si>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</si>
  <si>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</si>
  <si>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</si>
  <si>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</si>
  <si>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</si>
  <si>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</si>
  <si>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</si>
  <si>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</si>
  <si>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</si>
  <si>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</si>
  <si>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</si>
  <si>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</si>
  <si>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</si>
  <si>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</si>
  <si>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</si>
  <si>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</si>
  <si>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</si>
  <si>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</si>
  <si>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</si>
  <si>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</si>
  <si>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</si>
  <si>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</si>
  <si>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</si>
  <si>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</si>
  <si>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</si>
  <si>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</si>
  <si>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</si>
  <si>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</si>
  <si>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</si>
  <si>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</si>
  <si>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</si>
  <si>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</si>
  <si>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</si>
  <si>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</si>
  <si>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</si>
  <si>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</si>
  <si>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</si>
  <si>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</si>
  <si>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</si>
  <si>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</si>
  <si>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</si>
  <si>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</si>
  <si>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</si>
  <si>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</si>
  <si>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</si>
  <si>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</si>
  <si>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</si>
  <si>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</si>
  <si>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</si>
  <si>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</si>
  <si>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</si>
  <si>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</si>
  <si>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</si>
  <si>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</si>
  <si>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</si>
  <si>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</si>
  <si>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</si>
  <si>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</si>
  <si>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</si>
  <si>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</si>
  <si>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</si>
  <si>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</si>
  <si>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</si>
  <si>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</si>
  <si>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</si>
  <si>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</si>
  <si>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</si>
  <si>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</si>
  <si>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</si>
  <si>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</si>
  <si>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</si>
  <si>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</si>
  <si>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</si>
  <si>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</si>
  <si>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</si>
  <si>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</si>
  <si>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</si>
  <si>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</si>
  <si>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</si>
  <si>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</si>
  <si>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</si>
  <si>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</si>
  <si>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</si>
  <si>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</si>
  <si>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</si>
  <si>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</si>
  <si>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</si>
  <si>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</si>
  <si>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</si>
  <si>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</si>
  <si>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</si>
  <si>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</si>
  <si>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</si>
  <si>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</si>
  <si>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</si>
  <si>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</si>
  <si>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</si>
  <si>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</si>
  <si>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</si>
  <si>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</si>
  <si>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</si>
  <si>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</si>
  <si>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</si>
  <si>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</si>
  <si>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</si>
  <si>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</si>
  <si>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</si>
  <si>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</si>
  <si>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</si>
  <si>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</si>
  <si>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</si>
  <si>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</si>
  <si>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</si>
  <si>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</si>
  <si>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</si>
  <si>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</si>
  <si>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</si>
  <si>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</si>
  <si>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</si>
  <si>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</si>
  <si>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</si>
  <si>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</si>
  <si>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</si>
  <si>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</si>
  <si>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</si>
  <si>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</si>
  <si>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</si>
  <si>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</si>
  <si>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</si>
  <si>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</si>
  <si>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</si>
  <si>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</si>
  <si>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</si>
  <si>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</si>
  <si>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</si>
  <si>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</si>
  <si>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</si>
  <si>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</si>
  <si>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</si>
  <si>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</si>
  <si>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</si>
  <si>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</si>
  <si>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</si>
  <si>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</si>
  <si>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</si>
  <si>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</si>
  <si>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</si>
  <si>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</si>
  <si>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</si>
  <si>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</si>
  <si>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</si>
  <si>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</si>
  <si>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</si>
  <si>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</si>
  <si>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</si>
  <si>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</si>
  <si>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</si>
  <si>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</si>
  <si>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</si>
  <si>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</si>
  <si>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</si>
  <si>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</si>
  <si>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</si>
  <si>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</si>
  <si>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</si>
  <si>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</si>
  <si>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</si>
  <si>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</si>
  <si>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</si>
  <si>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</si>
  <si>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</si>
  <si>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</si>
  <si>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</si>
  <si>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</si>
  <si>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</si>
  <si>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</si>
  <si>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</si>
  <si>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</si>
  <si>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</si>
  <si>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</si>
  <si>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</si>
  <si>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</si>
  <si>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</si>
  <si>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</si>
  <si>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</si>
  <si>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</si>
  <si>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</si>
  <si>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</si>
  <si>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</si>
  <si>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</si>
  <si>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</si>
  <si>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</si>
  <si>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</si>
  <si>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</si>
  <si>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</si>
  <si>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</si>
  <si>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</si>
  <si>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</si>
  <si>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</si>
  <si>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</si>
  <si>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</si>
  <si>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</si>
  <si>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</si>
  <si>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</si>
  <si>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</si>
  <si>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</si>
  <si>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</si>
  <si>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</si>
  <si>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</si>
  <si>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</si>
  <si>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</si>
  <si>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</si>
  <si>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</si>
  <si>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</si>
  <si>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</si>
  <si>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</si>
  <si>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</si>
  <si>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</si>
  <si>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</si>
  <si>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</si>
  <si>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</si>
  <si>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</si>
  <si>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</si>
  <si>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</si>
  <si>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</si>
  <si>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</si>
  <si>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</si>
  <si>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</si>
  <si>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</si>
  <si>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</si>
  <si>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</si>
  <si>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</si>
  <si>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</si>
  <si>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</si>
  <si>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</si>
  <si>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</si>
  <si>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</si>
  <si>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</si>
  <si>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</si>
  <si>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</si>
  <si>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</si>
  <si>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</si>
  <si>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</si>
  <si>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</si>
  <si>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</si>
  <si>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</si>
  <si>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</si>
  <si>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</si>
  <si>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</si>
  <si>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</si>
  <si>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</si>
  <si>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</si>
  <si>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</si>
  <si>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</si>
  <si>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</si>
  <si>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</si>
  <si>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</si>
  <si>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</si>
  <si>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</si>
  <si>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</si>
  <si>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</si>
  <si>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</si>
  <si>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</si>
  <si>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</si>
  <si>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</si>
  <si>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</si>
  <si>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</si>
  <si>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</si>
  <si>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</si>
  <si>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</si>
  <si>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</si>
  <si>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</si>
  <si>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</si>
  <si>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</si>
  <si>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</si>
  <si>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</si>
  <si>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</si>
  <si>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</si>
  <si>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</si>
  <si>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</si>
  <si>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</si>
  <si>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</si>
  <si>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</si>
  <si>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</si>
  <si>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</si>
  <si>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</si>
  <si>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</si>
  <si>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</si>
  <si>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</si>
  <si>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</si>
  <si>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</si>
  <si>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</si>
  <si>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</si>
  <si>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</si>
  <si>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</si>
  <si>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</si>
  <si>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</si>
  <si>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</si>
  <si>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</si>
  <si>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</si>
  <si>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</si>
  <si>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</si>
  <si>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</si>
  <si>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</si>
  <si>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</si>
  <si>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</si>
  <si>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</si>
  <si>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</si>
  <si>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</si>
  <si>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</si>
  <si>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</si>
  <si>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</si>
  <si>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</si>
  <si>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</si>
  <si>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</si>
  <si>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</si>
  <si>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</si>
  <si>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</si>
  <si>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</si>
  <si>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</si>
  <si>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</si>
  <si>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</si>
  <si>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</si>
  <si>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</si>
  <si>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</si>
  <si>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</si>
  <si>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</si>
  <si>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</si>
  <si>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</si>
  <si>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</si>
  <si>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</si>
  <si>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</si>
  <si>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</si>
  <si>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</si>
  <si>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</si>
  <si>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#∂Excel Error: Matrix is not positive-definite.</t>
  </si>
  <si>
    <t>Test 3: Normal Random Numbers for a Given Seed and Row and Column Count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</si>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</sst>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</numFmts>
  <fonts count="5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27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56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tabSelected="1" workbookViewId="0">
      <selection activeCell="E9" sqref="E9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439</v>
      </c>
      <c r="C4" s="490"/>
      <c r="D4" s="487" t="s">
        <v>499</v>
      </c>
      <c r="I4" s="495"/>
    </row>
    <row r="5" spans="2:9" s="467" customFormat="1" x14ac:dyDescent="0.25">
      <c r="B5" s="491" t="s">
        <v>440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441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482</v>
      </c>
      <c r="C9" s="214"/>
    </row>
    <row r="10" spans="2:9" s="495" customFormat="1" ht="18.75" customHeight="1" x14ac:dyDescent="0.25">
      <c r="B10" s="619" t="str" cm="1">
        <f t="array" aca="1" ref="B10" ca="1">_xll.d.TestUtils_And(C19:C21,C24,C27:C29,C34:C35)</f>
        <v>Error</v>
      </c>
      <c r="C10" s="619"/>
    </row>
    <row r="11" spans="2:9" s="495" customFormat="1" ht="15" customHeight="1" x14ac:dyDescent="0.25">
      <c r="B11" s="620"/>
      <c r="C11" s="620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390</v>
      </c>
      <c r="C21" s="141" t="str">
        <f>Stats!C4</f>
        <v>Ok</v>
      </c>
      <c r="I21" s="495"/>
    </row>
    <row r="22" spans="2:9" x14ac:dyDescent="0.25">
      <c r="I22" s="495"/>
    </row>
    <row r="23" spans="2:9" x14ac:dyDescent="0.25">
      <c r="B23" s="478" t="s">
        <v>420</v>
      </c>
      <c r="C23" s="479"/>
    </row>
    <row r="24" spans="2:9" x14ac:dyDescent="0.25">
      <c r="B24" s="464" t="s">
        <v>421</v>
      </c>
      <c r="C24" s="177" t="str">
        <f>'Equity Utils'!C4</f>
        <v>Ok</v>
      </c>
    </row>
    <row r="25" spans="2:9" x14ac:dyDescent="0.25">
      <c r="D25" s="495"/>
    </row>
    <row r="26" spans="2:9" x14ac:dyDescent="0.25">
      <c r="B26" s="134" t="s">
        <v>267</v>
      </c>
      <c r="C26" s="206"/>
      <c r="D26" s="495"/>
    </row>
    <row r="27" spans="2:9" x14ac:dyDescent="0.25">
      <c r="B27" s="462" t="s">
        <v>1</v>
      </c>
      <c r="C27" s="370" t="str">
        <f ca="1">Curves!C4</f>
        <v>Ok</v>
      </c>
      <c r="D27" s="495"/>
    </row>
    <row r="28" spans="2:9" x14ac:dyDescent="0.25">
      <c r="B28" s="463" t="s">
        <v>417</v>
      </c>
      <c r="C28" s="306" t="str">
        <f>'Rate Utils'!C4</f>
        <v>Ok</v>
      </c>
      <c r="D28" s="495"/>
    </row>
    <row r="29" spans="2:9" x14ac:dyDescent="0.25">
      <c r="B29" s="546" t="s">
        <v>21</v>
      </c>
      <c r="C29" s="306" t="str">
        <f ca="1">'Sinlge Curve Bootstrapping'!C6</f>
        <v>Error</v>
      </c>
      <c r="D29" s="545" t="s">
        <v>485</v>
      </c>
    </row>
    <row r="30" spans="2:9" x14ac:dyDescent="0.25">
      <c r="B30" s="546" t="s">
        <v>58</v>
      </c>
      <c r="C30" s="306" t="s">
        <v>249</v>
      </c>
      <c r="D30" s="545" t="s">
        <v>485</v>
      </c>
    </row>
    <row r="31" spans="2:9" x14ac:dyDescent="0.25">
      <c r="B31" s="547" t="s">
        <v>11</v>
      </c>
      <c r="C31" s="205" t="s">
        <v>249</v>
      </c>
      <c r="D31" s="545" t="s">
        <v>485</v>
      </c>
    </row>
    <row r="32" spans="2:9" x14ac:dyDescent="0.25">
      <c r="D32" s="495"/>
    </row>
    <row r="33" spans="2:5" x14ac:dyDescent="0.25">
      <c r="B33" s="134" t="s">
        <v>125</v>
      </c>
      <c r="C33" s="135"/>
      <c r="D33" s="495"/>
    </row>
    <row r="34" spans="2:5" x14ac:dyDescent="0.25">
      <c r="B34" s="462" t="s">
        <v>175</v>
      </c>
      <c r="C34" s="137" t="str">
        <f ca="1">'Test Utils'!C4</f>
        <v>Ok</v>
      </c>
    </row>
    <row r="35" spans="2:5" x14ac:dyDescent="0.25">
      <c r="B35" s="464" t="s">
        <v>85</v>
      </c>
      <c r="C35" s="141" t="str">
        <f ca="1">'Table Formatting'!C4</f>
        <v>Ok</v>
      </c>
      <c r="D35" s="545" t="s">
        <v>514</v>
      </c>
    </row>
    <row r="40" spans="2:5" x14ac:dyDescent="0.25">
      <c r="E40" s="177"/>
    </row>
  </sheetData>
  <mergeCells count="1">
    <mergeCell ref="B10:C11"/>
  </mergeCells>
  <conditionalFormatting sqref="C34">
    <cfRule type="cellIs" dxfId="555" priority="22" stopIfTrue="1" operator="equal">
      <formula>"OK"</formula>
    </cfRule>
    <cfRule type="cellIs" dxfId="554" priority="23" stopIfTrue="1" operator="equal">
      <formula>"ERROR"</formula>
    </cfRule>
  </conditionalFormatting>
  <conditionalFormatting sqref="C35">
    <cfRule type="cellIs" dxfId="553" priority="24" stopIfTrue="1" operator="equal">
      <formula>"OK"</formula>
    </cfRule>
    <cfRule type="cellIs" dxfId="552" priority="25" stopIfTrue="1" operator="equal">
      <formula>"ERROR"</formula>
    </cfRule>
  </conditionalFormatting>
  <conditionalFormatting sqref="C19">
    <cfRule type="cellIs" dxfId="551" priority="26" stopIfTrue="1" operator="equal">
      <formula>"ERROR"</formula>
    </cfRule>
    <cfRule type="cellIs" dxfId="550" priority="27" stopIfTrue="1" operator="equal">
      <formula>"OK"</formula>
    </cfRule>
    <cfRule type="cellIs" dxfId="549" priority="28" stopIfTrue="1" operator="equal">
      <formula>"WARNING"</formula>
    </cfRule>
  </conditionalFormatting>
  <conditionalFormatting sqref="C20">
    <cfRule type="cellIs" dxfId="548" priority="19" stopIfTrue="1" operator="equal">
      <formula>"ERROR"</formula>
    </cfRule>
    <cfRule type="cellIs" dxfId="547" priority="20" stopIfTrue="1" operator="equal">
      <formula>"OK"</formula>
    </cfRule>
    <cfRule type="cellIs" dxfId="546" priority="21" stopIfTrue="1" operator="equal">
      <formula>"WARNING"</formula>
    </cfRule>
  </conditionalFormatting>
  <conditionalFormatting sqref="C21">
    <cfRule type="cellIs" dxfId="545" priority="16" stopIfTrue="1" operator="equal">
      <formula>"ERROR"</formula>
    </cfRule>
    <cfRule type="cellIs" dxfId="544" priority="17" stopIfTrue="1" operator="equal">
      <formula>"OK"</formula>
    </cfRule>
    <cfRule type="cellIs" dxfId="543" priority="18" stopIfTrue="1" operator="equal">
      <formula>"WARNING"</formula>
    </cfRule>
  </conditionalFormatting>
  <conditionalFormatting sqref="C24">
    <cfRule type="cellIs" dxfId="542" priority="29" stopIfTrue="1" operator="equal">
      <formula>"ERROR"</formula>
    </cfRule>
    <cfRule type="cellIs" dxfId="541" priority="30" stopIfTrue="1" operator="equal">
      <formula>"OK"</formula>
    </cfRule>
    <cfRule type="cellIs" dxfId="540" priority="31" stopIfTrue="1" operator="equal">
      <formula>"WARNING"</formula>
    </cfRule>
  </conditionalFormatting>
  <conditionalFormatting sqref="D6">
    <cfRule type="cellIs" dxfId="539" priority="32" stopIfTrue="1" operator="equal">
      <formula>"ERROR"</formula>
    </cfRule>
    <cfRule type="cellIs" dxfId="538" priority="33" stopIfTrue="1" operator="equal">
      <formula>"OK"</formula>
    </cfRule>
    <cfRule type="cellIs" dxfId="537" priority="34" stopIfTrue="1" operator="equal">
      <formula>"WARNING"</formula>
    </cfRule>
  </conditionalFormatting>
  <conditionalFormatting sqref="C28">
    <cfRule type="cellIs" dxfId="536" priority="13" stopIfTrue="1" operator="equal">
      <formula>"ERROR"</formula>
    </cfRule>
    <cfRule type="cellIs" dxfId="535" priority="14" stopIfTrue="1" operator="equal">
      <formula>"OK"</formula>
    </cfRule>
    <cfRule type="cellIs" dxfId="534" priority="15" stopIfTrue="1" operator="equal">
      <formula>"WARNING"</formula>
    </cfRule>
  </conditionalFormatting>
  <conditionalFormatting sqref="B10:C11">
    <cfRule type="cellIs" dxfId="533" priority="10" stopIfTrue="1" operator="equal">
      <formula>"ERROR"</formula>
    </cfRule>
    <cfRule type="cellIs" dxfId="532" priority="11" stopIfTrue="1" operator="equal">
      <formula>"OK"</formula>
    </cfRule>
    <cfRule type="cellIs" dxfId="531" priority="12" stopIfTrue="1" operator="equal">
      <formula>"WARNING"</formula>
    </cfRule>
  </conditionalFormatting>
  <conditionalFormatting sqref="C27">
    <cfRule type="cellIs" dxfId="530" priority="35" stopIfTrue="1" operator="equal">
      <formula>"ERROR"</formula>
    </cfRule>
    <cfRule type="cellIs" dxfId="529" priority="36" stopIfTrue="1" operator="equal">
      <formula>"OK"</formula>
    </cfRule>
    <cfRule type="cellIs" dxfId="528" priority="37" stopIfTrue="1" operator="equal">
      <formula>"WARNING"</formula>
    </cfRule>
  </conditionalFormatting>
  <conditionalFormatting sqref="C29">
    <cfRule type="cellIs" dxfId="527" priority="38" stopIfTrue="1" operator="equal">
      <formula>"ERROR"</formula>
    </cfRule>
    <cfRule type="cellIs" dxfId="526" priority="39" stopIfTrue="1" operator="equal">
      <formula>"OK"</formula>
    </cfRule>
    <cfRule type="cellIs" dxfId="525" priority="40" stopIfTrue="1" operator="equal">
      <formula>"WARNING"</formula>
    </cfRule>
  </conditionalFormatting>
  <conditionalFormatting sqref="C30">
    <cfRule type="cellIs" dxfId="524" priority="1" stopIfTrue="1" operator="equal">
      <formula>"ERROR"</formula>
    </cfRule>
    <cfRule type="cellIs" dxfId="523" priority="2" stopIfTrue="1" operator="equal">
      <formula>"OK"</formula>
    </cfRule>
    <cfRule type="cellIs" dxfId="522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47"/>
  <sheetViews>
    <sheetView showGridLines="0" topLeftCell="M54" zoomScaleNormal="100" workbookViewId="0">
      <selection activeCell="Q71" sqref="Q71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416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ref="C4">_xll.d.TestUtils_And(D7:D19)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502</v>
      </c>
      <c r="C7" s="465"/>
      <c r="D7" s="350" t="str">
        <f>C24</f>
        <v>Ok</v>
      </c>
    </row>
    <row r="8" spans="2:43" x14ac:dyDescent="0.2">
      <c r="B8" s="465" t="s">
        <v>506</v>
      </c>
      <c r="C8" s="465"/>
      <c r="D8" s="350" t="str">
        <f>C36</f>
        <v>Ok</v>
      </c>
    </row>
    <row r="9" spans="2:43" x14ac:dyDescent="0.2">
      <c r="B9" s="465" t="s">
        <v>500</v>
      </c>
      <c r="C9" s="465"/>
      <c r="D9" s="350" t="str">
        <f>C48</f>
        <v>Ok</v>
      </c>
    </row>
    <row r="10" spans="2:43" x14ac:dyDescent="0.2">
      <c r="B10" s="465" t="s">
        <v>407</v>
      </c>
      <c r="C10" s="465"/>
      <c r="D10" s="350" t="str">
        <f>C60</f>
        <v>Ok</v>
      </c>
    </row>
    <row r="11" spans="2:43" x14ac:dyDescent="0.2">
      <c r="B11" s="465" t="s">
        <v>408</v>
      </c>
      <c r="C11" s="465"/>
      <c r="D11" s="350" t="str">
        <f>C75</f>
        <v>Ok</v>
      </c>
    </row>
    <row r="12" spans="2:43" x14ac:dyDescent="0.2">
      <c r="B12" s="465" t="s">
        <v>409</v>
      </c>
      <c r="C12" s="465"/>
      <c r="D12" s="350" t="str">
        <f>C90</f>
        <v>Ok</v>
      </c>
    </row>
    <row r="13" spans="2:43" x14ac:dyDescent="0.2">
      <c r="B13" s="465" t="s">
        <v>410</v>
      </c>
      <c r="C13" s="465"/>
      <c r="D13" s="350" t="str">
        <f>C105</f>
        <v>Ok</v>
      </c>
    </row>
    <row r="14" spans="2:43" x14ac:dyDescent="0.2">
      <c r="B14" s="465" t="s">
        <v>411</v>
      </c>
      <c r="C14" s="465"/>
      <c r="D14" s="350" t="str">
        <f>C119</f>
        <v>Ok</v>
      </c>
    </row>
    <row r="15" spans="2:43" x14ac:dyDescent="0.2">
      <c r="B15" s="465" t="s">
        <v>412</v>
      </c>
      <c r="C15" s="465"/>
      <c r="D15" s="350" t="str">
        <f>C164</f>
        <v>Ok</v>
      </c>
    </row>
    <row r="16" spans="2:43" x14ac:dyDescent="0.2">
      <c r="B16" s="465" t="s">
        <v>413</v>
      </c>
      <c r="C16" s="465"/>
      <c r="D16" s="350" t="str">
        <f>C191</f>
        <v>Ok</v>
      </c>
    </row>
    <row r="17" spans="2:7" x14ac:dyDescent="0.2">
      <c r="B17" s="465" t="s">
        <v>414</v>
      </c>
      <c r="C17" s="465"/>
      <c r="D17" s="350" t="str">
        <f>C207</f>
        <v>Ok</v>
      </c>
    </row>
    <row r="18" spans="2:7" x14ac:dyDescent="0.2">
      <c r="B18" s="465" t="s">
        <v>415</v>
      </c>
      <c r="C18" s="465"/>
      <c r="D18" s="350" t="str">
        <f>C222</f>
        <v>Ok</v>
      </c>
    </row>
    <row r="19" spans="2:7" x14ac:dyDescent="0.2">
      <c r="B19" s="465" t="s">
        <v>492</v>
      </c>
      <c r="C19" s="465"/>
      <c r="D19" s="350" t="str">
        <f>C236</f>
        <v>Ok</v>
      </c>
    </row>
    <row r="22" spans="2:7" ht="18.75" x14ac:dyDescent="0.3">
      <c r="B22" s="3" t="s">
        <v>502</v>
      </c>
      <c r="C22" s="356"/>
      <c r="D22" s="356"/>
      <c r="E22" s="356"/>
      <c r="F22" s="356"/>
      <c r="G22" s="356"/>
    </row>
    <row r="24" spans="2:7" x14ac:dyDescent="0.2">
      <c r="B24" s="59" t="s">
        <v>159</v>
      </c>
      <c r="C24" s="350" t="str" cm="1">
        <f t="array" ref="C24">_xll.d.TestUtils_And(G32,N32,U32,AB32)</f>
        <v>Ok</v>
      </c>
    </row>
    <row r="25" spans="2:7" x14ac:dyDescent="0.2">
      <c r="G25" s="349"/>
    </row>
    <row r="26" spans="2:7" ht="15.75" x14ac:dyDescent="0.25">
      <c r="B26" s="4" t="s">
        <v>109</v>
      </c>
      <c r="C26" s="357"/>
      <c r="D26" s="357"/>
      <c r="E26" s="357"/>
      <c r="F26" s="357"/>
      <c r="G26" s="357"/>
    </row>
    <row r="28" spans="2:7" x14ac:dyDescent="0.2">
      <c r="B28" s="134" t="s">
        <v>251</v>
      </c>
      <c r="C28" s="135"/>
      <c r="E28" s="134" t="s">
        <v>133</v>
      </c>
      <c r="F28" s="134" t="s">
        <v>253</v>
      </c>
      <c r="G28" s="134" t="s">
        <v>84</v>
      </c>
    </row>
    <row r="29" spans="2:7" x14ac:dyDescent="0.2">
      <c r="B29" s="136" t="s">
        <v>257</v>
      </c>
      <c r="C29" s="351">
        <v>44742</v>
      </c>
      <c r="E29" s="600" cm="1">
        <f t="array" ref="E29">_xll.d.Dates_Act360(C29,C30)</f>
        <v>0.25555555555555554</v>
      </c>
      <c r="F29" s="601">
        <f>(C30-C29)/360</f>
        <v>0.25555555555555554</v>
      </c>
      <c r="G29" s="360" t="str" cm="1">
        <f t="array" ref="G29">_xll.d.TestUtils_Equal(E29,F29)</f>
        <v>Ok</v>
      </c>
    </row>
    <row r="30" spans="2:7" x14ac:dyDescent="0.2">
      <c r="B30" s="140" t="s">
        <v>258</v>
      </c>
      <c r="C30" s="371">
        <f>EDATE(C29,3)</f>
        <v>44834</v>
      </c>
    </row>
    <row r="34" spans="2:7" ht="18.75" x14ac:dyDescent="0.3">
      <c r="B34" s="3" t="s">
        <v>506</v>
      </c>
      <c r="C34" s="356"/>
      <c r="D34" s="356"/>
      <c r="E34" s="356"/>
      <c r="F34" s="356"/>
      <c r="G34" s="356"/>
    </row>
    <row r="36" spans="2:7" x14ac:dyDescent="0.2">
      <c r="B36" s="59" t="s">
        <v>159</v>
      </c>
      <c r="C36" s="350" t="str" cm="1">
        <f t="array" ref="C36">_xll.d.TestUtils_And(G44,N44,U44,AB44)</f>
        <v>Ok</v>
      </c>
    </row>
    <row r="37" spans="2:7" x14ac:dyDescent="0.2">
      <c r="G37" s="349"/>
    </row>
    <row r="38" spans="2:7" ht="15.75" x14ac:dyDescent="0.25">
      <c r="B38" s="4" t="s">
        <v>109</v>
      </c>
      <c r="C38" s="357"/>
      <c r="D38" s="357"/>
      <c r="E38" s="357"/>
      <c r="F38" s="357"/>
      <c r="G38" s="357"/>
    </row>
    <row r="40" spans="2:7" x14ac:dyDescent="0.2">
      <c r="B40" s="134" t="s">
        <v>251</v>
      </c>
      <c r="C40" s="135"/>
      <c r="E40" s="134" t="s">
        <v>133</v>
      </c>
      <c r="F40" s="134" t="s">
        <v>253</v>
      </c>
      <c r="G40" s="134" t="s">
        <v>84</v>
      </c>
    </row>
    <row r="41" spans="2:7" x14ac:dyDescent="0.2">
      <c r="B41" s="136" t="s">
        <v>257</v>
      </c>
      <c r="C41" s="351">
        <v>44742</v>
      </c>
      <c r="E41" s="600" cm="1">
        <f t="array" ref="E41">_xll.d.Dates_Act364(C41,C42)</f>
        <v>0.25274725274725274</v>
      </c>
      <c r="F41" s="601">
        <f>(C42-C41)/364</f>
        <v>0.25274725274725274</v>
      </c>
      <c r="G41" s="360" t="str" cm="1">
        <f t="array" ref="G41">_xll.d.TestUtils_Equal(E41,F41)</f>
        <v>Ok</v>
      </c>
    </row>
    <row r="42" spans="2:7" x14ac:dyDescent="0.2">
      <c r="B42" s="140" t="s">
        <v>258</v>
      </c>
      <c r="C42" s="371">
        <f>EDATE(C41,3)</f>
        <v>44834</v>
      </c>
    </row>
    <row r="46" spans="2:7" ht="18.75" x14ac:dyDescent="0.3">
      <c r="B46" s="3" t="s">
        <v>500</v>
      </c>
      <c r="C46" s="356"/>
      <c r="D46" s="356"/>
      <c r="E46" s="356"/>
      <c r="F46" s="356"/>
      <c r="G46" s="356"/>
    </row>
    <row r="48" spans="2:7" x14ac:dyDescent="0.2">
      <c r="B48" s="59" t="s">
        <v>159</v>
      </c>
      <c r="C48" s="350" t="str" cm="1">
        <f t="array" ref="C48">_xll.d.TestUtils_And(G53,N53,U53,AB53)</f>
        <v>Ok</v>
      </c>
    </row>
    <row r="49" spans="2:36" x14ac:dyDescent="0.2">
      <c r="G49" s="349"/>
    </row>
    <row r="50" spans="2:36" ht="15.75" x14ac:dyDescent="0.25">
      <c r="B50" s="4" t="s">
        <v>109</v>
      </c>
      <c r="C50" s="357"/>
      <c r="D50" s="357"/>
      <c r="E50" s="357"/>
      <c r="F50" s="357"/>
      <c r="G50" s="357"/>
    </row>
    <row r="52" spans="2:36" x14ac:dyDescent="0.2">
      <c r="B52" s="134" t="s">
        <v>251</v>
      </c>
      <c r="C52" s="135"/>
      <c r="E52" s="134" t="s">
        <v>133</v>
      </c>
      <c r="F52" s="134" t="s">
        <v>253</v>
      </c>
      <c r="G52" s="134" t="s">
        <v>84</v>
      </c>
    </row>
    <row r="53" spans="2:36" x14ac:dyDescent="0.2">
      <c r="B53" s="136" t="s">
        <v>257</v>
      </c>
      <c r="C53" s="351">
        <v>44742</v>
      </c>
      <c r="E53" s="600" cm="1">
        <f t="array" ref="E53">_xll.d.Dates_Act365(C53,C54)</f>
        <v>0.25205479452054796</v>
      </c>
      <c r="F53" s="601">
        <f>(C54-C53)/365</f>
        <v>0.25205479452054796</v>
      </c>
      <c r="G53" s="360" t="str" cm="1">
        <f t="array" ref="G53">_xll.d.TestUtils_Equal(E53,F53)</f>
        <v>Ok</v>
      </c>
    </row>
    <row r="54" spans="2:36" x14ac:dyDescent="0.2">
      <c r="B54" s="140" t="s">
        <v>258</v>
      </c>
      <c r="C54" s="371">
        <f>EDATE(C53,3)</f>
        <v>44834</v>
      </c>
    </row>
    <row r="58" spans="2:36" ht="18.75" x14ac:dyDescent="0.3">
      <c r="B58" s="3" t="s">
        <v>407</v>
      </c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356"/>
      <c r="AD58" s="356"/>
      <c r="AE58" s="356"/>
      <c r="AF58" s="356"/>
      <c r="AG58" s="356"/>
      <c r="AH58" s="356"/>
      <c r="AI58" s="356"/>
      <c r="AJ58" s="356"/>
    </row>
    <row r="60" spans="2:36" x14ac:dyDescent="0.2">
      <c r="B60" s="59" t="s">
        <v>159</v>
      </c>
      <c r="C60" s="350" t="str" cm="1">
        <f t="array" ref="C60">_xll.d.TestUtils_And(G65,N65,W65,AJ65)</f>
        <v>Ok</v>
      </c>
    </row>
    <row r="61" spans="2:36" x14ac:dyDescent="0.2">
      <c r="G61" s="349"/>
    </row>
    <row r="62" spans="2:36" ht="15.75" x14ac:dyDescent="0.25">
      <c r="B62" s="4" t="s">
        <v>252</v>
      </c>
      <c r="C62" s="357"/>
      <c r="D62" s="357"/>
      <c r="E62" s="357"/>
      <c r="F62" s="357"/>
      <c r="G62" s="357"/>
      <c r="I62" s="4" t="s">
        <v>254</v>
      </c>
      <c r="J62" s="4"/>
      <c r="K62" s="357"/>
      <c r="L62" s="357"/>
      <c r="M62" s="357"/>
      <c r="N62" s="357"/>
      <c r="P62" s="4" t="s">
        <v>255</v>
      </c>
      <c r="Q62" s="357"/>
      <c r="R62" s="357"/>
      <c r="S62" s="357"/>
      <c r="T62" s="357"/>
      <c r="U62" s="357"/>
      <c r="V62" s="357"/>
      <c r="W62" s="357"/>
      <c r="Y62" s="4" t="s">
        <v>261</v>
      </c>
      <c r="Z62" s="357"/>
      <c r="AA62" s="357"/>
      <c r="AB62" s="357"/>
      <c r="AC62" s="357"/>
      <c r="AD62" s="357"/>
      <c r="AE62" s="357"/>
      <c r="AF62" s="357"/>
      <c r="AG62" s="357"/>
      <c r="AH62" s="357"/>
      <c r="AI62" s="357"/>
      <c r="AJ62" s="357"/>
    </row>
    <row r="63" spans="2:36" x14ac:dyDescent="0.2">
      <c r="G63" s="349"/>
    </row>
    <row r="64" spans="2:36" x14ac:dyDescent="0.2">
      <c r="B64" s="134" t="s">
        <v>251</v>
      </c>
      <c r="C64" s="135"/>
      <c r="E64" s="134" t="s">
        <v>133</v>
      </c>
      <c r="F64" s="134" t="s">
        <v>253</v>
      </c>
      <c r="G64" s="134" t="s">
        <v>84</v>
      </c>
      <c r="I64" s="134" t="s">
        <v>251</v>
      </c>
      <c r="J64" s="135"/>
      <c r="L64" s="134" t="s">
        <v>133</v>
      </c>
      <c r="M64" s="134" t="s">
        <v>253</v>
      </c>
      <c r="N64" s="134" t="s">
        <v>84</v>
      </c>
      <c r="P64" s="134" t="s">
        <v>251</v>
      </c>
      <c r="Q64" s="135"/>
      <c r="S64" s="134" t="s">
        <v>133</v>
      </c>
      <c r="T64" s="134"/>
      <c r="U64" s="134" t="s">
        <v>253</v>
      </c>
      <c r="V64" s="134"/>
      <c r="W64" s="134" t="s">
        <v>84</v>
      </c>
      <c r="Y64" s="134" t="s">
        <v>251</v>
      </c>
      <c r="Z64" s="135"/>
      <c r="AB64" s="134" t="s">
        <v>133</v>
      </c>
      <c r="AC64" s="134"/>
      <c r="AD64" s="134"/>
      <c r="AE64" s="134"/>
      <c r="AF64" s="134" t="s">
        <v>253</v>
      </c>
      <c r="AG64" s="134"/>
      <c r="AH64" s="134"/>
      <c r="AI64" s="134"/>
      <c r="AJ64" s="134" t="s">
        <v>84</v>
      </c>
    </row>
    <row r="65" spans="2:36" x14ac:dyDescent="0.2">
      <c r="B65" s="353" t="s">
        <v>34</v>
      </c>
      <c r="C65" s="354">
        <v>44742</v>
      </c>
      <c r="E65" s="358" cm="1">
        <f t="array" ref="E65">_xll.d.Dates_FolDay(C65,B67:B69)</f>
        <v>44743</v>
      </c>
      <c r="F65" s="359">
        <v>44743</v>
      </c>
      <c r="G65" s="360" t="str" cm="1">
        <f t="array" ref="G65">_xll.d.TestUtils_Equal(E65,F65)</f>
        <v>Ok</v>
      </c>
      <c r="I65" s="136" t="s">
        <v>34</v>
      </c>
      <c r="J65" s="351">
        <v>44728</v>
      </c>
      <c r="L65" s="358" cm="1">
        <f t="array" ref="L65">_xll.d.Dates_FolDay(J65,J66)</f>
        <v>44729</v>
      </c>
      <c r="M65" s="359">
        <v>44729</v>
      </c>
      <c r="N65" s="360" t="str" cm="1">
        <f t="array" ref="N65">_xll.d.TestUtils_Equal(L65,M65)</f>
        <v>Ok</v>
      </c>
      <c r="P65" s="136" t="s">
        <v>34</v>
      </c>
      <c r="Q65" s="351">
        <v>44746</v>
      </c>
      <c r="S65" s="602" cm="1">
        <f t="array" ref="S65">_xll.d.Dates_FolDay(Q65,Q66)</f>
        <v>44747</v>
      </c>
      <c r="T65" s="603"/>
      <c r="U65" s="603">
        <v>44747</v>
      </c>
      <c r="V65" s="603"/>
      <c r="W65" s="360" t="str" cm="1">
        <f t="array" ref="W65">_xll.d.TestUtils_Equal(S65,U65)</f>
        <v>Ok</v>
      </c>
      <c r="Y65" s="136" t="s">
        <v>34</v>
      </c>
      <c r="Z65" s="351">
        <v>44746</v>
      </c>
      <c r="AB65" s="602" t="str" cm="1">
        <f t="array" ref="AB65">_xll.d.Dates_FolDay(Z65,Z66)</f>
        <v>#∂Excel Error: Unsupported calendar: 'WRE'</v>
      </c>
      <c r="AC65" s="603"/>
      <c r="AD65" s="603"/>
      <c r="AE65" s="603"/>
      <c r="AF65" s="603" t="s">
        <v>503</v>
      </c>
      <c r="AG65" s="603"/>
      <c r="AH65" s="603"/>
      <c r="AI65" s="603"/>
      <c r="AJ65" s="360" t="str" cm="1">
        <f t="array" ref="AJ65">_xll.d.TestUtils_Equal(AB65,AF65)</f>
        <v>Ok</v>
      </c>
    </row>
    <row r="66" spans="2:36" x14ac:dyDescent="0.2">
      <c r="G66" s="349"/>
      <c r="I66" s="140" t="s">
        <v>240</v>
      </c>
      <c r="J66" s="141" t="s">
        <v>70</v>
      </c>
      <c r="P66" s="140" t="s">
        <v>240</v>
      </c>
      <c r="Q66" s="141" t="s">
        <v>256</v>
      </c>
      <c r="Y66" s="140" t="s">
        <v>240</v>
      </c>
      <c r="Z66" s="141" t="s">
        <v>262</v>
      </c>
    </row>
    <row r="67" spans="2:36" x14ac:dyDescent="0.2">
      <c r="B67" s="352" t="s">
        <v>250</v>
      </c>
      <c r="G67" s="349"/>
    </row>
    <row r="68" spans="2:36" x14ac:dyDescent="0.2">
      <c r="B68" s="361">
        <v>44742</v>
      </c>
    </row>
    <row r="69" spans="2:36" x14ac:dyDescent="0.2">
      <c r="B69" s="362">
        <v>44920</v>
      </c>
      <c r="G69" s="349"/>
      <c r="L69" s="348" t="s">
        <v>309</v>
      </c>
      <c r="M69" s="348" t="s">
        <v>350</v>
      </c>
      <c r="N69" s="348" t="s">
        <v>70</v>
      </c>
      <c r="P69" s="348" t="s">
        <v>512</v>
      </c>
      <c r="Q69" s="348" t="s">
        <v>513</v>
      </c>
      <c r="T69" s="618" cm="1">
        <f t="array" ref="T69">_xll.d.Dates_FolDay(Q65,P69:Q71)</f>
        <v>44747</v>
      </c>
    </row>
    <row r="70" spans="2:36" x14ac:dyDescent="0.2">
      <c r="G70" s="349"/>
      <c r="L70" s="618">
        <v>44927</v>
      </c>
      <c r="M70" s="618">
        <v>45111</v>
      </c>
      <c r="N70" s="618">
        <v>45093</v>
      </c>
      <c r="P70" s="618">
        <v>44562</v>
      </c>
      <c r="Q70" s="618">
        <v>44746</v>
      </c>
    </row>
    <row r="71" spans="2:36" x14ac:dyDescent="0.2">
      <c r="G71" s="349"/>
      <c r="L71" s="618">
        <v>44962</v>
      </c>
      <c r="M71" s="618"/>
      <c r="N71" s="618">
        <v>45147</v>
      </c>
      <c r="P71" s="618">
        <v>44597</v>
      </c>
      <c r="Q71" s="618"/>
    </row>
    <row r="72" spans="2:36" x14ac:dyDescent="0.2">
      <c r="G72" s="349"/>
      <c r="N72" s="618">
        <v>45193</v>
      </c>
    </row>
    <row r="73" spans="2:36" ht="18.75" x14ac:dyDescent="0.3">
      <c r="B73" s="3" t="s">
        <v>408</v>
      </c>
      <c r="C73" s="356"/>
      <c r="D73" s="356"/>
      <c r="E73" s="356"/>
      <c r="F73" s="356"/>
      <c r="G73" s="356"/>
      <c r="H73" s="356"/>
      <c r="I73" s="356"/>
      <c r="J73" s="356"/>
      <c r="K73" s="356"/>
      <c r="L73" s="356"/>
      <c r="M73" s="356"/>
      <c r="N73" s="356"/>
      <c r="O73" s="356"/>
      <c r="P73" s="356"/>
      <c r="Q73" s="356"/>
      <c r="R73" s="356"/>
      <c r="S73" s="356"/>
      <c r="T73" s="356"/>
      <c r="U73" s="356"/>
      <c r="V73" s="356"/>
      <c r="W73" s="356"/>
      <c r="X73" s="356"/>
      <c r="Y73" s="356"/>
      <c r="Z73" s="356"/>
      <c r="AA73" s="356"/>
      <c r="AB73" s="356"/>
      <c r="AC73" s="356"/>
      <c r="AD73" s="356"/>
      <c r="AE73" s="356"/>
      <c r="AF73" s="356"/>
      <c r="AG73" s="356"/>
      <c r="AH73" s="356"/>
      <c r="AI73" s="356"/>
      <c r="AJ73" s="356"/>
    </row>
    <row r="75" spans="2:36" x14ac:dyDescent="0.2">
      <c r="B75" s="59" t="s">
        <v>159</v>
      </c>
      <c r="C75" s="350" t="str" cm="1">
        <f t="array" ref="C75">_xll.d.TestUtils_And(G80,N80,W80,AJ80)</f>
        <v>Ok</v>
      </c>
    </row>
    <row r="77" spans="2:36" ht="15.75" x14ac:dyDescent="0.25">
      <c r="B77" s="4" t="s">
        <v>252</v>
      </c>
      <c r="C77" s="357"/>
      <c r="D77" s="357"/>
      <c r="E77" s="357"/>
      <c r="F77" s="357"/>
      <c r="G77" s="357"/>
      <c r="I77" s="4" t="s">
        <v>254</v>
      </c>
      <c r="J77" s="4"/>
      <c r="K77" s="357"/>
      <c r="L77" s="357"/>
      <c r="M77" s="357"/>
      <c r="N77" s="357"/>
      <c r="P77" s="4" t="s">
        <v>255</v>
      </c>
      <c r="Q77" s="357"/>
      <c r="R77" s="357"/>
      <c r="S77" s="357"/>
      <c r="T77" s="357"/>
      <c r="U77" s="357"/>
      <c r="V77" s="357"/>
      <c r="W77" s="357"/>
      <c r="Y77" s="4" t="s">
        <v>261</v>
      </c>
      <c r="Z77" s="357"/>
      <c r="AA77" s="357"/>
      <c r="AB77" s="357"/>
      <c r="AC77" s="357"/>
      <c r="AD77" s="357"/>
      <c r="AE77" s="357"/>
      <c r="AF77" s="357"/>
      <c r="AG77" s="357"/>
      <c r="AH77" s="357"/>
      <c r="AI77" s="357"/>
      <c r="AJ77" s="357"/>
    </row>
    <row r="78" spans="2:36" x14ac:dyDescent="0.2">
      <c r="G78" s="349"/>
    </row>
    <row r="79" spans="2:36" x14ac:dyDescent="0.2">
      <c r="B79" s="134" t="s">
        <v>251</v>
      </c>
      <c r="C79" s="135"/>
      <c r="E79" s="134" t="s">
        <v>133</v>
      </c>
      <c r="F79" s="134" t="s">
        <v>253</v>
      </c>
      <c r="G79" s="134" t="s">
        <v>84</v>
      </c>
      <c r="I79" s="134" t="s">
        <v>251</v>
      </c>
      <c r="J79" s="135"/>
      <c r="L79" s="134" t="s">
        <v>133</v>
      </c>
      <c r="M79" s="134" t="s">
        <v>253</v>
      </c>
      <c r="N79" s="134" t="s">
        <v>84</v>
      </c>
      <c r="P79" s="134" t="s">
        <v>251</v>
      </c>
      <c r="Q79" s="135"/>
      <c r="S79" s="134" t="s">
        <v>133</v>
      </c>
      <c r="T79" s="134"/>
      <c r="U79" s="134" t="s">
        <v>253</v>
      </c>
      <c r="V79" s="134"/>
      <c r="W79" s="134" t="s">
        <v>84</v>
      </c>
      <c r="Y79" s="134" t="s">
        <v>251</v>
      </c>
      <c r="Z79" s="135"/>
      <c r="AB79" s="134" t="s">
        <v>133</v>
      </c>
      <c r="AC79" s="134"/>
      <c r="AD79" s="134"/>
      <c r="AE79" s="134"/>
      <c r="AF79" s="134" t="s">
        <v>253</v>
      </c>
      <c r="AG79" s="134"/>
      <c r="AH79" s="134"/>
      <c r="AI79" s="134"/>
      <c r="AJ79" s="134" t="s">
        <v>84</v>
      </c>
    </row>
    <row r="80" spans="2:36" x14ac:dyDescent="0.2">
      <c r="B80" s="353" t="s">
        <v>34</v>
      </c>
      <c r="C80" s="354">
        <v>44742</v>
      </c>
      <c r="E80" s="358" cm="1">
        <f t="array" ref="E80">_xll.d.Dates_ModFolDay(C80,B82:B84)</f>
        <v>44741</v>
      </c>
      <c r="F80" s="359">
        <v>44741</v>
      </c>
      <c r="G80" s="360" t="str" cm="1">
        <f t="array" ref="G80">_xll.d.TestUtils_Equal(E80,F80)</f>
        <v>Ok</v>
      </c>
      <c r="I80" s="136" t="s">
        <v>34</v>
      </c>
      <c r="J80" s="351">
        <v>44728</v>
      </c>
      <c r="L80" s="358" cm="1">
        <f t="array" ref="L80">_xll.d.Dates_ModFolDay(J80,J81)</f>
        <v>44729</v>
      </c>
      <c r="M80" s="359">
        <v>44729</v>
      </c>
      <c r="N80" s="360" t="str" cm="1">
        <f t="array" ref="N80">_xll.d.TestUtils_Equal(L80,M80)</f>
        <v>Ok</v>
      </c>
      <c r="P80" s="136" t="s">
        <v>34</v>
      </c>
      <c r="Q80" s="351">
        <v>44746</v>
      </c>
      <c r="S80" s="602" cm="1">
        <f t="array" ref="S80">_xll.d.Dates_ModFolDay(Q80,Q81)</f>
        <v>44747</v>
      </c>
      <c r="T80" s="603"/>
      <c r="U80" s="603">
        <v>44747</v>
      </c>
      <c r="V80" s="603"/>
      <c r="W80" s="360" t="str" cm="1">
        <f t="array" ref="W80">_xll.d.TestUtils_Equal(S80,U80)</f>
        <v>Ok</v>
      </c>
      <c r="Y80" s="136" t="s">
        <v>34</v>
      </c>
      <c r="Z80" s="351">
        <v>44746</v>
      </c>
      <c r="AB80" s="602" t="str" cm="1">
        <f t="array" ref="AB80">_xll.d.Dates_ModFolDay(Z80,Z81)</f>
        <v>#∂Excel Error: Unsupported calendar: 'WRE'</v>
      </c>
      <c r="AC80" s="603"/>
      <c r="AD80" s="603"/>
      <c r="AE80" s="603"/>
      <c r="AF80" s="603" t="s">
        <v>503</v>
      </c>
      <c r="AG80" s="603"/>
      <c r="AH80" s="603"/>
      <c r="AI80" s="603"/>
      <c r="AJ80" s="360" t="str" cm="1">
        <f t="array" ref="AJ80">_xll.d.TestUtils_Equal(AB80,AF80)</f>
        <v>Ok</v>
      </c>
    </row>
    <row r="81" spans="2:36" x14ac:dyDescent="0.2">
      <c r="G81" s="349"/>
      <c r="I81" s="140" t="s">
        <v>240</v>
      </c>
      <c r="J81" s="141" t="s">
        <v>70</v>
      </c>
      <c r="P81" s="140" t="s">
        <v>240</v>
      </c>
      <c r="Q81" s="141" t="s">
        <v>256</v>
      </c>
      <c r="Y81" s="140" t="s">
        <v>240</v>
      </c>
      <c r="Z81" s="141" t="s">
        <v>262</v>
      </c>
    </row>
    <row r="82" spans="2:36" x14ac:dyDescent="0.2">
      <c r="B82" s="352" t="s">
        <v>250</v>
      </c>
      <c r="G82" s="349"/>
    </row>
    <row r="83" spans="2:36" x14ac:dyDescent="0.2">
      <c r="B83" s="361">
        <v>44742</v>
      </c>
    </row>
    <row r="84" spans="2:36" x14ac:dyDescent="0.2">
      <c r="B84" s="362">
        <v>44920</v>
      </c>
      <c r="G84" s="349"/>
    </row>
    <row r="85" spans="2:36" x14ac:dyDescent="0.2">
      <c r="G85" s="349"/>
    </row>
    <row r="86" spans="2:36" x14ac:dyDescent="0.2">
      <c r="G86" s="349"/>
    </row>
    <row r="87" spans="2:36" x14ac:dyDescent="0.2">
      <c r="G87" s="349"/>
    </row>
    <row r="88" spans="2:36" ht="18.75" x14ac:dyDescent="0.3">
      <c r="B88" s="3" t="s">
        <v>409</v>
      </c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</row>
    <row r="90" spans="2:36" x14ac:dyDescent="0.2">
      <c r="B90" s="59" t="s">
        <v>159</v>
      </c>
      <c r="C90" s="350" t="str" cm="1">
        <f t="array" ref="C90">_xll.d.TestUtils_And(G95,N95,W95,AJ95)</f>
        <v>Ok</v>
      </c>
    </row>
    <row r="91" spans="2:36" x14ac:dyDescent="0.2">
      <c r="G91" s="349"/>
    </row>
    <row r="92" spans="2:36" ht="15.75" x14ac:dyDescent="0.25">
      <c r="B92" s="4" t="s">
        <v>252</v>
      </c>
      <c r="C92" s="357"/>
      <c r="D92" s="357"/>
      <c r="E92" s="357"/>
      <c r="F92" s="357"/>
      <c r="G92" s="357"/>
      <c r="I92" s="4" t="s">
        <v>254</v>
      </c>
      <c r="J92" s="4"/>
      <c r="K92" s="357"/>
      <c r="L92" s="357"/>
      <c r="M92" s="357"/>
      <c r="N92" s="357"/>
      <c r="P92" s="4" t="s">
        <v>255</v>
      </c>
      <c r="Q92" s="357"/>
      <c r="R92" s="357"/>
      <c r="S92" s="357"/>
      <c r="T92" s="357"/>
      <c r="U92" s="357"/>
      <c r="V92" s="357"/>
      <c r="W92" s="357"/>
      <c r="Y92" s="4" t="s">
        <v>261</v>
      </c>
      <c r="Z92" s="357"/>
      <c r="AA92" s="357"/>
      <c r="AB92" s="357"/>
      <c r="AC92" s="357"/>
      <c r="AD92" s="357"/>
      <c r="AE92" s="357"/>
      <c r="AF92" s="357"/>
      <c r="AG92" s="357"/>
      <c r="AH92" s="357"/>
      <c r="AI92" s="357"/>
      <c r="AJ92" s="357"/>
    </row>
    <row r="93" spans="2:36" x14ac:dyDescent="0.2">
      <c r="G93" s="349"/>
    </row>
    <row r="94" spans="2:36" x14ac:dyDescent="0.2">
      <c r="B94" s="134" t="s">
        <v>251</v>
      </c>
      <c r="C94" s="135"/>
      <c r="E94" s="134" t="s">
        <v>133</v>
      </c>
      <c r="F94" s="134" t="s">
        <v>253</v>
      </c>
      <c r="G94" s="134" t="s">
        <v>84</v>
      </c>
      <c r="I94" s="134" t="s">
        <v>251</v>
      </c>
      <c r="J94" s="135"/>
      <c r="L94" s="134" t="s">
        <v>133</v>
      </c>
      <c r="M94" s="134" t="s">
        <v>253</v>
      </c>
      <c r="N94" s="134" t="s">
        <v>84</v>
      </c>
      <c r="P94" s="134" t="s">
        <v>251</v>
      </c>
      <c r="Q94" s="135"/>
      <c r="S94" s="134" t="s">
        <v>133</v>
      </c>
      <c r="T94" s="134"/>
      <c r="U94" s="134" t="s">
        <v>253</v>
      </c>
      <c r="V94" s="134"/>
      <c r="W94" s="134" t="s">
        <v>84</v>
      </c>
      <c r="Y94" s="134" t="s">
        <v>251</v>
      </c>
      <c r="Z94" s="135"/>
      <c r="AB94" s="134" t="s">
        <v>133</v>
      </c>
      <c r="AC94" s="134"/>
      <c r="AD94" s="134"/>
      <c r="AE94" s="134"/>
      <c r="AF94" s="134" t="s">
        <v>253</v>
      </c>
      <c r="AG94" s="134"/>
      <c r="AH94" s="134"/>
      <c r="AI94" s="134"/>
      <c r="AJ94" s="134" t="s">
        <v>84</v>
      </c>
    </row>
    <row r="95" spans="2:36" x14ac:dyDescent="0.2">
      <c r="B95" s="353" t="s">
        <v>34</v>
      </c>
      <c r="C95" s="354">
        <v>44742</v>
      </c>
      <c r="E95" s="358" cm="1">
        <f t="array" ref="E95">_xll.d.Dates_PrevDay(C95,B97:B99)</f>
        <v>44741</v>
      </c>
      <c r="F95" s="359">
        <v>44741</v>
      </c>
      <c r="G95" s="360" t="str" cm="1">
        <f t="array" ref="G95">_xll.d.TestUtils_Equal(E95,F95)</f>
        <v>Ok</v>
      </c>
      <c r="I95" s="136" t="s">
        <v>34</v>
      </c>
      <c r="J95" s="351">
        <v>44728</v>
      </c>
      <c r="L95" s="358" cm="1">
        <f t="array" ref="L95">_xll.d.Dates_PrevDay(J95,J96)</f>
        <v>44727</v>
      </c>
      <c r="M95" s="359">
        <v>44727</v>
      </c>
      <c r="N95" s="360" t="str" cm="1">
        <f t="array" ref="N95">_xll.d.TestUtils_Equal(L95,M95)</f>
        <v>Ok</v>
      </c>
      <c r="P95" s="136" t="s">
        <v>34</v>
      </c>
      <c r="Q95" s="351">
        <v>44746</v>
      </c>
      <c r="S95" s="602" cm="1">
        <f t="array" ref="S95">_xll.d.Dates_PrevDay(Q95,Q96)</f>
        <v>44743</v>
      </c>
      <c r="T95" s="603"/>
      <c r="U95" s="603">
        <v>44743</v>
      </c>
      <c r="V95" s="603"/>
      <c r="W95" s="360" t="str" cm="1">
        <f t="array" ref="W95">_xll.d.TestUtils_Equal(S95,U95)</f>
        <v>Ok</v>
      </c>
      <c r="Y95" s="136" t="s">
        <v>34</v>
      </c>
      <c r="Z95" s="351">
        <v>44746</v>
      </c>
      <c r="AB95" s="602" t="str" cm="1">
        <f t="array" ref="AB95">_xll.d.Dates_PrevDay(Z95,Z96)</f>
        <v>#∂Excel Error: Unsupported calendar: 'WRE'</v>
      </c>
      <c r="AC95" s="603"/>
      <c r="AD95" s="603"/>
      <c r="AE95" s="603"/>
      <c r="AF95" s="603" t="s">
        <v>503</v>
      </c>
      <c r="AG95" s="603"/>
      <c r="AH95" s="603"/>
      <c r="AI95" s="603"/>
      <c r="AJ95" s="360" t="str" cm="1">
        <f t="array" ref="AJ95">_xll.d.TestUtils_Equal(AB95,AF95)</f>
        <v>Ok</v>
      </c>
    </row>
    <row r="96" spans="2:36" x14ac:dyDescent="0.2">
      <c r="G96" s="349"/>
      <c r="I96" s="140" t="s">
        <v>240</v>
      </c>
      <c r="J96" s="141" t="s">
        <v>70</v>
      </c>
      <c r="P96" s="140" t="s">
        <v>240</v>
      </c>
      <c r="Q96" s="141" t="s">
        <v>256</v>
      </c>
      <c r="Y96" s="140" t="s">
        <v>240</v>
      </c>
      <c r="Z96" s="141" t="s">
        <v>262</v>
      </c>
    </row>
    <row r="97" spans="2:45" x14ac:dyDescent="0.2">
      <c r="B97" s="352" t="s">
        <v>250</v>
      </c>
      <c r="G97" s="349"/>
    </row>
    <row r="98" spans="2:45" x14ac:dyDescent="0.2">
      <c r="B98" s="361">
        <v>44742</v>
      </c>
    </row>
    <row r="99" spans="2:45" x14ac:dyDescent="0.2">
      <c r="B99" s="362">
        <v>44920</v>
      </c>
      <c r="G99" s="349"/>
    </row>
    <row r="100" spans="2:45" x14ac:dyDescent="0.2">
      <c r="G100" s="349"/>
    </row>
    <row r="101" spans="2:45" x14ac:dyDescent="0.2">
      <c r="G101" s="349"/>
    </row>
    <row r="102" spans="2:45" x14ac:dyDescent="0.2">
      <c r="G102" s="349"/>
    </row>
    <row r="103" spans="2:45" ht="18.75" x14ac:dyDescent="0.3">
      <c r="B103" s="3" t="s">
        <v>410</v>
      </c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</row>
    <row r="105" spans="2:45" x14ac:dyDescent="0.2">
      <c r="B105" s="59" t="s">
        <v>159</v>
      </c>
      <c r="C105" s="350" t="str" cm="1">
        <f t="array" ref="C105">_xll.d.TestUtils_And(G110,O110,AC110,AS110)</f>
        <v>Ok</v>
      </c>
    </row>
    <row r="107" spans="2:45" ht="15.75" x14ac:dyDescent="0.25">
      <c r="B107" s="4" t="s">
        <v>259</v>
      </c>
      <c r="C107" s="357"/>
      <c r="D107" s="357"/>
      <c r="E107" s="357"/>
      <c r="F107" s="357"/>
      <c r="G107" s="357"/>
      <c r="I107" s="4" t="s">
        <v>260</v>
      </c>
      <c r="J107" s="4"/>
      <c r="K107" s="357"/>
      <c r="L107" s="357"/>
      <c r="M107" s="357"/>
      <c r="N107" s="357"/>
      <c r="O107" s="357"/>
      <c r="Q107" s="4" t="s">
        <v>264</v>
      </c>
      <c r="R107" s="4"/>
      <c r="S107" s="357"/>
      <c r="T107" s="357"/>
      <c r="U107" s="357"/>
      <c r="V107" s="357"/>
      <c r="W107" s="357"/>
      <c r="X107" s="357"/>
      <c r="Y107" s="357"/>
      <c r="Z107" s="357"/>
      <c r="AA107" s="357"/>
      <c r="AB107" s="357"/>
      <c r="AC107" s="357"/>
      <c r="AE107" s="4" t="s">
        <v>265</v>
      </c>
      <c r="AF107" s="4"/>
      <c r="AG107" s="357"/>
      <c r="AH107" s="357"/>
      <c r="AI107" s="357"/>
      <c r="AJ107" s="357"/>
      <c r="AK107" s="357"/>
      <c r="AL107" s="357"/>
      <c r="AM107" s="357"/>
      <c r="AN107" s="357"/>
      <c r="AO107" s="357"/>
      <c r="AP107" s="357"/>
      <c r="AQ107" s="357"/>
      <c r="AR107" s="357"/>
      <c r="AS107" s="357"/>
    </row>
    <row r="109" spans="2:45" x14ac:dyDescent="0.2">
      <c r="B109" s="134" t="s">
        <v>251</v>
      </c>
      <c r="C109" s="135"/>
      <c r="E109" s="12" t="s">
        <v>133</v>
      </c>
      <c r="F109" s="27" t="s">
        <v>253</v>
      </c>
      <c r="G109" s="135" t="s">
        <v>84</v>
      </c>
      <c r="I109" s="134" t="s">
        <v>251</v>
      </c>
      <c r="J109" s="206"/>
      <c r="K109" s="135"/>
      <c r="M109" s="12" t="s">
        <v>133</v>
      </c>
      <c r="N109" s="27" t="s">
        <v>253</v>
      </c>
      <c r="O109" s="135" t="s">
        <v>84</v>
      </c>
      <c r="Q109" s="134" t="s">
        <v>251</v>
      </c>
      <c r="R109" s="206"/>
      <c r="S109" s="135"/>
      <c r="U109" s="12" t="s">
        <v>133</v>
      </c>
      <c r="V109" s="27"/>
      <c r="W109" s="27"/>
      <c r="X109" s="27"/>
      <c r="Y109" s="27" t="s">
        <v>253</v>
      </c>
      <c r="Z109" s="27"/>
      <c r="AA109" s="27"/>
      <c r="AB109" s="27"/>
      <c r="AC109" s="135" t="s">
        <v>84</v>
      </c>
      <c r="AE109" s="134" t="s">
        <v>251</v>
      </c>
      <c r="AF109" s="206"/>
      <c r="AG109" s="135"/>
      <c r="AI109" s="12" t="s">
        <v>133</v>
      </c>
      <c r="AJ109" s="27"/>
      <c r="AK109" s="27"/>
      <c r="AL109" s="27"/>
      <c r="AM109" s="27"/>
      <c r="AN109" s="27" t="s">
        <v>253</v>
      </c>
      <c r="AO109" s="27"/>
      <c r="AP109" s="27"/>
      <c r="AQ109" s="27"/>
      <c r="AR109" s="27"/>
      <c r="AS109" s="135" t="s">
        <v>84</v>
      </c>
    </row>
    <row r="110" spans="2:45" x14ac:dyDescent="0.2">
      <c r="B110" s="136" t="s">
        <v>34</v>
      </c>
      <c r="C110" s="351">
        <v>44562</v>
      </c>
      <c r="E110" s="358" cm="1">
        <f t="array" ref="E110">_xll.d.Dates_AddTenorToDate(C110,C111,C112,C113)</f>
        <v>44652</v>
      </c>
      <c r="F110" s="359">
        <v>44652</v>
      </c>
      <c r="G110" s="360" t="str" cm="1">
        <f t="array" ref="G110">_xll.d.TestUtils_Equal(E110,F110)</f>
        <v>Ok</v>
      </c>
      <c r="I110" s="520" t="s">
        <v>34</v>
      </c>
      <c r="J110" s="604"/>
      <c r="K110" s="351">
        <v>44562</v>
      </c>
      <c r="M110" s="358" cm="1">
        <f t="array" ref="M110">_xll.d.Dates_AddTenorToDate(K110,K111,K112,K113)</f>
        <v>44652</v>
      </c>
      <c r="N110" s="359">
        <v>44652</v>
      </c>
      <c r="O110" s="360" t="str" cm="1">
        <f t="array" ref="O110">_xll.d.TestUtils_Equal(M110,N110)</f>
        <v>Ok</v>
      </c>
      <c r="Q110" s="520" t="s">
        <v>34</v>
      </c>
      <c r="R110" s="604"/>
      <c r="S110" s="351">
        <v>44562</v>
      </c>
      <c r="U110" s="602" t="str" cm="1">
        <f t="array" ref="U110">_xll.d.Dates_AddTenorToDate(S110,S111,S112,S113)</f>
        <v>#∂Excel Error: Unsupported calendar: 'WRE'</v>
      </c>
      <c r="V110" s="603"/>
      <c r="W110" s="603"/>
      <c r="X110" s="603"/>
      <c r="Y110" s="603" t="s">
        <v>503</v>
      </c>
      <c r="Z110" s="603"/>
      <c r="AA110" s="603"/>
      <c r="AB110" s="603"/>
      <c r="AC110" s="360" t="str" cm="1">
        <f t="array" ref="AC110">_xll.d.TestUtils_Equal(U110,Y110)</f>
        <v>Ok</v>
      </c>
      <c r="AE110" s="520" t="s">
        <v>34</v>
      </c>
      <c r="AF110" s="604"/>
      <c r="AG110" s="351">
        <v>44562</v>
      </c>
      <c r="AI110" s="602" t="str" cm="1">
        <f t="array" ref="AI110">_xll.d.Dates_AddTenorToDate(AG110,AG111,AG112,AG113)</f>
        <v>#∂Excel Error: Unsupported business day convention: 'ASD'</v>
      </c>
      <c r="AJ110" s="603"/>
      <c r="AK110" s="603"/>
      <c r="AL110" s="603"/>
      <c r="AM110" s="603"/>
      <c r="AN110" s="603" t="s">
        <v>504</v>
      </c>
      <c r="AO110" s="603"/>
      <c r="AP110" s="603"/>
      <c r="AQ110" s="603"/>
      <c r="AR110" s="603"/>
      <c r="AS110" s="360" t="str" cm="1">
        <f t="array" ref="AS110">_xll.d.TestUtils_Equal(AI110,AN110)</f>
        <v>Ok</v>
      </c>
    </row>
    <row r="111" spans="2:45" x14ac:dyDescent="0.2">
      <c r="B111" s="138" t="s">
        <v>23</v>
      </c>
      <c r="C111" s="363" t="s">
        <v>25</v>
      </c>
      <c r="I111" s="521" t="s">
        <v>23</v>
      </c>
      <c r="J111" s="605"/>
      <c r="K111" s="363" t="s">
        <v>25</v>
      </c>
      <c r="Q111" s="521" t="s">
        <v>23</v>
      </c>
      <c r="R111" s="605"/>
      <c r="S111" s="363" t="s">
        <v>25</v>
      </c>
      <c r="AE111" s="521" t="s">
        <v>23</v>
      </c>
      <c r="AF111" s="605"/>
      <c r="AG111" s="363" t="s">
        <v>25</v>
      </c>
    </row>
    <row r="112" spans="2:45" x14ac:dyDescent="0.2">
      <c r="B112" s="138" t="s">
        <v>240</v>
      </c>
      <c r="C112" s="363" t="s">
        <v>70</v>
      </c>
      <c r="I112" s="521" t="s">
        <v>240</v>
      </c>
      <c r="J112" s="605"/>
      <c r="K112" s="363" t="s">
        <v>256</v>
      </c>
      <c r="Q112" s="521" t="s">
        <v>240</v>
      </c>
      <c r="R112" s="605"/>
      <c r="S112" s="363" t="s">
        <v>262</v>
      </c>
      <c r="AE112" s="521" t="s">
        <v>240</v>
      </c>
      <c r="AF112" s="605"/>
      <c r="AG112" s="363" t="s">
        <v>256</v>
      </c>
    </row>
    <row r="113" spans="2:33" x14ac:dyDescent="0.2">
      <c r="B113" s="140" t="s">
        <v>241</v>
      </c>
      <c r="C113" s="141" t="s">
        <v>242</v>
      </c>
      <c r="I113" s="522" t="s">
        <v>241</v>
      </c>
      <c r="J113" s="606"/>
      <c r="K113" s="141" t="s">
        <v>242</v>
      </c>
      <c r="Q113" s="522" t="s">
        <v>241</v>
      </c>
      <c r="R113" s="606"/>
      <c r="S113" s="141" t="s">
        <v>242</v>
      </c>
      <c r="AE113" s="522" t="s">
        <v>241</v>
      </c>
      <c r="AF113" s="606"/>
      <c r="AG113" s="141" t="s">
        <v>266</v>
      </c>
    </row>
    <row r="114" spans="2:33" x14ac:dyDescent="0.2">
      <c r="B114" s="213"/>
    </row>
    <row r="115" spans="2:33" x14ac:dyDescent="0.2">
      <c r="B115" s="213"/>
    </row>
    <row r="117" spans="2:33" ht="18.75" x14ac:dyDescent="0.3">
      <c r="B117" s="3" t="s">
        <v>411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</row>
    <row r="119" spans="2:33" x14ac:dyDescent="0.2">
      <c r="B119" s="59" t="s">
        <v>159</v>
      </c>
      <c r="C119" s="350" t="str" cm="1">
        <f t="array" ref="C119">_xll.d.TestUtils_And(L124:O158)</f>
        <v>Ok</v>
      </c>
    </row>
    <row r="121" spans="2:33" ht="15.75" x14ac:dyDescent="0.25">
      <c r="B121" s="4" t="s">
        <v>109</v>
      </c>
      <c r="C121" s="357"/>
      <c r="D121" s="357"/>
      <c r="E121" s="357"/>
      <c r="F121" s="357"/>
      <c r="G121" s="357"/>
      <c r="H121" s="357"/>
      <c r="I121" s="357"/>
      <c r="J121" s="357"/>
      <c r="K121" s="357"/>
      <c r="L121" s="357"/>
      <c r="M121" s="357"/>
      <c r="N121" s="357"/>
      <c r="O121" s="357"/>
    </row>
    <row r="123" spans="2:33" x14ac:dyDescent="0.2">
      <c r="B123" s="134" t="s">
        <v>133</v>
      </c>
      <c r="C123" s="206"/>
      <c r="D123" s="206"/>
      <c r="E123" s="135"/>
      <c r="G123" s="134" t="s">
        <v>253</v>
      </c>
      <c r="H123" s="206"/>
      <c r="I123" s="206"/>
      <c r="J123" s="135"/>
      <c r="L123" s="134" t="s">
        <v>212</v>
      </c>
      <c r="M123" s="206"/>
      <c r="N123" s="206"/>
      <c r="O123" s="135"/>
    </row>
    <row r="124" spans="2:33" x14ac:dyDescent="0.2">
      <c r="B124" s="132" t="str" cm="1">
        <f t="array" ref="B124:E158">_xll.d.Dates_GetListOfCalendars()</f>
        <v>Variant 1</v>
      </c>
      <c r="C124" s="318" t="str">
        <v>Variant 2</v>
      </c>
      <c r="D124" s="318" t="str">
        <v>Variant 3</v>
      </c>
      <c r="E124" s="133" t="str">
        <v>Variant 4</v>
      </c>
      <c r="G124" s="132" t="s">
        <v>269</v>
      </c>
      <c r="H124" s="318" t="s">
        <v>270</v>
      </c>
      <c r="I124" s="318" t="s">
        <v>279</v>
      </c>
      <c r="J124" s="133" t="s">
        <v>280</v>
      </c>
      <c r="L124" s="350" t="str" cm="1">
        <f t="array" ref="L124">_xll.d.TestUtils_Equal(B124,G124)</f>
        <v>Ok</v>
      </c>
      <c r="M124" s="350" t="str" cm="1">
        <f t="array" ref="M124">_xll.d.TestUtils_Equal(C124,H124)</f>
        <v>Ok</v>
      </c>
      <c r="N124" s="350" t="str" cm="1">
        <f t="array" ref="N124">_xll.d.TestUtils_Equal(D124,I124)</f>
        <v>Ok</v>
      </c>
      <c r="O124" s="350" t="str" cm="1">
        <f t="array" ref="O124">_xll.d.TestUtils_Equal(E124,J124)</f>
        <v>Ok</v>
      </c>
    </row>
    <row r="125" spans="2:33" x14ac:dyDescent="0.2">
      <c r="B125" s="136" t="str">
        <v>ARS</v>
      </c>
      <c r="C125" s="370" t="str">
        <v>Argentina</v>
      </c>
      <c r="D125" s="370" t="str">
        <v/>
      </c>
      <c r="E125" s="137" t="str">
        <v/>
      </c>
      <c r="G125" s="136" t="s">
        <v>291</v>
      </c>
      <c r="H125" s="370" t="s">
        <v>292</v>
      </c>
      <c r="I125" s="370" t="s">
        <v>283</v>
      </c>
      <c r="J125" s="137" t="s">
        <v>283</v>
      </c>
      <c r="L125" s="350" t="str" cm="1">
        <f t="array" ref="L125">_xll.d.TestUtils_Equal(B125,G125)</f>
        <v>Ok</v>
      </c>
      <c r="M125" s="350" t="str" cm="1">
        <f t="array" ref="M125">_xll.d.TestUtils_Equal(C125,H125)</f>
        <v>Ok</v>
      </c>
      <c r="N125" s="350" t="str" cm="1">
        <f t="array" ref="N125">_xll.d.TestUtils_Equal(D125,I125)</f>
        <v>Ok</v>
      </c>
      <c r="O125" s="350" t="str" cm="1">
        <f t="array" ref="O125">_xll.d.TestUtils_Equal(E125,J125)</f>
        <v>Ok</v>
      </c>
    </row>
    <row r="126" spans="2:33" x14ac:dyDescent="0.2">
      <c r="B126" s="138" t="str">
        <v>AUD</v>
      </c>
      <c r="C126" s="306" t="str">
        <v>Australia</v>
      </c>
      <c r="D126" s="306" t="str">
        <v/>
      </c>
      <c r="E126" s="139" t="str">
        <v/>
      </c>
      <c r="G126" s="138" t="s">
        <v>293</v>
      </c>
      <c r="H126" s="306" t="s">
        <v>294</v>
      </c>
      <c r="I126" s="306" t="s">
        <v>283</v>
      </c>
      <c r="J126" s="139" t="s">
        <v>283</v>
      </c>
      <c r="L126" s="350" t="str" cm="1">
        <f t="array" ref="L126">_xll.d.TestUtils_Equal(B126,G126)</f>
        <v>Ok</v>
      </c>
      <c r="M126" s="350" t="str" cm="1">
        <f t="array" ref="M126">_xll.d.TestUtils_Equal(C126,H126)</f>
        <v>Ok</v>
      </c>
      <c r="N126" s="350" t="str" cm="1">
        <f t="array" ref="N126">_xll.d.TestUtils_Equal(D126,I126)</f>
        <v>Ok</v>
      </c>
      <c r="O126" s="350" t="str" cm="1">
        <f t="array" ref="O126">_xll.d.TestUtils_Equal(E126,J126)</f>
        <v>Ok</v>
      </c>
    </row>
    <row r="127" spans="2:33" x14ac:dyDescent="0.2">
      <c r="B127" s="138" t="str">
        <v>BWP</v>
      </c>
      <c r="C127" s="306" t="str">
        <v>Botswana</v>
      </c>
      <c r="D127" s="306" t="str">
        <v/>
      </c>
      <c r="E127" s="139" t="str">
        <v/>
      </c>
      <c r="G127" s="138" t="s">
        <v>295</v>
      </c>
      <c r="H127" s="306" t="s">
        <v>296</v>
      </c>
      <c r="I127" s="306" t="s">
        <v>283</v>
      </c>
      <c r="J127" s="139" t="s">
        <v>283</v>
      </c>
      <c r="L127" s="350" t="str" cm="1">
        <f t="array" ref="L127">_xll.d.TestUtils_Equal(B127,G127)</f>
        <v>Ok</v>
      </c>
      <c r="M127" s="350" t="str" cm="1">
        <f t="array" ref="M127">_xll.d.TestUtils_Equal(C127,H127)</f>
        <v>Ok</v>
      </c>
      <c r="N127" s="350" t="str" cm="1">
        <f t="array" ref="N127">_xll.d.TestUtils_Equal(D127,I127)</f>
        <v>Ok</v>
      </c>
      <c r="O127" s="350" t="str" cm="1">
        <f t="array" ref="O127">_xll.d.TestUtils_Equal(E127,J127)</f>
        <v>Ok</v>
      </c>
    </row>
    <row r="128" spans="2:33" x14ac:dyDescent="0.2">
      <c r="B128" s="138" t="str">
        <v>BRL</v>
      </c>
      <c r="C128" s="306" t="str">
        <v>Brazil</v>
      </c>
      <c r="D128" s="306" t="str">
        <v/>
      </c>
      <c r="E128" s="139" t="str">
        <v/>
      </c>
      <c r="G128" s="138" t="s">
        <v>297</v>
      </c>
      <c r="H128" s="306" t="s">
        <v>298</v>
      </c>
      <c r="I128" s="306" t="s">
        <v>283</v>
      </c>
      <c r="J128" s="139" t="s">
        <v>283</v>
      </c>
      <c r="L128" s="350" t="str" cm="1">
        <f t="array" ref="L128">_xll.d.TestUtils_Equal(B128,G128)</f>
        <v>Ok</v>
      </c>
      <c r="M128" s="350" t="str" cm="1">
        <f t="array" ref="M128">_xll.d.TestUtils_Equal(C128,H128)</f>
        <v>Ok</v>
      </c>
      <c r="N128" s="350" t="str" cm="1">
        <f t="array" ref="N128">_xll.d.TestUtils_Equal(D128,I128)</f>
        <v>Ok</v>
      </c>
      <c r="O128" s="350" t="str" cm="1">
        <f t="array" ref="O128">_xll.d.TestUtils_Equal(E128,J128)</f>
        <v>Ok</v>
      </c>
    </row>
    <row r="129" spans="2:15" x14ac:dyDescent="0.2">
      <c r="B129" s="138" t="str">
        <v>CAD</v>
      </c>
      <c r="C129" s="306" t="str">
        <v>Canada</v>
      </c>
      <c r="D129" s="306" t="str">
        <v/>
      </c>
      <c r="E129" s="139" t="str">
        <v/>
      </c>
      <c r="G129" s="138" t="s">
        <v>299</v>
      </c>
      <c r="H129" s="306" t="s">
        <v>300</v>
      </c>
      <c r="I129" s="306" t="s">
        <v>283</v>
      </c>
      <c r="J129" s="139" t="s">
        <v>283</v>
      </c>
      <c r="L129" s="350" t="str" cm="1">
        <f t="array" ref="L129">_xll.d.TestUtils_Equal(B129,G129)</f>
        <v>Ok</v>
      </c>
      <c r="M129" s="350" t="str" cm="1">
        <f t="array" ref="M129">_xll.d.TestUtils_Equal(C129,H129)</f>
        <v>Ok</v>
      </c>
      <c r="N129" s="350" t="str" cm="1">
        <f t="array" ref="N129">_xll.d.TestUtils_Equal(D129,I129)</f>
        <v>Ok</v>
      </c>
      <c r="O129" s="350" t="str" cm="1">
        <f t="array" ref="O129">_xll.d.TestUtils_Equal(E129,J129)</f>
        <v>Ok</v>
      </c>
    </row>
    <row r="130" spans="2:15" x14ac:dyDescent="0.2">
      <c r="B130" s="138" t="str">
        <v>CHF</v>
      </c>
      <c r="C130" s="306" t="str">
        <v>Switzerland</v>
      </c>
      <c r="D130" s="306" t="str">
        <v/>
      </c>
      <c r="E130" s="139" t="str">
        <v/>
      </c>
      <c r="G130" s="138" t="s">
        <v>301</v>
      </c>
      <c r="H130" s="306" t="s">
        <v>302</v>
      </c>
      <c r="I130" s="306" t="s">
        <v>283</v>
      </c>
      <c r="J130" s="139" t="s">
        <v>283</v>
      </c>
      <c r="L130" s="350" t="str" cm="1">
        <f t="array" ref="L130">_xll.d.TestUtils_Equal(B130,G130)</f>
        <v>Ok</v>
      </c>
      <c r="M130" s="350" t="str" cm="1">
        <f t="array" ref="M130">_xll.d.TestUtils_Equal(C130,H130)</f>
        <v>Ok</v>
      </c>
      <c r="N130" s="350" t="str" cm="1">
        <f t="array" ref="N130">_xll.d.TestUtils_Equal(D130,I130)</f>
        <v>Ok</v>
      </c>
      <c r="O130" s="350" t="str" cm="1">
        <f t="array" ref="O130">_xll.d.TestUtils_Equal(E130,J130)</f>
        <v>Ok</v>
      </c>
    </row>
    <row r="131" spans="2:15" x14ac:dyDescent="0.2">
      <c r="B131" s="138" t="str">
        <v>CNH</v>
      </c>
      <c r="C131" s="306" t="str">
        <v>China</v>
      </c>
      <c r="D131" s="306" t="str">
        <v/>
      </c>
      <c r="E131" s="139" t="str">
        <v/>
      </c>
      <c r="G131" s="138" t="s">
        <v>303</v>
      </c>
      <c r="H131" s="306" t="s">
        <v>304</v>
      </c>
      <c r="I131" s="306" t="s">
        <v>283</v>
      </c>
      <c r="J131" s="139" t="s">
        <v>283</v>
      </c>
      <c r="L131" s="350" t="str" cm="1">
        <f t="array" ref="L131">_xll.d.TestUtils_Equal(B131,G131)</f>
        <v>Ok</v>
      </c>
      <c r="M131" s="350" t="str" cm="1">
        <f t="array" ref="M131">_xll.d.TestUtils_Equal(C131,H131)</f>
        <v>Ok</v>
      </c>
      <c r="N131" s="350" t="str" cm="1">
        <f t="array" ref="N131">_xll.d.TestUtils_Equal(D131,I131)</f>
        <v>Ok</v>
      </c>
      <c r="O131" s="350" t="str" cm="1">
        <f t="array" ref="O131">_xll.d.TestUtils_Equal(E131,J131)</f>
        <v>Ok</v>
      </c>
    </row>
    <row r="132" spans="2:15" x14ac:dyDescent="0.2">
      <c r="B132" s="138" t="str">
        <v>CZK</v>
      </c>
      <c r="C132" s="306" t="str">
        <v>Czech Republic</v>
      </c>
      <c r="D132" s="306" t="str">
        <v/>
      </c>
      <c r="E132" s="139" t="str">
        <v/>
      </c>
      <c r="G132" s="138" t="s">
        <v>305</v>
      </c>
      <c r="H132" s="306" t="s">
        <v>306</v>
      </c>
      <c r="I132" s="306" t="s">
        <v>283</v>
      </c>
      <c r="J132" s="139" t="s">
        <v>283</v>
      </c>
      <c r="L132" s="350" t="str" cm="1">
        <f t="array" ref="L132">_xll.d.TestUtils_Equal(B132,G132)</f>
        <v>Ok</v>
      </c>
      <c r="M132" s="350" t="str" cm="1">
        <f t="array" ref="M132">_xll.d.TestUtils_Equal(C132,H132)</f>
        <v>Ok</v>
      </c>
      <c r="N132" s="350" t="str" cm="1">
        <f t="array" ref="N132">_xll.d.TestUtils_Equal(D132,I132)</f>
        <v>Ok</v>
      </c>
      <c r="O132" s="350" t="str" cm="1">
        <f t="array" ref="O132">_xll.d.TestUtils_Equal(E132,J132)</f>
        <v>Ok</v>
      </c>
    </row>
    <row r="133" spans="2:15" x14ac:dyDescent="0.2">
      <c r="B133" s="138" t="str">
        <v>DKK</v>
      </c>
      <c r="C133" s="306" t="str">
        <v>Denmark</v>
      </c>
      <c r="D133" s="306" t="str">
        <v/>
      </c>
      <c r="E133" s="139" t="str">
        <v/>
      </c>
      <c r="G133" s="138" t="s">
        <v>307</v>
      </c>
      <c r="H133" s="306" t="s">
        <v>308</v>
      </c>
      <c r="I133" s="306" t="s">
        <v>283</v>
      </c>
      <c r="J133" s="139" t="s">
        <v>283</v>
      </c>
      <c r="L133" s="350" t="str" cm="1">
        <f t="array" ref="L133">_xll.d.TestUtils_Equal(B133,G133)</f>
        <v>Ok</v>
      </c>
      <c r="M133" s="350" t="str" cm="1">
        <f t="array" ref="M133">_xll.d.TestUtils_Equal(C133,H133)</f>
        <v>Ok</v>
      </c>
      <c r="N133" s="350" t="str" cm="1">
        <f t="array" ref="N133">_xll.d.TestUtils_Equal(D133,I133)</f>
        <v>Ok</v>
      </c>
      <c r="O133" s="350" t="str" cm="1">
        <f t="array" ref="O133">_xll.d.TestUtils_Equal(E133,J133)</f>
        <v>Ok</v>
      </c>
    </row>
    <row r="134" spans="2:15" x14ac:dyDescent="0.2">
      <c r="B134" s="138" t="str">
        <v>EUR</v>
      </c>
      <c r="C134" s="306" t="str">
        <v>Euro</v>
      </c>
      <c r="D134" s="306" t="str">
        <v/>
      </c>
      <c r="E134" s="139" t="str">
        <v/>
      </c>
      <c r="G134" s="138" t="s">
        <v>309</v>
      </c>
      <c r="H134" s="306" t="s">
        <v>310</v>
      </c>
      <c r="I134" s="306" t="s">
        <v>283</v>
      </c>
      <c r="J134" s="139" t="s">
        <v>283</v>
      </c>
      <c r="L134" s="350" t="str" cm="1">
        <f t="array" ref="L134">_xll.d.TestUtils_Equal(B134,G134)</f>
        <v>Ok</v>
      </c>
      <c r="M134" s="350" t="str" cm="1">
        <f t="array" ref="M134">_xll.d.TestUtils_Equal(C134,H134)</f>
        <v>Ok</v>
      </c>
      <c r="N134" s="350" t="str" cm="1">
        <f t="array" ref="N134">_xll.d.TestUtils_Equal(D134,I134)</f>
        <v>Ok</v>
      </c>
      <c r="O134" s="350" t="str" cm="1">
        <f t="array" ref="O134">_xll.d.TestUtils_Equal(E134,J134)</f>
        <v>Ok</v>
      </c>
    </row>
    <row r="135" spans="2:15" x14ac:dyDescent="0.2">
      <c r="B135" s="138" t="str">
        <v>GBP</v>
      </c>
      <c r="C135" s="306" t="str">
        <v>Great Britain</v>
      </c>
      <c r="D135" s="306" t="str">
        <v/>
      </c>
      <c r="E135" s="139" t="str">
        <v/>
      </c>
      <c r="G135" s="138" t="s">
        <v>311</v>
      </c>
      <c r="H135" s="306" t="s">
        <v>312</v>
      </c>
      <c r="I135" s="306" t="s">
        <v>283</v>
      </c>
      <c r="J135" s="139" t="s">
        <v>283</v>
      </c>
      <c r="L135" s="350" t="str" cm="1">
        <f t="array" ref="L135">_xll.d.TestUtils_Equal(B135,G135)</f>
        <v>Ok</v>
      </c>
      <c r="M135" s="350" t="str" cm="1">
        <f t="array" ref="M135">_xll.d.TestUtils_Equal(C135,H135)</f>
        <v>Ok</v>
      </c>
      <c r="N135" s="350" t="str" cm="1">
        <f t="array" ref="N135">_xll.d.TestUtils_Equal(D135,I135)</f>
        <v>Ok</v>
      </c>
      <c r="O135" s="350" t="str" cm="1">
        <f t="array" ref="O135">_xll.d.TestUtils_Equal(E135,J135)</f>
        <v>Ok</v>
      </c>
    </row>
    <row r="136" spans="2:15" x14ac:dyDescent="0.2">
      <c r="B136" s="138" t="str">
        <v>Germany</v>
      </c>
      <c r="C136" s="306" t="str">
        <v/>
      </c>
      <c r="D136" s="306" t="str">
        <v/>
      </c>
      <c r="E136" s="139" t="str">
        <v/>
      </c>
      <c r="G136" s="138" t="s">
        <v>313</v>
      </c>
      <c r="H136" s="306" t="s">
        <v>283</v>
      </c>
      <c r="I136" s="306" t="s">
        <v>283</v>
      </c>
      <c r="J136" s="139" t="s">
        <v>283</v>
      </c>
      <c r="L136" s="350" t="str" cm="1">
        <f t="array" ref="L136">_xll.d.TestUtils_Equal(B136,G136)</f>
        <v>Ok</v>
      </c>
      <c r="M136" s="350" t="str" cm="1">
        <f t="array" ref="M136">_xll.d.TestUtils_Equal(C136,H136)</f>
        <v>Ok</v>
      </c>
      <c r="N136" s="350" t="str" cm="1">
        <f t="array" ref="N136">_xll.d.TestUtils_Equal(D136,I136)</f>
        <v>Ok</v>
      </c>
      <c r="O136" s="350" t="str" cm="1">
        <f t="array" ref="O136">_xll.d.TestUtils_Equal(E136,J136)</f>
        <v>Ok</v>
      </c>
    </row>
    <row r="137" spans="2:15" x14ac:dyDescent="0.2">
      <c r="B137" s="138" t="str">
        <v>HUF</v>
      </c>
      <c r="C137" s="306" t="str">
        <v>Hungary</v>
      </c>
      <c r="D137" s="306" t="str">
        <v/>
      </c>
      <c r="E137" s="139" t="str">
        <v/>
      </c>
      <c r="G137" s="138" t="s">
        <v>314</v>
      </c>
      <c r="H137" s="306" t="s">
        <v>315</v>
      </c>
      <c r="I137" s="306" t="s">
        <v>283</v>
      </c>
      <c r="J137" s="139" t="s">
        <v>283</v>
      </c>
      <c r="L137" s="350" t="str" cm="1">
        <f t="array" ref="L137">_xll.d.TestUtils_Equal(B137,G137)</f>
        <v>Ok</v>
      </c>
      <c r="M137" s="350" t="str" cm="1">
        <f t="array" ref="M137">_xll.d.TestUtils_Equal(C137,H137)</f>
        <v>Ok</v>
      </c>
      <c r="N137" s="350" t="str" cm="1">
        <f t="array" ref="N137">_xll.d.TestUtils_Equal(D137,I137)</f>
        <v>Ok</v>
      </c>
      <c r="O137" s="350" t="str" cm="1">
        <f t="array" ref="O137">_xll.d.TestUtils_Equal(E137,J137)</f>
        <v>Ok</v>
      </c>
    </row>
    <row r="138" spans="2:15" x14ac:dyDescent="0.2">
      <c r="B138" s="138" t="str">
        <v>INR</v>
      </c>
      <c r="C138" s="306" t="str">
        <v>India</v>
      </c>
      <c r="D138" s="306" t="str">
        <v/>
      </c>
      <c r="E138" s="139" t="str">
        <v/>
      </c>
      <c r="G138" s="138" t="s">
        <v>316</v>
      </c>
      <c r="H138" s="306" t="s">
        <v>317</v>
      </c>
      <c r="I138" s="306" t="s">
        <v>283</v>
      </c>
      <c r="J138" s="139" t="s">
        <v>283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15" x14ac:dyDescent="0.2">
      <c r="B139" s="138" t="str">
        <v>ILS</v>
      </c>
      <c r="C139" s="306" t="str">
        <v>Israel</v>
      </c>
      <c r="D139" s="306" t="str">
        <v/>
      </c>
      <c r="E139" s="139" t="str">
        <v/>
      </c>
      <c r="G139" s="138" t="s">
        <v>318</v>
      </c>
      <c r="H139" s="306" t="s">
        <v>319</v>
      </c>
      <c r="I139" s="306" t="s">
        <v>283</v>
      </c>
      <c r="J139" s="139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15" x14ac:dyDescent="0.2">
      <c r="B140" s="138" t="str">
        <v>Italy</v>
      </c>
      <c r="C140" s="306" t="str">
        <v/>
      </c>
      <c r="D140" s="306" t="str">
        <v/>
      </c>
      <c r="E140" s="139" t="str">
        <v/>
      </c>
      <c r="G140" s="138" t="s">
        <v>320</v>
      </c>
      <c r="H140" s="306" t="s">
        <v>283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15" x14ac:dyDescent="0.2">
      <c r="B141" s="138" t="str">
        <v>JPY</v>
      </c>
      <c r="C141" s="306" t="str">
        <v>Japan</v>
      </c>
      <c r="D141" s="306" t="str">
        <v/>
      </c>
      <c r="E141" s="139" t="str">
        <v/>
      </c>
      <c r="G141" s="138" t="s">
        <v>321</v>
      </c>
      <c r="H141" s="306" t="s">
        <v>322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15" x14ac:dyDescent="0.2">
      <c r="B142" s="138" t="str">
        <v>KRW</v>
      </c>
      <c r="C142" s="306" t="str">
        <v>South Korea</v>
      </c>
      <c r="D142" s="306" t="str">
        <v/>
      </c>
      <c r="E142" s="139" t="str">
        <v/>
      </c>
      <c r="G142" s="138" t="s">
        <v>323</v>
      </c>
      <c r="H142" s="306" t="s">
        <v>324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15" x14ac:dyDescent="0.2">
      <c r="B143" s="138" t="str">
        <v>MXN</v>
      </c>
      <c r="C143" s="306" t="str">
        <v>Mexico</v>
      </c>
      <c r="D143" s="306" t="str">
        <v/>
      </c>
      <c r="E143" s="139" t="str">
        <v/>
      </c>
      <c r="G143" s="138" t="s">
        <v>325</v>
      </c>
      <c r="H143" s="306" t="s">
        <v>326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15" x14ac:dyDescent="0.2">
      <c r="B144" s="138" t="str">
        <v>NOK</v>
      </c>
      <c r="C144" s="306" t="str">
        <v>Norway</v>
      </c>
      <c r="D144" s="306" t="str">
        <v/>
      </c>
      <c r="E144" s="139" t="str">
        <v/>
      </c>
      <c r="G144" s="138" t="s">
        <v>327</v>
      </c>
      <c r="H144" s="306" t="s">
        <v>328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NZD</v>
      </c>
      <c r="C145" s="306" t="str">
        <v>New Zealand</v>
      </c>
      <c r="D145" s="306" t="str">
        <v/>
      </c>
      <c r="E145" s="139" t="str">
        <v/>
      </c>
      <c r="G145" s="138" t="s">
        <v>329</v>
      </c>
      <c r="H145" s="306" t="s">
        <v>330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PLN</v>
      </c>
      <c r="C146" s="306" t="str">
        <v>Poland</v>
      </c>
      <c r="D146" s="306" t="str">
        <v/>
      </c>
      <c r="E146" s="139" t="str">
        <v/>
      </c>
      <c r="G146" s="138" t="s">
        <v>331</v>
      </c>
      <c r="H146" s="306" t="s">
        <v>332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RON</v>
      </c>
      <c r="C147" s="306" t="str">
        <v>Romania</v>
      </c>
      <c r="D147" s="306" t="str">
        <v/>
      </c>
      <c r="E147" s="139" t="str">
        <v/>
      </c>
      <c r="G147" s="138" t="s">
        <v>333</v>
      </c>
      <c r="H147" s="306" t="s">
        <v>334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RUB</v>
      </c>
      <c r="C148" s="306" t="str">
        <v>Russia</v>
      </c>
      <c r="D148" s="306" t="str">
        <v/>
      </c>
      <c r="E148" s="139" t="str">
        <v/>
      </c>
      <c r="G148" s="138" t="s">
        <v>335</v>
      </c>
      <c r="H148" s="306" t="s">
        <v>336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SGD</v>
      </c>
      <c r="C149" s="306" t="str">
        <v>Singapore</v>
      </c>
      <c r="D149" s="306" t="str">
        <v/>
      </c>
      <c r="E149" s="139" t="str">
        <v/>
      </c>
      <c r="G149" s="138" t="s">
        <v>337</v>
      </c>
      <c r="H149" s="306" t="s">
        <v>338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SKK</v>
      </c>
      <c r="C150" s="306" t="str">
        <v>Sweden</v>
      </c>
      <c r="D150" s="306" t="str">
        <v/>
      </c>
      <c r="E150" s="139" t="str">
        <v/>
      </c>
      <c r="G150" s="138" t="s">
        <v>339</v>
      </c>
      <c r="H150" s="306" t="s">
        <v>340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SLOVAKIA</v>
      </c>
      <c r="C151" s="306" t="str">
        <v/>
      </c>
      <c r="D151" s="306" t="str">
        <v/>
      </c>
      <c r="E151" s="139" t="str">
        <v/>
      </c>
      <c r="G151" s="138" t="s">
        <v>341</v>
      </c>
      <c r="H151" s="306" t="s">
        <v>283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THB</v>
      </c>
      <c r="C152" s="306" t="str">
        <v>Thailand</v>
      </c>
      <c r="D152" s="306" t="str">
        <v/>
      </c>
      <c r="E152" s="139" t="str">
        <v/>
      </c>
      <c r="G152" s="138" t="s">
        <v>342</v>
      </c>
      <c r="H152" s="306" t="s">
        <v>343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TRY</v>
      </c>
      <c r="C153" s="306" t="str">
        <v>Turkey</v>
      </c>
      <c r="D153" s="306" t="str">
        <v/>
      </c>
      <c r="E153" s="139" t="str">
        <v/>
      </c>
      <c r="G153" s="138" t="s">
        <v>344</v>
      </c>
      <c r="H153" s="306" t="s">
        <v>345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TWD</v>
      </c>
      <c r="C154" s="306" t="str">
        <v>Taiwan</v>
      </c>
      <c r="D154" s="306" t="str">
        <v/>
      </c>
      <c r="E154" s="139" t="str">
        <v/>
      </c>
      <c r="G154" s="138" t="s">
        <v>346</v>
      </c>
      <c r="H154" s="306" t="s">
        <v>347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UAH</v>
      </c>
      <c r="C155" s="306" t="str">
        <v>Ukraine</v>
      </c>
      <c r="D155" s="306" t="str">
        <v/>
      </c>
      <c r="E155" s="139" t="str">
        <v/>
      </c>
      <c r="G155" s="138" t="s">
        <v>348</v>
      </c>
      <c r="H155" s="306" t="s">
        <v>349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USD</v>
      </c>
      <c r="C156" s="306" t="str">
        <v>USA</v>
      </c>
      <c r="D156" s="306" t="str">
        <v>United States</v>
      </c>
      <c r="E156" s="139" t="str">
        <v>United States of America</v>
      </c>
      <c r="G156" s="138" t="s">
        <v>350</v>
      </c>
      <c r="H156" s="306" t="s">
        <v>351</v>
      </c>
      <c r="I156" s="306" t="s">
        <v>352</v>
      </c>
      <c r="J156" s="139" t="s">
        <v>353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WEEKENDSONLY</v>
      </c>
      <c r="C157" s="306" t="str">
        <v/>
      </c>
      <c r="D157" s="306" t="str">
        <v/>
      </c>
      <c r="E157" s="139" t="str">
        <v/>
      </c>
      <c r="G157" s="138" t="s">
        <v>505</v>
      </c>
      <c r="H157" s="306" t="s">
        <v>283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40" t="str">
        <v>ZAR</v>
      </c>
      <c r="C158" s="205" t="str">
        <v>South Africa</v>
      </c>
      <c r="D158" s="205" t="str">
        <v/>
      </c>
      <c r="E158" s="141" t="str">
        <v/>
      </c>
      <c r="G158" s="140" t="s">
        <v>70</v>
      </c>
      <c r="H158" s="205" t="s">
        <v>354</v>
      </c>
      <c r="I158" s="205" t="s">
        <v>283</v>
      </c>
      <c r="J158" s="141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62" spans="2:27" ht="18.75" x14ac:dyDescent="0.3">
      <c r="B162" s="3" t="s">
        <v>412</v>
      </c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</row>
    <row r="164" spans="2:27" x14ac:dyDescent="0.2">
      <c r="B164" s="59" t="s">
        <v>159</v>
      </c>
      <c r="C164" s="350" t="str" cm="1">
        <f t="array" ref="C164">_xll.d.TestUtils_And(G169:G177,N169:N186,AA169)</f>
        <v>Ok</v>
      </c>
    </row>
    <row r="166" spans="2:27" ht="15.75" x14ac:dyDescent="0.25">
      <c r="B166" s="4" t="s">
        <v>259</v>
      </c>
      <c r="C166" s="357"/>
      <c r="D166" s="357"/>
      <c r="E166" s="357"/>
      <c r="F166" s="357"/>
      <c r="G166" s="357"/>
      <c r="I166" s="4" t="s">
        <v>260</v>
      </c>
      <c r="J166" s="357"/>
      <c r="K166" s="357"/>
      <c r="L166" s="357"/>
      <c r="M166" s="357"/>
      <c r="N166" s="357"/>
      <c r="P166" s="4" t="s">
        <v>264</v>
      </c>
      <c r="Q166" s="357"/>
      <c r="R166" s="357"/>
      <c r="S166" s="357"/>
      <c r="T166" s="357"/>
      <c r="U166" s="357"/>
      <c r="V166" s="357"/>
      <c r="W166" s="357"/>
      <c r="X166" s="357"/>
      <c r="Y166" s="357"/>
      <c r="Z166" s="357"/>
      <c r="AA166" s="357"/>
    </row>
    <row r="167" spans="2:27" x14ac:dyDescent="0.2">
      <c r="G167" s="349"/>
      <c r="N167" s="349"/>
    </row>
    <row r="168" spans="2:27" x14ac:dyDescent="0.2">
      <c r="B168" s="134" t="s">
        <v>251</v>
      </c>
      <c r="C168" s="135"/>
      <c r="E168" s="12" t="s">
        <v>133</v>
      </c>
      <c r="F168" s="27" t="s">
        <v>253</v>
      </c>
      <c r="G168" s="135" t="s">
        <v>84</v>
      </c>
      <c r="I168" s="134" t="s">
        <v>251</v>
      </c>
      <c r="J168" s="135"/>
      <c r="L168" s="12" t="s">
        <v>133</v>
      </c>
      <c r="M168" s="27" t="s">
        <v>253</v>
      </c>
      <c r="N168" s="135" t="s">
        <v>84</v>
      </c>
      <c r="P168" s="134" t="s">
        <v>251</v>
      </c>
      <c r="Q168" s="135"/>
      <c r="S168" s="12" t="s">
        <v>133</v>
      </c>
      <c r="T168" s="27"/>
      <c r="U168" s="27"/>
      <c r="V168" s="27"/>
      <c r="W168" s="27" t="s">
        <v>253</v>
      </c>
      <c r="X168" s="27"/>
      <c r="Y168" s="27"/>
      <c r="Z168" s="27"/>
      <c r="AA168" s="135" t="s">
        <v>84</v>
      </c>
    </row>
    <row r="169" spans="2:27" x14ac:dyDescent="0.2">
      <c r="B169" s="136" t="s">
        <v>257</v>
      </c>
      <c r="C169" s="351">
        <v>44562</v>
      </c>
      <c r="E169" s="364" cm="1">
        <f t="array" ref="E169:E177">_xll.d.Dates_GetListOfHolidays(C169,C170,C171)</f>
        <v>44641</v>
      </c>
      <c r="F169" s="365">
        <v>44641</v>
      </c>
      <c r="G169" s="137" t="str" cm="1">
        <f t="array" ref="G169">_xll.d.TestUtils_Equal(E169,F169)</f>
        <v>Ok</v>
      </c>
      <c r="I169" s="136" t="s">
        <v>257</v>
      </c>
      <c r="J169" s="351">
        <v>44562</v>
      </c>
      <c r="L169" s="364" cm="1">
        <f t="array" ref="L169:L186">_xll.d.Dates_GetListOfHolidays(J169,J170,J171)</f>
        <v>44578</v>
      </c>
      <c r="M169" s="365">
        <v>44578</v>
      </c>
      <c r="N169" s="137" t="str" cm="1">
        <f t="array" ref="N169">_xll.d.TestUtils_Equal(L169,M169)</f>
        <v>Ok</v>
      </c>
      <c r="P169" s="136" t="s">
        <v>257</v>
      </c>
      <c r="Q169" s="351">
        <v>44562</v>
      </c>
      <c r="S169" s="602" t="str" cm="1">
        <f t="array" ref="S169">_xll.d.Dates_GetListOfHolidays(Q169,Q170,Q171)</f>
        <v>#∂Excel Error: Unsupported calendar: 'WRE'</v>
      </c>
      <c r="T169" s="603"/>
      <c r="U169" s="603"/>
      <c r="V169" s="603"/>
      <c r="W169" s="603" t="s">
        <v>503</v>
      </c>
      <c r="X169" s="603"/>
      <c r="Y169" s="603"/>
      <c r="Z169" s="603"/>
      <c r="AA169" s="360" t="str" cm="1">
        <f t="array" ref="AA169">_xll.d.TestUtils_Equal(S169,W169)</f>
        <v>Ok</v>
      </c>
    </row>
    <row r="170" spans="2:27" x14ac:dyDescent="0.2">
      <c r="B170" s="138" t="s">
        <v>258</v>
      </c>
      <c r="C170" s="363">
        <v>44926</v>
      </c>
      <c r="E170" s="366">
        <v>44666</v>
      </c>
      <c r="F170" s="367">
        <v>44666</v>
      </c>
      <c r="G170" s="139" t="str" cm="1">
        <f t="array" ref="G170">_xll.d.TestUtils_Equal(E170,F170)</f>
        <v>Ok</v>
      </c>
      <c r="I170" s="138" t="s">
        <v>258</v>
      </c>
      <c r="J170" s="363">
        <v>44926</v>
      </c>
      <c r="L170" s="366">
        <v>44613</v>
      </c>
      <c r="M170" s="367">
        <v>44613</v>
      </c>
      <c r="N170" s="139" t="str" cm="1">
        <f t="array" ref="N170">_xll.d.TestUtils_Equal(L170,M170)</f>
        <v>Ok</v>
      </c>
      <c r="P170" s="138" t="s">
        <v>258</v>
      </c>
      <c r="Q170" s="363">
        <v>44926</v>
      </c>
    </row>
    <row r="171" spans="2:27" x14ac:dyDescent="0.2">
      <c r="B171" s="140" t="s">
        <v>240</v>
      </c>
      <c r="C171" s="141" t="s">
        <v>70</v>
      </c>
      <c r="E171" s="366">
        <v>44669</v>
      </c>
      <c r="F171" s="367">
        <v>44669</v>
      </c>
      <c r="G171" s="139" t="str" cm="1">
        <f t="array" ref="G171">_xll.d.TestUtils_Equal(E171,F171)</f>
        <v>Ok</v>
      </c>
      <c r="I171" s="140" t="s">
        <v>240</v>
      </c>
      <c r="J171" s="141" t="s">
        <v>256</v>
      </c>
      <c r="L171" s="366">
        <v>44641</v>
      </c>
      <c r="M171" s="367">
        <v>44641</v>
      </c>
      <c r="N171" s="139" t="str" cm="1">
        <f t="array" ref="N171">_xll.d.TestUtils_Equal(L171,M171)</f>
        <v>Ok</v>
      </c>
      <c r="P171" s="140" t="s">
        <v>240</v>
      </c>
      <c r="Q171" s="141" t="s">
        <v>262</v>
      </c>
    </row>
    <row r="172" spans="2:27" x14ac:dyDescent="0.2">
      <c r="E172" s="366">
        <v>44678</v>
      </c>
      <c r="F172" s="367">
        <v>44678</v>
      </c>
      <c r="G172" s="139" t="str" cm="1">
        <f t="array" ref="G172">_xll.d.TestUtils_Equal(E172,F172)</f>
        <v>Ok</v>
      </c>
      <c r="L172" s="366">
        <v>44666</v>
      </c>
      <c r="M172" s="367">
        <v>44666</v>
      </c>
      <c r="N172" s="139" t="str" cm="1">
        <f t="array" ref="N172">_xll.d.TestUtils_Equal(L172,M172)</f>
        <v>Ok</v>
      </c>
    </row>
    <row r="173" spans="2:27" x14ac:dyDescent="0.2">
      <c r="E173" s="366">
        <v>44683</v>
      </c>
      <c r="F173" s="367">
        <v>44683</v>
      </c>
      <c r="G173" s="139" t="str" cm="1">
        <f t="array" ref="G173">_xll.d.TestUtils_Equal(E173,F173)</f>
        <v>Ok</v>
      </c>
      <c r="L173" s="366">
        <v>44669</v>
      </c>
      <c r="M173" s="367">
        <v>44669</v>
      </c>
      <c r="N173" s="139" t="str" cm="1">
        <f t="array" ref="N173">_xll.d.TestUtils_Equal(L173,M173)</f>
        <v>Ok</v>
      </c>
    </row>
    <row r="174" spans="2:27" x14ac:dyDescent="0.2">
      <c r="E174" s="366">
        <v>44728</v>
      </c>
      <c r="F174" s="367">
        <v>44728</v>
      </c>
      <c r="G174" s="139" t="str" cm="1">
        <f t="array" ref="G174">_xll.d.TestUtils_Equal(E174,F174)</f>
        <v>Ok</v>
      </c>
      <c r="L174" s="366">
        <v>44678</v>
      </c>
      <c r="M174" s="367">
        <v>44678</v>
      </c>
      <c r="N174" s="139" t="str" cm="1">
        <f t="array" ref="N174">_xll.d.TestUtils_Equal(L174,M174)</f>
        <v>Ok</v>
      </c>
    </row>
    <row r="175" spans="2:27" x14ac:dyDescent="0.2">
      <c r="E175" s="366">
        <v>44782</v>
      </c>
      <c r="F175" s="367">
        <v>44782</v>
      </c>
      <c r="G175" s="139" t="str" cm="1">
        <f t="array" ref="G175">_xll.d.TestUtils_Equal(E175,F175)</f>
        <v>Ok</v>
      </c>
      <c r="L175" s="366">
        <v>44683</v>
      </c>
      <c r="M175" s="367">
        <v>44683</v>
      </c>
      <c r="N175" s="139" t="str" cm="1">
        <f t="array" ref="N175">_xll.d.TestUtils_Equal(L175,M175)</f>
        <v>Ok</v>
      </c>
    </row>
    <row r="176" spans="2:27" x14ac:dyDescent="0.2">
      <c r="E176" s="366">
        <v>44911</v>
      </c>
      <c r="F176" s="367">
        <v>44911</v>
      </c>
      <c r="G176" s="139" t="str" cm="1">
        <f t="array" ref="G176">_xll.d.TestUtils_Equal(E176,F176)</f>
        <v>Ok</v>
      </c>
      <c r="L176" s="366">
        <v>44711</v>
      </c>
      <c r="M176" s="367">
        <v>44711</v>
      </c>
      <c r="N176" s="139" t="str" cm="1">
        <f t="array" ref="N176">_xll.d.TestUtils_Equal(L176,M176)</f>
        <v>Ok</v>
      </c>
    </row>
    <row r="177" spans="2:35" x14ac:dyDescent="0.2">
      <c r="E177" s="368">
        <v>44921</v>
      </c>
      <c r="F177" s="369">
        <v>44921</v>
      </c>
      <c r="G177" s="141" t="str" cm="1">
        <f t="array" ref="G177">_xll.d.TestUtils_Equal(E177,F177)</f>
        <v>Ok</v>
      </c>
      <c r="L177" s="366">
        <v>44728</v>
      </c>
      <c r="M177" s="367">
        <v>44728</v>
      </c>
      <c r="N177" s="139" t="str" cm="1">
        <f t="array" ref="N177">_xll.d.TestUtils_Equal(L177,M177)</f>
        <v>Ok</v>
      </c>
    </row>
    <row r="178" spans="2:35" x14ac:dyDescent="0.2">
      <c r="G178" s="349"/>
      <c r="L178" s="366">
        <v>44732</v>
      </c>
      <c r="M178" s="367">
        <v>44732</v>
      </c>
      <c r="N178" s="139" t="str" cm="1">
        <f t="array" ref="N178">_xll.d.TestUtils_Equal(L178,M178)</f>
        <v>Ok</v>
      </c>
    </row>
    <row r="179" spans="2:35" x14ac:dyDescent="0.2">
      <c r="G179" s="349"/>
      <c r="L179" s="366">
        <v>44746</v>
      </c>
      <c r="M179" s="367">
        <v>44746</v>
      </c>
      <c r="N179" s="139" t="str" cm="1">
        <f t="array" ref="N179">_xll.d.TestUtils_Equal(L179,M179)</f>
        <v>Ok</v>
      </c>
    </row>
    <row r="180" spans="2:35" x14ac:dyDescent="0.2">
      <c r="G180" s="349"/>
      <c r="L180" s="366">
        <v>44782</v>
      </c>
      <c r="M180" s="367">
        <v>44782</v>
      </c>
      <c r="N180" s="139" t="str" cm="1">
        <f t="array" ref="N180">_xll.d.TestUtils_Equal(L180,M180)</f>
        <v>Ok</v>
      </c>
    </row>
    <row r="181" spans="2:35" x14ac:dyDescent="0.2">
      <c r="G181" s="349"/>
      <c r="L181" s="366">
        <v>44809</v>
      </c>
      <c r="M181" s="367">
        <v>44809</v>
      </c>
      <c r="N181" s="139" t="str" cm="1">
        <f t="array" ref="N181">_xll.d.TestUtils_Equal(L181,M181)</f>
        <v>Ok</v>
      </c>
    </row>
    <row r="182" spans="2:35" x14ac:dyDescent="0.2">
      <c r="G182" s="349"/>
      <c r="L182" s="366">
        <v>44844</v>
      </c>
      <c r="M182" s="367">
        <v>44844</v>
      </c>
      <c r="N182" s="139" t="str" cm="1">
        <f t="array" ref="N182">_xll.d.TestUtils_Equal(L182,M182)</f>
        <v>Ok</v>
      </c>
    </row>
    <row r="183" spans="2:35" x14ac:dyDescent="0.2">
      <c r="G183" s="349"/>
      <c r="L183" s="366">
        <v>44876</v>
      </c>
      <c r="M183" s="367">
        <v>44876</v>
      </c>
      <c r="N183" s="139" t="str" cm="1">
        <f t="array" ref="N183">_xll.d.TestUtils_Equal(L183,M183)</f>
        <v>Ok</v>
      </c>
    </row>
    <row r="184" spans="2:35" x14ac:dyDescent="0.2">
      <c r="G184" s="349"/>
      <c r="L184" s="366">
        <v>44889</v>
      </c>
      <c r="M184" s="367">
        <v>44889</v>
      </c>
      <c r="N184" s="139" t="str" cm="1">
        <f t="array" ref="N184">_xll.d.TestUtils_Equal(L184,M184)</f>
        <v>Ok</v>
      </c>
    </row>
    <row r="185" spans="2:35" x14ac:dyDescent="0.2">
      <c r="G185" s="349"/>
      <c r="L185" s="366">
        <v>44911</v>
      </c>
      <c r="M185" s="367">
        <v>44911</v>
      </c>
      <c r="N185" s="139" t="str" cm="1">
        <f t="array" ref="N185">_xll.d.TestUtils_Equal(L185,M185)</f>
        <v>Ok</v>
      </c>
    </row>
    <row r="186" spans="2:35" x14ac:dyDescent="0.2">
      <c r="G186" s="349"/>
      <c r="L186" s="368">
        <v>44921</v>
      </c>
      <c r="M186" s="369">
        <v>44921</v>
      </c>
      <c r="N186" s="141" t="str" cm="1">
        <f t="array" ref="N186">_xll.d.TestUtils_Equal(L186,M186)</f>
        <v>Ok</v>
      </c>
    </row>
    <row r="189" spans="2:35" ht="18.75" x14ac:dyDescent="0.3">
      <c r="B189" s="3" t="s">
        <v>413</v>
      </c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</row>
    <row r="191" spans="2:35" x14ac:dyDescent="0.2">
      <c r="B191" s="59" t="s">
        <v>159</v>
      </c>
      <c r="C191" s="350" t="str" cm="1">
        <f t="array" ref="C191">_xll.d.TestUtils_And(G196:G200,N196:N200,U196:U200)</f>
        <v>Ok</v>
      </c>
    </row>
    <row r="193" spans="2:35" ht="15.75" x14ac:dyDescent="0.25">
      <c r="B193" s="4" t="s">
        <v>359</v>
      </c>
      <c r="C193" s="357"/>
      <c r="D193" s="357"/>
      <c r="E193" s="357"/>
      <c r="F193" s="357"/>
      <c r="G193" s="357"/>
      <c r="I193" s="4" t="s">
        <v>361</v>
      </c>
      <c r="J193" s="357"/>
      <c r="K193" s="357"/>
      <c r="L193" s="357"/>
      <c r="M193" s="357"/>
      <c r="N193" s="357"/>
      <c r="P193" s="4" t="s">
        <v>362</v>
      </c>
      <c r="Q193" s="357"/>
      <c r="R193" s="357"/>
      <c r="S193" s="357"/>
      <c r="T193" s="357"/>
      <c r="U193" s="357"/>
      <c r="W193" s="4" t="s">
        <v>264</v>
      </c>
      <c r="X193" s="4"/>
      <c r="Y193" s="357"/>
      <c r="Z193" s="357"/>
      <c r="AA193" s="357"/>
      <c r="AB193" s="357"/>
      <c r="AC193" s="357"/>
      <c r="AD193" s="357"/>
      <c r="AE193" s="357"/>
      <c r="AF193" s="357"/>
      <c r="AG193" s="357"/>
      <c r="AH193" s="357"/>
      <c r="AI193" s="357"/>
    </row>
    <row r="195" spans="2:35" x14ac:dyDescent="0.2">
      <c r="B195" s="134" t="s">
        <v>251</v>
      </c>
      <c r="C195" s="135"/>
      <c r="E195" s="134" t="s">
        <v>133</v>
      </c>
      <c r="F195" s="135" t="s">
        <v>253</v>
      </c>
      <c r="G195" s="135" t="s">
        <v>84</v>
      </c>
      <c r="I195" s="134" t="s">
        <v>251</v>
      </c>
      <c r="J195" s="135"/>
      <c r="L195" s="134" t="s">
        <v>133</v>
      </c>
      <c r="M195" s="135" t="s">
        <v>253</v>
      </c>
      <c r="N195" s="135" t="s">
        <v>84</v>
      </c>
      <c r="P195" s="134" t="s">
        <v>251</v>
      </c>
      <c r="Q195" s="135"/>
      <c r="S195" s="134" t="s">
        <v>133</v>
      </c>
      <c r="T195" s="135" t="s">
        <v>253</v>
      </c>
      <c r="U195" s="135" t="s">
        <v>84</v>
      </c>
      <c r="W195" s="134" t="s">
        <v>251</v>
      </c>
      <c r="X195" s="206"/>
      <c r="Y195" s="135"/>
      <c r="AA195" s="134" t="s">
        <v>133</v>
      </c>
      <c r="AB195" s="206"/>
      <c r="AC195" s="206"/>
      <c r="AD195" s="206"/>
      <c r="AE195" s="135" t="s">
        <v>253</v>
      </c>
      <c r="AF195" s="135"/>
      <c r="AG195" s="135"/>
      <c r="AH195" s="135"/>
      <c r="AI195" s="135" t="s">
        <v>84</v>
      </c>
    </row>
    <row r="196" spans="2:35" x14ac:dyDescent="0.2">
      <c r="B196" s="136" t="s">
        <v>257</v>
      </c>
      <c r="C196" s="351">
        <v>44743</v>
      </c>
      <c r="E196" s="364">
        <f t="array" ref="E196:E200">_xll.d.Dates_GenerateSchedule(C196,C197,C198,C199,C200,C201)</f>
        <v>44743</v>
      </c>
      <c r="F196" s="351">
        <v>44743</v>
      </c>
      <c r="G196" s="350" t="str" cm="1">
        <f t="array" ref="G196">_xll.d.TestUtils_Equal(E196,F196)</f>
        <v>Ok</v>
      </c>
      <c r="I196" s="136" t="s">
        <v>257</v>
      </c>
      <c r="J196" s="351">
        <v>44743</v>
      </c>
      <c r="L196" s="364">
        <f t="array" ref="L196:L200">_xll.d.Dates_GenerateSchedule(J196,J197,J198,J199,J200,J201)</f>
        <v>44743</v>
      </c>
      <c r="M196" s="351">
        <v>44743</v>
      </c>
      <c r="N196" s="350" t="str" cm="1">
        <f t="array" ref="N196">_xll.d.TestUtils_Equal(L196,M196)</f>
        <v>Ok</v>
      </c>
      <c r="P196" s="136" t="s">
        <v>257</v>
      </c>
      <c r="Q196" s="351">
        <v>44743</v>
      </c>
      <c r="S196" s="364">
        <f t="array" ref="S196:S200">_xll.d.Dates_GenerateSchedule(Q196,Q197,Q198,Q199,Q200,Q201)</f>
        <v>44743</v>
      </c>
      <c r="T196" s="351">
        <v>44743</v>
      </c>
      <c r="U196" s="350" t="str" cm="1">
        <f t="array" ref="U196">_xll.d.TestUtils_Equal(S196,T196)</f>
        <v>Ok</v>
      </c>
      <c r="W196" s="520" t="s">
        <v>257</v>
      </c>
      <c r="X196" s="604"/>
      <c r="Y196" s="351">
        <v>44743</v>
      </c>
      <c r="AA196" s="607" t="str" cm="1">
        <f t="array" ref="AA196">_xll.d.Dates_GenerateSchedule(Y196,Y197,Y198,Y199,Y200,Y201)</f>
        <v>#∂Excel Error: Unsupported calendar: 'WRE'</v>
      </c>
      <c r="AB196" s="608"/>
      <c r="AC196" s="608"/>
      <c r="AD196" s="608"/>
      <c r="AE196" s="609" t="s">
        <v>263</v>
      </c>
      <c r="AF196" s="608"/>
      <c r="AG196" s="608"/>
      <c r="AH196" s="610"/>
      <c r="AI196" s="350" t="str" cm="1">
        <f t="array" ref="AI196">_xll.d.TestUtils_Equal(AA196,AE196)</f>
        <v>Error</v>
      </c>
    </row>
    <row r="197" spans="2:35" x14ac:dyDescent="0.2">
      <c r="B197" s="138" t="s">
        <v>258</v>
      </c>
      <c r="C197" s="363">
        <v>45474</v>
      </c>
      <c r="E197" s="366">
        <v>44837</v>
      </c>
      <c r="F197" s="363">
        <v>44837</v>
      </c>
      <c r="G197" s="350" t="str" cm="1">
        <f t="array" ref="G197">_xll.d.TestUtils_Equal(E197,F197)</f>
        <v>Ok</v>
      </c>
      <c r="I197" s="138" t="s">
        <v>258</v>
      </c>
      <c r="J197" s="363">
        <v>45108</v>
      </c>
      <c r="L197" s="366">
        <v>44837</v>
      </c>
      <c r="M197" s="363">
        <v>44837</v>
      </c>
      <c r="N197" s="350" t="str" cm="1">
        <f t="array" ref="N197">_xll.d.TestUtils_Equal(L197,M197)</f>
        <v>Ok</v>
      </c>
      <c r="P197" s="138" t="s">
        <v>258</v>
      </c>
      <c r="Q197" s="363">
        <v>45108</v>
      </c>
      <c r="S197" s="366">
        <v>44824</v>
      </c>
      <c r="T197" s="363">
        <v>44824</v>
      </c>
      <c r="U197" s="350" t="str" cm="1">
        <f t="array" ref="U197">_xll.d.TestUtils_Equal(S197,T197)</f>
        <v>Ok</v>
      </c>
      <c r="W197" s="521" t="s">
        <v>258</v>
      </c>
      <c r="X197" s="605"/>
      <c r="Y197" s="363">
        <v>45108</v>
      </c>
    </row>
    <row r="198" spans="2:35" x14ac:dyDescent="0.2">
      <c r="B198" s="138" t="s">
        <v>355</v>
      </c>
      <c r="C198" s="139" t="s">
        <v>25</v>
      </c>
      <c r="E198" s="366">
        <v>44929</v>
      </c>
      <c r="F198" s="363">
        <v>44929</v>
      </c>
      <c r="G198" s="350" t="str" cm="1">
        <f t="array" ref="G198">_xll.d.TestUtils_Equal(E198,F198)</f>
        <v>Ok</v>
      </c>
      <c r="I198" s="138" t="s">
        <v>355</v>
      </c>
      <c r="J198" s="139" t="s">
        <v>25</v>
      </c>
      <c r="L198" s="366">
        <v>44929</v>
      </c>
      <c r="M198" s="363">
        <v>44929</v>
      </c>
      <c r="N198" s="350" t="str" cm="1">
        <f t="array" ref="N198">_xll.d.TestUtils_Equal(L198,M198)</f>
        <v>Ok</v>
      </c>
      <c r="P198" s="138" t="s">
        <v>355</v>
      </c>
      <c r="Q198" s="139" t="s">
        <v>25</v>
      </c>
      <c r="S198" s="366">
        <v>44915</v>
      </c>
      <c r="T198" s="363">
        <v>44915</v>
      </c>
      <c r="U198" s="350" t="str" cm="1">
        <f t="array" ref="U198">_xll.d.TestUtils_Equal(S198,T198)</f>
        <v>Ok</v>
      </c>
      <c r="W198" s="521" t="s">
        <v>355</v>
      </c>
      <c r="X198" s="605"/>
      <c r="Y198" s="139" t="s">
        <v>25</v>
      </c>
    </row>
    <row r="199" spans="2:35" x14ac:dyDescent="0.2">
      <c r="B199" s="138" t="s">
        <v>356</v>
      </c>
      <c r="C199" s="139" t="s">
        <v>256</v>
      </c>
      <c r="E199" s="366">
        <v>45019</v>
      </c>
      <c r="F199" s="363">
        <v>45019</v>
      </c>
      <c r="G199" s="350" t="str" cm="1">
        <f t="array" ref="G199">_xll.d.TestUtils_Equal(E199,F199)</f>
        <v>Ok</v>
      </c>
      <c r="I199" s="138" t="s">
        <v>356</v>
      </c>
      <c r="J199" s="139" t="s">
        <v>256</v>
      </c>
      <c r="L199" s="366">
        <v>45019</v>
      </c>
      <c r="M199" s="363">
        <v>45019</v>
      </c>
      <c r="N199" s="350" t="str" cm="1">
        <f t="array" ref="N199">_xll.d.TestUtils_Equal(L199,M199)</f>
        <v>Ok</v>
      </c>
      <c r="P199" s="138" t="s">
        <v>356</v>
      </c>
      <c r="Q199" s="139" t="s">
        <v>256</v>
      </c>
      <c r="S199" s="366">
        <v>45005</v>
      </c>
      <c r="T199" s="363">
        <v>45005</v>
      </c>
      <c r="U199" s="350" t="str" cm="1">
        <f t="array" ref="U199">_xll.d.TestUtils_Equal(S199,T199)</f>
        <v>Ok</v>
      </c>
      <c r="W199" s="521" t="s">
        <v>356</v>
      </c>
      <c r="X199" s="605"/>
      <c r="Y199" s="139" t="s">
        <v>262</v>
      </c>
    </row>
    <row r="200" spans="2:35" x14ac:dyDescent="0.2">
      <c r="B200" s="138" t="s">
        <v>241</v>
      </c>
      <c r="C200" s="139" t="s">
        <v>242</v>
      </c>
      <c r="E200" s="368">
        <v>45110</v>
      </c>
      <c r="F200" s="371">
        <v>45110</v>
      </c>
      <c r="G200" s="350" t="str" cm="1">
        <f t="array" ref="G200">_xll.d.TestUtils_Equal(E200,F200)</f>
        <v>Ok</v>
      </c>
      <c r="I200" s="138" t="s">
        <v>241</v>
      </c>
      <c r="J200" s="139" t="s">
        <v>242</v>
      </c>
      <c r="L200" s="368">
        <v>45110</v>
      </c>
      <c r="M200" s="371">
        <v>45110</v>
      </c>
      <c r="N200" s="350" t="str" cm="1">
        <f t="array" ref="N200">_xll.d.TestUtils_Equal(L200,M200)</f>
        <v>Ok</v>
      </c>
      <c r="P200" s="138" t="s">
        <v>241</v>
      </c>
      <c r="Q200" s="139" t="s">
        <v>242</v>
      </c>
      <c r="S200" s="368">
        <v>45097</v>
      </c>
      <c r="T200" s="371">
        <v>45097</v>
      </c>
      <c r="U200" s="350" t="str" cm="1">
        <f t="array" ref="U200">_xll.d.TestUtils_Equal(S200,T200)</f>
        <v>Ok</v>
      </c>
      <c r="W200" s="521" t="s">
        <v>241</v>
      </c>
      <c r="X200" s="605"/>
      <c r="Y200" s="139" t="s">
        <v>242</v>
      </c>
    </row>
    <row r="201" spans="2:35" x14ac:dyDescent="0.2">
      <c r="B201" s="140" t="s">
        <v>357</v>
      </c>
      <c r="C201" s="141" t="s">
        <v>358</v>
      </c>
      <c r="I201" s="140" t="s">
        <v>357</v>
      </c>
      <c r="J201" s="141" t="s">
        <v>360</v>
      </c>
      <c r="P201" s="140" t="s">
        <v>357</v>
      </c>
      <c r="Q201" s="141" t="s">
        <v>363</v>
      </c>
      <c r="W201" s="522" t="s">
        <v>357</v>
      </c>
      <c r="X201" s="606"/>
      <c r="Y201" s="141" t="s">
        <v>363</v>
      </c>
    </row>
    <row r="205" spans="2:35" ht="18.75" x14ac:dyDescent="0.3">
      <c r="B205" s="3" t="s">
        <v>414</v>
      </c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</row>
    <row r="207" spans="2:35" x14ac:dyDescent="0.2">
      <c r="B207" s="59" t="s">
        <v>159</v>
      </c>
      <c r="C207" s="350" t="str" cm="1">
        <f t="array" ref="C207">_xll.d.TestUtils_And(H212:I216)</f>
        <v>Ok</v>
      </c>
    </row>
    <row r="209" spans="2:21" ht="15.75" x14ac:dyDescent="0.25">
      <c r="B209" s="4" t="s">
        <v>109</v>
      </c>
      <c r="C209" s="357"/>
      <c r="D209" s="357"/>
      <c r="E209" s="357"/>
      <c r="F209" s="357"/>
      <c r="G209" s="357"/>
      <c r="H209" s="357"/>
      <c r="I209" s="357"/>
    </row>
    <row r="211" spans="2:21" x14ac:dyDescent="0.2">
      <c r="B211" s="134" t="s">
        <v>133</v>
      </c>
      <c r="C211" s="135"/>
      <c r="E211" s="134" t="s">
        <v>253</v>
      </c>
      <c r="F211" s="135"/>
      <c r="H211" s="134" t="s">
        <v>84</v>
      </c>
      <c r="I211" s="135"/>
    </row>
    <row r="212" spans="2:21" x14ac:dyDescent="0.2">
      <c r="B212" s="132" t="str" cm="1">
        <f t="array" ref="B212:C216">_xll.d.Dates_GetAvailableBusinessDayConventions()</f>
        <v>Variant 1</v>
      </c>
      <c r="C212" s="133" t="str">
        <v>Variant 2</v>
      </c>
      <c r="E212" s="132" t="s">
        <v>269</v>
      </c>
      <c r="F212" s="133" t="s">
        <v>270</v>
      </c>
      <c r="H212" s="350" t="str" cm="1">
        <f t="array" ref="H212">_xll.d.TestUtils_Equal(B212,E212)</f>
        <v>Ok</v>
      </c>
      <c r="I212" s="350" t="str" cm="1">
        <f t="array" ref="I212">_xll.d.TestUtils_Equal(C212,F212)</f>
        <v>Ok</v>
      </c>
    </row>
    <row r="213" spans="2:21" x14ac:dyDescent="0.2">
      <c r="B213" s="136" t="str">
        <v>Fol</v>
      </c>
      <c r="C213" s="137" t="str">
        <v>Following</v>
      </c>
      <c r="E213" s="136" t="s">
        <v>271</v>
      </c>
      <c r="F213" s="137" t="s">
        <v>272</v>
      </c>
      <c r="H213" s="350" t="str" cm="1">
        <f t="array" ref="H213">_xll.d.TestUtils_Equal(B213,E213)</f>
        <v>Ok</v>
      </c>
      <c r="I213" s="350" t="str" cm="1">
        <f t="array" ref="I213">_xll.d.TestUtils_Equal(C213,F213)</f>
        <v>Ok</v>
      </c>
    </row>
    <row r="214" spans="2:21" x14ac:dyDescent="0.2">
      <c r="B214" s="138" t="str">
        <v>ModFol</v>
      </c>
      <c r="C214" s="139" t="str">
        <v>ModifiedFollowing</v>
      </c>
      <c r="E214" s="138" t="s">
        <v>273</v>
      </c>
      <c r="F214" s="139" t="s">
        <v>274</v>
      </c>
      <c r="H214" s="350" t="str" cm="1">
        <f t="array" ref="H214">_xll.d.TestUtils_Equal(B214,E214)</f>
        <v>Ok</v>
      </c>
      <c r="I214" s="350" t="str" cm="1">
        <f t="array" ref="I214">_xll.d.TestUtils_Equal(C214,F214)</f>
        <v>Ok</v>
      </c>
    </row>
    <row r="215" spans="2:21" x14ac:dyDescent="0.2">
      <c r="B215" s="138" t="str">
        <v>ModPrec</v>
      </c>
      <c r="C215" s="139" t="str">
        <v>ModPreceding</v>
      </c>
      <c r="E215" s="138" t="s">
        <v>275</v>
      </c>
      <c r="F215" s="139" t="s">
        <v>276</v>
      </c>
      <c r="H215" s="350" t="str" cm="1">
        <f t="array" ref="H215">_xll.d.TestUtils_Equal(B215,E215)</f>
        <v>Ok</v>
      </c>
      <c r="I215" s="350" t="str" cm="1">
        <f t="array" ref="I215">_xll.d.TestUtils_Equal(C215,F215)</f>
        <v>Ok</v>
      </c>
    </row>
    <row r="216" spans="2:21" x14ac:dyDescent="0.2">
      <c r="B216" s="140" t="str">
        <v>Prec</v>
      </c>
      <c r="C216" s="141" t="str">
        <v>Preceding</v>
      </c>
      <c r="E216" s="140" t="s">
        <v>277</v>
      </c>
      <c r="F216" s="141" t="s">
        <v>278</v>
      </c>
      <c r="H216" s="350" t="str" cm="1">
        <f t="array" ref="H216">_xll.d.TestUtils_Equal(B216,E216)</f>
        <v>Ok</v>
      </c>
      <c r="I216" s="350" t="str" cm="1">
        <f t="array" ref="I216">_xll.d.TestUtils_Equal(C216,F216)</f>
        <v>Ok</v>
      </c>
    </row>
    <row r="220" spans="2:21" ht="18.75" x14ac:dyDescent="0.3">
      <c r="B220" s="3" t="s">
        <v>415</v>
      </c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</row>
    <row r="222" spans="2:21" x14ac:dyDescent="0.2">
      <c r="B222" s="59" t="s">
        <v>159</v>
      </c>
      <c r="C222" s="350" t="str" cm="1">
        <f t="array" ref="C222">_xll.d.TestUtils_And(L227:O231)</f>
        <v>Ok</v>
      </c>
    </row>
    <row r="224" spans="2:21" ht="15.75" x14ac:dyDescent="0.25">
      <c r="B224" s="4" t="s">
        <v>109</v>
      </c>
      <c r="C224" s="357"/>
      <c r="D224" s="357"/>
      <c r="E224" s="357"/>
      <c r="F224" s="357"/>
      <c r="G224" s="357"/>
      <c r="H224" s="357"/>
      <c r="I224" s="357"/>
    </row>
    <row r="226" spans="2:15" x14ac:dyDescent="0.2">
      <c r="B226" s="134" t="s">
        <v>133</v>
      </c>
      <c r="C226" s="206"/>
      <c r="D226" s="206"/>
      <c r="E226" s="135"/>
      <c r="G226" s="134" t="s">
        <v>133</v>
      </c>
      <c r="H226" s="206"/>
      <c r="I226" s="206"/>
      <c r="J226" s="135"/>
      <c r="L226" s="134" t="s">
        <v>84</v>
      </c>
      <c r="M226" s="135"/>
      <c r="N226" s="135"/>
      <c r="O226" s="135"/>
    </row>
    <row r="227" spans="2:15" x14ac:dyDescent="0.2">
      <c r="B227" s="132" t="str" cm="1">
        <f t="array" ref="B227:E231">_xll.d.Dates_GetAvailableDayCountConventions()</f>
        <v>Variant 1</v>
      </c>
      <c r="C227" s="318" t="str">
        <v>Variant 2</v>
      </c>
      <c r="D227" s="318" t="str">
        <v>Variant 3</v>
      </c>
      <c r="E227" s="133" t="str">
        <v>Variant 4</v>
      </c>
      <c r="G227" s="132" t="s">
        <v>269</v>
      </c>
      <c r="H227" s="318" t="s">
        <v>270</v>
      </c>
      <c r="I227" s="318" t="s">
        <v>279</v>
      </c>
      <c r="J227" s="133" t="s">
        <v>280</v>
      </c>
      <c r="L227" s="350" t="str" cm="1">
        <f t="array" ref="L227">_xll.d.TestUtils_Equal(B227,G227)</f>
        <v>Ok</v>
      </c>
      <c r="M227" s="350" t="str" cm="1">
        <f t="array" ref="M227">_xll.d.TestUtils_Equal(C227,H227)</f>
        <v>Ok</v>
      </c>
      <c r="N227" s="350" t="str" cm="1">
        <f t="array" ref="N227">_xll.d.TestUtils_Equal(D227,I227)</f>
        <v>Ok</v>
      </c>
      <c r="O227" s="350" t="str" cm="1">
        <f t="array" ref="O227">_xll.d.TestUtils_Equal(E227,J227)</f>
        <v>Ok</v>
      </c>
    </row>
    <row r="228" spans="2:15" x14ac:dyDescent="0.2">
      <c r="B228" s="136" t="str">
        <v>Act360</v>
      </c>
      <c r="C228" s="370" t="str">
        <v>Actual360</v>
      </c>
      <c r="D228" s="370" t="str">
        <v/>
      </c>
      <c r="E228" s="137" t="str">
        <v/>
      </c>
      <c r="G228" s="136" t="s">
        <v>281</v>
      </c>
      <c r="H228" s="370" t="s">
        <v>282</v>
      </c>
      <c r="I228" s="370" t="s">
        <v>283</v>
      </c>
      <c r="J228" s="137" t="s">
        <v>283</v>
      </c>
      <c r="L228" s="350" t="str" cm="1">
        <f t="array" ref="L228">_xll.d.TestUtils_Equal(B228,G228)</f>
        <v>Ok</v>
      </c>
      <c r="M228" s="350" t="str" cm="1">
        <f t="array" ref="M228">_xll.d.TestUtils_Equal(C228,H228)</f>
        <v>Ok</v>
      </c>
      <c r="N228" s="350" t="str" cm="1">
        <f t="array" ref="N228">_xll.d.TestUtils_Equal(D228,I228)</f>
        <v>Ok</v>
      </c>
      <c r="O228" s="350" t="str" cm="1">
        <f t="array" ref="O228">_xll.d.TestUtils_Equal(E228,J228)</f>
        <v>Ok</v>
      </c>
    </row>
    <row r="229" spans="2:15" x14ac:dyDescent="0.2">
      <c r="B229" s="138" t="str">
        <v>Act365</v>
      </c>
      <c r="C229" s="306" t="str">
        <v>Act365F</v>
      </c>
      <c r="D229" s="306" t="str">
        <v>Actual365</v>
      </c>
      <c r="E229" s="139" t="str">
        <v>Actual365F</v>
      </c>
      <c r="G229" s="138" t="s">
        <v>284</v>
      </c>
      <c r="H229" s="306" t="s">
        <v>285</v>
      </c>
      <c r="I229" s="306" t="s">
        <v>72</v>
      </c>
      <c r="J229" s="139" t="s">
        <v>286</v>
      </c>
      <c r="L229" s="350" t="str" cm="1">
        <f t="array" ref="L229">_xll.d.TestUtils_Equal(B229,G229)</f>
        <v>Ok</v>
      </c>
      <c r="M229" s="350" t="str" cm="1">
        <f t="array" ref="M229">_xll.d.TestUtils_Equal(C229,H229)</f>
        <v>Ok</v>
      </c>
      <c r="N229" s="350" t="str" cm="1">
        <f t="array" ref="N229">_xll.d.TestUtils_Equal(D229,I229)</f>
        <v>Ok</v>
      </c>
      <c r="O229" s="350" t="str" cm="1">
        <f t="array" ref="O229">_xll.d.TestUtils_Equal(E229,J229)</f>
        <v>Ok</v>
      </c>
    </row>
    <row r="230" spans="2:15" x14ac:dyDescent="0.2">
      <c r="B230" s="138" t="str">
        <v>ActAct</v>
      </c>
      <c r="C230" s="306" t="str">
        <v>ActualActual</v>
      </c>
      <c r="D230" s="306" t="str">
        <v/>
      </c>
      <c r="E230" s="139" t="str">
        <v/>
      </c>
      <c r="G230" s="138" t="s">
        <v>287</v>
      </c>
      <c r="H230" s="306" t="s">
        <v>288</v>
      </c>
      <c r="I230" s="306" t="s">
        <v>283</v>
      </c>
      <c r="J230" s="139" t="s">
        <v>283</v>
      </c>
      <c r="L230" s="350" t="str" cm="1">
        <f t="array" ref="L230">_xll.d.TestUtils_Equal(B230,G230)</f>
        <v>Ok</v>
      </c>
      <c r="M230" s="350" t="str" cm="1">
        <f t="array" ref="M230">_xll.d.TestUtils_Equal(C230,H230)</f>
        <v>Ok</v>
      </c>
      <c r="N230" s="350" t="str" cm="1">
        <f t="array" ref="N230">_xll.d.TestUtils_Equal(D230,I230)</f>
        <v>Ok</v>
      </c>
      <c r="O230" s="350" t="str" cm="1">
        <f t="array" ref="O230">_xll.d.TestUtils_Equal(E230,J230)</f>
        <v>Ok</v>
      </c>
    </row>
    <row r="231" spans="2:15" x14ac:dyDescent="0.2">
      <c r="B231" s="140" t="str">
        <v>Bus252</v>
      </c>
      <c r="C231" s="205" t="str">
        <v>Business252</v>
      </c>
      <c r="D231" s="205" t="str">
        <v/>
      </c>
      <c r="E231" s="141" t="str">
        <v/>
      </c>
      <c r="G231" s="140" t="s">
        <v>289</v>
      </c>
      <c r="H231" s="205" t="s">
        <v>290</v>
      </c>
      <c r="I231" s="205" t="s">
        <v>283</v>
      </c>
      <c r="J231" s="141" t="s">
        <v>283</v>
      </c>
      <c r="L231" s="350" t="str" cm="1">
        <f t="array" ref="L231">_xll.d.TestUtils_Equal(B231,G231)</f>
        <v>Ok</v>
      </c>
      <c r="M231" s="350" t="str" cm="1">
        <f t="array" ref="M231">_xll.d.TestUtils_Equal(C231,H231)</f>
        <v>Ok</v>
      </c>
      <c r="N231" s="350" t="str" cm="1">
        <f t="array" ref="N231">_xll.d.TestUtils_Equal(D231,I231)</f>
        <v>Ok</v>
      </c>
      <c r="O231" s="350" t="str" cm="1">
        <f t="array" ref="O231">_xll.d.TestUtils_Equal(E231,J231)</f>
        <v>Ok</v>
      </c>
    </row>
    <row r="234" spans="2:15" ht="18.75" x14ac:dyDescent="0.3">
      <c r="B234" s="3" t="s">
        <v>492</v>
      </c>
      <c r="C234" s="356"/>
      <c r="D234" s="356"/>
      <c r="E234" s="356"/>
    </row>
    <row r="236" spans="2:15" x14ac:dyDescent="0.2">
      <c r="B236" s="59" t="s">
        <v>159</v>
      </c>
      <c r="C236" s="350" t="str" cm="1">
        <f t="array" ref="C236">_xll.d.TestUtils_And(E241:E247)</f>
        <v>Ok</v>
      </c>
    </row>
    <row r="238" spans="2:15" ht="15.75" x14ac:dyDescent="0.25">
      <c r="B238" s="4" t="s">
        <v>109</v>
      </c>
      <c r="C238" s="357"/>
      <c r="D238" s="357"/>
      <c r="E238" s="357"/>
    </row>
    <row r="240" spans="2:15" x14ac:dyDescent="0.2">
      <c r="B240" s="134" t="s">
        <v>34</v>
      </c>
      <c r="C240" s="206" t="s">
        <v>133</v>
      </c>
      <c r="D240" s="206" t="s">
        <v>253</v>
      </c>
      <c r="E240" s="135" t="s">
        <v>84</v>
      </c>
    </row>
    <row r="241" spans="2:5" x14ac:dyDescent="0.2">
      <c r="B241" s="364">
        <v>44893</v>
      </c>
      <c r="C241" s="370" t="str" cm="1">
        <f t="array" ref="C241">_xll.d.Dates_GetWeekday(B241)</f>
        <v>Monday</v>
      </c>
      <c r="D241" s="370" t="str" cm="1">
        <f t="array" ref="D241">_xll.d.Dates_GetWeekday(B241)</f>
        <v>Monday</v>
      </c>
      <c r="E241" s="137" t="str" cm="1">
        <f t="array" ref="E241">_xll.d.TestUtils_Equal(C241,D241)</f>
        <v>Ok</v>
      </c>
    </row>
    <row r="242" spans="2:5" x14ac:dyDescent="0.2">
      <c r="B242" s="366">
        <v>44894</v>
      </c>
      <c r="C242" s="306" t="str" cm="1">
        <f t="array" ref="C242">_xll.d.Dates_GetWeekday(B242)</f>
        <v>Tuesday</v>
      </c>
      <c r="D242" s="306" t="str" cm="1">
        <f t="array" ref="D242">_xll.d.Dates_GetWeekday(B242)</f>
        <v>Tuesday</v>
      </c>
      <c r="E242" s="139" t="str" cm="1">
        <f t="array" ref="E242">_xll.d.TestUtils_Equal(C242,D242)</f>
        <v>Ok</v>
      </c>
    </row>
    <row r="243" spans="2:5" x14ac:dyDescent="0.2">
      <c r="B243" s="366">
        <v>44895</v>
      </c>
      <c r="C243" s="306" t="str" cm="1">
        <f t="array" ref="C243">_xll.d.Dates_GetWeekday(B243)</f>
        <v>Wednesday</v>
      </c>
      <c r="D243" s="306" t="str" cm="1">
        <f t="array" ref="D243">_xll.d.Dates_GetWeekday(B243)</f>
        <v>Wednesday</v>
      </c>
      <c r="E243" s="139" t="str" cm="1">
        <f t="array" ref="E243">_xll.d.TestUtils_Equal(C243,D243)</f>
        <v>Ok</v>
      </c>
    </row>
    <row r="244" spans="2:5" x14ac:dyDescent="0.2">
      <c r="B244" s="366">
        <v>44896</v>
      </c>
      <c r="C244" s="306" t="str" cm="1">
        <f t="array" ref="C244">_xll.d.Dates_GetWeekday(B244)</f>
        <v>Thursday</v>
      </c>
      <c r="D244" s="306" t="str" cm="1">
        <f t="array" ref="D244">_xll.d.Dates_GetWeekday(B244)</f>
        <v>Thursday</v>
      </c>
      <c r="E244" s="139" t="str" cm="1">
        <f t="array" ref="E244">_xll.d.TestUtils_Equal(C244,D244)</f>
        <v>Ok</v>
      </c>
    </row>
    <row r="245" spans="2:5" x14ac:dyDescent="0.2">
      <c r="B245" s="366">
        <v>44897</v>
      </c>
      <c r="C245" s="306" t="str" cm="1">
        <f t="array" ref="C245">_xll.d.Dates_GetWeekday(B245)</f>
        <v>Friday</v>
      </c>
      <c r="D245" s="306" t="str" cm="1">
        <f t="array" ref="D245">_xll.d.Dates_GetWeekday(B245)</f>
        <v>Friday</v>
      </c>
      <c r="E245" s="139" t="str" cm="1">
        <f t="array" ref="E245">_xll.d.TestUtils_Equal(C245,D245)</f>
        <v>Ok</v>
      </c>
    </row>
    <row r="246" spans="2:5" x14ac:dyDescent="0.2">
      <c r="B246" s="366">
        <v>44898</v>
      </c>
      <c r="C246" s="306" t="str" cm="1">
        <f t="array" ref="C246">_xll.d.Dates_GetWeekday(B246)</f>
        <v>Saturday</v>
      </c>
      <c r="D246" s="306" t="str" cm="1">
        <f t="array" ref="D246">_xll.d.Dates_GetWeekday(B246)</f>
        <v>Saturday</v>
      </c>
      <c r="E246" s="139" t="str" cm="1">
        <f t="array" ref="E246">_xll.d.TestUtils_Equal(C246,D246)</f>
        <v>Ok</v>
      </c>
    </row>
    <row r="247" spans="2:5" x14ac:dyDescent="0.2">
      <c r="B247" s="368">
        <v>44899</v>
      </c>
      <c r="C247" s="205" t="str" cm="1">
        <f t="array" ref="C247">_xll.d.Dates_GetWeekday(B247)</f>
        <v>Sunday</v>
      </c>
      <c r="D247" s="205" t="str" cm="1">
        <f t="array" ref="D247">_xll.d.Dates_GetWeekday(B247)</f>
        <v>Sunday</v>
      </c>
      <c r="E247" s="141" t="str" cm="1">
        <f t="array" ref="E247">_xll.d.TestUtils_Equal(C247,D247)</f>
        <v>Ok</v>
      </c>
    </row>
  </sheetData>
  <conditionalFormatting sqref="D10:D16">
    <cfRule type="cellIs" dxfId="521" priority="150" stopIfTrue="1" operator="equal">
      <formula>"ERROR"</formula>
    </cfRule>
    <cfRule type="cellIs" dxfId="520" priority="151" stopIfTrue="1" operator="equal">
      <formula>"OK"</formula>
    </cfRule>
    <cfRule type="cellIs" dxfId="519" priority="152" stopIfTrue="1" operator="equal">
      <formula>"WARNING"</formula>
    </cfRule>
  </conditionalFormatting>
  <conditionalFormatting sqref="C4">
    <cfRule type="cellIs" dxfId="518" priority="124" stopIfTrue="1" operator="equal">
      <formula>"ERROR"</formula>
    </cfRule>
    <cfRule type="cellIs" dxfId="517" priority="125" stopIfTrue="1" operator="equal">
      <formula>"OK"</formula>
    </cfRule>
    <cfRule type="cellIs" dxfId="516" priority="126" stopIfTrue="1" operator="equal">
      <formula>"WARNING"</formula>
    </cfRule>
  </conditionalFormatting>
  <conditionalFormatting sqref="C60">
    <cfRule type="cellIs" dxfId="515" priority="118" stopIfTrue="1" operator="equal">
      <formula>"ERROR"</formula>
    </cfRule>
  </conditionalFormatting>
  <conditionalFormatting sqref="C60">
    <cfRule type="cellIs" dxfId="514" priority="119" stopIfTrue="1" operator="equal">
      <formula>"OK"</formula>
    </cfRule>
  </conditionalFormatting>
  <conditionalFormatting sqref="C60">
    <cfRule type="cellIs" dxfId="513" priority="120" stopIfTrue="1" operator="equal">
      <formula>"WARNING"</formula>
    </cfRule>
  </conditionalFormatting>
  <conditionalFormatting sqref="G65">
    <cfRule type="cellIs" dxfId="512" priority="153" stopIfTrue="1" operator="equal">
      <formula>"ERROR"</formula>
    </cfRule>
    <cfRule type="cellIs" dxfId="511" priority="154" stopIfTrue="1" operator="equal">
      <formula>"OK"</formula>
    </cfRule>
    <cfRule type="cellIs" dxfId="510" priority="155" stopIfTrue="1" operator="equal">
      <formula>"WARNING"</formula>
    </cfRule>
  </conditionalFormatting>
  <conditionalFormatting sqref="N65">
    <cfRule type="cellIs" dxfId="509" priority="115" stopIfTrue="1" operator="equal">
      <formula>"ERROR"</formula>
    </cfRule>
    <cfRule type="cellIs" dxfId="508" priority="116" stopIfTrue="1" operator="equal">
      <formula>"OK"</formula>
    </cfRule>
    <cfRule type="cellIs" dxfId="507" priority="117" stopIfTrue="1" operator="equal">
      <formula>"WARNING"</formula>
    </cfRule>
  </conditionalFormatting>
  <conditionalFormatting sqref="W65">
    <cfRule type="cellIs" dxfId="506" priority="112" stopIfTrue="1" operator="equal">
      <formula>"ERROR"</formula>
    </cfRule>
    <cfRule type="cellIs" dxfId="505" priority="113" stopIfTrue="1" operator="equal">
      <formula>"OK"</formula>
    </cfRule>
    <cfRule type="cellIs" dxfId="504" priority="114" stopIfTrue="1" operator="equal">
      <formula>"WARNING"</formula>
    </cfRule>
  </conditionalFormatting>
  <conditionalFormatting sqref="G169:G177">
    <cfRule type="cellIs" dxfId="503" priority="156" stopIfTrue="1" operator="equal">
      <formula>"ERROR"</formula>
    </cfRule>
    <cfRule type="cellIs" dxfId="502" priority="157" stopIfTrue="1" operator="equal">
      <formula>"OK"</formula>
    </cfRule>
    <cfRule type="cellIs" dxfId="501" priority="158" stopIfTrue="1" operator="equal">
      <formula>"WARNING"</formula>
    </cfRule>
  </conditionalFormatting>
  <conditionalFormatting sqref="C164">
    <cfRule type="cellIs" dxfId="500" priority="109" stopIfTrue="1" operator="equal">
      <formula>"ERROR"</formula>
    </cfRule>
  </conditionalFormatting>
  <conditionalFormatting sqref="C164">
    <cfRule type="cellIs" dxfId="499" priority="110" stopIfTrue="1" operator="equal">
      <formula>"OK"</formula>
    </cfRule>
  </conditionalFormatting>
  <conditionalFormatting sqref="C164">
    <cfRule type="cellIs" dxfId="498" priority="111" stopIfTrue="1" operator="equal">
      <formula>"WARNING"</formula>
    </cfRule>
  </conditionalFormatting>
  <conditionalFormatting sqref="N169:N186">
    <cfRule type="cellIs" dxfId="497" priority="106" stopIfTrue="1" operator="equal">
      <formula>"ERROR"</formula>
    </cfRule>
    <cfRule type="cellIs" dxfId="496" priority="107" stopIfTrue="1" operator="equal">
      <formula>"OK"</formula>
    </cfRule>
    <cfRule type="cellIs" dxfId="495" priority="108" stopIfTrue="1" operator="equal">
      <formula>"WARNING"</formula>
    </cfRule>
  </conditionalFormatting>
  <conditionalFormatting sqref="AJ65">
    <cfRule type="cellIs" dxfId="494" priority="103" stopIfTrue="1" operator="equal">
      <formula>"ERROR"</formula>
    </cfRule>
    <cfRule type="cellIs" dxfId="493" priority="104" stopIfTrue="1" operator="equal">
      <formula>"OK"</formula>
    </cfRule>
    <cfRule type="cellIs" dxfId="492" priority="105" stopIfTrue="1" operator="equal">
      <formula>"WARNING"</formula>
    </cfRule>
  </conditionalFormatting>
  <conditionalFormatting sqref="C75">
    <cfRule type="cellIs" dxfId="491" priority="97" stopIfTrue="1" operator="equal">
      <formula>"ERROR"</formula>
    </cfRule>
  </conditionalFormatting>
  <conditionalFormatting sqref="C75">
    <cfRule type="cellIs" dxfId="490" priority="98" stopIfTrue="1" operator="equal">
      <formula>"OK"</formula>
    </cfRule>
  </conditionalFormatting>
  <conditionalFormatting sqref="C75">
    <cfRule type="cellIs" dxfId="489" priority="99" stopIfTrue="1" operator="equal">
      <formula>"WARNING"</formula>
    </cfRule>
  </conditionalFormatting>
  <conditionalFormatting sqref="G80">
    <cfRule type="cellIs" dxfId="488" priority="100" stopIfTrue="1" operator="equal">
      <formula>"ERROR"</formula>
    </cfRule>
    <cfRule type="cellIs" dxfId="487" priority="101" stopIfTrue="1" operator="equal">
      <formula>"OK"</formula>
    </cfRule>
    <cfRule type="cellIs" dxfId="486" priority="102" stopIfTrue="1" operator="equal">
      <formula>"WARNING"</formula>
    </cfRule>
  </conditionalFormatting>
  <conditionalFormatting sqref="N80">
    <cfRule type="cellIs" dxfId="485" priority="94" stopIfTrue="1" operator="equal">
      <formula>"ERROR"</formula>
    </cfRule>
    <cfRule type="cellIs" dxfId="484" priority="95" stopIfTrue="1" operator="equal">
      <formula>"OK"</formula>
    </cfRule>
    <cfRule type="cellIs" dxfId="483" priority="96" stopIfTrue="1" operator="equal">
      <formula>"WARNING"</formula>
    </cfRule>
  </conditionalFormatting>
  <conditionalFormatting sqref="W80">
    <cfRule type="cellIs" dxfId="482" priority="91" stopIfTrue="1" operator="equal">
      <formula>"ERROR"</formula>
    </cfRule>
    <cfRule type="cellIs" dxfId="481" priority="92" stopIfTrue="1" operator="equal">
      <formula>"OK"</formula>
    </cfRule>
    <cfRule type="cellIs" dxfId="480" priority="93" stopIfTrue="1" operator="equal">
      <formula>"WARNING"</formula>
    </cfRule>
  </conditionalFormatting>
  <conditionalFormatting sqref="AJ80">
    <cfRule type="cellIs" dxfId="479" priority="88" stopIfTrue="1" operator="equal">
      <formula>"ERROR"</formula>
    </cfRule>
    <cfRule type="cellIs" dxfId="478" priority="89" stopIfTrue="1" operator="equal">
      <formula>"OK"</formula>
    </cfRule>
    <cfRule type="cellIs" dxfId="477" priority="90" stopIfTrue="1" operator="equal">
      <formula>"WARNING"</formula>
    </cfRule>
  </conditionalFormatting>
  <conditionalFormatting sqref="C90">
    <cfRule type="cellIs" dxfId="476" priority="82" stopIfTrue="1" operator="equal">
      <formula>"ERROR"</formula>
    </cfRule>
  </conditionalFormatting>
  <conditionalFormatting sqref="C90">
    <cfRule type="cellIs" dxfId="475" priority="83" stopIfTrue="1" operator="equal">
      <formula>"OK"</formula>
    </cfRule>
  </conditionalFormatting>
  <conditionalFormatting sqref="C90">
    <cfRule type="cellIs" dxfId="474" priority="84" stopIfTrue="1" operator="equal">
      <formula>"WARNING"</formula>
    </cfRule>
  </conditionalFormatting>
  <conditionalFormatting sqref="G95">
    <cfRule type="cellIs" dxfId="473" priority="85" stopIfTrue="1" operator="equal">
      <formula>"ERROR"</formula>
    </cfRule>
    <cfRule type="cellIs" dxfId="472" priority="86" stopIfTrue="1" operator="equal">
      <formula>"OK"</formula>
    </cfRule>
    <cfRule type="cellIs" dxfId="471" priority="87" stopIfTrue="1" operator="equal">
      <formula>"WARNING"</formula>
    </cfRule>
  </conditionalFormatting>
  <conditionalFormatting sqref="N95">
    <cfRule type="cellIs" dxfId="470" priority="79" stopIfTrue="1" operator="equal">
      <formula>"ERROR"</formula>
    </cfRule>
    <cfRule type="cellIs" dxfId="469" priority="80" stopIfTrue="1" operator="equal">
      <formula>"OK"</formula>
    </cfRule>
    <cfRule type="cellIs" dxfId="468" priority="81" stopIfTrue="1" operator="equal">
      <formula>"WARNING"</formula>
    </cfRule>
  </conditionalFormatting>
  <conditionalFormatting sqref="W95">
    <cfRule type="cellIs" dxfId="467" priority="76" stopIfTrue="1" operator="equal">
      <formula>"ERROR"</formula>
    </cfRule>
    <cfRule type="cellIs" dxfId="466" priority="77" stopIfTrue="1" operator="equal">
      <formula>"OK"</formula>
    </cfRule>
    <cfRule type="cellIs" dxfId="465" priority="78" stopIfTrue="1" operator="equal">
      <formula>"WARNING"</formula>
    </cfRule>
  </conditionalFormatting>
  <conditionalFormatting sqref="AJ95">
    <cfRule type="cellIs" dxfId="464" priority="73" stopIfTrue="1" operator="equal">
      <formula>"ERROR"</formula>
    </cfRule>
    <cfRule type="cellIs" dxfId="463" priority="74" stopIfTrue="1" operator="equal">
      <formula>"OK"</formula>
    </cfRule>
    <cfRule type="cellIs" dxfId="462" priority="75" stopIfTrue="1" operator="equal">
      <formula>"WARNING"</formula>
    </cfRule>
  </conditionalFormatting>
  <conditionalFormatting sqref="G110">
    <cfRule type="cellIs" dxfId="461" priority="67" stopIfTrue="1" operator="equal">
      <formula>"ERROR"</formula>
    </cfRule>
    <cfRule type="cellIs" dxfId="460" priority="68" stopIfTrue="1" operator="equal">
      <formula>"OK"</formula>
    </cfRule>
    <cfRule type="cellIs" dxfId="459" priority="69" stopIfTrue="1" operator="equal">
      <formula>"WARNING"</formula>
    </cfRule>
  </conditionalFormatting>
  <conditionalFormatting sqref="C105">
    <cfRule type="cellIs" dxfId="458" priority="64" stopIfTrue="1" operator="equal">
      <formula>"ERROR"</formula>
    </cfRule>
  </conditionalFormatting>
  <conditionalFormatting sqref="C105">
    <cfRule type="cellIs" dxfId="457" priority="65" stopIfTrue="1" operator="equal">
      <formula>"OK"</formula>
    </cfRule>
  </conditionalFormatting>
  <conditionalFormatting sqref="C105">
    <cfRule type="cellIs" dxfId="456" priority="66" stopIfTrue="1" operator="equal">
      <formula>"WARNING"</formula>
    </cfRule>
  </conditionalFormatting>
  <conditionalFormatting sqref="O110">
    <cfRule type="cellIs" dxfId="455" priority="61" stopIfTrue="1" operator="equal">
      <formula>"ERROR"</formula>
    </cfRule>
    <cfRule type="cellIs" dxfId="454" priority="62" stopIfTrue="1" operator="equal">
      <formula>"OK"</formula>
    </cfRule>
    <cfRule type="cellIs" dxfId="453" priority="63" stopIfTrue="1" operator="equal">
      <formula>"WARNING"</formula>
    </cfRule>
  </conditionalFormatting>
  <conditionalFormatting sqref="AC110">
    <cfRule type="cellIs" dxfId="452" priority="58" stopIfTrue="1" operator="equal">
      <formula>"ERROR"</formula>
    </cfRule>
    <cfRule type="cellIs" dxfId="451" priority="59" stopIfTrue="1" operator="equal">
      <formula>"OK"</formula>
    </cfRule>
    <cfRule type="cellIs" dxfId="450" priority="60" stopIfTrue="1" operator="equal">
      <formula>"WARNING"</formula>
    </cfRule>
  </conditionalFormatting>
  <conditionalFormatting sqref="AS110">
    <cfRule type="cellIs" dxfId="449" priority="55" stopIfTrue="1" operator="equal">
      <formula>"ERROR"</formula>
    </cfRule>
    <cfRule type="cellIs" dxfId="448" priority="56" stopIfTrue="1" operator="equal">
      <formula>"OK"</formula>
    </cfRule>
    <cfRule type="cellIs" dxfId="447" priority="57" stopIfTrue="1" operator="equal">
      <formula>"WARNING"</formula>
    </cfRule>
  </conditionalFormatting>
  <conditionalFormatting sqref="AA169">
    <cfRule type="cellIs" dxfId="446" priority="52" stopIfTrue="1" operator="equal">
      <formula>"ERROR"</formula>
    </cfRule>
    <cfRule type="cellIs" dxfId="445" priority="53" stopIfTrue="1" operator="equal">
      <formula>"OK"</formula>
    </cfRule>
    <cfRule type="cellIs" dxfId="444" priority="54" stopIfTrue="1" operator="equal">
      <formula>"WARNING"</formula>
    </cfRule>
  </conditionalFormatting>
  <conditionalFormatting sqref="C207">
    <cfRule type="cellIs" dxfId="443" priority="49" stopIfTrue="1" operator="equal">
      <formula>"ERROR"</formula>
    </cfRule>
  </conditionalFormatting>
  <conditionalFormatting sqref="C207">
    <cfRule type="cellIs" dxfId="442" priority="50" stopIfTrue="1" operator="equal">
      <formula>"OK"</formula>
    </cfRule>
  </conditionalFormatting>
  <conditionalFormatting sqref="C207">
    <cfRule type="cellIs" dxfId="441" priority="51" stopIfTrue="1" operator="equal">
      <formula>"WARNING"</formula>
    </cfRule>
  </conditionalFormatting>
  <conditionalFormatting sqref="H212:I216">
    <cfRule type="cellIs" dxfId="440" priority="159" stopIfTrue="1" operator="equal">
      <formula>"ERROR"</formula>
    </cfRule>
  </conditionalFormatting>
  <conditionalFormatting sqref="H212:I216">
    <cfRule type="cellIs" dxfId="439" priority="160" stopIfTrue="1" operator="equal">
      <formula>"OK"</formula>
    </cfRule>
  </conditionalFormatting>
  <conditionalFormatting sqref="H212:I216">
    <cfRule type="cellIs" dxfId="438" priority="161" stopIfTrue="1" operator="equal">
      <formula>"WARNING"</formula>
    </cfRule>
  </conditionalFormatting>
  <conditionalFormatting sqref="D15:D16">
    <cfRule type="cellIs" dxfId="437" priority="162" stopIfTrue="1" operator="equal">
      <formula>"ERROR"</formula>
    </cfRule>
    <cfRule type="cellIs" dxfId="436" priority="163" stopIfTrue="1" operator="equal">
      <formula>"OK"</formula>
    </cfRule>
    <cfRule type="cellIs" dxfId="435" priority="164" stopIfTrue="1" operator="equal">
      <formula>"WARNING"</formula>
    </cfRule>
  </conditionalFormatting>
  <conditionalFormatting sqref="D17:D18">
    <cfRule type="cellIs" dxfId="434" priority="165" stopIfTrue="1" operator="equal">
      <formula>"ERROR"</formula>
    </cfRule>
    <cfRule type="cellIs" dxfId="433" priority="166" stopIfTrue="1" operator="equal">
      <formula>"OK"</formula>
    </cfRule>
    <cfRule type="cellIs" dxfId="432" priority="167" stopIfTrue="1" operator="equal">
      <formula>"WARNING"</formula>
    </cfRule>
  </conditionalFormatting>
  <conditionalFormatting sqref="C222">
    <cfRule type="cellIs" dxfId="431" priority="43" stopIfTrue="1" operator="equal">
      <formula>"ERROR"</formula>
    </cfRule>
  </conditionalFormatting>
  <conditionalFormatting sqref="C222">
    <cfRule type="cellIs" dxfId="430" priority="44" stopIfTrue="1" operator="equal">
      <formula>"OK"</formula>
    </cfRule>
  </conditionalFormatting>
  <conditionalFormatting sqref="C222">
    <cfRule type="cellIs" dxfId="429" priority="45" stopIfTrue="1" operator="equal">
      <formula>"WARNING"</formula>
    </cfRule>
  </conditionalFormatting>
  <conditionalFormatting sqref="L227:O231">
    <cfRule type="cellIs" dxfId="428" priority="46" stopIfTrue="1" operator="equal">
      <formula>"ERROR"</formula>
    </cfRule>
  </conditionalFormatting>
  <conditionalFormatting sqref="L227:O231">
    <cfRule type="cellIs" dxfId="427" priority="47" stopIfTrue="1" operator="equal">
      <formula>"OK"</formula>
    </cfRule>
  </conditionalFormatting>
  <conditionalFormatting sqref="L227:O231">
    <cfRule type="cellIs" dxfId="426" priority="48" stopIfTrue="1" operator="equal">
      <formula>"WARNING"</formula>
    </cfRule>
  </conditionalFormatting>
  <conditionalFormatting sqref="C119">
    <cfRule type="cellIs" dxfId="425" priority="40" stopIfTrue="1" operator="equal">
      <formula>"ERROR"</formula>
    </cfRule>
  </conditionalFormatting>
  <conditionalFormatting sqref="C119">
    <cfRule type="cellIs" dxfId="424" priority="41" stopIfTrue="1" operator="equal">
      <formula>"OK"</formula>
    </cfRule>
  </conditionalFormatting>
  <conditionalFormatting sqref="C119">
    <cfRule type="cellIs" dxfId="423" priority="42" stopIfTrue="1" operator="equal">
      <formula>"WARNING"</formula>
    </cfRule>
  </conditionalFormatting>
  <conditionalFormatting sqref="L124:O158">
    <cfRule type="cellIs" dxfId="422" priority="168" stopIfTrue="1" operator="equal">
      <formula>"ERROR"</formula>
    </cfRule>
  </conditionalFormatting>
  <conditionalFormatting sqref="L124:O158">
    <cfRule type="cellIs" dxfId="421" priority="169" stopIfTrue="1" operator="equal">
      <formula>"OK"</formula>
    </cfRule>
  </conditionalFormatting>
  <conditionalFormatting sqref="L124:O158">
    <cfRule type="cellIs" dxfId="420" priority="170" stopIfTrue="1" operator="equal">
      <formula>"WARNING"</formula>
    </cfRule>
  </conditionalFormatting>
  <conditionalFormatting sqref="C191">
    <cfRule type="cellIs" dxfId="419" priority="37" stopIfTrue="1" operator="equal">
      <formula>"ERROR"</formula>
    </cfRule>
  </conditionalFormatting>
  <conditionalFormatting sqref="C191">
    <cfRule type="cellIs" dxfId="418" priority="38" stopIfTrue="1" operator="equal">
      <formula>"OK"</formula>
    </cfRule>
  </conditionalFormatting>
  <conditionalFormatting sqref="C191">
    <cfRule type="cellIs" dxfId="417" priority="39" stopIfTrue="1" operator="equal">
      <formula>"WARNING"</formula>
    </cfRule>
  </conditionalFormatting>
  <conditionalFormatting sqref="G196:G200">
    <cfRule type="cellIs" dxfId="416" priority="171" stopIfTrue="1" operator="equal">
      <formula>"ERROR"</formula>
    </cfRule>
  </conditionalFormatting>
  <conditionalFormatting sqref="G196:G200">
    <cfRule type="cellIs" dxfId="415" priority="172" stopIfTrue="1" operator="equal">
      <formula>"OK"</formula>
    </cfRule>
  </conditionalFormatting>
  <conditionalFormatting sqref="G196:G200">
    <cfRule type="cellIs" dxfId="414" priority="173" stopIfTrue="1" operator="equal">
      <formula>"WARNING"</formula>
    </cfRule>
  </conditionalFormatting>
  <conditionalFormatting sqref="N196:N200">
    <cfRule type="cellIs" dxfId="413" priority="34" stopIfTrue="1" operator="equal">
      <formula>"ERROR"</formula>
    </cfRule>
  </conditionalFormatting>
  <conditionalFormatting sqref="N196:N200">
    <cfRule type="cellIs" dxfId="412" priority="35" stopIfTrue="1" operator="equal">
      <formula>"OK"</formula>
    </cfRule>
  </conditionalFormatting>
  <conditionalFormatting sqref="N196:N200">
    <cfRule type="cellIs" dxfId="411" priority="36" stopIfTrue="1" operator="equal">
      <formula>"WARNING"</formula>
    </cfRule>
  </conditionalFormatting>
  <conditionalFormatting sqref="U196:U200">
    <cfRule type="cellIs" dxfId="410" priority="31" stopIfTrue="1" operator="equal">
      <formula>"ERROR"</formula>
    </cfRule>
  </conditionalFormatting>
  <conditionalFormatting sqref="U196:U200">
    <cfRule type="cellIs" dxfId="409" priority="32" stopIfTrue="1" operator="equal">
      <formula>"OK"</formula>
    </cfRule>
  </conditionalFormatting>
  <conditionalFormatting sqref="U196:U200">
    <cfRule type="cellIs" dxfId="408" priority="33" stopIfTrue="1" operator="equal">
      <formula>"WARNING"</formula>
    </cfRule>
  </conditionalFormatting>
  <conditionalFormatting sqref="AI196">
    <cfRule type="cellIs" dxfId="407" priority="28" stopIfTrue="1" operator="equal">
      <formula>"ERROR"</formula>
    </cfRule>
  </conditionalFormatting>
  <conditionalFormatting sqref="AI196">
    <cfRule type="cellIs" dxfId="406" priority="29" stopIfTrue="1" operator="equal">
      <formula>"OK"</formula>
    </cfRule>
  </conditionalFormatting>
  <conditionalFormatting sqref="AI196">
    <cfRule type="cellIs" dxfId="405" priority="30" stopIfTrue="1" operator="equal">
      <formula>"WARNING"</formula>
    </cfRule>
  </conditionalFormatting>
  <conditionalFormatting sqref="C236">
    <cfRule type="cellIs" dxfId="404" priority="25" stopIfTrue="1" operator="equal">
      <formula>"ERROR"</formula>
    </cfRule>
  </conditionalFormatting>
  <conditionalFormatting sqref="C236">
    <cfRule type="cellIs" dxfId="403" priority="26" stopIfTrue="1" operator="equal">
      <formula>"OK"</formula>
    </cfRule>
  </conditionalFormatting>
  <conditionalFormatting sqref="C236">
    <cfRule type="cellIs" dxfId="402" priority="27" stopIfTrue="1" operator="equal">
      <formula>"WARNING"</formula>
    </cfRule>
  </conditionalFormatting>
  <conditionalFormatting sqref="E241:E247">
    <cfRule type="cellIs" dxfId="401" priority="174" stopIfTrue="1" operator="equal">
      <formula>"ERROR"</formula>
    </cfRule>
  </conditionalFormatting>
  <conditionalFormatting sqref="E241:E247">
    <cfRule type="cellIs" dxfId="400" priority="175" stopIfTrue="1" operator="equal">
      <formula>"OK"</formula>
    </cfRule>
  </conditionalFormatting>
  <conditionalFormatting sqref="E241:E247">
    <cfRule type="cellIs" dxfId="399" priority="176" stopIfTrue="1" operator="equal">
      <formula>"WARNING"</formula>
    </cfRule>
  </conditionalFormatting>
  <conditionalFormatting sqref="D19">
    <cfRule type="cellIs" dxfId="398" priority="22" stopIfTrue="1" operator="equal">
      <formula>"ERROR"</formula>
    </cfRule>
    <cfRule type="cellIs" dxfId="397" priority="23" stopIfTrue="1" operator="equal">
      <formula>"OK"</formula>
    </cfRule>
    <cfRule type="cellIs" dxfId="396" priority="24" stopIfTrue="1" operator="equal">
      <formula>"WARNING"</formula>
    </cfRule>
  </conditionalFormatting>
  <conditionalFormatting sqref="C48">
    <cfRule type="cellIs" dxfId="395" priority="19" stopIfTrue="1" operator="equal">
      <formula>"ERROR"</formula>
    </cfRule>
  </conditionalFormatting>
  <conditionalFormatting sqref="C48">
    <cfRule type="cellIs" dxfId="394" priority="20" stopIfTrue="1" operator="equal">
      <formula>"OK"</formula>
    </cfRule>
  </conditionalFormatting>
  <conditionalFormatting sqref="C48">
    <cfRule type="cellIs" dxfId="393" priority="21" stopIfTrue="1" operator="equal">
      <formula>"WARNING"</formula>
    </cfRule>
  </conditionalFormatting>
  <conditionalFormatting sqref="G53">
    <cfRule type="cellIs" dxfId="392" priority="16" stopIfTrue="1" operator="equal">
      <formula>"ERROR"</formula>
    </cfRule>
    <cfRule type="cellIs" dxfId="391" priority="17" stopIfTrue="1" operator="equal">
      <formula>"OK"</formula>
    </cfRule>
    <cfRule type="cellIs" dxfId="390" priority="18" stopIfTrue="1" operator="equal">
      <formula>"WARNING"</formula>
    </cfRule>
  </conditionalFormatting>
  <conditionalFormatting sqref="C24">
    <cfRule type="cellIs" dxfId="389" priority="13" stopIfTrue="1" operator="equal">
      <formula>"ERROR"</formula>
    </cfRule>
  </conditionalFormatting>
  <conditionalFormatting sqref="C24">
    <cfRule type="cellIs" dxfId="388" priority="14" stopIfTrue="1" operator="equal">
      <formula>"OK"</formula>
    </cfRule>
  </conditionalFormatting>
  <conditionalFormatting sqref="C24">
    <cfRule type="cellIs" dxfId="387" priority="15" stopIfTrue="1" operator="equal">
      <formula>"WARNING"</formula>
    </cfRule>
  </conditionalFormatting>
  <conditionalFormatting sqref="G29">
    <cfRule type="cellIs" dxfId="386" priority="10" stopIfTrue="1" operator="equal">
      <formula>"ERROR"</formula>
    </cfRule>
    <cfRule type="cellIs" dxfId="385" priority="11" stopIfTrue="1" operator="equal">
      <formula>"OK"</formula>
    </cfRule>
    <cfRule type="cellIs" dxfId="384" priority="12" stopIfTrue="1" operator="equal">
      <formula>"WARNING"</formula>
    </cfRule>
  </conditionalFormatting>
  <conditionalFormatting sqref="D7:D9">
    <cfRule type="cellIs" dxfId="383" priority="7" stopIfTrue="1" operator="equal">
      <formula>"ERROR"</formula>
    </cfRule>
    <cfRule type="cellIs" dxfId="382" priority="8" stopIfTrue="1" operator="equal">
      <formula>"OK"</formula>
    </cfRule>
    <cfRule type="cellIs" dxfId="381" priority="9" stopIfTrue="1" operator="equal">
      <formula>"WARNING"</formula>
    </cfRule>
  </conditionalFormatting>
  <conditionalFormatting sqref="C36">
    <cfRule type="cellIs" dxfId="380" priority="4" stopIfTrue="1" operator="equal">
      <formula>"ERROR"</formula>
    </cfRule>
  </conditionalFormatting>
  <conditionalFormatting sqref="C36">
    <cfRule type="cellIs" dxfId="379" priority="5" stopIfTrue="1" operator="equal">
      <formula>"OK"</formula>
    </cfRule>
  </conditionalFormatting>
  <conditionalFormatting sqref="C36">
    <cfRule type="cellIs" dxfId="378" priority="6" stopIfTrue="1" operator="equal">
      <formula>"WARNING"</formula>
    </cfRule>
  </conditionalFormatting>
  <conditionalFormatting sqref="G41">
    <cfRule type="cellIs" dxfId="377" priority="1" stopIfTrue="1" operator="equal">
      <formula>"ERROR"</formula>
    </cfRule>
    <cfRule type="cellIs" dxfId="376" priority="2" stopIfTrue="1" operator="equal">
      <formula>"OK"</formula>
    </cfRule>
    <cfRule type="cellIs" dxfId="375" priority="3" stopIfTrue="1" operator="equal">
      <formula>"WARNING"</formula>
    </cfRule>
  </conditionalFormatting>
  <hyperlinks>
    <hyperlink ref="B1" location="Summary!A1" display="Summary!A1" xr:uid="{97A6595A-52BD-4B05-998A-59178C5B1926}"/>
    <hyperlink ref="B7:C7" location="$B$22" display="$B$22" xr:uid="{7E60A779-C7AF-4D12-BA48-7FBFFB42E92A}"/>
    <hyperlink ref="B8:C8" location="$B$34" display="$B$34" xr:uid="{D29C6D4F-A537-46E3-B4DE-66EE265BD3C2}"/>
    <hyperlink ref="B9:C9" location="$B$46" display="$B$46" xr:uid="{7DD1676C-C5FE-4C04-8221-AA4EE6B60695}"/>
    <hyperlink ref="B10:C10" location="$B$58" display="$B$58" xr:uid="{5F99DEB3-24B0-4854-96C1-01AA7C5B2BE8}"/>
    <hyperlink ref="B11:C11" location="$B$73" display="$B$73" xr:uid="{4B223BF7-A331-4F7B-8194-206424ADCE4B}"/>
    <hyperlink ref="B12:C12" location="$B$88" display="$B$88" xr:uid="{95AF6793-357B-4AAC-80EF-3F197ED56FBE}"/>
    <hyperlink ref="B13:C13" location="$B$103" display="$B$103" xr:uid="{87FDE201-7F24-4BA3-8719-4967E563D1A1}"/>
    <hyperlink ref="B14:C14" location="$B$117" display="$B$117" xr:uid="{93F17E57-F4F9-419B-8BD1-71CE439E9C00}"/>
    <hyperlink ref="B15:C15" location="$B$162" display="$B$162" xr:uid="{5522C20B-98EA-44EB-94B4-5EED0AE5A4B1}"/>
    <hyperlink ref="B16:C16" location="$B$189" display="$B$189" xr:uid="{D9F56F97-2BB7-4627-80DF-E364E0568A62}"/>
    <hyperlink ref="B17:C17" location="$B$205" display="$B$205" xr:uid="{0B994848-E9D7-43B2-BA6C-0D54A82C0122}"/>
    <hyperlink ref="B18:C18" location="$B$220" display="$B$220" xr:uid="{AE78EFAB-66A3-478B-8F58-B942838FEAA5}"/>
    <hyperlink ref="B19:C19" location="$B$234" display="$B$234" xr:uid="{6F649B84-4998-4EFD-9192-6BFF898F76BE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zoomScaleNormal="100" workbookViewId="0">
      <selection activeCell="E24" sqref="E24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58" t="s">
        <v>416</v>
      </c>
    </row>
    <row r="2" spans="1:61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1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61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61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61" x14ac:dyDescent="0.25">
      <c r="B8" s="457" t="s">
        <v>382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61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1" x14ac:dyDescent="0.25">
      <c r="B13" s="59" t="s">
        <v>159</v>
      </c>
      <c r="C13" s="350" t="str" cm="1">
        <f t="array" ref="C13">_xll.d.TestUtils_And(H18,P18,Y18,AG18,AO18,AW18,BE18)</f>
        <v>Ok</v>
      </c>
      <c r="D13" s="348"/>
      <c r="E13" s="348"/>
      <c r="F13" s="348"/>
      <c r="G13" s="348"/>
    </row>
    <row r="14" spans="1:61" x14ac:dyDescent="0.25">
      <c r="B14" s="348"/>
      <c r="C14" s="348"/>
      <c r="D14" s="348"/>
      <c r="E14" s="348"/>
      <c r="F14" s="348"/>
      <c r="G14" s="349"/>
    </row>
    <row r="15" spans="1:61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375</v>
      </c>
      <c r="AJ15" s="357"/>
      <c r="AK15" s="357"/>
      <c r="AL15" s="357"/>
      <c r="AM15" s="357"/>
      <c r="AN15" s="357"/>
      <c r="AO15" s="357"/>
      <c r="AQ15" s="4" t="s">
        <v>388</v>
      </c>
      <c r="AR15" s="357"/>
      <c r="AS15" s="357"/>
      <c r="AT15" s="357"/>
      <c r="AU15" s="357"/>
      <c r="AV15" s="357"/>
      <c r="AW15" s="357"/>
      <c r="AY15" s="4" t="s">
        <v>389</v>
      </c>
      <c r="AZ15" s="357"/>
      <c r="BA15" s="357"/>
      <c r="BB15" s="357"/>
      <c r="BC15" s="357"/>
      <c r="BD15" s="357"/>
      <c r="BE15" s="357"/>
    </row>
    <row r="16" spans="1:61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9"/>
      <c r="AQ16" s="348"/>
      <c r="AR16" s="348"/>
      <c r="AS16" s="348"/>
      <c r="AT16" s="348"/>
      <c r="AU16" s="348"/>
      <c r="AV16" s="349"/>
      <c r="AY16" s="348"/>
      <c r="AZ16" s="348"/>
      <c r="BA16" s="348"/>
      <c r="BB16" s="348"/>
      <c r="BC16" s="348"/>
      <c r="BD16" s="349"/>
    </row>
    <row r="17" spans="1:61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 t="s">
        <v>253</v>
      </c>
      <c r="AO17" s="134" t="s">
        <v>84</v>
      </c>
      <c r="AQ17" s="134" t="s">
        <v>251</v>
      </c>
      <c r="AR17" s="206"/>
      <c r="AS17" s="135"/>
      <c r="AU17" s="134" t="s">
        <v>133</v>
      </c>
      <c r="AV17" s="134" t="s">
        <v>253</v>
      </c>
      <c r="AW17" s="134" t="s">
        <v>84</v>
      </c>
      <c r="AY17" s="134" t="s">
        <v>251</v>
      </c>
      <c r="AZ17" s="206"/>
      <c r="BA17" s="135"/>
      <c r="BC17" s="134" t="s">
        <v>133</v>
      </c>
      <c r="BD17" s="134" t="s">
        <v>253</v>
      </c>
      <c r="BE17" s="134" t="s">
        <v>84</v>
      </c>
    </row>
    <row r="18" spans="1:61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375" t="str" cm="1">
        <f t="array" ref="AM18">_xll.d.Math_Interpolate(AI19,AJ19:AJ20,AK19,"linear")</f>
        <v>#∂Excel Error: Row dimensions do not match or there is more than one column in x or y.</v>
      </c>
      <c r="AN18" s="376" t="s">
        <v>374</v>
      </c>
      <c r="AO18" s="360" t="str" cm="1">
        <f t="array" ref="AO18">_xll.d.TestUtils_Equal(AM18,AN18)</f>
        <v>Ok</v>
      </c>
      <c r="AQ18" s="372" t="s">
        <v>367</v>
      </c>
      <c r="AR18" s="373" t="s">
        <v>368</v>
      </c>
      <c r="AS18" s="133" t="s">
        <v>369</v>
      </c>
      <c r="AU18" s="375" t="str" cm="1">
        <f t="array" ref="AU18">_xll.d.Math_Interpolate(AQ19:AR20,AR19:AR20,AS19,"linear")</f>
        <v>#∂Excel Error: Row dimensions do not match or there is more than one column in x or y.</v>
      </c>
      <c r="AV18" s="376" t="s">
        <v>374</v>
      </c>
      <c r="AW18" s="360" t="str" cm="1">
        <f t="array" ref="AW18">_xll.d.TestUtils_Equal(AU18,AV18)</f>
        <v>Ok</v>
      </c>
      <c r="AY18" s="372" t="s">
        <v>367</v>
      </c>
      <c r="AZ18" s="373" t="s">
        <v>368</v>
      </c>
      <c r="BA18" s="133" t="s">
        <v>369</v>
      </c>
      <c r="BC18" s="375" t="str" cm="1">
        <f t="array" ref="BC18">_xll.d.Math_Interpolate(AY19:AY20,AZ19:AZ20,BA19,"magic")</f>
        <v>#∂Excel Error: Unsupported interpolation: 'magic'</v>
      </c>
      <c r="BD18" s="376" t="s">
        <v>507</v>
      </c>
      <c r="BE18" s="360" t="str" cm="1">
        <f t="array" ref="BE18">_xll.d.TestUtils_Equal(BC18,BD18)</f>
        <v>Ok</v>
      </c>
    </row>
    <row r="19" spans="1:61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136">
        <v>1</v>
      </c>
      <c r="AJ19" s="370">
        <v>0.05</v>
      </c>
      <c r="AK19" s="374">
        <v>1.5</v>
      </c>
      <c r="AL19" s="348"/>
      <c r="AM19" s="348"/>
      <c r="AN19" s="349"/>
      <c r="AQ19" s="136">
        <v>1</v>
      </c>
      <c r="AR19" s="370">
        <v>0.05</v>
      </c>
      <c r="AS19" s="374">
        <v>1.5</v>
      </c>
      <c r="AT19" s="348"/>
      <c r="AU19" s="348"/>
      <c r="AV19" s="349"/>
      <c r="AY19" s="136">
        <v>1</v>
      </c>
      <c r="AZ19" s="370">
        <v>0.05</v>
      </c>
      <c r="BA19" s="374">
        <v>1.5</v>
      </c>
      <c r="BB19" s="348"/>
      <c r="BC19" s="348"/>
      <c r="BD19" s="349"/>
    </row>
    <row r="20" spans="1:61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377">
        <v>2</v>
      </c>
      <c r="AJ20" s="378">
        <v>0.1</v>
      </c>
      <c r="AL20" s="348"/>
      <c r="AM20" s="348"/>
      <c r="AN20" s="349"/>
      <c r="AQ20" s="377">
        <v>2</v>
      </c>
      <c r="AR20" s="378">
        <v>0.1</v>
      </c>
      <c r="AT20" s="348"/>
      <c r="AU20" s="348"/>
      <c r="AV20" s="349"/>
      <c r="AY20" s="377">
        <v>2</v>
      </c>
      <c r="AZ20" s="378">
        <v>0.1</v>
      </c>
      <c r="BB20" s="348"/>
      <c r="BC20" s="348"/>
      <c r="BD20" s="349"/>
    </row>
    <row r="21" spans="1:61" x14ac:dyDescent="0.25">
      <c r="B21" s="348"/>
      <c r="C21" s="348"/>
      <c r="D21" s="348"/>
      <c r="E21" s="348"/>
      <c r="F21" s="348"/>
      <c r="G21" s="349"/>
    </row>
    <row r="22" spans="1:61" x14ac:dyDescent="0.25">
      <c r="B22" s="348"/>
      <c r="C22" s="348"/>
      <c r="D22" s="348"/>
      <c r="E22" s="348"/>
      <c r="F22" s="348"/>
      <c r="G22" s="349"/>
    </row>
    <row r="23" spans="1:61" s="348" customFormat="1" ht="18.75" x14ac:dyDescent="0.3">
      <c r="A23"/>
      <c r="B23" s="3" t="s">
        <v>382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</row>
    <row r="25" spans="1:61" s="348" customFormat="1" x14ac:dyDescent="0.25">
      <c r="A25"/>
      <c r="B25" s="59" t="s">
        <v>159</v>
      </c>
      <c r="C25" s="350" t="str" cm="1">
        <f t="array" ref="C25">_xll.d.TestUtils_And(L30,Y30,AK30,AW30,BI30)</f>
        <v>Ok</v>
      </c>
    </row>
    <row r="27" spans="1:61" ht="15.75" x14ac:dyDescent="0.25">
      <c r="B27" s="4" t="s">
        <v>383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384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385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386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Y27" s="4" t="s">
        <v>376</v>
      </c>
      <c r="AZ27" s="357"/>
      <c r="BA27" s="357"/>
      <c r="BB27" s="357"/>
      <c r="BC27" s="357"/>
      <c r="BD27" s="357"/>
      <c r="BE27" s="357"/>
      <c r="BF27" s="357"/>
      <c r="BG27" s="357"/>
      <c r="BH27" s="357"/>
      <c r="BI27" s="357"/>
    </row>
    <row r="28" spans="1:61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Y28" s="348"/>
      <c r="AZ28" s="348"/>
      <c r="BA28" s="348"/>
      <c r="BB28" s="348"/>
      <c r="BC28" s="348"/>
      <c r="BD28" s="349"/>
    </row>
    <row r="29" spans="1:61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 t="s">
        <v>253</v>
      </c>
      <c r="AW29" s="134" t="s">
        <v>84</v>
      </c>
      <c r="AY29" s="382" t="s">
        <v>251</v>
      </c>
      <c r="AZ29" s="206"/>
      <c r="BA29" s="206"/>
      <c r="BB29" s="389"/>
      <c r="BC29" s="389"/>
      <c r="BD29" s="383"/>
      <c r="BE29" s="215"/>
      <c r="BG29" s="134" t="s">
        <v>133</v>
      </c>
      <c r="BH29" s="134" t="s">
        <v>253</v>
      </c>
      <c r="BI29" s="134" t="s">
        <v>84</v>
      </c>
    </row>
    <row r="30" spans="1:61" x14ac:dyDescent="0.25">
      <c r="A30" s="149"/>
      <c r="B30" s="384"/>
      <c r="C30" s="386" t="s">
        <v>380</v>
      </c>
      <c r="D30" s="389"/>
      <c r="E30" s="389"/>
      <c r="F30" s="387"/>
      <c r="G30" s="391" t="s">
        <v>381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380</v>
      </c>
      <c r="P30" s="389"/>
      <c r="Q30" s="389"/>
      <c r="R30" s="387"/>
      <c r="S30" s="391" t="s">
        <v>381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380</v>
      </c>
      <c r="AC30" s="389"/>
      <c r="AD30" s="389"/>
      <c r="AE30" s="387"/>
      <c r="AF30" s="391" t="s">
        <v>381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380</v>
      </c>
      <c r="AO30" s="389"/>
      <c r="AP30" s="389"/>
      <c r="AQ30" s="387"/>
      <c r="AR30" s="391" t="s">
        <v>381</v>
      </c>
      <c r="AS30" s="390"/>
      <c r="AU30" s="375" t="str" cm="1">
        <f t="array" ref="AU30">_xll.d.Math_Interpolate2D(AM31:AQ36,AR32,AS32,"linear")</f>
        <v>#∂Excel Error: Extrapolation not supported.</v>
      </c>
      <c r="AV30" s="376" t="s">
        <v>387</v>
      </c>
      <c r="AW30" s="360" t="str" cm="1">
        <f t="array" ref="AW30">_xll.d.TestUtils_Equal(AU30,AV30)</f>
        <v>Ok</v>
      </c>
      <c r="AY30" s="384"/>
      <c r="AZ30" s="386" t="s">
        <v>380</v>
      </c>
      <c r="BA30" s="389"/>
      <c r="BB30" s="389"/>
      <c r="BC30" s="387"/>
      <c r="BD30" s="391" t="s">
        <v>381</v>
      </c>
      <c r="BE30" s="390"/>
      <c r="BG30" s="375" t="str" cm="1">
        <f t="array" ref="BG30">_xll.d.Math_Interpolate2D(AY31:BC36,BD32,BE32,"magic")</f>
        <v>#∂Excel Error: Unsupported interpolation: 'magic'</v>
      </c>
      <c r="BH30" s="376" t="s">
        <v>507</v>
      </c>
      <c r="BI30" s="360" t="str" cm="1">
        <f t="array" ref="BI30">_xll.d.TestUtils_Equal(BG30,BH30)</f>
        <v>Ok</v>
      </c>
    </row>
    <row r="31" spans="1:61" x14ac:dyDescent="0.25">
      <c r="A31" s="149"/>
      <c r="B31" s="385" t="s">
        <v>379</v>
      </c>
      <c r="C31" s="394">
        <v>0</v>
      </c>
      <c r="D31" s="395">
        <v>1</v>
      </c>
      <c r="E31" s="395">
        <v>2</v>
      </c>
      <c r="F31" s="396">
        <v>3</v>
      </c>
      <c r="G31" s="392" t="s">
        <v>378</v>
      </c>
      <c r="H31" s="133" t="s">
        <v>377</v>
      </c>
      <c r="N31" s="385" t="s">
        <v>379</v>
      </c>
      <c r="O31" s="394">
        <v>0</v>
      </c>
      <c r="P31" s="395">
        <v>1</v>
      </c>
      <c r="Q31" s="395">
        <v>2</v>
      </c>
      <c r="R31" s="396">
        <v>3</v>
      </c>
      <c r="S31" s="392" t="s">
        <v>378</v>
      </c>
      <c r="T31" s="133" t="s">
        <v>377</v>
      </c>
      <c r="AA31" s="385" t="s">
        <v>379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378</v>
      </c>
      <c r="AG31" s="133" t="s">
        <v>377</v>
      </c>
      <c r="AM31" s="385" t="s">
        <v>379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378</v>
      </c>
      <c r="AS31" s="133" t="s">
        <v>377</v>
      </c>
      <c r="AY31" s="385" t="s">
        <v>379</v>
      </c>
      <c r="AZ31" s="394">
        <v>0</v>
      </c>
      <c r="BA31" s="395">
        <v>1</v>
      </c>
      <c r="BB31" s="395">
        <v>2</v>
      </c>
      <c r="BC31" s="396">
        <v>3</v>
      </c>
      <c r="BD31" s="392" t="s">
        <v>378</v>
      </c>
      <c r="BE31" s="133" t="s">
        <v>377</v>
      </c>
    </row>
    <row r="32" spans="1:61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Y32" s="381">
        <v>0</v>
      </c>
      <c r="AZ32" s="397">
        <v>1</v>
      </c>
      <c r="BA32" s="398">
        <v>2</v>
      </c>
      <c r="BB32" s="399">
        <v>3</v>
      </c>
      <c r="BC32" s="400">
        <v>4</v>
      </c>
      <c r="BD32" s="393">
        <v>2.5</v>
      </c>
      <c r="BE32" s="388">
        <v>1.5</v>
      </c>
    </row>
    <row r="33" spans="2:55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Y33" s="405">
        <v>1</v>
      </c>
      <c r="AZ33" s="406">
        <v>5</v>
      </c>
      <c r="BA33" s="407">
        <v>6</v>
      </c>
      <c r="BB33" s="407">
        <v>7</v>
      </c>
      <c r="BC33" s="408">
        <v>8</v>
      </c>
    </row>
    <row r="34" spans="2:55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Y34" s="409">
        <v>2</v>
      </c>
      <c r="AZ34" s="406">
        <v>9</v>
      </c>
      <c r="BA34" s="407">
        <v>10</v>
      </c>
      <c r="BB34" s="407">
        <v>11</v>
      </c>
      <c r="BC34" s="408">
        <v>12</v>
      </c>
    </row>
    <row r="35" spans="2:55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Y35" s="409">
        <v>3</v>
      </c>
      <c r="AZ35" s="406">
        <v>13</v>
      </c>
      <c r="BA35" s="407">
        <v>14</v>
      </c>
      <c r="BB35" s="407">
        <v>15</v>
      </c>
      <c r="BC35" s="408">
        <v>16</v>
      </c>
    </row>
    <row r="36" spans="2:55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Y36" s="401">
        <v>4</v>
      </c>
      <c r="AZ36" s="402">
        <v>17</v>
      </c>
      <c r="BA36" s="403">
        <v>18</v>
      </c>
      <c r="BB36" s="403">
        <v>19</v>
      </c>
      <c r="BC36" s="404">
        <v>20</v>
      </c>
    </row>
  </sheetData>
  <conditionalFormatting sqref="D7:D8">
    <cfRule type="cellIs" dxfId="374" priority="130" stopIfTrue="1" operator="equal">
      <formula>"ERROR"</formula>
    </cfRule>
    <cfRule type="cellIs" dxfId="373" priority="131" stopIfTrue="1" operator="equal">
      <formula>"OK"</formula>
    </cfRule>
    <cfRule type="cellIs" dxfId="372" priority="132" stopIfTrue="1" operator="equal">
      <formula>"WARNING"</formula>
    </cfRule>
  </conditionalFormatting>
  <conditionalFormatting sqref="C4">
    <cfRule type="cellIs" dxfId="371" priority="127" stopIfTrue="1" operator="equal">
      <formula>"ERROR"</formula>
    </cfRule>
    <cfRule type="cellIs" dxfId="370" priority="128" stopIfTrue="1" operator="equal">
      <formula>"OK"</formula>
    </cfRule>
    <cfRule type="cellIs" dxfId="369" priority="129" stopIfTrue="1" operator="equal">
      <formula>"WARNING"</formula>
    </cfRule>
  </conditionalFormatting>
  <conditionalFormatting sqref="C13">
    <cfRule type="cellIs" dxfId="368" priority="124" stopIfTrue="1" operator="equal">
      <formula>"ERROR"</formula>
    </cfRule>
  </conditionalFormatting>
  <conditionalFormatting sqref="C13">
    <cfRule type="cellIs" dxfId="367" priority="125" stopIfTrue="1" operator="equal">
      <formula>"OK"</formula>
    </cfRule>
  </conditionalFormatting>
  <conditionalFormatting sqref="C13">
    <cfRule type="cellIs" dxfId="366" priority="126" stopIfTrue="1" operator="equal">
      <formula>"WARNING"</formula>
    </cfRule>
  </conditionalFormatting>
  <conditionalFormatting sqref="H18">
    <cfRule type="cellIs" dxfId="365" priority="133" stopIfTrue="1" operator="equal">
      <formula>"ERROR"</formula>
    </cfRule>
    <cfRule type="cellIs" dxfId="364" priority="134" stopIfTrue="1" operator="equal">
      <formula>"OK"</formula>
    </cfRule>
    <cfRule type="cellIs" dxfId="363" priority="135" stopIfTrue="1" operator="equal">
      <formula>"WARNING"</formula>
    </cfRule>
  </conditionalFormatting>
  <conditionalFormatting sqref="C25">
    <cfRule type="cellIs" dxfId="362" priority="103" stopIfTrue="1" operator="equal">
      <formula>"ERROR"</formula>
    </cfRule>
  </conditionalFormatting>
  <conditionalFormatting sqref="C25">
    <cfRule type="cellIs" dxfId="361" priority="104" stopIfTrue="1" operator="equal">
      <formula>"OK"</formula>
    </cfRule>
  </conditionalFormatting>
  <conditionalFormatting sqref="C25">
    <cfRule type="cellIs" dxfId="360" priority="105" stopIfTrue="1" operator="equal">
      <formula>"WARNING"</formula>
    </cfRule>
  </conditionalFormatting>
  <conditionalFormatting sqref="P18">
    <cfRule type="cellIs" dxfId="359" priority="34" stopIfTrue="1" operator="equal">
      <formula>"ERROR"</formula>
    </cfRule>
    <cfRule type="cellIs" dxfId="358" priority="35" stopIfTrue="1" operator="equal">
      <formula>"OK"</formula>
    </cfRule>
    <cfRule type="cellIs" dxfId="357" priority="36" stopIfTrue="1" operator="equal">
      <formula>"WARNING"</formula>
    </cfRule>
  </conditionalFormatting>
  <conditionalFormatting sqref="Y18">
    <cfRule type="cellIs" dxfId="356" priority="31" stopIfTrue="1" operator="equal">
      <formula>"ERROR"</formula>
    </cfRule>
    <cfRule type="cellIs" dxfId="355" priority="32" stopIfTrue="1" operator="equal">
      <formula>"OK"</formula>
    </cfRule>
    <cfRule type="cellIs" dxfId="354" priority="33" stopIfTrue="1" operator="equal">
      <formula>"WARNING"</formula>
    </cfRule>
  </conditionalFormatting>
  <conditionalFormatting sqref="AG18">
    <cfRule type="cellIs" dxfId="353" priority="28" stopIfTrue="1" operator="equal">
      <formula>"ERROR"</formula>
    </cfRule>
    <cfRule type="cellIs" dxfId="352" priority="29" stopIfTrue="1" operator="equal">
      <formula>"OK"</formula>
    </cfRule>
    <cfRule type="cellIs" dxfId="351" priority="30" stopIfTrue="1" operator="equal">
      <formula>"WARNING"</formula>
    </cfRule>
  </conditionalFormatting>
  <conditionalFormatting sqref="AO18">
    <cfRule type="cellIs" dxfId="350" priority="25" stopIfTrue="1" operator="equal">
      <formula>"ERROR"</formula>
    </cfRule>
    <cfRule type="cellIs" dxfId="349" priority="26" stopIfTrue="1" operator="equal">
      <formula>"OK"</formula>
    </cfRule>
    <cfRule type="cellIs" dxfId="348" priority="27" stopIfTrue="1" operator="equal">
      <formula>"WARNING"</formula>
    </cfRule>
  </conditionalFormatting>
  <conditionalFormatting sqref="AW18">
    <cfRule type="cellIs" dxfId="347" priority="22" stopIfTrue="1" operator="equal">
      <formula>"ERROR"</formula>
    </cfRule>
    <cfRule type="cellIs" dxfId="346" priority="23" stopIfTrue="1" operator="equal">
      <formula>"OK"</formula>
    </cfRule>
    <cfRule type="cellIs" dxfId="345" priority="24" stopIfTrue="1" operator="equal">
      <formula>"WARNING"</formula>
    </cfRule>
  </conditionalFormatting>
  <conditionalFormatting sqref="BE18">
    <cfRule type="cellIs" dxfId="344" priority="19" stopIfTrue="1" operator="equal">
      <formula>"ERROR"</formula>
    </cfRule>
    <cfRule type="cellIs" dxfId="343" priority="20" stopIfTrue="1" operator="equal">
      <formula>"OK"</formula>
    </cfRule>
    <cfRule type="cellIs" dxfId="342" priority="21" stopIfTrue="1" operator="equal">
      <formula>"WARNING"</formula>
    </cfRule>
  </conditionalFormatting>
  <conditionalFormatting sqref="L30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Y30">
    <cfRule type="cellIs" dxfId="338" priority="10" stopIfTrue="1" operator="equal">
      <formula>"ERROR"</formula>
    </cfRule>
    <cfRule type="cellIs" dxfId="337" priority="11" stopIfTrue="1" operator="equal">
      <formula>"OK"</formula>
    </cfRule>
    <cfRule type="cellIs" dxfId="336" priority="12" stopIfTrue="1" operator="equal">
      <formula>"WARNING"</formula>
    </cfRule>
  </conditionalFormatting>
  <conditionalFormatting sqref="AK30">
    <cfRule type="cellIs" dxfId="335" priority="7" stopIfTrue="1" operator="equal">
      <formula>"ERROR"</formula>
    </cfRule>
    <cfRule type="cellIs" dxfId="334" priority="8" stopIfTrue="1" operator="equal">
      <formula>"OK"</formula>
    </cfRule>
    <cfRule type="cellIs" dxfId="333" priority="9" stopIfTrue="1" operator="equal">
      <formula>"WARNING"</formula>
    </cfRule>
  </conditionalFormatting>
  <conditionalFormatting sqref="AW30">
    <cfRule type="cellIs" dxfId="332" priority="4" stopIfTrue="1" operator="equal">
      <formula>"ERROR"</formula>
    </cfRule>
    <cfRule type="cellIs" dxfId="331" priority="5" stopIfTrue="1" operator="equal">
      <formula>"OK"</formula>
    </cfRule>
    <cfRule type="cellIs" dxfId="330" priority="6" stopIfTrue="1" operator="equal">
      <formula>"WARNING"</formula>
    </cfRule>
  </conditionalFormatting>
  <conditionalFormatting sqref="BI30">
    <cfRule type="cellIs" dxfId="329" priority="1" stopIfTrue="1" operator="equal">
      <formula>"ERROR"</formula>
    </cfRule>
    <cfRule type="cellIs" dxfId="328" priority="2" stopIfTrue="1" operator="equal">
      <formula>"OK"</formula>
    </cfRule>
    <cfRule type="cellIs" dxfId="32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Y87"/>
  <sheetViews>
    <sheetView showGridLines="0" topLeftCell="T43" zoomScaleNormal="100" workbookViewId="0">
      <selection activeCell="AC51" sqref="AC51"/>
    </sheetView>
  </sheetViews>
  <sheetFormatPr defaultColWidth="14.75" defaultRowHeight="15" x14ac:dyDescent="0.25"/>
  <cols>
    <col min="1" max="1" width="3.75" customWidth="1"/>
    <col min="19" max="19" width="10" customWidth="1"/>
    <col min="20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0" x14ac:dyDescent="0.25">
      <c r="B1" s="458" t="s">
        <v>416</v>
      </c>
    </row>
    <row r="2" spans="1:50" ht="26.25" x14ac:dyDescent="0.4">
      <c r="B2" s="2" t="s">
        <v>390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0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0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0" x14ac:dyDescent="0.25">
      <c r="B7" s="457" t="s">
        <v>391</v>
      </c>
      <c r="C7" s="216"/>
      <c r="D7" s="350" t="str">
        <f>C14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0" x14ac:dyDescent="0.25">
      <c r="B8" s="457" t="s">
        <v>392</v>
      </c>
      <c r="C8" s="216"/>
      <c r="D8" s="350" t="str">
        <f>C27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0" x14ac:dyDescent="0.25">
      <c r="B9" s="457" t="s">
        <v>393</v>
      </c>
      <c r="C9" s="216"/>
      <c r="D9" s="350" t="str">
        <f ca="1">C43</f>
        <v>Ok</v>
      </c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2" spans="1:50" s="348" customFormat="1" ht="18.75" x14ac:dyDescent="0.3">
      <c r="A12"/>
      <c r="B12" s="3" t="s">
        <v>391</v>
      </c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  <c r="AM12" s="356"/>
      <c r="AN12" s="356"/>
      <c r="AO12" s="356"/>
      <c r="AP12" s="356"/>
      <c r="AQ12" s="356"/>
      <c r="AR12" s="356"/>
      <c r="AS12" s="356"/>
      <c r="AT12" s="356"/>
      <c r="AU12" s="356"/>
      <c r="AV12" s="356"/>
      <c r="AW12" s="356"/>
      <c r="AX12" s="356"/>
    </row>
    <row r="13" spans="1:50" x14ac:dyDescent="0.25">
      <c r="AX13" s="495"/>
    </row>
    <row r="14" spans="1:50" x14ac:dyDescent="0.25">
      <c r="B14" s="59" t="s">
        <v>159</v>
      </c>
      <c r="C14" s="350" t="str" cm="1">
        <f t="array" ref="C14">_xll.d.TestUtils_And(L19:N21,Z19,AL19,AX19)</f>
        <v>Ok</v>
      </c>
      <c r="D14" s="348"/>
      <c r="E14" s="348"/>
      <c r="F14" s="348"/>
      <c r="G14" s="348"/>
      <c r="H14" s="348"/>
      <c r="I14" s="348"/>
      <c r="J14" s="348"/>
      <c r="K14" s="348"/>
      <c r="U14" s="495"/>
      <c r="V14" s="495"/>
      <c r="W14" s="495"/>
      <c r="Y14" s="495"/>
      <c r="Z14" s="495"/>
      <c r="AA14" s="495"/>
      <c r="AI14" s="495"/>
      <c r="AJ14" s="495"/>
      <c r="AK14" s="495"/>
      <c r="AX14" s="495"/>
    </row>
    <row r="15" spans="1:50" x14ac:dyDescent="0.25">
      <c r="B15" s="348"/>
      <c r="C15" s="348"/>
      <c r="D15" s="348"/>
      <c r="E15" s="348"/>
      <c r="F15" s="348"/>
      <c r="G15" s="348"/>
      <c r="H15" s="348"/>
      <c r="I15" s="349"/>
      <c r="J15" s="349"/>
      <c r="K15" s="349"/>
      <c r="U15" s="495"/>
      <c r="V15" s="495"/>
      <c r="W15" s="495"/>
      <c r="Y15" s="495"/>
      <c r="Z15" s="495"/>
      <c r="AA15" s="495"/>
      <c r="AI15" s="495"/>
      <c r="AJ15" s="495"/>
      <c r="AK15" s="495"/>
      <c r="AL15" s="495"/>
      <c r="AX15" s="495"/>
    </row>
    <row r="16" spans="1:50" ht="15.75" x14ac:dyDescent="0.25">
      <c r="B16" s="4" t="s">
        <v>394</v>
      </c>
      <c r="C16" s="357"/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P16" s="4" t="s">
        <v>396</v>
      </c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B16" s="4" t="s">
        <v>397</v>
      </c>
      <c r="AC16" s="357"/>
      <c r="AD16" s="357"/>
      <c r="AE16" s="357"/>
      <c r="AF16" s="357"/>
      <c r="AG16" s="357"/>
      <c r="AH16" s="357"/>
      <c r="AI16" s="357"/>
      <c r="AJ16" s="357"/>
      <c r="AK16" s="357"/>
      <c r="AL16" s="357"/>
      <c r="AN16" s="4" t="s">
        <v>398</v>
      </c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</row>
    <row r="17" spans="2:51" x14ac:dyDescent="0.25">
      <c r="B17" s="348"/>
      <c r="C17" s="348"/>
      <c r="D17" s="348"/>
      <c r="E17" s="348"/>
      <c r="F17" s="348"/>
      <c r="G17" s="348"/>
      <c r="H17" s="348"/>
      <c r="I17" s="349"/>
      <c r="J17" s="349"/>
      <c r="K17" s="349"/>
      <c r="P17" s="348"/>
      <c r="Q17" s="348"/>
      <c r="R17" s="348"/>
      <c r="S17" s="348"/>
      <c r="T17" s="348"/>
      <c r="U17" s="348"/>
      <c r="V17" s="348"/>
      <c r="W17" s="349"/>
      <c r="X17" s="349"/>
      <c r="Y17" s="349"/>
      <c r="AB17" s="348"/>
      <c r="AC17" s="348"/>
      <c r="AD17" s="348"/>
      <c r="AE17" s="348"/>
      <c r="AF17" s="348"/>
      <c r="AG17" s="348"/>
      <c r="AH17" s="348"/>
      <c r="AI17" s="348"/>
      <c r="AJ17" s="348"/>
      <c r="AK17" s="349"/>
      <c r="AN17" s="348"/>
      <c r="AO17" s="348"/>
      <c r="AP17" s="348"/>
      <c r="AQ17" s="348"/>
      <c r="AR17" s="348"/>
      <c r="AS17" s="348"/>
      <c r="AT17" s="348"/>
      <c r="AU17" s="348"/>
      <c r="AV17" s="349"/>
      <c r="AW17" s="349"/>
      <c r="AX17" s="349"/>
      <c r="AY17" s="349"/>
    </row>
    <row r="18" spans="2:51" x14ac:dyDescent="0.25">
      <c r="B18" s="134" t="s">
        <v>251</v>
      </c>
      <c r="C18" s="206"/>
      <c r="D18" s="135"/>
      <c r="F18" s="134" t="s">
        <v>133</v>
      </c>
      <c r="G18" s="134"/>
      <c r="H18" s="134"/>
      <c r="I18" s="134" t="s">
        <v>253</v>
      </c>
      <c r="J18" s="134"/>
      <c r="K18" s="134"/>
      <c r="L18" s="134" t="s">
        <v>84</v>
      </c>
      <c r="M18" s="391"/>
      <c r="N18" s="391"/>
      <c r="P18" s="134" t="s">
        <v>251</v>
      </c>
      <c r="Q18" s="206"/>
      <c r="R18" s="135"/>
      <c r="T18" s="134" t="s">
        <v>133</v>
      </c>
      <c r="U18" s="134"/>
      <c r="V18" s="134"/>
      <c r="W18" s="134" t="s">
        <v>253</v>
      </c>
      <c r="X18" s="134"/>
      <c r="Y18" s="134"/>
      <c r="Z18" s="134" t="s">
        <v>84</v>
      </c>
      <c r="AB18" s="134" t="s">
        <v>251</v>
      </c>
      <c r="AC18" s="206"/>
      <c r="AD18" s="135"/>
      <c r="AF18" s="134" t="s">
        <v>133</v>
      </c>
      <c r="AG18" s="134"/>
      <c r="AH18" s="134"/>
      <c r="AI18" s="134" t="s">
        <v>253</v>
      </c>
      <c r="AJ18" s="134"/>
      <c r="AK18" s="134"/>
      <c r="AL18" s="134" t="s">
        <v>84</v>
      </c>
      <c r="AN18" s="134" t="s">
        <v>251</v>
      </c>
      <c r="AO18" s="206"/>
      <c r="AP18" s="135"/>
      <c r="AR18" s="134" t="s">
        <v>133</v>
      </c>
      <c r="AS18" s="134"/>
      <c r="AT18" s="134"/>
      <c r="AU18" s="134" t="s">
        <v>253</v>
      </c>
      <c r="AV18" s="134"/>
      <c r="AW18" s="134"/>
      <c r="AX18" s="134" t="s">
        <v>84</v>
      </c>
    </row>
    <row r="19" spans="2:51" x14ac:dyDescent="0.25">
      <c r="B19" s="411" t="s">
        <v>395</v>
      </c>
      <c r="C19" s="412"/>
      <c r="D19" s="413"/>
      <c r="F19" s="410">
        <f t="array" ref="F19:H21">_xll.d.Stats_Cholesky(B20:D22)</f>
        <v>1</v>
      </c>
      <c r="G19" s="307">
        <v>0.75</v>
      </c>
      <c r="H19" s="308">
        <v>0.5</v>
      </c>
      <c r="I19" s="410">
        <v>1</v>
      </c>
      <c r="J19" s="307">
        <v>0.75</v>
      </c>
      <c r="K19" s="308">
        <v>0.5</v>
      </c>
      <c r="L19" s="360" t="str" cm="1">
        <f t="array" ref="L19">_xll.d.TestUtils_Equal(F19,I19)</f>
        <v>Ok</v>
      </c>
      <c r="M19" s="360" t="str" cm="1">
        <f t="array" ref="M19">_xll.d.TestUtils_Equal(G19,J19)</f>
        <v>Ok</v>
      </c>
      <c r="N19" s="360" t="str" cm="1">
        <f t="array" ref="N19">_xll.d.TestUtils_Equal(H19,K19)</f>
        <v>Ok</v>
      </c>
      <c r="P19" s="411" t="s">
        <v>395</v>
      </c>
      <c r="Q19" s="412"/>
      <c r="R19" s="413"/>
      <c r="T19" s="611" t="str" cm="1">
        <f t="array" ref="T19">_xll.d.Stats_Cholesky(P20:R21)</f>
        <v>#∂Excel Error: Matrix is not square.</v>
      </c>
      <c r="U19" s="613"/>
      <c r="V19" s="613"/>
      <c r="W19" s="613" t="s">
        <v>508</v>
      </c>
      <c r="X19" s="613"/>
      <c r="Y19" s="613"/>
      <c r="Z19" s="360" t="str" cm="1">
        <f t="array" ref="Z19">_xll.d.TestUtils_Equal(T19,W19)</f>
        <v>Ok</v>
      </c>
      <c r="AB19" s="411" t="s">
        <v>395</v>
      </c>
      <c r="AC19" s="412"/>
      <c r="AD19" s="413"/>
      <c r="AF19" s="614" t="str" cm="1">
        <f t="array" ref="AF19">_xll.d.Stats_Cholesky(AB20:AD22)</f>
        <v>#∂Excel Error: Matrix is not symmetric.</v>
      </c>
      <c r="AG19" s="615"/>
      <c r="AH19" s="615"/>
      <c r="AI19" s="617" t="s">
        <v>509</v>
      </c>
      <c r="AJ19" s="615"/>
      <c r="AK19" s="616"/>
      <c r="AL19" s="360" t="str" cm="1">
        <f t="array" ref="AL19">_xll.d.TestUtils_Equal(AF19,AI19)</f>
        <v>Ok</v>
      </c>
      <c r="AN19" s="411" t="s">
        <v>395</v>
      </c>
      <c r="AO19" s="412"/>
      <c r="AP19" s="413"/>
      <c r="AR19" s="614" t="str" cm="1">
        <f t="array" ref="AR19">_xll.d.Stats_Cholesky(AN20:AP22)</f>
        <v>#∂Excel Error: Matrix is not positive-definite.</v>
      </c>
      <c r="AS19" s="615"/>
      <c r="AT19" s="615"/>
      <c r="AU19" s="615" t="s">
        <v>510</v>
      </c>
      <c r="AV19" s="616"/>
      <c r="AW19" s="612"/>
      <c r="AX19" s="360" t="str" cm="1">
        <f t="array" ref="AX19">_xll.d.TestUtils_Equal(AR19,AU19)</f>
        <v>Ok</v>
      </c>
    </row>
    <row r="20" spans="2:51" x14ac:dyDescent="0.25">
      <c r="B20" s="410">
        <v>1</v>
      </c>
      <c r="C20" s="307">
        <v>0.75</v>
      </c>
      <c r="D20" s="308">
        <v>0.5</v>
      </c>
      <c r="E20" s="348"/>
      <c r="F20" s="417">
        <v>0</v>
      </c>
      <c r="G20" s="418">
        <v>0.66143782776614768</v>
      </c>
      <c r="H20" s="419">
        <v>0.56694670951384085</v>
      </c>
      <c r="I20" s="417">
        <v>0</v>
      </c>
      <c r="J20" s="418">
        <v>0.66143782776614768</v>
      </c>
      <c r="K20" s="419">
        <v>0.56694670951384085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0">
        <v>1</v>
      </c>
      <c r="Q20" s="307">
        <v>0.75</v>
      </c>
      <c r="R20" s="308">
        <v>0.5</v>
      </c>
      <c r="S20" s="348"/>
      <c r="U20" s="495"/>
      <c r="V20" s="495"/>
      <c r="X20" s="495"/>
      <c r="Y20" s="495"/>
      <c r="AB20" s="410">
        <v>1</v>
      </c>
      <c r="AC20" s="307">
        <v>0.75</v>
      </c>
      <c r="AD20" s="308">
        <v>10</v>
      </c>
      <c r="AE20" s="348"/>
      <c r="AG20" s="495"/>
      <c r="AH20" s="495"/>
      <c r="AI20" s="495"/>
      <c r="AJ20" s="495"/>
      <c r="AN20" s="410">
        <v>1</v>
      </c>
      <c r="AO20" s="307">
        <v>2</v>
      </c>
      <c r="AP20" s="308">
        <v>3</v>
      </c>
      <c r="AQ20" s="348"/>
      <c r="AS20" s="495"/>
      <c r="AT20" s="495"/>
      <c r="AV20" s="495"/>
      <c r="AW20" s="495"/>
    </row>
    <row r="21" spans="2:51" x14ac:dyDescent="0.25">
      <c r="B21" s="417">
        <v>0.75</v>
      </c>
      <c r="C21" s="418">
        <v>1</v>
      </c>
      <c r="D21" s="419">
        <v>0.75</v>
      </c>
      <c r="E21" s="348"/>
      <c r="F21" s="414">
        <v>0</v>
      </c>
      <c r="G21" s="415">
        <v>0</v>
      </c>
      <c r="H21" s="416">
        <v>0.65465367070797709</v>
      </c>
      <c r="I21" s="414">
        <v>0</v>
      </c>
      <c r="J21" s="415">
        <v>0</v>
      </c>
      <c r="K21" s="416">
        <v>0.65465367070797709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4">
        <v>0.75</v>
      </c>
      <c r="Q21" s="415">
        <v>1</v>
      </c>
      <c r="R21" s="416">
        <v>0.75</v>
      </c>
      <c r="S21" s="348"/>
      <c r="U21" s="495"/>
      <c r="V21" s="495"/>
      <c r="X21" s="495"/>
      <c r="Y21" s="495"/>
      <c r="AB21" s="417">
        <v>0.75</v>
      </c>
      <c r="AC21" s="418">
        <v>1</v>
      </c>
      <c r="AD21" s="419">
        <v>0.75</v>
      </c>
      <c r="AE21" s="348"/>
      <c r="AG21" s="495"/>
      <c r="AH21" s="495"/>
      <c r="AI21" s="495"/>
      <c r="AJ21" s="495"/>
      <c r="AN21" s="417">
        <v>2</v>
      </c>
      <c r="AO21" s="418">
        <v>3</v>
      </c>
      <c r="AP21" s="419">
        <v>4</v>
      </c>
      <c r="AQ21" s="348"/>
      <c r="AS21" s="495"/>
      <c r="AT21" s="495"/>
      <c r="AU21" s="495"/>
      <c r="AW21" s="495"/>
      <c r="AX21" s="495"/>
      <c r="AY21" s="495"/>
    </row>
    <row r="22" spans="2:51" x14ac:dyDescent="0.25">
      <c r="B22" s="414">
        <v>0.5</v>
      </c>
      <c r="C22" s="415">
        <v>0.75</v>
      </c>
      <c r="D22" s="416">
        <v>1</v>
      </c>
      <c r="U22" s="495"/>
      <c r="V22" s="495"/>
      <c r="X22" s="495"/>
      <c r="Y22" s="495"/>
      <c r="AB22" s="414">
        <v>0.5</v>
      </c>
      <c r="AC22" s="415">
        <v>0.75</v>
      </c>
      <c r="AD22" s="416">
        <v>1</v>
      </c>
      <c r="AG22" s="495"/>
      <c r="AH22" s="495"/>
      <c r="AI22" s="495"/>
      <c r="AJ22" s="495"/>
      <c r="AN22" s="414">
        <v>3</v>
      </c>
      <c r="AO22" s="415">
        <v>4</v>
      </c>
      <c r="AP22" s="416">
        <v>5</v>
      </c>
      <c r="AS22" s="495"/>
      <c r="AT22" s="495"/>
      <c r="AU22" s="495"/>
      <c r="AW22" s="495"/>
      <c r="AX22" s="495"/>
      <c r="AY22" s="495"/>
    </row>
    <row r="23" spans="2:51" x14ac:dyDescent="0.25">
      <c r="U23" s="495"/>
      <c r="V23" s="495"/>
      <c r="W23" s="495"/>
      <c r="Y23" s="495"/>
      <c r="Z23" s="495"/>
      <c r="AH23" s="495"/>
      <c r="AI23" s="495"/>
      <c r="AJ23" s="495"/>
      <c r="AK23" s="495"/>
      <c r="AS23" s="495"/>
      <c r="AT23" s="495"/>
      <c r="AU23" s="495"/>
      <c r="AW23" s="495"/>
      <c r="AX23" s="495"/>
      <c r="AY23" s="495"/>
    </row>
    <row r="24" spans="2:51" x14ac:dyDescent="0.25">
      <c r="U24" s="495"/>
      <c r="V24" s="495"/>
      <c r="W24" s="495"/>
      <c r="Y24" s="495"/>
      <c r="Z24" s="495"/>
      <c r="AA24" s="495"/>
      <c r="AI24" s="495"/>
      <c r="AJ24" s="495"/>
      <c r="AL24" s="495"/>
      <c r="AS24" s="495"/>
      <c r="AT24" s="495"/>
      <c r="AU24" s="495"/>
      <c r="AW24" s="495"/>
      <c r="AX24" s="495"/>
      <c r="AY24" s="495"/>
    </row>
    <row r="25" spans="2:51" ht="18.75" x14ac:dyDescent="0.3">
      <c r="B25" s="3" t="s">
        <v>392</v>
      </c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S25" s="495"/>
      <c r="AT25" s="495"/>
      <c r="AU25" s="495"/>
    </row>
    <row r="27" spans="2:51" x14ac:dyDescent="0.25">
      <c r="B27" s="59" t="s">
        <v>159</v>
      </c>
      <c r="C27" s="350" t="str" cm="1">
        <f t="array" ref="C27">_xll.d.TestUtils_And(L33:M34,AB33:AD35)</f>
        <v>Ok</v>
      </c>
      <c r="D27" s="348"/>
      <c r="E27" s="348"/>
      <c r="F27" s="348"/>
      <c r="G27" s="348"/>
      <c r="H27" s="348"/>
      <c r="I27" s="348"/>
      <c r="J27" s="348"/>
      <c r="K27" s="348"/>
    </row>
    <row r="28" spans="2:51" x14ac:dyDescent="0.25">
      <c r="B28" s="348"/>
      <c r="C28" s="348"/>
      <c r="D28" s="348"/>
      <c r="E28" s="348"/>
      <c r="F28" s="348"/>
      <c r="G28" s="348"/>
      <c r="H28" s="348"/>
      <c r="I28" s="349"/>
      <c r="J28" s="349"/>
      <c r="K28" s="349"/>
    </row>
    <row r="29" spans="2:51" ht="15.75" x14ac:dyDescent="0.25">
      <c r="B29" s="4" t="s">
        <v>399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O29" s="4" t="s">
        <v>401</v>
      </c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</row>
    <row r="30" spans="2:51" x14ac:dyDescent="0.25">
      <c r="B30" s="348"/>
      <c r="C30" s="348"/>
      <c r="D30" s="348"/>
      <c r="E30" s="348"/>
      <c r="F30" s="348"/>
      <c r="G30" s="348"/>
      <c r="H30" s="348"/>
      <c r="I30" s="349"/>
      <c r="J30" s="349"/>
      <c r="K30" s="349"/>
      <c r="O30" s="348"/>
      <c r="P30" s="348"/>
      <c r="Q30" s="348"/>
      <c r="R30" s="348"/>
      <c r="S30" s="348"/>
      <c r="T30" s="348"/>
      <c r="U30" s="348"/>
      <c r="V30" s="349"/>
      <c r="W30" s="349"/>
      <c r="X30" s="349"/>
    </row>
    <row r="31" spans="2:51" x14ac:dyDescent="0.25">
      <c r="B31" s="134" t="s">
        <v>251</v>
      </c>
      <c r="C31" s="206"/>
      <c r="E31" s="134" t="s">
        <v>133</v>
      </c>
      <c r="F31" s="134"/>
      <c r="G31" s="134"/>
      <c r="H31" s="134" t="s">
        <v>253</v>
      </c>
      <c r="I31" s="134"/>
      <c r="J31" s="134"/>
      <c r="K31" s="134" t="s">
        <v>84</v>
      </c>
      <c r="L31" s="391"/>
      <c r="M31" s="391"/>
      <c r="O31" s="134" t="s">
        <v>251</v>
      </c>
      <c r="P31" s="206"/>
      <c r="Q31" s="391"/>
      <c r="S31" s="134" t="s">
        <v>133</v>
      </c>
      <c r="T31" s="134"/>
      <c r="U31" s="134"/>
      <c r="V31" s="134"/>
      <c r="W31" s="134" t="s">
        <v>253</v>
      </c>
      <c r="X31" s="134"/>
      <c r="Y31" s="134"/>
      <c r="Z31" s="134"/>
      <c r="AA31" s="134" t="s">
        <v>84</v>
      </c>
      <c r="AB31" s="391"/>
      <c r="AC31" s="391"/>
      <c r="AD31" s="391"/>
    </row>
    <row r="32" spans="2:51" x14ac:dyDescent="0.25">
      <c r="B32" s="420" t="s">
        <v>378</v>
      </c>
      <c r="C32" s="421" t="s">
        <v>377</v>
      </c>
      <c r="E32" s="435"/>
      <c r="F32" s="433" t="s">
        <v>378</v>
      </c>
      <c r="G32" s="346" t="s">
        <v>377</v>
      </c>
      <c r="H32" s="435"/>
      <c r="I32" s="433" t="s">
        <v>378</v>
      </c>
      <c r="J32" s="346" t="s">
        <v>377</v>
      </c>
      <c r="K32" s="435"/>
      <c r="L32" s="433" t="s">
        <v>378</v>
      </c>
      <c r="M32" s="346" t="s">
        <v>377</v>
      </c>
      <c r="O32" s="420" t="s">
        <v>378</v>
      </c>
      <c r="P32" s="443" t="s">
        <v>377</v>
      </c>
      <c r="Q32" s="442" t="s">
        <v>400</v>
      </c>
      <c r="S32" s="435"/>
      <c r="T32" s="433" t="s">
        <v>378</v>
      </c>
      <c r="U32" s="446" t="s">
        <v>377</v>
      </c>
      <c r="V32" s="444" t="s">
        <v>400</v>
      </c>
      <c r="W32" s="435"/>
      <c r="X32" s="433" t="s">
        <v>378</v>
      </c>
      <c r="Y32" s="446" t="s">
        <v>377</v>
      </c>
      <c r="Z32" s="444" t="s">
        <v>400</v>
      </c>
      <c r="AA32" s="435"/>
      <c r="AB32" s="433" t="s">
        <v>378</v>
      </c>
      <c r="AC32" s="446" t="s">
        <v>377</v>
      </c>
      <c r="AD32" s="444" t="s">
        <v>400</v>
      </c>
    </row>
    <row r="33" spans="2:31" x14ac:dyDescent="0.25">
      <c r="B33" s="422">
        <v>1</v>
      </c>
      <c r="C33" s="423">
        <v>0.5</v>
      </c>
      <c r="D33" s="348"/>
      <c r="E33" s="434" t="s">
        <v>378</v>
      </c>
      <c r="F33" s="429" cm="1">
        <f t="array" ref="F33:G34">_xll.d.Stats_CorrelationMatrix(B33:C38)</f>
        <v>1</v>
      </c>
      <c r="G33" s="428">
        <v>0.9855793842654561</v>
      </c>
      <c r="H33" s="434" t="s">
        <v>378</v>
      </c>
      <c r="I33" s="429">
        <f>CORREL(B33:B38,B33:B38)</f>
        <v>1</v>
      </c>
      <c r="J33" s="428">
        <f>CORREL(B33:B38,C33:C38)</f>
        <v>0.98557938426545633</v>
      </c>
      <c r="K33" s="434" t="s">
        <v>378</v>
      </c>
      <c r="L33" s="360" t="str" cm="1">
        <f t="array" ref="L33">_xll.d.TestUtils_Equal(F33,I33)</f>
        <v>Ok</v>
      </c>
      <c r="M33" s="360" t="str" cm="1">
        <f t="array" ref="M33">_xll.d.TestUtils_Equal(G33,J33)</f>
        <v>Ok</v>
      </c>
      <c r="O33" s="422">
        <v>1</v>
      </c>
      <c r="P33" s="439">
        <v>0.5</v>
      </c>
      <c r="Q33" s="436">
        <v>6.5</v>
      </c>
      <c r="R33" s="348"/>
      <c r="S33" s="434" t="s">
        <v>378</v>
      </c>
      <c r="T33" s="429" cm="1">
        <f t="array" ref="T33:V35">_xll.d.Stats_CorrelationMatrix(O33:Q38)</f>
        <v>1</v>
      </c>
      <c r="U33" s="448">
        <v>0.9855793842654561</v>
      </c>
      <c r="V33" s="447">
        <v>-0.96679334300694564</v>
      </c>
      <c r="W33" s="434" t="s">
        <v>378</v>
      </c>
      <c r="X33" s="429">
        <f>CORREL($O$33:$O$38,O$33:O$38)</f>
        <v>1</v>
      </c>
      <c r="Y33" s="448">
        <f>CORREL($O$33:$O$38,P$33:P$38)</f>
        <v>0.98557938426545633</v>
      </c>
      <c r="Z33" s="447">
        <f>CORREL($O$33:$O$38,Q$33:Q$38)</f>
        <v>-0.96679334300694575</v>
      </c>
      <c r="AA33" s="434" t="s">
        <v>378</v>
      </c>
      <c r="AB33" s="360" t="str" cm="1">
        <f t="array" ref="AB33">_xll.d.TestUtils_Equal(T33,X33)</f>
        <v>Ok</v>
      </c>
      <c r="AC33" s="360" t="str" cm="1">
        <f t="array" ref="AC33">_xll.d.TestUtils_Equal(U33,Y33)</f>
        <v>Ok</v>
      </c>
      <c r="AD33" s="360" t="str" cm="1">
        <f t="array" ref="AD33">_xll.d.TestUtils_Equal(V33,Z33)</f>
        <v>Ok</v>
      </c>
    </row>
    <row r="34" spans="2:31" x14ac:dyDescent="0.25">
      <c r="B34" s="424">
        <v>2</v>
      </c>
      <c r="C34" s="425">
        <v>2.2000000000000002</v>
      </c>
      <c r="D34" s="348"/>
      <c r="E34" s="335" t="s">
        <v>377</v>
      </c>
      <c r="F34" s="430">
        <v>0.9855793842654561</v>
      </c>
      <c r="G34" s="416">
        <v>1</v>
      </c>
      <c r="H34" s="335" t="s">
        <v>377</v>
      </c>
      <c r="I34" s="430">
        <f>CORREL(B33:B38,C33:C38)</f>
        <v>0.98557938426545633</v>
      </c>
      <c r="J34" s="416">
        <f>CORREL(C33:C38,C33:C38)</f>
        <v>1.0000000000000002</v>
      </c>
      <c r="K34" s="335" t="s">
        <v>377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4">
        <v>2</v>
      </c>
      <c r="P34" s="440">
        <v>2.2000000000000002</v>
      </c>
      <c r="Q34" s="437">
        <v>5.2</v>
      </c>
      <c r="R34" s="348"/>
      <c r="S34" s="431" t="s">
        <v>377</v>
      </c>
      <c r="T34" s="449">
        <v>0.9855793842654561</v>
      </c>
      <c r="U34" s="451">
        <v>1</v>
      </c>
      <c r="V34" s="452">
        <v>-0.9461544177169412</v>
      </c>
      <c r="W34" s="431" t="s">
        <v>377</v>
      </c>
      <c r="X34" s="449">
        <f>CORREL(O$33:O$38,$P$33:$P$38)</f>
        <v>0.98557938426545633</v>
      </c>
      <c r="Y34" s="451">
        <f>CORREL(P$33:P$38,$P$33:$P$38)</f>
        <v>1.0000000000000002</v>
      </c>
      <c r="Z34" s="452">
        <f>CORREL(Q$33:Q$38,$P$33:$P$38)</f>
        <v>-0.94615441771694131</v>
      </c>
      <c r="AA34" s="431" t="s">
        <v>377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3</v>
      </c>
      <c r="C35" s="425">
        <v>2.9</v>
      </c>
      <c r="O35" s="424">
        <v>3</v>
      </c>
      <c r="P35" s="440">
        <v>2.9</v>
      </c>
      <c r="Q35" s="437">
        <v>4.9000000000000004</v>
      </c>
      <c r="S35" s="432" t="s">
        <v>400</v>
      </c>
      <c r="T35" s="430">
        <v>-0.96679334300694564</v>
      </c>
      <c r="U35" s="450">
        <v>-0.9461544177169412</v>
      </c>
      <c r="V35" s="445">
        <v>1</v>
      </c>
      <c r="W35" s="432" t="s">
        <v>400</v>
      </c>
      <c r="X35" s="430">
        <f>CORREL(O$33:O$38,$Q$33:$Q$38)</f>
        <v>-0.96679334300694575</v>
      </c>
      <c r="Y35" s="450">
        <f>CORREL(P$33:P$38,$Q$33:$Q$38)</f>
        <v>-0.94615441771694131</v>
      </c>
      <c r="Z35" s="445">
        <f>CORREL(Q$33:Q$38,$Q$33:$Q$38)</f>
        <v>0.99999999999999978</v>
      </c>
      <c r="AA35" s="432" t="s">
        <v>400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4</v>
      </c>
      <c r="C36" s="425">
        <v>4.2</v>
      </c>
      <c r="O36" s="424">
        <v>4</v>
      </c>
      <c r="P36" s="440">
        <v>4.2</v>
      </c>
      <c r="Q36" s="437">
        <v>4</v>
      </c>
    </row>
    <row r="37" spans="2:31" x14ac:dyDescent="0.25">
      <c r="B37" s="424">
        <v>5</v>
      </c>
      <c r="C37" s="425">
        <v>5</v>
      </c>
      <c r="O37" s="424">
        <v>5</v>
      </c>
      <c r="P37" s="440">
        <v>5</v>
      </c>
      <c r="Q37" s="437">
        <v>3.8</v>
      </c>
    </row>
    <row r="38" spans="2:31" x14ac:dyDescent="0.25">
      <c r="B38" s="426">
        <v>6</v>
      </c>
      <c r="C38" s="427">
        <v>5.5</v>
      </c>
      <c r="O38" s="426">
        <v>6</v>
      </c>
      <c r="P38" s="441">
        <v>5.5</v>
      </c>
      <c r="Q38" s="438">
        <v>1.9</v>
      </c>
    </row>
    <row r="41" spans="2:31" ht="18.75" x14ac:dyDescent="0.3">
      <c r="B41" s="3" t="s">
        <v>393</v>
      </c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56"/>
      <c r="AC41" s="356"/>
      <c r="AD41" s="356"/>
      <c r="AE41" s="356"/>
    </row>
    <row r="43" spans="2:31" x14ac:dyDescent="0.25">
      <c r="B43" s="59" t="s">
        <v>159</v>
      </c>
      <c r="C43" s="350" t="str" cm="1">
        <f t="array" aca="1" ref="C43" ca="1">_xll.d.TestUtils_And(J51:K51,S51:T51)</f>
        <v>Ok</v>
      </c>
      <c r="D43" s="348"/>
      <c r="E43" s="348"/>
      <c r="F43" s="348"/>
      <c r="G43" s="348"/>
      <c r="H43" s="348"/>
      <c r="I43" s="348"/>
      <c r="J43" s="348"/>
      <c r="K43" s="348"/>
    </row>
    <row r="44" spans="2:31" x14ac:dyDescent="0.25">
      <c r="B44" s="348"/>
      <c r="C44" s="348"/>
      <c r="D44" s="348"/>
      <c r="E44" s="348"/>
      <c r="F44" s="348"/>
      <c r="G44" s="348"/>
      <c r="H44" s="348"/>
      <c r="I44" s="349"/>
      <c r="J44" s="349"/>
      <c r="K44" s="349"/>
    </row>
    <row r="45" spans="2:31" ht="15.75" x14ac:dyDescent="0.25">
      <c r="B45" s="4" t="s">
        <v>405</v>
      </c>
      <c r="C45" s="357"/>
      <c r="D45" s="357"/>
      <c r="E45" s="357"/>
      <c r="F45" s="357"/>
      <c r="G45" s="357"/>
      <c r="H45" s="357"/>
      <c r="I45" s="357"/>
      <c r="J45" s="357"/>
      <c r="K45" s="357"/>
      <c r="M45" s="4" t="s">
        <v>406</v>
      </c>
      <c r="N45" s="357"/>
      <c r="O45" s="357"/>
      <c r="P45" s="357"/>
      <c r="Q45" s="357"/>
      <c r="R45" s="357"/>
      <c r="S45" s="357"/>
      <c r="T45" s="357"/>
      <c r="V45" s="4" t="s">
        <v>511</v>
      </c>
      <c r="W45" s="357"/>
      <c r="X45" s="357"/>
      <c r="Y45" s="357"/>
      <c r="Z45" s="357"/>
      <c r="AA45" s="357"/>
      <c r="AB45" s="357"/>
      <c r="AC45" s="357"/>
      <c r="AD45" s="357"/>
      <c r="AE45" s="357"/>
    </row>
    <row r="46" spans="2:31" x14ac:dyDescent="0.25">
      <c r="V46" s="495"/>
      <c r="W46" s="495"/>
      <c r="X46" s="495"/>
      <c r="Y46" s="495"/>
      <c r="Z46" s="495"/>
      <c r="AA46" s="495"/>
      <c r="AB46" s="495"/>
      <c r="AC46" s="495"/>
      <c r="AD46" s="495"/>
      <c r="AE46" s="495"/>
    </row>
    <row r="47" spans="2:31" x14ac:dyDescent="0.25">
      <c r="B47" s="453" t="s">
        <v>251</v>
      </c>
      <c r="D47" s="134" t="s">
        <v>133</v>
      </c>
      <c r="E47" s="206"/>
      <c r="F47" s="206"/>
      <c r="G47" s="206"/>
      <c r="H47" s="135"/>
      <c r="J47" s="134" t="s">
        <v>403</v>
      </c>
      <c r="K47" s="135" t="s">
        <v>404</v>
      </c>
      <c r="M47" s="134" t="s">
        <v>133</v>
      </c>
      <c r="N47" s="206"/>
      <c r="O47" s="206"/>
      <c r="P47" s="206"/>
      <c r="Q47" s="135"/>
      <c r="S47" s="134" t="s">
        <v>403</v>
      </c>
      <c r="T47" s="135" t="s">
        <v>404</v>
      </c>
      <c r="V47" s="453" t="s">
        <v>251</v>
      </c>
      <c r="W47" s="495"/>
      <c r="X47" s="134" t="s">
        <v>133</v>
      </c>
      <c r="Y47" s="206"/>
      <c r="Z47" s="206"/>
      <c r="AA47" s="206"/>
      <c r="AB47" s="135"/>
      <c r="AC47" s="495"/>
      <c r="AD47" s="134" t="s">
        <v>403</v>
      </c>
      <c r="AE47" s="135" t="s">
        <v>404</v>
      </c>
    </row>
    <row r="48" spans="2:31" x14ac:dyDescent="0.25">
      <c r="B48" s="454" t="s">
        <v>402</v>
      </c>
      <c r="D48" s="136">
        <f t="array" aca="1" ref="D48:H87" ca="1">_xll.d.Stats_NormalRandomNumbers(B49)</f>
        <v>-0.63711590014289476</v>
      </c>
      <c r="E48" s="370">
        <f ca="1"/>
        <v>0.70685522048944815</v>
      </c>
      <c r="F48" s="370">
        <f ca="1"/>
        <v>-0.31907668375768672</v>
      </c>
      <c r="G48" s="370">
        <f ca="1"/>
        <v>-0.40991003456258013</v>
      </c>
      <c r="H48" s="137">
        <f ca="1"/>
        <v>0.59461000541069997</v>
      </c>
      <c r="J48" s="455">
        <f ca="1">AVERAGE(D48:H87)</f>
        <v>9.2097931892436341E-2</v>
      </c>
      <c r="K48" s="388">
        <f ca="1">_xlfn.STDEV.S(D48:H87)</f>
        <v>0.96390177576967329</v>
      </c>
      <c r="M48" s="136">
        <f t="array" aca="1" ref="M48:Q87" ca="1">_xll.d.Stats_NormalRandomNumbers()</f>
        <v>0.12266422347557041</v>
      </c>
      <c r="N48" s="370">
        <f ca="1"/>
        <v>2.0260143493047735</v>
      </c>
      <c r="O48" s="370">
        <f ca="1"/>
        <v>-0.3597744598482463</v>
      </c>
      <c r="P48" s="370">
        <f ca="1"/>
        <v>-0.99870179068510367</v>
      </c>
      <c r="Q48" s="137">
        <f ca="1"/>
        <v>-0.47334600318902004</v>
      </c>
      <c r="S48" s="455">
        <f ca="1">AVERAGE(M48:Q87)</f>
        <v>4.7218542374995965E-3</v>
      </c>
      <c r="T48" s="388">
        <f ca="1">_xlfn.STDEV.S(M48:Q87)</f>
        <v>0.98785286456205679</v>
      </c>
      <c r="V48" s="454" t="s">
        <v>402</v>
      </c>
      <c r="W48" s="495"/>
      <c r="X48" s="136" cm="1">
        <f t="array" aca="1" ref="X48" ca="1">_xll.d.Stats_NormalRandomNumbers(V49,10,5)</f>
        <v>-0.63711590014289476</v>
      </c>
      <c r="Y48" s="370"/>
      <c r="Z48" s="370"/>
      <c r="AA48" s="370"/>
      <c r="AB48" s="137"/>
      <c r="AC48" s="495"/>
      <c r="AD48" s="455">
        <f ca="1">AVERAGE(X48:AB87)</f>
        <v>-0.63711590014289476</v>
      </c>
      <c r="AE48" s="388" t="e">
        <f ca="1">_xlfn.STDEV.S(X48:AB87)</f>
        <v>#DIV/0!</v>
      </c>
    </row>
    <row r="49" spans="2:31" x14ac:dyDescent="0.25">
      <c r="B49" s="456">
        <v>1337</v>
      </c>
      <c r="D49" s="138">
        <f ca="1"/>
        <v>0.15231246463563991</v>
      </c>
      <c r="E49" s="306">
        <f ca="1"/>
        <v>-0.33198021492010854</v>
      </c>
      <c r="F49" s="306">
        <f ca="1"/>
        <v>0.33468800840166441</v>
      </c>
      <c r="G49" s="306">
        <f ca="1"/>
        <v>2.1988514227094039E-2</v>
      </c>
      <c r="H49" s="139">
        <f ca="1"/>
        <v>-1.570800215687598</v>
      </c>
      <c r="M49" s="138">
        <f ca="1"/>
        <v>0.23486854106592239</v>
      </c>
      <c r="N49" s="306">
        <f ca="1"/>
        <v>-6.6203161185735923E-2</v>
      </c>
      <c r="O49" s="306">
        <f ca="1"/>
        <v>0.2873124687136604</v>
      </c>
      <c r="P49" s="306">
        <f ca="1"/>
        <v>-0.41790683497977721</v>
      </c>
      <c r="Q49" s="139">
        <f ca="1"/>
        <v>1.1773691096913981</v>
      </c>
      <c r="V49" s="456">
        <v>1337</v>
      </c>
      <c r="W49" s="495"/>
      <c r="X49" s="138"/>
      <c r="Y49" s="306"/>
      <c r="Z49" s="306"/>
      <c r="AA49" s="306"/>
      <c r="AB49" s="139"/>
      <c r="AC49" s="495"/>
      <c r="AD49" s="495"/>
      <c r="AE49" s="495"/>
    </row>
    <row r="50" spans="2:31" x14ac:dyDescent="0.25">
      <c r="D50" s="138">
        <f ca="1"/>
        <v>-0.9998813019474484</v>
      </c>
      <c r="E50" s="306">
        <f ca="1"/>
        <v>-0.88600131746401845</v>
      </c>
      <c r="F50" s="306">
        <f ca="1"/>
        <v>0.50499676151927686</v>
      </c>
      <c r="G50" s="306">
        <f ca="1"/>
        <v>0.59135175634258896</v>
      </c>
      <c r="H50" s="139">
        <f ca="1"/>
        <v>0.81695537082956271</v>
      </c>
      <c r="J50" s="134" t="s">
        <v>84</v>
      </c>
      <c r="K50" s="134"/>
      <c r="M50" s="138">
        <f ca="1"/>
        <v>0.56860936194591039</v>
      </c>
      <c r="N50" s="306">
        <f ca="1"/>
        <v>0.83861948605974246</v>
      </c>
      <c r="O50" s="306">
        <f ca="1"/>
        <v>-0.15849862338941334</v>
      </c>
      <c r="P50" s="306">
        <f ca="1"/>
        <v>-1.2245355120079864</v>
      </c>
      <c r="Q50" s="139">
        <f ca="1"/>
        <v>-0.21659244148250961</v>
      </c>
      <c r="S50" s="134" t="s">
        <v>84</v>
      </c>
      <c r="T50" s="134"/>
      <c r="V50" s="495"/>
      <c r="W50" s="495"/>
      <c r="X50" s="138"/>
      <c r="Y50" s="306"/>
      <c r="Z50" s="306"/>
      <c r="AA50" s="306"/>
      <c r="AB50" s="139"/>
      <c r="AC50" s="495"/>
      <c r="AD50" s="134" t="s">
        <v>84</v>
      </c>
      <c r="AE50" s="134"/>
    </row>
    <row r="51" spans="2:31" x14ac:dyDescent="0.25">
      <c r="D51" s="138">
        <f ca="1"/>
        <v>-0.79747485963926357</v>
      </c>
      <c r="E51" s="306">
        <f ca="1"/>
        <v>-6.1108551057670997E-2</v>
      </c>
      <c r="F51" s="306">
        <f ca="1"/>
        <v>0.863608628387463</v>
      </c>
      <c r="G51" s="306">
        <f ca="1"/>
        <v>-1.0507271193416956</v>
      </c>
      <c r="H51" s="139">
        <f ca="1"/>
        <v>0.4991414877992304</v>
      </c>
      <c r="J51" s="360" t="str" cm="1">
        <f t="array" aca="1" ref="J51" ca="1">_xll.d.TestUtils_Equal(ABS(J48-0)&lt;0.1,TRUE)</f>
        <v>Ok</v>
      </c>
      <c r="K51" s="360" t="str" cm="1">
        <f t="array" aca="1" ref="K51" ca="1">_xll.d.TestUtils_Equal(ABS(K48-1)&lt;0.1,TRUE)</f>
        <v>Ok</v>
      </c>
      <c r="M51" s="138">
        <f ca="1"/>
        <v>1.0121454543304982</v>
      </c>
      <c r="N51" s="306">
        <f ca="1"/>
        <v>0.84487883078025894</v>
      </c>
      <c r="O51" s="306">
        <f ca="1"/>
        <v>1.2950504002461061</v>
      </c>
      <c r="P51" s="306">
        <f ca="1"/>
        <v>0.45307414049496852</v>
      </c>
      <c r="Q51" s="139">
        <f ca="1"/>
        <v>1.3933001203930773</v>
      </c>
      <c r="S51" s="360" t="str" cm="1">
        <f t="array" aca="1" ref="S51" ca="1">_xll.d.TestUtils_Equal(ABS(S48-0)&lt;0.1,TRUE)</f>
        <v>Ok</v>
      </c>
      <c r="T51" s="360" t="str" cm="1">
        <f t="array" aca="1" ref="T51" ca="1">_xll.d.TestUtils_Equal(ABS(T48-1)&lt;0.1,TRUE)</f>
        <v>Ok</v>
      </c>
      <c r="V51" s="495"/>
      <c r="W51" s="495"/>
      <c r="X51" s="138"/>
      <c r="Y51" s="306"/>
      <c r="Z51" s="306"/>
      <c r="AA51" s="306"/>
      <c r="AB51" s="139"/>
      <c r="AC51" s="495"/>
      <c r="AD51" s="360" t="str" cm="1">
        <f t="array" aca="1" ref="AD51" ca="1">_xll.d.TestUtils_Equal(ABS(AD48-0)&lt;0.1,TRUE)</f>
        <v>Error</v>
      </c>
      <c r="AE51" s="360" t="str" cm="1">
        <f t="array" aca="1" ref="AE51" ca="1">_xll.d.TestUtils_Equal(ABS(AE48-1)&lt;0.1,TRUE)</f>
        <v>Error</v>
      </c>
    </row>
    <row r="52" spans="2:31" x14ac:dyDescent="0.25">
      <c r="D52" s="138">
        <f ca="1"/>
        <v>-0.5884160994078016</v>
      </c>
      <c r="E52" s="306">
        <f ca="1"/>
        <v>-0.55874715130596764</v>
      </c>
      <c r="F52" s="306">
        <f ca="1"/>
        <v>-2.7587630599172877</v>
      </c>
      <c r="G52" s="306">
        <f ca="1"/>
        <v>-2.2939473468112239</v>
      </c>
      <c r="H52" s="139">
        <f ca="1"/>
        <v>-0.38120894845031827</v>
      </c>
      <c r="M52" s="138">
        <f ca="1"/>
        <v>0.26050629623141941</v>
      </c>
      <c r="N52" s="306">
        <f ca="1"/>
        <v>-9.6707447133391369E-2</v>
      </c>
      <c r="O52" s="306">
        <f ca="1"/>
        <v>0.51759967418338659</v>
      </c>
      <c r="P52" s="306">
        <f ca="1"/>
        <v>0.40246639382141203</v>
      </c>
      <c r="Q52" s="139">
        <f ca="1"/>
        <v>-1.5208598870893701</v>
      </c>
      <c r="V52" s="495"/>
      <c r="W52" s="495"/>
      <c r="X52" s="138"/>
      <c r="Y52" s="306"/>
      <c r="Z52" s="306"/>
      <c r="AA52" s="306"/>
      <c r="AB52" s="139"/>
      <c r="AC52" s="495"/>
      <c r="AD52" s="495"/>
      <c r="AE52" s="495"/>
    </row>
    <row r="53" spans="2:31" x14ac:dyDescent="0.25">
      <c r="D53" s="138">
        <f ca="1"/>
        <v>0.10819798524690837</v>
      </c>
      <c r="E53" s="306">
        <f ca="1"/>
        <v>1.0965073943909254</v>
      </c>
      <c r="F53" s="306">
        <f ca="1"/>
        <v>0.46240265761130123</v>
      </c>
      <c r="G53" s="306">
        <f ca="1"/>
        <v>0.48984251587331651</v>
      </c>
      <c r="H53" s="139">
        <f ca="1"/>
        <v>-2.25076658419695</v>
      </c>
      <c r="M53" s="138">
        <f ca="1"/>
        <v>1.0711349389745428</v>
      </c>
      <c r="N53" s="306">
        <f ca="1"/>
        <v>5.1351992091935056E-2</v>
      </c>
      <c r="O53" s="306">
        <f ca="1"/>
        <v>-1.2856629896340797</v>
      </c>
      <c r="P53" s="306">
        <f ca="1"/>
        <v>-0.47553809167663869</v>
      </c>
      <c r="Q53" s="139">
        <f ca="1"/>
        <v>-0.78297078820803756</v>
      </c>
      <c r="V53" s="495"/>
      <c r="W53" s="495"/>
      <c r="X53" s="138"/>
      <c r="Y53" s="306"/>
      <c r="Z53" s="306"/>
      <c r="AA53" s="306"/>
      <c r="AB53" s="139"/>
      <c r="AC53" s="495"/>
      <c r="AD53" s="495"/>
      <c r="AE53" s="495"/>
    </row>
    <row r="54" spans="2:31" x14ac:dyDescent="0.25">
      <c r="D54" s="138">
        <f ca="1"/>
        <v>-0.10215483425175563</v>
      </c>
      <c r="E54" s="306">
        <f ca="1"/>
        <v>0.44051757578957157</v>
      </c>
      <c r="F54" s="306">
        <f ca="1"/>
        <v>-0.33389589259671326</v>
      </c>
      <c r="G54" s="306">
        <f ca="1"/>
        <v>0.70615194140562998</v>
      </c>
      <c r="H54" s="139">
        <f ca="1"/>
        <v>1.3386245087251876</v>
      </c>
      <c r="M54" s="138">
        <f ca="1"/>
        <v>0.11274383783052491</v>
      </c>
      <c r="N54" s="306">
        <f ca="1"/>
        <v>0.77398164003109893</v>
      </c>
      <c r="O54" s="306">
        <f ca="1"/>
        <v>-1.5528836522498293</v>
      </c>
      <c r="P54" s="306">
        <f ca="1"/>
        <v>-1.0885193500170471</v>
      </c>
      <c r="Q54" s="139">
        <f ca="1"/>
        <v>0.50286987657510207</v>
      </c>
      <c r="V54" s="495"/>
      <c r="W54" s="495"/>
      <c r="X54" s="138"/>
      <c r="Y54" s="306"/>
      <c r="Z54" s="306"/>
      <c r="AA54" s="306"/>
      <c r="AB54" s="139"/>
      <c r="AC54" s="495"/>
      <c r="AD54" s="495"/>
      <c r="AE54" s="495"/>
    </row>
    <row r="55" spans="2:31" x14ac:dyDescent="0.25">
      <c r="D55" s="138">
        <f ca="1"/>
        <v>-1.8253861328037648</v>
      </c>
      <c r="E55" s="306">
        <f ca="1"/>
        <v>-0.24037216180075424</v>
      </c>
      <c r="F55" s="306">
        <f ca="1"/>
        <v>1.028058069270616</v>
      </c>
      <c r="G55" s="306">
        <f ca="1"/>
        <v>1.2259167836294167</v>
      </c>
      <c r="H55" s="139">
        <f ca="1"/>
        <v>-0.33280389867021648</v>
      </c>
      <c r="M55" s="138">
        <f ca="1"/>
        <v>1.0247174529864618</v>
      </c>
      <c r="N55" s="306">
        <f ca="1"/>
        <v>0.46456788825317025</v>
      </c>
      <c r="O55" s="306">
        <f ca="1"/>
        <v>1.8779948997892317</v>
      </c>
      <c r="P55" s="306">
        <f ca="1"/>
        <v>0.7666173840357986</v>
      </c>
      <c r="Q55" s="139">
        <f ca="1"/>
        <v>0.16413830370427598</v>
      </c>
      <c r="V55" s="495"/>
      <c r="W55" s="495"/>
      <c r="X55" s="138"/>
      <c r="Y55" s="306"/>
      <c r="Z55" s="306"/>
      <c r="AA55" s="306"/>
      <c r="AB55" s="139"/>
      <c r="AC55" s="495"/>
      <c r="AD55" s="495"/>
      <c r="AE55" s="495"/>
    </row>
    <row r="56" spans="2:31" x14ac:dyDescent="0.25">
      <c r="D56" s="138">
        <f ca="1"/>
        <v>-0.46490277119672319</v>
      </c>
      <c r="E56" s="306">
        <f ca="1"/>
        <v>-8.8166823894022877E-4</v>
      </c>
      <c r="F56" s="306">
        <f ca="1"/>
        <v>-1.5659571515789519</v>
      </c>
      <c r="G56" s="306">
        <f ca="1"/>
        <v>0.44378998344608472</v>
      </c>
      <c r="H56" s="139">
        <f ca="1"/>
        <v>0.56184004420843314</v>
      </c>
      <c r="M56" s="138">
        <f ca="1"/>
        <v>-0.19255231433210082</v>
      </c>
      <c r="N56" s="306">
        <f ca="1"/>
        <v>-1.1836570492378735</v>
      </c>
      <c r="O56" s="306">
        <f ca="1"/>
        <v>0.43100246597129827</v>
      </c>
      <c r="P56" s="306">
        <f ca="1"/>
        <v>-0.8538922151022309</v>
      </c>
      <c r="Q56" s="139">
        <f ca="1"/>
        <v>0.16772820889067627</v>
      </c>
      <c r="V56" s="495"/>
      <c r="W56" s="495"/>
      <c r="X56" s="138"/>
      <c r="Y56" s="306"/>
      <c r="Z56" s="306"/>
      <c r="AA56" s="306"/>
      <c r="AB56" s="139"/>
      <c r="AC56" s="495"/>
      <c r="AD56" s="495"/>
      <c r="AE56" s="495"/>
    </row>
    <row r="57" spans="2:31" x14ac:dyDescent="0.25">
      <c r="D57" s="138">
        <f ca="1"/>
        <v>-0.72121450340504112</v>
      </c>
      <c r="E57" s="306">
        <f ca="1"/>
        <v>-0.14969739262215401</v>
      </c>
      <c r="F57" s="306">
        <f ca="1"/>
        <v>0.70609350471998489</v>
      </c>
      <c r="G57" s="306">
        <f ca="1"/>
        <v>9.6224928363146583E-2</v>
      </c>
      <c r="H57" s="139">
        <f ca="1"/>
        <v>0.2296039222600787</v>
      </c>
      <c r="M57" s="138">
        <f ca="1"/>
        <v>0.31485387088312511</v>
      </c>
      <c r="N57" s="306">
        <f ca="1"/>
        <v>0.58472194344902539</v>
      </c>
      <c r="O57" s="306">
        <f ca="1"/>
        <v>0.39381187617256991</v>
      </c>
      <c r="P57" s="306">
        <f ca="1"/>
        <v>1.6407087043700077</v>
      </c>
      <c r="Q57" s="139">
        <f ca="1"/>
        <v>1.1035350664825012</v>
      </c>
      <c r="V57" s="495"/>
      <c r="W57" s="495"/>
      <c r="X57" s="138"/>
      <c r="Y57" s="306"/>
      <c r="Z57" s="306"/>
      <c r="AA57" s="306"/>
      <c r="AB57" s="139"/>
      <c r="AC57" s="495"/>
      <c r="AD57" s="495"/>
      <c r="AE57" s="495"/>
    </row>
    <row r="58" spans="2:31" x14ac:dyDescent="0.25">
      <c r="D58" s="138">
        <f ca="1"/>
        <v>4.6120309846438508E-2</v>
      </c>
      <c r="E58" s="306">
        <f ca="1"/>
        <v>-0.92083350795883689</v>
      </c>
      <c r="F58" s="306">
        <f ca="1"/>
        <v>0.80411972151375544</v>
      </c>
      <c r="G58" s="306">
        <f ca="1"/>
        <v>-0.8762556877814629</v>
      </c>
      <c r="H58" s="139">
        <f ca="1"/>
        <v>1.2660233063563722</v>
      </c>
      <c r="M58" s="138">
        <f ca="1"/>
        <v>0.37425881531768923</v>
      </c>
      <c r="N58" s="306">
        <f ca="1"/>
        <v>0.35824768314912758</v>
      </c>
      <c r="O58" s="306">
        <f ca="1"/>
        <v>0.44167520776730484</v>
      </c>
      <c r="P58" s="306">
        <f ca="1"/>
        <v>-0.33523167286972566</v>
      </c>
      <c r="Q58" s="139">
        <f ca="1"/>
        <v>-0.6268173301884129</v>
      </c>
      <c r="V58" s="495"/>
      <c r="W58" s="495"/>
      <c r="X58" s="138"/>
      <c r="Y58" s="306"/>
      <c r="Z58" s="306"/>
      <c r="AA58" s="306"/>
      <c r="AB58" s="139"/>
      <c r="AC58" s="495"/>
      <c r="AD58" s="495"/>
      <c r="AE58" s="495"/>
    </row>
    <row r="59" spans="2:31" x14ac:dyDescent="0.25">
      <c r="D59" s="138">
        <f ca="1"/>
        <v>0.23298387080043784</v>
      </c>
      <c r="E59" s="306">
        <f ca="1"/>
        <v>-1.0764899712107359</v>
      </c>
      <c r="F59" s="306">
        <f ca="1"/>
        <v>1.7547755576057253</v>
      </c>
      <c r="G59" s="306">
        <f ca="1"/>
        <v>0.72810708935373014</v>
      </c>
      <c r="H59" s="139">
        <f ca="1"/>
        <v>-4.9122462980273743E-2</v>
      </c>
      <c r="M59" s="138">
        <f ca="1"/>
        <v>-0.2939927852261236</v>
      </c>
      <c r="N59" s="306">
        <f ca="1"/>
        <v>0.20706330738635537</v>
      </c>
      <c r="O59" s="306">
        <f ca="1"/>
        <v>-0.95057695384843033</v>
      </c>
      <c r="P59" s="306">
        <f ca="1"/>
        <v>0.41936929060152378</v>
      </c>
      <c r="Q59" s="139">
        <f ca="1"/>
        <v>2.248374531742604E-2</v>
      </c>
      <c r="V59" s="495"/>
      <c r="W59" s="495"/>
      <c r="X59" s="138"/>
      <c r="Y59" s="306"/>
      <c r="Z59" s="306"/>
      <c r="AA59" s="306"/>
      <c r="AB59" s="139"/>
      <c r="AC59" s="495"/>
      <c r="AD59" s="495"/>
      <c r="AE59" s="495"/>
    </row>
    <row r="60" spans="2:31" x14ac:dyDescent="0.25">
      <c r="D60" s="138">
        <f ca="1"/>
        <v>-0.63736695093064755</v>
      </c>
      <c r="E60" s="306">
        <f ca="1"/>
        <v>-0.21947173866600425</v>
      </c>
      <c r="F60" s="306">
        <f ca="1"/>
        <v>-0.3859436116857301</v>
      </c>
      <c r="G60" s="306">
        <f ca="1"/>
        <v>0.43017177828252023</v>
      </c>
      <c r="H60" s="139">
        <f ca="1"/>
        <v>-0.20136053851420513</v>
      </c>
      <c r="M60" s="138">
        <f ca="1"/>
        <v>-0.15708936381720576</v>
      </c>
      <c r="N60" s="306">
        <f ca="1"/>
        <v>-1.0653743242702789</v>
      </c>
      <c r="O60" s="306">
        <f ca="1"/>
        <v>-0.80509454519587287</v>
      </c>
      <c r="P60" s="306">
        <f ca="1"/>
        <v>0.91915684812891307</v>
      </c>
      <c r="Q60" s="139">
        <f ca="1"/>
        <v>5.8307248146102324E-2</v>
      </c>
      <c r="V60" s="495"/>
      <c r="W60" s="495"/>
      <c r="X60" s="138"/>
      <c r="Y60" s="306"/>
      <c r="Z60" s="306"/>
      <c r="AA60" s="306"/>
      <c r="AB60" s="139"/>
      <c r="AC60" s="495"/>
      <c r="AD60" s="495"/>
      <c r="AE60" s="495"/>
    </row>
    <row r="61" spans="2:31" x14ac:dyDescent="0.25">
      <c r="D61" s="138">
        <f ca="1"/>
        <v>-0.42607435867377447</v>
      </c>
      <c r="E61" s="306">
        <f ca="1"/>
        <v>0.91605467339775526</v>
      </c>
      <c r="F61" s="306">
        <f ca="1"/>
        <v>-1.6169891726572032</v>
      </c>
      <c r="G61" s="306">
        <f ca="1"/>
        <v>-9.9853780857881491E-2</v>
      </c>
      <c r="H61" s="139">
        <f ca="1"/>
        <v>-0.83075713527444417</v>
      </c>
      <c r="M61" s="138">
        <f ca="1"/>
        <v>-0.53150451916000441</v>
      </c>
      <c r="N61" s="306">
        <f ca="1"/>
        <v>9.3818238275564306E-2</v>
      </c>
      <c r="O61" s="306">
        <f ca="1"/>
        <v>-0.36340235823986</v>
      </c>
      <c r="P61" s="306">
        <f ca="1"/>
        <v>-2.2094510474666582</v>
      </c>
      <c r="Q61" s="139">
        <f ca="1"/>
        <v>1.3833613776168325</v>
      </c>
      <c r="V61" s="495"/>
      <c r="W61" s="495"/>
      <c r="X61" s="138"/>
      <c r="Y61" s="306"/>
      <c r="Z61" s="306"/>
      <c r="AA61" s="306"/>
      <c r="AB61" s="139"/>
      <c r="AC61" s="495"/>
      <c r="AD61" s="495"/>
      <c r="AE61" s="495"/>
    </row>
    <row r="62" spans="2:31" x14ac:dyDescent="0.25">
      <c r="D62" s="138">
        <f ca="1"/>
        <v>1.9788808392213517</v>
      </c>
      <c r="E62" s="306">
        <f ca="1"/>
        <v>-0.8444992802006771</v>
      </c>
      <c r="F62" s="306">
        <f ca="1"/>
        <v>0.53167290579956916</v>
      </c>
      <c r="G62" s="306">
        <f ca="1"/>
        <v>1.3476990609315769</v>
      </c>
      <c r="H62" s="139">
        <f ca="1"/>
        <v>-8.1515249102279419E-2</v>
      </c>
      <c r="M62" s="138">
        <f ca="1"/>
        <v>1.2360122870119385</v>
      </c>
      <c r="N62" s="306">
        <f ca="1"/>
        <v>1.5952239593837385</v>
      </c>
      <c r="O62" s="306">
        <f ca="1"/>
        <v>-1.1314812360535402</v>
      </c>
      <c r="P62" s="306">
        <f ca="1"/>
        <v>-1.2982467961229738</v>
      </c>
      <c r="Q62" s="139">
        <f ca="1"/>
        <v>-1.3168735554115905</v>
      </c>
      <c r="V62" s="495"/>
      <c r="W62" s="495"/>
      <c r="X62" s="138"/>
      <c r="Y62" s="306"/>
      <c r="Z62" s="306"/>
      <c r="AA62" s="306"/>
      <c r="AB62" s="139"/>
      <c r="AC62" s="495"/>
      <c r="AD62" s="495"/>
      <c r="AE62" s="495"/>
    </row>
    <row r="63" spans="2:31" x14ac:dyDescent="0.25">
      <c r="D63" s="138">
        <f ca="1"/>
        <v>-0.61135617247427165</v>
      </c>
      <c r="E63" s="306">
        <f ca="1"/>
        <v>1.2682963768981825</v>
      </c>
      <c r="F63" s="306">
        <f ca="1"/>
        <v>6.5443228707294687E-2</v>
      </c>
      <c r="G63" s="306">
        <f ca="1"/>
        <v>0.43254942321321643</v>
      </c>
      <c r="H63" s="139">
        <f ca="1"/>
        <v>0.42060061179352987</v>
      </c>
      <c r="M63" s="138">
        <f ca="1"/>
        <v>-1.5829803137914036</v>
      </c>
      <c r="N63" s="306">
        <f ca="1"/>
        <v>0.70185633990212082</v>
      </c>
      <c r="O63" s="306">
        <f ca="1"/>
        <v>0.67665051211608307</v>
      </c>
      <c r="P63" s="306">
        <f ca="1"/>
        <v>0.31296426265648503</v>
      </c>
      <c r="Q63" s="139">
        <f ca="1"/>
        <v>1.4129012007575132</v>
      </c>
      <c r="V63" s="495"/>
      <c r="W63" s="495"/>
      <c r="X63" s="138"/>
      <c r="Y63" s="306"/>
      <c r="Z63" s="306"/>
      <c r="AA63" s="306"/>
      <c r="AB63" s="139"/>
      <c r="AC63" s="495"/>
      <c r="AD63" s="495"/>
      <c r="AE63" s="495"/>
    </row>
    <row r="64" spans="2:31" x14ac:dyDescent="0.25">
      <c r="D64" s="138">
        <f ca="1"/>
        <v>0.62134768002507634</v>
      </c>
      <c r="E64" s="306">
        <f ca="1"/>
        <v>7.9542410013188777E-2</v>
      </c>
      <c r="F64" s="306">
        <f ca="1"/>
        <v>-2.1987215358931604E-2</v>
      </c>
      <c r="G64" s="306">
        <f ca="1"/>
        <v>-0.98579270828865395</v>
      </c>
      <c r="H64" s="139">
        <f ca="1"/>
        <v>1.3042580425018544</v>
      </c>
      <c r="M64" s="138">
        <f ca="1"/>
        <v>1.7948696412447682</v>
      </c>
      <c r="N64" s="306">
        <f ca="1"/>
        <v>5.4793042142818014E-2</v>
      </c>
      <c r="O64" s="306">
        <f ca="1"/>
        <v>-0.48052138707036213</v>
      </c>
      <c r="P64" s="306">
        <f ca="1"/>
        <v>0.98604672095167512</v>
      </c>
      <c r="Q64" s="139">
        <f ca="1"/>
        <v>0.19153430097807242</v>
      </c>
      <c r="V64" s="495"/>
      <c r="W64" s="495"/>
      <c r="X64" s="138"/>
      <c r="Y64" s="306"/>
      <c r="Z64" s="306"/>
      <c r="AA64" s="306"/>
      <c r="AB64" s="139"/>
      <c r="AC64" s="495"/>
      <c r="AD64" s="495"/>
      <c r="AE64" s="495"/>
    </row>
    <row r="65" spans="4:31" x14ac:dyDescent="0.25">
      <c r="D65" s="138">
        <f ca="1"/>
        <v>-0.50308335820540317</v>
      </c>
      <c r="E65" s="306">
        <f ca="1"/>
        <v>1.4640300463756799</v>
      </c>
      <c r="F65" s="306">
        <f ca="1"/>
        <v>0.46256721575986759</v>
      </c>
      <c r="G65" s="306">
        <f ca="1"/>
        <v>0.13757711286725449</v>
      </c>
      <c r="H65" s="139">
        <f ca="1"/>
        <v>1.903663328597879</v>
      </c>
      <c r="M65" s="138">
        <f ca="1"/>
        <v>-0.60479895355841384</v>
      </c>
      <c r="N65" s="306">
        <f ca="1"/>
        <v>-1.2485896144281661</v>
      </c>
      <c r="O65" s="306">
        <f ca="1"/>
        <v>0.27366943766787372</v>
      </c>
      <c r="P65" s="306">
        <f ca="1"/>
        <v>0.45004119380308644</v>
      </c>
      <c r="Q65" s="139">
        <f ca="1"/>
        <v>-1.3844360616948774</v>
      </c>
      <c r="V65" s="495"/>
      <c r="W65" s="495"/>
      <c r="X65" s="138"/>
      <c r="Y65" s="306"/>
      <c r="Z65" s="306"/>
      <c r="AA65" s="306"/>
      <c r="AB65" s="139"/>
      <c r="AC65" s="495"/>
      <c r="AD65" s="495"/>
      <c r="AE65" s="495"/>
    </row>
    <row r="66" spans="4:31" x14ac:dyDescent="0.25">
      <c r="D66" s="138">
        <f ca="1"/>
        <v>-1.198947290104817</v>
      </c>
      <c r="E66" s="306">
        <f ca="1"/>
        <v>0.96357590104857871</v>
      </c>
      <c r="F66" s="306">
        <f ca="1"/>
        <v>1.9247923185797389</v>
      </c>
      <c r="G66" s="306">
        <f ca="1"/>
        <v>1.3443248184039669</v>
      </c>
      <c r="H66" s="139">
        <f ca="1"/>
        <v>0.34126673979749322</v>
      </c>
      <c r="M66" s="138">
        <f ca="1"/>
        <v>-0.29645445691204342</v>
      </c>
      <c r="N66" s="306">
        <f ca="1"/>
        <v>-0.21556879453095484</v>
      </c>
      <c r="O66" s="306">
        <f ca="1"/>
        <v>-0.34855748958572064</v>
      </c>
      <c r="P66" s="306">
        <f ca="1"/>
        <v>-1.3041078808768987</v>
      </c>
      <c r="Q66" s="139">
        <f ca="1"/>
        <v>1.4705694003542786</v>
      </c>
      <c r="V66" s="495"/>
      <c r="W66" s="495"/>
      <c r="X66" s="138"/>
      <c r="Y66" s="306"/>
      <c r="Z66" s="306"/>
      <c r="AA66" s="306"/>
      <c r="AB66" s="139"/>
      <c r="AC66" s="495"/>
      <c r="AD66" s="495"/>
      <c r="AE66" s="495"/>
    </row>
    <row r="67" spans="4:31" x14ac:dyDescent="0.25">
      <c r="D67" s="138">
        <f ca="1"/>
        <v>0.85011456561901899</v>
      </c>
      <c r="E67" s="306">
        <f ca="1"/>
        <v>0.30429192596407545</v>
      </c>
      <c r="F67" s="306">
        <f ca="1"/>
        <v>0.67152742633508133</v>
      </c>
      <c r="G67" s="306">
        <f ca="1"/>
        <v>0.80782203516718254</v>
      </c>
      <c r="H67" s="139">
        <f ca="1"/>
        <v>-8.2646524328612386E-2</v>
      </c>
      <c r="M67" s="138">
        <f ca="1"/>
        <v>-5.601454099387887E-2</v>
      </c>
      <c r="N67" s="306">
        <f ca="1"/>
        <v>-6.6222296794066063E-2</v>
      </c>
      <c r="O67" s="306">
        <f ca="1"/>
        <v>-0.45363097528494672</v>
      </c>
      <c r="P67" s="306">
        <f ca="1"/>
        <v>1.9101803048964361</v>
      </c>
      <c r="Q67" s="139">
        <f ca="1"/>
        <v>-0.58963239539706591</v>
      </c>
      <c r="V67" s="495"/>
      <c r="W67" s="495"/>
      <c r="X67" s="138"/>
      <c r="Y67" s="306"/>
      <c r="Z67" s="306"/>
      <c r="AA67" s="306"/>
      <c r="AB67" s="139"/>
      <c r="AC67" s="495"/>
      <c r="AD67" s="495"/>
      <c r="AE67" s="495"/>
    </row>
    <row r="68" spans="4:31" x14ac:dyDescent="0.25">
      <c r="D68" s="138">
        <f ca="1"/>
        <v>-0.28904080804777654</v>
      </c>
      <c r="E68" s="306">
        <f ca="1"/>
        <v>-0.89553364635263466</v>
      </c>
      <c r="F68" s="306">
        <f ca="1"/>
        <v>0.9780203880833418</v>
      </c>
      <c r="G68" s="306">
        <f ca="1"/>
        <v>-0.45554694662875511</v>
      </c>
      <c r="H68" s="139">
        <f ca="1"/>
        <v>8.2384361896065766E-2</v>
      </c>
      <c r="M68" s="138">
        <f ca="1"/>
        <v>0.81242129145400976</v>
      </c>
      <c r="N68" s="306">
        <f ca="1"/>
        <v>-0.62936332454492938</v>
      </c>
      <c r="O68" s="306">
        <f ca="1"/>
        <v>0.17687516295823891</v>
      </c>
      <c r="P68" s="306">
        <f ca="1"/>
        <v>1.9855701869412921</v>
      </c>
      <c r="Q68" s="139">
        <f ca="1"/>
        <v>-0.47170424056666821</v>
      </c>
      <c r="V68" s="495"/>
      <c r="W68" s="495"/>
      <c r="X68" s="138"/>
      <c r="Y68" s="306"/>
      <c r="Z68" s="306"/>
      <c r="AA68" s="306"/>
      <c r="AB68" s="139"/>
      <c r="AC68" s="495"/>
      <c r="AD68" s="495"/>
      <c r="AE68" s="495"/>
    </row>
    <row r="69" spans="4:31" x14ac:dyDescent="0.25">
      <c r="D69" s="138">
        <f ca="1"/>
        <v>-1.3097052116291188</v>
      </c>
      <c r="E69" s="306">
        <f ca="1"/>
        <v>1.7215300670511962</v>
      </c>
      <c r="F69" s="306">
        <f ca="1"/>
        <v>9.7776697591451453E-2</v>
      </c>
      <c r="G69" s="306">
        <f ca="1"/>
        <v>1.1490936456210052</v>
      </c>
      <c r="H69" s="139">
        <f ca="1"/>
        <v>-2.069075586550726</v>
      </c>
      <c r="M69" s="138">
        <f ca="1"/>
        <v>0.88591645744064973</v>
      </c>
      <c r="N69" s="306">
        <f ca="1"/>
        <v>-0.89149310470618126</v>
      </c>
      <c r="O69" s="306">
        <f ca="1"/>
        <v>-1.7692578677541684</v>
      </c>
      <c r="P69" s="306">
        <f ca="1"/>
        <v>1.1660034196083535</v>
      </c>
      <c r="Q69" s="139">
        <f ca="1"/>
        <v>-2.3511914329550483</v>
      </c>
      <c r="V69" s="495"/>
      <c r="W69" s="495"/>
      <c r="X69" s="138"/>
      <c r="Y69" s="306"/>
      <c r="Z69" s="306"/>
      <c r="AA69" s="306"/>
      <c r="AB69" s="139"/>
      <c r="AC69" s="495"/>
      <c r="AD69" s="495"/>
      <c r="AE69" s="495"/>
    </row>
    <row r="70" spans="4:31" x14ac:dyDescent="0.25">
      <c r="D70" s="138">
        <f ca="1"/>
        <v>0.32788629545256831</v>
      </c>
      <c r="E70" s="306">
        <f ca="1"/>
        <v>1.720830635000675</v>
      </c>
      <c r="F70" s="306">
        <f ca="1"/>
        <v>0.27993766822148569</v>
      </c>
      <c r="G70" s="306">
        <f ca="1"/>
        <v>0.52525898259965065</v>
      </c>
      <c r="H70" s="139">
        <f ca="1"/>
        <v>-0.71433261283908289</v>
      </c>
      <c r="M70" s="138">
        <f ca="1"/>
        <v>7.249226999462359E-2</v>
      </c>
      <c r="N70" s="306">
        <f ca="1"/>
        <v>0.75286236290794595</v>
      </c>
      <c r="O70" s="306">
        <f ca="1"/>
        <v>-0.15451583480191308</v>
      </c>
      <c r="P70" s="306">
        <f ca="1"/>
        <v>-7.8660836787310617E-2</v>
      </c>
      <c r="Q70" s="139">
        <f ca="1"/>
        <v>0.43277360942751136</v>
      </c>
      <c r="V70" s="495"/>
      <c r="W70" s="495"/>
      <c r="X70" s="138"/>
      <c r="Y70" s="306"/>
      <c r="Z70" s="306"/>
      <c r="AA70" s="306"/>
      <c r="AB70" s="139"/>
      <c r="AC70" s="495"/>
      <c r="AD70" s="495"/>
      <c r="AE70" s="495"/>
    </row>
    <row r="71" spans="4:31" x14ac:dyDescent="0.25">
      <c r="D71" s="138">
        <f ca="1"/>
        <v>-0.35007770185857218</v>
      </c>
      <c r="E71" s="306">
        <f ca="1"/>
        <v>1.1800027393927328</v>
      </c>
      <c r="F71" s="306">
        <f ca="1"/>
        <v>-0.62779716766341387</v>
      </c>
      <c r="G71" s="306">
        <f ca="1"/>
        <v>1.0849418236383948</v>
      </c>
      <c r="H71" s="139">
        <f ca="1"/>
        <v>-0.6285170754115107</v>
      </c>
      <c r="M71" s="138">
        <f ca="1"/>
        <v>-5.02108783691224E-2</v>
      </c>
      <c r="N71" s="306">
        <f ca="1"/>
        <v>0.63387309695275007</v>
      </c>
      <c r="O71" s="306">
        <f ca="1"/>
        <v>0.34319483017443847</v>
      </c>
      <c r="P71" s="306">
        <f ca="1"/>
        <v>2.4127062990016889E-2</v>
      </c>
      <c r="Q71" s="139">
        <f ca="1"/>
        <v>1.0041302391154621</v>
      </c>
      <c r="V71" s="495"/>
      <c r="W71" s="495"/>
      <c r="X71" s="138"/>
      <c r="Y71" s="306"/>
      <c r="Z71" s="306"/>
      <c r="AA71" s="306"/>
      <c r="AB71" s="139"/>
      <c r="AC71" s="495"/>
      <c r="AD71" s="495"/>
      <c r="AE71" s="495"/>
    </row>
    <row r="72" spans="4:31" x14ac:dyDescent="0.25">
      <c r="D72" s="138">
        <f ca="1"/>
        <v>-1.1500680545803554</v>
      </c>
      <c r="E72" s="306">
        <f ca="1"/>
        <v>-0.18806037521523697</v>
      </c>
      <c r="F72" s="306">
        <f ca="1"/>
        <v>0.16243660080584485</v>
      </c>
      <c r="G72" s="306">
        <f ca="1"/>
        <v>-0.62663170461412543</v>
      </c>
      <c r="H72" s="139">
        <f ca="1"/>
        <v>1.6118611296858081</v>
      </c>
      <c r="M72" s="138">
        <f ca="1"/>
        <v>0.17139794249924944</v>
      </c>
      <c r="N72" s="306">
        <f ca="1"/>
        <v>-0.11013706678339194</v>
      </c>
      <c r="O72" s="306">
        <f ca="1"/>
        <v>2.2692630137464183</v>
      </c>
      <c r="P72" s="306">
        <f ca="1"/>
        <v>1.9910279149762391</v>
      </c>
      <c r="Q72" s="139">
        <f ca="1"/>
        <v>-1.1179327323040036</v>
      </c>
      <c r="V72" s="495"/>
      <c r="W72" s="495"/>
      <c r="X72" s="138"/>
      <c r="Y72" s="306"/>
      <c r="Z72" s="306"/>
      <c r="AA72" s="306"/>
      <c r="AB72" s="139"/>
      <c r="AC72" s="495"/>
      <c r="AD72" s="495"/>
      <c r="AE72" s="495"/>
    </row>
    <row r="73" spans="4:31" x14ac:dyDescent="0.25">
      <c r="D73" s="138">
        <f ca="1"/>
        <v>0.64691193539250558</v>
      </c>
      <c r="E73" s="306">
        <f ca="1"/>
        <v>0.89115808668949248</v>
      </c>
      <c r="F73" s="306">
        <f ca="1"/>
        <v>0.9860723619258096</v>
      </c>
      <c r="G73" s="306">
        <f ca="1"/>
        <v>-0.506742454491937</v>
      </c>
      <c r="H73" s="139">
        <f ca="1"/>
        <v>7.2347348245717744E-2</v>
      </c>
      <c r="M73" s="138">
        <f ca="1"/>
        <v>-0.27206819213014455</v>
      </c>
      <c r="N73" s="306">
        <f ca="1"/>
        <v>-0.78389672192767001</v>
      </c>
      <c r="O73" s="306">
        <f ca="1"/>
        <v>1.7386209358168976</v>
      </c>
      <c r="P73" s="306">
        <f ca="1"/>
        <v>-1.5918011760197763</v>
      </c>
      <c r="Q73" s="139">
        <f ca="1"/>
        <v>0.37770234866728736</v>
      </c>
      <c r="V73" s="495"/>
      <c r="W73" s="495"/>
      <c r="X73" s="138"/>
      <c r="Y73" s="306"/>
      <c r="Z73" s="306"/>
      <c r="AA73" s="306"/>
      <c r="AB73" s="139"/>
      <c r="AC73" s="495"/>
      <c r="AD73" s="495"/>
      <c r="AE73" s="495"/>
    </row>
    <row r="74" spans="4:31" x14ac:dyDescent="0.25">
      <c r="D74" s="138">
        <f ca="1"/>
        <v>2.1332675037689501</v>
      </c>
      <c r="E74" s="306">
        <f ca="1"/>
        <v>1.0044329379325341E-2</v>
      </c>
      <c r="F74" s="306">
        <f ca="1"/>
        <v>2.7930281231195897</v>
      </c>
      <c r="G74" s="306">
        <f ca="1"/>
        <v>4.7540172641717976E-2</v>
      </c>
      <c r="H74" s="139">
        <f ca="1"/>
        <v>0.14952454772362248</v>
      </c>
      <c r="M74" s="138">
        <f ca="1"/>
        <v>1.4437591604313265</v>
      </c>
      <c r="N74" s="306">
        <f ca="1"/>
        <v>0.17238851165673519</v>
      </c>
      <c r="O74" s="306">
        <f ca="1"/>
        <v>-1.2699860097416114</v>
      </c>
      <c r="P74" s="306">
        <f ca="1"/>
        <v>0.26590942794695149</v>
      </c>
      <c r="Q74" s="139">
        <f ca="1"/>
        <v>0.57196512132722011</v>
      </c>
      <c r="V74" s="495"/>
      <c r="W74" s="495"/>
      <c r="X74" s="138"/>
      <c r="Y74" s="306"/>
      <c r="Z74" s="306"/>
      <c r="AA74" s="306"/>
      <c r="AB74" s="139"/>
      <c r="AC74" s="495"/>
      <c r="AD74" s="495"/>
      <c r="AE74" s="495"/>
    </row>
    <row r="75" spans="4:31" x14ac:dyDescent="0.25">
      <c r="D75" s="138">
        <f ca="1"/>
        <v>-0.99466901445455624</v>
      </c>
      <c r="E75" s="306">
        <f ca="1"/>
        <v>0.50225278398034379</v>
      </c>
      <c r="F75" s="306">
        <f ca="1"/>
        <v>0.62792680297973469</v>
      </c>
      <c r="G75" s="306">
        <f ca="1"/>
        <v>2.0691183604794094</v>
      </c>
      <c r="H75" s="139">
        <f ca="1"/>
        <v>-1.04703872441546</v>
      </c>
      <c r="M75" s="138">
        <f ca="1"/>
        <v>0.97846890675398013</v>
      </c>
      <c r="N75" s="306">
        <f ca="1"/>
        <v>-1.1020582544619302</v>
      </c>
      <c r="O75" s="306">
        <f ca="1"/>
        <v>0.39286477148360299</v>
      </c>
      <c r="P75" s="306">
        <f ca="1"/>
        <v>-0.1227331305528255</v>
      </c>
      <c r="Q75" s="139">
        <f ca="1"/>
        <v>1.0001710109068307</v>
      </c>
      <c r="V75" s="495"/>
      <c r="W75" s="495"/>
      <c r="X75" s="138"/>
      <c r="Y75" s="306"/>
      <c r="Z75" s="306"/>
      <c r="AA75" s="306"/>
      <c r="AB75" s="139"/>
      <c r="AC75" s="495"/>
      <c r="AD75" s="495"/>
      <c r="AE75" s="495"/>
    </row>
    <row r="76" spans="4:31" x14ac:dyDescent="0.25">
      <c r="D76" s="138">
        <f ca="1"/>
        <v>-0.14279798956905393</v>
      </c>
      <c r="E76" s="306">
        <f ca="1"/>
        <v>2.6249780866021383E-2</v>
      </c>
      <c r="F76" s="306">
        <f ca="1"/>
        <v>-0.65969703489988807</v>
      </c>
      <c r="G76" s="306">
        <f ca="1"/>
        <v>-0.925057575262345</v>
      </c>
      <c r="H76" s="139">
        <f ca="1"/>
        <v>0.69780853400880927</v>
      </c>
      <c r="M76" s="138">
        <f ca="1"/>
        <v>-1.4681182045982457</v>
      </c>
      <c r="N76" s="306">
        <f ca="1"/>
        <v>-2.0794109376992451</v>
      </c>
      <c r="O76" s="306">
        <f ca="1"/>
        <v>-0.8103248144499442</v>
      </c>
      <c r="P76" s="306">
        <f ca="1"/>
        <v>0.64107672193829024</v>
      </c>
      <c r="Q76" s="139">
        <f ca="1"/>
        <v>-0.5551205874134405</v>
      </c>
      <c r="V76" s="495"/>
      <c r="W76" s="495"/>
      <c r="X76" s="138"/>
      <c r="Y76" s="306"/>
      <c r="Z76" s="306"/>
      <c r="AA76" s="306"/>
      <c r="AB76" s="139"/>
      <c r="AC76" s="495"/>
      <c r="AD76" s="495"/>
      <c r="AE76" s="495"/>
    </row>
    <row r="77" spans="4:31" x14ac:dyDescent="0.25">
      <c r="D77" s="138">
        <f ca="1"/>
        <v>1.092291704880513</v>
      </c>
      <c r="E77" s="306">
        <f ca="1"/>
        <v>0.50433622145908918</v>
      </c>
      <c r="F77" s="306">
        <f ca="1"/>
        <v>1.0826951457065646</v>
      </c>
      <c r="G77" s="306">
        <f ca="1"/>
        <v>0.59345089881883117</v>
      </c>
      <c r="H77" s="139">
        <f ca="1"/>
        <v>1.1610661581658341E-2</v>
      </c>
      <c r="M77" s="138">
        <f ca="1"/>
        <v>-0.41957997007360187</v>
      </c>
      <c r="N77" s="306">
        <f ca="1"/>
        <v>-0.45615015179100066</v>
      </c>
      <c r="O77" s="306">
        <f ca="1"/>
        <v>0.34528217502908681</v>
      </c>
      <c r="P77" s="306">
        <f ca="1"/>
        <v>-2.0540035856533874</v>
      </c>
      <c r="Q77" s="139">
        <f ca="1"/>
        <v>-0.62883004396016451</v>
      </c>
      <c r="V77" s="495"/>
      <c r="W77" s="495"/>
      <c r="X77" s="138"/>
      <c r="Y77" s="306"/>
      <c r="Z77" s="306"/>
      <c r="AA77" s="306"/>
      <c r="AB77" s="139"/>
      <c r="AC77" s="495"/>
      <c r="AD77" s="495"/>
      <c r="AE77" s="495"/>
    </row>
    <row r="78" spans="4:31" x14ac:dyDescent="0.25">
      <c r="D78" s="138">
        <f ca="1"/>
        <v>0.80488972711453355</v>
      </c>
      <c r="E78" s="306">
        <f ca="1"/>
        <v>-2.1496502133888749</v>
      </c>
      <c r="F78" s="306">
        <f ca="1"/>
        <v>-2.1868193390200261</v>
      </c>
      <c r="G78" s="306">
        <f ca="1"/>
        <v>-8.0685653261843113E-2</v>
      </c>
      <c r="H78" s="139">
        <f ca="1"/>
        <v>-0.71874440154847874</v>
      </c>
      <c r="M78" s="138">
        <f ca="1"/>
        <v>-1.3586466223513398</v>
      </c>
      <c r="N78" s="306">
        <f ca="1"/>
        <v>0.29927661185537396</v>
      </c>
      <c r="O78" s="306">
        <f ca="1"/>
        <v>-0.98909017881296901</v>
      </c>
      <c r="P78" s="306">
        <f ca="1"/>
        <v>-1.7601901121971923</v>
      </c>
      <c r="Q78" s="139">
        <f ca="1"/>
        <v>-0.90326978799681523</v>
      </c>
      <c r="V78" s="495"/>
      <c r="W78" s="495"/>
      <c r="X78" s="138"/>
      <c r="Y78" s="306"/>
      <c r="Z78" s="306"/>
      <c r="AA78" s="306"/>
      <c r="AB78" s="139"/>
      <c r="AC78" s="495"/>
      <c r="AD78" s="495"/>
      <c r="AE78" s="495"/>
    </row>
    <row r="79" spans="4:31" x14ac:dyDescent="0.25">
      <c r="D79" s="138">
        <f ca="1"/>
        <v>0.80605770412109401</v>
      </c>
      <c r="E79" s="306">
        <f ca="1"/>
        <v>0.98500956747093471</v>
      </c>
      <c r="F79" s="306">
        <f ca="1"/>
        <v>-0.51374156559767825</v>
      </c>
      <c r="G79" s="306">
        <f ca="1"/>
        <v>-0.10210221862083954</v>
      </c>
      <c r="H79" s="139">
        <f ca="1"/>
        <v>-0.52081378098183195</v>
      </c>
      <c r="M79" s="138">
        <f ca="1"/>
        <v>0.38038958191513106</v>
      </c>
      <c r="N79" s="306">
        <f ca="1"/>
        <v>-1.0378288827691335</v>
      </c>
      <c r="O79" s="306">
        <f ca="1"/>
        <v>2.5971214142627637</v>
      </c>
      <c r="P79" s="306">
        <f ca="1"/>
        <v>-0.14663282522262747</v>
      </c>
      <c r="Q79" s="139">
        <f ca="1"/>
        <v>-0.25899188301456494</v>
      </c>
      <c r="V79" s="495"/>
      <c r="W79" s="495"/>
      <c r="X79" s="138"/>
      <c r="Y79" s="306"/>
      <c r="Z79" s="306"/>
      <c r="AA79" s="306"/>
      <c r="AB79" s="139"/>
      <c r="AC79" s="495"/>
      <c r="AD79" s="495"/>
      <c r="AE79" s="495"/>
    </row>
    <row r="80" spans="4:31" x14ac:dyDescent="0.25">
      <c r="D80" s="138">
        <f ca="1"/>
        <v>0.82079536005409337</v>
      </c>
      <c r="E80" s="306">
        <f ca="1"/>
        <v>0.61793246371250865</v>
      </c>
      <c r="F80" s="306">
        <f ca="1"/>
        <v>-1.3466588678274796</v>
      </c>
      <c r="G80" s="306">
        <f ca="1"/>
        <v>-0.12827791600451344</v>
      </c>
      <c r="H80" s="139">
        <f ca="1"/>
        <v>-0.17698844504820233</v>
      </c>
      <c r="M80" s="138">
        <f ca="1"/>
        <v>-2.0492589722121508</v>
      </c>
      <c r="N80" s="306">
        <f ca="1"/>
        <v>0.28478540431095722</v>
      </c>
      <c r="O80" s="306">
        <f ca="1"/>
        <v>0.39372598320848995</v>
      </c>
      <c r="P80" s="306">
        <f ca="1"/>
        <v>-0.5745230326962294</v>
      </c>
      <c r="Q80" s="139">
        <f ca="1"/>
        <v>0.21858397895859533</v>
      </c>
      <c r="V80" s="495"/>
      <c r="W80" s="495"/>
      <c r="X80" s="138"/>
      <c r="Y80" s="306"/>
      <c r="Z80" s="306"/>
      <c r="AA80" s="306"/>
      <c r="AB80" s="139"/>
      <c r="AC80" s="495"/>
      <c r="AD80" s="495"/>
      <c r="AE80" s="495"/>
    </row>
    <row r="81" spans="4:31" x14ac:dyDescent="0.25">
      <c r="D81" s="138">
        <f ca="1"/>
        <v>-2.5528312879719279</v>
      </c>
      <c r="E81" s="306">
        <f ca="1"/>
        <v>0.29691031563146875</v>
      </c>
      <c r="F81" s="306">
        <f ca="1"/>
        <v>0.27808394980380907</v>
      </c>
      <c r="G81" s="306">
        <f ca="1"/>
        <v>0.44539774631615076</v>
      </c>
      <c r="H81" s="139">
        <f ca="1"/>
        <v>-0.31079358334370855</v>
      </c>
      <c r="M81" s="138">
        <f ca="1"/>
        <v>-0.33651429357523716</v>
      </c>
      <c r="N81" s="306">
        <f ca="1"/>
        <v>-0.76437673134373885</v>
      </c>
      <c r="O81" s="306">
        <f ca="1"/>
        <v>0.20662935169266924</v>
      </c>
      <c r="P81" s="306">
        <f ca="1"/>
        <v>2.0452873304035442</v>
      </c>
      <c r="Q81" s="139">
        <f ca="1"/>
        <v>0.13279307440324442</v>
      </c>
      <c r="V81" s="495"/>
      <c r="W81" s="495"/>
      <c r="X81" s="138"/>
      <c r="Y81" s="306"/>
      <c r="Z81" s="306"/>
      <c r="AA81" s="306"/>
      <c r="AB81" s="139"/>
      <c r="AC81" s="495"/>
      <c r="AD81" s="495"/>
      <c r="AE81" s="495"/>
    </row>
    <row r="82" spans="4:31" x14ac:dyDescent="0.25">
      <c r="D82" s="138">
        <f ca="1"/>
        <v>-0.35508869593067621</v>
      </c>
      <c r="E82" s="306">
        <f ca="1"/>
        <v>2.473226548926343</v>
      </c>
      <c r="F82" s="306">
        <f ca="1"/>
        <v>1.5462889736876682</v>
      </c>
      <c r="G82" s="306">
        <f ca="1"/>
        <v>-0.26354671448282113</v>
      </c>
      <c r="H82" s="139">
        <f ca="1"/>
        <v>-0.26861340529971534</v>
      </c>
      <c r="M82" s="138">
        <f ca="1"/>
        <v>0.96456983493745785</v>
      </c>
      <c r="N82" s="306">
        <f ca="1"/>
        <v>0.2974381744348194</v>
      </c>
      <c r="O82" s="306">
        <f ca="1"/>
        <v>-0.66416735827039775</v>
      </c>
      <c r="P82" s="306">
        <f ca="1"/>
        <v>-1.1740047346845341</v>
      </c>
      <c r="Q82" s="139">
        <f ca="1"/>
        <v>-2.0515326737820851</v>
      </c>
      <c r="V82" s="495"/>
      <c r="W82" s="495"/>
      <c r="X82" s="138"/>
      <c r="Y82" s="306"/>
      <c r="Z82" s="306"/>
      <c r="AA82" s="306"/>
      <c r="AB82" s="139"/>
      <c r="AC82" s="495"/>
      <c r="AD82" s="495"/>
      <c r="AE82" s="495"/>
    </row>
    <row r="83" spans="4:31" x14ac:dyDescent="0.25">
      <c r="D83" s="138">
        <f ca="1"/>
        <v>-9.1431096942242635E-2</v>
      </c>
      <c r="E83" s="306">
        <f ca="1"/>
        <v>0.42641284474781083</v>
      </c>
      <c r="F83" s="306">
        <f ca="1"/>
        <v>-0.5923458699002222</v>
      </c>
      <c r="G83" s="306">
        <f ca="1"/>
        <v>1.2013235212028235</v>
      </c>
      <c r="H83" s="139">
        <f ca="1"/>
        <v>2.3611673657222285</v>
      </c>
      <c r="M83" s="138">
        <f ca="1"/>
        <v>1.7185865011779202</v>
      </c>
      <c r="N83" s="306">
        <f ca="1"/>
        <v>-0.2884818052458844</v>
      </c>
      <c r="O83" s="306">
        <f ca="1"/>
        <v>-0.21632146817917425</v>
      </c>
      <c r="P83" s="306">
        <f ca="1"/>
        <v>-0.3599440989690163</v>
      </c>
      <c r="Q83" s="139">
        <f ca="1"/>
        <v>-0.97435375802600133</v>
      </c>
      <c r="V83" s="495"/>
      <c r="W83" s="495"/>
      <c r="X83" s="138"/>
      <c r="Y83" s="306"/>
      <c r="Z83" s="306"/>
      <c r="AA83" s="306"/>
      <c r="AB83" s="139"/>
      <c r="AC83" s="495"/>
      <c r="AD83" s="495"/>
      <c r="AE83" s="495"/>
    </row>
    <row r="84" spans="4:31" x14ac:dyDescent="0.25">
      <c r="D84" s="138">
        <f ca="1"/>
        <v>-0.21187073507578053</v>
      </c>
      <c r="E84" s="306">
        <f ca="1"/>
        <v>-0.98270009982047668</v>
      </c>
      <c r="F84" s="306">
        <f ca="1"/>
        <v>1.9342596462199904</v>
      </c>
      <c r="G84" s="306">
        <f ca="1"/>
        <v>0.81312021724325545</v>
      </c>
      <c r="H84" s="139">
        <f ca="1"/>
        <v>2.6847701181165196E-2</v>
      </c>
      <c r="M84" s="138">
        <f ca="1"/>
        <v>0.76598288450363161</v>
      </c>
      <c r="N84" s="306">
        <f ca="1"/>
        <v>1.5870388345993123</v>
      </c>
      <c r="O84" s="306">
        <f ca="1"/>
        <v>-8.4546987876763791E-2</v>
      </c>
      <c r="P84" s="306">
        <f ca="1"/>
        <v>-0.53553436856164371</v>
      </c>
      <c r="Q84" s="139">
        <f ca="1"/>
        <v>0.94998486438860852</v>
      </c>
      <c r="V84" s="495"/>
      <c r="W84" s="495"/>
      <c r="X84" s="138"/>
      <c r="Y84" s="306"/>
      <c r="Z84" s="306"/>
      <c r="AA84" s="306"/>
      <c r="AB84" s="139"/>
      <c r="AC84" s="495"/>
      <c r="AD84" s="495"/>
      <c r="AE84" s="495"/>
    </row>
    <row r="85" spans="4:31" x14ac:dyDescent="0.25">
      <c r="D85" s="138">
        <f ca="1"/>
        <v>-0.30267530359008576</v>
      </c>
      <c r="E85" s="306">
        <f ca="1"/>
        <v>-0.10619811325803392</v>
      </c>
      <c r="F85" s="306">
        <f ca="1"/>
        <v>1.1920352851635663</v>
      </c>
      <c r="G85" s="306">
        <f ca="1"/>
        <v>-4.2323241996771725E-2</v>
      </c>
      <c r="H85" s="139">
        <f ca="1"/>
        <v>0.82332740776042657</v>
      </c>
      <c r="M85" s="138">
        <f ca="1"/>
        <v>-1.0787446958523739</v>
      </c>
      <c r="N85" s="306">
        <f ca="1"/>
        <v>1.2965006471377027</v>
      </c>
      <c r="O85" s="306">
        <f ca="1"/>
        <v>-6.3466530546962094E-2</v>
      </c>
      <c r="P85" s="306">
        <f ca="1"/>
        <v>-4.7911125790783098E-2</v>
      </c>
      <c r="Q85" s="139">
        <f ca="1"/>
        <v>-0.33236165203571055</v>
      </c>
      <c r="V85" s="495"/>
      <c r="W85" s="495"/>
      <c r="X85" s="138"/>
      <c r="Y85" s="306"/>
      <c r="Z85" s="306"/>
      <c r="AA85" s="306"/>
      <c r="AB85" s="139"/>
      <c r="AC85" s="495"/>
      <c r="AD85" s="495"/>
      <c r="AE85" s="495"/>
    </row>
    <row r="86" spans="4:31" x14ac:dyDescent="0.25">
      <c r="D86" s="138">
        <f ca="1"/>
        <v>0.21279899182954726</v>
      </c>
      <c r="E86" s="306">
        <f ca="1"/>
        <v>-1.1424438777784323</v>
      </c>
      <c r="F86" s="306">
        <f ca="1"/>
        <v>-2.1354251794755204E-2</v>
      </c>
      <c r="G86" s="306">
        <f ca="1"/>
        <v>-1.6548896512828936E-2</v>
      </c>
      <c r="H86" s="139">
        <f ca="1"/>
        <v>-1.1483938988369959</v>
      </c>
      <c r="M86" s="138">
        <f ca="1"/>
        <v>1.1264485430315012</v>
      </c>
      <c r="N86" s="306">
        <f ca="1"/>
        <v>0.47279505230548646</v>
      </c>
      <c r="O86" s="306">
        <f ca="1"/>
        <v>-0.69213719375978666</v>
      </c>
      <c r="P86" s="306">
        <f ca="1"/>
        <v>-1.1813708606478739</v>
      </c>
      <c r="Q86" s="139">
        <f ca="1"/>
        <v>-2.5974834642072446</v>
      </c>
      <c r="V86" s="495"/>
      <c r="W86" s="495"/>
      <c r="X86" s="138"/>
      <c r="Y86" s="306"/>
      <c r="Z86" s="306"/>
      <c r="AA86" s="306"/>
      <c r="AB86" s="139"/>
      <c r="AC86" s="495"/>
      <c r="AD86" s="495"/>
      <c r="AE86" s="495"/>
    </row>
    <row r="87" spans="4:31" x14ac:dyDescent="0.25">
      <c r="D87" s="140">
        <f ca="1"/>
        <v>5.1409210374823731E-2</v>
      </c>
      <c r="E87" s="205">
        <f ca="1"/>
        <v>-0.21243260074195636</v>
      </c>
      <c r="F87" s="205">
        <f ca="1"/>
        <v>-0.55942050834103574</v>
      </c>
      <c r="G87" s="205">
        <f ca="1"/>
        <v>-0.21798606731311601</v>
      </c>
      <c r="H87" s="141">
        <f ca="1"/>
        <v>-0.77437601649928833</v>
      </c>
      <c r="M87" s="140">
        <f ca="1"/>
        <v>1.126803671515602</v>
      </c>
      <c r="N87" s="205">
        <f ca="1"/>
        <v>-0.12578769910307161</v>
      </c>
      <c r="O87" s="205">
        <f ca="1"/>
        <v>0.31471271671617157</v>
      </c>
      <c r="P87" s="205">
        <f ca="1"/>
        <v>0.49205901100567589</v>
      </c>
      <c r="Q87" s="141">
        <f ca="1"/>
        <v>-1.051816981198425</v>
      </c>
      <c r="V87" s="495"/>
      <c r="W87" s="495"/>
      <c r="X87" s="140"/>
      <c r="Y87" s="205"/>
      <c r="Z87" s="205"/>
      <c r="AA87" s="205"/>
      <c r="AB87" s="141"/>
      <c r="AC87" s="495"/>
      <c r="AD87" s="495"/>
      <c r="AE87" s="495"/>
    </row>
  </sheetData>
  <conditionalFormatting sqref="D7:D8">
    <cfRule type="cellIs" dxfId="326" priority="91" stopIfTrue="1" operator="equal">
      <formula>"ERROR"</formula>
    </cfRule>
    <cfRule type="cellIs" dxfId="325" priority="92" stopIfTrue="1" operator="equal">
      <formula>"OK"</formula>
    </cfRule>
    <cfRule type="cellIs" dxfId="324" priority="93" stopIfTrue="1" operator="equal">
      <formula>"WARNING"</formula>
    </cfRule>
  </conditionalFormatting>
  <conditionalFormatting sqref="C4">
    <cfRule type="cellIs" dxfId="323" priority="88" stopIfTrue="1" operator="equal">
      <formula>"ERROR"</formula>
    </cfRule>
    <cfRule type="cellIs" dxfId="322" priority="89" stopIfTrue="1" operator="equal">
      <formula>"OK"</formula>
    </cfRule>
    <cfRule type="cellIs" dxfId="321" priority="90" stopIfTrue="1" operator="equal">
      <formula>"WARNING"</formula>
    </cfRule>
  </conditionalFormatting>
  <conditionalFormatting sqref="C14">
    <cfRule type="cellIs" dxfId="320" priority="85" stopIfTrue="1" operator="equal">
      <formula>"ERROR"</formula>
    </cfRule>
  </conditionalFormatting>
  <conditionalFormatting sqref="C14">
    <cfRule type="cellIs" dxfId="319" priority="86" stopIfTrue="1" operator="equal">
      <formula>"OK"</formula>
    </cfRule>
  </conditionalFormatting>
  <conditionalFormatting sqref="C14">
    <cfRule type="cellIs" dxfId="318" priority="87" stopIfTrue="1" operator="equal">
      <formula>"WARNING"</formula>
    </cfRule>
  </conditionalFormatting>
  <conditionalFormatting sqref="L19:N21">
    <cfRule type="cellIs" dxfId="317" priority="94" stopIfTrue="1" operator="equal">
      <formula>"ERROR"</formula>
    </cfRule>
    <cfRule type="cellIs" dxfId="316" priority="95" stopIfTrue="1" operator="equal">
      <formula>"OK"</formula>
    </cfRule>
    <cfRule type="cellIs" dxfId="315" priority="96" stopIfTrue="1" operator="equal">
      <formula>"WARNING"</formula>
    </cfRule>
  </conditionalFormatting>
  <conditionalFormatting sqref="D9">
    <cfRule type="cellIs" dxfId="314" priority="46" stopIfTrue="1" operator="equal">
      <formula>"ERROR"</formula>
    </cfRule>
    <cfRule type="cellIs" dxfId="313" priority="47" stopIfTrue="1" operator="equal">
      <formula>"OK"</formula>
    </cfRule>
    <cfRule type="cellIs" dxfId="312" priority="48" stopIfTrue="1" operator="equal">
      <formula>"WARNING"</formula>
    </cfRule>
  </conditionalFormatting>
  <conditionalFormatting sqref="Z19">
    <cfRule type="cellIs" dxfId="311" priority="43" stopIfTrue="1" operator="equal">
      <formula>"ERROR"</formula>
    </cfRule>
    <cfRule type="cellIs" dxfId="310" priority="44" stopIfTrue="1" operator="equal">
      <formula>"OK"</formula>
    </cfRule>
    <cfRule type="cellIs" dxfId="309" priority="45" stopIfTrue="1" operator="equal">
      <formula>"WARNING"</formula>
    </cfRule>
  </conditionalFormatting>
  <conditionalFormatting sqref="AL19">
    <cfRule type="cellIs" dxfId="308" priority="40" stopIfTrue="1" operator="equal">
      <formula>"ERROR"</formula>
    </cfRule>
    <cfRule type="cellIs" dxfId="307" priority="41" stopIfTrue="1" operator="equal">
      <formula>"OK"</formula>
    </cfRule>
    <cfRule type="cellIs" dxfId="306" priority="42" stopIfTrue="1" operator="equal">
      <formula>"WARNING"</formula>
    </cfRule>
  </conditionalFormatting>
  <conditionalFormatting sqref="AX19">
    <cfRule type="cellIs" dxfId="305" priority="37" stopIfTrue="1" operator="equal">
      <formula>"ERROR"</formula>
    </cfRule>
    <cfRule type="cellIs" dxfId="304" priority="38" stopIfTrue="1" operator="equal">
      <formula>"OK"</formula>
    </cfRule>
    <cfRule type="cellIs" dxfId="303" priority="39" stopIfTrue="1" operator="equal">
      <formula>"WARNING"</formula>
    </cfRule>
  </conditionalFormatting>
  <conditionalFormatting sqref="C27">
    <cfRule type="cellIs" dxfId="302" priority="31" stopIfTrue="1" operator="equal">
      <formula>"ERROR"</formula>
    </cfRule>
  </conditionalFormatting>
  <conditionalFormatting sqref="C27">
    <cfRule type="cellIs" dxfId="301" priority="32" stopIfTrue="1" operator="equal">
      <formula>"OK"</formula>
    </cfRule>
  </conditionalFormatting>
  <conditionalFormatting sqref="C27">
    <cfRule type="cellIs" dxfId="300" priority="33" stopIfTrue="1" operator="equal">
      <formula>"WARNING"</formula>
    </cfRule>
  </conditionalFormatting>
  <conditionalFormatting sqref="L33:M34">
    <cfRule type="cellIs" dxfId="299" priority="34" stopIfTrue="1" operator="equal">
      <formula>"ERROR"</formula>
    </cfRule>
    <cfRule type="cellIs" dxfId="298" priority="35" stopIfTrue="1" operator="equal">
      <formula>"OK"</formula>
    </cfRule>
    <cfRule type="cellIs" dxfId="297" priority="36" stopIfTrue="1" operator="equal">
      <formula>"WARNING"</formula>
    </cfRule>
  </conditionalFormatting>
  <conditionalFormatting sqref="AB33:AD35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C43">
    <cfRule type="cellIs" dxfId="293" priority="16" stopIfTrue="1" operator="equal">
      <formula>"ERROR"</formula>
    </cfRule>
  </conditionalFormatting>
  <conditionalFormatting sqref="C43">
    <cfRule type="cellIs" dxfId="292" priority="17" stopIfTrue="1" operator="equal">
      <formula>"OK"</formula>
    </cfRule>
  </conditionalFormatting>
  <conditionalFormatting sqref="C43">
    <cfRule type="cellIs" dxfId="291" priority="18" stopIfTrue="1" operator="equal">
      <formula>"WARNING"</formula>
    </cfRule>
  </conditionalFormatting>
  <conditionalFormatting sqref="J51:K51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S51:T51">
    <cfRule type="cellIs" dxfId="287" priority="10" stopIfTrue="1" operator="equal">
      <formula>"ERROR"</formula>
    </cfRule>
    <cfRule type="cellIs" dxfId="286" priority="11" stopIfTrue="1" operator="equal">
      <formula>"OK"</formula>
    </cfRule>
    <cfRule type="cellIs" dxfId="285" priority="12" stopIfTrue="1" operator="equal">
      <formula>"WARNING"</formula>
    </cfRule>
  </conditionalFormatting>
  <conditionalFormatting sqref="AD51:AE51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58" t="s">
        <v>416</v>
      </c>
    </row>
    <row r="2" spans="1:62" ht="26.25" x14ac:dyDescent="0.4">
      <c r="B2" s="2" t="s">
        <v>421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2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2" x14ac:dyDescent="0.25">
      <c r="B7" s="465" t="s">
        <v>422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5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2" x14ac:dyDescent="0.25">
      <c r="B8" s="465" t="s">
        <v>423</v>
      </c>
      <c r="C8" s="465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2" x14ac:dyDescent="0.25">
      <c r="G9" s="348"/>
      <c r="H9" s="348"/>
      <c r="I9" s="348"/>
      <c r="AR9" s="495"/>
      <c r="AS9" s="495"/>
      <c r="AT9" s="495"/>
      <c r="AU9" s="495"/>
      <c r="AV9" s="495"/>
      <c r="AW9" s="495"/>
      <c r="AX9" s="495"/>
      <c r="AY9" s="495"/>
      <c r="AZ9" s="495"/>
      <c r="BA9" s="495"/>
      <c r="BB9" s="495"/>
      <c r="BC9" s="495"/>
      <c r="BD9" s="495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422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458</v>
      </c>
      <c r="C15" s="357"/>
      <c r="D15" s="357"/>
      <c r="E15" s="357"/>
      <c r="F15" s="357"/>
      <c r="G15" s="357"/>
      <c r="H15" s="357"/>
      <c r="I15" s="357"/>
      <c r="J15" s="357"/>
      <c r="K15" s="467"/>
      <c r="L15" s="4" t="s">
        <v>462</v>
      </c>
      <c r="M15" s="357"/>
      <c r="N15" s="357"/>
      <c r="O15" s="357"/>
      <c r="P15" s="357"/>
      <c r="Q15" s="357"/>
      <c r="R15" s="467"/>
      <c r="S15" s="4" t="s">
        <v>466</v>
      </c>
      <c r="T15" s="357"/>
      <c r="U15" s="357"/>
      <c r="V15" s="357"/>
      <c r="W15" s="357"/>
      <c r="X15" s="35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</row>
    <row r="16" spans="1:62" x14ac:dyDescent="0.25">
      <c r="B16" s="348"/>
      <c r="C16" s="348"/>
      <c r="D16" s="348"/>
      <c r="E16" s="348"/>
      <c r="F16" s="348"/>
      <c r="G16" s="349"/>
      <c r="J16" s="467"/>
      <c r="K16" s="467"/>
      <c r="L16" s="348"/>
      <c r="M16" s="348"/>
      <c r="N16" s="348"/>
      <c r="O16" s="495"/>
      <c r="P16" s="495"/>
      <c r="Q16" s="495"/>
      <c r="R16" s="467"/>
      <c r="S16" s="348"/>
      <c r="T16" s="348"/>
      <c r="U16" s="348"/>
      <c r="V16" s="495"/>
      <c r="W16" s="495"/>
      <c r="X16" s="495"/>
      <c r="Y16" s="467"/>
      <c r="Z16" s="467"/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</row>
    <row r="17" spans="1:65" s="495" customFormat="1" x14ac:dyDescent="0.25">
      <c r="B17" s="134" t="s">
        <v>251</v>
      </c>
      <c r="C17" s="135"/>
      <c r="D17" s="348"/>
      <c r="E17" s="134" t="s">
        <v>454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497" t="s">
        <v>450</v>
      </c>
      <c r="C18" s="137" t="s">
        <v>459</v>
      </c>
      <c r="D18" s="348"/>
      <c r="E18" s="136" t="s">
        <v>455</v>
      </c>
      <c r="F18" s="137">
        <f>((LN(C20/C21)+(C22-C23+0.5*C25^2)*C24))/(C25*SQRT(C24))</f>
        <v>1.0422804977154678</v>
      </c>
      <c r="H18" s="455" cm="1">
        <f t="array" ref="H18">_xll.d.Equity_BlackScholes(C18,C19,C20,C21,C22,C23,C24,C25)</f>
        <v>49.931353791528799</v>
      </c>
      <c r="I18" s="500">
        <f>C20*EXP(-C23*C24)*_xlfn.NORM.S.DIST(F18,TRUE) -C21*EXP(-C22*C24)*_xlfn.NORM.S.DIST(F19,TRUE)</f>
        <v>49.931353791528799</v>
      </c>
      <c r="J18" s="388" t="str" cm="1">
        <f t="array" ref="J18">_xll.d.TestUtils_Equal(H18,I18)</f>
        <v>Ok</v>
      </c>
      <c r="K18" s="467"/>
      <c r="L18" s="497" t="s">
        <v>450</v>
      </c>
      <c r="M18" s="137" t="s">
        <v>445</v>
      </c>
      <c r="N18" s="348"/>
      <c r="O18" s="455" t="str" cm="1">
        <f t="array" ref="O18">_xll.d.Equity_BlackScholes(M18,M19,M20,M21,M22,M23,M24,M25)</f>
        <v>#∂Excel Error: Invalid option type: ASDF</v>
      </c>
      <c r="P18" s="500" t="s">
        <v>463</v>
      </c>
      <c r="Q18" s="388" t="str" cm="1">
        <f t="array" ref="Q18">_xll.d.TestUtils_Equal(O18,P18)</f>
        <v>Ok</v>
      </c>
      <c r="R18" s="467"/>
      <c r="S18" s="497" t="s">
        <v>450</v>
      </c>
      <c r="T18" s="137" t="s">
        <v>459</v>
      </c>
      <c r="U18" s="348"/>
      <c r="V18" s="455" t="str" cm="1">
        <f t="array" ref="V18">_xll.d.Equity_BlackScholes(T18,T19,T20,T21,T22,T23,T24,T25)</f>
        <v>#∂Excel Error: Invalid 'long'/'short' position: ASDF</v>
      </c>
      <c r="W18" s="500" t="s">
        <v>488</v>
      </c>
      <c r="X18" s="388" t="str" cm="1">
        <f t="array" ref="X18">_xll.d.TestUtils_Equal(V18,W18)</f>
        <v>Ok</v>
      </c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</row>
    <row r="19" spans="1:65" x14ac:dyDescent="0.25">
      <c r="B19" s="498" t="s">
        <v>457</v>
      </c>
      <c r="C19" s="139" t="s">
        <v>460</v>
      </c>
      <c r="D19" s="348"/>
      <c r="E19" s="140" t="s">
        <v>456</v>
      </c>
      <c r="F19" s="141">
        <f>F18-C25*SQRT(C24)</f>
        <v>0.29817029082404245</v>
      </c>
      <c r="J19" s="467"/>
      <c r="K19" s="467"/>
      <c r="L19" s="498" t="s">
        <v>457</v>
      </c>
      <c r="M19" s="139" t="s">
        <v>460</v>
      </c>
      <c r="N19" s="348"/>
      <c r="O19" s="495"/>
      <c r="P19" s="495"/>
      <c r="Q19" s="495"/>
      <c r="R19" s="467"/>
      <c r="S19" s="498" t="s">
        <v>457</v>
      </c>
      <c r="T19" s="139" t="s">
        <v>445</v>
      </c>
      <c r="U19" s="348"/>
      <c r="V19" s="495"/>
      <c r="W19" s="495"/>
      <c r="X19" s="495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</row>
    <row r="20" spans="1:65" x14ac:dyDescent="0.25">
      <c r="B20" s="498" t="s">
        <v>451</v>
      </c>
      <c r="C20" s="139">
        <v>120</v>
      </c>
      <c r="D20" s="348"/>
      <c r="J20" s="467"/>
      <c r="K20" s="467"/>
      <c r="L20" s="498" t="s">
        <v>451</v>
      </c>
      <c r="M20" s="139">
        <v>120</v>
      </c>
      <c r="N20" s="348"/>
      <c r="O20" s="495"/>
      <c r="P20" s="495"/>
      <c r="Q20" s="495"/>
      <c r="R20" s="467"/>
      <c r="S20" s="498" t="s">
        <v>451</v>
      </c>
      <c r="T20" s="139">
        <v>120</v>
      </c>
      <c r="U20" s="348"/>
      <c r="V20" s="495"/>
      <c r="W20" s="495"/>
      <c r="X20" s="495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7"/>
      <c r="AK20" s="467"/>
      <c r="AL20" s="467"/>
      <c r="AM20" s="467"/>
      <c r="AN20" s="467"/>
      <c r="AO20" s="467"/>
      <c r="AP20" s="467"/>
      <c r="AQ20" s="467"/>
      <c r="AR20" s="467"/>
      <c r="AS20" s="467"/>
      <c r="AT20" s="467"/>
      <c r="AU20" s="467"/>
      <c r="AV20" s="467"/>
      <c r="AW20" s="467"/>
      <c r="AX20" s="467"/>
      <c r="AY20" s="467"/>
      <c r="AZ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</row>
    <row r="21" spans="1:65" s="467" customFormat="1" x14ac:dyDescent="0.25">
      <c r="B21" s="498" t="s">
        <v>452</v>
      </c>
      <c r="C21" s="139">
        <v>100</v>
      </c>
      <c r="D21" s="348"/>
      <c r="E21" s="348"/>
      <c r="F21" s="348"/>
      <c r="G21" s="349"/>
      <c r="L21" s="498" t="s">
        <v>452</v>
      </c>
      <c r="M21" s="139">
        <v>100</v>
      </c>
      <c r="N21" s="348"/>
      <c r="O21" s="495"/>
      <c r="P21" s="495"/>
      <c r="Q21" s="495"/>
      <c r="S21" s="498" t="s">
        <v>452</v>
      </c>
      <c r="T21" s="139">
        <v>100</v>
      </c>
      <c r="U21" s="348"/>
      <c r="V21" s="495"/>
      <c r="W21" s="495"/>
      <c r="X21" s="495"/>
    </row>
    <row r="22" spans="1:65" s="467" customFormat="1" x14ac:dyDescent="0.25">
      <c r="B22" s="498" t="s">
        <v>465</v>
      </c>
      <c r="C22" s="139">
        <v>0.1</v>
      </c>
      <c r="D22" s="348"/>
      <c r="E22" s="348"/>
      <c r="F22" s="348"/>
      <c r="G22" s="349"/>
      <c r="L22" s="498" t="s">
        <v>465</v>
      </c>
      <c r="M22" s="139">
        <v>0.1</v>
      </c>
      <c r="N22" s="348"/>
      <c r="O22" s="495"/>
      <c r="P22" s="495"/>
      <c r="Q22" s="495"/>
      <c r="S22" s="498" t="s">
        <v>465</v>
      </c>
      <c r="T22" s="139">
        <v>0.1</v>
      </c>
      <c r="U22" s="348"/>
      <c r="V22" s="495"/>
      <c r="W22" s="495"/>
      <c r="X22" s="495"/>
    </row>
    <row r="23" spans="1:65" s="467" customFormat="1" x14ac:dyDescent="0.25">
      <c r="B23" s="498" t="s">
        <v>464</v>
      </c>
      <c r="C23" s="139">
        <v>0.03</v>
      </c>
      <c r="D23" s="348"/>
      <c r="E23" s="348"/>
      <c r="F23" s="348"/>
      <c r="G23" s="349"/>
      <c r="L23" s="498" t="s">
        <v>464</v>
      </c>
      <c r="M23" s="139">
        <v>0.03</v>
      </c>
      <c r="N23" s="348"/>
      <c r="O23" s="495"/>
      <c r="P23" s="495"/>
      <c r="Q23" s="495"/>
      <c r="S23" s="498" t="s">
        <v>464</v>
      </c>
      <c r="T23" s="139">
        <v>0.03</v>
      </c>
      <c r="U23" s="348"/>
      <c r="V23" s="495"/>
      <c r="W23" s="495"/>
      <c r="X23" s="495"/>
    </row>
    <row r="24" spans="1:65" s="467" customFormat="1" x14ac:dyDescent="0.25">
      <c r="B24" s="498" t="s">
        <v>453</v>
      </c>
      <c r="C24" s="139">
        <v>4.5199999999999996</v>
      </c>
      <c r="D24" s="348"/>
      <c r="E24" s="348"/>
      <c r="F24" s="348"/>
      <c r="G24" s="349"/>
      <c r="L24" s="498" t="s">
        <v>453</v>
      </c>
      <c r="M24" s="139">
        <v>4.5199999999999996</v>
      </c>
      <c r="N24" s="348"/>
      <c r="O24" s="495"/>
      <c r="P24" s="495"/>
      <c r="Q24" s="495"/>
      <c r="S24" s="498" t="s">
        <v>453</v>
      </c>
      <c r="T24" s="139">
        <v>4.5199999999999996</v>
      </c>
      <c r="U24" s="348"/>
      <c r="V24" s="495"/>
      <c r="W24" s="495"/>
      <c r="X24" s="495"/>
    </row>
    <row r="25" spans="1:65" s="495" customFormat="1" x14ac:dyDescent="0.25">
      <c r="B25" s="499" t="s">
        <v>91</v>
      </c>
      <c r="C25" s="141">
        <v>0.35</v>
      </c>
      <c r="D25" s="348"/>
      <c r="E25" s="348"/>
      <c r="F25" s="348"/>
      <c r="G25" s="349"/>
      <c r="L25" s="499" t="s">
        <v>91</v>
      </c>
      <c r="M25" s="141">
        <v>0.35</v>
      </c>
      <c r="N25" s="348"/>
      <c r="S25" s="499" t="s">
        <v>91</v>
      </c>
      <c r="T25" s="141">
        <v>0.35</v>
      </c>
      <c r="U25" s="348"/>
    </row>
    <row r="26" spans="1:65" s="495" customFormat="1" x14ac:dyDescent="0.25">
      <c r="B26" s="348"/>
      <c r="C26" s="496"/>
      <c r="D26" s="348"/>
      <c r="E26" s="348"/>
      <c r="F26" s="348"/>
      <c r="G26" s="349"/>
    </row>
    <row r="27" spans="1:65" s="495" customFormat="1" x14ac:dyDescent="0.25">
      <c r="B27" s="348"/>
      <c r="C27" s="496"/>
      <c r="D27" s="348"/>
      <c r="E27" s="348"/>
      <c r="F27" s="348"/>
      <c r="G27" s="349"/>
    </row>
    <row r="28" spans="1:65" s="348" customFormat="1" ht="18.75" x14ac:dyDescent="0.3">
      <c r="A28"/>
      <c r="B28" s="3" t="s">
        <v>423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67"/>
      <c r="N31" s="467"/>
      <c r="O31" s="467"/>
      <c r="P31" s="467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467"/>
      <c r="AG31" s="467"/>
      <c r="AH31" s="467"/>
      <c r="AI31" s="467"/>
      <c r="AJ31" s="467"/>
      <c r="AK31" s="467"/>
      <c r="AL31" s="467"/>
      <c r="AM31" s="467"/>
      <c r="AN31" s="467"/>
      <c r="AO31" s="467"/>
      <c r="AP31" s="467"/>
      <c r="AQ31" s="467"/>
      <c r="AR31" s="467"/>
      <c r="AS31" s="467"/>
      <c r="AT31" s="467"/>
      <c r="AU31" s="467"/>
      <c r="AV31" s="467"/>
      <c r="AW31" s="467"/>
      <c r="AX31" s="467"/>
      <c r="AY31" s="467"/>
      <c r="AZ31" s="467"/>
      <c r="BA31" s="467"/>
      <c r="BB31" s="467"/>
      <c r="BC31" s="467"/>
      <c r="BD31" s="467"/>
    </row>
    <row r="32" spans="1:65" ht="15.75" x14ac:dyDescent="0.25">
      <c r="B32" s="4" t="s">
        <v>442</v>
      </c>
      <c r="C32" s="357"/>
      <c r="D32" s="357"/>
      <c r="E32" s="357"/>
      <c r="F32" s="357"/>
      <c r="G32" s="357"/>
      <c r="H32" s="357"/>
      <c r="I32" s="467"/>
      <c r="J32" s="4" t="s">
        <v>443</v>
      </c>
      <c r="K32" s="4"/>
      <c r="L32" s="4"/>
      <c r="M32" s="467"/>
      <c r="N32" s="4" t="s">
        <v>447</v>
      </c>
      <c r="O32" s="357"/>
      <c r="P32" s="357"/>
      <c r="Q32" s="357"/>
      <c r="R32" s="357"/>
      <c r="S32" s="357"/>
      <c r="T32" s="467"/>
      <c r="U32" s="4" t="s">
        <v>448</v>
      </c>
      <c r="V32" s="357"/>
      <c r="W32" s="357"/>
      <c r="X32" s="357"/>
      <c r="Y32" s="357"/>
      <c r="Z32" s="35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7"/>
      <c r="AK32" s="467"/>
      <c r="AL32" s="467"/>
      <c r="AM32" s="467"/>
      <c r="AN32" s="467"/>
      <c r="AO32" s="467"/>
      <c r="AP32" s="467"/>
      <c r="AQ32" s="467"/>
      <c r="AR32" s="467"/>
      <c r="AS32" s="467"/>
      <c r="AT32" s="467"/>
      <c r="AU32" s="467"/>
      <c r="AV32" s="467"/>
      <c r="AW32" s="467"/>
      <c r="AX32" s="467"/>
      <c r="AY32" s="467"/>
      <c r="AZ32" s="467"/>
      <c r="BA32" s="467"/>
      <c r="BB32" s="467"/>
      <c r="BC32" s="467"/>
      <c r="BD32" s="467"/>
      <c r="BE32" s="467"/>
      <c r="BF32" s="467"/>
      <c r="BG32" s="467"/>
      <c r="BH32" s="467"/>
      <c r="BI32" s="467"/>
      <c r="BJ32" s="467"/>
      <c r="BK32" s="467"/>
      <c r="BL32" s="467"/>
      <c r="BM32" s="467"/>
    </row>
    <row r="33" spans="2:65" x14ac:dyDescent="0.25">
      <c r="B33" s="348"/>
      <c r="C33" s="348"/>
      <c r="D33" s="348"/>
      <c r="E33" s="348"/>
      <c r="F33" s="348"/>
      <c r="G33" s="466" t="s">
        <v>435</v>
      </c>
      <c r="I33" s="467"/>
      <c r="J33" s="467"/>
      <c r="K33" s="467"/>
      <c r="L33" s="467"/>
      <c r="M33" s="467"/>
      <c r="N33" s="348"/>
      <c r="O33" s="348"/>
      <c r="P33" s="348"/>
      <c r="Q33" s="348"/>
      <c r="R33" s="466"/>
      <c r="S33" s="467"/>
      <c r="T33" s="467"/>
      <c r="U33" s="348"/>
      <c r="V33" s="348"/>
      <c r="W33" s="348"/>
      <c r="X33" s="348"/>
      <c r="Y33" s="466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7"/>
      <c r="AK33" s="467"/>
      <c r="AL33" s="467"/>
      <c r="AM33" s="467"/>
      <c r="AN33" s="467"/>
      <c r="AO33" s="467"/>
      <c r="AP33" s="467"/>
      <c r="AQ33" s="467"/>
      <c r="AR33" s="467"/>
      <c r="AS33" s="467"/>
      <c r="AT33" s="467"/>
      <c r="AU33" s="467"/>
      <c r="AV33" s="467"/>
      <c r="AW33" s="467"/>
      <c r="AX33" s="467"/>
      <c r="AY33" s="467"/>
      <c r="AZ33" s="467"/>
      <c r="BA33" s="467"/>
      <c r="BB33" s="467"/>
      <c r="BC33" s="467"/>
      <c r="BD33" s="467"/>
      <c r="BE33" s="467"/>
      <c r="BF33" s="467"/>
      <c r="BG33" s="467"/>
      <c r="BH33" s="467"/>
      <c r="BI33" s="467"/>
      <c r="BJ33" s="467"/>
      <c r="BK33" s="467"/>
      <c r="BL33" s="467"/>
    </row>
    <row r="34" spans="2:65" x14ac:dyDescent="0.25">
      <c r="B34" s="134" t="s">
        <v>251</v>
      </c>
      <c r="C34" s="135"/>
      <c r="E34" s="134" t="s">
        <v>133</v>
      </c>
      <c r="F34" s="134" t="s">
        <v>434</v>
      </c>
      <c r="G34" s="134" t="s">
        <v>253</v>
      </c>
      <c r="H34" s="134" t="s">
        <v>84</v>
      </c>
      <c r="I34" s="467"/>
      <c r="J34" s="494" t="s">
        <v>444</v>
      </c>
      <c r="K34" s="467"/>
      <c r="L34" s="467"/>
      <c r="M34" s="467"/>
      <c r="N34" s="134" t="s">
        <v>251</v>
      </c>
      <c r="O34" s="135"/>
      <c r="P34" s="467"/>
      <c r="Q34" s="134" t="s">
        <v>133</v>
      </c>
      <c r="R34" s="134" t="s">
        <v>253</v>
      </c>
      <c r="S34" s="134" t="s">
        <v>84</v>
      </c>
      <c r="T34" s="467"/>
      <c r="U34" s="134" t="s">
        <v>251</v>
      </c>
      <c r="V34" s="135"/>
      <c r="W34" s="467"/>
      <c r="X34" s="134" t="s">
        <v>133</v>
      </c>
      <c r="Y34" s="134" t="s">
        <v>253</v>
      </c>
      <c r="Z34" s="134" t="s">
        <v>84</v>
      </c>
      <c r="AA34" s="467"/>
      <c r="AB34" s="467"/>
      <c r="AC34" s="467"/>
      <c r="AD34" s="467"/>
      <c r="AE34" s="467"/>
      <c r="AF34" s="467"/>
      <c r="AG34" s="467"/>
      <c r="AH34" s="467"/>
      <c r="AI34" s="467"/>
      <c r="AJ34" s="467"/>
      <c r="AK34" s="467"/>
      <c r="AL34" s="467"/>
      <c r="AM34" s="467"/>
      <c r="AN34" s="467"/>
      <c r="AO34" s="467"/>
      <c r="AP34" s="467"/>
      <c r="AQ34" s="467"/>
      <c r="AR34" s="467"/>
      <c r="AS34" s="467"/>
      <c r="AT34" s="467"/>
      <c r="AU34" s="467"/>
      <c r="AV34" s="467"/>
      <c r="AW34" s="467"/>
      <c r="AX34" s="467"/>
      <c r="AY34" s="467"/>
      <c r="AZ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</row>
    <row r="35" spans="2:65" x14ac:dyDescent="0.25">
      <c r="B35" s="136" t="s">
        <v>425</v>
      </c>
      <c r="C35" s="351">
        <v>44104</v>
      </c>
      <c r="E35" s="480" cm="1">
        <f t="array" ref="E35">_xll.d.Equity_Volatility(C35,C36,C37,C38,C39,C43:C1291,D43:D1291)</f>
        <v>0.27437833409372492</v>
      </c>
      <c r="F35" s="481">
        <v>0.27437800000000001</v>
      </c>
      <c r="G35" s="481">
        <f>STDEV(F44:F1291)*SQRT(C37)</f>
        <v>0.27437833409372464</v>
      </c>
      <c r="H35" s="360" t="str" cm="1">
        <f t="array" ref="H35">_xll.d.TestUtils_Equal(E35,F35,0.00001)</f>
        <v>Ok</v>
      </c>
      <c r="I35" s="467"/>
      <c r="J35" s="467"/>
      <c r="K35" s="467"/>
      <c r="L35" s="467"/>
      <c r="M35" s="467"/>
      <c r="N35" s="136" t="s">
        <v>425</v>
      </c>
      <c r="O35" s="351">
        <v>44104</v>
      </c>
      <c r="P35" s="467"/>
      <c r="Q35" s="480" t="str" cm="1">
        <f t="array" ref="Q35">_xll.d.Equity_Volatility(O35,O36,O37,O38,O39,C43:C1291,D43:D1291)</f>
        <v>#∂Excel Error: Invalid weighting style: ASDF</v>
      </c>
      <c r="R35" s="481" t="s">
        <v>446</v>
      </c>
      <c r="S35" s="360" t="str" cm="1">
        <f t="array" ref="S35">_xll.d.TestUtils_Equal(Q35,R35)</f>
        <v>Ok</v>
      </c>
      <c r="T35" s="467"/>
      <c r="U35" s="136" t="s">
        <v>425</v>
      </c>
      <c r="V35" s="351">
        <v>44104</v>
      </c>
      <c r="W35" s="467"/>
      <c r="X35" s="480" t="str" cm="1">
        <f t="array" ref="X35">_xll.d.Equity_Volatility(V35,V36,V37,V38,V39,C43:C1291,D44:D1291)</f>
        <v>#∂Excel Error: Date array and stock price array have different sizes.</v>
      </c>
      <c r="Y35" s="481" t="s">
        <v>449</v>
      </c>
      <c r="Z35" s="360" t="str" cm="1">
        <f t="array" ref="Z35">_xll.d.TestUtils_Equal(X35,Y35)</f>
        <v>Ok</v>
      </c>
      <c r="AA35" s="467"/>
      <c r="AB35" s="467"/>
      <c r="AC35" s="467"/>
      <c r="AD35" s="467"/>
      <c r="AE35" s="467"/>
      <c r="AF35" s="467"/>
      <c r="AG35" s="467"/>
      <c r="AH35" s="467"/>
      <c r="AI35" s="467"/>
      <c r="AJ35" s="467"/>
      <c r="AK35" s="467"/>
      <c r="AL35" s="467"/>
      <c r="AM35" s="467"/>
      <c r="AN35" s="467"/>
      <c r="AO35" s="467"/>
      <c r="AP35" s="467"/>
      <c r="AQ35" s="467"/>
      <c r="AR35" s="467"/>
      <c r="AS35" s="467"/>
      <c r="AT35" s="467"/>
      <c r="AU35" s="467"/>
      <c r="AV35" s="467"/>
      <c r="AW35" s="467"/>
      <c r="AX35" s="467"/>
      <c r="AY35" s="467"/>
      <c r="AZ35" s="467"/>
      <c r="BA35" s="467"/>
      <c r="BB35" s="467"/>
      <c r="BC35" s="467"/>
      <c r="BD35" s="467"/>
      <c r="BE35" s="467"/>
      <c r="BF35" s="467"/>
      <c r="BG35" s="467"/>
      <c r="BH35" s="467"/>
      <c r="BI35" s="467"/>
      <c r="BJ35" s="467"/>
      <c r="BK35" s="467"/>
      <c r="BL35" s="467"/>
    </row>
    <row r="36" spans="2:65" x14ac:dyDescent="0.25">
      <c r="B36" s="138" t="s">
        <v>426</v>
      </c>
      <c r="C36" s="363">
        <v>45930</v>
      </c>
      <c r="E36" s="348"/>
      <c r="F36" s="466" t="s">
        <v>427</v>
      </c>
      <c r="I36" s="467"/>
      <c r="J36" s="467"/>
      <c r="K36" s="467"/>
      <c r="L36" s="467"/>
      <c r="M36" s="467"/>
      <c r="N36" s="138" t="s">
        <v>426</v>
      </c>
      <c r="O36" s="363">
        <v>45930</v>
      </c>
      <c r="P36" s="467"/>
      <c r="Q36" s="348"/>
      <c r="R36" s="467"/>
      <c r="S36" s="467"/>
      <c r="T36" s="467"/>
      <c r="U36" s="138" t="s">
        <v>426</v>
      </c>
      <c r="V36" s="363">
        <v>45930</v>
      </c>
      <c r="W36" s="467"/>
      <c r="X36" s="348"/>
      <c r="Y36" s="467"/>
      <c r="Z36" s="467"/>
      <c r="AA36" s="467"/>
      <c r="AB36" s="467"/>
      <c r="AC36" s="467"/>
      <c r="AD36" s="467"/>
      <c r="AE36" s="467"/>
      <c r="AF36" s="467"/>
      <c r="AG36" s="467"/>
      <c r="AH36" s="467"/>
      <c r="AI36" s="467"/>
      <c r="AJ36" s="467"/>
      <c r="AK36" s="467"/>
      <c r="AL36" s="467"/>
      <c r="AM36" s="467"/>
      <c r="AN36" s="467"/>
      <c r="AO36" s="467"/>
      <c r="AP36" s="467"/>
      <c r="AQ36" s="467"/>
      <c r="AR36" s="467"/>
      <c r="AS36" s="467"/>
      <c r="AT36" s="467"/>
      <c r="AU36" s="467"/>
      <c r="AV36" s="467"/>
      <c r="AW36" s="467"/>
      <c r="AX36" s="467"/>
      <c r="AY36" s="467"/>
      <c r="AZ36" s="467"/>
      <c r="BA36" s="467"/>
      <c r="BB36" s="467"/>
      <c r="BC36" s="467"/>
      <c r="BD36" s="467"/>
      <c r="BE36" s="467"/>
      <c r="BF36" s="467"/>
      <c r="BG36" s="467"/>
      <c r="BH36" s="467"/>
      <c r="BI36" s="467"/>
      <c r="BJ36" s="467"/>
      <c r="BK36" s="467"/>
      <c r="BL36" s="467"/>
    </row>
    <row r="37" spans="2:65" x14ac:dyDescent="0.25">
      <c r="B37" s="138" t="s">
        <v>436</v>
      </c>
      <c r="C37" s="486">
        <f>ROUND(COUNT(C43:C1291)*365/(C1291-C43),0)</f>
        <v>250</v>
      </c>
      <c r="J37" s="467"/>
      <c r="K37" s="467"/>
      <c r="L37" s="467"/>
      <c r="M37" s="467"/>
      <c r="N37" s="138" t="s">
        <v>436</v>
      </c>
      <c r="O37" s="486">
        <f>C37</f>
        <v>250</v>
      </c>
      <c r="P37" s="467"/>
      <c r="Q37" s="467"/>
      <c r="R37" s="467"/>
      <c r="S37" s="467"/>
      <c r="T37" s="467"/>
      <c r="U37" s="138" t="s">
        <v>436</v>
      </c>
      <c r="V37" s="486">
        <f>C37</f>
        <v>250</v>
      </c>
      <c r="W37" s="467"/>
      <c r="X37" s="467"/>
      <c r="Y37" s="467"/>
      <c r="Z37" s="467"/>
      <c r="AA37" s="467"/>
      <c r="AB37" s="467"/>
      <c r="AC37" s="467"/>
      <c r="AD37" s="467"/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7"/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  <c r="BC37" s="467"/>
      <c r="BD37" s="467"/>
      <c r="BE37" s="467"/>
      <c r="BF37" s="467"/>
      <c r="BG37" s="467"/>
      <c r="BH37" s="467"/>
      <c r="BI37" s="467"/>
      <c r="BJ37" s="467"/>
      <c r="BK37" s="467"/>
      <c r="BL37" s="467"/>
      <c r="BM37" s="467"/>
    </row>
    <row r="38" spans="2:65" s="467" customFormat="1" x14ac:dyDescent="0.25">
      <c r="B38" s="138" t="s">
        <v>437</v>
      </c>
      <c r="C38" s="363" t="s">
        <v>461</v>
      </c>
      <c r="N38" s="138" t="s">
        <v>437</v>
      </c>
      <c r="O38" s="363" t="s">
        <v>445</v>
      </c>
      <c r="U38" s="138" t="s">
        <v>437</v>
      </c>
      <c r="V38" s="363" t="s">
        <v>438</v>
      </c>
    </row>
    <row r="39" spans="2:65" s="467" customFormat="1" x14ac:dyDescent="0.25">
      <c r="B39" s="482" t="s">
        <v>424</v>
      </c>
      <c r="C39" s="483">
        <v>0.97</v>
      </c>
      <c r="N39" s="482" t="s">
        <v>424</v>
      </c>
      <c r="O39" s="483">
        <v>0.97</v>
      </c>
      <c r="U39" s="482" t="s">
        <v>424</v>
      </c>
      <c r="V39" s="483">
        <v>0.97</v>
      </c>
    </row>
    <row r="40" spans="2:65" s="467" customFormat="1" x14ac:dyDescent="0.25"/>
    <row r="41" spans="2:65" s="467" customFormat="1" x14ac:dyDescent="0.25"/>
    <row r="42" spans="2:65" x14ac:dyDescent="0.25">
      <c r="B42" s="468" t="s">
        <v>428</v>
      </c>
      <c r="C42" s="469" t="s">
        <v>429</v>
      </c>
      <c r="D42" s="469" t="s">
        <v>430</v>
      </c>
      <c r="E42" s="469" t="s">
        <v>431</v>
      </c>
      <c r="F42" s="469" t="s">
        <v>432</v>
      </c>
      <c r="G42" s="467"/>
      <c r="J42" s="467"/>
      <c r="K42" s="467"/>
      <c r="L42" s="467"/>
      <c r="M42" s="467"/>
    </row>
    <row r="43" spans="2:65" x14ac:dyDescent="0.25">
      <c r="B43" s="470" t="s">
        <v>433</v>
      </c>
      <c r="C43" s="474">
        <v>42278</v>
      </c>
      <c r="D43" s="471">
        <v>18750</v>
      </c>
      <c r="E43" s="476">
        <v>558349</v>
      </c>
      <c r="F43" s="484"/>
      <c r="G43" s="467"/>
      <c r="J43" s="467"/>
      <c r="K43" s="467"/>
      <c r="L43" s="467"/>
      <c r="M43" s="467"/>
    </row>
    <row r="44" spans="2:65" x14ac:dyDescent="0.25">
      <c r="B44" s="470" t="s">
        <v>433</v>
      </c>
      <c r="C44" s="474">
        <v>42279</v>
      </c>
      <c r="D44" s="471">
        <v>18575</v>
      </c>
      <c r="E44" s="476">
        <v>194391</v>
      </c>
      <c r="F44" s="484">
        <v>-9.3771618125969309E-3</v>
      </c>
      <c r="G44" s="467"/>
      <c r="J44" s="467"/>
      <c r="K44" s="467"/>
      <c r="L44" s="467"/>
      <c r="M44" s="467"/>
    </row>
    <row r="45" spans="2:65" x14ac:dyDescent="0.25">
      <c r="B45" s="470" t="s">
        <v>433</v>
      </c>
      <c r="C45" s="474">
        <v>42282</v>
      </c>
      <c r="D45" s="471">
        <v>19005</v>
      </c>
      <c r="E45" s="476">
        <v>493407</v>
      </c>
      <c r="F45" s="484">
        <v>2.2885511837389235E-2</v>
      </c>
      <c r="G45" s="467"/>
      <c r="J45" s="467"/>
      <c r="K45" s="467"/>
      <c r="L45" s="467"/>
      <c r="M45" s="467"/>
    </row>
    <row r="46" spans="2:65" x14ac:dyDescent="0.25">
      <c r="B46" s="470" t="s">
        <v>433</v>
      </c>
      <c r="C46" s="474">
        <v>42283</v>
      </c>
      <c r="D46" s="471">
        <v>19168</v>
      </c>
      <c r="E46" s="476">
        <v>238782</v>
      </c>
      <c r="F46" s="484">
        <v>8.5401194918268853E-3</v>
      </c>
      <c r="G46" s="467"/>
      <c r="J46" s="467"/>
      <c r="K46" s="467"/>
      <c r="L46" s="467"/>
      <c r="M46" s="467"/>
    </row>
    <row r="47" spans="2:65" x14ac:dyDescent="0.25">
      <c r="B47" s="470" t="s">
        <v>433</v>
      </c>
      <c r="C47" s="474">
        <v>42284</v>
      </c>
      <c r="D47" s="471">
        <v>19389</v>
      </c>
      <c r="E47" s="476">
        <v>635104</v>
      </c>
      <c r="F47" s="484">
        <v>1.1463673015829247E-2</v>
      </c>
      <c r="G47" s="467"/>
      <c r="J47" s="467"/>
      <c r="K47" s="467"/>
      <c r="L47" s="467"/>
      <c r="M47" s="467"/>
    </row>
    <row r="48" spans="2:65" x14ac:dyDescent="0.25">
      <c r="B48" s="470" t="s">
        <v>433</v>
      </c>
      <c r="C48" s="474">
        <v>42285</v>
      </c>
      <c r="D48" s="471">
        <v>19117</v>
      </c>
      <c r="E48" s="476">
        <v>554222</v>
      </c>
      <c r="F48" s="484">
        <v>-1.4127903401986788E-2</v>
      </c>
      <c r="G48" s="467"/>
      <c r="J48" s="467"/>
      <c r="K48" s="467"/>
      <c r="L48" s="467"/>
      <c r="M48" s="467"/>
    </row>
    <row r="49" spans="2:18" x14ac:dyDescent="0.25">
      <c r="B49" s="470" t="s">
        <v>433</v>
      </c>
      <c r="C49" s="474">
        <v>42286</v>
      </c>
      <c r="D49" s="471">
        <v>19418</v>
      </c>
      <c r="E49" s="476">
        <v>878356</v>
      </c>
      <c r="F49" s="484">
        <v>1.5622479401071887E-2</v>
      </c>
      <c r="G49" s="467"/>
      <c r="J49" s="467"/>
      <c r="K49" s="467"/>
      <c r="L49" s="467"/>
      <c r="M49" s="467"/>
    </row>
    <row r="50" spans="2:18" x14ac:dyDescent="0.25">
      <c r="B50" s="470" t="s">
        <v>433</v>
      </c>
      <c r="C50" s="474">
        <v>42289</v>
      </c>
      <c r="D50" s="471">
        <v>19314</v>
      </c>
      <c r="E50" s="476">
        <v>467609</v>
      </c>
      <c r="F50" s="484">
        <v>-5.37024940322704E-3</v>
      </c>
      <c r="G50" s="467"/>
      <c r="J50" s="467"/>
      <c r="K50" s="467"/>
      <c r="L50" s="467"/>
      <c r="M50" s="467"/>
    </row>
    <row r="51" spans="2:18" x14ac:dyDescent="0.25">
      <c r="B51" s="470" t="s">
        <v>433</v>
      </c>
      <c r="C51" s="474">
        <v>42290</v>
      </c>
      <c r="D51" s="471">
        <v>19163</v>
      </c>
      <c r="E51" s="476">
        <v>393514</v>
      </c>
      <c r="F51" s="484">
        <v>-7.8488850583679822E-3</v>
      </c>
      <c r="G51" s="467"/>
      <c r="J51" s="467"/>
      <c r="K51" s="467"/>
      <c r="L51" s="467"/>
      <c r="M51" s="467"/>
    </row>
    <row r="52" spans="2:18" x14ac:dyDescent="0.25">
      <c r="B52" s="470" t="s">
        <v>433</v>
      </c>
      <c r="C52" s="474">
        <v>42291</v>
      </c>
      <c r="D52" s="471">
        <v>19183</v>
      </c>
      <c r="E52" s="476">
        <v>383229</v>
      </c>
      <c r="F52" s="484">
        <v>1.0431336678427205E-3</v>
      </c>
      <c r="G52" s="467"/>
      <c r="J52" s="467"/>
      <c r="K52" s="467"/>
      <c r="L52" s="467"/>
      <c r="M52" s="467"/>
    </row>
    <row r="53" spans="2:18" x14ac:dyDescent="0.25">
      <c r="B53" s="470" t="s">
        <v>433</v>
      </c>
      <c r="C53" s="474">
        <v>42292</v>
      </c>
      <c r="D53" s="471">
        <v>19209</v>
      </c>
      <c r="E53" s="476">
        <v>266297</v>
      </c>
      <c r="F53" s="484">
        <v>1.3544490505739543E-3</v>
      </c>
      <c r="G53" s="467"/>
      <c r="J53" s="467"/>
      <c r="K53" s="467"/>
      <c r="L53" s="467"/>
      <c r="M53" s="467"/>
    </row>
    <row r="54" spans="2:18" x14ac:dyDescent="0.25">
      <c r="B54" s="470" t="s">
        <v>433</v>
      </c>
      <c r="C54" s="474">
        <v>42293</v>
      </c>
      <c r="D54" s="471">
        <v>19060</v>
      </c>
      <c r="E54" s="476">
        <v>994705</v>
      </c>
      <c r="F54" s="484">
        <v>-7.7870209787187887E-3</v>
      </c>
      <c r="G54" s="467"/>
      <c r="J54" s="467"/>
      <c r="K54" s="467"/>
      <c r="L54" s="467"/>
      <c r="M54" s="467"/>
    </row>
    <row r="55" spans="2:18" x14ac:dyDescent="0.25">
      <c r="B55" s="470" t="s">
        <v>433</v>
      </c>
      <c r="C55" s="474">
        <v>42296</v>
      </c>
      <c r="D55" s="471">
        <v>19200</v>
      </c>
      <c r="E55" s="476">
        <v>599328</v>
      </c>
      <c r="F55" s="484">
        <v>7.3183808076797011E-3</v>
      </c>
      <c r="G55" s="467"/>
      <c r="J55" s="467"/>
      <c r="K55" s="467"/>
      <c r="L55" s="467"/>
      <c r="M55" s="467"/>
    </row>
    <row r="56" spans="2:18" x14ac:dyDescent="0.25">
      <c r="B56" s="470" t="s">
        <v>433</v>
      </c>
      <c r="C56" s="474">
        <v>42297</v>
      </c>
      <c r="D56" s="471">
        <v>19315</v>
      </c>
      <c r="E56" s="476">
        <v>1247516</v>
      </c>
      <c r="F56" s="484">
        <v>5.9717170845088674E-3</v>
      </c>
      <c r="G56" s="467"/>
      <c r="J56" s="467"/>
      <c r="K56" s="467"/>
      <c r="L56" s="467"/>
      <c r="M56" s="467"/>
      <c r="N56" s="467"/>
      <c r="O56" s="467"/>
      <c r="P56" s="467"/>
      <c r="Q56" s="467"/>
      <c r="R56" s="467"/>
    </row>
    <row r="57" spans="2:18" x14ac:dyDescent="0.25">
      <c r="B57" s="470" t="s">
        <v>433</v>
      </c>
      <c r="C57" s="474">
        <v>42298</v>
      </c>
      <c r="D57" s="471">
        <v>19325</v>
      </c>
      <c r="E57" s="476">
        <v>420391</v>
      </c>
      <c r="F57" s="484">
        <v>5.1759835524104207E-4</v>
      </c>
      <c r="G57" s="467"/>
      <c r="J57" s="467"/>
      <c r="K57" s="467"/>
      <c r="L57" s="467"/>
      <c r="M57" s="467"/>
      <c r="N57" s="467"/>
      <c r="O57" s="467"/>
      <c r="P57" s="467"/>
      <c r="Q57" s="467"/>
      <c r="R57" s="467"/>
    </row>
    <row r="58" spans="2:18" x14ac:dyDescent="0.25">
      <c r="B58" s="470" t="s">
        <v>433</v>
      </c>
      <c r="C58" s="474">
        <v>42299</v>
      </c>
      <c r="D58" s="471">
        <v>19712</v>
      </c>
      <c r="E58" s="476">
        <v>532987</v>
      </c>
      <c r="F58" s="484">
        <v>1.9827992877623535E-2</v>
      </c>
      <c r="G58" s="467"/>
      <c r="J58" s="467"/>
      <c r="K58" s="467"/>
      <c r="L58" s="467"/>
      <c r="M58" s="467"/>
      <c r="N58" s="467"/>
      <c r="O58" s="467"/>
      <c r="P58" s="467"/>
      <c r="Q58" s="467"/>
      <c r="R58" s="467"/>
    </row>
    <row r="59" spans="2:18" x14ac:dyDescent="0.25">
      <c r="B59" s="470" t="s">
        <v>433</v>
      </c>
      <c r="C59" s="474">
        <v>42300</v>
      </c>
      <c r="D59" s="471">
        <v>19893</v>
      </c>
      <c r="E59" s="476">
        <v>211943</v>
      </c>
      <c r="F59" s="484">
        <v>9.140323703730982E-3</v>
      </c>
      <c r="G59" s="467"/>
      <c r="J59" s="467"/>
      <c r="K59" s="467"/>
      <c r="L59" s="467"/>
      <c r="M59" s="467"/>
      <c r="N59" s="467"/>
      <c r="O59" s="467"/>
      <c r="P59" s="467"/>
      <c r="Q59" s="467"/>
      <c r="R59" s="467"/>
    </row>
    <row r="60" spans="2:18" x14ac:dyDescent="0.25">
      <c r="B60" s="470" t="s">
        <v>433</v>
      </c>
      <c r="C60" s="474">
        <v>42303</v>
      </c>
      <c r="D60" s="471">
        <v>20146</v>
      </c>
      <c r="E60" s="476">
        <v>410901</v>
      </c>
      <c r="F60" s="484">
        <v>1.2637846465649158E-2</v>
      </c>
      <c r="G60" s="467"/>
      <c r="J60" s="467"/>
      <c r="K60" s="467"/>
      <c r="L60" s="467"/>
      <c r="M60" s="467"/>
      <c r="N60" s="467"/>
      <c r="O60" s="467"/>
      <c r="P60" s="467"/>
      <c r="Q60" s="467"/>
      <c r="R60" s="467"/>
    </row>
    <row r="61" spans="2:18" x14ac:dyDescent="0.25">
      <c r="B61" s="470" t="s">
        <v>433</v>
      </c>
      <c r="C61" s="474">
        <v>42304</v>
      </c>
      <c r="D61" s="471">
        <v>20022</v>
      </c>
      <c r="E61" s="476">
        <v>319921</v>
      </c>
      <c r="F61" s="484">
        <v>-6.1740885231974171E-3</v>
      </c>
      <c r="G61" s="467"/>
      <c r="J61" s="467"/>
      <c r="K61" s="467"/>
      <c r="L61" s="467"/>
      <c r="M61" s="467"/>
      <c r="N61" s="467"/>
      <c r="O61" s="467"/>
      <c r="P61" s="467"/>
      <c r="Q61" s="467"/>
      <c r="R61" s="467"/>
    </row>
    <row r="62" spans="2:18" x14ac:dyDescent="0.25">
      <c r="B62" s="470" t="s">
        <v>433</v>
      </c>
      <c r="C62" s="474">
        <v>42305</v>
      </c>
      <c r="D62" s="471">
        <v>20183</v>
      </c>
      <c r="E62" s="476">
        <v>345157</v>
      </c>
      <c r="F62" s="484">
        <v>8.0089969206899835E-3</v>
      </c>
      <c r="G62" s="467"/>
      <c r="J62" s="467"/>
      <c r="K62" s="467"/>
      <c r="L62" s="467"/>
      <c r="M62" s="467"/>
      <c r="N62" s="467"/>
      <c r="O62" s="467"/>
      <c r="P62" s="467"/>
      <c r="Q62" s="467"/>
      <c r="R62" s="467"/>
    </row>
    <row r="63" spans="2:18" x14ac:dyDescent="0.25">
      <c r="B63" s="470" t="s">
        <v>433</v>
      </c>
      <c r="C63" s="474">
        <v>42306</v>
      </c>
      <c r="D63" s="471">
        <v>19855</v>
      </c>
      <c r="E63" s="476">
        <v>307561</v>
      </c>
      <c r="F63" s="484">
        <v>-1.6384801334767177E-2</v>
      </c>
      <c r="G63" s="467"/>
    </row>
    <row r="64" spans="2:18" x14ac:dyDescent="0.25">
      <c r="B64" s="470" t="s">
        <v>433</v>
      </c>
      <c r="C64" s="474">
        <v>42307</v>
      </c>
      <c r="D64" s="471">
        <v>19884</v>
      </c>
      <c r="E64" s="476">
        <v>359706</v>
      </c>
      <c r="F64" s="484">
        <v>1.4595236492114623E-3</v>
      </c>
      <c r="G64" s="467"/>
    </row>
    <row r="65" spans="2:7" x14ac:dyDescent="0.25">
      <c r="B65" s="470" t="s">
        <v>433</v>
      </c>
      <c r="C65" s="474">
        <v>42310</v>
      </c>
      <c r="D65" s="471">
        <v>20239</v>
      </c>
      <c r="E65" s="476">
        <v>391481</v>
      </c>
      <c r="F65" s="484">
        <v>1.769604785164253E-2</v>
      </c>
      <c r="G65" s="467"/>
    </row>
    <row r="66" spans="2:7" x14ac:dyDescent="0.25">
      <c r="B66" s="470" t="s">
        <v>433</v>
      </c>
      <c r="C66" s="474">
        <v>42311</v>
      </c>
      <c r="D66" s="471">
        <v>20210</v>
      </c>
      <c r="E66" s="476">
        <v>384567</v>
      </c>
      <c r="F66" s="484">
        <v>-1.4339046685389004E-3</v>
      </c>
      <c r="G66" s="467"/>
    </row>
    <row r="67" spans="2:7" x14ac:dyDescent="0.25">
      <c r="B67" s="470" t="s">
        <v>433</v>
      </c>
      <c r="C67" s="474">
        <v>42312</v>
      </c>
      <c r="D67" s="471">
        <v>20460</v>
      </c>
      <c r="E67" s="476">
        <v>641572</v>
      </c>
      <c r="F67" s="484">
        <v>1.2294229107950709E-2</v>
      </c>
      <c r="G67" s="467"/>
    </row>
    <row r="68" spans="2:7" x14ac:dyDescent="0.25">
      <c r="B68" s="470" t="s">
        <v>433</v>
      </c>
      <c r="C68" s="474">
        <v>42313</v>
      </c>
      <c r="D68" s="471">
        <v>20400</v>
      </c>
      <c r="E68" s="476">
        <v>1470654</v>
      </c>
      <c r="F68" s="484">
        <v>-2.9368596733097135E-3</v>
      </c>
      <c r="G68" s="467"/>
    </row>
    <row r="69" spans="2:7" x14ac:dyDescent="0.25">
      <c r="B69" s="470" t="s">
        <v>433</v>
      </c>
      <c r="C69" s="474">
        <v>42314</v>
      </c>
      <c r="D69" s="471">
        <v>19876</v>
      </c>
      <c r="E69" s="476">
        <v>226669</v>
      </c>
      <c r="F69" s="484">
        <v>-2.6021927110096515E-2</v>
      </c>
      <c r="G69" s="467"/>
    </row>
    <row r="70" spans="2:7" x14ac:dyDescent="0.25">
      <c r="B70" s="470" t="s">
        <v>433</v>
      </c>
      <c r="C70" s="474">
        <v>42317</v>
      </c>
      <c r="D70" s="471">
        <v>20044</v>
      </c>
      <c r="E70" s="476">
        <v>427324</v>
      </c>
      <c r="F70" s="484">
        <v>8.4168833574041688E-3</v>
      </c>
      <c r="G70" s="467"/>
    </row>
    <row r="71" spans="2:7" x14ac:dyDescent="0.25">
      <c r="B71" s="470" t="s">
        <v>433</v>
      </c>
      <c r="C71" s="474">
        <v>42318</v>
      </c>
      <c r="D71" s="471">
        <v>19538</v>
      </c>
      <c r="E71" s="476">
        <v>319303</v>
      </c>
      <c r="F71" s="484">
        <v>-2.5568569866727429E-2</v>
      </c>
      <c r="G71" s="467"/>
    </row>
    <row r="72" spans="2:7" x14ac:dyDescent="0.25">
      <c r="B72" s="470" t="s">
        <v>433</v>
      </c>
      <c r="C72" s="474">
        <v>42319</v>
      </c>
      <c r="D72" s="471">
        <v>18950</v>
      </c>
      <c r="E72" s="476">
        <v>761159</v>
      </c>
      <c r="F72" s="484">
        <v>-3.0557355702315464E-2</v>
      </c>
      <c r="G72" s="467"/>
    </row>
    <row r="73" spans="2:7" x14ac:dyDescent="0.25">
      <c r="B73" s="470" t="s">
        <v>433</v>
      </c>
      <c r="C73" s="474">
        <v>42320</v>
      </c>
      <c r="D73" s="471">
        <v>19300</v>
      </c>
      <c r="E73" s="476">
        <v>1880367</v>
      </c>
      <c r="F73" s="484">
        <v>1.8301164382404443E-2</v>
      </c>
      <c r="G73" s="467"/>
    </row>
    <row r="74" spans="2:7" x14ac:dyDescent="0.25">
      <c r="B74" s="470" t="s">
        <v>433</v>
      </c>
      <c r="C74" s="474">
        <v>42321</v>
      </c>
      <c r="D74" s="471">
        <v>19099</v>
      </c>
      <c r="E74" s="476">
        <v>958021</v>
      </c>
      <c r="F74" s="484">
        <v>-1.0469118249822353E-2</v>
      </c>
      <c r="G74" s="467"/>
    </row>
    <row r="75" spans="2:7" x14ac:dyDescent="0.25">
      <c r="B75" s="470" t="s">
        <v>433</v>
      </c>
      <c r="C75" s="474">
        <v>42324</v>
      </c>
      <c r="D75" s="471">
        <v>18900</v>
      </c>
      <c r="E75" s="476">
        <v>682562</v>
      </c>
      <c r="F75" s="484">
        <v>-1.0474055595420747E-2</v>
      </c>
      <c r="G75" s="467"/>
    </row>
    <row r="76" spans="2:7" x14ac:dyDescent="0.25">
      <c r="B76" s="470" t="s">
        <v>433</v>
      </c>
      <c r="C76" s="474">
        <v>42325</v>
      </c>
      <c r="D76" s="471">
        <v>19140</v>
      </c>
      <c r="E76" s="476">
        <v>627249</v>
      </c>
      <c r="F76" s="484">
        <v>1.2618463959211464E-2</v>
      </c>
      <c r="G76" s="467"/>
    </row>
    <row r="77" spans="2:7" x14ac:dyDescent="0.25">
      <c r="B77" s="470" t="s">
        <v>433</v>
      </c>
      <c r="C77" s="474">
        <v>42326</v>
      </c>
      <c r="D77" s="471">
        <v>18600</v>
      </c>
      <c r="E77" s="476">
        <v>534537</v>
      </c>
      <c r="F77" s="484">
        <v>-2.8618805305652677E-2</v>
      </c>
      <c r="G77" s="467"/>
    </row>
    <row r="78" spans="2:7" x14ac:dyDescent="0.25">
      <c r="B78" s="470" t="s">
        <v>433</v>
      </c>
      <c r="C78" s="474">
        <v>42327</v>
      </c>
      <c r="D78" s="471">
        <v>19000</v>
      </c>
      <c r="E78" s="476">
        <v>812986</v>
      </c>
      <c r="F78" s="484">
        <v>2.1277398447284879E-2</v>
      </c>
      <c r="G78" s="467"/>
    </row>
    <row r="79" spans="2:7" x14ac:dyDescent="0.25">
      <c r="B79" s="470" t="s">
        <v>433</v>
      </c>
      <c r="C79" s="474">
        <v>42328</v>
      </c>
      <c r="D79" s="471">
        <v>19040</v>
      </c>
      <c r="E79" s="476">
        <v>635647</v>
      </c>
      <c r="F79" s="484">
        <v>2.10305019677889E-3</v>
      </c>
      <c r="G79" s="467"/>
    </row>
    <row r="80" spans="2:7" x14ac:dyDescent="0.25">
      <c r="B80" s="470" t="s">
        <v>433</v>
      </c>
      <c r="C80" s="474">
        <v>42331</v>
      </c>
      <c r="D80" s="471">
        <v>18900</v>
      </c>
      <c r="E80" s="476">
        <v>378561</v>
      </c>
      <c r="F80" s="484">
        <v>-7.3801072976225337E-3</v>
      </c>
      <c r="G80" s="467"/>
    </row>
    <row r="81" spans="2:7" x14ac:dyDescent="0.25">
      <c r="B81" s="470" t="s">
        <v>433</v>
      </c>
      <c r="C81" s="474">
        <v>42332</v>
      </c>
      <c r="D81" s="471">
        <v>19002</v>
      </c>
      <c r="E81" s="476">
        <v>687659</v>
      </c>
      <c r="F81" s="484">
        <v>5.382314718960942E-3</v>
      </c>
      <c r="G81" s="467"/>
    </row>
    <row r="82" spans="2:7" x14ac:dyDescent="0.25">
      <c r="B82" s="470" t="s">
        <v>433</v>
      </c>
      <c r="C82" s="474">
        <v>42333</v>
      </c>
      <c r="D82" s="471">
        <v>18703</v>
      </c>
      <c r="E82" s="476">
        <v>486181</v>
      </c>
      <c r="F82" s="484">
        <v>-1.5860297983694722E-2</v>
      </c>
      <c r="G82" s="467"/>
    </row>
    <row r="83" spans="2:7" x14ac:dyDescent="0.25">
      <c r="B83" s="470" t="s">
        <v>433</v>
      </c>
      <c r="C83" s="474">
        <v>42334</v>
      </c>
      <c r="D83" s="471">
        <v>18945</v>
      </c>
      <c r="E83" s="476">
        <v>360964</v>
      </c>
      <c r="F83" s="484">
        <v>1.2856105669701027E-2</v>
      </c>
      <c r="G83" s="467"/>
    </row>
    <row r="84" spans="2:7" x14ac:dyDescent="0.25">
      <c r="B84" s="470" t="s">
        <v>433</v>
      </c>
      <c r="C84" s="474">
        <v>42335</v>
      </c>
      <c r="D84" s="471">
        <v>19000</v>
      </c>
      <c r="E84" s="476">
        <v>466488</v>
      </c>
      <c r="F84" s="484">
        <v>2.8989346958764452E-3</v>
      </c>
      <c r="G84" s="467"/>
    </row>
    <row r="85" spans="2:7" x14ac:dyDescent="0.25">
      <c r="B85" s="470" t="s">
        <v>433</v>
      </c>
      <c r="C85" s="474">
        <v>42338</v>
      </c>
      <c r="D85" s="471">
        <v>18159</v>
      </c>
      <c r="E85" s="476">
        <v>760169</v>
      </c>
      <c r="F85" s="484">
        <v>-4.5272673588780635E-2</v>
      </c>
      <c r="G85" s="467"/>
    </row>
    <row r="86" spans="2:7" x14ac:dyDescent="0.25">
      <c r="B86" s="470" t="s">
        <v>433</v>
      </c>
      <c r="C86" s="474">
        <v>42339</v>
      </c>
      <c r="D86" s="471">
        <v>18489</v>
      </c>
      <c r="E86" s="476">
        <v>493530</v>
      </c>
      <c r="F86" s="484">
        <v>1.8009655070555998E-2</v>
      </c>
      <c r="G86" s="467"/>
    </row>
    <row r="87" spans="2:7" x14ac:dyDescent="0.25">
      <c r="B87" s="470" t="s">
        <v>433</v>
      </c>
      <c r="C87" s="474">
        <v>42340</v>
      </c>
      <c r="D87" s="471">
        <v>18664</v>
      </c>
      <c r="E87" s="476">
        <v>878695</v>
      </c>
      <c r="F87" s="484">
        <v>9.4205740709131704E-3</v>
      </c>
      <c r="G87" s="467"/>
    </row>
    <row r="88" spans="2:7" x14ac:dyDescent="0.25">
      <c r="B88" s="470" t="s">
        <v>433</v>
      </c>
      <c r="C88" s="474">
        <v>42341</v>
      </c>
      <c r="D88" s="471">
        <v>18051</v>
      </c>
      <c r="E88" s="476">
        <v>746211</v>
      </c>
      <c r="F88" s="484">
        <v>-3.3395449812804463E-2</v>
      </c>
      <c r="G88" s="467"/>
    </row>
    <row r="89" spans="2:7" x14ac:dyDescent="0.25">
      <c r="B89" s="470" t="s">
        <v>433</v>
      </c>
      <c r="C89" s="474">
        <v>42342</v>
      </c>
      <c r="D89" s="471">
        <v>17424</v>
      </c>
      <c r="E89" s="476">
        <v>837458</v>
      </c>
      <c r="F89" s="484">
        <v>-3.5352518715719719E-2</v>
      </c>
      <c r="G89" s="467"/>
    </row>
    <row r="90" spans="2:7" x14ac:dyDescent="0.25">
      <c r="B90" s="470" t="s">
        <v>433</v>
      </c>
      <c r="C90" s="474">
        <v>42345</v>
      </c>
      <c r="D90" s="471">
        <v>17705</v>
      </c>
      <c r="E90" s="476">
        <v>399387</v>
      </c>
      <c r="F90" s="484">
        <v>1.5998519373262392E-2</v>
      </c>
      <c r="G90" s="467"/>
    </row>
    <row r="91" spans="2:7" x14ac:dyDescent="0.25">
      <c r="B91" s="470" t="s">
        <v>433</v>
      </c>
      <c r="C91" s="474">
        <v>42346</v>
      </c>
      <c r="D91" s="471">
        <v>17552</v>
      </c>
      <c r="E91" s="476">
        <v>770754</v>
      </c>
      <c r="F91" s="484">
        <v>-8.6791820309926014E-3</v>
      </c>
      <c r="G91" s="467"/>
    </row>
    <row r="92" spans="2:7" x14ac:dyDescent="0.25">
      <c r="B92" s="470" t="s">
        <v>433</v>
      </c>
      <c r="C92" s="474">
        <v>42347</v>
      </c>
      <c r="D92" s="471">
        <v>18150</v>
      </c>
      <c r="E92" s="476">
        <v>397018</v>
      </c>
      <c r="F92" s="484">
        <v>3.3502657177985271E-2</v>
      </c>
      <c r="G92" s="467"/>
    </row>
    <row r="93" spans="2:7" x14ac:dyDescent="0.25">
      <c r="B93" s="470" t="s">
        <v>433</v>
      </c>
      <c r="C93" s="474">
        <v>42348</v>
      </c>
      <c r="D93" s="471">
        <v>17588</v>
      </c>
      <c r="E93" s="476">
        <v>1096001</v>
      </c>
      <c r="F93" s="484">
        <v>-3.1453709392296095E-2</v>
      </c>
      <c r="G93" s="467"/>
    </row>
    <row r="94" spans="2:7" x14ac:dyDescent="0.25">
      <c r="B94" s="470" t="s">
        <v>433</v>
      </c>
      <c r="C94" s="474">
        <v>42349</v>
      </c>
      <c r="D94" s="471">
        <v>16860</v>
      </c>
      <c r="E94" s="476">
        <v>802549</v>
      </c>
      <c r="F94" s="484">
        <v>-4.2272898744854258E-2</v>
      </c>
      <c r="G94" s="467"/>
    </row>
    <row r="95" spans="2:7" x14ac:dyDescent="0.25">
      <c r="B95" s="470" t="s">
        <v>433</v>
      </c>
      <c r="C95" s="474">
        <v>42352</v>
      </c>
      <c r="D95" s="471">
        <v>17636</v>
      </c>
      <c r="E95" s="476">
        <v>991264</v>
      </c>
      <c r="F95" s="484">
        <v>4.499831492198178E-2</v>
      </c>
      <c r="G95" s="467"/>
    </row>
    <row r="96" spans="2:7" x14ac:dyDescent="0.25">
      <c r="B96" s="470" t="s">
        <v>433</v>
      </c>
      <c r="C96" s="474">
        <v>42353</v>
      </c>
      <c r="D96" s="471">
        <v>18296</v>
      </c>
      <c r="E96" s="476">
        <v>475454</v>
      </c>
      <c r="F96" s="484">
        <v>3.6740189224788854E-2</v>
      </c>
      <c r="G96" s="467"/>
    </row>
    <row r="97" spans="2:7" x14ac:dyDescent="0.25">
      <c r="B97" s="470" t="s">
        <v>433</v>
      </c>
      <c r="C97" s="474">
        <v>42355</v>
      </c>
      <c r="D97" s="471">
        <v>18421</v>
      </c>
      <c r="E97" s="476">
        <v>706577</v>
      </c>
      <c r="F97" s="484">
        <v>6.8088614496000762E-3</v>
      </c>
      <c r="G97" s="467"/>
    </row>
    <row r="98" spans="2:7" x14ac:dyDescent="0.25">
      <c r="B98" s="470" t="s">
        <v>433</v>
      </c>
      <c r="C98" s="474">
        <v>42356</v>
      </c>
      <c r="D98" s="471">
        <v>19005</v>
      </c>
      <c r="E98" s="476">
        <v>869532</v>
      </c>
      <c r="F98" s="484">
        <v>3.1210784271131931E-2</v>
      </c>
      <c r="G98" s="467"/>
    </row>
    <row r="99" spans="2:7" x14ac:dyDescent="0.25">
      <c r="B99" s="470" t="s">
        <v>433</v>
      </c>
      <c r="C99" s="474">
        <v>42359</v>
      </c>
      <c r="D99" s="471">
        <v>18621</v>
      </c>
      <c r="E99" s="476">
        <v>567029</v>
      </c>
      <c r="F99" s="484">
        <v>-2.0412126341586709E-2</v>
      </c>
      <c r="G99" s="467"/>
    </row>
    <row r="100" spans="2:7" x14ac:dyDescent="0.25">
      <c r="B100" s="470" t="s">
        <v>433</v>
      </c>
      <c r="C100" s="474">
        <v>42360</v>
      </c>
      <c r="D100" s="471">
        <v>18628</v>
      </c>
      <c r="E100" s="476">
        <v>236015</v>
      </c>
      <c r="F100" s="484">
        <v>3.7584902050552261E-4</v>
      </c>
      <c r="G100" s="467"/>
    </row>
    <row r="101" spans="2:7" x14ac:dyDescent="0.25">
      <c r="B101" s="470" t="s">
        <v>433</v>
      </c>
      <c r="C101" s="474">
        <v>42361</v>
      </c>
      <c r="D101" s="471">
        <v>18874</v>
      </c>
      <c r="E101" s="476">
        <v>295227</v>
      </c>
      <c r="F101" s="484">
        <v>1.3119488479010481E-2</v>
      </c>
      <c r="G101" s="467"/>
    </row>
    <row r="102" spans="2:7" x14ac:dyDescent="0.25">
      <c r="B102" s="470" t="s">
        <v>433</v>
      </c>
      <c r="C102" s="474">
        <v>42362</v>
      </c>
      <c r="D102" s="471">
        <v>18851</v>
      </c>
      <c r="E102" s="476">
        <v>142680</v>
      </c>
      <c r="F102" s="484">
        <v>-1.219350714366138E-3</v>
      </c>
      <c r="G102" s="467"/>
    </row>
    <row r="103" spans="2:7" x14ac:dyDescent="0.25">
      <c r="B103" s="470" t="s">
        <v>433</v>
      </c>
      <c r="C103" s="474">
        <v>42366</v>
      </c>
      <c r="D103" s="471">
        <v>18962</v>
      </c>
      <c r="E103" s="476">
        <v>101181</v>
      </c>
      <c r="F103" s="484">
        <v>5.8710136109921375E-3</v>
      </c>
      <c r="G103" s="467"/>
    </row>
    <row r="104" spans="2:7" x14ac:dyDescent="0.25">
      <c r="B104" s="470" t="s">
        <v>433</v>
      </c>
      <c r="C104" s="474">
        <v>42367</v>
      </c>
      <c r="D104" s="471">
        <v>18796</v>
      </c>
      <c r="E104" s="476">
        <v>170178</v>
      </c>
      <c r="F104" s="484">
        <v>-8.7928952551981077E-3</v>
      </c>
      <c r="G104" s="467"/>
    </row>
    <row r="105" spans="2:7" x14ac:dyDescent="0.25">
      <c r="B105" s="470" t="s">
        <v>433</v>
      </c>
      <c r="C105" s="474">
        <v>42368</v>
      </c>
      <c r="D105" s="471">
        <v>18324</v>
      </c>
      <c r="E105" s="476">
        <v>121000</v>
      </c>
      <c r="F105" s="484">
        <v>-2.5432405216073584E-2</v>
      </c>
      <c r="G105" s="467"/>
    </row>
    <row r="106" spans="2:7" x14ac:dyDescent="0.25">
      <c r="B106" s="470" t="s">
        <v>433</v>
      </c>
      <c r="C106" s="474">
        <v>42369</v>
      </c>
      <c r="D106" s="471">
        <v>18410</v>
      </c>
      <c r="E106" s="476">
        <v>76430</v>
      </c>
      <c r="F106" s="484">
        <v>4.682319220490702E-3</v>
      </c>
      <c r="G106" s="467"/>
    </row>
    <row r="107" spans="2:7" x14ac:dyDescent="0.25">
      <c r="B107" s="470" t="s">
        <v>433</v>
      </c>
      <c r="C107" s="474">
        <v>42373</v>
      </c>
      <c r="D107" s="471">
        <v>17493</v>
      </c>
      <c r="E107" s="476">
        <v>454386</v>
      </c>
      <c r="F107" s="484">
        <v>-5.10931943368578E-2</v>
      </c>
      <c r="G107" s="467"/>
    </row>
    <row r="108" spans="2:7" x14ac:dyDescent="0.25">
      <c r="B108" s="470" t="s">
        <v>433</v>
      </c>
      <c r="C108" s="474">
        <v>42374</v>
      </c>
      <c r="D108" s="471">
        <v>17797</v>
      </c>
      <c r="E108" s="476">
        <v>363485</v>
      </c>
      <c r="F108" s="484">
        <v>1.7229102859719975E-2</v>
      </c>
      <c r="G108" s="467"/>
    </row>
    <row r="109" spans="2:7" x14ac:dyDescent="0.25">
      <c r="B109" s="470" t="s">
        <v>433</v>
      </c>
      <c r="C109" s="474">
        <v>42375</v>
      </c>
      <c r="D109" s="471">
        <v>17930</v>
      </c>
      <c r="E109" s="476">
        <v>296636</v>
      </c>
      <c r="F109" s="484">
        <v>7.445383849192984E-3</v>
      </c>
      <c r="G109" s="467"/>
    </row>
    <row r="110" spans="2:7" x14ac:dyDescent="0.25">
      <c r="B110" s="470" t="s">
        <v>433</v>
      </c>
      <c r="C110" s="474">
        <v>42376</v>
      </c>
      <c r="D110" s="471">
        <v>17342</v>
      </c>
      <c r="E110" s="476">
        <v>478207</v>
      </c>
      <c r="F110" s="484">
        <v>-3.3343982662072835E-2</v>
      </c>
      <c r="G110" s="467"/>
    </row>
    <row r="111" spans="2:7" x14ac:dyDescent="0.25">
      <c r="B111" s="470" t="s">
        <v>433</v>
      </c>
      <c r="C111" s="474">
        <v>42377</v>
      </c>
      <c r="D111" s="471">
        <v>17401</v>
      </c>
      <c r="E111" s="476">
        <v>202739</v>
      </c>
      <c r="F111" s="484">
        <v>3.3963708784726463E-3</v>
      </c>
      <c r="G111" s="467"/>
    </row>
    <row r="112" spans="2:7" x14ac:dyDescent="0.25">
      <c r="B112" s="470" t="s">
        <v>433</v>
      </c>
      <c r="C112" s="474">
        <v>42380</v>
      </c>
      <c r="D112" s="471">
        <v>16631</v>
      </c>
      <c r="E112" s="476">
        <v>539627</v>
      </c>
      <c r="F112" s="484">
        <v>-4.5259252145438501E-2</v>
      </c>
      <c r="G112" s="467"/>
    </row>
    <row r="113" spans="2:7" x14ac:dyDescent="0.25">
      <c r="B113" s="470" t="s">
        <v>433</v>
      </c>
      <c r="C113" s="474">
        <v>42381</v>
      </c>
      <c r="D113" s="471">
        <v>17323</v>
      </c>
      <c r="E113" s="476">
        <v>689681</v>
      </c>
      <c r="F113" s="484">
        <v>4.0766674608800978E-2</v>
      </c>
      <c r="G113" s="467"/>
    </row>
    <row r="114" spans="2:7" x14ac:dyDescent="0.25">
      <c r="B114" s="470" t="s">
        <v>433</v>
      </c>
      <c r="C114" s="474">
        <v>42382</v>
      </c>
      <c r="D114" s="471">
        <v>17745</v>
      </c>
      <c r="E114" s="476">
        <v>677757</v>
      </c>
      <c r="F114" s="484">
        <v>2.4068687801655851E-2</v>
      </c>
      <c r="G114" s="467"/>
    </row>
    <row r="115" spans="2:7" x14ac:dyDescent="0.25">
      <c r="B115" s="470" t="s">
        <v>433</v>
      </c>
      <c r="C115" s="474">
        <v>42383</v>
      </c>
      <c r="D115" s="471">
        <v>17801</v>
      </c>
      <c r="E115" s="476">
        <v>411540</v>
      </c>
      <c r="F115" s="484">
        <v>3.1508493968360695E-3</v>
      </c>
      <c r="G115" s="467"/>
    </row>
    <row r="116" spans="2:7" x14ac:dyDescent="0.25">
      <c r="B116" s="470" t="s">
        <v>433</v>
      </c>
      <c r="C116" s="474">
        <v>42384</v>
      </c>
      <c r="D116" s="471">
        <v>16700</v>
      </c>
      <c r="E116" s="476">
        <v>844721</v>
      </c>
      <c r="F116" s="484">
        <v>-6.3845916072586439E-2</v>
      </c>
      <c r="G116" s="467"/>
    </row>
    <row r="117" spans="2:7" x14ac:dyDescent="0.25">
      <c r="B117" s="470" t="s">
        <v>433</v>
      </c>
      <c r="C117" s="474">
        <v>42387</v>
      </c>
      <c r="D117" s="471">
        <v>16543</v>
      </c>
      <c r="E117" s="476">
        <v>612690</v>
      </c>
      <c r="F117" s="484">
        <v>-9.4456677978304818E-3</v>
      </c>
      <c r="G117" s="467"/>
    </row>
    <row r="118" spans="2:7" x14ac:dyDescent="0.25">
      <c r="B118" s="470" t="s">
        <v>433</v>
      </c>
      <c r="C118" s="474">
        <v>42388</v>
      </c>
      <c r="D118" s="471">
        <v>16891</v>
      </c>
      <c r="E118" s="476">
        <v>622604</v>
      </c>
      <c r="F118" s="484">
        <v>2.0817884073329039E-2</v>
      </c>
      <c r="G118" s="467"/>
    </row>
    <row r="119" spans="2:7" x14ac:dyDescent="0.25">
      <c r="B119" s="470" t="s">
        <v>433</v>
      </c>
      <c r="C119" s="474">
        <v>42389</v>
      </c>
      <c r="D119" s="471">
        <v>16597</v>
      </c>
      <c r="E119" s="476">
        <v>924997</v>
      </c>
      <c r="F119" s="484">
        <v>-1.7558979559626198E-2</v>
      </c>
      <c r="G119" s="467"/>
    </row>
    <row r="120" spans="2:7" x14ac:dyDescent="0.25">
      <c r="B120" s="470" t="s">
        <v>433</v>
      </c>
      <c r="C120" s="474">
        <v>42390</v>
      </c>
      <c r="D120" s="471">
        <v>16800</v>
      </c>
      <c r="E120" s="476">
        <v>393136</v>
      </c>
      <c r="F120" s="484">
        <v>1.2156930270631446E-2</v>
      </c>
      <c r="G120" s="467"/>
    </row>
    <row r="121" spans="2:7" x14ac:dyDescent="0.25">
      <c r="B121" s="470" t="s">
        <v>433</v>
      </c>
      <c r="C121" s="474">
        <v>42391</v>
      </c>
      <c r="D121" s="471">
        <v>16793</v>
      </c>
      <c r="E121" s="476">
        <v>398990</v>
      </c>
      <c r="F121" s="484">
        <v>-4.1675349634236837E-4</v>
      </c>
      <c r="G121" s="467"/>
    </row>
    <row r="122" spans="2:7" x14ac:dyDescent="0.25">
      <c r="B122" s="470" t="s">
        <v>433</v>
      </c>
      <c r="C122" s="474">
        <v>42394</v>
      </c>
      <c r="D122" s="471">
        <v>16760</v>
      </c>
      <c r="E122" s="476">
        <v>425756</v>
      </c>
      <c r="F122" s="484">
        <v>-1.9670378589338069E-3</v>
      </c>
      <c r="G122" s="467"/>
    </row>
    <row r="123" spans="2:7" x14ac:dyDescent="0.25">
      <c r="B123" s="470" t="s">
        <v>433</v>
      </c>
      <c r="C123" s="474">
        <v>42395</v>
      </c>
      <c r="D123" s="471">
        <v>16584</v>
      </c>
      <c r="E123" s="476">
        <v>676294</v>
      </c>
      <c r="F123" s="484">
        <v>-1.0556719920458469E-2</v>
      </c>
      <c r="G123" s="467"/>
    </row>
    <row r="124" spans="2:7" x14ac:dyDescent="0.25">
      <c r="B124" s="470" t="s">
        <v>433</v>
      </c>
      <c r="C124" s="474">
        <v>42396</v>
      </c>
      <c r="D124" s="471">
        <v>17407</v>
      </c>
      <c r="E124" s="476">
        <v>650723</v>
      </c>
      <c r="F124" s="484">
        <v>4.8434049037093821E-2</v>
      </c>
      <c r="G124" s="467"/>
    </row>
    <row r="125" spans="2:7" x14ac:dyDescent="0.25">
      <c r="B125" s="470" t="s">
        <v>433</v>
      </c>
      <c r="C125" s="474">
        <v>42397</v>
      </c>
      <c r="D125" s="471">
        <v>17998</v>
      </c>
      <c r="E125" s="476">
        <v>338941</v>
      </c>
      <c r="F125" s="484">
        <v>3.3388216441184643E-2</v>
      </c>
      <c r="G125" s="467"/>
    </row>
    <row r="126" spans="2:7" x14ac:dyDescent="0.25">
      <c r="B126" s="470" t="s">
        <v>433</v>
      </c>
      <c r="C126" s="474">
        <v>42398</v>
      </c>
      <c r="D126" s="471">
        <v>18303</v>
      </c>
      <c r="E126" s="476">
        <v>933155</v>
      </c>
      <c r="F126" s="484">
        <v>1.6804340226068241E-2</v>
      </c>
      <c r="G126" s="467"/>
    </row>
    <row r="127" spans="2:7" x14ac:dyDescent="0.25">
      <c r="B127" s="470" t="s">
        <v>433</v>
      </c>
      <c r="C127" s="474">
        <v>42401</v>
      </c>
      <c r="D127" s="471">
        <v>17620</v>
      </c>
      <c r="E127" s="476">
        <v>835407</v>
      </c>
      <c r="F127" s="484">
        <v>-3.8030360329791575E-2</v>
      </c>
      <c r="G127" s="467"/>
    </row>
    <row r="128" spans="2:7" x14ac:dyDescent="0.25">
      <c r="B128" s="470" t="s">
        <v>433</v>
      </c>
      <c r="C128" s="474">
        <v>42402</v>
      </c>
      <c r="D128" s="471">
        <v>17450</v>
      </c>
      <c r="E128" s="476">
        <v>440120</v>
      </c>
      <c r="F128" s="484">
        <v>-9.6949718595972945E-3</v>
      </c>
      <c r="G128" s="467"/>
    </row>
    <row r="129" spans="2:7" x14ac:dyDescent="0.25">
      <c r="B129" s="470" t="s">
        <v>433</v>
      </c>
      <c r="C129" s="474">
        <v>42403</v>
      </c>
      <c r="D129" s="471">
        <v>17820</v>
      </c>
      <c r="E129" s="476">
        <v>388381</v>
      </c>
      <c r="F129" s="484">
        <v>2.0981773394226997E-2</v>
      </c>
      <c r="G129" s="467"/>
    </row>
    <row r="130" spans="2:7" x14ac:dyDescent="0.25">
      <c r="B130" s="470" t="s">
        <v>433</v>
      </c>
      <c r="C130" s="474">
        <v>42404</v>
      </c>
      <c r="D130" s="471">
        <v>18077</v>
      </c>
      <c r="E130" s="476">
        <v>630105</v>
      </c>
      <c r="F130" s="484">
        <v>1.4318989950054017E-2</v>
      </c>
      <c r="G130" s="467"/>
    </row>
    <row r="131" spans="2:7" x14ac:dyDescent="0.25">
      <c r="B131" s="470" t="s">
        <v>433</v>
      </c>
      <c r="C131" s="474">
        <v>42405</v>
      </c>
      <c r="D131" s="471">
        <v>17904</v>
      </c>
      <c r="E131" s="476">
        <v>629239</v>
      </c>
      <c r="F131" s="484">
        <v>-9.6162604231478897E-3</v>
      </c>
      <c r="G131" s="467"/>
    </row>
    <row r="132" spans="2:7" x14ac:dyDescent="0.25">
      <c r="B132" s="470" t="s">
        <v>433</v>
      </c>
      <c r="C132" s="474">
        <v>42408</v>
      </c>
      <c r="D132" s="471">
        <v>17921</v>
      </c>
      <c r="E132" s="476">
        <v>151608</v>
      </c>
      <c r="F132" s="484">
        <v>9.4905799168209018E-4</v>
      </c>
      <c r="G132" s="467"/>
    </row>
    <row r="133" spans="2:7" x14ac:dyDescent="0.25">
      <c r="B133" s="470" t="s">
        <v>433</v>
      </c>
      <c r="C133" s="474">
        <v>42409</v>
      </c>
      <c r="D133" s="471">
        <v>18011</v>
      </c>
      <c r="E133" s="476">
        <v>236988</v>
      </c>
      <c r="F133" s="484">
        <v>5.0094727936689162E-3</v>
      </c>
      <c r="G133" s="467"/>
    </row>
    <row r="134" spans="2:7" x14ac:dyDescent="0.25">
      <c r="B134" s="470" t="s">
        <v>433</v>
      </c>
      <c r="C134" s="474">
        <v>42410</v>
      </c>
      <c r="D134" s="471">
        <v>18000</v>
      </c>
      <c r="E134" s="476">
        <v>354493</v>
      </c>
      <c r="F134" s="484">
        <v>-6.1092445875571017E-4</v>
      </c>
      <c r="G134" s="467"/>
    </row>
    <row r="135" spans="2:7" x14ac:dyDescent="0.25">
      <c r="B135" s="470" t="s">
        <v>433</v>
      </c>
      <c r="C135" s="474">
        <v>42411</v>
      </c>
      <c r="D135" s="471">
        <v>17650</v>
      </c>
      <c r="E135" s="476">
        <v>243067</v>
      </c>
      <c r="F135" s="484">
        <v>-1.9635974516858962E-2</v>
      </c>
      <c r="G135" s="467"/>
    </row>
    <row r="136" spans="2:7" x14ac:dyDescent="0.25">
      <c r="B136" s="470" t="s">
        <v>433</v>
      </c>
      <c r="C136" s="474">
        <v>42412</v>
      </c>
      <c r="D136" s="471">
        <v>17600</v>
      </c>
      <c r="E136" s="476">
        <v>540437</v>
      </c>
      <c r="F136" s="484">
        <v>-2.8368813351997263E-3</v>
      </c>
      <c r="G136" s="467"/>
    </row>
    <row r="137" spans="2:7" x14ac:dyDescent="0.25">
      <c r="B137" s="470" t="s">
        <v>433</v>
      </c>
      <c r="C137" s="474">
        <v>42415</v>
      </c>
      <c r="D137" s="471">
        <v>18098</v>
      </c>
      <c r="E137" s="476">
        <v>450343</v>
      </c>
      <c r="F137" s="484">
        <v>2.7902532884835424E-2</v>
      </c>
      <c r="G137" s="467"/>
    </row>
    <row r="138" spans="2:7" x14ac:dyDescent="0.25">
      <c r="B138" s="470" t="s">
        <v>433</v>
      </c>
      <c r="C138" s="474">
        <v>42416</v>
      </c>
      <c r="D138" s="471">
        <v>18053</v>
      </c>
      <c r="E138" s="476">
        <v>478874</v>
      </c>
      <c r="F138" s="484">
        <v>-2.4895589744205024E-3</v>
      </c>
      <c r="G138" s="467"/>
    </row>
    <row r="139" spans="2:7" x14ac:dyDescent="0.25">
      <c r="B139" s="470" t="s">
        <v>433</v>
      </c>
      <c r="C139" s="474">
        <v>42417</v>
      </c>
      <c r="D139" s="471">
        <v>18490</v>
      </c>
      <c r="E139" s="476">
        <v>259028</v>
      </c>
      <c r="F139" s="484">
        <v>2.3918169444512458E-2</v>
      </c>
      <c r="G139" s="467"/>
    </row>
    <row r="140" spans="2:7" x14ac:dyDescent="0.25">
      <c r="B140" s="470" t="s">
        <v>433</v>
      </c>
      <c r="C140" s="474">
        <v>42418</v>
      </c>
      <c r="D140" s="471">
        <v>18630</v>
      </c>
      <c r="E140" s="476">
        <v>684092</v>
      </c>
      <c r="F140" s="484">
        <v>7.5431392144636898E-3</v>
      </c>
      <c r="G140" s="467"/>
    </row>
    <row r="141" spans="2:7" x14ac:dyDescent="0.25">
      <c r="B141" s="470" t="s">
        <v>433</v>
      </c>
      <c r="C141" s="474">
        <v>42419</v>
      </c>
      <c r="D141" s="471">
        <v>18350</v>
      </c>
      <c r="E141" s="476">
        <v>838785</v>
      </c>
      <c r="F141" s="484">
        <v>-1.5143610112917765E-2</v>
      </c>
      <c r="G141" s="467"/>
    </row>
    <row r="142" spans="2:7" x14ac:dyDescent="0.25">
      <c r="B142" s="470" t="s">
        <v>433</v>
      </c>
      <c r="C142" s="474">
        <v>42422</v>
      </c>
      <c r="D142" s="471">
        <v>17835</v>
      </c>
      <c r="E142" s="476">
        <v>363227</v>
      </c>
      <c r="F142" s="484">
        <v>-2.8466755689724461E-2</v>
      </c>
      <c r="G142" s="467"/>
    </row>
    <row r="143" spans="2:7" x14ac:dyDescent="0.25">
      <c r="B143" s="470" t="s">
        <v>433</v>
      </c>
      <c r="C143" s="474">
        <v>42423</v>
      </c>
      <c r="D143" s="471">
        <v>17800</v>
      </c>
      <c r="E143" s="476">
        <v>185073</v>
      </c>
      <c r="F143" s="484">
        <v>-1.9643615128153843E-3</v>
      </c>
      <c r="G143" s="467"/>
    </row>
    <row r="144" spans="2:7" x14ac:dyDescent="0.25">
      <c r="B144" s="470" t="s">
        <v>433</v>
      </c>
      <c r="C144" s="474">
        <v>42424</v>
      </c>
      <c r="D144" s="471">
        <v>17402</v>
      </c>
      <c r="E144" s="476">
        <v>358212</v>
      </c>
      <c r="F144" s="484">
        <v>-2.261331515420676E-2</v>
      </c>
      <c r="G144" s="467"/>
    </row>
    <row r="145" spans="2:7" x14ac:dyDescent="0.25">
      <c r="B145" s="470" t="s">
        <v>433</v>
      </c>
      <c r="C145" s="474">
        <v>42425</v>
      </c>
      <c r="D145" s="471">
        <v>18341</v>
      </c>
      <c r="E145" s="476">
        <v>452219</v>
      </c>
      <c r="F145" s="484">
        <v>5.2553848825062768E-2</v>
      </c>
      <c r="G145" s="467"/>
    </row>
    <row r="146" spans="2:7" x14ac:dyDescent="0.25">
      <c r="B146" s="470" t="s">
        <v>433</v>
      </c>
      <c r="C146" s="474">
        <v>42426</v>
      </c>
      <c r="D146" s="471">
        <v>18250</v>
      </c>
      <c r="E146" s="476">
        <v>251773</v>
      </c>
      <c r="F146" s="484">
        <v>-4.9739109403950169E-3</v>
      </c>
      <c r="G146" s="467"/>
    </row>
    <row r="147" spans="2:7" x14ac:dyDescent="0.25">
      <c r="B147" s="470" t="s">
        <v>433</v>
      </c>
      <c r="C147" s="474">
        <v>42429</v>
      </c>
      <c r="D147" s="471">
        <v>17866</v>
      </c>
      <c r="E147" s="476">
        <v>463702</v>
      </c>
      <c r="F147" s="484">
        <v>-2.1265614748853134E-2</v>
      </c>
      <c r="G147" s="467"/>
    </row>
    <row r="148" spans="2:7" x14ac:dyDescent="0.25">
      <c r="B148" s="470" t="s">
        <v>433</v>
      </c>
      <c r="C148" s="474">
        <v>42430</v>
      </c>
      <c r="D148" s="471">
        <v>18571</v>
      </c>
      <c r="E148" s="476">
        <v>412737</v>
      </c>
      <c r="F148" s="484">
        <v>3.8701758931268482E-2</v>
      </c>
      <c r="G148" s="467"/>
    </row>
    <row r="149" spans="2:7" x14ac:dyDescent="0.25">
      <c r="B149" s="470" t="s">
        <v>433</v>
      </c>
      <c r="C149" s="474">
        <v>42431</v>
      </c>
      <c r="D149" s="471">
        <v>18705</v>
      </c>
      <c r="E149" s="476">
        <v>614475</v>
      </c>
      <c r="F149" s="484">
        <v>7.1896435891935064E-3</v>
      </c>
      <c r="G149" s="467"/>
    </row>
    <row r="150" spans="2:7" x14ac:dyDescent="0.25">
      <c r="B150" s="470" t="s">
        <v>433</v>
      </c>
      <c r="C150" s="474">
        <v>42432</v>
      </c>
      <c r="D150" s="471">
        <v>18941</v>
      </c>
      <c r="E150" s="476">
        <v>268312</v>
      </c>
      <c r="F150" s="484">
        <v>1.2538016874494996E-2</v>
      </c>
      <c r="G150" s="467"/>
    </row>
    <row r="151" spans="2:7" x14ac:dyDescent="0.25">
      <c r="B151" s="470" t="s">
        <v>433</v>
      </c>
      <c r="C151" s="474">
        <v>42433</v>
      </c>
      <c r="D151" s="471">
        <v>18435</v>
      </c>
      <c r="E151" s="476">
        <v>463065</v>
      </c>
      <c r="F151" s="484">
        <v>-2.7077852988496708E-2</v>
      </c>
      <c r="G151" s="467"/>
    </row>
    <row r="152" spans="2:7" x14ac:dyDescent="0.25">
      <c r="B152" s="470" t="s">
        <v>433</v>
      </c>
      <c r="C152" s="474">
        <v>42436</v>
      </c>
      <c r="D152" s="471">
        <v>19006</v>
      </c>
      <c r="E152" s="476">
        <v>535519</v>
      </c>
      <c r="F152" s="484">
        <v>3.0503687103015723E-2</v>
      </c>
      <c r="G152" s="467"/>
    </row>
    <row r="153" spans="2:7" x14ac:dyDescent="0.25">
      <c r="B153" s="470" t="s">
        <v>433</v>
      </c>
      <c r="C153" s="474">
        <v>42437</v>
      </c>
      <c r="D153" s="471">
        <v>19294</v>
      </c>
      <c r="E153" s="476">
        <v>510368</v>
      </c>
      <c r="F153" s="484">
        <v>1.5039447959238377E-2</v>
      </c>
      <c r="G153" s="467"/>
    </row>
    <row r="154" spans="2:7" x14ac:dyDescent="0.25">
      <c r="B154" s="470" t="s">
        <v>433</v>
      </c>
      <c r="C154" s="474">
        <v>42438</v>
      </c>
      <c r="D154" s="471">
        <v>19306</v>
      </c>
      <c r="E154" s="476">
        <v>432004</v>
      </c>
      <c r="F154" s="484">
        <v>6.2176167806158884E-4</v>
      </c>
      <c r="G154" s="467"/>
    </row>
    <row r="155" spans="2:7" x14ac:dyDescent="0.25">
      <c r="B155" s="470" t="s">
        <v>433</v>
      </c>
      <c r="C155" s="474">
        <v>42439</v>
      </c>
      <c r="D155" s="471">
        <v>18552</v>
      </c>
      <c r="E155" s="476">
        <v>1843615</v>
      </c>
      <c r="F155" s="484">
        <v>-3.9838328473192873E-2</v>
      </c>
      <c r="G155" s="467"/>
    </row>
    <row r="156" spans="2:7" x14ac:dyDescent="0.25">
      <c r="B156" s="470" t="s">
        <v>433</v>
      </c>
      <c r="C156" s="474">
        <v>42440</v>
      </c>
      <c r="D156" s="471">
        <v>18700</v>
      </c>
      <c r="E156" s="476">
        <v>1328061</v>
      </c>
      <c r="F156" s="484">
        <v>7.9459239073104426E-3</v>
      </c>
      <c r="G156" s="467"/>
    </row>
    <row r="157" spans="2:7" x14ac:dyDescent="0.25">
      <c r="B157" s="470" t="s">
        <v>433</v>
      </c>
      <c r="C157" s="474">
        <v>42443</v>
      </c>
      <c r="D157" s="471">
        <v>18750</v>
      </c>
      <c r="E157" s="476">
        <v>338045</v>
      </c>
      <c r="F157" s="484">
        <v>2.6702285558788921E-3</v>
      </c>
      <c r="G157" s="467"/>
    </row>
    <row r="158" spans="2:7" x14ac:dyDescent="0.25">
      <c r="B158" s="470" t="s">
        <v>433</v>
      </c>
      <c r="C158" s="474">
        <v>42444</v>
      </c>
      <c r="D158" s="471">
        <v>18526</v>
      </c>
      <c r="E158" s="476">
        <v>306168</v>
      </c>
      <c r="F158" s="484">
        <v>-1.201860158458405E-2</v>
      </c>
      <c r="G158" s="467"/>
    </row>
    <row r="159" spans="2:7" x14ac:dyDescent="0.25">
      <c r="B159" s="470" t="s">
        <v>433</v>
      </c>
      <c r="C159" s="474">
        <v>42445</v>
      </c>
      <c r="D159" s="471">
        <v>18653</v>
      </c>
      <c r="E159" s="476">
        <v>553116</v>
      </c>
      <c r="F159" s="484">
        <v>6.8318402305896867E-3</v>
      </c>
      <c r="G159" s="467"/>
    </row>
    <row r="160" spans="2:7" x14ac:dyDescent="0.25">
      <c r="B160" s="470" t="s">
        <v>433</v>
      </c>
      <c r="C160" s="474">
        <v>42446</v>
      </c>
      <c r="D160" s="471">
        <v>18700</v>
      </c>
      <c r="E160" s="476">
        <v>587344</v>
      </c>
      <c r="F160" s="484">
        <v>2.5165327981154693E-3</v>
      </c>
      <c r="G160" s="467"/>
    </row>
    <row r="161" spans="2:7" x14ac:dyDescent="0.25">
      <c r="B161" s="470" t="s">
        <v>433</v>
      </c>
      <c r="C161" s="474">
        <v>42447</v>
      </c>
      <c r="D161" s="471">
        <v>19646</v>
      </c>
      <c r="E161" s="476">
        <v>739467</v>
      </c>
      <c r="F161" s="484">
        <v>4.9350231392136866E-2</v>
      </c>
      <c r="G161" s="467"/>
    </row>
    <row r="162" spans="2:7" x14ac:dyDescent="0.25">
      <c r="B162" s="470" t="s">
        <v>433</v>
      </c>
      <c r="C162" s="474">
        <v>42451</v>
      </c>
      <c r="D162" s="471">
        <v>19034</v>
      </c>
      <c r="E162" s="476">
        <v>965103</v>
      </c>
      <c r="F162" s="484">
        <v>-3.1646901602526215E-2</v>
      </c>
      <c r="G162" s="467"/>
    </row>
    <row r="163" spans="2:7" x14ac:dyDescent="0.25">
      <c r="B163" s="470" t="s">
        <v>433</v>
      </c>
      <c r="C163" s="474">
        <v>42452</v>
      </c>
      <c r="D163" s="471">
        <v>19029</v>
      </c>
      <c r="E163" s="476">
        <v>796862</v>
      </c>
      <c r="F163" s="484">
        <v>-2.627223302819156E-4</v>
      </c>
      <c r="G163" s="467"/>
    </row>
    <row r="164" spans="2:7" x14ac:dyDescent="0.25">
      <c r="B164" s="470" t="s">
        <v>433</v>
      </c>
      <c r="C164" s="474">
        <v>42453</v>
      </c>
      <c r="D164" s="471">
        <v>19073</v>
      </c>
      <c r="E164" s="476">
        <v>641652</v>
      </c>
      <c r="F164" s="484">
        <v>2.3095910744197245E-3</v>
      </c>
      <c r="G164" s="467"/>
    </row>
    <row r="165" spans="2:7" x14ac:dyDescent="0.25">
      <c r="B165" s="470" t="s">
        <v>433</v>
      </c>
      <c r="C165" s="474">
        <v>42458</v>
      </c>
      <c r="D165" s="471">
        <v>19212</v>
      </c>
      <c r="E165" s="476">
        <v>803932</v>
      </c>
      <c r="F165" s="484">
        <v>7.2613614082883832E-3</v>
      </c>
      <c r="G165" s="467"/>
    </row>
    <row r="166" spans="2:7" x14ac:dyDescent="0.25">
      <c r="B166" s="470" t="s">
        <v>433</v>
      </c>
      <c r="C166" s="474">
        <v>42459</v>
      </c>
      <c r="D166" s="471">
        <v>19500</v>
      </c>
      <c r="E166" s="476">
        <v>2838198</v>
      </c>
      <c r="F166" s="484">
        <v>1.4879381767123275E-2</v>
      </c>
      <c r="G166" s="467"/>
    </row>
    <row r="167" spans="2:7" x14ac:dyDescent="0.25">
      <c r="B167" s="470" t="s">
        <v>433</v>
      </c>
      <c r="C167" s="474">
        <v>42460</v>
      </c>
      <c r="D167" s="471">
        <v>19900</v>
      </c>
      <c r="E167" s="476">
        <v>2296339</v>
      </c>
      <c r="F167" s="484">
        <v>2.0305266160745523E-2</v>
      </c>
      <c r="G167" s="467"/>
    </row>
    <row r="168" spans="2:7" x14ac:dyDescent="0.25">
      <c r="B168" s="470" t="s">
        <v>433</v>
      </c>
      <c r="C168" s="474">
        <v>42461</v>
      </c>
      <c r="D168" s="471">
        <v>20080</v>
      </c>
      <c r="E168" s="476">
        <v>1151775</v>
      </c>
      <c r="F168" s="484">
        <v>9.0045630930817525E-3</v>
      </c>
      <c r="G168" s="467"/>
    </row>
    <row r="169" spans="2:7" x14ac:dyDescent="0.25">
      <c r="B169" s="470" t="s">
        <v>433</v>
      </c>
      <c r="C169" s="474">
        <v>42464</v>
      </c>
      <c r="D169" s="471">
        <v>20551</v>
      </c>
      <c r="E169" s="476">
        <v>631642</v>
      </c>
      <c r="F169" s="484">
        <v>2.3185306735254728E-2</v>
      </c>
      <c r="G169" s="467"/>
    </row>
    <row r="170" spans="2:7" x14ac:dyDescent="0.25">
      <c r="B170" s="470" t="s">
        <v>433</v>
      </c>
      <c r="C170" s="474">
        <v>42465</v>
      </c>
      <c r="D170" s="471">
        <v>20541</v>
      </c>
      <c r="E170" s="476">
        <v>854140</v>
      </c>
      <c r="F170" s="484">
        <v>-4.8671275174767321E-4</v>
      </c>
      <c r="G170" s="467"/>
    </row>
    <row r="171" spans="2:7" x14ac:dyDescent="0.25">
      <c r="B171" s="470" t="s">
        <v>433</v>
      </c>
      <c r="C171" s="474">
        <v>42466</v>
      </c>
      <c r="D171" s="471">
        <v>20600</v>
      </c>
      <c r="E171" s="476">
        <v>944277</v>
      </c>
      <c r="F171" s="484">
        <v>2.8681869884997864E-3</v>
      </c>
      <c r="G171" s="467"/>
    </row>
    <row r="172" spans="2:7" x14ac:dyDescent="0.25">
      <c r="B172" s="470" t="s">
        <v>433</v>
      </c>
      <c r="C172" s="474">
        <v>42467</v>
      </c>
      <c r="D172" s="471">
        <v>21298</v>
      </c>
      <c r="E172" s="476">
        <v>1610984</v>
      </c>
      <c r="F172" s="484">
        <v>3.332209579765661E-2</v>
      </c>
      <c r="G172" s="467"/>
    </row>
    <row r="173" spans="2:7" x14ac:dyDescent="0.25">
      <c r="B173" s="470" t="s">
        <v>433</v>
      </c>
      <c r="C173" s="474">
        <v>42468</v>
      </c>
      <c r="D173" s="471">
        <v>21070</v>
      </c>
      <c r="E173" s="476">
        <v>2309013</v>
      </c>
      <c r="F173" s="484">
        <v>-1.0762943777094367E-2</v>
      </c>
      <c r="G173" s="467"/>
    </row>
    <row r="174" spans="2:7" x14ac:dyDescent="0.25">
      <c r="B174" s="470" t="s">
        <v>433</v>
      </c>
      <c r="C174" s="474">
        <v>42471</v>
      </c>
      <c r="D174" s="471">
        <v>20949</v>
      </c>
      <c r="E174" s="476">
        <v>574544</v>
      </c>
      <c r="F174" s="484">
        <v>-5.7593152840897362E-3</v>
      </c>
      <c r="G174" s="467"/>
    </row>
    <row r="175" spans="2:7" x14ac:dyDescent="0.25">
      <c r="B175" s="470" t="s">
        <v>433</v>
      </c>
      <c r="C175" s="474">
        <v>42472</v>
      </c>
      <c r="D175" s="471">
        <v>21240</v>
      </c>
      <c r="E175" s="476">
        <v>576421</v>
      </c>
      <c r="F175" s="484">
        <v>1.3795283841730155E-2</v>
      </c>
      <c r="G175" s="467"/>
    </row>
    <row r="176" spans="2:7" x14ac:dyDescent="0.25">
      <c r="B176" s="470" t="s">
        <v>433</v>
      </c>
      <c r="C176" s="474">
        <v>42473</v>
      </c>
      <c r="D176" s="471">
        <v>21195</v>
      </c>
      <c r="E176" s="476">
        <v>910660</v>
      </c>
      <c r="F176" s="484">
        <v>-2.1208915691376244E-3</v>
      </c>
      <c r="G176" s="467"/>
    </row>
    <row r="177" spans="2:7" x14ac:dyDescent="0.25">
      <c r="B177" s="470" t="s">
        <v>433</v>
      </c>
      <c r="C177" s="474">
        <v>42474</v>
      </c>
      <c r="D177" s="471">
        <v>21200</v>
      </c>
      <c r="E177" s="476">
        <v>522968</v>
      </c>
      <c r="F177" s="484">
        <v>2.3587687336641341E-4</v>
      </c>
      <c r="G177" s="467"/>
    </row>
    <row r="178" spans="2:7" x14ac:dyDescent="0.25">
      <c r="B178" s="470" t="s">
        <v>433</v>
      </c>
      <c r="C178" s="474">
        <v>42475</v>
      </c>
      <c r="D178" s="471">
        <v>21129</v>
      </c>
      <c r="E178" s="476">
        <v>642993</v>
      </c>
      <c r="F178" s="484">
        <v>-3.354677246583801E-3</v>
      </c>
      <c r="G178" s="467"/>
    </row>
    <row r="179" spans="2:7" x14ac:dyDescent="0.25">
      <c r="B179" s="470" t="s">
        <v>433</v>
      </c>
      <c r="C179" s="474">
        <v>42478</v>
      </c>
      <c r="D179" s="471">
        <v>21000</v>
      </c>
      <c r="E179" s="476">
        <v>698077</v>
      </c>
      <c r="F179" s="484">
        <v>-6.124066707959965E-3</v>
      </c>
      <c r="G179" s="467"/>
    </row>
    <row r="180" spans="2:7" x14ac:dyDescent="0.25">
      <c r="B180" s="470" t="s">
        <v>433</v>
      </c>
      <c r="C180" s="474">
        <v>42479</v>
      </c>
      <c r="D180" s="471">
        <v>21195</v>
      </c>
      <c r="E180" s="476">
        <v>521359</v>
      </c>
      <c r="F180" s="484">
        <v>9.2428670811775127E-3</v>
      </c>
      <c r="G180" s="467"/>
    </row>
    <row r="181" spans="2:7" x14ac:dyDescent="0.25">
      <c r="B181" s="470" t="s">
        <v>433</v>
      </c>
      <c r="C181" s="474">
        <v>42480</v>
      </c>
      <c r="D181" s="471">
        <v>21286</v>
      </c>
      <c r="E181" s="476">
        <v>527818</v>
      </c>
      <c r="F181" s="484">
        <v>4.2842748142520766E-3</v>
      </c>
      <c r="G181" s="467"/>
    </row>
    <row r="182" spans="2:7" x14ac:dyDescent="0.25">
      <c r="B182" s="470" t="s">
        <v>433</v>
      </c>
      <c r="C182" s="474">
        <v>42481</v>
      </c>
      <c r="D182" s="471">
        <v>21321</v>
      </c>
      <c r="E182" s="476">
        <v>775529</v>
      </c>
      <c r="F182" s="484">
        <v>1.6429228940152815E-3</v>
      </c>
      <c r="G182" s="467"/>
    </row>
    <row r="183" spans="2:7" x14ac:dyDescent="0.25">
      <c r="B183" s="470" t="s">
        <v>433</v>
      </c>
      <c r="C183" s="474">
        <v>42482</v>
      </c>
      <c r="D183" s="471">
        <v>20900</v>
      </c>
      <c r="E183" s="476">
        <v>378669</v>
      </c>
      <c r="F183" s="484">
        <v>-1.9943343542102466E-2</v>
      </c>
      <c r="G183" s="467"/>
    </row>
    <row r="184" spans="2:7" x14ac:dyDescent="0.25">
      <c r="B184" s="470" t="s">
        <v>433</v>
      </c>
      <c r="C184" s="474">
        <v>42485</v>
      </c>
      <c r="D184" s="471">
        <v>21113</v>
      </c>
      <c r="E184" s="476">
        <v>360326</v>
      </c>
      <c r="F184" s="484">
        <v>1.0139805535180547E-2</v>
      </c>
      <c r="G184" s="467"/>
    </row>
    <row r="185" spans="2:7" x14ac:dyDescent="0.25">
      <c r="B185" s="470" t="s">
        <v>433</v>
      </c>
      <c r="C185" s="474">
        <v>42486</v>
      </c>
      <c r="D185" s="471">
        <v>21145</v>
      </c>
      <c r="E185" s="476">
        <v>265634</v>
      </c>
      <c r="F185" s="484">
        <v>1.5145064185059613E-3</v>
      </c>
      <c r="G185" s="467"/>
    </row>
    <row r="186" spans="2:7" x14ac:dyDescent="0.25">
      <c r="B186" s="470" t="s">
        <v>433</v>
      </c>
      <c r="C186" s="474">
        <v>42488</v>
      </c>
      <c r="D186" s="471">
        <v>21150</v>
      </c>
      <c r="E186" s="476">
        <v>492914</v>
      </c>
      <c r="F186" s="484">
        <v>2.3643456783514169E-4</v>
      </c>
      <c r="G186" s="467"/>
    </row>
    <row r="187" spans="2:7" x14ac:dyDescent="0.25">
      <c r="B187" s="470" t="s">
        <v>433</v>
      </c>
      <c r="C187" s="474">
        <v>42489</v>
      </c>
      <c r="D187" s="471">
        <v>21275</v>
      </c>
      <c r="E187" s="476">
        <v>731195</v>
      </c>
      <c r="F187" s="484">
        <v>5.8927689671509197E-3</v>
      </c>
      <c r="G187" s="467"/>
    </row>
    <row r="188" spans="2:7" x14ac:dyDescent="0.25">
      <c r="B188" s="470" t="s">
        <v>433</v>
      </c>
      <c r="C188" s="474">
        <v>42493</v>
      </c>
      <c r="D188" s="471">
        <v>21120</v>
      </c>
      <c r="E188" s="476">
        <v>761616</v>
      </c>
      <c r="F188" s="484">
        <v>-7.3122156213771359E-3</v>
      </c>
      <c r="G188" s="467"/>
    </row>
    <row r="189" spans="2:7" x14ac:dyDescent="0.25">
      <c r="B189" s="470" t="s">
        <v>433</v>
      </c>
      <c r="C189" s="474">
        <v>42494</v>
      </c>
      <c r="D189" s="471">
        <v>21300</v>
      </c>
      <c r="E189" s="476">
        <v>1380718</v>
      </c>
      <c r="F189" s="484">
        <v>8.4866138773187251E-3</v>
      </c>
      <c r="G189" s="467"/>
    </row>
    <row r="190" spans="2:7" x14ac:dyDescent="0.25">
      <c r="B190" s="470" t="s">
        <v>433</v>
      </c>
      <c r="C190" s="474">
        <v>42495</v>
      </c>
      <c r="D190" s="471">
        <v>20933</v>
      </c>
      <c r="E190" s="476">
        <v>794094</v>
      </c>
      <c r="F190" s="484">
        <v>-1.7380211602996475E-2</v>
      </c>
      <c r="G190" s="467"/>
    </row>
    <row r="191" spans="2:7" x14ac:dyDescent="0.25">
      <c r="B191" s="470" t="s">
        <v>433</v>
      </c>
      <c r="C191" s="474">
        <v>42496</v>
      </c>
      <c r="D191" s="471">
        <v>20835</v>
      </c>
      <c r="E191" s="476">
        <v>1174419</v>
      </c>
      <c r="F191" s="484">
        <v>-4.6925962379662494E-3</v>
      </c>
      <c r="G191" s="467"/>
    </row>
    <row r="192" spans="2:7" x14ac:dyDescent="0.25">
      <c r="B192" s="470" t="s">
        <v>433</v>
      </c>
      <c r="C192" s="474">
        <v>42499</v>
      </c>
      <c r="D192" s="471">
        <v>21000</v>
      </c>
      <c r="E192" s="476">
        <v>760538</v>
      </c>
      <c r="F192" s="484">
        <v>7.8881728490062999E-3</v>
      </c>
      <c r="G192" s="467"/>
    </row>
    <row r="193" spans="2:7" x14ac:dyDescent="0.25">
      <c r="B193" s="470" t="s">
        <v>433</v>
      </c>
      <c r="C193" s="474">
        <v>42500</v>
      </c>
      <c r="D193" s="471">
        <v>21069</v>
      </c>
      <c r="E193" s="476">
        <v>574400</v>
      </c>
      <c r="F193" s="484">
        <v>3.2803281215701505E-3</v>
      </c>
      <c r="G193" s="467"/>
    </row>
    <row r="194" spans="2:7" x14ac:dyDescent="0.25">
      <c r="B194" s="470" t="s">
        <v>433</v>
      </c>
      <c r="C194" s="474">
        <v>42501</v>
      </c>
      <c r="D194" s="471">
        <v>21391</v>
      </c>
      <c r="E194" s="476">
        <v>1145647</v>
      </c>
      <c r="F194" s="484">
        <v>1.5167506974675064E-2</v>
      </c>
      <c r="G194" s="467"/>
    </row>
    <row r="195" spans="2:7" x14ac:dyDescent="0.25">
      <c r="B195" s="470" t="s">
        <v>433</v>
      </c>
      <c r="C195" s="474">
        <v>42502</v>
      </c>
      <c r="D195" s="471">
        <v>21870</v>
      </c>
      <c r="E195" s="476">
        <v>2351228</v>
      </c>
      <c r="F195" s="484">
        <v>2.2145561869008311E-2</v>
      </c>
      <c r="G195" s="467"/>
    </row>
    <row r="196" spans="2:7" x14ac:dyDescent="0.25">
      <c r="B196" s="470" t="s">
        <v>433</v>
      </c>
      <c r="C196" s="474">
        <v>42503</v>
      </c>
      <c r="D196" s="471">
        <v>21400</v>
      </c>
      <c r="E196" s="476">
        <v>1030684</v>
      </c>
      <c r="F196" s="484">
        <v>-2.1724912660870625E-2</v>
      </c>
      <c r="G196" s="467"/>
    </row>
    <row r="197" spans="2:7" x14ac:dyDescent="0.25">
      <c r="B197" s="470" t="s">
        <v>433</v>
      </c>
      <c r="C197" s="474">
        <v>42506</v>
      </c>
      <c r="D197" s="471">
        <v>21300</v>
      </c>
      <c r="E197" s="476">
        <v>420817</v>
      </c>
      <c r="F197" s="484">
        <v>-4.6838493124263143E-3</v>
      </c>
      <c r="G197" s="467"/>
    </row>
    <row r="198" spans="2:7" x14ac:dyDescent="0.25">
      <c r="B198" s="470" t="s">
        <v>433</v>
      </c>
      <c r="C198" s="474">
        <v>42507</v>
      </c>
      <c r="D198" s="471">
        <v>21125</v>
      </c>
      <c r="E198" s="476">
        <v>451237</v>
      </c>
      <c r="F198" s="484">
        <v>-8.2498994721418358E-3</v>
      </c>
      <c r="G198" s="467"/>
    </row>
    <row r="199" spans="2:7" x14ac:dyDescent="0.25">
      <c r="B199" s="470" t="s">
        <v>433</v>
      </c>
      <c r="C199" s="474">
        <v>42508</v>
      </c>
      <c r="D199" s="471">
        <v>20886</v>
      </c>
      <c r="E199" s="476">
        <v>1571049</v>
      </c>
      <c r="F199" s="484">
        <v>-1.1378095185880704E-2</v>
      </c>
      <c r="G199" s="467"/>
    </row>
    <row r="200" spans="2:7" x14ac:dyDescent="0.25">
      <c r="B200" s="470" t="s">
        <v>433</v>
      </c>
      <c r="C200" s="474">
        <v>42509</v>
      </c>
      <c r="D200" s="471">
        <v>20953</v>
      </c>
      <c r="E200" s="476">
        <v>436294</v>
      </c>
      <c r="F200" s="484">
        <v>3.2027561496140323E-3</v>
      </c>
      <c r="G200" s="467"/>
    </row>
    <row r="201" spans="2:7" x14ac:dyDescent="0.25">
      <c r="B201" s="470" t="s">
        <v>433</v>
      </c>
      <c r="C201" s="474">
        <v>42510</v>
      </c>
      <c r="D201" s="471">
        <v>20572</v>
      </c>
      <c r="E201" s="476">
        <v>705986</v>
      </c>
      <c r="F201" s="484">
        <v>-1.8350906294301146E-2</v>
      </c>
      <c r="G201" s="467"/>
    </row>
    <row r="202" spans="2:7" x14ac:dyDescent="0.25">
      <c r="B202" s="470" t="s">
        <v>433</v>
      </c>
      <c r="C202" s="474">
        <v>42513</v>
      </c>
      <c r="D202" s="471">
        <v>20500</v>
      </c>
      <c r="E202" s="476">
        <v>597849</v>
      </c>
      <c r="F202" s="484">
        <v>-3.5060417683072461E-3</v>
      </c>
      <c r="G202" s="467"/>
    </row>
    <row r="203" spans="2:7" x14ac:dyDescent="0.25">
      <c r="B203" s="470" t="s">
        <v>433</v>
      </c>
      <c r="C203" s="474">
        <v>42514</v>
      </c>
      <c r="D203" s="471">
        <v>20578</v>
      </c>
      <c r="E203" s="476">
        <v>670108</v>
      </c>
      <c r="F203" s="484">
        <v>3.7976578092559993E-3</v>
      </c>
      <c r="G203" s="467"/>
    </row>
    <row r="204" spans="2:7" x14ac:dyDescent="0.25">
      <c r="B204" s="470" t="s">
        <v>433</v>
      </c>
      <c r="C204" s="474">
        <v>42515</v>
      </c>
      <c r="D204" s="471">
        <v>20100</v>
      </c>
      <c r="E204" s="476">
        <v>762777</v>
      </c>
      <c r="F204" s="484">
        <v>-2.3502728888588453E-2</v>
      </c>
      <c r="G204" s="467"/>
    </row>
    <row r="205" spans="2:7" x14ac:dyDescent="0.25">
      <c r="B205" s="470" t="s">
        <v>433</v>
      </c>
      <c r="C205" s="474">
        <v>42516</v>
      </c>
      <c r="D205" s="471">
        <v>20795</v>
      </c>
      <c r="E205" s="476">
        <v>386109</v>
      </c>
      <c r="F205" s="484">
        <v>3.3992758129844834E-2</v>
      </c>
      <c r="G205" s="467"/>
    </row>
    <row r="206" spans="2:7" x14ac:dyDescent="0.25">
      <c r="B206" s="470" t="s">
        <v>433</v>
      </c>
      <c r="C206" s="474">
        <v>42517</v>
      </c>
      <c r="D206" s="471">
        <v>20545</v>
      </c>
      <c r="E206" s="476">
        <v>654216</v>
      </c>
      <c r="F206" s="484">
        <v>-1.2094970859501923E-2</v>
      </c>
      <c r="G206" s="467"/>
    </row>
    <row r="207" spans="2:7" x14ac:dyDescent="0.25">
      <c r="B207" s="470" t="s">
        <v>433</v>
      </c>
      <c r="C207" s="474">
        <v>42520</v>
      </c>
      <c r="D207" s="471">
        <v>20558</v>
      </c>
      <c r="E207" s="476">
        <v>218363</v>
      </c>
      <c r="F207" s="484">
        <v>6.3255725535712863E-4</v>
      </c>
      <c r="G207" s="467"/>
    </row>
    <row r="208" spans="2:7" x14ac:dyDescent="0.25">
      <c r="B208" s="470" t="s">
        <v>433</v>
      </c>
      <c r="C208" s="474">
        <v>42521</v>
      </c>
      <c r="D208" s="471">
        <v>20233</v>
      </c>
      <c r="E208" s="476">
        <v>1307944</v>
      </c>
      <c r="F208" s="484">
        <v>-1.5935224793672719E-2</v>
      </c>
      <c r="G208" s="467"/>
    </row>
    <row r="209" spans="2:7" x14ac:dyDescent="0.25">
      <c r="B209" s="470" t="s">
        <v>433</v>
      </c>
      <c r="C209" s="474">
        <v>42522</v>
      </c>
      <c r="D209" s="471">
        <v>20301</v>
      </c>
      <c r="E209" s="476">
        <v>752796</v>
      </c>
      <c r="F209" s="484">
        <v>3.3552111211406668E-3</v>
      </c>
      <c r="G209" s="467"/>
    </row>
    <row r="210" spans="2:7" x14ac:dyDescent="0.25">
      <c r="B210" s="470" t="s">
        <v>433</v>
      </c>
      <c r="C210" s="474">
        <v>42523</v>
      </c>
      <c r="D210" s="471">
        <v>20454</v>
      </c>
      <c r="E210" s="476">
        <v>462723</v>
      </c>
      <c r="F210" s="484">
        <v>7.5083164656228355E-3</v>
      </c>
      <c r="G210" s="467"/>
    </row>
    <row r="211" spans="2:7" x14ac:dyDescent="0.25">
      <c r="B211" s="470" t="s">
        <v>433</v>
      </c>
      <c r="C211" s="474">
        <v>42524</v>
      </c>
      <c r="D211" s="471">
        <v>21200</v>
      </c>
      <c r="E211" s="476">
        <v>509490</v>
      </c>
      <c r="F211" s="484">
        <v>3.5822719294145815E-2</v>
      </c>
      <c r="G211" s="467"/>
    </row>
    <row r="212" spans="2:7" x14ac:dyDescent="0.25">
      <c r="B212" s="470" t="s">
        <v>433</v>
      </c>
      <c r="C212" s="474">
        <v>42527</v>
      </c>
      <c r="D212" s="471">
        <v>20674</v>
      </c>
      <c r="E212" s="476">
        <v>353209</v>
      </c>
      <c r="F212" s="484">
        <v>-2.5124309531673692E-2</v>
      </c>
      <c r="G212" s="467"/>
    </row>
    <row r="213" spans="2:7" x14ac:dyDescent="0.25">
      <c r="B213" s="470" t="s">
        <v>433</v>
      </c>
      <c r="C213" s="474">
        <v>42528</v>
      </c>
      <c r="D213" s="471">
        <v>21311</v>
      </c>
      <c r="E213" s="476">
        <v>667289</v>
      </c>
      <c r="F213" s="484">
        <v>3.0346499188895884E-2</v>
      </c>
      <c r="G213" s="467"/>
    </row>
    <row r="214" spans="2:7" x14ac:dyDescent="0.25">
      <c r="B214" s="470" t="s">
        <v>433</v>
      </c>
      <c r="C214" s="474">
        <v>42529</v>
      </c>
      <c r="D214" s="471">
        <v>20500</v>
      </c>
      <c r="E214" s="476">
        <v>452177</v>
      </c>
      <c r="F214" s="484">
        <v>-3.879848519082639E-2</v>
      </c>
      <c r="G214" s="467"/>
    </row>
    <row r="215" spans="2:7" x14ac:dyDescent="0.25">
      <c r="B215" s="470" t="s">
        <v>433</v>
      </c>
      <c r="C215" s="474">
        <v>42530</v>
      </c>
      <c r="D215" s="471">
        <v>20170</v>
      </c>
      <c r="E215" s="476">
        <v>279577</v>
      </c>
      <c r="F215" s="484">
        <v>-1.6228534178242104E-2</v>
      </c>
      <c r="G215" s="467"/>
    </row>
    <row r="216" spans="2:7" x14ac:dyDescent="0.25">
      <c r="B216" s="470" t="s">
        <v>433</v>
      </c>
      <c r="C216" s="474">
        <v>42531</v>
      </c>
      <c r="D216" s="471">
        <v>20070</v>
      </c>
      <c r="E216" s="476">
        <v>526947</v>
      </c>
      <c r="F216" s="484">
        <v>-4.9701891578735951E-3</v>
      </c>
      <c r="G216" s="467"/>
    </row>
    <row r="217" spans="2:7" x14ac:dyDescent="0.25">
      <c r="B217" s="470" t="s">
        <v>433</v>
      </c>
      <c r="C217" s="474">
        <v>42534</v>
      </c>
      <c r="D217" s="471">
        <v>19770</v>
      </c>
      <c r="E217" s="476">
        <v>390878</v>
      </c>
      <c r="F217" s="484">
        <v>-1.5060525625721237E-2</v>
      </c>
      <c r="G217" s="467"/>
    </row>
    <row r="218" spans="2:7" x14ac:dyDescent="0.25">
      <c r="B218" s="470" t="s">
        <v>433</v>
      </c>
      <c r="C218" s="474">
        <v>42535</v>
      </c>
      <c r="D218" s="471">
        <v>19210</v>
      </c>
      <c r="E218" s="476">
        <v>379010</v>
      </c>
      <c r="F218" s="484">
        <v>-2.8734660402060304E-2</v>
      </c>
      <c r="G218" s="467"/>
    </row>
    <row r="219" spans="2:7" x14ac:dyDescent="0.25">
      <c r="B219" s="470" t="s">
        <v>433</v>
      </c>
      <c r="C219" s="474">
        <v>42536</v>
      </c>
      <c r="D219" s="471">
        <v>19490</v>
      </c>
      <c r="E219" s="476">
        <v>411856</v>
      </c>
      <c r="F219" s="484">
        <v>1.4470536739004107E-2</v>
      </c>
      <c r="G219" s="467"/>
    </row>
    <row r="220" spans="2:7" x14ac:dyDescent="0.25">
      <c r="B220" s="470" t="s">
        <v>433</v>
      </c>
      <c r="C220" s="474">
        <v>42538</v>
      </c>
      <c r="D220" s="471">
        <v>19554</v>
      </c>
      <c r="E220" s="476">
        <v>870458</v>
      </c>
      <c r="F220" s="484">
        <v>3.278355564009996E-3</v>
      </c>
      <c r="G220" s="467"/>
    </row>
    <row r="221" spans="2:7" x14ac:dyDescent="0.25">
      <c r="B221" s="470" t="s">
        <v>433</v>
      </c>
      <c r="C221" s="474">
        <v>42541</v>
      </c>
      <c r="D221" s="471">
        <v>19759</v>
      </c>
      <c r="E221" s="476">
        <v>337033</v>
      </c>
      <c r="F221" s="484">
        <v>1.0429214668200871E-2</v>
      </c>
      <c r="G221" s="467"/>
    </row>
    <row r="222" spans="2:7" x14ac:dyDescent="0.25">
      <c r="B222" s="470" t="s">
        <v>433</v>
      </c>
      <c r="C222" s="474">
        <v>42542</v>
      </c>
      <c r="D222" s="471">
        <v>19999</v>
      </c>
      <c r="E222" s="476">
        <v>637282</v>
      </c>
      <c r="F222" s="484">
        <v>1.2073188552269E-2</v>
      </c>
      <c r="G222" s="467"/>
    </row>
    <row r="223" spans="2:7" x14ac:dyDescent="0.25">
      <c r="B223" s="470" t="s">
        <v>433</v>
      </c>
      <c r="C223" s="474">
        <v>42543</v>
      </c>
      <c r="D223" s="471">
        <v>20475</v>
      </c>
      <c r="E223" s="476">
        <v>563547</v>
      </c>
      <c r="F223" s="484">
        <v>2.3522357435183806E-2</v>
      </c>
      <c r="G223" s="467"/>
    </row>
    <row r="224" spans="2:7" x14ac:dyDescent="0.25">
      <c r="B224" s="470" t="s">
        <v>433</v>
      </c>
      <c r="C224" s="474">
        <v>42544</v>
      </c>
      <c r="D224" s="471">
        <v>20519</v>
      </c>
      <c r="E224" s="476">
        <v>508656</v>
      </c>
      <c r="F224" s="484">
        <v>2.1466564324773567E-3</v>
      </c>
      <c r="G224" s="467"/>
    </row>
    <row r="225" spans="2:7" x14ac:dyDescent="0.25">
      <c r="B225" s="470" t="s">
        <v>433</v>
      </c>
      <c r="C225" s="474">
        <v>42545</v>
      </c>
      <c r="D225" s="471">
        <v>20190</v>
      </c>
      <c r="E225" s="476">
        <v>788577</v>
      </c>
      <c r="F225" s="484">
        <v>-1.6163853846864425E-2</v>
      </c>
      <c r="G225" s="467"/>
    </row>
    <row r="226" spans="2:7" x14ac:dyDescent="0.25">
      <c r="B226" s="470" t="s">
        <v>433</v>
      </c>
      <c r="C226" s="474">
        <v>42548</v>
      </c>
      <c r="D226" s="471">
        <v>19365</v>
      </c>
      <c r="E226" s="476">
        <v>554356</v>
      </c>
      <c r="F226" s="484">
        <v>-4.1720119358030577E-2</v>
      </c>
      <c r="G226" s="467"/>
    </row>
    <row r="227" spans="2:7" x14ac:dyDescent="0.25">
      <c r="B227" s="470" t="s">
        <v>433</v>
      </c>
      <c r="C227" s="474">
        <v>42549</v>
      </c>
      <c r="D227" s="471">
        <v>20155</v>
      </c>
      <c r="E227" s="476">
        <v>649559</v>
      </c>
      <c r="F227" s="484">
        <v>3.9985083602413575E-2</v>
      </c>
      <c r="G227" s="467"/>
    </row>
    <row r="228" spans="2:7" x14ac:dyDescent="0.25">
      <c r="B228" s="470" t="s">
        <v>433</v>
      </c>
      <c r="C228" s="474">
        <v>42550</v>
      </c>
      <c r="D228" s="471">
        <v>20370</v>
      </c>
      <c r="E228" s="476">
        <v>588001</v>
      </c>
      <c r="F228" s="484">
        <v>1.0610833669585429E-2</v>
      </c>
      <c r="G228" s="467"/>
    </row>
    <row r="229" spans="2:7" x14ac:dyDescent="0.25">
      <c r="B229" s="470" t="s">
        <v>433</v>
      </c>
      <c r="C229" s="474">
        <v>42551</v>
      </c>
      <c r="D229" s="471">
        <v>20200</v>
      </c>
      <c r="E229" s="476">
        <v>1129021</v>
      </c>
      <c r="F229" s="484">
        <v>-8.3806258315553446E-3</v>
      </c>
      <c r="G229" s="467"/>
    </row>
    <row r="230" spans="2:7" x14ac:dyDescent="0.25">
      <c r="B230" s="470" t="s">
        <v>433</v>
      </c>
      <c r="C230" s="474">
        <v>42552</v>
      </c>
      <c r="D230" s="471">
        <v>20126</v>
      </c>
      <c r="E230" s="476">
        <v>428103</v>
      </c>
      <c r="F230" s="484">
        <v>-3.6700928960176028E-3</v>
      </c>
      <c r="G230" s="467"/>
    </row>
    <row r="231" spans="2:7" x14ac:dyDescent="0.25">
      <c r="B231" s="470" t="s">
        <v>433</v>
      </c>
      <c r="C231" s="474">
        <v>42555</v>
      </c>
      <c r="D231" s="471">
        <v>20002</v>
      </c>
      <c r="E231" s="476">
        <v>317588</v>
      </c>
      <c r="F231" s="484">
        <v>-6.1802429568172069E-3</v>
      </c>
      <c r="G231" s="467"/>
    </row>
    <row r="232" spans="2:7" x14ac:dyDescent="0.25">
      <c r="B232" s="470" t="s">
        <v>433</v>
      </c>
      <c r="C232" s="474">
        <v>42556</v>
      </c>
      <c r="D232" s="471">
        <v>19798</v>
      </c>
      <c r="E232" s="476">
        <v>604643</v>
      </c>
      <c r="F232" s="484">
        <v>-1.0251346056708695E-2</v>
      </c>
      <c r="G232" s="467"/>
    </row>
    <row r="233" spans="2:7" x14ac:dyDescent="0.25">
      <c r="B233" s="470" t="s">
        <v>433</v>
      </c>
      <c r="C233" s="474">
        <v>42557</v>
      </c>
      <c r="D233" s="471">
        <v>19300</v>
      </c>
      <c r="E233" s="476">
        <v>965022</v>
      </c>
      <c r="F233" s="484">
        <v>-2.5475826586775753E-2</v>
      </c>
      <c r="G233" s="467"/>
    </row>
    <row r="234" spans="2:7" x14ac:dyDescent="0.25">
      <c r="B234" s="470" t="s">
        <v>433</v>
      </c>
      <c r="C234" s="474">
        <v>42558</v>
      </c>
      <c r="D234" s="471">
        <v>19529</v>
      </c>
      <c r="E234" s="476">
        <v>443291</v>
      </c>
      <c r="F234" s="484">
        <v>1.1795444389805395E-2</v>
      </c>
      <c r="G234" s="467"/>
    </row>
    <row r="235" spans="2:7" x14ac:dyDescent="0.25">
      <c r="B235" s="470" t="s">
        <v>433</v>
      </c>
      <c r="C235" s="474">
        <v>42559</v>
      </c>
      <c r="D235" s="471">
        <v>19501</v>
      </c>
      <c r="E235" s="476">
        <v>270244</v>
      </c>
      <c r="F235" s="484">
        <v>-1.4347939945415947E-3</v>
      </c>
      <c r="G235" s="467"/>
    </row>
    <row r="236" spans="2:7" x14ac:dyDescent="0.25">
      <c r="B236" s="470" t="s">
        <v>433</v>
      </c>
      <c r="C236" s="474">
        <v>42562</v>
      </c>
      <c r="D236" s="471">
        <v>20204</v>
      </c>
      <c r="E236" s="476">
        <v>454744</v>
      </c>
      <c r="F236" s="484">
        <v>3.5414858299702486E-2</v>
      </c>
      <c r="G236" s="467"/>
    </row>
    <row r="237" spans="2:7" x14ac:dyDescent="0.25">
      <c r="B237" s="470" t="s">
        <v>433</v>
      </c>
      <c r="C237" s="474">
        <v>42563</v>
      </c>
      <c r="D237" s="471">
        <v>20153</v>
      </c>
      <c r="E237" s="476">
        <v>494611</v>
      </c>
      <c r="F237" s="484">
        <v>-2.527443920454057E-3</v>
      </c>
      <c r="G237" s="467"/>
    </row>
    <row r="238" spans="2:7" x14ac:dyDescent="0.25">
      <c r="B238" s="470" t="s">
        <v>433</v>
      </c>
      <c r="C238" s="474">
        <v>42564</v>
      </c>
      <c r="D238" s="471">
        <v>20261</v>
      </c>
      <c r="E238" s="476">
        <v>555303</v>
      </c>
      <c r="F238" s="484">
        <v>5.3446952586620466E-3</v>
      </c>
      <c r="G238" s="467"/>
    </row>
    <row r="239" spans="2:7" x14ac:dyDescent="0.25">
      <c r="B239" s="470" t="s">
        <v>433</v>
      </c>
      <c r="C239" s="474">
        <v>42565</v>
      </c>
      <c r="D239" s="471">
        <v>19851</v>
      </c>
      <c r="E239" s="476">
        <v>429518</v>
      </c>
      <c r="F239" s="484">
        <v>-2.0443472245982048E-2</v>
      </c>
      <c r="G239" s="467"/>
    </row>
    <row r="240" spans="2:7" x14ac:dyDescent="0.25">
      <c r="B240" s="470" t="s">
        <v>433</v>
      </c>
      <c r="C240" s="474">
        <v>42566</v>
      </c>
      <c r="D240" s="471">
        <v>20323</v>
      </c>
      <c r="E240" s="476">
        <v>465789</v>
      </c>
      <c r="F240" s="484">
        <v>2.3498865910137817E-2</v>
      </c>
      <c r="G240" s="467"/>
    </row>
    <row r="241" spans="2:7" x14ac:dyDescent="0.25">
      <c r="B241" s="470" t="s">
        <v>433</v>
      </c>
      <c r="C241" s="474">
        <v>42569</v>
      </c>
      <c r="D241" s="471">
        <v>20258</v>
      </c>
      <c r="E241" s="476">
        <v>200864</v>
      </c>
      <c r="F241" s="484">
        <v>-3.2034723435645516E-3</v>
      </c>
      <c r="G241" s="467"/>
    </row>
    <row r="242" spans="2:7" x14ac:dyDescent="0.25">
      <c r="B242" s="470" t="s">
        <v>433</v>
      </c>
      <c r="C242" s="474">
        <v>42570</v>
      </c>
      <c r="D242" s="471">
        <v>20234</v>
      </c>
      <c r="E242" s="476">
        <v>345977</v>
      </c>
      <c r="F242" s="484">
        <v>-1.1854194809068166E-3</v>
      </c>
      <c r="G242" s="467"/>
    </row>
    <row r="243" spans="2:7" x14ac:dyDescent="0.25">
      <c r="B243" s="470" t="s">
        <v>433</v>
      </c>
      <c r="C243" s="474">
        <v>42571</v>
      </c>
      <c r="D243" s="471">
        <v>20971</v>
      </c>
      <c r="E243" s="476">
        <v>621910</v>
      </c>
      <c r="F243" s="484">
        <v>3.5776173165283649E-2</v>
      </c>
      <c r="G243" s="467"/>
    </row>
    <row r="244" spans="2:7" x14ac:dyDescent="0.25">
      <c r="B244" s="470" t="s">
        <v>433</v>
      </c>
      <c r="C244" s="474">
        <v>42572</v>
      </c>
      <c r="D244" s="471">
        <v>20700</v>
      </c>
      <c r="E244" s="476">
        <v>556560</v>
      </c>
      <c r="F244" s="484">
        <v>-1.3006830677658867E-2</v>
      </c>
      <c r="G244" s="467"/>
    </row>
    <row r="245" spans="2:7" x14ac:dyDescent="0.25">
      <c r="B245" s="470" t="s">
        <v>433</v>
      </c>
      <c r="C245" s="474">
        <v>42573</v>
      </c>
      <c r="D245" s="471">
        <v>20726</v>
      </c>
      <c r="E245" s="476">
        <v>285073</v>
      </c>
      <c r="F245" s="484">
        <v>1.2552504907023189E-3</v>
      </c>
      <c r="G245" s="467"/>
    </row>
    <row r="246" spans="2:7" x14ac:dyDescent="0.25">
      <c r="B246" s="470" t="s">
        <v>433</v>
      </c>
      <c r="C246" s="474">
        <v>42576</v>
      </c>
      <c r="D246" s="471">
        <v>21141</v>
      </c>
      <c r="E246" s="476">
        <v>367060</v>
      </c>
      <c r="F246" s="484">
        <v>1.9825332250969392E-2</v>
      </c>
      <c r="G246" s="467"/>
    </row>
    <row r="247" spans="2:7" x14ac:dyDescent="0.25">
      <c r="B247" s="470" t="s">
        <v>433</v>
      </c>
      <c r="C247" s="474">
        <v>42577</v>
      </c>
      <c r="D247" s="471">
        <v>21697</v>
      </c>
      <c r="E247" s="476">
        <v>786253</v>
      </c>
      <c r="F247" s="484">
        <v>2.5959719128239644E-2</v>
      </c>
      <c r="G247" s="467"/>
    </row>
    <row r="248" spans="2:7" x14ac:dyDescent="0.25">
      <c r="B248" s="470" t="s">
        <v>433</v>
      </c>
      <c r="C248" s="474">
        <v>42578</v>
      </c>
      <c r="D248" s="471">
        <v>21509</v>
      </c>
      <c r="E248" s="476">
        <v>668818</v>
      </c>
      <c r="F248" s="484">
        <v>-8.702549946938835E-3</v>
      </c>
      <c r="G248" s="467"/>
    </row>
    <row r="249" spans="2:7" x14ac:dyDescent="0.25">
      <c r="B249" s="470" t="s">
        <v>433</v>
      </c>
      <c r="C249" s="474">
        <v>42579</v>
      </c>
      <c r="D249" s="471">
        <v>20996</v>
      </c>
      <c r="E249" s="476">
        <v>412256</v>
      </c>
      <c r="F249" s="484">
        <v>-2.4139508804242617E-2</v>
      </c>
      <c r="G249" s="467"/>
    </row>
    <row r="250" spans="2:7" x14ac:dyDescent="0.25">
      <c r="B250" s="470" t="s">
        <v>433</v>
      </c>
      <c r="C250" s="474">
        <v>42580</v>
      </c>
      <c r="D250" s="471">
        <v>20708</v>
      </c>
      <c r="E250" s="476">
        <v>649270</v>
      </c>
      <c r="F250" s="484">
        <v>-1.3811844350398367E-2</v>
      </c>
      <c r="G250" s="467"/>
    </row>
    <row r="251" spans="2:7" x14ac:dyDescent="0.25">
      <c r="B251" s="470" t="s">
        <v>433</v>
      </c>
      <c r="C251" s="474">
        <v>42583</v>
      </c>
      <c r="D251" s="471">
        <v>20521</v>
      </c>
      <c r="E251" s="476">
        <v>1058056</v>
      </c>
      <c r="F251" s="484">
        <v>-9.0713469810277027E-3</v>
      </c>
      <c r="G251" s="467"/>
    </row>
    <row r="252" spans="2:7" x14ac:dyDescent="0.25">
      <c r="B252" s="470" t="s">
        <v>433</v>
      </c>
      <c r="C252" s="474">
        <v>42584</v>
      </c>
      <c r="D252" s="471">
        <v>20555</v>
      </c>
      <c r="E252" s="476">
        <v>677703</v>
      </c>
      <c r="F252" s="484">
        <v>1.655468291214562E-3</v>
      </c>
      <c r="G252" s="467"/>
    </row>
    <row r="253" spans="2:7" x14ac:dyDescent="0.25">
      <c r="B253" s="470" t="s">
        <v>433</v>
      </c>
      <c r="C253" s="474">
        <v>42586</v>
      </c>
      <c r="D253" s="471">
        <v>20700</v>
      </c>
      <c r="E253" s="476">
        <v>282292</v>
      </c>
      <c r="F253" s="484">
        <v>7.0294799214816696E-3</v>
      </c>
      <c r="G253" s="467"/>
    </row>
    <row r="254" spans="2:7" x14ac:dyDescent="0.25">
      <c r="B254" s="470" t="s">
        <v>433</v>
      </c>
      <c r="C254" s="474">
        <v>42587</v>
      </c>
      <c r="D254" s="471">
        <v>20600</v>
      </c>
      <c r="E254" s="476">
        <v>333658</v>
      </c>
      <c r="F254" s="484">
        <v>-4.8426244757880151E-3</v>
      </c>
      <c r="G254" s="467"/>
    </row>
    <row r="255" spans="2:7" x14ac:dyDescent="0.25">
      <c r="B255" s="470" t="s">
        <v>433</v>
      </c>
      <c r="C255" s="474">
        <v>42590</v>
      </c>
      <c r="D255" s="471">
        <v>21078</v>
      </c>
      <c r="E255" s="476">
        <v>342039</v>
      </c>
      <c r="F255" s="484">
        <v>2.2938766716209529E-2</v>
      </c>
      <c r="G255" s="467"/>
    </row>
    <row r="256" spans="2:7" x14ac:dyDescent="0.25">
      <c r="B256" s="470" t="s">
        <v>433</v>
      </c>
      <c r="C256" s="474">
        <v>42592</v>
      </c>
      <c r="D256" s="471">
        <v>21103</v>
      </c>
      <c r="E256" s="476">
        <v>648702</v>
      </c>
      <c r="F256" s="484">
        <v>1.1853679584308665E-3</v>
      </c>
      <c r="G256" s="467"/>
    </row>
    <row r="257" spans="2:7" x14ac:dyDescent="0.25">
      <c r="B257" s="470" t="s">
        <v>433</v>
      </c>
      <c r="C257" s="474">
        <v>42593</v>
      </c>
      <c r="D257" s="471">
        <v>21161</v>
      </c>
      <c r="E257" s="476">
        <v>303010</v>
      </c>
      <c r="F257" s="484">
        <v>2.7446543824584946E-3</v>
      </c>
      <c r="G257" s="467"/>
    </row>
    <row r="258" spans="2:7" x14ac:dyDescent="0.25">
      <c r="B258" s="470" t="s">
        <v>433</v>
      </c>
      <c r="C258" s="474">
        <v>42594</v>
      </c>
      <c r="D258" s="471">
        <v>21305</v>
      </c>
      <c r="E258" s="476">
        <v>293009</v>
      </c>
      <c r="F258" s="484">
        <v>6.7819220992410565E-3</v>
      </c>
      <c r="G258" s="467"/>
    </row>
    <row r="259" spans="2:7" x14ac:dyDescent="0.25">
      <c r="B259" s="470" t="s">
        <v>433</v>
      </c>
      <c r="C259" s="474">
        <v>42597</v>
      </c>
      <c r="D259" s="471">
        <v>21015</v>
      </c>
      <c r="E259" s="476">
        <v>449357</v>
      </c>
      <c r="F259" s="484">
        <v>-1.3705318494795289E-2</v>
      </c>
      <c r="G259" s="467"/>
    </row>
    <row r="260" spans="2:7" x14ac:dyDescent="0.25">
      <c r="B260" s="470" t="s">
        <v>433</v>
      </c>
      <c r="C260" s="474">
        <v>42598</v>
      </c>
      <c r="D260" s="471">
        <v>20790</v>
      </c>
      <c r="E260" s="476">
        <v>467966</v>
      </c>
      <c r="F260" s="484">
        <v>-1.076436658715843E-2</v>
      </c>
      <c r="G260" s="467"/>
    </row>
    <row r="261" spans="2:7" x14ac:dyDescent="0.25">
      <c r="B261" s="470" t="s">
        <v>433</v>
      </c>
      <c r="C261" s="474">
        <v>42599</v>
      </c>
      <c r="D261" s="471">
        <v>20690</v>
      </c>
      <c r="E261" s="476">
        <v>614303</v>
      </c>
      <c r="F261" s="484">
        <v>-4.8216101124699028E-3</v>
      </c>
      <c r="G261" s="467"/>
    </row>
    <row r="262" spans="2:7" x14ac:dyDescent="0.25">
      <c r="B262" s="470" t="s">
        <v>433</v>
      </c>
      <c r="C262" s="474">
        <v>42600</v>
      </c>
      <c r="D262" s="471">
        <v>20680</v>
      </c>
      <c r="E262" s="476">
        <v>461964</v>
      </c>
      <c r="F262" s="484">
        <v>-4.8344211722330734E-4</v>
      </c>
      <c r="G262" s="467"/>
    </row>
    <row r="263" spans="2:7" x14ac:dyDescent="0.25">
      <c r="B263" s="470" t="s">
        <v>433</v>
      </c>
      <c r="C263" s="474">
        <v>42601</v>
      </c>
      <c r="D263" s="471">
        <v>20744</v>
      </c>
      <c r="E263" s="476">
        <v>1460397</v>
      </c>
      <c r="F263" s="484">
        <v>3.0899985961349041E-3</v>
      </c>
      <c r="G263" s="467"/>
    </row>
    <row r="264" spans="2:7" x14ac:dyDescent="0.25">
      <c r="B264" s="470" t="s">
        <v>433</v>
      </c>
      <c r="C264" s="474">
        <v>42604</v>
      </c>
      <c r="D264" s="471">
        <v>20700</v>
      </c>
      <c r="E264" s="476">
        <v>259621</v>
      </c>
      <c r="F264" s="484">
        <v>-2.1233479650398209E-3</v>
      </c>
      <c r="G264" s="467"/>
    </row>
    <row r="265" spans="2:7" x14ac:dyDescent="0.25">
      <c r="B265" s="470" t="s">
        <v>433</v>
      </c>
      <c r="C265" s="474">
        <v>42605</v>
      </c>
      <c r="D265" s="471">
        <v>20775</v>
      </c>
      <c r="E265" s="476">
        <v>907464</v>
      </c>
      <c r="F265" s="484">
        <v>3.6166404701885148E-3</v>
      </c>
      <c r="G265" s="467"/>
    </row>
    <row r="266" spans="2:7" x14ac:dyDescent="0.25">
      <c r="B266" s="470" t="s">
        <v>433</v>
      </c>
      <c r="C266" s="474">
        <v>42606</v>
      </c>
      <c r="D266" s="471">
        <v>19650</v>
      </c>
      <c r="E266" s="476">
        <v>2673163</v>
      </c>
      <c r="F266" s="484">
        <v>-5.5673002426241638E-2</v>
      </c>
      <c r="G266" s="467"/>
    </row>
    <row r="267" spans="2:7" x14ac:dyDescent="0.25">
      <c r="B267" s="470" t="s">
        <v>433</v>
      </c>
      <c r="C267" s="474">
        <v>42607</v>
      </c>
      <c r="D267" s="471">
        <v>19371</v>
      </c>
      <c r="E267" s="476">
        <v>1742612</v>
      </c>
      <c r="F267" s="484">
        <v>-1.4300236002830587E-2</v>
      </c>
      <c r="G267" s="467"/>
    </row>
    <row r="268" spans="2:7" x14ac:dyDescent="0.25">
      <c r="B268" s="470" t="s">
        <v>433</v>
      </c>
      <c r="C268" s="474">
        <v>42608</v>
      </c>
      <c r="D268" s="471">
        <v>19698</v>
      </c>
      <c r="E268" s="476">
        <v>853507</v>
      </c>
      <c r="F268" s="484">
        <v>1.6740005435071009E-2</v>
      </c>
      <c r="G268" s="467"/>
    </row>
    <row r="269" spans="2:7" x14ac:dyDescent="0.25">
      <c r="B269" s="470" t="s">
        <v>433</v>
      </c>
      <c r="C269" s="474">
        <v>42611</v>
      </c>
      <c r="D269" s="471">
        <v>19700</v>
      </c>
      <c r="E269" s="476">
        <v>954086</v>
      </c>
      <c r="F269" s="484">
        <v>1.0152799643213796E-4</v>
      </c>
      <c r="G269" s="467"/>
    </row>
    <row r="270" spans="2:7" x14ac:dyDescent="0.25">
      <c r="B270" s="470" t="s">
        <v>433</v>
      </c>
      <c r="C270" s="474">
        <v>42612</v>
      </c>
      <c r="D270" s="471">
        <v>19728</v>
      </c>
      <c r="E270" s="476">
        <v>648727</v>
      </c>
      <c r="F270" s="484">
        <v>1.4203106780457139E-3</v>
      </c>
      <c r="G270" s="467"/>
    </row>
    <row r="271" spans="2:7" x14ac:dyDescent="0.25">
      <c r="B271" s="470" t="s">
        <v>433</v>
      </c>
      <c r="C271" s="474">
        <v>42613</v>
      </c>
      <c r="D271" s="471">
        <v>19200</v>
      </c>
      <c r="E271" s="476">
        <v>1133445</v>
      </c>
      <c r="F271" s="484">
        <v>-2.7128667388252585E-2</v>
      </c>
      <c r="G271" s="467"/>
    </row>
    <row r="272" spans="2:7" x14ac:dyDescent="0.25">
      <c r="B272" s="470" t="s">
        <v>433</v>
      </c>
      <c r="C272" s="474">
        <v>42614</v>
      </c>
      <c r="D272" s="471">
        <v>18950</v>
      </c>
      <c r="E272" s="476">
        <v>841851</v>
      </c>
      <c r="F272" s="484">
        <v>-1.3106347505300547E-2</v>
      </c>
      <c r="G272" s="467"/>
    </row>
    <row r="273" spans="2:7" x14ac:dyDescent="0.25">
      <c r="B273" s="470" t="s">
        <v>433</v>
      </c>
      <c r="C273" s="474">
        <v>42615</v>
      </c>
      <c r="D273" s="471">
        <v>19126</v>
      </c>
      <c r="E273" s="476">
        <v>1307172</v>
      </c>
      <c r="F273" s="484">
        <v>9.2447343989156272E-3</v>
      </c>
      <c r="G273" s="467"/>
    </row>
    <row r="274" spans="2:7" x14ac:dyDescent="0.25">
      <c r="B274" s="470" t="s">
        <v>433</v>
      </c>
      <c r="C274" s="474">
        <v>42618</v>
      </c>
      <c r="D274" s="471">
        <v>19242</v>
      </c>
      <c r="E274" s="476">
        <v>687074</v>
      </c>
      <c r="F274" s="484">
        <v>6.0467240117218664E-3</v>
      </c>
      <c r="G274" s="467"/>
    </row>
    <row r="275" spans="2:7" x14ac:dyDescent="0.25">
      <c r="B275" s="470" t="s">
        <v>433</v>
      </c>
      <c r="C275" s="474">
        <v>42619</v>
      </c>
      <c r="D275" s="471">
        <v>19365</v>
      </c>
      <c r="E275" s="476">
        <v>678235</v>
      </c>
      <c r="F275" s="484">
        <v>6.3719230276425998E-3</v>
      </c>
      <c r="G275" s="467"/>
    </row>
    <row r="276" spans="2:7" x14ac:dyDescent="0.25">
      <c r="B276" s="470" t="s">
        <v>433</v>
      </c>
      <c r="C276" s="474">
        <v>42620</v>
      </c>
      <c r="D276" s="471">
        <v>19175</v>
      </c>
      <c r="E276" s="476">
        <v>1319404</v>
      </c>
      <c r="F276" s="484">
        <v>-9.8599657133955753E-3</v>
      </c>
      <c r="G276" s="467"/>
    </row>
    <row r="277" spans="2:7" x14ac:dyDescent="0.25">
      <c r="B277" s="470" t="s">
        <v>433</v>
      </c>
      <c r="C277" s="474">
        <v>42621</v>
      </c>
      <c r="D277" s="471">
        <v>19073</v>
      </c>
      <c r="E277" s="476">
        <v>1191975</v>
      </c>
      <c r="F277" s="484">
        <v>-5.3336248590303134E-3</v>
      </c>
      <c r="G277" s="467"/>
    </row>
    <row r="278" spans="2:7" x14ac:dyDescent="0.25">
      <c r="B278" s="470" t="s">
        <v>433</v>
      </c>
      <c r="C278" s="474">
        <v>42622</v>
      </c>
      <c r="D278" s="471">
        <v>19000</v>
      </c>
      <c r="E278" s="476">
        <v>990356</v>
      </c>
      <c r="F278" s="484">
        <v>-3.8347432278491279E-3</v>
      </c>
      <c r="G278" s="467"/>
    </row>
    <row r="279" spans="2:7" x14ac:dyDescent="0.25">
      <c r="B279" s="470" t="s">
        <v>433</v>
      </c>
      <c r="C279" s="474">
        <v>42625</v>
      </c>
      <c r="D279" s="471">
        <v>18868</v>
      </c>
      <c r="E279" s="476">
        <v>724032</v>
      </c>
      <c r="F279" s="484">
        <v>-6.9716137444251801E-3</v>
      </c>
      <c r="G279" s="467"/>
    </row>
    <row r="280" spans="2:7" x14ac:dyDescent="0.25">
      <c r="B280" s="470" t="s">
        <v>433</v>
      </c>
      <c r="C280" s="474">
        <v>42626</v>
      </c>
      <c r="D280" s="471">
        <v>18857</v>
      </c>
      <c r="E280" s="476">
        <v>389079</v>
      </c>
      <c r="F280" s="484">
        <v>-5.8316767722960453E-4</v>
      </c>
      <c r="G280" s="467"/>
    </row>
    <row r="281" spans="2:7" x14ac:dyDescent="0.25">
      <c r="B281" s="470" t="s">
        <v>433</v>
      </c>
      <c r="C281" s="474">
        <v>42627</v>
      </c>
      <c r="D281" s="471">
        <v>18952</v>
      </c>
      <c r="E281" s="476">
        <v>717012</v>
      </c>
      <c r="F281" s="484">
        <v>5.0252691116987351E-3</v>
      </c>
      <c r="G281" s="467"/>
    </row>
    <row r="282" spans="2:7" x14ac:dyDescent="0.25">
      <c r="B282" s="470" t="s">
        <v>433</v>
      </c>
      <c r="C282" s="474">
        <v>42628</v>
      </c>
      <c r="D282" s="471">
        <v>18711</v>
      </c>
      <c r="E282" s="476">
        <v>820671</v>
      </c>
      <c r="F282" s="484">
        <v>-1.2797880644389106E-2</v>
      </c>
      <c r="G282" s="467"/>
    </row>
    <row r="283" spans="2:7" x14ac:dyDescent="0.25">
      <c r="B283" s="470" t="s">
        <v>433</v>
      </c>
      <c r="C283" s="474">
        <v>42629</v>
      </c>
      <c r="D283" s="471">
        <v>18963</v>
      </c>
      <c r="E283" s="476">
        <v>2965580</v>
      </c>
      <c r="F283" s="484">
        <v>1.337812594617605E-2</v>
      </c>
      <c r="G283" s="467"/>
    </row>
    <row r="284" spans="2:7" x14ac:dyDescent="0.25">
      <c r="B284" s="470" t="s">
        <v>433</v>
      </c>
      <c r="C284" s="474">
        <v>42632</v>
      </c>
      <c r="D284" s="471">
        <v>18857</v>
      </c>
      <c r="E284" s="476">
        <v>947573</v>
      </c>
      <c r="F284" s="484">
        <v>-5.6055144134857194E-3</v>
      </c>
      <c r="G284" s="467"/>
    </row>
    <row r="285" spans="2:7" x14ac:dyDescent="0.25">
      <c r="B285" s="470" t="s">
        <v>433</v>
      </c>
      <c r="C285" s="474">
        <v>42633</v>
      </c>
      <c r="D285" s="471">
        <v>19000</v>
      </c>
      <c r="E285" s="476">
        <v>524454</v>
      </c>
      <c r="F285" s="484">
        <v>7.5547814216547779E-3</v>
      </c>
      <c r="G285" s="467"/>
    </row>
    <row r="286" spans="2:7" x14ac:dyDescent="0.25">
      <c r="B286" s="470" t="s">
        <v>433</v>
      </c>
      <c r="C286" s="474">
        <v>42634</v>
      </c>
      <c r="D286" s="471">
        <v>19029</v>
      </c>
      <c r="E286" s="476">
        <v>687117</v>
      </c>
      <c r="F286" s="484">
        <v>1.525152153429231E-3</v>
      </c>
      <c r="G286" s="467"/>
    </row>
    <row r="287" spans="2:7" x14ac:dyDescent="0.25">
      <c r="B287" s="470" t="s">
        <v>433</v>
      </c>
      <c r="C287" s="474">
        <v>42635</v>
      </c>
      <c r="D287" s="471">
        <v>19350</v>
      </c>
      <c r="E287" s="476">
        <v>872982</v>
      </c>
      <c r="F287" s="484">
        <v>1.672828815592094E-2</v>
      </c>
      <c r="G287" s="467"/>
    </row>
    <row r="288" spans="2:7" x14ac:dyDescent="0.25">
      <c r="B288" s="470" t="s">
        <v>433</v>
      </c>
      <c r="C288" s="474">
        <v>42636</v>
      </c>
      <c r="D288" s="471">
        <v>19175</v>
      </c>
      <c r="E288" s="476">
        <v>1204051</v>
      </c>
      <c r="F288" s="484">
        <v>-9.0850722224709822E-3</v>
      </c>
      <c r="G288" s="467"/>
    </row>
    <row r="289" spans="2:7" x14ac:dyDescent="0.25">
      <c r="B289" s="470" t="s">
        <v>433</v>
      </c>
      <c r="C289" s="474">
        <v>42639</v>
      </c>
      <c r="D289" s="471">
        <v>18805</v>
      </c>
      <c r="E289" s="476">
        <v>421530</v>
      </c>
      <c r="F289" s="484">
        <v>-1.9484555331020139E-2</v>
      </c>
      <c r="G289" s="467"/>
    </row>
    <row r="290" spans="2:7" x14ac:dyDescent="0.25">
      <c r="B290" s="470" t="s">
        <v>433</v>
      </c>
      <c r="C290" s="474">
        <v>42640</v>
      </c>
      <c r="D290" s="471">
        <v>18903</v>
      </c>
      <c r="E290" s="476">
        <v>1174035</v>
      </c>
      <c r="F290" s="484">
        <v>5.1978477057285245E-3</v>
      </c>
      <c r="G290" s="467"/>
    </row>
    <row r="291" spans="2:7" x14ac:dyDescent="0.25">
      <c r="B291" s="470" t="s">
        <v>433</v>
      </c>
      <c r="C291" s="474">
        <v>42641</v>
      </c>
      <c r="D291" s="471">
        <v>19047</v>
      </c>
      <c r="E291" s="476">
        <v>1231795</v>
      </c>
      <c r="F291" s="484">
        <v>7.588969228394477E-3</v>
      </c>
      <c r="G291" s="467"/>
    </row>
    <row r="292" spans="2:7" x14ac:dyDescent="0.25">
      <c r="B292" s="470" t="s">
        <v>433</v>
      </c>
      <c r="C292" s="474">
        <v>42642</v>
      </c>
      <c r="D292" s="471">
        <v>19370</v>
      </c>
      <c r="E292" s="476">
        <v>1074399</v>
      </c>
      <c r="F292" s="484">
        <v>1.6815868562482062E-2</v>
      </c>
      <c r="G292" s="467"/>
    </row>
    <row r="293" spans="2:7" x14ac:dyDescent="0.25">
      <c r="B293" s="470" t="s">
        <v>433</v>
      </c>
      <c r="C293" s="474">
        <v>42643</v>
      </c>
      <c r="D293" s="471">
        <v>19222</v>
      </c>
      <c r="E293" s="476">
        <v>651753</v>
      </c>
      <c r="F293" s="484">
        <v>-7.6700210178118709E-3</v>
      </c>
      <c r="G293" s="467"/>
    </row>
    <row r="294" spans="2:7" x14ac:dyDescent="0.25">
      <c r="B294" s="470" t="s">
        <v>433</v>
      </c>
      <c r="C294" s="474">
        <v>42646</v>
      </c>
      <c r="D294" s="471">
        <v>19200</v>
      </c>
      <c r="E294" s="476">
        <v>569226</v>
      </c>
      <c r="F294" s="484">
        <v>-1.1451773673567694E-3</v>
      </c>
      <c r="G294" s="467"/>
    </row>
    <row r="295" spans="2:7" x14ac:dyDescent="0.25">
      <c r="B295" s="470" t="s">
        <v>433</v>
      </c>
      <c r="C295" s="474">
        <v>42647</v>
      </c>
      <c r="D295" s="471">
        <v>19350</v>
      </c>
      <c r="E295" s="476">
        <v>499095</v>
      </c>
      <c r="F295" s="484">
        <v>7.782140442054949E-3</v>
      </c>
      <c r="G295" s="467"/>
    </row>
    <row r="296" spans="2:7" x14ac:dyDescent="0.25">
      <c r="B296" s="470" t="s">
        <v>433</v>
      </c>
      <c r="C296" s="474">
        <v>42648</v>
      </c>
      <c r="D296" s="471">
        <v>19386</v>
      </c>
      <c r="E296" s="476">
        <v>290212</v>
      </c>
      <c r="F296" s="484">
        <v>1.858736594625342E-3</v>
      </c>
      <c r="G296" s="467"/>
    </row>
    <row r="297" spans="2:7" x14ac:dyDescent="0.25">
      <c r="B297" s="470" t="s">
        <v>433</v>
      </c>
      <c r="C297" s="474">
        <v>42649</v>
      </c>
      <c r="D297" s="471">
        <v>19139</v>
      </c>
      <c r="E297" s="476">
        <v>626650</v>
      </c>
      <c r="F297" s="484">
        <v>-1.2823018014480086E-2</v>
      </c>
      <c r="G297" s="467"/>
    </row>
    <row r="298" spans="2:7" x14ac:dyDescent="0.25">
      <c r="B298" s="470" t="s">
        <v>433</v>
      </c>
      <c r="C298" s="474">
        <v>42650</v>
      </c>
      <c r="D298" s="471">
        <v>19200</v>
      </c>
      <c r="E298" s="476">
        <v>609589</v>
      </c>
      <c r="F298" s="484">
        <v>3.1821409777998359E-3</v>
      </c>
      <c r="G298" s="467"/>
    </row>
    <row r="299" spans="2:7" x14ac:dyDescent="0.25">
      <c r="B299" s="470" t="s">
        <v>433</v>
      </c>
      <c r="C299" s="474">
        <v>42653</v>
      </c>
      <c r="D299" s="471">
        <v>19202</v>
      </c>
      <c r="E299" s="476">
        <v>722567</v>
      </c>
      <c r="F299" s="484">
        <v>1.041612416960805E-4</v>
      </c>
      <c r="G299" s="467"/>
    </row>
    <row r="300" spans="2:7" x14ac:dyDescent="0.25">
      <c r="B300" s="470" t="s">
        <v>433</v>
      </c>
      <c r="C300" s="474">
        <v>42654</v>
      </c>
      <c r="D300" s="471">
        <v>19196</v>
      </c>
      <c r="E300" s="476">
        <v>951118</v>
      </c>
      <c r="F300" s="484">
        <v>-3.1251627943299154E-4</v>
      </c>
      <c r="G300" s="467"/>
    </row>
    <row r="301" spans="2:7" x14ac:dyDescent="0.25">
      <c r="B301" s="470" t="s">
        <v>433</v>
      </c>
      <c r="C301" s="474">
        <v>42655</v>
      </c>
      <c r="D301" s="471">
        <v>19100</v>
      </c>
      <c r="E301" s="476">
        <v>716897</v>
      </c>
      <c r="F301" s="484">
        <v>-5.0135889434148664E-3</v>
      </c>
      <c r="G301" s="467"/>
    </row>
    <row r="302" spans="2:7" x14ac:dyDescent="0.25">
      <c r="B302" s="470" t="s">
        <v>433</v>
      </c>
      <c r="C302" s="474">
        <v>42656</v>
      </c>
      <c r="D302" s="471">
        <v>18727</v>
      </c>
      <c r="E302" s="476">
        <v>787843</v>
      </c>
      <c r="F302" s="484">
        <v>-1.9722002274212856E-2</v>
      </c>
      <c r="G302" s="467"/>
    </row>
    <row r="303" spans="2:7" x14ac:dyDescent="0.25">
      <c r="B303" s="470" t="s">
        <v>433</v>
      </c>
      <c r="C303" s="474">
        <v>42657</v>
      </c>
      <c r="D303" s="471">
        <v>19135</v>
      </c>
      <c r="E303" s="476">
        <v>734731</v>
      </c>
      <c r="F303" s="484">
        <v>2.1552786099294251E-2</v>
      </c>
      <c r="G303" s="467"/>
    </row>
    <row r="304" spans="2:7" x14ac:dyDescent="0.25">
      <c r="B304" s="470" t="s">
        <v>433</v>
      </c>
      <c r="C304" s="474">
        <v>42660</v>
      </c>
      <c r="D304" s="471">
        <v>19287</v>
      </c>
      <c r="E304" s="476">
        <v>574439</v>
      </c>
      <c r="F304" s="484">
        <v>7.9121749499937166E-3</v>
      </c>
      <c r="G304" s="467"/>
    </row>
    <row r="305" spans="2:7" x14ac:dyDescent="0.25">
      <c r="B305" s="470" t="s">
        <v>433</v>
      </c>
      <c r="C305" s="474">
        <v>42661</v>
      </c>
      <c r="D305" s="471">
        <v>19152</v>
      </c>
      <c r="E305" s="476">
        <v>814874</v>
      </c>
      <c r="F305" s="484">
        <v>-7.0241450120420122E-3</v>
      </c>
      <c r="G305" s="467"/>
    </row>
    <row r="306" spans="2:7" x14ac:dyDescent="0.25">
      <c r="B306" s="470" t="s">
        <v>433</v>
      </c>
      <c r="C306" s="474">
        <v>42662</v>
      </c>
      <c r="D306" s="471">
        <v>19198</v>
      </c>
      <c r="E306" s="476">
        <v>426991</v>
      </c>
      <c r="F306" s="484">
        <v>2.3989581257277616E-3</v>
      </c>
      <c r="G306" s="467"/>
    </row>
    <row r="307" spans="2:7" x14ac:dyDescent="0.25">
      <c r="B307" s="470" t="s">
        <v>433</v>
      </c>
      <c r="C307" s="474">
        <v>42663</v>
      </c>
      <c r="D307" s="471">
        <v>19020</v>
      </c>
      <c r="E307" s="476">
        <v>366473</v>
      </c>
      <c r="F307" s="484">
        <v>-9.3150498241009756E-3</v>
      </c>
      <c r="G307" s="467"/>
    </row>
    <row r="308" spans="2:7" x14ac:dyDescent="0.25">
      <c r="B308" s="470" t="s">
        <v>433</v>
      </c>
      <c r="C308" s="474">
        <v>42664</v>
      </c>
      <c r="D308" s="471">
        <v>19185</v>
      </c>
      <c r="E308" s="476">
        <v>469906</v>
      </c>
      <c r="F308" s="484">
        <v>8.6376665816714042E-3</v>
      </c>
      <c r="G308" s="467"/>
    </row>
    <row r="309" spans="2:7" x14ac:dyDescent="0.25">
      <c r="B309" s="470" t="s">
        <v>433</v>
      </c>
      <c r="C309" s="474">
        <v>42667</v>
      </c>
      <c r="D309" s="471">
        <v>19286</v>
      </c>
      <c r="E309" s="476">
        <v>497640</v>
      </c>
      <c r="F309" s="484">
        <v>5.2507203892768594E-3</v>
      </c>
      <c r="G309" s="467"/>
    </row>
    <row r="310" spans="2:7" x14ac:dyDescent="0.25">
      <c r="B310" s="470" t="s">
        <v>433</v>
      </c>
      <c r="C310" s="474">
        <v>42668</v>
      </c>
      <c r="D310" s="471">
        <v>19272</v>
      </c>
      <c r="E310" s="476">
        <v>732640</v>
      </c>
      <c r="F310" s="484">
        <v>-7.2617877562246845E-4</v>
      </c>
      <c r="G310" s="467"/>
    </row>
    <row r="311" spans="2:7" x14ac:dyDescent="0.25">
      <c r="B311" s="470" t="s">
        <v>433</v>
      </c>
      <c r="C311" s="474">
        <v>42669</v>
      </c>
      <c r="D311" s="471">
        <v>19168</v>
      </c>
      <c r="E311" s="476">
        <v>450394</v>
      </c>
      <c r="F311" s="484">
        <v>-5.4110433795313811E-3</v>
      </c>
      <c r="G311" s="467"/>
    </row>
    <row r="312" spans="2:7" x14ac:dyDescent="0.25">
      <c r="B312" s="470" t="s">
        <v>433</v>
      </c>
      <c r="C312" s="474">
        <v>42670</v>
      </c>
      <c r="D312" s="471">
        <v>19094</v>
      </c>
      <c r="E312" s="476">
        <v>442270</v>
      </c>
      <c r="F312" s="484">
        <v>-3.8680723571973595E-3</v>
      </c>
      <c r="G312" s="467"/>
    </row>
    <row r="313" spans="2:7" x14ac:dyDescent="0.25">
      <c r="B313" s="470" t="s">
        <v>433</v>
      </c>
      <c r="C313" s="474">
        <v>42671</v>
      </c>
      <c r="D313" s="471">
        <v>18832</v>
      </c>
      <c r="E313" s="476">
        <v>428756</v>
      </c>
      <c r="F313" s="484">
        <v>-1.3816599057920508E-2</v>
      </c>
      <c r="G313" s="467"/>
    </row>
    <row r="314" spans="2:7" x14ac:dyDescent="0.25">
      <c r="B314" s="470" t="s">
        <v>433</v>
      </c>
      <c r="C314" s="474">
        <v>42674</v>
      </c>
      <c r="D314" s="471">
        <v>19100</v>
      </c>
      <c r="E314" s="476">
        <v>385416</v>
      </c>
      <c r="F314" s="484">
        <v>1.4130784534663186E-2</v>
      </c>
      <c r="G314" s="467"/>
    </row>
    <row r="315" spans="2:7" x14ac:dyDescent="0.25">
      <c r="B315" s="470" t="s">
        <v>433</v>
      </c>
      <c r="C315" s="474">
        <v>42675</v>
      </c>
      <c r="D315" s="471">
        <v>18965</v>
      </c>
      <c r="E315" s="476">
        <v>505024</v>
      </c>
      <c r="F315" s="484">
        <v>-7.0931599117219617E-3</v>
      </c>
      <c r="G315" s="467"/>
    </row>
    <row r="316" spans="2:7" x14ac:dyDescent="0.25">
      <c r="B316" s="470" t="s">
        <v>433</v>
      </c>
      <c r="C316" s="474">
        <v>42676</v>
      </c>
      <c r="D316" s="471">
        <v>18778</v>
      </c>
      <c r="E316" s="476">
        <v>666108</v>
      </c>
      <c r="F316" s="484">
        <v>-9.9092033045065538E-3</v>
      </c>
      <c r="G316" s="467"/>
    </row>
    <row r="317" spans="2:7" x14ac:dyDescent="0.25">
      <c r="B317" s="470" t="s">
        <v>433</v>
      </c>
      <c r="C317" s="474">
        <v>42677</v>
      </c>
      <c r="D317" s="471">
        <v>18600</v>
      </c>
      <c r="E317" s="476">
        <v>629533</v>
      </c>
      <c r="F317" s="484">
        <v>-9.5243911172000987E-3</v>
      </c>
      <c r="G317" s="467"/>
    </row>
    <row r="318" spans="2:7" x14ac:dyDescent="0.25">
      <c r="B318" s="470" t="s">
        <v>433</v>
      </c>
      <c r="C318" s="474">
        <v>42678</v>
      </c>
      <c r="D318" s="471">
        <v>18350</v>
      </c>
      <c r="E318" s="476">
        <v>545521</v>
      </c>
      <c r="F318" s="484">
        <v>-1.3532006218576273E-2</v>
      </c>
      <c r="G318" s="467"/>
    </row>
    <row r="319" spans="2:7" x14ac:dyDescent="0.25">
      <c r="B319" s="470" t="s">
        <v>433</v>
      </c>
      <c r="C319" s="474">
        <v>42681</v>
      </c>
      <c r="D319" s="471">
        <v>18701</v>
      </c>
      <c r="E319" s="476">
        <v>1147571</v>
      </c>
      <c r="F319" s="484">
        <v>1.8947423866003659E-2</v>
      </c>
      <c r="G319" s="467"/>
    </row>
    <row r="320" spans="2:7" x14ac:dyDescent="0.25">
      <c r="B320" s="470" t="s">
        <v>433</v>
      </c>
      <c r="C320" s="474">
        <v>42682</v>
      </c>
      <c r="D320" s="471">
        <v>18898</v>
      </c>
      <c r="E320" s="476">
        <v>637296</v>
      </c>
      <c r="F320" s="484">
        <v>1.0479097993851272E-2</v>
      </c>
      <c r="G320" s="467"/>
    </row>
    <row r="321" spans="2:7" x14ac:dyDescent="0.25">
      <c r="B321" s="470" t="s">
        <v>433</v>
      </c>
      <c r="C321" s="474">
        <v>42683</v>
      </c>
      <c r="D321" s="471">
        <v>18500</v>
      </c>
      <c r="E321" s="476">
        <v>587808</v>
      </c>
      <c r="F321" s="484">
        <v>-2.1285364276155058E-2</v>
      </c>
      <c r="G321" s="467"/>
    </row>
    <row r="322" spans="2:7" x14ac:dyDescent="0.25">
      <c r="B322" s="470" t="s">
        <v>433</v>
      </c>
      <c r="C322" s="474">
        <v>42684</v>
      </c>
      <c r="D322" s="471">
        <v>17991</v>
      </c>
      <c r="E322" s="476">
        <v>611867</v>
      </c>
      <c r="F322" s="484">
        <v>-2.7899099229796727E-2</v>
      </c>
      <c r="G322" s="467"/>
    </row>
    <row r="323" spans="2:7" x14ac:dyDescent="0.25">
      <c r="B323" s="470" t="s">
        <v>433</v>
      </c>
      <c r="C323" s="474">
        <v>42685</v>
      </c>
      <c r="D323" s="471">
        <v>17287</v>
      </c>
      <c r="E323" s="476">
        <v>1631269</v>
      </c>
      <c r="F323" s="484">
        <v>-3.9916858913832676E-2</v>
      </c>
      <c r="G323" s="467"/>
    </row>
    <row r="324" spans="2:7" x14ac:dyDescent="0.25">
      <c r="B324" s="470" t="s">
        <v>433</v>
      </c>
      <c r="C324" s="474">
        <v>42688</v>
      </c>
      <c r="D324" s="471">
        <v>17100</v>
      </c>
      <c r="E324" s="476">
        <v>1300508</v>
      </c>
      <c r="F324" s="484">
        <v>-1.0876310432035527E-2</v>
      </c>
      <c r="G324" s="467"/>
    </row>
    <row r="325" spans="2:7" x14ac:dyDescent="0.25">
      <c r="B325" s="470" t="s">
        <v>433</v>
      </c>
      <c r="C325" s="474">
        <v>42689</v>
      </c>
      <c r="D325" s="471">
        <v>17510</v>
      </c>
      <c r="E325" s="476">
        <v>1508301</v>
      </c>
      <c r="F325" s="484">
        <v>2.3693682789146252E-2</v>
      </c>
      <c r="G325" s="467"/>
    </row>
    <row r="326" spans="2:7" x14ac:dyDescent="0.25">
      <c r="B326" s="470" t="s">
        <v>433</v>
      </c>
      <c r="C326" s="474">
        <v>42690</v>
      </c>
      <c r="D326" s="471">
        <v>18200</v>
      </c>
      <c r="E326" s="476">
        <v>1406267</v>
      </c>
      <c r="F326" s="484">
        <v>3.8649447784989202E-2</v>
      </c>
      <c r="G326" s="467"/>
    </row>
    <row r="327" spans="2:7" x14ac:dyDescent="0.25">
      <c r="B327" s="470" t="s">
        <v>433</v>
      </c>
      <c r="C327" s="474">
        <v>42691</v>
      </c>
      <c r="D327" s="471">
        <v>18140</v>
      </c>
      <c r="E327" s="476">
        <v>622961</v>
      </c>
      <c r="F327" s="484">
        <v>-3.3021493957591107E-3</v>
      </c>
      <c r="G327" s="467"/>
    </row>
    <row r="328" spans="2:7" x14ac:dyDescent="0.25">
      <c r="B328" s="470" t="s">
        <v>433</v>
      </c>
      <c r="C328" s="474">
        <v>42692</v>
      </c>
      <c r="D328" s="471">
        <v>18200</v>
      </c>
      <c r="E328" s="476">
        <v>655231</v>
      </c>
      <c r="F328" s="484">
        <v>3.3021493957590318E-3</v>
      </c>
      <c r="G328" s="467"/>
    </row>
    <row r="329" spans="2:7" x14ac:dyDescent="0.25">
      <c r="B329" s="470" t="s">
        <v>433</v>
      </c>
      <c r="C329" s="474">
        <v>42695</v>
      </c>
      <c r="D329" s="471">
        <v>18256</v>
      </c>
      <c r="E329" s="476">
        <v>717065</v>
      </c>
      <c r="F329" s="484">
        <v>3.0721990369700588E-3</v>
      </c>
      <c r="G329" s="467"/>
    </row>
    <row r="330" spans="2:7" x14ac:dyDescent="0.25">
      <c r="B330" s="470" t="s">
        <v>433</v>
      </c>
      <c r="C330" s="474">
        <v>42696</v>
      </c>
      <c r="D330" s="471">
        <v>18764</v>
      </c>
      <c r="E330" s="476">
        <v>755337</v>
      </c>
      <c r="F330" s="484">
        <v>2.7446347346491814E-2</v>
      </c>
      <c r="G330" s="467"/>
    </row>
    <row r="331" spans="2:7" x14ac:dyDescent="0.25">
      <c r="B331" s="470" t="s">
        <v>433</v>
      </c>
      <c r="C331" s="474">
        <v>42697</v>
      </c>
      <c r="D331" s="471">
        <v>18897</v>
      </c>
      <c r="E331" s="476">
        <v>1038386</v>
      </c>
      <c r="F331" s="484">
        <v>7.0630388416900785E-3</v>
      </c>
      <c r="G331" s="467"/>
    </row>
    <row r="332" spans="2:7" x14ac:dyDescent="0.25">
      <c r="B332" s="470" t="s">
        <v>433</v>
      </c>
      <c r="C332" s="474">
        <v>42698</v>
      </c>
      <c r="D332" s="471">
        <v>18683</v>
      </c>
      <c r="E332" s="476">
        <v>525379</v>
      </c>
      <c r="F332" s="484">
        <v>-1.1389159830201299E-2</v>
      </c>
      <c r="G332" s="467"/>
    </row>
    <row r="333" spans="2:7" x14ac:dyDescent="0.25">
      <c r="B333" s="470" t="s">
        <v>433</v>
      </c>
      <c r="C333" s="474">
        <v>42699</v>
      </c>
      <c r="D333" s="471">
        <v>18691</v>
      </c>
      <c r="E333" s="476">
        <v>531893</v>
      </c>
      <c r="F333" s="484">
        <v>4.2810510634029082E-4</v>
      </c>
      <c r="G333" s="467"/>
    </row>
    <row r="334" spans="2:7" x14ac:dyDescent="0.25">
      <c r="B334" s="470" t="s">
        <v>433</v>
      </c>
      <c r="C334" s="474">
        <v>42702</v>
      </c>
      <c r="D334" s="471">
        <v>19049</v>
      </c>
      <c r="E334" s="476">
        <v>3161109</v>
      </c>
      <c r="F334" s="484">
        <v>1.8972482172520209E-2</v>
      </c>
      <c r="G334" s="467"/>
    </row>
    <row r="335" spans="2:7" x14ac:dyDescent="0.25">
      <c r="B335" s="470" t="s">
        <v>433</v>
      </c>
      <c r="C335" s="474">
        <v>42703</v>
      </c>
      <c r="D335" s="471">
        <v>18972</v>
      </c>
      <c r="E335" s="476">
        <v>556724</v>
      </c>
      <c r="F335" s="484">
        <v>-4.0503987412256783E-3</v>
      </c>
      <c r="G335" s="467"/>
    </row>
    <row r="336" spans="2:7" x14ac:dyDescent="0.25">
      <c r="B336" s="470" t="s">
        <v>433</v>
      </c>
      <c r="C336" s="474">
        <v>42704</v>
      </c>
      <c r="D336" s="471">
        <v>18950</v>
      </c>
      <c r="E336" s="476">
        <v>1475076</v>
      </c>
      <c r="F336" s="484">
        <v>-1.160276486899903E-3</v>
      </c>
      <c r="G336" s="467"/>
    </row>
    <row r="337" spans="2:7" x14ac:dyDescent="0.25">
      <c r="B337" s="470" t="s">
        <v>433</v>
      </c>
      <c r="C337" s="474">
        <v>42705</v>
      </c>
      <c r="D337" s="471">
        <v>18976</v>
      </c>
      <c r="E337" s="476">
        <v>623538</v>
      </c>
      <c r="F337" s="484">
        <v>1.3710912868796436E-3</v>
      </c>
      <c r="G337" s="467"/>
    </row>
    <row r="338" spans="2:7" x14ac:dyDescent="0.25">
      <c r="B338" s="470" t="s">
        <v>433</v>
      </c>
      <c r="C338" s="474">
        <v>42706</v>
      </c>
      <c r="D338" s="471">
        <v>18420</v>
      </c>
      <c r="E338" s="476">
        <v>995162</v>
      </c>
      <c r="F338" s="484">
        <v>-2.9737991988154119E-2</v>
      </c>
      <c r="G338" s="467"/>
    </row>
    <row r="339" spans="2:7" x14ac:dyDescent="0.25">
      <c r="B339" s="470" t="s">
        <v>433</v>
      </c>
      <c r="C339" s="474">
        <v>42709</v>
      </c>
      <c r="D339" s="471">
        <v>18892</v>
      </c>
      <c r="E339" s="476">
        <v>925699</v>
      </c>
      <c r="F339" s="484">
        <v>2.5301521206709948E-2</v>
      </c>
      <c r="G339" s="467"/>
    </row>
    <row r="340" spans="2:7" x14ac:dyDescent="0.25">
      <c r="B340" s="470" t="s">
        <v>433</v>
      </c>
      <c r="C340" s="474">
        <v>42710</v>
      </c>
      <c r="D340" s="471">
        <v>18630</v>
      </c>
      <c r="E340" s="476">
        <v>1086380</v>
      </c>
      <c r="F340" s="484">
        <v>-1.3965367420373612E-2</v>
      </c>
      <c r="G340" s="467"/>
    </row>
    <row r="341" spans="2:7" x14ac:dyDescent="0.25">
      <c r="B341" s="470" t="s">
        <v>433</v>
      </c>
      <c r="C341" s="474">
        <v>42711</v>
      </c>
      <c r="D341" s="471">
        <v>18500</v>
      </c>
      <c r="E341" s="476">
        <v>519710</v>
      </c>
      <c r="F341" s="484">
        <v>-7.0024525292179847E-3</v>
      </c>
      <c r="G341" s="467"/>
    </row>
    <row r="342" spans="2:7" x14ac:dyDescent="0.25">
      <c r="B342" s="470" t="s">
        <v>433</v>
      </c>
      <c r="C342" s="474">
        <v>42712</v>
      </c>
      <c r="D342" s="471">
        <v>19100</v>
      </c>
      <c r="E342" s="476">
        <v>1061519</v>
      </c>
      <c r="F342" s="484">
        <v>3.1917602968304946E-2</v>
      </c>
      <c r="G342" s="467"/>
    </row>
    <row r="343" spans="2:7" x14ac:dyDescent="0.25">
      <c r="B343" s="470" t="s">
        <v>433</v>
      </c>
      <c r="C343" s="474">
        <v>42713</v>
      </c>
      <c r="D343" s="471">
        <v>19239</v>
      </c>
      <c r="E343" s="476">
        <v>819695</v>
      </c>
      <c r="F343" s="484">
        <v>7.2511337822514423E-3</v>
      </c>
      <c r="G343" s="467"/>
    </row>
    <row r="344" spans="2:7" x14ac:dyDescent="0.25">
      <c r="B344" s="470" t="s">
        <v>433</v>
      </c>
      <c r="C344" s="474">
        <v>42716</v>
      </c>
      <c r="D344" s="471">
        <v>19239</v>
      </c>
      <c r="E344" s="476">
        <v>687926</v>
      </c>
      <c r="F344" s="484">
        <v>0</v>
      </c>
      <c r="G344" s="467"/>
    </row>
    <row r="345" spans="2:7" x14ac:dyDescent="0.25">
      <c r="B345" s="470" t="s">
        <v>433</v>
      </c>
      <c r="C345" s="474">
        <v>42717</v>
      </c>
      <c r="D345" s="471">
        <v>19514</v>
      </c>
      <c r="E345" s="476">
        <v>1184426</v>
      </c>
      <c r="F345" s="484">
        <v>1.4192687850922647E-2</v>
      </c>
      <c r="G345" s="467"/>
    </row>
    <row r="346" spans="2:7" x14ac:dyDescent="0.25">
      <c r="B346" s="470" t="s">
        <v>433</v>
      </c>
      <c r="C346" s="474">
        <v>42718</v>
      </c>
      <c r="D346" s="471">
        <v>19300</v>
      </c>
      <c r="E346" s="476">
        <v>1100956</v>
      </c>
      <c r="F346" s="484">
        <v>-1.1027060774918386E-2</v>
      </c>
      <c r="G346" s="467"/>
    </row>
    <row r="347" spans="2:7" x14ac:dyDescent="0.25">
      <c r="B347" s="470" t="s">
        <v>433</v>
      </c>
      <c r="C347" s="474">
        <v>42719</v>
      </c>
      <c r="D347" s="471">
        <v>19150</v>
      </c>
      <c r="E347" s="476">
        <v>2173077</v>
      </c>
      <c r="F347" s="484">
        <v>-7.802380284184899E-3</v>
      </c>
      <c r="G347" s="467"/>
    </row>
    <row r="348" spans="2:7" x14ac:dyDescent="0.25">
      <c r="B348" s="470" t="s">
        <v>433</v>
      </c>
      <c r="C348" s="474">
        <v>42723</v>
      </c>
      <c r="D348" s="471">
        <v>19500</v>
      </c>
      <c r="E348" s="476">
        <v>597597</v>
      </c>
      <c r="F348" s="484">
        <v>1.8111749943046103E-2</v>
      </c>
      <c r="G348" s="467"/>
    </row>
    <row r="349" spans="2:7" x14ac:dyDescent="0.25">
      <c r="B349" s="470" t="s">
        <v>433</v>
      </c>
      <c r="C349" s="474">
        <v>42724</v>
      </c>
      <c r="D349" s="471">
        <v>19706</v>
      </c>
      <c r="E349" s="476">
        <v>591176</v>
      </c>
      <c r="F349" s="484">
        <v>1.0508692330581696E-2</v>
      </c>
      <c r="G349" s="467"/>
    </row>
    <row r="350" spans="2:7" x14ac:dyDescent="0.25">
      <c r="B350" s="470" t="s">
        <v>433</v>
      </c>
      <c r="C350" s="474">
        <v>42725</v>
      </c>
      <c r="D350" s="471">
        <v>19576</v>
      </c>
      <c r="E350" s="476">
        <v>714261</v>
      </c>
      <c r="F350" s="484">
        <v>-6.6188317599123253E-3</v>
      </c>
      <c r="G350" s="467"/>
    </row>
    <row r="351" spans="2:7" x14ac:dyDescent="0.25">
      <c r="B351" s="470" t="s">
        <v>433</v>
      </c>
      <c r="C351" s="474">
        <v>42726</v>
      </c>
      <c r="D351" s="471">
        <v>19499</v>
      </c>
      <c r="E351" s="476">
        <v>398980</v>
      </c>
      <c r="F351" s="484">
        <v>-3.9411439369208007E-3</v>
      </c>
      <c r="G351" s="467"/>
    </row>
    <row r="352" spans="2:7" x14ac:dyDescent="0.25">
      <c r="B352" s="470" t="s">
        <v>433</v>
      </c>
      <c r="C352" s="474">
        <v>42727</v>
      </c>
      <c r="D352" s="471">
        <v>19184</v>
      </c>
      <c r="E352" s="476">
        <v>185531</v>
      </c>
      <c r="F352" s="484">
        <v>-1.628658391829127E-2</v>
      </c>
      <c r="G352" s="467"/>
    </row>
    <row r="353" spans="2:7" x14ac:dyDescent="0.25">
      <c r="B353" s="470" t="s">
        <v>433</v>
      </c>
      <c r="C353" s="474">
        <v>42732</v>
      </c>
      <c r="D353" s="471">
        <v>19800</v>
      </c>
      <c r="E353" s="476">
        <v>586612</v>
      </c>
      <c r="F353" s="484">
        <v>3.1605339415331044E-2</v>
      </c>
      <c r="G353" s="467"/>
    </row>
    <row r="354" spans="2:7" x14ac:dyDescent="0.25">
      <c r="B354" s="470" t="s">
        <v>433</v>
      </c>
      <c r="C354" s="474">
        <v>42733</v>
      </c>
      <c r="D354" s="471">
        <v>20019</v>
      </c>
      <c r="E354" s="476">
        <v>363404</v>
      </c>
      <c r="F354" s="484">
        <v>1.0999884889089569E-2</v>
      </c>
      <c r="G354" s="467"/>
    </row>
    <row r="355" spans="2:7" x14ac:dyDescent="0.25">
      <c r="B355" s="470" t="s">
        <v>433</v>
      </c>
      <c r="C355" s="474">
        <v>42734</v>
      </c>
      <c r="D355" s="471">
        <v>19858</v>
      </c>
      <c r="E355" s="476">
        <v>199862</v>
      </c>
      <c r="F355" s="484">
        <v>-8.0748739781767876E-3</v>
      </c>
      <c r="G355" s="467"/>
    </row>
    <row r="356" spans="2:7" x14ac:dyDescent="0.25">
      <c r="B356" s="470" t="s">
        <v>433</v>
      </c>
      <c r="C356" s="474">
        <v>42738</v>
      </c>
      <c r="D356" s="471">
        <v>19775</v>
      </c>
      <c r="E356" s="476">
        <v>478446</v>
      </c>
      <c r="F356" s="484">
        <v>-4.188434957684806E-3</v>
      </c>
      <c r="G356" s="467"/>
    </row>
    <row r="357" spans="2:7" x14ac:dyDescent="0.25">
      <c r="B357" s="470" t="s">
        <v>433</v>
      </c>
      <c r="C357" s="474">
        <v>42739</v>
      </c>
      <c r="D357" s="471">
        <v>19859</v>
      </c>
      <c r="E357" s="476">
        <v>492747</v>
      </c>
      <c r="F357" s="484">
        <v>4.238791228310064E-3</v>
      </c>
      <c r="G357" s="467"/>
    </row>
    <row r="358" spans="2:7" x14ac:dyDescent="0.25">
      <c r="B358" s="470" t="s">
        <v>433</v>
      </c>
      <c r="C358" s="474">
        <v>42740</v>
      </c>
      <c r="D358" s="471">
        <v>19848</v>
      </c>
      <c r="E358" s="476">
        <v>496118</v>
      </c>
      <c r="F358" s="484">
        <v>-5.5405849252776126E-4</v>
      </c>
      <c r="G358" s="467"/>
    </row>
    <row r="359" spans="2:7" x14ac:dyDescent="0.25">
      <c r="B359" s="470" t="s">
        <v>433</v>
      </c>
      <c r="C359" s="474">
        <v>42741</v>
      </c>
      <c r="D359" s="471">
        <v>19601</v>
      </c>
      <c r="E359" s="476">
        <v>699085</v>
      </c>
      <c r="F359" s="484">
        <v>-1.2522661046361802E-2</v>
      </c>
      <c r="G359" s="467"/>
    </row>
    <row r="360" spans="2:7" x14ac:dyDescent="0.25">
      <c r="B360" s="470" t="s">
        <v>433</v>
      </c>
      <c r="C360" s="474">
        <v>42744</v>
      </c>
      <c r="D360" s="471">
        <v>19685</v>
      </c>
      <c r="E360" s="476">
        <v>464250</v>
      </c>
      <c r="F360" s="484">
        <v>4.2763390525627767E-3</v>
      </c>
      <c r="G360" s="467"/>
    </row>
    <row r="361" spans="2:7" x14ac:dyDescent="0.25">
      <c r="B361" s="470" t="s">
        <v>433</v>
      </c>
      <c r="C361" s="474">
        <v>42745</v>
      </c>
      <c r="D361" s="471">
        <v>19612</v>
      </c>
      <c r="E361" s="476">
        <v>354041</v>
      </c>
      <c r="F361" s="484">
        <v>-3.7153006067140752E-3</v>
      </c>
      <c r="G361" s="467"/>
    </row>
    <row r="362" spans="2:7" x14ac:dyDescent="0.25">
      <c r="B362" s="470" t="s">
        <v>433</v>
      </c>
      <c r="C362" s="474">
        <v>42746</v>
      </c>
      <c r="D362" s="471">
        <v>19501</v>
      </c>
      <c r="E362" s="476">
        <v>826777</v>
      </c>
      <c r="F362" s="484">
        <v>-5.6758774828831347E-3</v>
      </c>
      <c r="G362" s="467"/>
    </row>
    <row r="363" spans="2:7" x14ac:dyDescent="0.25">
      <c r="B363" s="470" t="s">
        <v>433</v>
      </c>
      <c r="C363" s="474">
        <v>42747</v>
      </c>
      <c r="D363" s="471">
        <v>19401</v>
      </c>
      <c r="E363" s="476">
        <v>1332468</v>
      </c>
      <c r="F363" s="484">
        <v>-5.1411351735382825E-3</v>
      </c>
      <c r="G363" s="467"/>
    </row>
    <row r="364" spans="2:7" x14ac:dyDescent="0.25">
      <c r="B364" s="470" t="s">
        <v>433</v>
      </c>
      <c r="C364" s="474">
        <v>42748</v>
      </c>
      <c r="D364" s="471">
        <v>19329</v>
      </c>
      <c r="E364" s="476">
        <v>799046</v>
      </c>
      <c r="F364" s="484">
        <v>-3.718052307950376E-3</v>
      </c>
      <c r="G364" s="467"/>
    </row>
    <row r="365" spans="2:7" x14ac:dyDescent="0.25">
      <c r="B365" s="470" t="s">
        <v>433</v>
      </c>
      <c r="C365" s="474">
        <v>42751</v>
      </c>
      <c r="D365" s="471">
        <v>19700</v>
      </c>
      <c r="E365" s="476">
        <v>759768</v>
      </c>
      <c r="F365" s="484">
        <v>1.9012076919327745E-2</v>
      </c>
      <c r="G365" s="467"/>
    </row>
    <row r="366" spans="2:7" x14ac:dyDescent="0.25">
      <c r="B366" s="470" t="s">
        <v>433</v>
      </c>
      <c r="C366" s="474">
        <v>42752</v>
      </c>
      <c r="D366" s="471">
        <v>19544</v>
      </c>
      <c r="E366" s="476">
        <v>511050</v>
      </c>
      <c r="F366" s="484">
        <v>-7.9503017885034881E-3</v>
      </c>
      <c r="G366" s="467"/>
    </row>
    <row r="367" spans="2:7" x14ac:dyDescent="0.25">
      <c r="B367" s="470" t="s">
        <v>433</v>
      </c>
      <c r="C367" s="474">
        <v>42753</v>
      </c>
      <c r="D367" s="471">
        <v>19600</v>
      </c>
      <c r="E367" s="476">
        <v>438802</v>
      </c>
      <c r="F367" s="484">
        <v>2.8612322810321949E-3</v>
      </c>
      <c r="G367" s="467"/>
    </row>
    <row r="368" spans="2:7" x14ac:dyDescent="0.25">
      <c r="B368" s="470" t="s">
        <v>433</v>
      </c>
      <c r="C368" s="474">
        <v>42754</v>
      </c>
      <c r="D368" s="471">
        <v>19746</v>
      </c>
      <c r="E368" s="476">
        <v>515165</v>
      </c>
      <c r="F368" s="484">
        <v>7.4213729527862647E-3</v>
      </c>
      <c r="G368" s="467"/>
    </row>
    <row r="369" spans="2:7" x14ac:dyDescent="0.25">
      <c r="B369" s="470" t="s">
        <v>433</v>
      </c>
      <c r="C369" s="474">
        <v>42755</v>
      </c>
      <c r="D369" s="471">
        <v>19575</v>
      </c>
      <c r="E369" s="476">
        <v>329663</v>
      </c>
      <c r="F369" s="484">
        <v>-8.6976973123910426E-3</v>
      </c>
      <c r="G369" s="467"/>
    </row>
    <row r="370" spans="2:7" x14ac:dyDescent="0.25">
      <c r="B370" s="470" t="s">
        <v>433</v>
      </c>
      <c r="C370" s="474">
        <v>42758</v>
      </c>
      <c r="D370" s="471">
        <v>19561</v>
      </c>
      <c r="E370" s="476">
        <v>270308</v>
      </c>
      <c r="F370" s="484">
        <v>-7.1545383264444299E-4</v>
      </c>
      <c r="G370" s="467"/>
    </row>
    <row r="371" spans="2:7" x14ac:dyDescent="0.25">
      <c r="B371" s="470" t="s">
        <v>433</v>
      </c>
      <c r="C371" s="474">
        <v>42759</v>
      </c>
      <c r="D371" s="471">
        <v>19592</v>
      </c>
      <c r="E371" s="476">
        <v>623075</v>
      </c>
      <c r="F371" s="484">
        <v>1.5835316056442201E-3</v>
      </c>
      <c r="G371" s="467"/>
    </row>
    <row r="372" spans="2:7" x14ac:dyDescent="0.25">
      <c r="B372" s="470" t="s">
        <v>433</v>
      </c>
      <c r="C372" s="474">
        <v>42760</v>
      </c>
      <c r="D372" s="471">
        <v>19751</v>
      </c>
      <c r="E372" s="476">
        <v>554092</v>
      </c>
      <c r="F372" s="484">
        <v>8.0828033268541231E-3</v>
      </c>
      <c r="G372" s="467"/>
    </row>
    <row r="373" spans="2:7" x14ac:dyDescent="0.25">
      <c r="B373" s="470" t="s">
        <v>433</v>
      </c>
      <c r="C373" s="474">
        <v>42761</v>
      </c>
      <c r="D373" s="471">
        <v>19590</v>
      </c>
      <c r="E373" s="476">
        <v>424263</v>
      </c>
      <c r="F373" s="484">
        <v>-8.1848910202712878E-3</v>
      </c>
      <c r="G373" s="467"/>
    </row>
    <row r="374" spans="2:7" x14ac:dyDescent="0.25">
      <c r="B374" s="470" t="s">
        <v>433</v>
      </c>
      <c r="C374" s="474">
        <v>42762</v>
      </c>
      <c r="D374" s="471">
        <v>19295</v>
      </c>
      <c r="E374" s="476">
        <v>606955</v>
      </c>
      <c r="F374" s="484">
        <v>-1.5173236966867289E-2</v>
      </c>
      <c r="G374" s="467"/>
    </row>
    <row r="375" spans="2:7" x14ac:dyDescent="0.25">
      <c r="B375" s="470" t="s">
        <v>433</v>
      </c>
      <c r="C375" s="474">
        <v>42765</v>
      </c>
      <c r="D375" s="471">
        <v>19029</v>
      </c>
      <c r="E375" s="476">
        <v>747659</v>
      </c>
      <c r="F375" s="484">
        <v>-1.3881863669712342E-2</v>
      </c>
      <c r="G375" s="467"/>
    </row>
    <row r="376" spans="2:7" x14ac:dyDescent="0.25">
      <c r="B376" s="470" t="s">
        <v>433</v>
      </c>
      <c r="C376" s="474">
        <v>42766</v>
      </c>
      <c r="D376" s="471">
        <v>19050</v>
      </c>
      <c r="E376" s="476">
        <v>376620</v>
      </c>
      <c r="F376" s="484">
        <v>1.1029702528401108E-3</v>
      </c>
      <c r="G376" s="467"/>
    </row>
    <row r="377" spans="2:7" x14ac:dyDescent="0.25">
      <c r="B377" s="470" t="s">
        <v>433</v>
      </c>
      <c r="C377" s="474">
        <v>42767</v>
      </c>
      <c r="D377" s="471">
        <v>19138</v>
      </c>
      <c r="E377" s="476">
        <v>547564</v>
      </c>
      <c r="F377" s="484">
        <v>4.6087857843611852E-3</v>
      </c>
      <c r="G377" s="467"/>
    </row>
    <row r="378" spans="2:7" x14ac:dyDescent="0.25">
      <c r="B378" s="470" t="s">
        <v>433</v>
      </c>
      <c r="C378" s="474">
        <v>42768</v>
      </c>
      <c r="D378" s="471">
        <v>18463</v>
      </c>
      <c r="E378" s="476">
        <v>1713360</v>
      </c>
      <c r="F378" s="484">
        <v>-3.5907157943465065E-2</v>
      </c>
      <c r="G378" s="467"/>
    </row>
    <row r="379" spans="2:7" x14ac:dyDescent="0.25">
      <c r="B379" s="470" t="s">
        <v>433</v>
      </c>
      <c r="C379" s="474">
        <v>42769</v>
      </c>
      <c r="D379" s="471">
        <v>18551</v>
      </c>
      <c r="E379" s="476">
        <v>831426</v>
      </c>
      <c r="F379" s="484">
        <v>4.7549665426300956E-3</v>
      </c>
      <c r="G379" s="467"/>
    </row>
    <row r="380" spans="2:7" x14ac:dyDescent="0.25">
      <c r="B380" s="470" t="s">
        <v>433</v>
      </c>
      <c r="C380" s="474">
        <v>42772</v>
      </c>
      <c r="D380" s="471">
        <v>18355</v>
      </c>
      <c r="E380" s="476">
        <v>1222617</v>
      </c>
      <c r="F380" s="484">
        <v>-1.0621679007438475E-2</v>
      </c>
      <c r="G380" s="467"/>
    </row>
    <row r="381" spans="2:7" x14ac:dyDescent="0.25">
      <c r="B381" s="470" t="s">
        <v>433</v>
      </c>
      <c r="C381" s="474">
        <v>42773</v>
      </c>
      <c r="D381" s="471">
        <v>17400</v>
      </c>
      <c r="E381" s="476">
        <v>1386113</v>
      </c>
      <c r="F381" s="484">
        <v>-5.3431810728314322E-2</v>
      </c>
      <c r="G381" s="467"/>
    </row>
    <row r="382" spans="2:7" x14ac:dyDescent="0.25">
      <c r="B382" s="470" t="s">
        <v>433</v>
      </c>
      <c r="C382" s="474">
        <v>42774</v>
      </c>
      <c r="D382" s="471">
        <v>17780</v>
      </c>
      <c r="E382" s="476">
        <v>3270504</v>
      </c>
      <c r="F382" s="484">
        <v>2.1604023865275181E-2</v>
      </c>
      <c r="G382" s="467"/>
    </row>
    <row r="383" spans="2:7" x14ac:dyDescent="0.25">
      <c r="B383" s="470" t="s">
        <v>433</v>
      </c>
      <c r="C383" s="474">
        <v>42775</v>
      </c>
      <c r="D383" s="471">
        <v>17586</v>
      </c>
      <c r="E383" s="476">
        <v>798747</v>
      </c>
      <c r="F383" s="484">
        <v>-1.097109912894819E-2</v>
      </c>
      <c r="G383" s="467"/>
    </row>
    <row r="384" spans="2:7" x14ac:dyDescent="0.25">
      <c r="B384" s="470" t="s">
        <v>433</v>
      </c>
      <c r="C384" s="474">
        <v>42776</v>
      </c>
      <c r="D384" s="471">
        <v>17593</v>
      </c>
      <c r="E384" s="476">
        <v>1096436</v>
      </c>
      <c r="F384" s="484">
        <v>3.9796470009860062E-4</v>
      </c>
      <c r="G384" s="467"/>
    </row>
    <row r="385" spans="2:7" x14ac:dyDescent="0.25">
      <c r="B385" s="470" t="s">
        <v>433</v>
      </c>
      <c r="C385" s="474">
        <v>42779</v>
      </c>
      <c r="D385" s="471">
        <v>17947</v>
      </c>
      <c r="E385" s="476">
        <v>353946</v>
      </c>
      <c r="F385" s="484">
        <v>1.992187439023043E-2</v>
      </c>
      <c r="G385" s="467"/>
    </row>
    <row r="386" spans="2:7" x14ac:dyDescent="0.25">
      <c r="B386" s="470" t="s">
        <v>433</v>
      </c>
      <c r="C386" s="474">
        <v>42780</v>
      </c>
      <c r="D386" s="471">
        <v>17595</v>
      </c>
      <c r="E386" s="476">
        <v>1222781</v>
      </c>
      <c r="F386" s="484">
        <v>-1.9808199273590905E-2</v>
      </c>
      <c r="G386" s="467"/>
    </row>
    <row r="387" spans="2:7" x14ac:dyDescent="0.25">
      <c r="B387" s="470" t="s">
        <v>433</v>
      </c>
      <c r="C387" s="474">
        <v>42781</v>
      </c>
      <c r="D387" s="471">
        <v>17844</v>
      </c>
      <c r="E387" s="476">
        <v>828867</v>
      </c>
      <c r="F387" s="484">
        <v>1.4052546492469797E-2</v>
      </c>
      <c r="G387" s="467"/>
    </row>
    <row r="388" spans="2:7" x14ac:dyDescent="0.25">
      <c r="B388" s="470" t="s">
        <v>433</v>
      </c>
      <c r="C388" s="474">
        <v>42782</v>
      </c>
      <c r="D388" s="471">
        <v>18146</v>
      </c>
      <c r="E388" s="476">
        <v>790702</v>
      </c>
      <c r="F388" s="484">
        <v>1.6782833481418759E-2</v>
      </c>
      <c r="G388" s="467"/>
    </row>
    <row r="389" spans="2:7" x14ac:dyDescent="0.25">
      <c r="B389" s="470" t="s">
        <v>433</v>
      </c>
      <c r="C389" s="474">
        <v>42783</v>
      </c>
      <c r="D389" s="471">
        <v>18200</v>
      </c>
      <c r="E389" s="476">
        <v>702263</v>
      </c>
      <c r="F389" s="484">
        <v>2.9714433353125024E-3</v>
      </c>
      <c r="G389" s="467"/>
    </row>
    <row r="390" spans="2:7" x14ac:dyDescent="0.25">
      <c r="B390" s="470" t="s">
        <v>433</v>
      </c>
      <c r="C390" s="474">
        <v>42786</v>
      </c>
      <c r="D390" s="471">
        <v>18344</v>
      </c>
      <c r="E390" s="476">
        <v>556481</v>
      </c>
      <c r="F390" s="484">
        <v>7.8809514728537099E-3</v>
      </c>
      <c r="G390" s="467"/>
    </row>
    <row r="391" spans="2:7" x14ac:dyDescent="0.25">
      <c r="B391" s="470" t="s">
        <v>433</v>
      </c>
      <c r="C391" s="474">
        <v>42787</v>
      </c>
      <c r="D391" s="471">
        <v>18372</v>
      </c>
      <c r="E391" s="476">
        <v>759356</v>
      </c>
      <c r="F391" s="484">
        <v>1.5252209079436763E-3</v>
      </c>
      <c r="G391" s="467"/>
    </row>
    <row r="392" spans="2:7" x14ac:dyDescent="0.25">
      <c r="B392" s="470" t="s">
        <v>433</v>
      </c>
      <c r="C392" s="474">
        <v>42788</v>
      </c>
      <c r="D392" s="471">
        <v>18019</v>
      </c>
      <c r="E392" s="476">
        <v>685394</v>
      </c>
      <c r="F392" s="484">
        <v>-1.9401009718869867E-2</v>
      </c>
      <c r="G392" s="467"/>
    </row>
    <row r="393" spans="2:7" x14ac:dyDescent="0.25">
      <c r="B393" s="470" t="s">
        <v>433</v>
      </c>
      <c r="C393" s="474">
        <v>42789</v>
      </c>
      <c r="D393" s="471">
        <v>18373</v>
      </c>
      <c r="E393" s="476">
        <v>815803</v>
      </c>
      <c r="F393" s="484">
        <v>1.9455438892920611E-2</v>
      </c>
      <c r="G393" s="467"/>
    </row>
    <row r="394" spans="2:7" x14ac:dyDescent="0.25">
      <c r="B394" s="470" t="s">
        <v>433</v>
      </c>
      <c r="C394" s="474">
        <v>42790</v>
      </c>
      <c r="D394" s="471">
        <v>18250</v>
      </c>
      <c r="E394" s="476">
        <v>1086910</v>
      </c>
      <c r="F394" s="484">
        <v>-6.7171156090972562E-3</v>
      </c>
      <c r="G394" s="467"/>
    </row>
    <row r="395" spans="2:7" x14ac:dyDescent="0.25">
      <c r="B395" s="470" t="s">
        <v>433</v>
      </c>
      <c r="C395" s="474">
        <v>42793</v>
      </c>
      <c r="D395" s="471">
        <v>18400</v>
      </c>
      <c r="E395" s="476">
        <v>476266</v>
      </c>
      <c r="F395" s="484">
        <v>8.1855845864395021E-3</v>
      </c>
      <c r="G395" s="467"/>
    </row>
    <row r="396" spans="2:7" x14ac:dyDescent="0.25">
      <c r="B396" s="470" t="s">
        <v>433</v>
      </c>
      <c r="C396" s="474">
        <v>42794</v>
      </c>
      <c r="D396" s="471">
        <v>17850</v>
      </c>
      <c r="E396" s="476">
        <v>1223372</v>
      </c>
      <c r="F396" s="484">
        <v>-3.0347156389291818E-2</v>
      </c>
      <c r="G396" s="467"/>
    </row>
    <row r="397" spans="2:7" x14ac:dyDescent="0.25">
      <c r="B397" s="470" t="s">
        <v>433</v>
      </c>
      <c r="C397" s="474">
        <v>42795</v>
      </c>
      <c r="D397" s="471">
        <v>17975</v>
      </c>
      <c r="E397" s="476">
        <v>597397</v>
      </c>
      <c r="F397" s="484">
        <v>6.9783953814622776E-3</v>
      </c>
      <c r="G397" s="467"/>
    </row>
    <row r="398" spans="2:7" x14ac:dyDescent="0.25">
      <c r="B398" s="470" t="s">
        <v>433</v>
      </c>
      <c r="C398" s="474">
        <v>42796</v>
      </c>
      <c r="D398" s="471">
        <v>17900</v>
      </c>
      <c r="E398" s="476">
        <v>439694</v>
      </c>
      <c r="F398" s="484">
        <v>-4.1811907604010464E-3</v>
      </c>
      <c r="G398" s="467"/>
    </row>
    <row r="399" spans="2:7" x14ac:dyDescent="0.25">
      <c r="B399" s="470" t="s">
        <v>433</v>
      </c>
      <c r="C399" s="474">
        <v>42797</v>
      </c>
      <c r="D399" s="471">
        <v>17986</v>
      </c>
      <c r="E399" s="476">
        <v>492380</v>
      </c>
      <c r="F399" s="484">
        <v>4.7929646456143964E-3</v>
      </c>
      <c r="G399" s="467"/>
    </row>
    <row r="400" spans="2:7" x14ac:dyDescent="0.25">
      <c r="B400" s="470" t="s">
        <v>433</v>
      </c>
      <c r="C400" s="474">
        <v>42800</v>
      </c>
      <c r="D400" s="471">
        <v>18298</v>
      </c>
      <c r="E400" s="476">
        <v>470863</v>
      </c>
      <c r="F400" s="484">
        <v>1.7198086765019799E-2</v>
      </c>
      <c r="G400" s="467"/>
    </row>
    <row r="401" spans="2:7" x14ac:dyDescent="0.25">
      <c r="B401" s="470" t="s">
        <v>433</v>
      </c>
      <c r="C401" s="474">
        <v>42801</v>
      </c>
      <c r="D401" s="471">
        <v>17905</v>
      </c>
      <c r="E401" s="476">
        <v>441369</v>
      </c>
      <c r="F401" s="484">
        <v>-2.1711760806947512E-2</v>
      </c>
      <c r="G401" s="467"/>
    </row>
    <row r="402" spans="2:7" x14ac:dyDescent="0.25">
      <c r="B402" s="470" t="s">
        <v>433</v>
      </c>
      <c r="C402" s="474">
        <v>42802</v>
      </c>
      <c r="D402" s="471">
        <v>17905</v>
      </c>
      <c r="E402" s="476">
        <v>747829</v>
      </c>
      <c r="F402" s="484">
        <v>0</v>
      </c>
      <c r="G402" s="467"/>
    </row>
    <row r="403" spans="2:7" x14ac:dyDescent="0.25">
      <c r="B403" s="470" t="s">
        <v>433</v>
      </c>
      <c r="C403" s="474">
        <v>42803</v>
      </c>
      <c r="D403" s="471">
        <v>18113</v>
      </c>
      <c r="E403" s="476">
        <v>445207</v>
      </c>
      <c r="F403" s="484">
        <v>1.1549909060383484E-2</v>
      </c>
      <c r="G403" s="467"/>
    </row>
    <row r="404" spans="2:7" x14ac:dyDescent="0.25">
      <c r="B404" s="470" t="s">
        <v>433</v>
      </c>
      <c r="C404" s="474">
        <v>42804</v>
      </c>
      <c r="D404" s="471">
        <v>17951</v>
      </c>
      <c r="E404" s="476">
        <v>714569</v>
      </c>
      <c r="F404" s="484">
        <v>-8.9840888218464341E-3</v>
      </c>
      <c r="G404" s="467"/>
    </row>
    <row r="405" spans="2:7" x14ac:dyDescent="0.25">
      <c r="B405" s="470" t="s">
        <v>433</v>
      </c>
      <c r="C405" s="474">
        <v>42807</v>
      </c>
      <c r="D405" s="471">
        <v>18000</v>
      </c>
      <c r="E405" s="476">
        <v>471815</v>
      </c>
      <c r="F405" s="484">
        <v>2.7259342072315776E-3</v>
      </c>
      <c r="G405" s="467"/>
    </row>
    <row r="406" spans="2:7" x14ac:dyDescent="0.25">
      <c r="B406" s="470" t="s">
        <v>433</v>
      </c>
      <c r="C406" s="474">
        <v>42808</v>
      </c>
      <c r="D406" s="471">
        <v>18143</v>
      </c>
      <c r="E406" s="476">
        <v>580563</v>
      </c>
      <c r="F406" s="484">
        <v>7.913053491861494E-3</v>
      </c>
      <c r="G406" s="467"/>
    </row>
    <row r="407" spans="2:7" x14ac:dyDescent="0.25">
      <c r="B407" s="470" t="s">
        <v>433</v>
      </c>
      <c r="C407" s="474">
        <v>42809</v>
      </c>
      <c r="D407" s="471">
        <v>18110</v>
      </c>
      <c r="E407" s="476">
        <v>721096</v>
      </c>
      <c r="F407" s="484">
        <v>-1.8205394927041107E-3</v>
      </c>
      <c r="G407" s="467"/>
    </row>
    <row r="408" spans="2:7" x14ac:dyDescent="0.25">
      <c r="B408" s="470" t="s">
        <v>433</v>
      </c>
      <c r="C408" s="474">
        <v>42810</v>
      </c>
      <c r="D408" s="471">
        <v>18727</v>
      </c>
      <c r="E408" s="476">
        <v>2045465</v>
      </c>
      <c r="F408" s="484">
        <v>3.3502060883049273E-2</v>
      </c>
      <c r="G408" s="467"/>
    </row>
    <row r="409" spans="2:7" x14ac:dyDescent="0.25">
      <c r="B409" s="470" t="s">
        <v>433</v>
      </c>
      <c r="C409" s="474">
        <v>42811</v>
      </c>
      <c r="D409" s="471">
        <v>18661</v>
      </c>
      <c r="E409" s="476">
        <v>1138323</v>
      </c>
      <c r="F409" s="484">
        <v>-3.5305482270367823E-3</v>
      </c>
      <c r="G409" s="467"/>
    </row>
    <row r="410" spans="2:7" x14ac:dyDescent="0.25">
      <c r="B410" s="470" t="s">
        <v>433</v>
      </c>
      <c r="C410" s="474">
        <v>42814</v>
      </c>
      <c r="D410" s="471">
        <v>18443</v>
      </c>
      <c r="E410" s="476">
        <v>464638</v>
      </c>
      <c r="F410" s="484">
        <v>-1.1750889850665651E-2</v>
      </c>
      <c r="G410" s="467"/>
    </row>
    <row r="411" spans="2:7" x14ac:dyDescent="0.25">
      <c r="B411" s="470" t="s">
        <v>433</v>
      </c>
      <c r="C411" s="474">
        <v>42816</v>
      </c>
      <c r="D411" s="471">
        <v>18074</v>
      </c>
      <c r="E411" s="476">
        <v>891870</v>
      </c>
      <c r="F411" s="484">
        <v>-2.0210453220904798E-2</v>
      </c>
      <c r="G411" s="467"/>
    </row>
    <row r="412" spans="2:7" x14ac:dyDescent="0.25">
      <c r="B412" s="470" t="s">
        <v>433</v>
      </c>
      <c r="C412" s="474">
        <v>42817</v>
      </c>
      <c r="D412" s="471">
        <v>18087</v>
      </c>
      <c r="E412" s="476">
        <v>570347</v>
      </c>
      <c r="F412" s="484">
        <v>7.1900669561403556E-4</v>
      </c>
      <c r="G412" s="467"/>
    </row>
    <row r="413" spans="2:7" x14ac:dyDescent="0.25">
      <c r="B413" s="470" t="s">
        <v>433</v>
      </c>
      <c r="C413" s="474">
        <v>42818</v>
      </c>
      <c r="D413" s="471">
        <v>17890</v>
      </c>
      <c r="E413" s="476">
        <v>1033226</v>
      </c>
      <c r="F413" s="484">
        <v>-1.0951550654750409E-2</v>
      </c>
      <c r="G413" s="467"/>
    </row>
    <row r="414" spans="2:7" x14ac:dyDescent="0.25">
      <c r="B414" s="470" t="s">
        <v>433</v>
      </c>
      <c r="C414" s="474">
        <v>42821</v>
      </c>
      <c r="D414" s="471">
        <v>17850</v>
      </c>
      <c r="E414" s="476">
        <v>467098</v>
      </c>
      <c r="F414" s="484">
        <v>-2.2383892949796678E-3</v>
      </c>
      <c r="G414" s="467"/>
    </row>
    <row r="415" spans="2:7" x14ac:dyDescent="0.25">
      <c r="B415" s="470" t="s">
        <v>433</v>
      </c>
      <c r="C415" s="474">
        <v>42822</v>
      </c>
      <c r="D415" s="471">
        <v>17620</v>
      </c>
      <c r="E415" s="476">
        <v>825703</v>
      </c>
      <c r="F415" s="484">
        <v>-1.2968887717614588E-2</v>
      </c>
      <c r="G415" s="467"/>
    </row>
    <row r="416" spans="2:7" x14ac:dyDescent="0.25">
      <c r="B416" s="470" t="s">
        <v>433</v>
      </c>
      <c r="C416" s="474">
        <v>42823</v>
      </c>
      <c r="D416" s="471">
        <v>17840</v>
      </c>
      <c r="E416" s="476">
        <v>555722</v>
      </c>
      <c r="F416" s="484">
        <v>1.2408506643829951E-2</v>
      </c>
      <c r="G416" s="467"/>
    </row>
    <row r="417" spans="2:7" x14ac:dyDescent="0.25">
      <c r="B417" s="470" t="s">
        <v>433</v>
      </c>
      <c r="C417" s="474">
        <v>42824</v>
      </c>
      <c r="D417" s="471">
        <v>17739</v>
      </c>
      <c r="E417" s="476">
        <v>489065</v>
      </c>
      <c r="F417" s="484">
        <v>-5.6775216450607371E-3</v>
      </c>
      <c r="G417" s="467"/>
    </row>
    <row r="418" spans="2:7" x14ac:dyDescent="0.25">
      <c r="B418" s="470" t="s">
        <v>433</v>
      </c>
      <c r="C418" s="474">
        <v>42825</v>
      </c>
      <c r="D418" s="471">
        <v>17426</v>
      </c>
      <c r="E418" s="476">
        <v>1246964</v>
      </c>
      <c r="F418" s="484">
        <v>-1.7802261697707433E-2</v>
      </c>
      <c r="G418" s="467"/>
    </row>
    <row r="419" spans="2:7" x14ac:dyDescent="0.25">
      <c r="B419" s="470" t="s">
        <v>433</v>
      </c>
      <c r="C419" s="474">
        <v>42828</v>
      </c>
      <c r="D419" s="471">
        <v>17630</v>
      </c>
      <c r="E419" s="476">
        <v>871463</v>
      </c>
      <c r="F419" s="484">
        <v>1.1638652600683832E-2</v>
      </c>
      <c r="G419" s="467"/>
    </row>
    <row r="420" spans="2:7" x14ac:dyDescent="0.25">
      <c r="B420" s="470" t="s">
        <v>433</v>
      </c>
      <c r="C420" s="474">
        <v>42829</v>
      </c>
      <c r="D420" s="471">
        <v>17455</v>
      </c>
      <c r="E420" s="476">
        <v>784618</v>
      </c>
      <c r="F420" s="484">
        <v>-9.9758558527795541E-3</v>
      </c>
      <c r="G420" s="467"/>
    </row>
    <row r="421" spans="2:7" x14ac:dyDescent="0.25">
      <c r="B421" s="470" t="s">
        <v>433</v>
      </c>
      <c r="C421" s="474">
        <v>42830</v>
      </c>
      <c r="D421" s="471">
        <v>17221</v>
      </c>
      <c r="E421" s="476">
        <v>1220572</v>
      </c>
      <c r="F421" s="484">
        <v>-1.3496571234236997E-2</v>
      </c>
      <c r="G421" s="467"/>
    </row>
    <row r="422" spans="2:7" x14ac:dyDescent="0.25">
      <c r="B422" s="470" t="s">
        <v>433</v>
      </c>
      <c r="C422" s="474">
        <v>42831</v>
      </c>
      <c r="D422" s="471">
        <v>17100</v>
      </c>
      <c r="E422" s="476">
        <v>475905</v>
      </c>
      <c r="F422" s="484">
        <v>-7.0511058141482516E-3</v>
      </c>
      <c r="G422" s="467"/>
    </row>
    <row r="423" spans="2:7" x14ac:dyDescent="0.25">
      <c r="B423" s="470" t="s">
        <v>433</v>
      </c>
      <c r="C423" s="474">
        <v>42832</v>
      </c>
      <c r="D423" s="471">
        <v>17260</v>
      </c>
      <c r="E423" s="476">
        <v>728598</v>
      </c>
      <c r="F423" s="484">
        <v>9.3132221466676827E-3</v>
      </c>
      <c r="G423" s="467"/>
    </row>
    <row r="424" spans="2:7" x14ac:dyDescent="0.25">
      <c r="B424" s="470" t="s">
        <v>433</v>
      </c>
      <c r="C424" s="474">
        <v>42835</v>
      </c>
      <c r="D424" s="471">
        <v>17003</v>
      </c>
      <c r="E424" s="476">
        <v>629507</v>
      </c>
      <c r="F424" s="484">
        <v>-1.5001886579933128E-2</v>
      </c>
      <c r="G424" s="467"/>
    </row>
    <row r="425" spans="2:7" x14ac:dyDescent="0.25">
      <c r="B425" s="470" t="s">
        <v>433</v>
      </c>
      <c r="C425" s="474">
        <v>42836</v>
      </c>
      <c r="D425" s="471">
        <v>17165</v>
      </c>
      <c r="E425" s="476">
        <v>340362</v>
      </c>
      <c r="F425" s="484">
        <v>9.4826278343065375E-3</v>
      </c>
      <c r="G425" s="467"/>
    </row>
    <row r="426" spans="2:7" x14ac:dyDescent="0.25">
      <c r="B426" s="470" t="s">
        <v>433</v>
      </c>
      <c r="C426" s="474">
        <v>42837</v>
      </c>
      <c r="D426" s="471">
        <v>17688</v>
      </c>
      <c r="E426" s="476">
        <v>519651</v>
      </c>
      <c r="F426" s="484">
        <v>3.0014016645489801E-2</v>
      </c>
      <c r="G426" s="467"/>
    </row>
    <row r="427" spans="2:7" x14ac:dyDescent="0.25">
      <c r="B427" s="470" t="s">
        <v>433</v>
      </c>
      <c r="C427" s="474">
        <v>42838</v>
      </c>
      <c r="D427" s="471">
        <v>18100</v>
      </c>
      <c r="E427" s="476">
        <v>1204981</v>
      </c>
      <c r="F427" s="484">
        <v>2.3025494716634842E-2</v>
      </c>
      <c r="G427" s="467"/>
    </row>
    <row r="428" spans="2:7" x14ac:dyDescent="0.25">
      <c r="B428" s="470" t="s">
        <v>433</v>
      </c>
      <c r="C428" s="474">
        <v>42843</v>
      </c>
      <c r="D428" s="471">
        <v>17900</v>
      </c>
      <c r="E428" s="476">
        <v>643139</v>
      </c>
      <c r="F428" s="484">
        <v>-1.1111225425070722E-2</v>
      </c>
      <c r="G428" s="467"/>
    </row>
    <row r="429" spans="2:7" x14ac:dyDescent="0.25">
      <c r="B429" s="470" t="s">
        <v>433</v>
      </c>
      <c r="C429" s="474">
        <v>42844</v>
      </c>
      <c r="D429" s="471">
        <v>17950</v>
      </c>
      <c r="E429" s="476">
        <v>760710</v>
      </c>
      <c r="F429" s="484">
        <v>2.7894020875785922E-3</v>
      </c>
      <c r="G429" s="467"/>
    </row>
    <row r="430" spans="2:7" x14ac:dyDescent="0.25">
      <c r="B430" s="470" t="s">
        <v>433</v>
      </c>
      <c r="C430" s="474">
        <v>42845</v>
      </c>
      <c r="D430" s="471">
        <v>17850</v>
      </c>
      <c r="E430" s="476">
        <v>430995</v>
      </c>
      <c r="F430" s="484">
        <v>-5.5866067086398231E-3</v>
      </c>
      <c r="G430" s="467"/>
    </row>
    <row r="431" spans="2:7" x14ac:dyDescent="0.25">
      <c r="B431" s="470" t="s">
        <v>433</v>
      </c>
      <c r="C431" s="474">
        <v>42846</v>
      </c>
      <c r="D431" s="471">
        <v>17772</v>
      </c>
      <c r="E431" s="476">
        <v>415607</v>
      </c>
      <c r="F431" s="484">
        <v>-4.3793231519860497E-3</v>
      </c>
      <c r="G431" s="467"/>
    </row>
    <row r="432" spans="2:7" x14ac:dyDescent="0.25">
      <c r="B432" s="470" t="s">
        <v>433</v>
      </c>
      <c r="C432" s="474">
        <v>42849</v>
      </c>
      <c r="D432" s="471">
        <v>18250</v>
      </c>
      <c r="E432" s="476">
        <v>682280</v>
      </c>
      <c r="F432" s="484">
        <v>2.6540894954838485E-2</v>
      </c>
      <c r="G432" s="467"/>
    </row>
    <row r="433" spans="2:7" x14ac:dyDescent="0.25">
      <c r="B433" s="470" t="s">
        <v>433</v>
      </c>
      <c r="C433" s="474">
        <v>42850</v>
      </c>
      <c r="D433" s="471">
        <v>17950</v>
      </c>
      <c r="E433" s="476">
        <v>789510</v>
      </c>
      <c r="F433" s="484">
        <v>-1.6574965094212676E-2</v>
      </c>
      <c r="G433" s="467"/>
    </row>
    <row r="434" spans="2:7" x14ac:dyDescent="0.25">
      <c r="B434" s="470" t="s">
        <v>433</v>
      </c>
      <c r="C434" s="474">
        <v>42851</v>
      </c>
      <c r="D434" s="471">
        <v>17970</v>
      </c>
      <c r="E434" s="476">
        <v>471972</v>
      </c>
      <c r="F434" s="484">
        <v>1.1135858611798202E-3</v>
      </c>
      <c r="G434" s="467"/>
    </row>
    <row r="435" spans="2:7" x14ac:dyDescent="0.25">
      <c r="B435" s="470" t="s">
        <v>433</v>
      </c>
      <c r="C435" s="474">
        <v>42853</v>
      </c>
      <c r="D435" s="471">
        <v>18018</v>
      </c>
      <c r="E435" s="476">
        <v>791637</v>
      </c>
      <c r="F435" s="484">
        <v>2.6675574337804982E-3</v>
      </c>
      <c r="G435" s="467"/>
    </row>
    <row r="436" spans="2:7" x14ac:dyDescent="0.25">
      <c r="B436" s="470" t="s">
        <v>433</v>
      </c>
      <c r="C436" s="474">
        <v>42857</v>
      </c>
      <c r="D436" s="471">
        <v>18275</v>
      </c>
      <c r="E436" s="476">
        <v>444885</v>
      </c>
      <c r="F436" s="484">
        <v>1.4162747406594066E-2</v>
      </c>
      <c r="G436" s="467"/>
    </row>
    <row r="437" spans="2:7" x14ac:dyDescent="0.25">
      <c r="B437" s="470" t="s">
        <v>433</v>
      </c>
      <c r="C437" s="474">
        <v>42858</v>
      </c>
      <c r="D437" s="471">
        <v>18144</v>
      </c>
      <c r="E437" s="476">
        <v>423502</v>
      </c>
      <c r="F437" s="484">
        <v>-7.1940780905006716E-3</v>
      </c>
      <c r="G437" s="467"/>
    </row>
    <row r="438" spans="2:7" x14ac:dyDescent="0.25">
      <c r="B438" s="470" t="s">
        <v>433</v>
      </c>
      <c r="C438" s="474">
        <v>42859</v>
      </c>
      <c r="D438" s="471">
        <v>18052</v>
      </c>
      <c r="E438" s="476">
        <v>537249</v>
      </c>
      <c r="F438" s="484">
        <v>-5.083445580586818E-3</v>
      </c>
      <c r="G438" s="467"/>
    </row>
    <row r="439" spans="2:7" x14ac:dyDescent="0.25">
      <c r="B439" s="470" t="s">
        <v>433</v>
      </c>
      <c r="C439" s="474">
        <v>42860</v>
      </c>
      <c r="D439" s="471">
        <v>18045</v>
      </c>
      <c r="E439" s="476">
        <v>339940</v>
      </c>
      <c r="F439" s="484">
        <v>-3.8784387000286025E-4</v>
      </c>
      <c r="G439" s="467"/>
    </row>
    <row r="440" spans="2:7" x14ac:dyDescent="0.25">
      <c r="B440" s="470" t="s">
        <v>433</v>
      </c>
      <c r="C440" s="474">
        <v>42863</v>
      </c>
      <c r="D440" s="471">
        <v>18201</v>
      </c>
      <c r="E440" s="476">
        <v>325635</v>
      </c>
      <c r="F440" s="484">
        <v>8.6078995335185544E-3</v>
      </c>
      <c r="G440" s="467"/>
    </row>
    <row r="441" spans="2:7" x14ac:dyDescent="0.25">
      <c r="B441" s="470" t="s">
        <v>433</v>
      </c>
      <c r="C441" s="474">
        <v>42864</v>
      </c>
      <c r="D441" s="471">
        <v>17920</v>
      </c>
      <c r="E441" s="476">
        <v>1264233</v>
      </c>
      <c r="F441" s="484">
        <v>-1.5559130081486119E-2</v>
      </c>
      <c r="G441" s="467"/>
    </row>
    <row r="442" spans="2:7" x14ac:dyDescent="0.25">
      <c r="B442" s="470" t="s">
        <v>433</v>
      </c>
      <c r="C442" s="474">
        <v>42865</v>
      </c>
      <c r="D442" s="471">
        <v>17803</v>
      </c>
      <c r="E442" s="476">
        <v>1848708</v>
      </c>
      <c r="F442" s="484">
        <v>-6.5504251240588425E-3</v>
      </c>
      <c r="G442" s="467"/>
    </row>
    <row r="443" spans="2:7" x14ac:dyDescent="0.25">
      <c r="B443" s="470" t="s">
        <v>433</v>
      </c>
      <c r="C443" s="474">
        <v>42866</v>
      </c>
      <c r="D443" s="471">
        <v>17850</v>
      </c>
      <c r="E443" s="476">
        <v>712306</v>
      </c>
      <c r="F443" s="484">
        <v>2.6365258029223773E-3</v>
      </c>
      <c r="G443" s="467"/>
    </row>
    <row r="444" spans="2:7" x14ac:dyDescent="0.25">
      <c r="B444" s="470" t="s">
        <v>433</v>
      </c>
      <c r="C444" s="474">
        <v>42867</v>
      </c>
      <c r="D444" s="471">
        <v>17877</v>
      </c>
      <c r="E444" s="476">
        <v>511374</v>
      </c>
      <c r="F444" s="484">
        <v>1.5114622073035407E-3</v>
      </c>
      <c r="G444" s="467"/>
    </row>
    <row r="445" spans="2:7" x14ac:dyDescent="0.25">
      <c r="B445" s="470" t="s">
        <v>433</v>
      </c>
      <c r="C445" s="474">
        <v>42870</v>
      </c>
      <c r="D445" s="471">
        <v>17750</v>
      </c>
      <c r="E445" s="476">
        <v>298799</v>
      </c>
      <c r="F445" s="484">
        <v>-7.129454511526751E-3</v>
      </c>
      <c r="G445" s="467"/>
    </row>
    <row r="446" spans="2:7" x14ac:dyDescent="0.25">
      <c r="B446" s="470" t="s">
        <v>433</v>
      </c>
      <c r="C446" s="474">
        <v>42871</v>
      </c>
      <c r="D446" s="471">
        <v>17692</v>
      </c>
      <c r="E446" s="476">
        <v>1210624</v>
      </c>
      <c r="F446" s="484">
        <v>-3.2729559153444544E-3</v>
      </c>
      <c r="G446" s="467"/>
    </row>
    <row r="447" spans="2:7" x14ac:dyDescent="0.25">
      <c r="B447" s="470" t="s">
        <v>433</v>
      </c>
      <c r="C447" s="474">
        <v>42872</v>
      </c>
      <c r="D447" s="471">
        <v>17565</v>
      </c>
      <c r="E447" s="476">
        <v>576507</v>
      </c>
      <c r="F447" s="484">
        <v>-7.2042742882900161E-3</v>
      </c>
      <c r="G447" s="467"/>
    </row>
    <row r="448" spans="2:7" x14ac:dyDescent="0.25">
      <c r="B448" s="470" t="s">
        <v>433</v>
      </c>
      <c r="C448" s="474">
        <v>42873</v>
      </c>
      <c r="D448" s="471">
        <v>17400</v>
      </c>
      <c r="E448" s="476">
        <v>1022660</v>
      </c>
      <c r="F448" s="484">
        <v>-9.4380794973070413E-3</v>
      </c>
      <c r="G448" s="467"/>
    </row>
    <row r="449" spans="2:7" x14ac:dyDescent="0.25">
      <c r="B449" s="470" t="s">
        <v>433</v>
      </c>
      <c r="C449" s="474">
        <v>42874</v>
      </c>
      <c r="D449" s="471">
        <v>17508</v>
      </c>
      <c r="E449" s="476">
        <v>874427</v>
      </c>
      <c r="F449" s="484">
        <v>6.1877131081655504E-3</v>
      </c>
      <c r="G449" s="467"/>
    </row>
    <row r="450" spans="2:7" x14ac:dyDescent="0.25">
      <c r="B450" s="470" t="s">
        <v>433</v>
      </c>
      <c r="C450" s="474">
        <v>42877</v>
      </c>
      <c r="D450" s="471">
        <v>17561</v>
      </c>
      <c r="E450" s="476">
        <v>757123</v>
      </c>
      <c r="F450" s="484">
        <v>3.0226148650685995E-3</v>
      </c>
      <c r="G450" s="467"/>
    </row>
    <row r="451" spans="2:7" x14ac:dyDescent="0.25">
      <c r="B451" s="470" t="s">
        <v>433</v>
      </c>
      <c r="C451" s="474">
        <v>42878</v>
      </c>
      <c r="D451" s="471">
        <v>17600</v>
      </c>
      <c r="E451" s="476">
        <v>601753</v>
      </c>
      <c r="F451" s="484">
        <v>2.2183678503885406E-3</v>
      </c>
      <c r="G451" s="467"/>
    </row>
    <row r="452" spans="2:7" x14ac:dyDescent="0.25">
      <c r="B452" s="470" t="s">
        <v>433</v>
      </c>
      <c r="C452" s="474">
        <v>42879</v>
      </c>
      <c r="D452" s="471">
        <v>17229</v>
      </c>
      <c r="E452" s="476">
        <v>1030166</v>
      </c>
      <c r="F452" s="484">
        <v>-2.1304891493836974E-2</v>
      </c>
      <c r="G452" s="467"/>
    </row>
    <row r="453" spans="2:7" x14ac:dyDescent="0.25">
      <c r="B453" s="470" t="s">
        <v>433</v>
      </c>
      <c r="C453" s="474">
        <v>42880</v>
      </c>
      <c r="D453" s="471">
        <v>17220</v>
      </c>
      <c r="E453" s="476">
        <v>2475151</v>
      </c>
      <c r="F453" s="484">
        <v>-5.225115506843766E-4</v>
      </c>
      <c r="G453" s="467"/>
    </row>
    <row r="454" spans="2:7" x14ac:dyDescent="0.25">
      <c r="B454" s="470" t="s">
        <v>433</v>
      </c>
      <c r="C454" s="474">
        <v>42881</v>
      </c>
      <c r="D454" s="471">
        <v>17400</v>
      </c>
      <c r="E454" s="476">
        <v>1154294</v>
      </c>
      <c r="F454" s="484">
        <v>1.0398707220898517E-2</v>
      </c>
      <c r="G454" s="467"/>
    </row>
    <row r="455" spans="2:7" x14ac:dyDescent="0.25">
      <c r="B455" s="470" t="s">
        <v>433</v>
      </c>
      <c r="C455" s="474">
        <v>42884</v>
      </c>
      <c r="D455" s="471">
        <v>17401</v>
      </c>
      <c r="E455" s="476">
        <v>252488</v>
      </c>
      <c r="F455" s="484">
        <v>5.746961295788363E-5</v>
      </c>
      <c r="G455" s="467"/>
    </row>
    <row r="456" spans="2:7" x14ac:dyDescent="0.25">
      <c r="B456" s="470" t="s">
        <v>433</v>
      </c>
      <c r="C456" s="474">
        <v>42885</v>
      </c>
      <c r="D456" s="471">
        <v>17578</v>
      </c>
      <c r="E456" s="476">
        <v>423554</v>
      </c>
      <c r="F456" s="484">
        <v>1.0120444309012256E-2</v>
      </c>
      <c r="G456" s="467"/>
    </row>
    <row r="457" spans="2:7" x14ac:dyDescent="0.25">
      <c r="B457" s="470" t="s">
        <v>433</v>
      </c>
      <c r="C457" s="474">
        <v>42886</v>
      </c>
      <c r="D457" s="471">
        <v>17092</v>
      </c>
      <c r="E457" s="476">
        <v>2931847</v>
      </c>
      <c r="F457" s="484">
        <v>-2.8037602360674943E-2</v>
      </c>
      <c r="G457" s="467"/>
    </row>
    <row r="458" spans="2:7" x14ac:dyDescent="0.25">
      <c r="B458" s="470" t="s">
        <v>433</v>
      </c>
      <c r="C458" s="474">
        <v>42887</v>
      </c>
      <c r="D458" s="471">
        <v>16025</v>
      </c>
      <c r="E458" s="476">
        <v>2507576</v>
      </c>
      <c r="F458" s="484">
        <v>-6.4460514975044736E-2</v>
      </c>
      <c r="G458" s="467"/>
    </row>
    <row r="459" spans="2:7" x14ac:dyDescent="0.25">
      <c r="B459" s="470" t="s">
        <v>433</v>
      </c>
      <c r="C459" s="474">
        <v>42888</v>
      </c>
      <c r="D459" s="471">
        <v>16077</v>
      </c>
      <c r="E459" s="476">
        <v>4692908</v>
      </c>
      <c r="F459" s="484">
        <v>3.2396763740892018E-3</v>
      </c>
      <c r="G459" s="467"/>
    </row>
    <row r="460" spans="2:7" x14ac:dyDescent="0.25">
      <c r="B460" s="470" t="s">
        <v>433</v>
      </c>
      <c r="C460" s="474">
        <v>42891</v>
      </c>
      <c r="D460" s="471">
        <v>15805</v>
      </c>
      <c r="E460" s="476">
        <v>1008954</v>
      </c>
      <c r="F460" s="484">
        <v>-1.7063333513241838E-2</v>
      </c>
      <c r="G460" s="467"/>
    </row>
    <row r="461" spans="2:7" x14ac:dyDescent="0.25">
      <c r="B461" s="470" t="s">
        <v>433</v>
      </c>
      <c r="C461" s="474">
        <v>42892</v>
      </c>
      <c r="D461" s="471">
        <v>15550</v>
      </c>
      <c r="E461" s="476">
        <v>2293218</v>
      </c>
      <c r="F461" s="484">
        <v>-1.6265707042337867E-2</v>
      </c>
      <c r="G461" s="467"/>
    </row>
    <row r="462" spans="2:7" x14ac:dyDescent="0.25">
      <c r="B462" s="470" t="s">
        <v>433</v>
      </c>
      <c r="C462" s="474">
        <v>42893</v>
      </c>
      <c r="D462" s="471">
        <v>15494</v>
      </c>
      <c r="E462" s="476">
        <v>4951895</v>
      </c>
      <c r="F462" s="484">
        <v>-3.6077864155323433E-3</v>
      </c>
      <c r="G462" s="467"/>
    </row>
    <row r="463" spans="2:7" x14ac:dyDescent="0.25">
      <c r="B463" s="470" t="s">
        <v>433</v>
      </c>
      <c r="C463" s="474">
        <v>42894</v>
      </c>
      <c r="D463" s="471">
        <v>15440</v>
      </c>
      <c r="E463" s="476">
        <v>1209480</v>
      </c>
      <c r="F463" s="484">
        <v>-3.49130761308065E-3</v>
      </c>
      <c r="G463" s="467"/>
    </row>
    <row r="464" spans="2:7" x14ac:dyDescent="0.25">
      <c r="B464" s="470" t="s">
        <v>433</v>
      </c>
      <c r="C464" s="474">
        <v>42895</v>
      </c>
      <c r="D464" s="471">
        <v>15515</v>
      </c>
      <c r="E464" s="476">
        <v>1160299</v>
      </c>
      <c r="F464" s="484">
        <v>4.8457533037134281E-3</v>
      </c>
      <c r="G464" s="467"/>
    </row>
    <row r="465" spans="2:7" x14ac:dyDescent="0.25">
      <c r="B465" s="470" t="s">
        <v>433</v>
      </c>
      <c r="C465" s="474">
        <v>42898</v>
      </c>
      <c r="D465" s="471">
        <v>15568</v>
      </c>
      <c r="E465" s="476">
        <v>1103405</v>
      </c>
      <c r="F465" s="484">
        <v>3.4102275433057277E-3</v>
      </c>
      <c r="G465" s="467"/>
    </row>
    <row r="466" spans="2:7" x14ac:dyDescent="0.25">
      <c r="B466" s="470" t="s">
        <v>433</v>
      </c>
      <c r="C466" s="474">
        <v>42899</v>
      </c>
      <c r="D466" s="471">
        <v>15600</v>
      </c>
      <c r="E466" s="476">
        <v>808996</v>
      </c>
      <c r="F466" s="484">
        <v>2.0533888118420066E-3</v>
      </c>
      <c r="G466" s="467"/>
    </row>
    <row r="467" spans="2:7" x14ac:dyDescent="0.25">
      <c r="B467" s="470" t="s">
        <v>433</v>
      </c>
      <c r="C467" s="474">
        <v>42900</v>
      </c>
      <c r="D467" s="471">
        <v>15565</v>
      </c>
      <c r="E467" s="476">
        <v>1576910</v>
      </c>
      <c r="F467" s="484">
        <v>-2.2461103619198629E-3</v>
      </c>
      <c r="G467" s="467"/>
    </row>
    <row r="468" spans="2:7" x14ac:dyDescent="0.25">
      <c r="B468" s="470" t="s">
        <v>433</v>
      </c>
      <c r="C468" s="474">
        <v>42901</v>
      </c>
      <c r="D468" s="471">
        <v>15250</v>
      </c>
      <c r="E468" s="476">
        <v>2512259</v>
      </c>
      <c r="F468" s="484">
        <v>-2.0445300840150834E-2</v>
      </c>
      <c r="G468" s="467"/>
    </row>
    <row r="469" spans="2:7" x14ac:dyDescent="0.25">
      <c r="B469" s="470" t="s">
        <v>433</v>
      </c>
      <c r="C469" s="474">
        <v>42905</v>
      </c>
      <c r="D469" s="471">
        <v>15250</v>
      </c>
      <c r="E469" s="476">
        <v>654496</v>
      </c>
      <c r="F469" s="484">
        <v>0</v>
      </c>
      <c r="G469" s="467"/>
    </row>
    <row r="470" spans="2:7" x14ac:dyDescent="0.25">
      <c r="B470" s="470" t="s">
        <v>433</v>
      </c>
      <c r="C470" s="474">
        <v>42906</v>
      </c>
      <c r="D470" s="471">
        <v>15288</v>
      </c>
      <c r="E470" s="476">
        <v>592354</v>
      </c>
      <c r="F470" s="484">
        <v>2.4887038845512353E-3</v>
      </c>
      <c r="G470" s="467"/>
    </row>
    <row r="471" spans="2:7" x14ac:dyDescent="0.25">
      <c r="B471" s="470" t="s">
        <v>433</v>
      </c>
      <c r="C471" s="474">
        <v>42907</v>
      </c>
      <c r="D471" s="471">
        <v>15227</v>
      </c>
      <c r="E471" s="476">
        <v>1612369</v>
      </c>
      <c r="F471" s="484">
        <v>-3.998039079376561E-3</v>
      </c>
      <c r="G471" s="467"/>
    </row>
    <row r="472" spans="2:7" x14ac:dyDescent="0.25">
      <c r="B472" s="470" t="s">
        <v>433</v>
      </c>
      <c r="C472" s="474">
        <v>42908</v>
      </c>
      <c r="D472" s="471">
        <v>15225</v>
      </c>
      <c r="E472" s="476">
        <v>973783</v>
      </c>
      <c r="F472" s="484">
        <v>-1.3135426263466337E-4</v>
      </c>
      <c r="G472" s="467"/>
    </row>
    <row r="473" spans="2:7" x14ac:dyDescent="0.25">
      <c r="B473" s="470" t="s">
        <v>433</v>
      </c>
      <c r="C473" s="474">
        <v>42909</v>
      </c>
      <c r="D473" s="471">
        <v>15352</v>
      </c>
      <c r="E473" s="476">
        <v>546110</v>
      </c>
      <c r="F473" s="484">
        <v>8.3069451094380867E-3</v>
      </c>
      <c r="G473" s="467"/>
    </row>
    <row r="474" spans="2:7" x14ac:dyDescent="0.25">
      <c r="B474" s="470" t="s">
        <v>433</v>
      </c>
      <c r="C474" s="474">
        <v>42912</v>
      </c>
      <c r="D474" s="471">
        <v>15399</v>
      </c>
      <c r="E474" s="476">
        <v>1184674</v>
      </c>
      <c r="F474" s="484">
        <v>3.0568135408770183E-3</v>
      </c>
      <c r="G474" s="467"/>
    </row>
    <row r="475" spans="2:7" x14ac:dyDescent="0.25">
      <c r="B475" s="470" t="s">
        <v>433</v>
      </c>
      <c r="C475" s="474">
        <v>42913</v>
      </c>
      <c r="D475" s="471">
        <v>15400</v>
      </c>
      <c r="E475" s="476">
        <v>568258</v>
      </c>
      <c r="F475" s="484">
        <v>6.4937173307659055E-5</v>
      </c>
      <c r="G475" s="467"/>
    </row>
    <row r="476" spans="2:7" x14ac:dyDescent="0.25">
      <c r="B476" s="470" t="s">
        <v>433</v>
      </c>
      <c r="C476" s="474">
        <v>42914</v>
      </c>
      <c r="D476" s="471">
        <v>15390</v>
      </c>
      <c r="E476" s="476">
        <v>988600</v>
      </c>
      <c r="F476" s="484">
        <v>-6.4956156879564502E-4</v>
      </c>
      <c r="G476" s="467"/>
    </row>
    <row r="477" spans="2:7" x14ac:dyDescent="0.25">
      <c r="B477" s="470" t="s">
        <v>433</v>
      </c>
      <c r="C477" s="474">
        <v>42915</v>
      </c>
      <c r="D477" s="471">
        <v>15384</v>
      </c>
      <c r="E477" s="476">
        <v>994661</v>
      </c>
      <c r="F477" s="484">
        <v>-3.8993956430923899E-4</v>
      </c>
      <c r="G477" s="467"/>
    </row>
    <row r="478" spans="2:7" x14ac:dyDescent="0.25">
      <c r="B478" s="470" t="s">
        <v>433</v>
      </c>
      <c r="C478" s="474">
        <v>42916</v>
      </c>
      <c r="D478" s="471">
        <v>15411</v>
      </c>
      <c r="E478" s="476">
        <v>432807</v>
      </c>
      <c r="F478" s="484">
        <v>1.7535318667619595E-3</v>
      </c>
      <c r="G478" s="467"/>
    </row>
    <row r="479" spans="2:7" x14ac:dyDescent="0.25">
      <c r="B479" s="470" t="s">
        <v>433</v>
      </c>
      <c r="C479" s="474">
        <v>42919</v>
      </c>
      <c r="D479" s="471">
        <v>15400</v>
      </c>
      <c r="E479" s="476">
        <v>718682</v>
      </c>
      <c r="F479" s="484">
        <v>-7.1403073365706277E-4</v>
      </c>
      <c r="G479" s="467"/>
    </row>
    <row r="480" spans="2:7" x14ac:dyDescent="0.25">
      <c r="B480" s="470" t="s">
        <v>433</v>
      </c>
      <c r="C480" s="474">
        <v>42920</v>
      </c>
      <c r="D480" s="471">
        <v>15563</v>
      </c>
      <c r="E480" s="476">
        <v>784946</v>
      </c>
      <c r="F480" s="484">
        <v>1.0528792803289366E-2</v>
      </c>
      <c r="G480" s="467"/>
    </row>
    <row r="481" spans="2:7" x14ac:dyDescent="0.25">
      <c r="B481" s="470" t="s">
        <v>433</v>
      </c>
      <c r="C481" s="474">
        <v>42921</v>
      </c>
      <c r="D481" s="471">
        <v>15414</v>
      </c>
      <c r="E481" s="476">
        <v>1228869</v>
      </c>
      <c r="F481" s="484">
        <v>-9.6201148670714276E-3</v>
      </c>
      <c r="G481" s="467"/>
    </row>
    <row r="482" spans="2:7" x14ac:dyDescent="0.25">
      <c r="B482" s="470" t="s">
        <v>433</v>
      </c>
      <c r="C482" s="474">
        <v>42922</v>
      </c>
      <c r="D482" s="471">
        <v>15475</v>
      </c>
      <c r="E482" s="476">
        <v>259042</v>
      </c>
      <c r="F482" s="484">
        <v>3.9496312148581975E-3</v>
      </c>
      <c r="G482" s="467"/>
    </row>
    <row r="483" spans="2:7" x14ac:dyDescent="0.25">
      <c r="B483" s="470" t="s">
        <v>433</v>
      </c>
      <c r="C483" s="474">
        <v>42923</v>
      </c>
      <c r="D483" s="471">
        <v>15515</v>
      </c>
      <c r="E483" s="476">
        <v>440052</v>
      </c>
      <c r="F483" s="484">
        <v>2.5814793296836925E-3</v>
      </c>
      <c r="G483" s="467"/>
    </row>
    <row r="484" spans="2:7" x14ac:dyDescent="0.25">
      <c r="B484" s="470" t="s">
        <v>433</v>
      </c>
      <c r="C484" s="474">
        <v>42926</v>
      </c>
      <c r="D484" s="471">
        <v>15401</v>
      </c>
      <c r="E484" s="476">
        <v>314208</v>
      </c>
      <c r="F484" s="484">
        <v>-7.3748555240150107E-3</v>
      </c>
      <c r="G484" s="467"/>
    </row>
    <row r="485" spans="2:7" x14ac:dyDescent="0.25">
      <c r="B485" s="470" t="s">
        <v>433</v>
      </c>
      <c r="C485" s="474">
        <v>42927</v>
      </c>
      <c r="D485" s="471">
        <v>15320</v>
      </c>
      <c r="E485" s="476">
        <v>481953</v>
      </c>
      <c r="F485" s="484">
        <v>-5.2732780638832331E-3</v>
      </c>
      <c r="G485" s="467"/>
    </row>
    <row r="486" spans="2:7" x14ac:dyDescent="0.25">
      <c r="B486" s="470" t="s">
        <v>433</v>
      </c>
      <c r="C486" s="474">
        <v>42928</v>
      </c>
      <c r="D486" s="471">
        <v>15409</v>
      </c>
      <c r="E486" s="476">
        <v>508388</v>
      </c>
      <c r="F486" s="484">
        <v>5.7925899872710868E-3</v>
      </c>
      <c r="G486" s="467"/>
    </row>
    <row r="487" spans="2:7" x14ac:dyDescent="0.25">
      <c r="B487" s="470" t="s">
        <v>433</v>
      </c>
      <c r="C487" s="474">
        <v>42929</v>
      </c>
      <c r="D487" s="471">
        <v>15599</v>
      </c>
      <c r="E487" s="476">
        <v>702522</v>
      </c>
      <c r="F487" s="484">
        <v>1.2255055337015354E-2</v>
      </c>
      <c r="G487" s="467"/>
    </row>
    <row r="488" spans="2:7" x14ac:dyDescent="0.25">
      <c r="B488" s="470" t="s">
        <v>433</v>
      </c>
      <c r="C488" s="474">
        <v>42930</v>
      </c>
      <c r="D488" s="471">
        <v>16070</v>
      </c>
      <c r="E488" s="476">
        <v>514321</v>
      </c>
      <c r="F488" s="484">
        <v>2.9747370112689488E-2</v>
      </c>
      <c r="G488" s="467"/>
    </row>
    <row r="489" spans="2:7" x14ac:dyDescent="0.25">
      <c r="B489" s="470" t="s">
        <v>433</v>
      </c>
      <c r="C489" s="474">
        <v>42933</v>
      </c>
      <c r="D489" s="471">
        <v>16032</v>
      </c>
      <c r="E489" s="476">
        <v>737206</v>
      </c>
      <c r="F489" s="484">
        <v>-2.3674548469669724E-3</v>
      </c>
      <c r="G489" s="467"/>
    </row>
    <row r="490" spans="2:7" x14ac:dyDescent="0.25">
      <c r="B490" s="470" t="s">
        <v>433</v>
      </c>
      <c r="C490" s="474">
        <v>42934</v>
      </c>
      <c r="D490" s="471">
        <v>16245</v>
      </c>
      <c r="E490" s="476">
        <v>782947</v>
      </c>
      <c r="F490" s="484">
        <v>1.3198444218609301E-2</v>
      </c>
      <c r="G490" s="467"/>
    </row>
    <row r="491" spans="2:7" x14ac:dyDescent="0.25">
      <c r="B491" s="470" t="s">
        <v>433</v>
      </c>
      <c r="C491" s="474">
        <v>42935</v>
      </c>
      <c r="D491" s="471">
        <v>16250</v>
      </c>
      <c r="E491" s="476">
        <v>894800</v>
      </c>
      <c r="F491" s="484">
        <v>3.0773965468286355E-4</v>
      </c>
      <c r="G491" s="467"/>
    </row>
    <row r="492" spans="2:7" x14ac:dyDescent="0.25">
      <c r="B492" s="470" t="s">
        <v>433</v>
      </c>
      <c r="C492" s="474">
        <v>42936</v>
      </c>
      <c r="D492" s="471">
        <v>16705</v>
      </c>
      <c r="E492" s="476">
        <v>715806</v>
      </c>
      <c r="F492" s="484">
        <v>2.7615167032973391E-2</v>
      </c>
      <c r="G492" s="467"/>
    </row>
    <row r="493" spans="2:7" x14ac:dyDescent="0.25">
      <c r="B493" s="470" t="s">
        <v>433</v>
      </c>
      <c r="C493" s="474">
        <v>42937</v>
      </c>
      <c r="D493" s="471">
        <v>16551</v>
      </c>
      <c r="E493" s="476">
        <v>456028</v>
      </c>
      <c r="F493" s="484">
        <v>-9.2615528503164016E-3</v>
      </c>
      <c r="G493" s="467"/>
    </row>
    <row r="494" spans="2:7" x14ac:dyDescent="0.25">
      <c r="B494" s="470" t="s">
        <v>433</v>
      </c>
      <c r="C494" s="474">
        <v>42940</v>
      </c>
      <c r="D494" s="471">
        <v>16391</v>
      </c>
      <c r="E494" s="476">
        <v>284410</v>
      </c>
      <c r="F494" s="484">
        <v>-9.7141192511803528E-3</v>
      </c>
      <c r="G494" s="467"/>
    </row>
    <row r="495" spans="2:7" x14ac:dyDescent="0.25">
      <c r="B495" s="470" t="s">
        <v>433</v>
      </c>
      <c r="C495" s="474">
        <v>42941</v>
      </c>
      <c r="D495" s="471">
        <v>16003</v>
      </c>
      <c r="E495" s="476">
        <v>510620</v>
      </c>
      <c r="F495" s="484">
        <v>-2.3956199043369882E-2</v>
      </c>
      <c r="G495" s="467"/>
    </row>
    <row r="496" spans="2:7" x14ac:dyDescent="0.25">
      <c r="B496" s="470" t="s">
        <v>433</v>
      </c>
      <c r="C496" s="474">
        <v>42942</v>
      </c>
      <c r="D496" s="471">
        <v>15994</v>
      </c>
      <c r="E496" s="476">
        <v>982942</v>
      </c>
      <c r="F496" s="484">
        <v>-5.6255275415503792E-4</v>
      </c>
      <c r="G496" s="467"/>
    </row>
    <row r="497" spans="2:7" x14ac:dyDescent="0.25">
      <c r="B497" s="470" t="s">
        <v>433</v>
      </c>
      <c r="C497" s="474">
        <v>42943</v>
      </c>
      <c r="D497" s="471">
        <v>16297</v>
      </c>
      <c r="E497" s="476">
        <v>966462</v>
      </c>
      <c r="F497" s="484">
        <v>1.8767389884153642E-2</v>
      </c>
      <c r="G497" s="467"/>
    </row>
    <row r="498" spans="2:7" x14ac:dyDescent="0.25">
      <c r="B498" s="470" t="s">
        <v>433</v>
      </c>
      <c r="C498" s="474">
        <v>42944</v>
      </c>
      <c r="D498" s="471">
        <v>16605</v>
      </c>
      <c r="E498" s="476">
        <v>351356</v>
      </c>
      <c r="F498" s="484">
        <v>1.8722813034858093E-2</v>
      </c>
      <c r="G498" s="467"/>
    </row>
    <row r="499" spans="2:7" x14ac:dyDescent="0.25">
      <c r="B499" s="470" t="s">
        <v>433</v>
      </c>
      <c r="C499" s="474">
        <v>42947</v>
      </c>
      <c r="D499" s="471">
        <v>16515</v>
      </c>
      <c r="E499" s="476">
        <v>780674</v>
      </c>
      <c r="F499" s="484">
        <v>-5.4347959859569446E-3</v>
      </c>
      <c r="G499" s="467"/>
    </row>
    <row r="500" spans="2:7" x14ac:dyDescent="0.25">
      <c r="B500" s="470" t="s">
        <v>433</v>
      </c>
      <c r="C500" s="474">
        <v>42948</v>
      </c>
      <c r="D500" s="471">
        <v>16500</v>
      </c>
      <c r="E500" s="476">
        <v>856714</v>
      </c>
      <c r="F500" s="484">
        <v>-9.0867793621806432E-4</v>
      </c>
      <c r="G500" s="467"/>
    </row>
    <row r="501" spans="2:7" x14ac:dyDescent="0.25">
      <c r="B501" s="470" t="s">
        <v>433</v>
      </c>
      <c r="C501" s="474">
        <v>42949</v>
      </c>
      <c r="D501" s="471">
        <v>16800</v>
      </c>
      <c r="E501" s="476">
        <v>602251</v>
      </c>
      <c r="F501" s="484">
        <v>1.8018505502678212E-2</v>
      </c>
      <c r="G501" s="467"/>
    </row>
    <row r="502" spans="2:7" x14ac:dyDescent="0.25">
      <c r="B502" s="470" t="s">
        <v>433</v>
      </c>
      <c r="C502" s="474">
        <v>42950</v>
      </c>
      <c r="D502" s="471">
        <v>16949</v>
      </c>
      <c r="E502" s="476">
        <v>470875</v>
      </c>
      <c r="F502" s="484">
        <v>8.8299486267041077E-3</v>
      </c>
      <c r="G502" s="467"/>
    </row>
    <row r="503" spans="2:7" x14ac:dyDescent="0.25">
      <c r="B503" s="470" t="s">
        <v>433</v>
      </c>
      <c r="C503" s="474">
        <v>42951</v>
      </c>
      <c r="D503" s="471">
        <v>16931</v>
      </c>
      <c r="E503" s="476">
        <v>413281</v>
      </c>
      <c r="F503" s="484">
        <v>-1.0625738898225757E-3</v>
      </c>
      <c r="G503" s="467"/>
    </row>
    <row r="504" spans="2:7" x14ac:dyDescent="0.25">
      <c r="B504" s="470" t="s">
        <v>433</v>
      </c>
      <c r="C504" s="474">
        <v>42954</v>
      </c>
      <c r="D504" s="471">
        <v>16800</v>
      </c>
      <c r="E504" s="476">
        <v>522783</v>
      </c>
      <c r="F504" s="484">
        <v>-7.7673747368815034E-3</v>
      </c>
      <c r="G504" s="467"/>
    </row>
    <row r="505" spans="2:7" x14ac:dyDescent="0.25">
      <c r="B505" s="470" t="s">
        <v>433</v>
      </c>
      <c r="C505" s="474">
        <v>42955</v>
      </c>
      <c r="D505" s="471">
        <v>16805</v>
      </c>
      <c r="E505" s="476">
        <v>801857</v>
      </c>
      <c r="F505" s="484">
        <v>2.975747678558542E-4</v>
      </c>
      <c r="G505" s="467"/>
    </row>
    <row r="506" spans="2:7" x14ac:dyDescent="0.25">
      <c r="B506" s="470" t="s">
        <v>433</v>
      </c>
      <c r="C506" s="474">
        <v>42957</v>
      </c>
      <c r="D506" s="471">
        <v>16662</v>
      </c>
      <c r="E506" s="476">
        <v>426592</v>
      </c>
      <c r="F506" s="484">
        <v>-8.5457836243515196E-3</v>
      </c>
      <c r="G506" s="467"/>
    </row>
    <row r="507" spans="2:7" x14ac:dyDescent="0.25">
      <c r="B507" s="470" t="s">
        <v>433</v>
      </c>
      <c r="C507" s="474">
        <v>42958</v>
      </c>
      <c r="D507" s="471">
        <v>16665</v>
      </c>
      <c r="E507" s="476">
        <v>493765</v>
      </c>
      <c r="F507" s="484">
        <v>1.8003420698562144E-4</v>
      </c>
      <c r="G507" s="467"/>
    </row>
    <row r="508" spans="2:7" x14ac:dyDescent="0.25">
      <c r="B508" s="470" t="s">
        <v>433</v>
      </c>
      <c r="C508" s="474">
        <v>42961</v>
      </c>
      <c r="D508" s="471">
        <v>16734</v>
      </c>
      <c r="E508" s="476">
        <v>267850</v>
      </c>
      <c r="F508" s="484">
        <v>4.1318661137038368E-3</v>
      </c>
      <c r="G508" s="467"/>
    </row>
    <row r="509" spans="2:7" x14ac:dyDescent="0.25">
      <c r="B509" s="470" t="s">
        <v>433</v>
      </c>
      <c r="C509" s="474">
        <v>42962</v>
      </c>
      <c r="D509" s="471">
        <v>16837</v>
      </c>
      <c r="E509" s="476">
        <v>270575</v>
      </c>
      <c r="F509" s="484">
        <v>6.1362678022556932E-3</v>
      </c>
      <c r="G509" s="467"/>
    </row>
    <row r="510" spans="2:7" x14ac:dyDescent="0.25">
      <c r="B510" s="470" t="s">
        <v>433</v>
      </c>
      <c r="C510" s="474">
        <v>42963</v>
      </c>
      <c r="D510" s="471">
        <v>16704</v>
      </c>
      <c r="E510" s="476">
        <v>455002</v>
      </c>
      <c r="F510" s="484">
        <v>-7.9306339754344462E-3</v>
      </c>
      <c r="G510" s="467"/>
    </row>
    <row r="511" spans="2:7" x14ac:dyDescent="0.25">
      <c r="B511" s="470" t="s">
        <v>433</v>
      </c>
      <c r="C511" s="474">
        <v>42964</v>
      </c>
      <c r="D511" s="471">
        <v>16800</v>
      </c>
      <c r="E511" s="476">
        <v>421825</v>
      </c>
      <c r="F511" s="484">
        <v>5.7306747089850745E-3</v>
      </c>
      <c r="G511" s="467"/>
    </row>
    <row r="512" spans="2:7" x14ac:dyDescent="0.25">
      <c r="B512" s="470" t="s">
        <v>433</v>
      </c>
      <c r="C512" s="474">
        <v>42965</v>
      </c>
      <c r="D512" s="471">
        <v>16814</v>
      </c>
      <c r="E512" s="476">
        <v>230778</v>
      </c>
      <c r="F512" s="484">
        <v>8.3298630389177098E-4</v>
      </c>
      <c r="G512" s="467"/>
    </row>
    <row r="513" spans="2:7" x14ac:dyDescent="0.25">
      <c r="B513" s="470" t="s">
        <v>433</v>
      </c>
      <c r="C513" s="474">
        <v>42968</v>
      </c>
      <c r="D513" s="471">
        <v>17115</v>
      </c>
      <c r="E513" s="476">
        <v>341557</v>
      </c>
      <c r="F513" s="484">
        <v>1.7743399269043576E-2</v>
      </c>
      <c r="G513" s="467"/>
    </row>
    <row r="514" spans="2:7" x14ac:dyDescent="0.25">
      <c r="B514" s="470" t="s">
        <v>433</v>
      </c>
      <c r="C514" s="474">
        <v>42969</v>
      </c>
      <c r="D514" s="471">
        <v>17412</v>
      </c>
      <c r="E514" s="476">
        <v>477602</v>
      </c>
      <c r="F514" s="484">
        <v>1.7204351707902386E-2</v>
      </c>
      <c r="G514" s="467"/>
    </row>
    <row r="515" spans="2:7" x14ac:dyDescent="0.25">
      <c r="B515" s="470" t="s">
        <v>433</v>
      </c>
      <c r="C515" s="474">
        <v>42970</v>
      </c>
      <c r="D515" s="471">
        <v>17200</v>
      </c>
      <c r="E515" s="476">
        <v>618561</v>
      </c>
      <c r="F515" s="484">
        <v>-1.2250239870643732E-2</v>
      </c>
      <c r="G515" s="467"/>
    </row>
    <row r="516" spans="2:7" x14ac:dyDescent="0.25">
      <c r="B516" s="470" t="s">
        <v>433</v>
      </c>
      <c r="C516" s="474">
        <v>42971</v>
      </c>
      <c r="D516" s="471">
        <v>17561</v>
      </c>
      <c r="E516" s="476">
        <v>493845</v>
      </c>
      <c r="F516" s="484">
        <v>2.0771150374310248E-2</v>
      </c>
      <c r="G516" s="467"/>
    </row>
    <row r="517" spans="2:7" x14ac:dyDescent="0.25">
      <c r="B517" s="470" t="s">
        <v>433</v>
      </c>
      <c r="C517" s="474">
        <v>42972</v>
      </c>
      <c r="D517" s="471">
        <v>17243</v>
      </c>
      <c r="E517" s="476">
        <v>308295</v>
      </c>
      <c r="F517" s="484">
        <v>-1.8274270175723036E-2</v>
      </c>
      <c r="G517" s="467"/>
    </row>
    <row r="518" spans="2:7" x14ac:dyDescent="0.25">
      <c r="B518" s="470" t="s">
        <v>433</v>
      </c>
      <c r="C518" s="474">
        <v>42975</v>
      </c>
      <c r="D518" s="471">
        <v>17150</v>
      </c>
      <c r="E518" s="476">
        <v>338075</v>
      </c>
      <c r="F518" s="484">
        <v>-5.4080904060456562E-3</v>
      </c>
      <c r="G518" s="467"/>
    </row>
    <row r="519" spans="2:7" x14ac:dyDescent="0.25">
      <c r="B519" s="470" t="s">
        <v>433</v>
      </c>
      <c r="C519" s="474">
        <v>42976</v>
      </c>
      <c r="D519" s="471">
        <v>17170</v>
      </c>
      <c r="E519" s="476">
        <v>849516</v>
      </c>
      <c r="F519" s="484">
        <v>1.1655012974351919E-3</v>
      </c>
      <c r="G519" s="467"/>
    </row>
    <row r="520" spans="2:7" x14ac:dyDescent="0.25">
      <c r="B520" s="470" t="s">
        <v>433</v>
      </c>
      <c r="C520" s="474">
        <v>42977</v>
      </c>
      <c r="D520" s="471">
        <v>16800</v>
      </c>
      <c r="E520" s="476">
        <v>1120067</v>
      </c>
      <c r="F520" s="484">
        <v>-2.1784788500170949E-2</v>
      </c>
      <c r="G520" s="467"/>
    </row>
    <row r="521" spans="2:7" x14ac:dyDescent="0.25">
      <c r="B521" s="470" t="s">
        <v>433</v>
      </c>
      <c r="C521" s="474">
        <v>42978</v>
      </c>
      <c r="D521" s="471">
        <v>16905</v>
      </c>
      <c r="E521" s="476">
        <v>780991</v>
      </c>
      <c r="F521" s="484">
        <v>6.2305497506361628E-3</v>
      </c>
      <c r="G521" s="467"/>
    </row>
    <row r="522" spans="2:7" x14ac:dyDescent="0.25">
      <c r="B522" s="470" t="s">
        <v>433</v>
      </c>
      <c r="C522" s="474">
        <v>42979</v>
      </c>
      <c r="D522" s="471">
        <v>17119</v>
      </c>
      <c r="E522" s="476">
        <v>969239</v>
      </c>
      <c r="F522" s="484">
        <v>1.2579521632791942E-2</v>
      </c>
      <c r="G522" s="467"/>
    </row>
    <row r="523" spans="2:7" x14ac:dyDescent="0.25">
      <c r="B523" s="470" t="s">
        <v>433</v>
      </c>
      <c r="C523" s="474">
        <v>42982</v>
      </c>
      <c r="D523" s="471">
        <v>16785</v>
      </c>
      <c r="E523" s="476">
        <v>568912</v>
      </c>
      <c r="F523" s="484">
        <v>-1.9703327360643078E-2</v>
      </c>
      <c r="G523" s="467"/>
    </row>
    <row r="524" spans="2:7" x14ac:dyDescent="0.25">
      <c r="B524" s="470" t="s">
        <v>433</v>
      </c>
      <c r="C524" s="474">
        <v>42983</v>
      </c>
      <c r="D524" s="471">
        <v>16650</v>
      </c>
      <c r="E524" s="476">
        <v>746670</v>
      </c>
      <c r="F524" s="484">
        <v>-8.0754140055454178E-3</v>
      </c>
      <c r="G524" s="467"/>
    </row>
    <row r="525" spans="2:7" x14ac:dyDescent="0.25">
      <c r="B525" s="470" t="s">
        <v>433</v>
      </c>
      <c r="C525" s="474">
        <v>42984</v>
      </c>
      <c r="D525" s="471">
        <v>16710</v>
      </c>
      <c r="E525" s="476">
        <v>1102799</v>
      </c>
      <c r="F525" s="484">
        <v>3.5971261808494747E-3</v>
      </c>
      <c r="G525" s="467"/>
    </row>
    <row r="526" spans="2:7" x14ac:dyDescent="0.25">
      <c r="B526" s="470" t="s">
        <v>433</v>
      </c>
      <c r="C526" s="474">
        <v>42985</v>
      </c>
      <c r="D526" s="471">
        <v>16834</v>
      </c>
      <c r="E526" s="476">
        <v>271459</v>
      </c>
      <c r="F526" s="484">
        <v>7.3933081820820642E-3</v>
      </c>
      <c r="G526" s="467"/>
    </row>
    <row r="527" spans="2:7" x14ac:dyDescent="0.25">
      <c r="B527" s="470" t="s">
        <v>433</v>
      </c>
      <c r="C527" s="474">
        <v>42986</v>
      </c>
      <c r="D527" s="471">
        <v>16650</v>
      </c>
      <c r="E527" s="476">
        <v>234859</v>
      </c>
      <c r="F527" s="484">
        <v>-1.0990434362931551E-2</v>
      </c>
      <c r="G527" s="467"/>
    </row>
    <row r="528" spans="2:7" x14ac:dyDescent="0.25">
      <c r="B528" s="470" t="s">
        <v>433</v>
      </c>
      <c r="C528" s="474">
        <v>42989</v>
      </c>
      <c r="D528" s="471">
        <v>16601</v>
      </c>
      <c r="E528" s="476">
        <v>297900</v>
      </c>
      <c r="F528" s="484">
        <v>-2.9472819145138656E-3</v>
      </c>
      <c r="G528" s="467"/>
    </row>
    <row r="529" spans="2:7" x14ac:dyDescent="0.25">
      <c r="B529" s="470" t="s">
        <v>433</v>
      </c>
      <c r="C529" s="474">
        <v>42990</v>
      </c>
      <c r="D529" s="471">
        <v>16752</v>
      </c>
      <c r="E529" s="476">
        <v>830608</v>
      </c>
      <c r="F529" s="484">
        <v>9.0547196162421469E-3</v>
      </c>
      <c r="G529" s="467"/>
    </row>
    <row r="530" spans="2:7" x14ac:dyDescent="0.25">
      <c r="B530" s="470" t="s">
        <v>433</v>
      </c>
      <c r="C530" s="474">
        <v>42991</v>
      </c>
      <c r="D530" s="471">
        <v>16852</v>
      </c>
      <c r="E530" s="476">
        <v>221871</v>
      </c>
      <c r="F530" s="484">
        <v>5.9516899885891407E-3</v>
      </c>
      <c r="G530" s="467"/>
    </row>
    <row r="531" spans="2:7" x14ac:dyDescent="0.25">
      <c r="B531" s="470" t="s">
        <v>433</v>
      </c>
      <c r="C531" s="474">
        <v>42992</v>
      </c>
      <c r="D531" s="471">
        <v>16653</v>
      </c>
      <c r="E531" s="476">
        <v>808450</v>
      </c>
      <c r="F531" s="484">
        <v>-1.1878963740636116E-2</v>
      </c>
      <c r="G531" s="467"/>
    </row>
    <row r="532" spans="2:7" x14ac:dyDescent="0.25">
      <c r="B532" s="470" t="s">
        <v>433</v>
      </c>
      <c r="C532" s="474">
        <v>42993</v>
      </c>
      <c r="D532" s="471">
        <v>16705</v>
      </c>
      <c r="E532" s="476">
        <v>842514</v>
      </c>
      <c r="F532" s="484">
        <v>3.1176954325859312E-3</v>
      </c>
      <c r="G532" s="467"/>
    </row>
    <row r="533" spans="2:7" x14ac:dyDescent="0.25">
      <c r="B533" s="470" t="s">
        <v>433</v>
      </c>
      <c r="C533" s="474">
        <v>42996</v>
      </c>
      <c r="D533" s="471">
        <v>16690</v>
      </c>
      <c r="E533" s="476">
        <v>291405</v>
      </c>
      <c r="F533" s="484">
        <v>-8.9833813497614543E-4</v>
      </c>
      <c r="G533" s="467"/>
    </row>
    <row r="534" spans="2:7" x14ac:dyDescent="0.25">
      <c r="B534" s="470" t="s">
        <v>433</v>
      </c>
      <c r="C534" s="474">
        <v>42997</v>
      </c>
      <c r="D534" s="471">
        <v>16726</v>
      </c>
      <c r="E534" s="476">
        <v>358626</v>
      </c>
      <c r="F534" s="484">
        <v>2.1546572855903616E-3</v>
      </c>
      <c r="G534" s="467"/>
    </row>
    <row r="535" spans="2:7" x14ac:dyDescent="0.25">
      <c r="B535" s="470" t="s">
        <v>433</v>
      </c>
      <c r="C535" s="474">
        <v>42998</v>
      </c>
      <c r="D535" s="471">
        <v>16726</v>
      </c>
      <c r="E535" s="476">
        <v>351284</v>
      </c>
      <c r="F535" s="484">
        <v>0</v>
      </c>
      <c r="G535" s="467"/>
    </row>
    <row r="536" spans="2:7" x14ac:dyDescent="0.25">
      <c r="B536" s="470" t="s">
        <v>433</v>
      </c>
      <c r="C536" s="474">
        <v>42999</v>
      </c>
      <c r="D536" s="471">
        <v>16690</v>
      </c>
      <c r="E536" s="476">
        <v>1747788</v>
      </c>
      <c r="F536" s="484">
        <v>-2.154657285590343E-3</v>
      </c>
      <c r="G536" s="467"/>
    </row>
    <row r="537" spans="2:7" x14ac:dyDescent="0.25">
      <c r="B537" s="470" t="s">
        <v>433</v>
      </c>
      <c r="C537" s="474">
        <v>43000</v>
      </c>
      <c r="D537" s="471">
        <v>16790</v>
      </c>
      <c r="E537" s="476">
        <v>1170206</v>
      </c>
      <c r="F537" s="484">
        <v>5.9737334157057261E-3</v>
      </c>
      <c r="G537" s="467"/>
    </row>
    <row r="538" spans="2:7" x14ac:dyDescent="0.25">
      <c r="B538" s="470" t="s">
        <v>433</v>
      </c>
      <c r="C538" s="474">
        <v>43004</v>
      </c>
      <c r="D538" s="471">
        <v>16625</v>
      </c>
      <c r="E538" s="476">
        <v>322973</v>
      </c>
      <c r="F538" s="484">
        <v>-9.8758845475315667E-3</v>
      </c>
      <c r="G538" s="467"/>
    </row>
    <row r="539" spans="2:7" x14ac:dyDescent="0.25">
      <c r="B539" s="470" t="s">
        <v>433</v>
      </c>
      <c r="C539" s="474">
        <v>43005</v>
      </c>
      <c r="D539" s="471">
        <v>16600</v>
      </c>
      <c r="E539" s="476">
        <v>440492</v>
      </c>
      <c r="F539" s="484">
        <v>-1.5048911794202768E-3</v>
      </c>
      <c r="G539" s="467"/>
    </row>
    <row r="540" spans="2:7" x14ac:dyDescent="0.25">
      <c r="B540" s="470" t="s">
        <v>433</v>
      </c>
      <c r="C540" s="474">
        <v>43006</v>
      </c>
      <c r="D540" s="471">
        <v>16600</v>
      </c>
      <c r="E540" s="476">
        <v>446980</v>
      </c>
      <c r="F540" s="484">
        <v>0</v>
      </c>
      <c r="G540" s="467"/>
    </row>
    <row r="541" spans="2:7" x14ac:dyDescent="0.25">
      <c r="B541" s="470" t="s">
        <v>433</v>
      </c>
      <c r="C541" s="474">
        <v>43007</v>
      </c>
      <c r="D541" s="471">
        <v>16708</v>
      </c>
      <c r="E541" s="476">
        <v>539260</v>
      </c>
      <c r="F541" s="484">
        <v>6.484951272431266E-3</v>
      </c>
      <c r="G541" s="467"/>
    </row>
    <row r="542" spans="2:7" x14ac:dyDescent="0.25">
      <c r="B542" s="470" t="s">
        <v>433</v>
      </c>
      <c r="C542" s="474">
        <v>43010</v>
      </c>
      <c r="D542" s="471">
        <v>16615</v>
      </c>
      <c r="E542" s="476">
        <v>518606</v>
      </c>
      <c r="F542" s="484">
        <v>-5.5817448283712635E-3</v>
      </c>
      <c r="G542" s="467"/>
    </row>
    <row r="543" spans="2:7" x14ac:dyDescent="0.25">
      <c r="B543" s="470" t="s">
        <v>433</v>
      </c>
      <c r="C543" s="474">
        <v>43011</v>
      </c>
      <c r="D543" s="471">
        <v>16660</v>
      </c>
      <c r="E543" s="476">
        <v>1215909</v>
      </c>
      <c r="F543" s="484">
        <v>2.704734932139114E-3</v>
      </c>
      <c r="G543" s="467"/>
    </row>
    <row r="544" spans="2:7" x14ac:dyDescent="0.25">
      <c r="B544" s="470" t="s">
        <v>433</v>
      </c>
      <c r="C544" s="474">
        <v>43012</v>
      </c>
      <c r="D544" s="471">
        <v>16698</v>
      </c>
      <c r="E544" s="476">
        <v>343419</v>
      </c>
      <c r="F544" s="484">
        <v>2.2783150331119927E-3</v>
      </c>
      <c r="G544" s="467"/>
    </row>
    <row r="545" spans="2:7" x14ac:dyDescent="0.25">
      <c r="B545" s="470" t="s">
        <v>433</v>
      </c>
      <c r="C545" s="474">
        <v>43013</v>
      </c>
      <c r="D545" s="471">
        <v>16650</v>
      </c>
      <c r="E545" s="476">
        <v>250568</v>
      </c>
      <c r="F545" s="484">
        <v>-2.8787353453559278E-3</v>
      </c>
      <c r="G545" s="467"/>
    </row>
    <row r="546" spans="2:7" x14ac:dyDescent="0.25">
      <c r="B546" s="470" t="s">
        <v>433</v>
      </c>
      <c r="C546" s="474">
        <v>43014</v>
      </c>
      <c r="D546" s="471">
        <v>17115</v>
      </c>
      <c r="E546" s="476">
        <v>459939</v>
      </c>
      <c r="F546" s="484">
        <v>2.7545055555695759E-2</v>
      </c>
      <c r="G546" s="467"/>
    </row>
    <row r="547" spans="2:7" x14ac:dyDescent="0.25">
      <c r="B547" s="470" t="s">
        <v>433</v>
      </c>
      <c r="C547" s="474">
        <v>43017</v>
      </c>
      <c r="D547" s="471">
        <v>17047</v>
      </c>
      <c r="E547" s="476">
        <v>257077</v>
      </c>
      <c r="F547" s="484">
        <v>-3.9810368133607792E-3</v>
      </c>
      <c r="G547" s="467"/>
    </row>
    <row r="548" spans="2:7" x14ac:dyDescent="0.25">
      <c r="B548" s="470" t="s">
        <v>433</v>
      </c>
      <c r="C548" s="474">
        <v>43018</v>
      </c>
      <c r="D548" s="471">
        <v>17176</v>
      </c>
      <c r="E548" s="476">
        <v>320104</v>
      </c>
      <c r="F548" s="484">
        <v>7.5388254076919885E-3</v>
      </c>
      <c r="G548" s="467"/>
    </row>
    <row r="549" spans="2:7" x14ac:dyDescent="0.25">
      <c r="B549" s="470" t="s">
        <v>433</v>
      </c>
      <c r="C549" s="474">
        <v>43019</v>
      </c>
      <c r="D549" s="471">
        <v>17400</v>
      </c>
      <c r="E549" s="476">
        <v>442340</v>
      </c>
      <c r="F549" s="484">
        <v>1.295714564400339E-2</v>
      </c>
      <c r="G549" s="467"/>
    </row>
    <row r="550" spans="2:7" x14ac:dyDescent="0.25">
      <c r="B550" s="470" t="s">
        <v>433</v>
      </c>
      <c r="C550" s="474">
        <v>43020</v>
      </c>
      <c r="D550" s="471">
        <v>17553</v>
      </c>
      <c r="E550" s="476">
        <v>481195</v>
      </c>
      <c r="F550" s="484">
        <v>8.7546692537253112E-3</v>
      </c>
      <c r="G550" s="467"/>
    </row>
    <row r="551" spans="2:7" x14ac:dyDescent="0.25">
      <c r="B551" s="470" t="s">
        <v>433</v>
      </c>
      <c r="C551" s="474">
        <v>43021</v>
      </c>
      <c r="D551" s="471">
        <v>17527</v>
      </c>
      <c r="E551" s="476">
        <v>392919</v>
      </c>
      <c r="F551" s="484">
        <v>-1.4823263831698411E-3</v>
      </c>
      <c r="G551" s="467"/>
    </row>
    <row r="552" spans="2:7" x14ac:dyDescent="0.25">
      <c r="B552" s="470" t="s">
        <v>433</v>
      </c>
      <c r="C552" s="474">
        <v>43024</v>
      </c>
      <c r="D552" s="471">
        <v>17568</v>
      </c>
      <c r="E552" s="476">
        <v>448640</v>
      </c>
      <c r="F552" s="484">
        <v>2.3365162360812573E-3</v>
      </c>
      <c r="G552" s="467"/>
    </row>
    <row r="553" spans="2:7" x14ac:dyDescent="0.25">
      <c r="B553" s="470" t="s">
        <v>433</v>
      </c>
      <c r="C553" s="474">
        <v>43025</v>
      </c>
      <c r="D553" s="471">
        <v>17246</v>
      </c>
      <c r="E553" s="476">
        <v>257252</v>
      </c>
      <c r="F553" s="484">
        <v>-1.8498832796987393E-2</v>
      </c>
      <c r="G553" s="467"/>
    </row>
    <row r="554" spans="2:7" x14ac:dyDescent="0.25">
      <c r="B554" s="470" t="s">
        <v>433</v>
      </c>
      <c r="C554" s="474">
        <v>43026</v>
      </c>
      <c r="D554" s="471">
        <v>17554</v>
      </c>
      <c r="E554" s="476">
        <v>221262</v>
      </c>
      <c r="F554" s="484">
        <v>1.7701611639793072E-2</v>
      </c>
      <c r="G554" s="467"/>
    </row>
    <row r="555" spans="2:7" x14ac:dyDescent="0.25">
      <c r="B555" s="470" t="s">
        <v>433</v>
      </c>
      <c r="C555" s="474">
        <v>43027</v>
      </c>
      <c r="D555" s="471">
        <v>17470</v>
      </c>
      <c r="E555" s="476">
        <v>484694</v>
      </c>
      <c r="F555" s="484">
        <v>-4.796720023960639E-3</v>
      </c>
      <c r="G555" s="467"/>
    </row>
    <row r="556" spans="2:7" x14ac:dyDescent="0.25">
      <c r="B556" s="470" t="s">
        <v>433</v>
      </c>
      <c r="C556" s="474">
        <v>43028</v>
      </c>
      <c r="D556" s="471">
        <v>17229</v>
      </c>
      <c r="E556" s="476">
        <v>997947</v>
      </c>
      <c r="F556" s="484">
        <v>-1.3891113595696039E-2</v>
      </c>
      <c r="G556" s="467"/>
    </row>
    <row r="557" spans="2:7" x14ac:dyDescent="0.25">
      <c r="B557" s="470" t="s">
        <v>433</v>
      </c>
      <c r="C557" s="474">
        <v>43031</v>
      </c>
      <c r="D557" s="471">
        <v>16862</v>
      </c>
      <c r="E557" s="476">
        <v>294038</v>
      </c>
      <c r="F557" s="484">
        <v>-2.1531441049785275E-2</v>
      </c>
      <c r="G557" s="467"/>
    </row>
    <row r="558" spans="2:7" x14ac:dyDescent="0.25">
      <c r="B558" s="470" t="s">
        <v>433</v>
      </c>
      <c r="C558" s="474">
        <v>43032</v>
      </c>
      <c r="D558" s="471">
        <v>16855</v>
      </c>
      <c r="E558" s="476">
        <v>485752</v>
      </c>
      <c r="F558" s="484">
        <v>-4.1522081445989558E-4</v>
      </c>
      <c r="G558" s="467"/>
    </row>
    <row r="559" spans="2:7" x14ac:dyDescent="0.25">
      <c r="B559" s="470" t="s">
        <v>433</v>
      </c>
      <c r="C559" s="474">
        <v>43033</v>
      </c>
      <c r="D559" s="471">
        <v>16708</v>
      </c>
      <c r="E559" s="476">
        <v>395555</v>
      </c>
      <c r="F559" s="484">
        <v>-8.7597020510951779E-3</v>
      </c>
      <c r="G559" s="467"/>
    </row>
    <row r="560" spans="2:7" x14ac:dyDescent="0.25">
      <c r="B560" s="470" t="s">
        <v>433</v>
      </c>
      <c r="C560" s="474">
        <v>43034</v>
      </c>
      <c r="D560" s="471">
        <v>16650</v>
      </c>
      <c r="E560" s="476">
        <v>579124</v>
      </c>
      <c r="F560" s="484">
        <v>-3.4774302084760768E-3</v>
      </c>
      <c r="G560" s="467"/>
    </row>
    <row r="561" spans="2:7" x14ac:dyDescent="0.25">
      <c r="B561" s="470" t="s">
        <v>433</v>
      </c>
      <c r="C561" s="474">
        <v>43035</v>
      </c>
      <c r="D561" s="471">
        <v>16650</v>
      </c>
      <c r="E561" s="476">
        <v>869827</v>
      </c>
      <c r="F561" s="484">
        <v>0</v>
      </c>
      <c r="G561" s="467"/>
    </row>
    <row r="562" spans="2:7" x14ac:dyDescent="0.25">
      <c r="B562" s="470" t="s">
        <v>433</v>
      </c>
      <c r="C562" s="474">
        <v>43038</v>
      </c>
      <c r="D562" s="471">
        <v>16621</v>
      </c>
      <c r="E562" s="476">
        <v>957305</v>
      </c>
      <c r="F562" s="484">
        <v>-1.7432603374797175E-3</v>
      </c>
      <c r="G562" s="467"/>
    </row>
    <row r="563" spans="2:7" x14ac:dyDescent="0.25">
      <c r="B563" s="470" t="s">
        <v>433</v>
      </c>
      <c r="C563" s="474">
        <v>43039</v>
      </c>
      <c r="D563" s="471">
        <v>16636</v>
      </c>
      <c r="E563" s="476">
        <v>546386</v>
      </c>
      <c r="F563" s="484">
        <v>9.0206579169212903E-4</v>
      </c>
      <c r="G563" s="467"/>
    </row>
    <row r="564" spans="2:7" x14ac:dyDescent="0.25">
      <c r="B564" s="470" t="s">
        <v>433</v>
      </c>
      <c r="C564" s="474">
        <v>43040</v>
      </c>
      <c r="D564" s="471">
        <v>16650</v>
      </c>
      <c r="E564" s="476">
        <v>656665</v>
      </c>
      <c r="F564" s="484">
        <v>8.4119454578757884E-4</v>
      </c>
      <c r="G564" s="467"/>
    </row>
    <row r="565" spans="2:7" x14ac:dyDescent="0.25">
      <c r="B565" s="470" t="s">
        <v>433</v>
      </c>
      <c r="C565" s="474">
        <v>43041</v>
      </c>
      <c r="D565" s="471">
        <v>16750</v>
      </c>
      <c r="E565" s="476">
        <v>357583</v>
      </c>
      <c r="F565" s="484">
        <v>5.9880418446226933E-3</v>
      </c>
      <c r="G565" s="467"/>
    </row>
    <row r="566" spans="2:7" x14ac:dyDescent="0.25">
      <c r="B566" s="470" t="s">
        <v>433</v>
      </c>
      <c r="C566" s="474">
        <v>43042</v>
      </c>
      <c r="D566" s="471">
        <v>16650</v>
      </c>
      <c r="E566" s="476">
        <v>559253</v>
      </c>
      <c r="F566" s="484">
        <v>-5.9880418446225572E-3</v>
      </c>
      <c r="G566" s="467"/>
    </row>
    <row r="567" spans="2:7" x14ac:dyDescent="0.25">
      <c r="B567" s="470" t="s">
        <v>433</v>
      </c>
      <c r="C567" s="474">
        <v>43045</v>
      </c>
      <c r="D567" s="471">
        <v>16650</v>
      </c>
      <c r="E567" s="476">
        <v>311776</v>
      </c>
      <c r="F567" s="484">
        <v>0</v>
      </c>
      <c r="G567" s="467"/>
    </row>
    <row r="568" spans="2:7" x14ac:dyDescent="0.25">
      <c r="B568" s="470" t="s">
        <v>433</v>
      </c>
      <c r="C568" s="474">
        <v>43046</v>
      </c>
      <c r="D568" s="471">
        <v>16650</v>
      </c>
      <c r="E568" s="476">
        <v>421869</v>
      </c>
      <c r="F568" s="484">
        <v>0</v>
      </c>
      <c r="G568" s="467"/>
    </row>
    <row r="569" spans="2:7" x14ac:dyDescent="0.25">
      <c r="B569" s="470" t="s">
        <v>433</v>
      </c>
      <c r="C569" s="474">
        <v>43047</v>
      </c>
      <c r="D569" s="471">
        <v>16749</v>
      </c>
      <c r="E569" s="476">
        <v>288739</v>
      </c>
      <c r="F569" s="484">
        <v>5.9283385698801943E-3</v>
      </c>
      <c r="G569" s="467"/>
    </row>
    <row r="570" spans="2:7" x14ac:dyDescent="0.25">
      <c r="B570" s="470" t="s">
        <v>433</v>
      </c>
      <c r="C570" s="474">
        <v>43048</v>
      </c>
      <c r="D570" s="471">
        <v>16665</v>
      </c>
      <c r="E570" s="476">
        <v>324335</v>
      </c>
      <c r="F570" s="484">
        <v>-5.0278432366300451E-3</v>
      </c>
      <c r="G570" s="467"/>
    </row>
    <row r="571" spans="2:7" x14ac:dyDescent="0.25">
      <c r="B571" s="470" t="s">
        <v>433</v>
      </c>
      <c r="C571" s="474">
        <v>43049</v>
      </c>
      <c r="D571" s="471">
        <v>16650</v>
      </c>
      <c r="E571" s="476">
        <v>459314</v>
      </c>
      <c r="F571" s="484">
        <v>-9.0049533325020626E-4</v>
      </c>
      <c r="G571" s="467"/>
    </row>
    <row r="572" spans="2:7" x14ac:dyDescent="0.25">
      <c r="B572" s="470" t="s">
        <v>433</v>
      </c>
      <c r="C572" s="474">
        <v>43052</v>
      </c>
      <c r="D572" s="471">
        <v>16650</v>
      </c>
      <c r="E572" s="476">
        <v>319793</v>
      </c>
      <c r="F572" s="484">
        <v>0</v>
      </c>
      <c r="G572" s="467"/>
    </row>
    <row r="573" spans="2:7" x14ac:dyDescent="0.25">
      <c r="B573" s="470" t="s">
        <v>433</v>
      </c>
      <c r="C573" s="474">
        <v>43053</v>
      </c>
      <c r="D573" s="471">
        <v>17070</v>
      </c>
      <c r="E573" s="476">
        <v>614361</v>
      </c>
      <c r="F573" s="484">
        <v>2.4912320379896376E-2</v>
      </c>
      <c r="G573" s="467"/>
    </row>
    <row r="574" spans="2:7" x14ac:dyDescent="0.25">
      <c r="B574" s="470" t="s">
        <v>433</v>
      </c>
      <c r="C574" s="474">
        <v>43054</v>
      </c>
      <c r="D574" s="471">
        <v>16921</v>
      </c>
      <c r="E574" s="476">
        <v>1055602</v>
      </c>
      <c r="F574" s="484">
        <v>-8.7670827198596275E-3</v>
      </c>
      <c r="G574" s="467"/>
    </row>
    <row r="575" spans="2:7" x14ac:dyDescent="0.25">
      <c r="B575" s="470" t="s">
        <v>433</v>
      </c>
      <c r="C575" s="474">
        <v>43055</v>
      </c>
      <c r="D575" s="471">
        <v>17863</v>
      </c>
      <c r="E575" s="476">
        <v>1187269</v>
      </c>
      <c r="F575" s="484">
        <v>5.417608038025791E-2</v>
      </c>
      <c r="G575" s="467"/>
    </row>
    <row r="576" spans="2:7" x14ac:dyDescent="0.25">
      <c r="B576" s="470" t="s">
        <v>433</v>
      </c>
      <c r="C576" s="474">
        <v>43056</v>
      </c>
      <c r="D576" s="471">
        <v>18887</v>
      </c>
      <c r="E576" s="476">
        <v>1254453</v>
      </c>
      <c r="F576" s="484">
        <v>5.5742320246961526E-2</v>
      </c>
      <c r="G576" s="467"/>
    </row>
    <row r="577" spans="2:7" x14ac:dyDescent="0.25">
      <c r="B577" s="470" t="s">
        <v>433</v>
      </c>
      <c r="C577" s="474">
        <v>43059</v>
      </c>
      <c r="D577" s="471">
        <v>19150</v>
      </c>
      <c r="E577" s="476">
        <v>728207</v>
      </c>
      <c r="F577" s="484">
        <v>1.3828860912945874E-2</v>
      </c>
      <c r="G577" s="467"/>
    </row>
    <row r="578" spans="2:7" x14ac:dyDescent="0.25">
      <c r="B578" s="470" t="s">
        <v>433</v>
      </c>
      <c r="C578" s="474">
        <v>43060</v>
      </c>
      <c r="D578" s="471">
        <v>18828</v>
      </c>
      <c r="E578" s="476">
        <v>1268269</v>
      </c>
      <c r="F578" s="484">
        <v>-1.6957592087759099E-2</v>
      </c>
      <c r="G578" s="467"/>
    </row>
    <row r="579" spans="2:7" x14ac:dyDescent="0.25">
      <c r="B579" s="470" t="s">
        <v>433</v>
      </c>
      <c r="C579" s="474">
        <v>43061</v>
      </c>
      <c r="D579" s="471">
        <v>18740</v>
      </c>
      <c r="E579" s="476">
        <v>861817</v>
      </c>
      <c r="F579" s="484">
        <v>-4.684846728619717E-3</v>
      </c>
      <c r="G579" s="467"/>
    </row>
    <row r="580" spans="2:7" x14ac:dyDescent="0.25">
      <c r="B580" s="470" t="s">
        <v>433</v>
      </c>
      <c r="C580" s="474">
        <v>43062</v>
      </c>
      <c r="D580" s="471">
        <v>18797</v>
      </c>
      <c r="E580" s="476">
        <v>434841</v>
      </c>
      <c r="F580" s="484">
        <v>3.037005824182253E-3</v>
      </c>
      <c r="G580" s="467"/>
    </row>
    <row r="581" spans="2:7" x14ac:dyDescent="0.25">
      <c r="B581" s="470" t="s">
        <v>433</v>
      </c>
      <c r="C581" s="474">
        <v>43063</v>
      </c>
      <c r="D581" s="471">
        <v>18594</v>
      </c>
      <c r="E581" s="476">
        <v>405305</v>
      </c>
      <c r="F581" s="484">
        <v>-1.0858334600792193E-2</v>
      </c>
      <c r="G581" s="467"/>
    </row>
    <row r="582" spans="2:7" x14ac:dyDescent="0.25">
      <c r="B582" s="470" t="s">
        <v>433</v>
      </c>
      <c r="C582" s="474">
        <v>43066</v>
      </c>
      <c r="D582" s="471">
        <v>18375</v>
      </c>
      <c r="E582" s="476">
        <v>624085</v>
      </c>
      <c r="F582" s="484">
        <v>-1.1847902934765869E-2</v>
      </c>
      <c r="G582" s="467"/>
    </row>
    <row r="583" spans="2:7" x14ac:dyDescent="0.25">
      <c r="B583" s="470" t="s">
        <v>433</v>
      </c>
      <c r="C583" s="474">
        <v>43067</v>
      </c>
      <c r="D583" s="471">
        <v>19300</v>
      </c>
      <c r="E583" s="476">
        <v>662116</v>
      </c>
      <c r="F583" s="484">
        <v>4.9114050811939508E-2</v>
      </c>
      <c r="G583" s="467"/>
    </row>
    <row r="584" spans="2:7" x14ac:dyDescent="0.25">
      <c r="B584" s="470" t="s">
        <v>433</v>
      </c>
      <c r="C584" s="474">
        <v>43068</v>
      </c>
      <c r="D584" s="471">
        <v>19219</v>
      </c>
      <c r="E584" s="476">
        <v>540961</v>
      </c>
      <c r="F584" s="484">
        <v>-4.2057228585722405E-3</v>
      </c>
      <c r="G584" s="467"/>
    </row>
    <row r="585" spans="2:7" x14ac:dyDescent="0.25">
      <c r="B585" s="470" t="s">
        <v>433</v>
      </c>
      <c r="C585" s="474">
        <v>43069</v>
      </c>
      <c r="D585" s="471">
        <v>18980</v>
      </c>
      <c r="E585" s="476">
        <v>1902197</v>
      </c>
      <c r="F585" s="484">
        <v>-1.2513579870485859E-2</v>
      </c>
      <c r="G585" s="467"/>
    </row>
    <row r="586" spans="2:7" x14ac:dyDescent="0.25">
      <c r="B586" s="470" t="s">
        <v>433</v>
      </c>
      <c r="C586" s="474">
        <v>43070</v>
      </c>
      <c r="D586" s="471">
        <v>19731</v>
      </c>
      <c r="E586" s="476">
        <v>604490</v>
      </c>
      <c r="F586" s="484">
        <v>3.8805209805541821E-2</v>
      </c>
      <c r="G586" s="467"/>
    </row>
    <row r="587" spans="2:7" x14ac:dyDescent="0.25">
      <c r="B587" s="470" t="s">
        <v>433</v>
      </c>
      <c r="C587" s="474">
        <v>43073</v>
      </c>
      <c r="D587" s="471">
        <v>19890</v>
      </c>
      <c r="E587" s="476">
        <v>574393</v>
      </c>
      <c r="F587" s="484">
        <v>8.0260898785571907E-3</v>
      </c>
      <c r="G587" s="467"/>
    </row>
    <row r="588" spans="2:7" x14ac:dyDescent="0.25">
      <c r="B588" s="470" t="s">
        <v>433</v>
      </c>
      <c r="C588" s="474">
        <v>43074</v>
      </c>
      <c r="D588" s="471">
        <v>20050</v>
      </c>
      <c r="E588" s="476">
        <v>692180</v>
      </c>
      <c r="F588" s="484">
        <v>8.0120608866973333E-3</v>
      </c>
      <c r="G588" s="467"/>
    </row>
    <row r="589" spans="2:7" x14ac:dyDescent="0.25">
      <c r="B589" s="470" t="s">
        <v>433</v>
      </c>
      <c r="C589" s="474">
        <v>43075</v>
      </c>
      <c r="D589" s="471">
        <v>19746</v>
      </c>
      <c r="E589" s="476">
        <v>685936</v>
      </c>
      <c r="F589" s="484">
        <v>-1.5278214563320307E-2</v>
      </c>
      <c r="G589" s="467"/>
    </row>
    <row r="590" spans="2:7" x14ac:dyDescent="0.25">
      <c r="B590" s="470" t="s">
        <v>433</v>
      </c>
      <c r="C590" s="474">
        <v>43076</v>
      </c>
      <c r="D590" s="471">
        <v>19380</v>
      </c>
      <c r="E590" s="476">
        <v>508699</v>
      </c>
      <c r="F590" s="484">
        <v>-1.8709332726637704E-2</v>
      </c>
      <c r="G590" s="467"/>
    </row>
    <row r="591" spans="2:7" x14ac:dyDescent="0.25">
      <c r="B591" s="470" t="s">
        <v>433</v>
      </c>
      <c r="C591" s="474">
        <v>43077</v>
      </c>
      <c r="D591" s="471">
        <v>19186</v>
      </c>
      <c r="E591" s="476">
        <v>291397</v>
      </c>
      <c r="F591" s="484">
        <v>-1.0060760066864287E-2</v>
      </c>
      <c r="G591" s="467"/>
    </row>
    <row r="592" spans="2:7" x14ac:dyDescent="0.25">
      <c r="B592" s="470" t="s">
        <v>433</v>
      </c>
      <c r="C592" s="474">
        <v>43080</v>
      </c>
      <c r="D592" s="471">
        <v>19173</v>
      </c>
      <c r="E592" s="476">
        <v>332786</v>
      </c>
      <c r="F592" s="484">
        <v>-6.7780705950137952E-4</v>
      </c>
      <c r="G592" s="467"/>
    </row>
    <row r="593" spans="2:7" x14ac:dyDescent="0.25">
      <c r="B593" s="470" t="s">
        <v>433</v>
      </c>
      <c r="C593" s="474">
        <v>43081</v>
      </c>
      <c r="D593" s="471">
        <v>19144</v>
      </c>
      <c r="E593" s="476">
        <v>450037</v>
      </c>
      <c r="F593" s="484">
        <v>-1.5136887301821693E-3</v>
      </c>
      <c r="G593" s="467"/>
    </row>
    <row r="594" spans="2:7" x14ac:dyDescent="0.25">
      <c r="B594" s="470" t="s">
        <v>433</v>
      </c>
      <c r="C594" s="474">
        <v>43082</v>
      </c>
      <c r="D594" s="471">
        <v>19049</v>
      </c>
      <c r="E594" s="476">
        <v>621987</v>
      </c>
      <c r="F594" s="484">
        <v>-4.974743849511183E-3</v>
      </c>
      <c r="G594" s="467"/>
    </row>
    <row r="595" spans="2:7" x14ac:dyDescent="0.25">
      <c r="B595" s="470" t="s">
        <v>433</v>
      </c>
      <c r="C595" s="474">
        <v>43083</v>
      </c>
      <c r="D595" s="471">
        <v>19489</v>
      </c>
      <c r="E595" s="476">
        <v>775746</v>
      </c>
      <c r="F595" s="484">
        <v>2.2835597083326099E-2</v>
      </c>
      <c r="G595" s="467"/>
    </row>
    <row r="596" spans="2:7" x14ac:dyDescent="0.25">
      <c r="B596" s="470" t="s">
        <v>433</v>
      </c>
      <c r="C596" s="474">
        <v>43084</v>
      </c>
      <c r="D596" s="471">
        <v>19902</v>
      </c>
      <c r="E596" s="476">
        <v>1046644</v>
      </c>
      <c r="F596" s="484">
        <v>2.0970025353083125E-2</v>
      </c>
      <c r="G596" s="467"/>
    </row>
    <row r="597" spans="2:7" x14ac:dyDescent="0.25">
      <c r="B597" s="470" t="s">
        <v>433</v>
      </c>
      <c r="C597" s="474">
        <v>43087</v>
      </c>
      <c r="D597" s="471">
        <v>19877</v>
      </c>
      <c r="E597" s="476">
        <v>730477</v>
      </c>
      <c r="F597" s="484">
        <v>-1.2569447845084169E-3</v>
      </c>
      <c r="G597" s="467"/>
    </row>
    <row r="598" spans="2:7" x14ac:dyDescent="0.25">
      <c r="B598" s="470" t="s">
        <v>433</v>
      </c>
      <c r="C598" s="474">
        <v>43088</v>
      </c>
      <c r="D598" s="471">
        <v>19514</v>
      </c>
      <c r="E598" s="476">
        <v>809310</v>
      </c>
      <c r="F598" s="484">
        <v>-1.8431127722703666E-2</v>
      </c>
      <c r="G598" s="467"/>
    </row>
    <row r="599" spans="2:7" x14ac:dyDescent="0.25">
      <c r="B599" s="470" t="s">
        <v>433</v>
      </c>
      <c r="C599" s="474">
        <v>43089</v>
      </c>
      <c r="D599" s="471">
        <v>19561</v>
      </c>
      <c r="E599" s="476">
        <v>756965</v>
      </c>
      <c r="F599" s="484">
        <v>2.405631358463957E-3</v>
      </c>
      <c r="G599" s="467"/>
    </row>
    <row r="600" spans="2:7" x14ac:dyDescent="0.25">
      <c r="B600" s="470" t="s">
        <v>433</v>
      </c>
      <c r="C600" s="474">
        <v>43090</v>
      </c>
      <c r="D600" s="471">
        <v>19343</v>
      </c>
      <c r="E600" s="476">
        <v>1503319</v>
      </c>
      <c r="F600" s="484">
        <v>-1.1207191124261674E-2</v>
      </c>
      <c r="G600" s="467"/>
    </row>
    <row r="601" spans="2:7" x14ac:dyDescent="0.25">
      <c r="B601" s="470" t="s">
        <v>433</v>
      </c>
      <c r="C601" s="474">
        <v>43091</v>
      </c>
      <c r="D601" s="471">
        <v>19093</v>
      </c>
      <c r="E601" s="476">
        <v>131702</v>
      </c>
      <c r="F601" s="484">
        <v>-1.3008821188633312E-2</v>
      </c>
      <c r="G601" s="467"/>
    </row>
    <row r="602" spans="2:7" x14ac:dyDescent="0.25">
      <c r="B602" s="470" t="s">
        <v>433</v>
      </c>
      <c r="C602" s="474">
        <v>43096</v>
      </c>
      <c r="D602" s="471">
        <v>19670</v>
      </c>
      <c r="E602" s="476">
        <v>229132</v>
      </c>
      <c r="F602" s="484">
        <v>2.9772856669640385E-2</v>
      </c>
      <c r="G602" s="467"/>
    </row>
    <row r="603" spans="2:7" x14ac:dyDescent="0.25">
      <c r="B603" s="470" t="s">
        <v>433</v>
      </c>
      <c r="C603" s="474">
        <v>43097</v>
      </c>
      <c r="D603" s="471">
        <v>19693</v>
      </c>
      <c r="E603" s="476">
        <v>141640</v>
      </c>
      <c r="F603" s="484">
        <v>1.1686102490916722E-3</v>
      </c>
      <c r="G603" s="467"/>
    </row>
    <row r="604" spans="2:7" x14ac:dyDescent="0.25">
      <c r="B604" s="470" t="s">
        <v>433</v>
      </c>
      <c r="C604" s="474">
        <v>43098</v>
      </c>
      <c r="D604" s="471">
        <v>20333</v>
      </c>
      <c r="E604" s="476">
        <v>223931</v>
      </c>
      <c r="F604" s="484">
        <v>3.1981939278145438E-2</v>
      </c>
      <c r="G604" s="467"/>
    </row>
    <row r="605" spans="2:7" x14ac:dyDescent="0.25">
      <c r="B605" s="470" t="s">
        <v>433</v>
      </c>
      <c r="C605" s="474">
        <v>43102</v>
      </c>
      <c r="D605" s="471">
        <v>19912</v>
      </c>
      <c r="E605" s="476">
        <v>353968</v>
      </c>
      <c r="F605" s="484">
        <v>-2.0922616862913825E-2</v>
      </c>
      <c r="G605" s="467"/>
    </row>
    <row r="606" spans="2:7" x14ac:dyDescent="0.25">
      <c r="B606" s="470" t="s">
        <v>433</v>
      </c>
      <c r="C606" s="474">
        <v>43103</v>
      </c>
      <c r="D606" s="471">
        <v>19426</v>
      </c>
      <c r="E606" s="476">
        <v>259347</v>
      </c>
      <c r="F606" s="484">
        <v>-2.4710190085152059E-2</v>
      </c>
      <c r="G606" s="467"/>
    </row>
    <row r="607" spans="2:7" x14ac:dyDescent="0.25">
      <c r="B607" s="470" t="s">
        <v>433</v>
      </c>
      <c r="C607" s="474">
        <v>43104</v>
      </c>
      <c r="D607" s="471">
        <v>19368</v>
      </c>
      <c r="E607" s="476">
        <v>397097</v>
      </c>
      <c r="F607" s="484">
        <v>-2.9901553443814829E-3</v>
      </c>
      <c r="G607" s="467"/>
    </row>
    <row r="608" spans="2:7" x14ac:dyDescent="0.25">
      <c r="B608" s="470" t="s">
        <v>433</v>
      </c>
      <c r="C608" s="474">
        <v>43105</v>
      </c>
      <c r="D608" s="471">
        <v>19370</v>
      </c>
      <c r="E608" s="476">
        <v>360517</v>
      </c>
      <c r="F608" s="484">
        <v>1.0325778314716572E-4</v>
      </c>
      <c r="G608" s="467"/>
    </row>
    <row r="609" spans="2:7" x14ac:dyDescent="0.25">
      <c r="B609" s="470" t="s">
        <v>433</v>
      </c>
      <c r="C609" s="474">
        <v>43108</v>
      </c>
      <c r="D609" s="471">
        <v>19478</v>
      </c>
      <c r="E609" s="476">
        <v>331897</v>
      </c>
      <c r="F609" s="484">
        <v>5.5601461201028931E-3</v>
      </c>
      <c r="G609" s="467"/>
    </row>
    <row r="610" spans="2:7" x14ac:dyDescent="0.25">
      <c r="B610" s="470" t="s">
        <v>433</v>
      </c>
      <c r="C610" s="474">
        <v>43109</v>
      </c>
      <c r="D610" s="471">
        <v>19630</v>
      </c>
      <c r="E610" s="476">
        <v>291208</v>
      </c>
      <c r="F610" s="484">
        <v>7.7733847493622133E-3</v>
      </c>
      <c r="G610" s="467"/>
    </row>
    <row r="611" spans="2:7" x14ac:dyDescent="0.25">
      <c r="B611" s="470" t="s">
        <v>433</v>
      </c>
      <c r="C611" s="474">
        <v>43110</v>
      </c>
      <c r="D611" s="471">
        <v>19380</v>
      </c>
      <c r="E611" s="476">
        <v>285771</v>
      </c>
      <c r="F611" s="484">
        <v>-1.2817401825749477E-2</v>
      </c>
      <c r="G611" s="467"/>
    </row>
    <row r="612" spans="2:7" x14ac:dyDescent="0.25">
      <c r="B612" s="470" t="s">
        <v>433</v>
      </c>
      <c r="C612" s="474">
        <v>43111</v>
      </c>
      <c r="D612" s="471">
        <v>19094</v>
      </c>
      <c r="E612" s="476">
        <v>258418</v>
      </c>
      <c r="F612" s="484">
        <v>-1.4867456886778731E-2</v>
      </c>
      <c r="G612" s="467"/>
    </row>
    <row r="613" spans="2:7" x14ac:dyDescent="0.25">
      <c r="B613" s="470" t="s">
        <v>433</v>
      </c>
      <c r="C613" s="474">
        <v>43112</v>
      </c>
      <c r="D613" s="471">
        <v>19334</v>
      </c>
      <c r="E613" s="476">
        <v>203496</v>
      </c>
      <c r="F613" s="484">
        <v>1.2491054466572246E-2</v>
      </c>
      <c r="G613" s="467"/>
    </row>
    <row r="614" spans="2:7" x14ac:dyDescent="0.25">
      <c r="B614" s="470" t="s">
        <v>433</v>
      </c>
      <c r="C614" s="474">
        <v>43115</v>
      </c>
      <c r="D614" s="471">
        <v>19417</v>
      </c>
      <c r="E614" s="476">
        <v>245313</v>
      </c>
      <c r="F614" s="484">
        <v>4.2837669699030924E-3</v>
      </c>
      <c r="G614" s="467"/>
    </row>
    <row r="615" spans="2:7" x14ac:dyDescent="0.25">
      <c r="B615" s="470" t="s">
        <v>433</v>
      </c>
      <c r="C615" s="474">
        <v>43116</v>
      </c>
      <c r="D615" s="471">
        <v>19261</v>
      </c>
      <c r="E615" s="476">
        <v>559484</v>
      </c>
      <c r="F615" s="484">
        <v>-8.0666449102312892E-3</v>
      </c>
      <c r="G615" s="467"/>
    </row>
    <row r="616" spans="2:7" x14ac:dyDescent="0.25">
      <c r="B616" s="470" t="s">
        <v>433</v>
      </c>
      <c r="C616" s="474">
        <v>43117</v>
      </c>
      <c r="D616" s="471">
        <v>20000</v>
      </c>
      <c r="E616" s="476">
        <v>360769</v>
      </c>
      <c r="F616" s="484">
        <v>3.7649947451905544E-2</v>
      </c>
      <c r="G616" s="467"/>
    </row>
    <row r="617" spans="2:7" x14ac:dyDescent="0.25">
      <c r="B617" s="470" t="s">
        <v>433</v>
      </c>
      <c r="C617" s="474">
        <v>43118</v>
      </c>
      <c r="D617" s="471">
        <v>20659</v>
      </c>
      <c r="E617" s="476">
        <v>515206</v>
      </c>
      <c r="F617" s="484">
        <v>3.2418786255500744E-2</v>
      </c>
      <c r="G617" s="467"/>
    </row>
    <row r="618" spans="2:7" x14ac:dyDescent="0.25">
      <c r="B618" s="470" t="s">
        <v>433</v>
      </c>
      <c r="C618" s="474">
        <v>43119</v>
      </c>
      <c r="D618" s="471">
        <v>20415</v>
      </c>
      <c r="E618" s="476">
        <v>724616</v>
      </c>
      <c r="F618" s="484">
        <v>-1.1881135037952621E-2</v>
      </c>
      <c r="G618" s="467"/>
    </row>
    <row r="619" spans="2:7" x14ac:dyDescent="0.25">
      <c r="B619" s="470" t="s">
        <v>433</v>
      </c>
      <c r="C619" s="474">
        <v>43122</v>
      </c>
      <c r="D619" s="471">
        <v>20000</v>
      </c>
      <c r="E619" s="476">
        <v>557622</v>
      </c>
      <c r="F619" s="484">
        <v>-2.0537651217548095E-2</v>
      </c>
      <c r="G619" s="467"/>
    </row>
    <row r="620" spans="2:7" x14ac:dyDescent="0.25">
      <c r="B620" s="470" t="s">
        <v>433</v>
      </c>
      <c r="C620" s="474">
        <v>43123</v>
      </c>
      <c r="D620" s="471">
        <v>20256</v>
      </c>
      <c r="E620" s="476">
        <v>401471</v>
      </c>
      <c r="F620" s="484">
        <v>1.2718772407774612E-2</v>
      </c>
      <c r="G620" s="467"/>
    </row>
    <row r="621" spans="2:7" x14ac:dyDescent="0.25">
      <c r="B621" s="470" t="s">
        <v>433</v>
      </c>
      <c r="C621" s="474">
        <v>43124</v>
      </c>
      <c r="D621" s="471">
        <v>20921</v>
      </c>
      <c r="E621" s="476">
        <v>466165</v>
      </c>
      <c r="F621" s="484">
        <v>3.2302393239745625E-2</v>
      </c>
      <c r="G621" s="467"/>
    </row>
    <row r="622" spans="2:7" x14ac:dyDescent="0.25">
      <c r="B622" s="470" t="s">
        <v>433</v>
      </c>
      <c r="C622" s="474">
        <v>43125</v>
      </c>
      <c r="D622" s="471">
        <v>21153</v>
      </c>
      <c r="E622" s="476">
        <v>468385</v>
      </c>
      <c r="F622" s="484">
        <v>1.1028300203501887E-2</v>
      </c>
      <c r="G622" s="467"/>
    </row>
    <row r="623" spans="2:7" x14ac:dyDescent="0.25">
      <c r="B623" s="470" t="s">
        <v>433</v>
      </c>
      <c r="C623" s="474">
        <v>43126</v>
      </c>
      <c r="D623" s="471">
        <v>20919</v>
      </c>
      <c r="E623" s="476">
        <v>487914</v>
      </c>
      <c r="F623" s="484">
        <v>-1.1123902498029808E-2</v>
      </c>
      <c r="G623" s="467"/>
    </row>
    <row r="624" spans="2:7" x14ac:dyDescent="0.25">
      <c r="B624" s="470" t="s">
        <v>433</v>
      </c>
      <c r="C624" s="474">
        <v>43129</v>
      </c>
      <c r="D624" s="471">
        <v>20125</v>
      </c>
      <c r="E624" s="476">
        <v>440193</v>
      </c>
      <c r="F624" s="484">
        <v>-3.8695013602356297E-2</v>
      </c>
      <c r="G624" s="467"/>
    </row>
    <row r="625" spans="2:7" x14ac:dyDescent="0.25">
      <c r="B625" s="470" t="s">
        <v>433</v>
      </c>
      <c r="C625" s="474">
        <v>43130</v>
      </c>
      <c r="D625" s="471">
        <v>20287</v>
      </c>
      <c r="E625" s="476">
        <v>649677</v>
      </c>
      <c r="F625" s="484">
        <v>8.0174635145653424E-3</v>
      </c>
      <c r="G625" s="467"/>
    </row>
    <row r="626" spans="2:7" x14ac:dyDescent="0.25">
      <c r="B626" s="470" t="s">
        <v>433</v>
      </c>
      <c r="C626" s="474">
        <v>43131</v>
      </c>
      <c r="D626" s="471">
        <v>20500</v>
      </c>
      <c r="E626" s="476">
        <v>823752</v>
      </c>
      <c r="F626" s="484">
        <v>1.0444599325170214E-2</v>
      </c>
      <c r="G626" s="467"/>
    </row>
    <row r="627" spans="2:7" x14ac:dyDescent="0.25">
      <c r="B627" s="470" t="s">
        <v>433</v>
      </c>
      <c r="C627" s="474">
        <v>43132</v>
      </c>
      <c r="D627" s="471">
        <v>20000</v>
      </c>
      <c r="E627" s="476">
        <v>445889</v>
      </c>
      <c r="F627" s="484">
        <v>-2.4692612590371522E-2</v>
      </c>
      <c r="G627" s="467"/>
    </row>
    <row r="628" spans="2:7" x14ac:dyDescent="0.25">
      <c r="B628" s="470" t="s">
        <v>433</v>
      </c>
      <c r="C628" s="474">
        <v>43133</v>
      </c>
      <c r="D628" s="471">
        <v>19926</v>
      </c>
      <c r="E628" s="476">
        <v>704180</v>
      </c>
      <c r="F628" s="484">
        <v>-3.7068619313265121E-3</v>
      </c>
      <c r="G628" s="467"/>
    </row>
    <row r="629" spans="2:7" x14ac:dyDescent="0.25">
      <c r="B629" s="470" t="s">
        <v>433</v>
      </c>
      <c r="C629" s="474">
        <v>43136</v>
      </c>
      <c r="D629" s="471">
        <v>18963</v>
      </c>
      <c r="E629" s="476">
        <v>484196</v>
      </c>
      <c r="F629" s="484">
        <v>-4.9535699464393179E-2</v>
      </c>
      <c r="G629" s="467"/>
    </row>
    <row r="630" spans="2:7" x14ac:dyDescent="0.25">
      <c r="B630" s="470" t="s">
        <v>433</v>
      </c>
      <c r="C630" s="474">
        <v>43137</v>
      </c>
      <c r="D630" s="471">
        <v>19025</v>
      </c>
      <c r="E630" s="476">
        <v>938584</v>
      </c>
      <c r="F630" s="484">
        <v>3.2641915894780923E-3</v>
      </c>
      <c r="G630" s="467"/>
    </row>
    <row r="631" spans="2:7" x14ac:dyDescent="0.25">
      <c r="B631" s="470" t="s">
        <v>433</v>
      </c>
      <c r="C631" s="474">
        <v>43138</v>
      </c>
      <c r="D631" s="471">
        <v>19200</v>
      </c>
      <c r="E631" s="476">
        <v>1030946</v>
      </c>
      <c r="F631" s="484">
        <v>9.1563752859862412E-3</v>
      </c>
      <c r="G631" s="467"/>
    </row>
    <row r="632" spans="2:7" x14ac:dyDescent="0.25">
      <c r="B632" s="470" t="s">
        <v>433</v>
      </c>
      <c r="C632" s="474">
        <v>43139</v>
      </c>
      <c r="D632" s="471">
        <v>19625</v>
      </c>
      <c r="E632" s="476">
        <v>610149</v>
      </c>
      <c r="F632" s="484">
        <v>2.1893984634736338E-2</v>
      </c>
      <c r="G632" s="467"/>
    </row>
    <row r="633" spans="2:7" x14ac:dyDescent="0.25">
      <c r="B633" s="470" t="s">
        <v>433</v>
      </c>
      <c r="C633" s="474">
        <v>43140</v>
      </c>
      <c r="D633" s="471">
        <v>19376</v>
      </c>
      <c r="E633" s="476">
        <v>548429</v>
      </c>
      <c r="F633" s="484">
        <v>-1.2769076857735638E-2</v>
      </c>
      <c r="G633" s="467"/>
    </row>
    <row r="634" spans="2:7" x14ac:dyDescent="0.25">
      <c r="B634" s="470" t="s">
        <v>433</v>
      </c>
      <c r="C634" s="474">
        <v>43143</v>
      </c>
      <c r="D634" s="471">
        <v>19887</v>
      </c>
      <c r="E634" s="476">
        <v>440398</v>
      </c>
      <c r="F634" s="484">
        <v>2.60310651166277E-2</v>
      </c>
      <c r="G634" s="467"/>
    </row>
    <row r="635" spans="2:7" x14ac:dyDescent="0.25">
      <c r="B635" s="470" t="s">
        <v>433</v>
      </c>
      <c r="C635" s="474">
        <v>43144</v>
      </c>
      <c r="D635" s="471">
        <v>20832</v>
      </c>
      <c r="E635" s="476">
        <v>655727</v>
      </c>
      <c r="F635" s="484">
        <v>4.6424014098794569E-2</v>
      </c>
      <c r="G635" s="467"/>
    </row>
    <row r="636" spans="2:7" x14ac:dyDescent="0.25">
      <c r="B636" s="470" t="s">
        <v>433</v>
      </c>
      <c r="C636" s="474">
        <v>43145</v>
      </c>
      <c r="D636" s="471">
        <v>21224</v>
      </c>
      <c r="E636" s="476">
        <v>566544</v>
      </c>
      <c r="F636" s="484">
        <v>1.8642350809279774E-2</v>
      </c>
      <c r="G636" s="467"/>
    </row>
    <row r="637" spans="2:7" x14ac:dyDescent="0.25">
      <c r="B637" s="470" t="s">
        <v>433</v>
      </c>
      <c r="C637" s="474">
        <v>43146</v>
      </c>
      <c r="D637" s="471">
        <v>21784</v>
      </c>
      <c r="E637" s="476">
        <v>573221</v>
      </c>
      <c r="F637" s="484">
        <v>2.6043138536019875E-2</v>
      </c>
      <c r="G637" s="467"/>
    </row>
    <row r="638" spans="2:7" x14ac:dyDescent="0.25">
      <c r="B638" s="470" t="s">
        <v>433</v>
      </c>
      <c r="C638" s="474">
        <v>43147</v>
      </c>
      <c r="D638" s="471">
        <v>21780</v>
      </c>
      <c r="E638" s="476">
        <v>736818</v>
      </c>
      <c r="F638" s="484">
        <v>-1.8363786664408747E-4</v>
      </c>
      <c r="G638" s="467"/>
    </row>
    <row r="639" spans="2:7" x14ac:dyDescent="0.25">
      <c r="B639" s="470" t="s">
        <v>433</v>
      </c>
      <c r="C639" s="474">
        <v>43150</v>
      </c>
      <c r="D639" s="471">
        <v>21092</v>
      </c>
      <c r="E639" s="476">
        <v>316044</v>
      </c>
      <c r="F639" s="484">
        <v>-3.2098295836591031E-2</v>
      </c>
      <c r="G639" s="467"/>
    </row>
    <row r="640" spans="2:7" x14ac:dyDescent="0.25">
      <c r="B640" s="470" t="s">
        <v>433</v>
      </c>
      <c r="C640" s="474">
        <v>43151</v>
      </c>
      <c r="D640" s="471">
        <v>21196</v>
      </c>
      <c r="E640" s="476">
        <v>312822</v>
      </c>
      <c r="F640" s="484">
        <v>4.9186629622923568E-3</v>
      </c>
      <c r="G640" s="467"/>
    </row>
    <row r="641" spans="2:7" x14ac:dyDescent="0.25">
      <c r="B641" s="470" t="s">
        <v>433</v>
      </c>
      <c r="C641" s="474">
        <v>43152</v>
      </c>
      <c r="D641" s="471">
        <v>20850</v>
      </c>
      <c r="E641" s="476">
        <v>999065</v>
      </c>
      <c r="F641" s="484">
        <v>-1.6458536385705217E-2</v>
      </c>
      <c r="G641" s="467"/>
    </row>
    <row r="642" spans="2:7" x14ac:dyDescent="0.25">
      <c r="B642" s="470" t="s">
        <v>433</v>
      </c>
      <c r="C642" s="474">
        <v>43153</v>
      </c>
      <c r="D642" s="471">
        <v>21085</v>
      </c>
      <c r="E642" s="476">
        <v>473596</v>
      </c>
      <c r="F642" s="484">
        <v>1.1207938953712703E-2</v>
      </c>
      <c r="G642" s="467"/>
    </row>
    <row r="643" spans="2:7" x14ac:dyDescent="0.25">
      <c r="B643" s="470" t="s">
        <v>433</v>
      </c>
      <c r="C643" s="474">
        <v>43154</v>
      </c>
      <c r="D643" s="471">
        <v>22112</v>
      </c>
      <c r="E643" s="476">
        <v>618254</v>
      </c>
      <c r="F643" s="484">
        <v>4.7558560386736115E-2</v>
      </c>
      <c r="G643" s="467"/>
    </row>
    <row r="644" spans="2:7" x14ac:dyDescent="0.25">
      <c r="B644" s="470" t="s">
        <v>433</v>
      </c>
      <c r="C644" s="474">
        <v>43157</v>
      </c>
      <c r="D644" s="471">
        <v>22000</v>
      </c>
      <c r="E644" s="476">
        <v>960182</v>
      </c>
      <c r="F644" s="484">
        <v>-5.0779942269435826E-3</v>
      </c>
      <c r="G644" s="467"/>
    </row>
    <row r="645" spans="2:7" x14ac:dyDescent="0.25">
      <c r="B645" s="470" t="s">
        <v>433</v>
      </c>
      <c r="C645" s="474">
        <v>43158</v>
      </c>
      <c r="D645" s="471">
        <v>22265</v>
      </c>
      <c r="E645" s="476">
        <v>603624</v>
      </c>
      <c r="F645" s="484">
        <v>1.1973485415349773E-2</v>
      </c>
      <c r="G645" s="467"/>
    </row>
    <row r="646" spans="2:7" x14ac:dyDescent="0.25">
      <c r="B646" s="470" t="s">
        <v>433</v>
      </c>
      <c r="C646" s="474">
        <v>43159</v>
      </c>
      <c r="D646" s="471">
        <v>21860</v>
      </c>
      <c r="E646" s="476">
        <v>601759</v>
      </c>
      <c r="F646" s="484">
        <v>-1.8357456025273229E-2</v>
      </c>
      <c r="G646" s="467"/>
    </row>
    <row r="647" spans="2:7" x14ac:dyDescent="0.25">
      <c r="B647" s="470" t="s">
        <v>433</v>
      </c>
      <c r="C647" s="474">
        <v>43160</v>
      </c>
      <c r="D647" s="471">
        <v>21701</v>
      </c>
      <c r="E647" s="476">
        <v>717208</v>
      </c>
      <c r="F647" s="484">
        <v>-7.3001403144563578E-3</v>
      </c>
      <c r="G647" s="467"/>
    </row>
    <row r="648" spans="2:7" x14ac:dyDescent="0.25">
      <c r="B648" s="470" t="s">
        <v>433</v>
      </c>
      <c r="C648" s="474">
        <v>43161</v>
      </c>
      <c r="D648" s="471">
        <v>21965</v>
      </c>
      <c r="E648" s="476">
        <v>509488</v>
      </c>
      <c r="F648" s="484">
        <v>1.2091934993806758E-2</v>
      </c>
      <c r="G648" s="467"/>
    </row>
    <row r="649" spans="2:7" x14ac:dyDescent="0.25">
      <c r="B649" s="470" t="s">
        <v>433</v>
      </c>
      <c r="C649" s="474">
        <v>43164</v>
      </c>
      <c r="D649" s="471">
        <v>21918</v>
      </c>
      <c r="E649" s="476">
        <v>619814</v>
      </c>
      <c r="F649" s="484">
        <v>-2.1420603865424334E-3</v>
      </c>
      <c r="G649" s="467"/>
    </row>
    <row r="650" spans="2:7" x14ac:dyDescent="0.25">
      <c r="B650" s="470" t="s">
        <v>433</v>
      </c>
      <c r="C650" s="474">
        <v>43165</v>
      </c>
      <c r="D650" s="471">
        <v>21983</v>
      </c>
      <c r="E650" s="476">
        <v>701689</v>
      </c>
      <c r="F650" s="484">
        <v>2.9612103367794677E-3</v>
      </c>
      <c r="G650" s="467"/>
    </row>
    <row r="651" spans="2:7" x14ac:dyDescent="0.25">
      <c r="B651" s="470" t="s">
        <v>433</v>
      </c>
      <c r="C651" s="474">
        <v>43166</v>
      </c>
      <c r="D651" s="471">
        <v>22175</v>
      </c>
      <c r="E651" s="476">
        <v>762288</v>
      </c>
      <c r="F651" s="484">
        <v>8.6961008176632427E-3</v>
      </c>
      <c r="G651" s="467"/>
    </row>
    <row r="652" spans="2:7" x14ac:dyDescent="0.25">
      <c r="B652" s="470" t="s">
        <v>433</v>
      </c>
      <c r="C652" s="474">
        <v>43167</v>
      </c>
      <c r="D652" s="471">
        <v>21346</v>
      </c>
      <c r="E652" s="476">
        <v>652957</v>
      </c>
      <c r="F652" s="484">
        <v>-3.8101159703869944E-2</v>
      </c>
      <c r="G652" s="467"/>
    </row>
    <row r="653" spans="2:7" x14ac:dyDescent="0.25">
      <c r="B653" s="470" t="s">
        <v>433</v>
      </c>
      <c r="C653" s="474">
        <v>43168</v>
      </c>
      <c r="D653" s="471">
        <v>21507</v>
      </c>
      <c r="E653" s="476">
        <v>500585</v>
      </c>
      <c r="F653" s="484">
        <v>7.5140950470715551E-3</v>
      </c>
      <c r="G653" s="467"/>
    </row>
    <row r="654" spans="2:7" x14ac:dyDescent="0.25">
      <c r="B654" s="470" t="s">
        <v>433</v>
      </c>
      <c r="C654" s="474">
        <v>43171</v>
      </c>
      <c r="D654" s="471">
        <v>21270</v>
      </c>
      <c r="E654" s="476">
        <v>610941</v>
      </c>
      <c r="F654" s="484">
        <v>-1.1080834326699008E-2</v>
      </c>
      <c r="G654" s="467"/>
    </row>
    <row r="655" spans="2:7" x14ac:dyDescent="0.25">
      <c r="B655" s="470" t="s">
        <v>433</v>
      </c>
      <c r="C655" s="474">
        <v>43172</v>
      </c>
      <c r="D655" s="471">
        <v>20997</v>
      </c>
      <c r="E655" s="476">
        <v>451203</v>
      </c>
      <c r="F655" s="484">
        <v>-1.2918058836633481E-2</v>
      </c>
      <c r="G655" s="467"/>
    </row>
    <row r="656" spans="2:7" x14ac:dyDescent="0.25">
      <c r="B656" s="470" t="s">
        <v>433</v>
      </c>
      <c r="C656" s="474">
        <v>43173</v>
      </c>
      <c r="D656" s="471">
        <v>20501</v>
      </c>
      <c r="E656" s="476">
        <v>367756</v>
      </c>
      <c r="F656" s="484">
        <v>-2.3905904933074189E-2</v>
      </c>
      <c r="G656" s="467"/>
    </row>
    <row r="657" spans="2:7" x14ac:dyDescent="0.25">
      <c r="B657" s="470" t="s">
        <v>433</v>
      </c>
      <c r="C657" s="474">
        <v>43174</v>
      </c>
      <c r="D657" s="471">
        <v>20444</v>
      </c>
      <c r="E657" s="476">
        <v>1404757</v>
      </c>
      <c r="F657" s="484">
        <v>-2.7842245364049865E-3</v>
      </c>
      <c r="G657" s="467"/>
    </row>
    <row r="658" spans="2:7" x14ac:dyDescent="0.25">
      <c r="B658" s="470" t="s">
        <v>433</v>
      </c>
      <c r="C658" s="474">
        <v>43175</v>
      </c>
      <c r="D658" s="471">
        <v>20962</v>
      </c>
      <c r="E658" s="476">
        <v>2083514</v>
      </c>
      <c r="F658" s="484">
        <v>2.5021833841952484E-2</v>
      </c>
      <c r="G658" s="467"/>
    </row>
    <row r="659" spans="2:7" x14ac:dyDescent="0.25">
      <c r="B659" s="470" t="s">
        <v>433</v>
      </c>
      <c r="C659" s="474">
        <v>43178</v>
      </c>
      <c r="D659" s="471">
        <v>20958</v>
      </c>
      <c r="E659" s="476">
        <v>293347</v>
      </c>
      <c r="F659" s="484">
        <v>-1.9083969523570784E-4</v>
      </c>
      <c r="G659" s="467"/>
    </row>
    <row r="660" spans="2:7" x14ac:dyDescent="0.25">
      <c r="B660" s="470" t="s">
        <v>433</v>
      </c>
      <c r="C660" s="474">
        <v>43179</v>
      </c>
      <c r="D660" s="471">
        <v>20950</v>
      </c>
      <c r="E660" s="476">
        <v>340031</v>
      </c>
      <c r="F660" s="484">
        <v>-3.8178868460315551E-4</v>
      </c>
      <c r="G660" s="467"/>
    </row>
    <row r="661" spans="2:7" x14ac:dyDescent="0.25">
      <c r="B661" s="470" t="s">
        <v>433</v>
      </c>
      <c r="C661" s="474">
        <v>43181</v>
      </c>
      <c r="D661" s="471">
        <v>21000</v>
      </c>
      <c r="E661" s="476">
        <v>586495</v>
      </c>
      <c r="F661" s="484">
        <v>2.3837913552761975E-3</v>
      </c>
      <c r="G661" s="467"/>
    </row>
    <row r="662" spans="2:7" x14ac:dyDescent="0.25">
      <c r="B662" s="470" t="s">
        <v>433</v>
      </c>
      <c r="C662" s="474">
        <v>43182</v>
      </c>
      <c r="D662" s="471">
        <v>20900</v>
      </c>
      <c r="E662" s="476">
        <v>411890</v>
      </c>
      <c r="F662" s="484">
        <v>-4.7732787526576599E-3</v>
      </c>
      <c r="G662" s="467"/>
    </row>
    <row r="663" spans="2:7" x14ac:dyDescent="0.25">
      <c r="B663" s="470" t="s">
        <v>433</v>
      </c>
      <c r="C663" s="474">
        <v>43185</v>
      </c>
      <c r="D663" s="471">
        <v>20798</v>
      </c>
      <c r="E663" s="476">
        <v>467976</v>
      </c>
      <c r="F663" s="484">
        <v>-4.8923307327242739E-3</v>
      </c>
      <c r="G663" s="467"/>
    </row>
    <row r="664" spans="2:7" x14ac:dyDescent="0.25">
      <c r="B664" s="470" t="s">
        <v>433</v>
      </c>
      <c r="C664" s="474">
        <v>43186</v>
      </c>
      <c r="D664" s="471">
        <v>20367</v>
      </c>
      <c r="E664" s="476">
        <v>484051</v>
      </c>
      <c r="F664" s="484">
        <v>-2.0940884250421343E-2</v>
      </c>
      <c r="G664" s="467"/>
    </row>
    <row r="665" spans="2:7" x14ac:dyDescent="0.25">
      <c r="B665" s="470" t="s">
        <v>433</v>
      </c>
      <c r="C665" s="474">
        <v>43187</v>
      </c>
      <c r="D665" s="471">
        <v>20135</v>
      </c>
      <c r="E665" s="476">
        <v>651229</v>
      </c>
      <c r="F665" s="484">
        <v>-1.1456349684202175E-2</v>
      </c>
      <c r="G665" s="467"/>
    </row>
    <row r="666" spans="2:7" x14ac:dyDescent="0.25">
      <c r="B666" s="470" t="s">
        <v>433</v>
      </c>
      <c r="C666" s="474">
        <v>43188</v>
      </c>
      <c r="D666" s="471">
        <v>20256</v>
      </c>
      <c r="E666" s="476">
        <v>860904</v>
      </c>
      <c r="F666" s="484">
        <v>5.9914516583482111E-3</v>
      </c>
      <c r="G666" s="467"/>
    </row>
    <row r="667" spans="2:7" x14ac:dyDescent="0.25">
      <c r="B667" s="470" t="s">
        <v>433</v>
      </c>
      <c r="C667" s="474">
        <v>43193</v>
      </c>
      <c r="D667" s="471">
        <v>20099</v>
      </c>
      <c r="E667" s="476">
        <v>785611</v>
      </c>
      <c r="F667" s="484">
        <v>-7.7809833781508717E-3</v>
      </c>
      <c r="G667" s="467"/>
    </row>
    <row r="668" spans="2:7" x14ac:dyDescent="0.25">
      <c r="B668" s="470" t="s">
        <v>433</v>
      </c>
      <c r="C668" s="474">
        <v>43194</v>
      </c>
      <c r="D668" s="471">
        <v>20108</v>
      </c>
      <c r="E668" s="476">
        <v>638625</v>
      </c>
      <c r="F668" s="484">
        <v>4.4768324671411993E-4</v>
      </c>
      <c r="G668" s="467"/>
    </row>
    <row r="669" spans="2:7" x14ac:dyDescent="0.25">
      <c r="B669" s="470" t="s">
        <v>433</v>
      </c>
      <c r="C669" s="474">
        <v>43195</v>
      </c>
      <c r="D669" s="471">
        <v>20100</v>
      </c>
      <c r="E669" s="476">
        <v>573843</v>
      </c>
      <c r="F669" s="484">
        <v>-3.9793076529879754E-4</v>
      </c>
      <c r="G669" s="467"/>
    </row>
    <row r="670" spans="2:7" x14ac:dyDescent="0.25">
      <c r="B670" s="470" t="s">
        <v>433</v>
      </c>
      <c r="C670" s="474">
        <v>43196</v>
      </c>
      <c r="D670" s="471">
        <v>20000</v>
      </c>
      <c r="E670" s="476">
        <v>519641</v>
      </c>
      <c r="F670" s="484">
        <v>-4.9875415110390512E-3</v>
      </c>
      <c r="G670" s="467"/>
    </row>
    <row r="671" spans="2:7" x14ac:dyDescent="0.25">
      <c r="B671" s="470" t="s">
        <v>433</v>
      </c>
      <c r="C671" s="474">
        <v>43199</v>
      </c>
      <c r="D671" s="471">
        <v>20000</v>
      </c>
      <c r="E671" s="476">
        <v>748752</v>
      </c>
      <c r="F671" s="484">
        <v>0</v>
      </c>
      <c r="G671" s="467"/>
    </row>
    <row r="672" spans="2:7" x14ac:dyDescent="0.25">
      <c r="B672" s="470" t="s">
        <v>433</v>
      </c>
      <c r="C672" s="474">
        <v>43200</v>
      </c>
      <c r="D672" s="471">
        <v>20165</v>
      </c>
      <c r="E672" s="476">
        <v>393949</v>
      </c>
      <c r="F672" s="484">
        <v>8.2161547713405642E-3</v>
      </c>
      <c r="G672" s="467"/>
    </row>
    <row r="673" spans="2:7" x14ac:dyDescent="0.25">
      <c r="B673" s="470" t="s">
        <v>433</v>
      </c>
      <c r="C673" s="474">
        <v>43201</v>
      </c>
      <c r="D673" s="471">
        <v>20206</v>
      </c>
      <c r="E673" s="476">
        <v>389338</v>
      </c>
      <c r="F673" s="484">
        <v>2.0311616802089934E-3</v>
      </c>
      <c r="G673" s="467"/>
    </row>
    <row r="674" spans="2:7" x14ac:dyDescent="0.25">
      <c r="B674" s="470" t="s">
        <v>433</v>
      </c>
      <c r="C674" s="474">
        <v>43202</v>
      </c>
      <c r="D674" s="471">
        <v>20009</v>
      </c>
      <c r="E674" s="476">
        <v>297389</v>
      </c>
      <c r="F674" s="484">
        <v>-9.7974176711848066E-3</v>
      </c>
      <c r="G674" s="467"/>
    </row>
    <row r="675" spans="2:7" x14ac:dyDescent="0.25">
      <c r="B675" s="470" t="s">
        <v>433</v>
      </c>
      <c r="C675" s="474">
        <v>43203</v>
      </c>
      <c r="D675" s="471">
        <v>20186</v>
      </c>
      <c r="E675" s="476">
        <v>407070</v>
      </c>
      <c r="F675" s="484">
        <v>8.8071224823120017E-3</v>
      </c>
      <c r="G675" s="467"/>
    </row>
    <row r="676" spans="2:7" x14ac:dyDescent="0.25">
      <c r="B676" s="470" t="s">
        <v>433</v>
      </c>
      <c r="C676" s="474">
        <v>43206</v>
      </c>
      <c r="D676" s="471">
        <v>20270</v>
      </c>
      <c r="E676" s="476">
        <v>339124</v>
      </c>
      <c r="F676" s="484">
        <v>4.1526656472409863E-3</v>
      </c>
      <c r="G676" s="467"/>
    </row>
    <row r="677" spans="2:7" x14ac:dyDescent="0.25">
      <c r="B677" s="470" t="s">
        <v>433</v>
      </c>
      <c r="C677" s="474">
        <v>43207</v>
      </c>
      <c r="D677" s="471">
        <v>20744</v>
      </c>
      <c r="E677" s="476">
        <v>421297</v>
      </c>
      <c r="F677" s="484">
        <v>2.3115087772454614E-2</v>
      </c>
      <c r="G677" s="467"/>
    </row>
    <row r="678" spans="2:7" x14ac:dyDescent="0.25">
      <c r="B678" s="470" t="s">
        <v>433</v>
      </c>
      <c r="C678" s="474">
        <v>43208</v>
      </c>
      <c r="D678" s="471">
        <v>20700</v>
      </c>
      <c r="E678" s="476">
        <v>596430</v>
      </c>
      <c r="F678" s="484">
        <v>-2.1233479650398209E-3</v>
      </c>
      <c r="G678" s="467"/>
    </row>
    <row r="679" spans="2:7" x14ac:dyDescent="0.25">
      <c r="B679" s="470" t="s">
        <v>433</v>
      </c>
      <c r="C679" s="474">
        <v>43209</v>
      </c>
      <c r="D679" s="471">
        <v>20715</v>
      </c>
      <c r="E679" s="476">
        <v>364460</v>
      </c>
      <c r="F679" s="484">
        <v>7.2437525804170159E-4</v>
      </c>
      <c r="G679" s="467"/>
    </row>
    <row r="680" spans="2:7" x14ac:dyDescent="0.25">
      <c r="B680" s="470" t="s">
        <v>433</v>
      </c>
      <c r="C680" s="474">
        <v>43210</v>
      </c>
      <c r="D680" s="471">
        <v>20914</v>
      </c>
      <c r="E680" s="476">
        <v>454275</v>
      </c>
      <c r="F680" s="484">
        <v>9.560715647031974E-3</v>
      </c>
      <c r="G680" s="467"/>
    </row>
    <row r="681" spans="2:7" x14ac:dyDescent="0.25">
      <c r="B681" s="470" t="s">
        <v>433</v>
      </c>
      <c r="C681" s="474">
        <v>43213</v>
      </c>
      <c r="D681" s="471">
        <v>20865</v>
      </c>
      <c r="E681" s="476">
        <v>342519</v>
      </c>
      <c r="F681" s="484">
        <v>-2.3456771328811414E-3</v>
      </c>
      <c r="G681" s="467"/>
    </row>
    <row r="682" spans="2:7" x14ac:dyDescent="0.25">
      <c r="B682" s="470" t="s">
        <v>433</v>
      </c>
      <c r="C682" s="474">
        <v>43214</v>
      </c>
      <c r="D682" s="471">
        <v>20676</v>
      </c>
      <c r="E682" s="476">
        <v>171520</v>
      </c>
      <c r="F682" s="484">
        <v>-9.099506709723015E-3</v>
      </c>
      <c r="G682" s="467"/>
    </row>
    <row r="683" spans="2:7" x14ac:dyDescent="0.25">
      <c r="B683" s="470" t="s">
        <v>433</v>
      </c>
      <c r="C683" s="474">
        <v>43215</v>
      </c>
      <c r="D683" s="471">
        <v>20930</v>
      </c>
      <c r="E683" s="476">
        <v>266323</v>
      </c>
      <c r="F683" s="484">
        <v>1.2209929124115435E-2</v>
      </c>
      <c r="G683" s="467"/>
    </row>
    <row r="684" spans="2:7" x14ac:dyDescent="0.25">
      <c r="B684" s="470" t="s">
        <v>433</v>
      </c>
      <c r="C684" s="474">
        <v>43216</v>
      </c>
      <c r="D684" s="471">
        <v>20864</v>
      </c>
      <c r="E684" s="476">
        <v>308483</v>
      </c>
      <c r="F684" s="484">
        <v>-3.1583507136658758E-3</v>
      </c>
      <c r="G684" s="467"/>
    </row>
    <row r="685" spans="2:7" x14ac:dyDescent="0.25">
      <c r="B685" s="470" t="s">
        <v>433</v>
      </c>
      <c r="C685" s="474">
        <v>43220</v>
      </c>
      <c r="D685" s="471">
        <v>21145</v>
      </c>
      <c r="E685" s="476">
        <v>433489</v>
      </c>
      <c r="F685" s="484">
        <v>1.3378285180209348E-2</v>
      </c>
      <c r="G685" s="467"/>
    </row>
    <row r="686" spans="2:7" x14ac:dyDescent="0.25">
      <c r="B686" s="470" t="s">
        <v>433</v>
      </c>
      <c r="C686" s="474">
        <v>43222</v>
      </c>
      <c r="D686" s="471">
        <v>21000</v>
      </c>
      <c r="E686" s="476">
        <v>274677</v>
      </c>
      <c r="F686" s="484">
        <v>-6.8810332010288949E-3</v>
      </c>
      <c r="G686" s="467"/>
    </row>
    <row r="687" spans="2:7" x14ac:dyDescent="0.25">
      <c r="B687" s="470" t="s">
        <v>433</v>
      </c>
      <c r="C687" s="474">
        <v>43223</v>
      </c>
      <c r="D687" s="471">
        <v>20390</v>
      </c>
      <c r="E687" s="476">
        <v>498541</v>
      </c>
      <c r="F687" s="484">
        <v>-2.9477853137059244E-2</v>
      </c>
      <c r="G687" s="467"/>
    </row>
    <row r="688" spans="2:7" x14ac:dyDescent="0.25">
      <c r="B688" s="470" t="s">
        <v>433</v>
      </c>
      <c r="C688" s="474">
        <v>43224</v>
      </c>
      <c r="D688" s="471">
        <v>20400</v>
      </c>
      <c r="E688" s="476">
        <v>350649</v>
      </c>
      <c r="F688" s="484">
        <v>4.903162638069552E-4</v>
      </c>
      <c r="G688" s="467"/>
    </row>
    <row r="689" spans="2:7" x14ac:dyDescent="0.25">
      <c r="B689" s="470" t="s">
        <v>433</v>
      </c>
      <c r="C689" s="474">
        <v>43227</v>
      </c>
      <c r="D689" s="471">
        <v>20261</v>
      </c>
      <c r="E689" s="476">
        <v>218563</v>
      </c>
      <c r="F689" s="484">
        <v>-6.8370449061565409E-3</v>
      </c>
      <c r="G689" s="467"/>
    </row>
    <row r="690" spans="2:7" x14ac:dyDescent="0.25">
      <c r="B690" s="470" t="s">
        <v>433</v>
      </c>
      <c r="C690" s="474">
        <v>43228</v>
      </c>
      <c r="D690" s="471">
        <v>19916</v>
      </c>
      <c r="E690" s="476">
        <v>423507</v>
      </c>
      <c r="F690" s="484">
        <v>-1.717442716407791E-2</v>
      </c>
      <c r="G690" s="467"/>
    </row>
    <row r="691" spans="2:7" x14ac:dyDescent="0.25">
      <c r="B691" s="470" t="s">
        <v>433</v>
      </c>
      <c r="C691" s="474">
        <v>43229</v>
      </c>
      <c r="D691" s="471">
        <v>20078</v>
      </c>
      <c r="E691" s="476">
        <v>455738</v>
      </c>
      <c r="F691" s="484">
        <v>8.1012594893984987E-3</v>
      </c>
      <c r="G691" s="467"/>
    </row>
    <row r="692" spans="2:7" x14ac:dyDescent="0.25">
      <c r="B692" s="470" t="s">
        <v>433</v>
      </c>
      <c r="C692" s="474">
        <v>43230</v>
      </c>
      <c r="D692" s="471">
        <v>19925</v>
      </c>
      <c r="E692" s="476">
        <v>751137</v>
      </c>
      <c r="F692" s="484">
        <v>-7.64946359305607E-3</v>
      </c>
      <c r="G692" s="467"/>
    </row>
    <row r="693" spans="2:7" x14ac:dyDescent="0.25">
      <c r="B693" s="470" t="s">
        <v>433</v>
      </c>
      <c r="C693" s="474">
        <v>43231</v>
      </c>
      <c r="D693" s="471">
        <v>20236</v>
      </c>
      <c r="E693" s="476">
        <v>600077</v>
      </c>
      <c r="F693" s="484">
        <v>1.5487971753410988E-2</v>
      </c>
      <c r="G693" s="467"/>
    </row>
    <row r="694" spans="2:7" x14ac:dyDescent="0.25">
      <c r="B694" s="470" t="s">
        <v>433</v>
      </c>
      <c r="C694" s="474">
        <v>43234</v>
      </c>
      <c r="D694" s="471">
        <v>20316</v>
      </c>
      <c r="E694" s="476">
        <v>526715</v>
      </c>
      <c r="F694" s="484">
        <v>3.9455565093088462E-3</v>
      </c>
      <c r="G694" s="467"/>
    </row>
    <row r="695" spans="2:7" x14ac:dyDescent="0.25">
      <c r="B695" s="470" t="s">
        <v>433</v>
      </c>
      <c r="C695" s="474">
        <v>43235</v>
      </c>
      <c r="D695" s="471">
        <v>19853</v>
      </c>
      <c r="E695" s="476">
        <v>516693</v>
      </c>
      <c r="F695" s="484">
        <v>-2.3053623724056754E-2</v>
      </c>
      <c r="G695" s="467"/>
    </row>
    <row r="696" spans="2:7" x14ac:dyDescent="0.25">
      <c r="B696" s="470" t="s">
        <v>433</v>
      </c>
      <c r="C696" s="474">
        <v>43236</v>
      </c>
      <c r="D696" s="471">
        <v>19979</v>
      </c>
      <c r="E696" s="476">
        <v>646023</v>
      </c>
      <c r="F696" s="484">
        <v>6.3265927028700996E-3</v>
      </c>
      <c r="G696" s="467"/>
    </row>
    <row r="697" spans="2:7" x14ac:dyDescent="0.25">
      <c r="B697" s="470" t="s">
        <v>433</v>
      </c>
      <c r="C697" s="474">
        <v>43237</v>
      </c>
      <c r="D697" s="471">
        <v>19124</v>
      </c>
      <c r="E697" s="476">
        <v>577862</v>
      </c>
      <c r="F697" s="484">
        <v>-4.3737631153954924E-2</v>
      </c>
      <c r="G697" s="467"/>
    </row>
    <row r="698" spans="2:7" x14ac:dyDescent="0.25">
      <c r="B698" s="470" t="s">
        <v>433</v>
      </c>
      <c r="C698" s="474">
        <v>43238</v>
      </c>
      <c r="D698" s="471">
        <v>18998</v>
      </c>
      <c r="E698" s="476">
        <v>703581</v>
      </c>
      <c r="F698" s="484">
        <v>-6.61038029586619E-3</v>
      </c>
      <c r="G698" s="467"/>
    </row>
    <row r="699" spans="2:7" x14ac:dyDescent="0.25">
      <c r="B699" s="470" t="s">
        <v>433</v>
      </c>
      <c r="C699" s="474">
        <v>43241</v>
      </c>
      <c r="D699" s="471">
        <v>18766</v>
      </c>
      <c r="E699" s="476">
        <v>720891</v>
      </c>
      <c r="F699" s="484">
        <v>-1.228698860013284E-2</v>
      </c>
      <c r="G699" s="467"/>
    </row>
    <row r="700" spans="2:7" x14ac:dyDescent="0.25">
      <c r="B700" s="470" t="s">
        <v>433</v>
      </c>
      <c r="C700" s="474">
        <v>43242</v>
      </c>
      <c r="D700" s="471">
        <v>18955</v>
      </c>
      <c r="E700" s="476">
        <v>635168</v>
      </c>
      <c r="F700" s="484">
        <v>1.0021027100440248E-2</v>
      </c>
      <c r="G700" s="467"/>
    </row>
    <row r="701" spans="2:7" x14ac:dyDescent="0.25">
      <c r="B701" s="470" t="s">
        <v>433</v>
      </c>
      <c r="C701" s="474">
        <v>43243</v>
      </c>
      <c r="D701" s="471">
        <v>18880</v>
      </c>
      <c r="E701" s="476">
        <v>477148</v>
      </c>
      <c r="F701" s="484">
        <v>-3.9645882509434776E-3</v>
      </c>
      <c r="G701" s="467"/>
    </row>
    <row r="702" spans="2:7" x14ac:dyDescent="0.25">
      <c r="B702" s="470" t="s">
        <v>433</v>
      </c>
      <c r="C702" s="474">
        <v>43244</v>
      </c>
      <c r="D702" s="471">
        <v>18490</v>
      </c>
      <c r="E702" s="476">
        <v>543309</v>
      </c>
      <c r="F702" s="484">
        <v>-2.087311531832118E-2</v>
      </c>
      <c r="G702" s="467"/>
    </row>
    <row r="703" spans="2:7" x14ac:dyDescent="0.25">
      <c r="B703" s="470" t="s">
        <v>433</v>
      </c>
      <c r="C703" s="474">
        <v>43245</v>
      </c>
      <c r="D703" s="471">
        <v>18985</v>
      </c>
      <c r="E703" s="476">
        <v>403231</v>
      </c>
      <c r="F703" s="484">
        <v>2.641914828473213E-2</v>
      </c>
      <c r="G703" s="467"/>
    </row>
    <row r="704" spans="2:7" x14ac:dyDescent="0.25">
      <c r="B704" s="470" t="s">
        <v>433</v>
      </c>
      <c r="C704" s="474">
        <v>43248</v>
      </c>
      <c r="D704" s="471">
        <v>19100</v>
      </c>
      <c r="E704" s="476">
        <v>258422</v>
      </c>
      <c r="F704" s="484">
        <v>6.0391413688186306E-3</v>
      </c>
      <c r="G704" s="467"/>
    </row>
    <row r="705" spans="2:7" x14ac:dyDescent="0.25">
      <c r="B705" s="470" t="s">
        <v>433</v>
      </c>
      <c r="C705" s="474">
        <v>43249</v>
      </c>
      <c r="D705" s="471">
        <v>18725</v>
      </c>
      <c r="E705" s="476">
        <v>370913</v>
      </c>
      <c r="F705" s="484">
        <v>-1.9828805649300993E-2</v>
      </c>
      <c r="G705" s="467"/>
    </row>
    <row r="706" spans="2:7" x14ac:dyDescent="0.25">
      <c r="B706" s="470" t="s">
        <v>433</v>
      </c>
      <c r="C706" s="474">
        <v>43250</v>
      </c>
      <c r="D706" s="471">
        <v>19262</v>
      </c>
      <c r="E706" s="476">
        <v>768074</v>
      </c>
      <c r="F706" s="484">
        <v>2.8274713735389284E-2</v>
      </c>
      <c r="G706" s="467"/>
    </row>
    <row r="707" spans="2:7" x14ac:dyDescent="0.25">
      <c r="B707" s="470" t="s">
        <v>433</v>
      </c>
      <c r="C707" s="474">
        <v>43251</v>
      </c>
      <c r="D707" s="471">
        <v>19275</v>
      </c>
      <c r="E707" s="476">
        <v>1457840</v>
      </c>
      <c r="F707" s="484">
        <v>6.7467631072060444E-4</v>
      </c>
      <c r="G707" s="467"/>
    </row>
    <row r="708" spans="2:7" x14ac:dyDescent="0.25">
      <c r="B708" s="470" t="s">
        <v>433</v>
      </c>
      <c r="C708" s="474">
        <v>43252</v>
      </c>
      <c r="D708" s="471">
        <v>19334</v>
      </c>
      <c r="E708" s="476">
        <v>463345</v>
      </c>
      <c r="F708" s="484">
        <v>3.0562845930205275E-3</v>
      </c>
      <c r="G708" s="467"/>
    </row>
    <row r="709" spans="2:7" x14ac:dyDescent="0.25">
      <c r="B709" s="470" t="s">
        <v>433</v>
      </c>
      <c r="C709" s="474">
        <v>43255</v>
      </c>
      <c r="D709" s="471">
        <v>19735</v>
      </c>
      <c r="E709" s="476">
        <v>590202</v>
      </c>
      <c r="F709" s="484">
        <v>2.0528505072396744E-2</v>
      </c>
      <c r="G709" s="467"/>
    </row>
    <row r="710" spans="2:7" x14ac:dyDescent="0.25">
      <c r="B710" s="470" t="s">
        <v>433</v>
      </c>
      <c r="C710" s="474">
        <v>43256</v>
      </c>
      <c r="D710" s="471">
        <v>19345</v>
      </c>
      <c r="E710" s="476">
        <v>692638</v>
      </c>
      <c r="F710" s="484">
        <v>-1.9959720962334095E-2</v>
      </c>
      <c r="G710" s="467"/>
    </row>
    <row r="711" spans="2:7" x14ac:dyDescent="0.25">
      <c r="B711" s="470" t="s">
        <v>433</v>
      </c>
      <c r="C711" s="474">
        <v>43257</v>
      </c>
      <c r="D711" s="471">
        <v>19475</v>
      </c>
      <c r="E711" s="476">
        <v>487947</v>
      </c>
      <c r="F711" s="484">
        <v>6.6976036043355771E-3</v>
      </c>
      <c r="G711" s="467"/>
    </row>
    <row r="712" spans="2:7" x14ac:dyDescent="0.25">
      <c r="B712" s="470" t="s">
        <v>433</v>
      </c>
      <c r="C712" s="474">
        <v>43258</v>
      </c>
      <c r="D712" s="471">
        <v>19244</v>
      </c>
      <c r="E712" s="476">
        <v>667268</v>
      </c>
      <c r="F712" s="484">
        <v>-1.1932267919604682E-2</v>
      </c>
      <c r="G712" s="467"/>
    </row>
    <row r="713" spans="2:7" x14ac:dyDescent="0.25">
      <c r="B713" s="470" t="s">
        <v>433</v>
      </c>
      <c r="C713" s="474">
        <v>43259</v>
      </c>
      <c r="D713" s="471">
        <v>19261</v>
      </c>
      <c r="E713" s="476">
        <v>638394</v>
      </c>
      <c r="F713" s="484">
        <v>8.8300226487807762E-4</v>
      </c>
      <c r="G713" s="467"/>
    </row>
    <row r="714" spans="2:7" x14ac:dyDescent="0.25">
      <c r="B714" s="470" t="s">
        <v>433</v>
      </c>
      <c r="C714" s="474">
        <v>43262</v>
      </c>
      <c r="D714" s="471">
        <v>19139</v>
      </c>
      <c r="E714" s="476">
        <v>328187</v>
      </c>
      <c r="F714" s="484">
        <v>-6.3541880461491923E-3</v>
      </c>
      <c r="G714" s="467"/>
    </row>
    <row r="715" spans="2:7" x14ac:dyDescent="0.25">
      <c r="B715" s="470" t="s">
        <v>433</v>
      </c>
      <c r="C715" s="474">
        <v>43263</v>
      </c>
      <c r="D715" s="471">
        <v>19205</v>
      </c>
      <c r="E715" s="476">
        <v>853997</v>
      </c>
      <c r="F715" s="484">
        <v>3.4425237419321102E-3</v>
      </c>
      <c r="G715" s="467"/>
    </row>
    <row r="716" spans="2:7" x14ac:dyDescent="0.25">
      <c r="B716" s="470" t="s">
        <v>433</v>
      </c>
      <c r="C716" s="474">
        <v>43264</v>
      </c>
      <c r="D716" s="471">
        <v>18878</v>
      </c>
      <c r="E716" s="476">
        <v>573420</v>
      </c>
      <c r="F716" s="484">
        <v>-1.7173438895115412E-2</v>
      </c>
      <c r="G716" s="467"/>
    </row>
    <row r="717" spans="2:7" x14ac:dyDescent="0.25">
      <c r="B717" s="470" t="s">
        <v>433</v>
      </c>
      <c r="C717" s="474">
        <v>43265</v>
      </c>
      <c r="D717" s="471">
        <v>19000</v>
      </c>
      <c r="E717" s="476">
        <v>1184373</v>
      </c>
      <c r="F717" s="484">
        <v>6.4417562636877547E-3</v>
      </c>
      <c r="G717" s="467"/>
    </row>
    <row r="718" spans="2:7" x14ac:dyDescent="0.25">
      <c r="B718" s="470" t="s">
        <v>433</v>
      </c>
      <c r="C718" s="474">
        <v>43266</v>
      </c>
      <c r="D718" s="471">
        <v>18866</v>
      </c>
      <c r="E718" s="476">
        <v>1437045</v>
      </c>
      <c r="F718" s="484">
        <v>-7.0776189387790588E-3</v>
      </c>
      <c r="G718" s="467"/>
    </row>
    <row r="719" spans="2:7" x14ac:dyDescent="0.25">
      <c r="B719" s="470" t="s">
        <v>433</v>
      </c>
      <c r="C719" s="474">
        <v>43269</v>
      </c>
      <c r="D719" s="471">
        <v>18484</v>
      </c>
      <c r="E719" s="476">
        <v>365325</v>
      </c>
      <c r="F719" s="484">
        <v>-2.0455867219641512E-2</v>
      </c>
      <c r="G719" s="467"/>
    </row>
    <row r="720" spans="2:7" x14ac:dyDescent="0.25">
      <c r="B720" s="470" t="s">
        <v>433</v>
      </c>
      <c r="C720" s="474">
        <v>43270</v>
      </c>
      <c r="D720" s="471">
        <v>18434</v>
      </c>
      <c r="E720" s="476">
        <v>862112</v>
      </c>
      <c r="F720" s="484">
        <v>-2.7087074365474604E-3</v>
      </c>
      <c r="G720" s="467"/>
    </row>
    <row r="721" spans="2:7" x14ac:dyDescent="0.25">
      <c r="B721" s="470" t="s">
        <v>433</v>
      </c>
      <c r="C721" s="474">
        <v>43271</v>
      </c>
      <c r="D721" s="471">
        <v>18649</v>
      </c>
      <c r="E721" s="476">
        <v>706353</v>
      </c>
      <c r="F721" s="484">
        <v>1.1595739777836688E-2</v>
      </c>
      <c r="G721" s="467"/>
    </row>
    <row r="722" spans="2:7" x14ac:dyDescent="0.25">
      <c r="B722" s="470" t="s">
        <v>433</v>
      </c>
      <c r="C722" s="474">
        <v>43272</v>
      </c>
      <c r="D722" s="471">
        <v>18691</v>
      </c>
      <c r="E722" s="476">
        <v>1154224</v>
      </c>
      <c r="F722" s="484">
        <v>2.2495992347315902E-3</v>
      </c>
      <c r="G722" s="467"/>
    </row>
    <row r="723" spans="2:7" x14ac:dyDescent="0.25">
      <c r="B723" s="470" t="s">
        <v>433</v>
      </c>
      <c r="C723" s="474">
        <v>43273</v>
      </c>
      <c r="D723" s="471">
        <v>18658</v>
      </c>
      <c r="E723" s="476">
        <v>526140</v>
      </c>
      <c r="F723" s="484">
        <v>-1.7671160452715131E-3</v>
      </c>
      <c r="G723" s="467"/>
    </row>
    <row r="724" spans="2:7" x14ac:dyDescent="0.25">
      <c r="B724" s="470" t="s">
        <v>433</v>
      </c>
      <c r="C724" s="474">
        <v>43276</v>
      </c>
      <c r="D724" s="471">
        <v>18446</v>
      </c>
      <c r="E724" s="476">
        <v>362257</v>
      </c>
      <c r="F724" s="484">
        <v>-1.1427463725242179E-2</v>
      </c>
      <c r="G724" s="467"/>
    </row>
    <row r="725" spans="2:7" x14ac:dyDescent="0.25">
      <c r="B725" s="470" t="s">
        <v>433</v>
      </c>
      <c r="C725" s="474">
        <v>43277</v>
      </c>
      <c r="D725" s="471">
        <v>18541</v>
      </c>
      <c r="E725" s="476">
        <v>579364</v>
      </c>
      <c r="F725" s="484">
        <v>5.1369513021892101E-3</v>
      </c>
      <c r="G725" s="467"/>
    </row>
    <row r="726" spans="2:7" x14ac:dyDescent="0.25">
      <c r="B726" s="470" t="s">
        <v>433</v>
      </c>
      <c r="C726" s="474">
        <v>43278</v>
      </c>
      <c r="D726" s="471">
        <v>18146</v>
      </c>
      <c r="E726" s="476">
        <v>804627</v>
      </c>
      <c r="F726" s="484">
        <v>-2.1534345368279171E-2</v>
      </c>
      <c r="G726" s="467"/>
    </row>
    <row r="727" spans="2:7" x14ac:dyDescent="0.25">
      <c r="B727" s="470" t="s">
        <v>433</v>
      </c>
      <c r="C727" s="474">
        <v>43279</v>
      </c>
      <c r="D727" s="471">
        <v>17960</v>
      </c>
      <c r="E727" s="476">
        <v>495745</v>
      </c>
      <c r="F727" s="484">
        <v>-1.0303087873383614E-2</v>
      </c>
      <c r="G727" s="467"/>
    </row>
    <row r="728" spans="2:7" x14ac:dyDescent="0.25">
      <c r="B728" s="470" t="s">
        <v>433</v>
      </c>
      <c r="C728" s="474">
        <v>43280</v>
      </c>
      <c r="D728" s="471">
        <v>18542</v>
      </c>
      <c r="E728" s="476">
        <v>577117</v>
      </c>
      <c r="F728" s="484">
        <v>3.1891366310737163E-2</v>
      </c>
      <c r="G728" s="467"/>
    </row>
    <row r="729" spans="2:7" x14ac:dyDescent="0.25">
      <c r="B729" s="470" t="s">
        <v>433</v>
      </c>
      <c r="C729" s="474">
        <v>43283</v>
      </c>
      <c r="D729" s="471">
        <v>18657</v>
      </c>
      <c r="E729" s="476">
        <v>301242</v>
      </c>
      <c r="F729" s="484">
        <v>6.1829816050712541E-3</v>
      </c>
      <c r="G729" s="467"/>
    </row>
    <row r="730" spans="2:7" x14ac:dyDescent="0.25">
      <c r="B730" s="470" t="s">
        <v>433</v>
      </c>
      <c r="C730" s="474">
        <v>43284</v>
      </c>
      <c r="D730" s="471">
        <v>19040</v>
      </c>
      <c r="E730" s="476">
        <v>509979</v>
      </c>
      <c r="F730" s="484">
        <v>2.0320618573357357E-2</v>
      </c>
      <c r="G730" s="467"/>
    </row>
    <row r="731" spans="2:7" x14ac:dyDescent="0.25">
      <c r="B731" s="470" t="s">
        <v>433</v>
      </c>
      <c r="C731" s="474">
        <v>43285</v>
      </c>
      <c r="D731" s="471">
        <v>19139</v>
      </c>
      <c r="E731" s="476">
        <v>235953</v>
      </c>
      <c r="F731" s="484">
        <v>5.1861086927169446E-3</v>
      </c>
      <c r="G731" s="467"/>
    </row>
    <row r="732" spans="2:7" x14ac:dyDescent="0.25">
      <c r="B732" s="470" t="s">
        <v>433</v>
      </c>
      <c r="C732" s="474">
        <v>43286</v>
      </c>
      <c r="D732" s="471">
        <v>19141</v>
      </c>
      <c r="E732" s="476">
        <v>242339</v>
      </c>
      <c r="F732" s="484">
        <v>1.0449320803652502E-4</v>
      </c>
      <c r="G732" s="467"/>
    </row>
    <row r="733" spans="2:7" x14ac:dyDescent="0.25">
      <c r="B733" s="470" t="s">
        <v>433</v>
      </c>
      <c r="C733" s="474">
        <v>43287</v>
      </c>
      <c r="D733" s="471">
        <v>18940</v>
      </c>
      <c r="E733" s="476">
        <v>285840</v>
      </c>
      <c r="F733" s="484">
        <v>-1.0556543506040445E-2</v>
      </c>
      <c r="G733" s="467"/>
    </row>
    <row r="734" spans="2:7" x14ac:dyDescent="0.25">
      <c r="B734" s="470" t="s">
        <v>433</v>
      </c>
      <c r="C734" s="474">
        <v>43290</v>
      </c>
      <c r="D734" s="471">
        <v>19207</v>
      </c>
      <c r="E734" s="476">
        <v>249141</v>
      </c>
      <c r="F734" s="484">
        <v>1.3998708164782825E-2</v>
      </c>
      <c r="G734" s="467"/>
    </row>
    <row r="735" spans="2:7" x14ac:dyDescent="0.25">
      <c r="B735" s="470" t="s">
        <v>433</v>
      </c>
      <c r="C735" s="474">
        <v>43291</v>
      </c>
      <c r="D735" s="471">
        <v>19280</v>
      </c>
      <c r="E735" s="476">
        <v>296680</v>
      </c>
      <c r="F735" s="484">
        <v>3.7934932596846507E-3</v>
      </c>
      <c r="G735" s="467"/>
    </row>
    <row r="736" spans="2:7" x14ac:dyDescent="0.25">
      <c r="B736" s="470" t="s">
        <v>433</v>
      </c>
      <c r="C736" s="474">
        <v>43292</v>
      </c>
      <c r="D736" s="471">
        <v>18920</v>
      </c>
      <c r="E736" s="476">
        <v>222792</v>
      </c>
      <c r="F736" s="484">
        <v>-1.8848725558667383E-2</v>
      </c>
      <c r="G736" s="467"/>
    </row>
    <row r="737" spans="2:7" x14ac:dyDescent="0.25">
      <c r="B737" s="470" t="s">
        <v>433</v>
      </c>
      <c r="C737" s="474">
        <v>43293</v>
      </c>
      <c r="D737" s="471">
        <v>18941</v>
      </c>
      <c r="E737" s="476">
        <v>226144</v>
      </c>
      <c r="F737" s="484">
        <v>1.1093210508723165E-3</v>
      </c>
      <c r="G737" s="467"/>
    </row>
    <row r="738" spans="2:7" x14ac:dyDescent="0.25">
      <c r="B738" s="470" t="s">
        <v>433</v>
      </c>
      <c r="C738" s="474">
        <v>43294</v>
      </c>
      <c r="D738" s="471">
        <v>18702</v>
      </c>
      <c r="E738" s="476">
        <v>146969</v>
      </c>
      <c r="F738" s="484">
        <v>-1.2698414661349505E-2</v>
      </c>
      <c r="G738" s="467"/>
    </row>
    <row r="739" spans="2:7" x14ac:dyDescent="0.25">
      <c r="B739" s="470" t="s">
        <v>433</v>
      </c>
      <c r="C739" s="474">
        <v>43297</v>
      </c>
      <c r="D739" s="471">
        <v>18200</v>
      </c>
      <c r="E739" s="476">
        <v>224893</v>
      </c>
      <c r="F739" s="484">
        <v>-2.7208875930505406E-2</v>
      </c>
      <c r="G739" s="467"/>
    </row>
    <row r="740" spans="2:7" x14ac:dyDescent="0.25">
      <c r="B740" s="470" t="s">
        <v>433</v>
      </c>
      <c r="C740" s="474">
        <v>43298</v>
      </c>
      <c r="D740" s="471">
        <v>18510</v>
      </c>
      <c r="E740" s="476">
        <v>224052</v>
      </c>
      <c r="F740" s="484">
        <v>1.6889532502656412E-2</v>
      </c>
      <c r="G740" s="467"/>
    </row>
    <row r="741" spans="2:7" x14ac:dyDescent="0.25">
      <c r="B741" s="470" t="s">
        <v>433</v>
      </c>
      <c r="C741" s="474">
        <v>43299</v>
      </c>
      <c r="D741" s="471">
        <v>18250</v>
      </c>
      <c r="E741" s="476">
        <v>459367</v>
      </c>
      <c r="F741" s="484">
        <v>-1.41460465569056E-2</v>
      </c>
      <c r="G741" s="467"/>
    </row>
    <row r="742" spans="2:7" x14ac:dyDescent="0.25">
      <c r="B742" s="470" t="s">
        <v>433</v>
      </c>
      <c r="C742" s="474">
        <v>43300</v>
      </c>
      <c r="D742" s="471">
        <v>18250</v>
      </c>
      <c r="E742" s="476">
        <v>229997</v>
      </c>
      <c r="F742" s="484">
        <v>0</v>
      </c>
      <c r="G742" s="467"/>
    </row>
    <row r="743" spans="2:7" x14ac:dyDescent="0.25">
      <c r="B743" s="470" t="s">
        <v>433</v>
      </c>
      <c r="C743" s="474">
        <v>43301</v>
      </c>
      <c r="D743" s="471">
        <v>18477</v>
      </c>
      <c r="E743" s="476">
        <v>279787</v>
      </c>
      <c r="F743" s="484">
        <v>1.2361635344515322E-2</v>
      </c>
      <c r="G743" s="467"/>
    </row>
    <row r="744" spans="2:7" x14ac:dyDescent="0.25">
      <c r="B744" s="470" t="s">
        <v>433</v>
      </c>
      <c r="C744" s="474">
        <v>43304</v>
      </c>
      <c r="D744" s="471">
        <v>18369</v>
      </c>
      <c r="E744" s="476">
        <v>196827</v>
      </c>
      <c r="F744" s="484">
        <v>-5.8622542090887297E-3</v>
      </c>
      <c r="G744" s="467"/>
    </row>
    <row r="745" spans="2:7" x14ac:dyDescent="0.25">
      <c r="B745" s="470" t="s">
        <v>433</v>
      </c>
      <c r="C745" s="474">
        <v>43305</v>
      </c>
      <c r="D745" s="471">
        <v>18440</v>
      </c>
      <c r="E745" s="476">
        <v>246097</v>
      </c>
      <c r="F745" s="484">
        <v>3.8577569645206213E-3</v>
      </c>
      <c r="G745" s="467"/>
    </row>
    <row r="746" spans="2:7" x14ac:dyDescent="0.25">
      <c r="B746" s="470" t="s">
        <v>433</v>
      </c>
      <c r="C746" s="474">
        <v>43306</v>
      </c>
      <c r="D746" s="471">
        <v>18360</v>
      </c>
      <c r="E746" s="476">
        <v>228602</v>
      </c>
      <c r="F746" s="484">
        <v>-4.3478329361033982E-3</v>
      </c>
      <c r="G746" s="467"/>
    </row>
    <row r="747" spans="2:7" x14ac:dyDescent="0.25">
      <c r="B747" s="470" t="s">
        <v>433</v>
      </c>
      <c r="C747" s="474">
        <v>43307</v>
      </c>
      <c r="D747" s="471">
        <v>18369</v>
      </c>
      <c r="E747" s="476">
        <v>457986</v>
      </c>
      <c r="F747" s="484">
        <v>4.9007597158271725E-4</v>
      </c>
      <c r="G747" s="467"/>
    </row>
    <row r="748" spans="2:7" x14ac:dyDescent="0.25">
      <c r="B748" s="470" t="s">
        <v>433</v>
      </c>
      <c r="C748" s="474">
        <v>43308</v>
      </c>
      <c r="D748" s="471">
        <v>18522</v>
      </c>
      <c r="E748" s="476">
        <v>305792</v>
      </c>
      <c r="F748" s="484">
        <v>8.2947535841502058E-3</v>
      </c>
      <c r="G748" s="467"/>
    </row>
    <row r="749" spans="2:7" x14ac:dyDescent="0.25">
      <c r="B749" s="470" t="s">
        <v>433</v>
      </c>
      <c r="C749" s="474">
        <v>43311</v>
      </c>
      <c r="D749" s="471">
        <v>18707</v>
      </c>
      <c r="E749" s="476">
        <v>342282</v>
      </c>
      <c r="F749" s="484">
        <v>9.9385706186903185E-3</v>
      </c>
      <c r="G749" s="467"/>
    </row>
    <row r="750" spans="2:7" x14ac:dyDescent="0.25">
      <c r="B750" s="470" t="s">
        <v>433</v>
      </c>
      <c r="C750" s="474">
        <v>43312</v>
      </c>
      <c r="D750" s="471">
        <v>19158</v>
      </c>
      <c r="E750" s="476">
        <v>612489</v>
      </c>
      <c r="F750" s="484">
        <v>2.3822597593932491E-2</v>
      </c>
      <c r="G750" s="467"/>
    </row>
    <row r="751" spans="2:7" x14ac:dyDescent="0.25">
      <c r="B751" s="470" t="s">
        <v>433</v>
      </c>
      <c r="C751" s="474">
        <v>43313</v>
      </c>
      <c r="D751" s="471">
        <v>19366</v>
      </c>
      <c r="E751" s="476">
        <v>626403</v>
      </c>
      <c r="F751" s="484">
        <v>1.0798568228639479E-2</v>
      </c>
      <c r="G751" s="467"/>
    </row>
    <row r="752" spans="2:7" x14ac:dyDescent="0.25">
      <c r="B752" s="470" t="s">
        <v>433</v>
      </c>
      <c r="C752" s="474">
        <v>43314</v>
      </c>
      <c r="D752" s="471">
        <v>19150</v>
      </c>
      <c r="E752" s="476">
        <v>548700</v>
      </c>
      <c r="F752" s="484">
        <v>-1.1216235562684357E-2</v>
      </c>
      <c r="G752" s="467"/>
    </row>
    <row r="753" spans="2:7" x14ac:dyDescent="0.25">
      <c r="B753" s="470" t="s">
        <v>433</v>
      </c>
      <c r="C753" s="474">
        <v>43315</v>
      </c>
      <c r="D753" s="471">
        <v>19226</v>
      </c>
      <c r="E753" s="476">
        <v>392395</v>
      </c>
      <c r="F753" s="484">
        <v>3.960814016969523E-3</v>
      </c>
      <c r="G753" s="467"/>
    </row>
    <row r="754" spans="2:7" x14ac:dyDescent="0.25">
      <c r="B754" s="470" t="s">
        <v>433</v>
      </c>
      <c r="C754" s="474">
        <v>43318</v>
      </c>
      <c r="D754" s="471">
        <v>19401</v>
      </c>
      <c r="E754" s="476">
        <v>1065414</v>
      </c>
      <c r="F754" s="484">
        <v>9.0610814889409402E-3</v>
      </c>
      <c r="G754" s="467"/>
    </row>
    <row r="755" spans="2:7" x14ac:dyDescent="0.25">
      <c r="B755" s="470" t="s">
        <v>433</v>
      </c>
      <c r="C755" s="474">
        <v>43319</v>
      </c>
      <c r="D755" s="471">
        <v>19661</v>
      </c>
      <c r="E755" s="476">
        <v>392403</v>
      </c>
      <c r="F755" s="484">
        <v>1.3312366992788262E-2</v>
      </c>
      <c r="G755" s="467"/>
    </row>
    <row r="756" spans="2:7" x14ac:dyDescent="0.25">
      <c r="B756" s="470" t="s">
        <v>433</v>
      </c>
      <c r="C756" s="474">
        <v>43320</v>
      </c>
      <c r="D756" s="471">
        <v>19738</v>
      </c>
      <c r="E756" s="476">
        <v>309394</v>
      </c>
      <c r="F756" s="484">
        <v>3.9087336244615694E-3</v>
      </c>
      <c r="G756" s="467"/>
    </row>
    <row r="757" spans="2:7" x14ac:dyDescent="0.25">
      <c r="B757" s="470" t="s">
        <v>433</v>
      </c>
      <c r="C757" s="474">
        <v>43322</v>
      </c>
      <c r="D757" s="471">
        <v>19467</v>
      </c>
      <c r="E757" s="476">
        <v>342861</v>
      </c>
      <c r="F757" s="484">
        <v>-1.3824987442674328E-2</v>
      </c>
      <c r="G757" s="467"/>
    </row>
    <row r="758" spans="2:7" x14ac:dyDescent="0.25">
      <c r="B758" s="470" t="s">
        <v>433</v>
      </c>
      <c r="C758" s="474">
        <v>43325</v>
      </c>
      <c r="D758" s="471">
        <v>19300</v>
      </c>
      <c r="E758" s="476">
        <v>610758</v>
      </c>
      <c r="F758" s="484">
        <v>-8.6156283963012802E-3</v>
      </c>
      <c r="G758" s="467"/>
    </row>
    <row r="759" spans="2:7" x14ac:dyDescent="0.25">
      <c r="B759" s="470" t="s">
        <v>433</v>
      </c>
      <c r="C759" s="474">
        <v>43326</v>
      </c>
      <c r="D759" s="471">
        <v>19225</v>
      </c>
      <c r="E759" s="476">
        <v>346699</v>
      </c>
      <c r="F759" s="484">
        <v>-3.8935805191322101E-3</v>
      </c>
      <c r="G759" s="467"/>
    </row>
    <row r="760" spans="2:7" x14ac:dyDescent="0.25">
      <c r="B760" s="470" t="s">
        <v>433</v>
      </c>
      <c r="C760" s="474">
        <v>43327</v>
      </c>
      <c r="D760" s="471">
        <v>18802</v>
      </c>
      <c r="E760" s="476">
        <v>529800</v>
      </c>
      <c r="F760" s="484">
        <v>-2.2248268235348548E-2</v>
      </c>
      <c r="G760" s="467"/>
    </row>
    <row r="761" spans="2:7" x14ac:dyDescent="0.25">
      <c r="B761" s="470" t="s">
        <v>433</v>
      </c>
      <c r="C761" s="474">
        <v>43328</v>
      </c>
      <c r="D761" s="471">
        <v>19018</v>
      </c>
      <c r="E761" s="476">
        <v>757274</v>
      </c>
      <c r="F761" s="484">
        <v>1.1422651960893404E-2</v>
      </c>
      <c r="G761" s="467"/>
    </row>
    <row r="762" spans="2:7" x14ac:dyDescent="0.25">
      <c r="B762" s="470" t="s">
        <v>433</v>
      </c>
      <c r="C762" s="474">
        <v>43329</v>
      </c>
      <c r="D762" s="471">
        <v>18869</v>
      </c>
      <c r="E762" s="476">
        <v>383509</v>
      </c>
      <c r="F762" s="484">
        <v>-7.8655353116755707E-3</v>
      </c>
      <c r="G762" s="467"/>
    </row>
    <row r="763" spans="2:7" x14ac:dyDescent="0.25">
      <c r="B763" s="470" t="s">
        <v>433</v>
      </c>
      <c r="C763" s="474">
        <v>43332</v>
      </c>
      <c r="D763" s="471">
        <v>18913</v>
      </c>
      <c r="E763" s="476">
        <v>395529</v>
      </c>
      <c r="F763" s="484">
        <v>2.3291525007402801E-3</v>
      </c>
      <c r="G763" s="467"/>
    </row>
    <row r="764" spans="2:7" x14ac:dyDescent="0.25">
      <c r="B764" s="470" t="s">
        <v>433</v>
      </c>
      <c r="C764" s="474">
        <v>43333</v>
      </c>
      <c r="D764" s="471">
        <v>19018</v>
      </c>
      <c r="E764" s="476">
        <v>677919</v>
      </c>
      <c r="F764" s="484">
        <v>5.5363828109352402E-3</v>
      </c>
      <c r="G764" s="467"/>
    </row>
    <row r="765" spans="2:7" x14ac:dyDescent="0.25">
      <c r="B765" s="470" t="s">
        <v>433</v>
      </c>
      <c r="C765" s="474">
        <v>43334</v>
      </c>
      <c r="D765" s="471">
        <v>19526</v>
      </c>
      <c r="E765" s="476">
        <v>730428</v>
      </c>
      <c r="F765" s="484">
        <v>2.6361011686227138E-2</v>
      </c>
      <c r="G765" s="467"/>
    </row>
    <row r="766" spans="2:7" x14ac:dyDescent="0.25">
      <c r="B766" s="470" t="s">
        <v>433</v>
      </c>
      <c r="C766" s="474">
        <v>43335</v>
      </c>
      <c r="D766" s="471">
        <v>19740</v>
      </c>
      <c r="E766" s="476">
        <v>471971</v>
      </c>
      <c r="F766" s="484">
        <v>1.090012320185571E-2</v>
      </c>
      <c r="G766" s="467"/>
    </row>
    <row r="767" spans="2:7" x14ac:dyDescent="0.25">
      <c r="B767" s="470" t="s">
        <v>433</v>
      </c>
      <c r="C767" s="474">
        <v>43336</v>
      </c>
      <c r="D767" s="471">
        <v>19790</v>
      </c>
      <c r="E767" s="476">
        <v>344779</v>
      </c>
      <c r="F767" s="484">
        <v>2.5297256091388301E-3</v>
      </c>
      <c r="G767" s="467"/>
    </row>
    <row r="768" spans="2:7" x14ac:dyDescent="0.25">
      <c r="B768" s="470" t="s">
        <v>433</v>
      </c>
      <c r="C768" s="474">
        <v>43339</v>
      </c>
      <c r="D768" s="471">
        <v>20472</v>
      </c>
      <c r="E768" s="476">
        <v>510657</v>
      </c>
      <c r="F768" s="484">
        <v>3.38813392430133E-2</v>
      </c>
      <c r="G768" s="467"/>
    </row>
    <row r="769" spans="2:7" x14ac:dyDescent="0.25">
      <c r="B769" s="470" t="s">
        <v>433</v>
      </c>
      <c r="C769" s="474">
        <v>43340</v>
      </c>
      <c r="D769" s="471">
        <v>20800</v>
      </c>
      <c r="E769" s="476">
        <v>701694</v>
      </c>
      <c r="F769" s="484">
        <v>1.5894887849784628E-2</v>
      </c>
      <c r="G769" s="467"/>
    </row>
    <row r="770" spans="2:7" x14ac:dyDescent="0.25">
      <c r="B770" s="470" t="s">
        <v>433</v>
      </c>
      <c r="C770" s="474">
        <v>43341</v>
      </c>
      <c r="D770" s="471">
        <v>20700</v>
      </c>
      <c r="E770" s="476">
        <v>800464</v>
      </c>
      <c r="F770" s="484">
        <v>-4.8192864359488828E-3</v>
      </c>
      <c r="G770" s="467"/>
    </row>
    <row r="771" spans="2:7" x14ac:dyDescent="0.25">
      <c r="B771" s="470" t="s">
        <v>433</v>
      </c>
      <c r="C771" s="474">
        <v>43342</v>
      </c>
      <c r="D771" s="471">
        <v>20300</v>
      </c>
      <c r="E771" s="476">
        <v>447719</v>
      </c>
      <c r="F771" s="484">
        <v>-1.9512814223581715E-2</v>
      </c>
      <c r="G771" s="467"/>
    </row>
    <row r="772" spans="2:7" x14ac:dyDescent="0.25">
      <c r="B772" s="470" t="s">
        <v>433</v>
      </c>
      <c r="C772" s="474">
        <v>43343</v>
      </c>
      <c r="D772" s="471">
        <v>20500</v>
      </c>
      <c r="E772" s="476">
        <v>775064</v>
      </c>
      <c r="F772" s="484">
        <v>9.8040000966208348E-3</v>
      </c>
      <c r="G772" s="467"/>
    </row>
    <row r="773" spans="2:7" x14ac:dyDescent="0.25">
      <c r="B773" s="470" t="s">
        <v>433</v>
      </c>
      <c r="C773" s="474">
        <v>43346</v>
      </c>
      <c r="D773" s="471">
        <v>20393</v>
      </c>
      <c r="E773" s="476">
        <v>349678</v>
      </c>
      <c r="F773" s="484">
        <v>-5.2331814341524275E-3</v>
      </c>
      <c r="G773" s="467"/>
    </row>
    <row r="774" spans="2:7" x14ac:dyDescent="0.25">
      <c r="B774" s="470" t="s">
        <v>433</v>
      </c>
      <c r="C774" s="474">
        <v>43347</v>
      </c>
      <c r="D774" s="471">
        <v>19888</v>
      </c>
      <c r="E774" s="476">
        <v>681809</v>
      </c>
      <c r="F774" s="484">
        <v>-2.5075169941854776E-2</v>
      </c>
      <c r="G774" s="467"/>
    </row>
    <row r="775" spans="2:7" x14ac:dyDescent="0.25">
      <c r="B775" s="470" t="s">
        <v>433</v>
      </c>
      <c r="C775" s="474">
        <v>43348</v>
      </c>
      <c r="D775" s="471">
        <v>19500</v>
      </c>
      <c r="E775" s="476">
        <v>693910</v>
      </c>
      <c r="F775" s="484">
        <v>-1.9702069198654155E-2</v>
      </c>
      <c r="G775" s="467"/>
    </row>
    <row r="776" spans="2:7" x14ac:dyDescent="0.25">
      <c r="B776" s="470" t="s">
        <v>433</v>
      </c>
      <c r="C776" s="474">
        <v>43349</v>
      </c>
      <c r="D776" s="471">
        <v>19841</v>
      </c>
      <c r="E776" s="476">
        <v>340945</v>
      </c>
      <c r="F776" s="484">
        <v>1.7336038242632267E-2</v>
      </c>
      <c r="G776" s="467"/>
    </row>
    <row r="777" spans="2:7" x14ac:dyDescent="0.25">
      <c r="B777" s="470" t="s">
        <v>433</v>
      </c>
      <c r="C777" s="474">
        <v>43350</v>
      </c>
      <c r="D777" s="471">
        <v>19788</v>
      </c>
      <c r="E777" s="476">
        <v>476923</v>
      </c>
      <c r="F777" s="484">
        <v>-2.6748104468711019E-3</v>
      </c>
      <c r="G777" s="467"/>
    </row>
    <row r="778" spans="2:7" x14ac:dyDescent="0.25">
      <c r="B778" s="470" t="s">
        <v>433</v>
      </c>
      <c r="C778" s="474">
        <v>43353</v>
      </c>
      <c r="D778" s="471">
        <v>19541</v>
      </c>
      <c r="E778" s="476">
        <v>313407</v>
      </c>
      <c r="F778" s="484">
        <v>-1.2560870987655697E-2</v>
      </c>
      <c r="G778" s="467"/>
    </row>
    <row r="779" spans="2:7" x14ac:dyDescent="0.25">
      <c r="B779" s="470" t="s">
        <v>433</v>
      </c>
      <c r="C779" s="474">
        <v>43354</v>
      </c>
      <c r="D779" s="471">
        <v>19236</v>
      </c>
      <c r="E779" s="476">
        <v>564246</v>
      </c>
      <c r="F779" s="484">
        <v>-1.5731298962390221E-2</v>
      </c>
      <c r="G779" s="467"/>
    </row>
    <row r="780" spans="2:7" x14ac:dyDescent="0.25">
      <c r="B780" s="470" t="s">
        <v>433</v>
      </c>
      <c r="C780" s="474">
        <v>43355</v>
      </c>
      <c r="D780" s="471">
        <v>18977</v>
      </c>
      <c r="E780" s="476">
        <v>934689</v>
      </c>
      <c r="F780" s="484">
        <v>-1.3555803843574419E-2</v>
      </c>
      <c r="G780" s="467"/>
    </row>
    <row r="781" spans="2:7" x14ac:dyDescent="0.25">
      <c r="B781" s="470" t="s">
        <v>433</v>
      </c>
      <c r="C781" s="474">
        <v>43356</v>
      </c>
      <c r="D781" s="471">
        <v>19341</v>
      </c>
      <c r="E781" s="476">
        <v>1765011</v>
      </c>
      <c r="F781" s="484">
        <v>1.8999475424750906E-2</v>
      </c>
      <c r="G781" s="467"/>
    </row>
    <row r="782" spans="2:7" x14ac:dyDescent="0.25">
      <c r="B782" s="470" t="s">
        <v>433</v>
      </c>
      <c r="C782" s="474">
        <v>43357</v>
      </c>
      <c r="D782" s="471">
        <v>19330</v>
      </c>
      <c r="E782" s="476">
        <v>312922</v>
      </c>
      <c r="F782" s="484">
        <v>-5.6890177635329211E-4</v>
      </c>
      <c r="G782" s="467"/>
    </row>
    <row r="783" spans="2:7" x14ac:dyDescent="0.25">
      <c r="B783" s="470" t="s">
        <v>433</v>
      </c>
      <c r="C783" s="474">
        <v>43360</v>
      </c>
      <c r="D783" s="471">
        <v>18754</v>
      </c>
      <c r="E783" s="476">
        <v>440164</v>
      </c>
      <c r="F783" s="484">
        <v>-3.0251230222806066E-2</v>
      </c>
      <c r="G783" s="467"/>
    </row>
    <row r="784" spans="2:7" x14ac:dyDescent="0.25">
      <c r="B784" s="470" t="s">
        <v>433</v>
      </c>
      <c r="C784" s="474">
        <v>43361</v>
      </c>
      <c r="D784" s="471">
        <v>19189</v>
      </c>
      <c r="E784" s="476">
        <v>555020</v>
      </c>
      <c r="F784" s="484">
        <v>2.2930135190171813E-2</v>
      </c>
      <c r="G784" s="467"/>
    </row>
    <row r="785" spans="2:7" x14ac:dyDescent="0.25">
      <c r="B785" s="470" t="s">
        <v>433</v>
      </c>
      <c r="C785" s="474">
        <v>43362</v>
      </c>
      <c r="D785" s="471">
        <v>19064</v>
      </c>
      <c r="E785" s="476">
        <v>455824</v>
      </c>
      <c r="F785" s="484">
        <v>-6.5354583911643041E-3</v>
      </c>
      <c r="G785" s="467"/>
    </row>
    <row r="786" spans="2:7" x14ac:dyDescent="0.25">
      <c r="B786" s="470" t="s">
        <v>433</v>
      </c>
      <c r="C786" s="474">
        <v>43363</v>
      </c>
      <c r="D786" s="471">
        <v>18856</v>
      </c>
      <c r="E786" s="476">
        <v>2046491</v>
      </c>
      <c r="F786" s="484">
        <v>-1.0970574162611012E-2</v>
      </c>
      <c r="G786" s="467"/>
    </row>
    <row r="787" spans="2:7" x14ac:dyDescent="0.25">
      <c r="B787" s="470" t="s">
        <v>433</v>
      </c>
      <c r="C787" s="474">
        <v>43364</v>
      </c>
      <c r="D787" s="471">
        <v>18819</v>
      </c>
      <c r="E787" s="476">
        <v>963627</v>
      </c>
      <c r="F787" s="484">
        <v>-1.9641678511141268E-3</v>
      </c>
      <c r="G787" s="467"/>
    </row>
    <row r="788" spans="2:7" x14ac:dyDescent="0.25">
      <c r="B788" s="470" t="s">
        <v>433</v>
      </c>
      <c r="C788" s="474">
        <v>43368</v>
      </c>
      <c r="D788" s="471">
        <v>18776</v>
      </c>
      <c r="E788" s="476">
        <v>635963</v>
      </c>
      <c r="F788" s="484">
        <v>-2.2875392339934985E-3</v>
      </c>
      <c r="G788" s="467"/>
    </row>
    <row r="789" spans="2:7" x14ac:dyDescent="0.25">
      <c r="B789" s="470" t="s">
        <v>433</v>
      </c>
      <c r="C789" s="474">
        <v>43369</v>
      </c>
      <c r="D789" s="471">
        <v>18800</v>
      </c>
      <c r="E789" s="476">
        <v>580616</v>
      </c>
      <c r="F789" s="484">
        <v>1.2774112871811244E-3</v>
      </c>
      <c r="G789" s="467"/>
    </row>
    <row r="790" spans="2:7" x14ac:dyDescent="0.25">
      <c r="B790" s="470" t="s">
        <v>433</v>
      </c>
      <c r="C790" s="474">
        <v>43370</v>
      </c>
      <c r="D790" s="471">
        <v>18617</v>
      </c>
      <c r="E790" s="476">
        <v>640504</v>
      </c>
      <c r="F790" s="484">
        <v>-9.7817280461435438E-3</v>
      </c>
      <c r="G790" s="467"/>
    </row>
    <row r="791" spans="2:7" x14ac:dyDescent="0.25">
      <c r="B791" s="470" t="s">
        <v>433</v>
      </c>
      <c r="C791" s="474">
        <v>43371</v>
      </c>
      <c r="D791" s="471">
        <v>18413</v>
      </c>
      <c r="E791" s="476">
        <v>651738</v>
      </c>
      <c r="F791" s="484">
        <v>-1.1018204904676924E-2</v>
      </c>
      <c r="G791" s="467"/>
    </row>
    <row r="792" spans="2:7" x14ac:dyDescent="0.25">
      <c r="B792" s="470" t="s">
        <v>433</v>
      </c>
      <c r="C792" s="474">
        <v>43374</v>
      </c>
      <c r="D792" s="471">
        <v>18132</v>
      </c>
      <c r="E792" s="476">
        <v>483488</v>
      </c>
      <c r="F792" s="484">
        <v>-1.5378603806480226E-2</v>
      </c>
      <c r="G792" s="467"/>
    </row>
    <row r="793" spans="2:7" x14ac:dyDescent="0.25">
      <c r="B793" s="470" t="s">
        <v>433</v>
      </c>
      <c r="C793" s="474">
        <v>43375</v>
      </c>
      <c r="D793" s="471">
        <v>17950</v>
      </c>
      <c r="E793" s="476">
        <v>620771</v>
      </c>
      <c r="F793" s="484">
        <v>-1.0088218144314905E-2</v>
      </c>
      <c r="G793" s="467"/>
    </row>
    <row r="794" spans="2:7" x14ac:dyDescent="0.25">
      <c r="B794" s="470" t="s">
        <v>433</v>
      </c>
      <c r="C794" s="474">
        <v>43376</v>
      </c>
      <c r="D794" s="471">
        <v>17929</v>
      </c>
      <c r="E794" s="476">
        <v>490840</v>
      </c>
      <c r="F794" s="484">
        <v>-1.1706013209976372E-3</v>
      </c>
      <c r="G794" s="467"/>
    </row>
    <row r="795" spans="2:7" x14ac:dyDescent="0.25">
      <c r="B795" s="470" t="s">
        <v>433</v>
      </c>
      <c r="C795" s="474">
        <v>43377</v>
      </c>
      <c r="D795" s="471">
        <v>17428</v>
      </c>
      <c r="E795" s="476">
        <v>704991</v>
      </c>
      <c r="F795" s="484">
        <v>-2.8341405358094558E-2</v>
      </c>
      <c r="G795" s="467"/>
    </row>
    <row r="796" spans="2:7" x14ac:dyDescent="0.25">
      <c r="B796" s="470" t="s">
        <v>433</v>
      </c>
      <c r="C796" s="474">
        <v>43378</v>
      </c>
      <c r="D796" s="471">
        <v>17380</v>
      </c>
      <c r="E796" s="476">
        <v>622759</v>
      </c>
      <c r="F796" s="484">
        <v>-2.7579884179496994E-3</v>
      </c>
      <c r="G796" s="467"/>
    </row>
    <row r="797" spans="2:7" x14ac:dyDescent="0.25">
      <c r="B797" s="470" t="s">
        <v>433</v>
      </c>
      <c r="C797" s="474">
        <v>43381</v>
      </c>
      <c r="D797" s="471">
        <v>17264</v>
      </c>
      <c r="E797" s="476">
        <v>632273</v>
      </c>
      <c r="F797" s="484">
        <v>-6.69671132146713E-3</v>
      </c>
      <c r="G797" s="467"/>
    </row>
    <row r="798" spans="2:7" x14ac:dyDescent="0.25">
      <c r="B798" s="470" t="s">
        <v>433</v>
      </c>
      <c r="C798" s="474">
        <v>43382</v>
      </c>
      <c r="D798" s="471">
        <v>17411</v>
      </c>
      <c r="E798" s="476">
        <v>380303</v>
      </c>
      <c r="F798" s="484">
        <v>8.4787818686825472E-3</v>
      </c>
      <c r="G798" s="467"/>
    </row>
    <row r="799" spans="2:7" x14ac:dyDescent="0.25">
      <c r="B799" s="470" t="s">
        <v>433</v>
      </c>
      <c r="C799" s="474">
        <v>43383</v>
      </c>
      <c r="D799" s="471">
        <v>17179</v>
      </c>
      <c r="E799" s="476">
        <v>596988</v>
      </c>
      <c r="F799" s="484">
        <v>-1.3414482740152949E-2</v>
      </c>
      <c r="G799" s="467"/>
    </row>
    <row r="800" spans="2:7" x14ac:dyDescent="0.25">
      <c r="B800" s="470" t="s">
        <v>433</v>
      </c>
      <c r="C800" s="474">
        <v>43384</v>
      </c>
      <c r="D800" s="471">
        <v>16800</v>
      </c>
      <c r="E800" s="476">
        <v>893189</v>
      </c>
      <c r="F800" s="484">
        <v>-2.2308821235095248E-2</v>
      </c>
      <c r="G800" s="467"/>
    </row>
    <row r="801" spans="2:7" x14ac:dyDescent="0.25">
      <c r="B801" s="470" t="s">
        <v>433</v>
      </c>
      <c r="C801" s="474">
        <v>43385</v>
      </c>
      <c r="D801" s="471">
        <v>17142</v>
      </c>
      <c r="E801" s="476">
        <v>942004</v>
      </c>
      <c r="F801" s="484">
        <v>2.0152706067477884E-2</v>
      </c>
      <c r="G801" s="467"/>
    </row>
    <row r="802" spans="2:7" x14ac:dyDescent="0.25">
      <c r="B802" s="470" t="s">
        <v>433</v>
      </c>
      <c r="C802" s="474">
        <v>43388</v>
      </c>
      <c r="D802" s="471">
        <v>16970</v>
      </c>
      <c r="E802" s="476">
        <v>623077</v>
      </c>
      <c r="F802" s="484">
        <v>-1.0084513230556078E-2</v>
      </c>
      <c r="G802" s="467"/>
    </row>
    <row r="803" spans="2:7" x14ac:dyDescent="0.25">
      <c r="B803" s="470" t="s">
        <v>433</v>
      </c>
      <c r="C803" s="474">
        <v>43389</v>
      </c>
      <c r="D803" s="471">
        <v>17490</v>
      </c>
      <c r="E803" s="476">
        <v>847670</v>
      </c>
      <c r="F803" s="484">
        <v>3.0182209784375743E-2</v>
      </c>
      <c r="G803" s="467"/>
    </row>
    <row r="804" spans="2:7" x14ac:dyDescent="0.25">
      <c r="B804" s="470" t="s">
        <v>433</v>
      </c>
      <c r="C804" s="474">
        <v>43390</v>
      </c>
      <c r="D804" s="471">
        <v>17257</v>
      </c>
      <c r="E804" s="476">
        <v>592968</v>
      </c>
      <c r="F804" s="484">
        <v>-1.3411430765068812E-2</v>
      </c>
      <c r="G804" s="467"/>
    </row>
    <row r="805" spans="2:7" x14ac:dyDescent="0.25">
      <c r="B805" s="470" t="s">
        <v>433</v>
      </c>
      <c r="C805" s="474">
        <v>43391</v>
      </c>
      <c r="D805" s="471">
        <v>17689</v>
      </c>
      <c r="E805" s="476">
        <v>634469</v>
      </c>
      <c r="F805" s="484">
        <v>2.472511919592861E-2</v>
      </c>
      <c r="G805" s="467"/>
    </row>
    <row r="806" spans="2:7" x14ac:dyDescent="0.25">
      <c r="B806" s="470" t="s">
        <v>433</v>
      </c>
      <c r="C806" s="474">
        <v>43392</v>
      </c>
      <c r="D806" s="471">
        <v>17307</v>
      </c>
      <c r="E806" s="476">
        <v>891580</v>
      </c>
      <c r="F806" s="484">
        <v>-2.183193351850846E-2</v>
      </c>
      <c r="G806" s="467"/>
    </row>
    <row r="807" spans="2:7" x14ac:dyDescent="0.25">
      <c r="B807" s="470" t="s">
        <v>433</v>
      </c>
      <c r="C807" s="474">
        <v>43395</v>
      </c>
      <c r="D807" s="471">
        <v>17210</v>
      </c>
      <c r="E807" s="476">
        <v>436617</v>
      </c>
      <c r="F807" s="484">
        <v>-5.6204337194140103E-3</v>
      </c>
      <c r="G807" s="467"/>
    </row>
    <row r="808" spans="2:7" x14ac:dyDescent="0.25">
      <c r="B808" s="470" t="s">
        <v>433</v>
      </c>
      <c r="C808" s="474">
        <v>43396</v>
      </c>
      <c r="D808" s="471">
        <v>17009</v>
      </c>
      <c r="E808" s="476">
        <v>759104</v>
      </c>
      <c r="F808" s="484">
        <v>-1.1747994491493358E-2</v>
      </c>
      <c r="G808" s="467"/>
    </row>
    <row r="809" spans="2:7" x14ac:dyDescent="0.25">
      <c r="B809" s="470" t="s">
        <v>433</v>
      </c>
      <c r="C809" s="474">
        <v>43397</v>
      </c>
      <c r="D809" s="471">
        <v>17200</v>
      </c>
      <c r="E809" s="476">
        <v>669306</v>
      </c>
      <c r="F809" s="484">
        <v>1.1166768087452721E-2</v>
      </c>
      <c r="G809" s="467"/>
    </row>
    <row r="810" spans="2:7" x14ac:dyDescent="0.25">
      <c r="B810" s="470" t="s">
        <v>433</v>
      </c>
      <c r="C810" s="474">
        <v>43398</v>
      </c>
      <c r="D810" s="471">
        <v>17492</v>
      </c>
      <c r="E810" s="476">
        <v>615826</v>
      </c>
      <c r="F810" s="484">
        <v>1.6834249731266737E-2</v>
      </c>
      <c r="G810" s="467"/>
    </row>
    <row r="811" spans="2:7" x14ac:dyDescent="0.25">
      <c r="B811" s="470" t="s">
        <v>433</v>
      </c>
      <c r="C811" s="474">
        <v>43399</v>
      </c>
      <c r="D811" s="471">
        <v>17136</v>
      </c>
      <c r="E811" s="476">
        <v>642259</v>
      </c>
      <c r="F811" s="484">
        <v>-2.056211984528121E-2</v>
      </c>
      <c r="G811" s="467"/>
    </row>
    <row r="812" spans="2:7" x14ac:dyDescent="0.25">
      <c r="B812" s="470" t="s">
        <v>433</v>
      </c>
      <c r="C812" s="474">
        <v>43402</v>
      </c>
      <c r="D812" s="471">
        <v>17124</v>
      </c>
      <c r="E812" s="476">
        <v>563871</v>
      </c>
      <c r="F812" s="484">
        <v>-7.0052542269327623E-4</v>
      </c>
      <c r="G812" s="467"/>
    </row>
    <row r="813" spans="2:7" x14ac:dyDescent="0.25">
      <c r="B813" s="470" t="s">
        <v>433</v>
      </c>
      <c r="C813" s="474">
        <v>43403</v>
      </c>
      <c r="D813" s="471">
        <v>17247</v>
      </c>
      <c r="E813" s="476">
        <v>375361</v>
      </c>
      <c r="F813" s="484">
        <v>7.1572270265639207E-3</v>
      </c>
      <c r="G813" s="467"/>
    </row>
    <row r="814" spans="2:7" x14ac:dyDescent="0.25">
      <c r="B814" s="470" t="s">
        <v>433</v>
      </c>
      <c r="C814" s="474">
        <v>43404</v>
      </c>
      <c r="D814" s="471">
        <v>17583</v>
      </c>
      <c r="E814" s="476">
        <v>1143092</v>
      </c>
      <c r="F814" s="484">
        <v>1.9294310853138246E-2</v>
      </c>
      <c r="G814" s="467"/>
    </row>
    <row r="815" spans="2:7" x14ac:dyDescent="0.25">
      <c r="B815" s="470" t="s">
        <v>433</v>
      </c>
      <c r="C815" s="474">
        <v>43405</v>
      </c>
      <c r="D815" s="471">
        <v>17831</v>
      </c>
      <c r="E815" s="476">
        <v>658015</v>
      </c>
      <c r="F815" s="484">
        <v>1.4005989389507773E-2</v>
      </c>
      <c r="G815" s="467"/>
    </row>
    <row r="816" spans="2:7" x14ac:dyDescent="0.25">
      <c r="B816" s="470" t="s">
        <v>433</v>
      </c>
      <c r="C816" s="474">
        <v>43406</v>
      </c>
      <c r="D816" s="471">
        <v>17762</v>
      </c>
      <c r="E816" s="476">
        <v>940141</v>
      </c>
      <c r="F816" s="484">
        <v>-3.8771717155972074E-3</v>
      </c>
      <c r="G816" s="467"/>
    </row>
    <row r="817" spans="2:7" x14ac:dyDescent="0.25">
      <c r="B817" s="470" t="s">
        <v>433</v>
      </c>
      <c r="C817" s="474">
        <v>43409</v>
      </c>
      <c r="D817" s="471">
        <v>18369</v>
      </c>
      <c r="E817" s="476">
        <v>604393</v>
      </c>
      <c r="F817" s="484">
        <v>3.3603117327614757E-2</v>
      </c>
      <c r="G817" s="467"/>
    </row>
    <row r="818" spans="2:7" x14ac:dyDescent="0.25">
      <c r="B818" s="470" t="s">
        <v>433</v>
      </c>
      <c r="C818" s="474">
        <v>43410</v>
      </c>
      <c r="D818" s="471">
        <v>18250</v>
      </c>
      <c r="E818" s="476">
        <v>756260</v>
      </c>
      <c r="F818" s="484">
        <v>-6.4993811354266667E-3</v>
      </c>
      <c r="G818" s="467"/>
    </row>
    <row r="819" spans="2:7" x14ac:dyDescent="0.25">
      <c r="B819" s="470" t="s">
        <v>433</v>
      </c>
      <c r="C819" s="474">
        <v>43411</v>
      </c>
      <c r="D819" s="471">
        <v>18917</v>
      </c>
      <c r="E819" s="476">
        <v>620818</v>
      </c>
      <c r="F819" s="484">
        <v>3.5895908655025836E-2</v>
      </c>
      <c r="G819" s="467"/>
    </row>
    <row r="820" spans="2:7" x14ac:dyDescent="0.25">
      <c r="B820" s="470" t="s">
        <v>433</v>
      </c>
      <c r="C820" s="474">
        <v>43412</v>
      </c>
      <c r="D820" s="471">
        <v>18421</v>
      </c>
      <c r="E820" s="476">
        <v>1222392</v>
      </c>
      <c r="F820" s="484">
        <v>-2.6569670513446143E-2</v>
      </c>
      <c r="G820" s="467"/>
    </row>
    <row r="821" spans="2:7" x14ac:dyDescent="0.25">
      <c r="B821" s="470" t="s">
        <v>433</v>
      </c>
      <c r="C821" s="474">
        <v>43413</v>
      </c>
      <c r="D821" s="471">
        <v>18389</v>
      </c>
      <c r="E821" s="476">
        <v>620404</v>
      </c>
      <c r="F821" s="484">
        <v>-1.7386584113639931E-3</v>
      </c>
      <c r="G821" s="467"/>
    </row>
    <row r="822" spans="2:7" x14ac:dyDescent="0.25">
      <c r="B822" s="470" t="s">
        <v>433</v>
      </c>
      <c r="C822" s="474">
        <v>43416</v>
      </c>
      <c r="D822" s="471">
        <v>17755</v>
      </c>
      <c r="E822" s="476">
        <v>503319</v>
      </c>
      <c r="F822" s="484">
        <v>-3.5085493363664927E-2</v>
      </c>
      <c r="G822" s="467"/>
    </row>
    <row r="823" spans="2:7" x14ac:dyDescent="0.25">
      <c r="B823" s="470" t="s">
        <v>433</v>
      </c>
      <c r="C823" s="474">
        <v>43417</v>
      </c>
      <c r="D823" s="471">
        <v>17520</v>
      </c>
      <c r="E823" s="476">
        <v>669197</v>
      </c>
      <c r="F823" s="484">
        <v>-1.3324080886805787E-2</v>
      </c>
      <c r="G823" s="467"/>
    </row>
    <row r="824" spans="2:7" x14ac:dyDescent="0.25">
      <c r="B824" s="470" t="s">
        <v>433</v>
      </c>
      <c r="C824" s="474">
        <v>43418</v>
      </c>
      <c r="D824" s="471">
        <v>17733</v>
      </c>
      <c r="E824" s="476">
        <v>986201</v>
      </c>
      <c r="F824" s="484">
        <v>1.2084225002096801E-2</v>
      </c>
      <c r="G824" s="467"/>
    </row>
    <row r="825" spans="2:7" x14ac:dyDescent="0.25">
      <c r="B825" s="470" t="s">
        <v>433</v>
      </c>
      <c r="C825" s="474">
        <v>43419</v>
      </c>
      <c r="D825" s="471">
        <v>18200</v>
      </c>
      <c r="E825" s="476">
        <v>4473950</v>
      </c>
      <c r="F825" s="484">
        <v>2.5994283572407646E-2</v>
      </c>
      <c r="G825" s="467"/>
    </row>
    <row r="826" spans="2:7" x14ac:dyDescent="0.25">
      <c r="B826" s="470" t="s">
        <v>433</v>
      </c>
      <c r="C826" s="474">
        <v>43420</v>
      </c>
      <c r="D826" s="471">
        <v>18000</v>
      </c>
      <c r="E826" s="476">
        <v>2745665</v>
      </c>
      <c r="F826" s="484">
        <v>-1.1049836186584935E-2</v>
      </c>
      <c r="G826" s="467"/>
    </row>
    <row r="827" spans="2:7" x14ac:dyDescent="0.25">
      <c r="B827" s="470" t="s">
        <v>433</v>
      </c>
      <c r="C827" s="474">
        <v>43423</v>
      </c>
      <c r="D827" s="471">
        <v>17900</v>
      </c>
      <c r="E827" s="476">
        <v>1883074</v>
      </c>
      <c r="F827" s="484">
        <v>-5.5710450494553601E-3</v>
      </c>
      <c r="G827" s="467"/>
    </row>
    <row r="828" spans="2:7" x14ac:dyDescent="0.25">
      <c r="B828" s="470" t="s">
        <v>433</v>
      </c>
      <c r="C828" s="474">
        <v>43424</v>
      </c>
      <c r="D828" s="471">
        <v>17745</v>
      </c>
      <c r="E828" s="476">
        <v>1146164</v>
      </c>
      <c r="F828" s="484">
        <v>-8.6969267482495533E-3</v>
      </c>
      <c r="G828" s="467"/>
    </row>
    <row r="829" spans="2:7" x14ac:dyDescent="0.25">
      <c r="B829" s="470" t="s">
        <v>433</v>
      </c>
      <c r="C829" s="474">
        <v>43425</v>
      </c>
      <c r="D829" s="471">
        <v>17900</v>
      </c>
      <c r="E829" s="476">
        <v>1056074</v>
      </c>
      <c r="F829" s="484">
        <v>8.6969267482494388E-3</v>
      </c>
      <c r="G829" s="467"/>
    </row>
    <row r="830" spans="2:7" x14ac:dyDescent="0.25">
      <c r="B830" s="470" t="s">
        <v>433</v>
      </c>
      <c r="C830" s="474">
        <v>43426</v>
      </c>
      <c r="D830" s="471">
        <v>17960</v>
      </c>
      <c r="E830" s="476">
        <v>960912</v>
      </c>
      <c r="F830" s="484">
        <v>3.346350027344173E-3</v>
      </c>
      <c r="G830" s="467"/>
    </row>
    <row r="831" spans="2:7" x14ac:dyDescent="0.25">
      <c r="B831" s="470" t="s">
        <v>433</v>
      </c>
      <c r="C831" s="474">
        <v>43427</v>
      </c>
      <c r="D831" s="471">
        <v>18126</v>
      </c>
      <c r="E831" s="476">
        <v>1588137</v>
      </c>
      <c r="F831" s="484">
        <v>9.2003087585363161E-3</v>
      </c>
      <c r="G831" s="467"/>
    </row>
    <row r="832" spans="2:7" x14ac:dyDescent="0.25">
      <c r="B832" s="470" t="s">
        <v>433</v>
      </c>
      <c r="C832" s="474">
        <v>43430</v>
      </c>
      <c r="D832" s="471">
        <v>18900</v>
      </c>
      <c r="E832" s="476">
        <v>1020418</v>
      </c>
      <c r="F832" s="484">
        <v>4.181455043300681E-2</v>
      </c>
      <c r="G832" s="467"/>
    </row>
    <row r="833" spans="2:7" x14ac:dyDescent="0.25">
      <c r="B833" s="470" t="s">
        <v>433</v>
      </c>
      <c r="C833" s="474">
        <v>43431</v>
      </c>
      <c r="D833" s="471">
        <v>19676</v>
      </c>
      <c r="E833" s="476">
        <v>1022304</v>
      </c>
      <c r="F833" s="484">
        <v>4.023769686749664E-2</v>
      </c>
      <c r="G833" s="467"/>
    </row>
    <row r="834" spans="2:7" x14ac:dyDescent="0.25">
      <c r="B834" s="470" t="s">
        <v>433</v>
      </c>
      <c r="C834" s="474">
        <v>43432</v>
      </c>
      <c r="D834" s="471">
        <v>19850</v>
      </c>
      <c r="E834" s="476">
        <v>897058</v>
      </c>
      <c r="F834" s="484">
        <v>8.8043882001060461E-3</v>
      </c>
      <c r="G834" s="467"/>
    </row>
    <row r="835" spans="2:7" x14ac:dyDescent="0.25">
      <c r="B835" s="470" t="s">
        <v>433</v>
      </c>
      <c r="C835" s="474">
        <v>43433</v>
      </c>
      <c r="D835" s="471">
        <v>20036</v>
      </c>
      <c r="E835" s="476">
        <v>1147819</v>
      </c>
      <c r="F835" s="484">
        <v>9.326648362170991E-3</v>
      </c>
      <c r="G835" s="467"/>
    </row>
    <row r="836" spans="2:7" x14ac:dyDescent="0.25">
      <c r="B836" s="470" t="s">
        <v>433</v>
      </c>
      <c r="C836" s="474">
        <v>43434</v>
      </c>
      <c r="D836" s="471">
        <v>19577</v>
      </c>
      <c r="E836" s="476">
        <v>963481</v>
      </c>
      <c r="F836" s="484">
        <v>-2.3175247700964817E-2</v>
      </c>
      <c r="G836" s="467"/>
    </row>
    <row r="837" spans="2:7" x14ac:dyDescent="0.25">
      <c r="B837" s="470" t="s">
        <v>433</v>
      </c>
      <c r="C837" s="474">
        <v>43437</v>
      </c>
      <c r="D837" s="471">
        <v>19800</v>
      </c>
      <c r="E837" s="476">
        <v>765536</v>
      </c>
      <c r="F837" s="484">
        <v>1.1326529906083892E-2</v>
      </c>
      <c r="G837" s="467"/>
    </row>
    <row r="838" spans="2:7" x14ac:dyDescent="0.25">
      <c r="B838" s="470" t="s">
        <v>433</v>
      </c>
      <c r="C838" s="474">
        <v>43438</v>
      </c>
      <c r="D838" s="471">
        <v>20149</v>
      </c>
      <c r="E838" s="476">
        <v>794479</v>
      </c>
      <c r="F838" s="484">
        <v>1.7472721669139598E-2</v>
      </c>
      <c r="G838" s="467"/>
    </row>
    <row r="839" spans="2:7" x14ac:dyDescent="0.25">
      <c r="B839" s="470" t="s">
        <v>433</v>
      </c>
      <c r="C839" s="474">
        <v>43439</v>
      </c>
      <c r="D839" s="471">
        <v>19736</v>
      </c>
      <c r="E839" s="476">
        <v>533361</v>
      </c>
      <c r="F839" s="484">
        <v>-2.0710280142573503E-2</v>
      </c>
      <c r="G839" s="467"/>
    </row>
    <row r="840" spans="2:7" x14ac:dyDescent="0.25">
      <c r="B840" s="470" t="s">
        <v>433</v>
      </c>
      <c r="C840" s="474">
        <v>43440</v>
      </c>
      <c r="D840" s="471">
        <v>19498</v>
      </c>
      <c r="E840" s="476">
        <v>627400</v>
      </c>
      <c r="F840" s="484">
        <v>-1.2132483019975828E-2</v>
      </c>
      <c r="G840" s="467"/>
    </row>
    <row r="841" spans="2:7" x14ac:dyDescent="0.25">
      <c r="B841" s="470" t="s">
        <v>433</v>
      </c>
      <c r="C841" s="474">
        <v>43441</v>
      </c>
      <c r="D841" s="471">
        <v>19448</v>
      </c>
      <c r="E841" s="476">
        <v>510643</v>
      </c>
      <c r="F841" s="484">
        <v>-2.5676591932575557E-3</v>
      </c>
      <c r="G841" s="467"/>
    </row>
    <row r="842" spans="2:7" x14ac:dyDescent="0.25">
      <c r="B842" s="470" t="s">
        <v>433</v>
      </c>
      <c r="C842" s="474">
        <v>43444</v>
      </c>
      <c r="D842" s="471">
        <v>19218</v>
      </c>
      <c r="E842" s="476">
        <v>701945</v>
      </c>
      <c r="F842" s="484">
        <v>-1.1896897158746183E-2</v>
      </c>
      <c r="G842" s="467"/>
    </row>
    <row r="843" spans="2:7" x14ac:dyDescent="0.25">
      <c r="B843" s="470" t="s">
        <v>433</v>
      </c>
      <c r="C843" s="474">
        <v>43445</v>
      </c>
      <c r="D843" s="471">
        <v>19303</v>
      </c>
      <c r="E843" s="476">
        <v>904972</v>
      </c>
      <c r="F843" s="484">
        <v>4.4131843906621507E-3</v>
      </c>
      <c r="G843" s="467"/>
    </row>
    <row r="844" spans="2:7" x14ac:dyDescent="0.25">
      <c r="B844" s="470" t="s">
        <v>433</v>
      </c>
      <c r="C844" s="474">
        <v>43446</v>
      </c>
      <c r="D844" s="471">
        <v>19398</v>
      </c>
      <c r="E844" s="476">
        <v>611469</v>
      </c>
      <c r="F844" s="484">
        <v>4.9094437256128973E-3</v>
      </c>
      <c r="G844" s="467"/>
    </row>
    <row r="845" spans="2:7" x14ac:dyDescent="0.25">
      <c r="B845" s="470" t="s">
        <v>433</v>
      </c>
      <c r="C845" s="474">
        <v>43447</v>
      </c>
      <c r="D845" s="471">
        <v>19739</v>
      </c>
      <c r="E845" s="476">
        <v>700477</v>
      </c>
      <c r="F845" s="484">
        <v>1.7426406189499363E-2</v>
      </c>
      <c r="G845" s="467"/>
    </row>
    <row r="846" spans="2:7" x14ac:dyDescent="0.25">
      <c r="B846" s="470" t="s">
        <v>433</v>
      </c>
      <c r="C846" s="474">
        <v>43448</v>
      </c>
      <c r="D846" s="471">
        <v>19714</v>
      </c>
      <c r="E846" s="476">
        <v>471018</v>
      </c>
      <c r="F846" s="484">
        <v>-1.2673309176032242E-3</v>
      </c>
      <c r="G846" s="467"/>
    </row>
    <row r="847" spans="2:7" x14ac:dyDescent="0.25">
      <c r="B847" s="470" t="s">
        <v>433</v>
      </c>
      <c r="C847" s="474">
        <v>43452</v>
      </c>
      <c r="D847" s="471">
        <v>19826</v>
      </c>
      <c r="E847" s="476">
        <v>666903</v>
      </c>
      <c r="F847" s="484">
        <v>5.6651643674584008E-3</v>
      </c>
      <c r="G847" s="467"/>
    </row>
    <row r="848" spans="2:7" x14ac:dyDescent="0.25">
      <c r="B848" s="470" t="s">
        <v>433</v>
      </c>
      <c r="C848" s="474">
        <v>43453</v>
      </c>
      <c r="D848" s="471">
        <v>20007</v>
      </c>
      <c r="E848" s="476">
        <v>767554</v>
      </c>
      <c r="F848" s="484">
        <v>9.0880047075731982E-3</v>
      </c>
      <c r="G848" s="467"/>
    </row>
    <row r="849" spans="2:7" x14ac:dyDescent="0.25">
      <c r="B849" s="470" t="s">
        <v>433</v>
      </c>
      <c r="C849" s="474">
        <v>43454</v>
      </c>
      <c r="D849" s="471">
        <v>19999</v>
      </c>
      <c r="E849" s="476">
        <v>1215245</v>
      </c>
      <c r="F849" s="484">
        <v>-3.9994001432957582E-4</v>
      </c>
      <c r="G849" s="467"/>
    </row>
    <row r="850" spans="2:7" x14ac:dyDescent="0.25">
      <c r="B850" s="470" t="s">
        <v>433</v>
      </c>
      <c r="C850" s="474">
        <v>43455</v>
      </c>
      <c r="D850" s="471">
        <v>19986</v>
      </c>
      <c r="E850" s="476">
        <v>972317</v>
      </c>
      <c r="F850" s="484">
        <v>-6.5024386435173992E-4</v>
      </c>
      <c r="G850" s="467"/>
    </row>
    <row r="851" spans="2:7" x14ac:dyDescent="0.25">
      <c r="B851" s="470" t="s">
        <v>433</v>
      </c>
      <c r="C851" s="474">
        <v>43458</v>
      </c>
      <c r="D851" s="471">
        <v>20046</v>
      </c>
      <c r="E851" s="476">
        <v>139089</v>
      </c>
      <c r="F851" s="484">
        <v>2.997604163076911E-3</v>
      </c>
      <c r="G851" s="467"/>
    </row>
    <row r="852" spans="2:7" x14ac:dyDescent="0.25">
      <c r="B852" s="470" t="s">
        <v>433</v>
      </c>
      <c r="C852" s="474">
        <v>43461</v>
      </c>
      <c r="D852" s="471">
        <v>19842</v>
      </c>
      <c r="E852" s="476">
        <v>232481</v>
      </c>
      <c r="F852" s="484">
        <v>-1.0228729374963715E-2</v>
      </c>
      <c r="G852" s="467"/>
    </row>
    <row r="853" spans="2:7" x14ac:dyDescent="0.25">
      <c r="B853" s="470" t="s">
        <v>433</v>
      </c>
      <c r="C853" s="474">
        <v>43462</v>
      </c>
      <c r="D853" s="471">
        <v>20250</v>
      </c>
      <c r="E853" s="476">
        <v>350238</v>
      </c>
      <c r="F853" s="484">
        <v>2.0353890324837493E-2</v>
      </c>
      <c r="G853" s="467"/>
    </row>
    <row r="854" spans="2:7" x14ac:dyDescent="0.25">
      <c r="B854" s="470" t="s">
        <v>433</v>
      </c>
      <c r="C854" s="474">
        <v>43465</v>
      </c>
      <c r="D854" s="471">
        <v>20750</v>
      </c>
      <c r="E854" s="476">
        <v>251239</v>
      </c>
      <c r="F854" s="484">
        <v>2.4391453124159263E-2</v>
      </c>
      <c r="G854" s="467"/>
    </row>
    <row r="855" spans="2:7" x14ac:dyDescent="0.25">
      <c r="B855" s="470" t="s">
        <v>433</v>
      </c>
      <c r="C855" s="474">
        <v>43467</v>
      </c>
      <c r="D855" s="471">
        <v>20039</v>
      </c>
      <c r="E855" s="476">
        <v>324378</v>
      </c>
      <c r="F855" s="484">
        <v>-3.4865871904700453E-2</v>
      </c>
      <c r="G855" s="467"/>
    </row>
    <row r="856" spans="2:7" x14ac:dyDescent="0.25">
      <c r="B856" s="470" t="s">
        <v>433</v>
      </c>
      <c r="C856" s="474">
        <v>43468</v>
      </c>
      <c r="D856" s="471">
        <v>20193</v>
      </c>
      <c r="E856" s="476">
        <v>352394</v>
      </c>
      <c r="F856" s="484">
        <v>7.6556349246789338E-3</v>
      </c>
      <c r="G856" s="467"/>
    </row>
    <row r="857" spans="2:7" x14ac:dyDescent="0.25">
      <c r="B857" s="470" t="s">
        <v>433</v>
      </c>
      <c r="C857" s="474">
        <v>43469</v>
      </c>
      <c r="D857" s="471">
        <v>20400</v>
      </c>
      <c r="E857" s="476">
        <v>718161</v>
      </c>
      <c r="F857" s="484">
        <v>1.0198891153485037E-2</v>
      </c>
      <c r="G857" s="467"/>
    </row>
    <row r="858" spans="2:7" x14ac:dyDescent="0.25">
      <c r="B858" s="470" t="s">
        <v>433</v>
      </c>
      <c r="C858" s="474">
        <v>43472</v>
      </c>
      <c r="D858" s="471">
        <v>20000</v>
      </c>
      <c r="E858" s="476">
        <v>320525</v>
      </c>
      <c r="F858" s="484">
        <v>-1.9802627296179754E-2</v>
      </c>
      <c r="G858" s="467"/>
    </row>
    <row r="859" spans="2:7" x14ac:dyDescent="0.25">
      <c r="B859" s="470" t="s">
        <v>433</v>
      </c>
      <c r="C859" s="474">
        <v>43473</v>
      </c>
      <c r="D859" s="471">
        <v>19988</v>
      </c>
      <c r="E859" s="476">
        <v>207583</v>
      </c>
      <c r="F859" s="484">
        <v>-6.0018007203246058E-4</v>
      </c>
      <c r="G859" s="467"/>
    </row>
    <row r="860" spans="2:7" x14ac:dyDescent="0.25">
      <c r="B860" s="470" t="s">
        <v>433</v>
      </c>
      <c r="C860" s="474">
        <v>43474</v>
      </c>
      <c r="D860" s="471">
        <v>20064</v>
      </c>
      <c r="E860" s="476">
        <v>971907</v>
      </c>
      <c r="F860" s="484">
        <v>3.7950709685515343E-3</v>
      </c>
      <c r="G860" s="467"/>
    </row>
    <row r="861" spans="2:7" x14ac:dyDescent="0.25">
      <c r="B861" s="470" t="s">
        <v>433</v>
      </c>
      <c r="C861" s="474">
        <v>43475</v>
      </c>
      <c r="D861" s="471">
        <v>20225</v>
      </c>
      <c r="E861" s="476">
        <v>595387</v>
      </c>
      <c r="F861" s="484">
        <v>7.9922984940452024E-3</v>
      </c>
      <c r="G861" s="467"/>
    </row>
    <row r="862" spans="2:7" x14ac:dyDescent="0.25">
      <c r="B862" s="470" t="s">
        <v>433</v>
      </c>
      <c r="C862" s="474">
        <v>43476</v>
      </c>
      <c r="D862" s="471">
        <v>20479</v>
      </c>
      <c r="E862" s="476">
        <v>598039</v>
      </c>
      <c r="F862" s="484">
        <v>1.2480507909619982E-2</v>
      </c>
      <c r="G862" s="467"/>
    </row>
    <row r="863" spans="2:7" x14ac:dyDescent="0.25">
      <c r="B863" s="470" t="s">
        <v>433</v>
      </c>
      <c r="C863" s="474">
        <v>43479</v>
      </c>
      <c r="D863" s="471">
        <v>20746</v>
      </c>
      <c r="E863" s="476">
        <v>749412</v>
      </c>
      <c r="F863" s="484">
        <v>1.2953486155460917E-2</v>
      </c>
      <c r="G863" s="467"/>
    </row>
    <row r="864" spans="2:7" x14ac:dyDescent="0.25">
      <c r="B864" s="470" t="s">
        <v>433</v>
      </c>
      <c r="C864" s="474">
        <v>43480</v>
      </c>
      <c r="D864" s="471">
        <v>20677</v>
      </c>
      <c r="E864" s="476">
        <v>617238</v>
      </c>
      <c r="F864" s="484">
        <v>-3.3314855910033568E-3</v>
      </c>
      <c r="G864" s="467"/>
    </row>
    <row r="865" spans="2:7" x14ac:dyDescent="0.25">
      <c r="B865" s="470" t="s">
        <v>433</v>
      </c>
      <c r="C865" s="474">
        <v>43481</v>
      </c>
      <c r="D865" s="471">
        <v>21072</v>
      </c>
      <c r="E865" s="476">
        <v>530134</v>
      </c>
      <c r="F865" s="484">
        <v>1.8923173582292278E-2</v>
      </c>
      <c r="G865" s="467"/>
    </row>
    <row r="866" spans="2:7" x14ac:dyDescent="0.25">
      <c r="B866" s="470" t="s">
        <v>433</v>
      </c>
      <c r="C866" s="474">
        <v>43482</v>
      </c>
      <c r="D866" s="471">
        <v>20150</v>
      </c>
      <c r="E866" s="476">
        <v>1017700</v>
      </c>
      <c r="F866" s="484">
        <v>-4.4740856608233244E-2</v>
      </c>
      <c r="G866" s="467"/>
    </row>
    <row r="867" spans="2:7" x14ac:dyDescent="0.25">
      <c r="B867" s="470" t="s">
        <v>433</v>
      </c>
      <c r="C867" s="474">
        <v>43483</v>
      </c>
      <c r="D867" s="471">
        <v>20273</v>
      </c>
      <c r="E867" s="476">
        <v>519071</v>
      </c>
      <c r="F867" s="484">
        <v>6.0856630933647168E-3</v>
      </c>
      <c r="G867" s="467"/>
    </row>
    <row r="868" spans="2:7" x14ac:dyDescent="0.25">
      <c r="B868" s="470" t="s">
        <v>433</v>
      </c>
      <c r="C868" s="474">
        <v>43486</v>
      </c>
      <c r="D868" s="471">
        <v>20163</v>
      </c>
      <c r="E868" s="476">
        <v>439055</v>
      </c>
      <c r="F868" s="484">
        <v>-5.4407098301182252E-3</v>
      </c>
      <c r="G868" s="467"/>
    </row>
    <row r="869" spans="2:7" x14ac:dyDescent="0.25">
      <c r="B869" s="470" t="s">
        <v>433</v>
      </c>
      <c r="C869" s="474">
        <v>43487</v>
      </c>
      <c r="D869" s="471">
        <v>20139</v>
      </c>
      <c r="E869" s="476">
        <v>594821</v>
      </c>
      <c r="F869" s="484">
        <v>-1.1910080312143082E-3</v>
      </c>
      <c r="G869" s="467"/>
    </row>
    <row r="870" spans="2:7" x14ac:dyDescent="0.25">
      <c r="B870" s="470" t="s">
        <v>433</v>
      </c>
      <c r="C870" s="474">
        <v>43488</v>
      </c>
      <c r="D870" s="471">
        <v>20551</v>
      </c>
      <c r="E870" s="476">
        <v>658878</v>
      </c>
      <c r="F870" s="484">
        <v>2.0251367934059007E-2</v>
      </c>
      <c r="G870" s="467"/>
    </row>
    <row r="871" spans="2:7" x14ac:dyDescent="0.25">
      <c r="B871" s="470" t="s">
        <v>433</v>
      </c>
      <c r="C871" s="474">
        <v>43489</v>
      </c>
      <c r="D871" s="471">
        <v>20799</v>
      </c>
      <c r="E871" s="476">
        <v>548881</v>
      </c>
      <c r="F871" s="484">
        <v>1.1995307069679806E-2</v>
      </c>
      <c r="G871" s="467"/>
    </row>
    <row r="872" spans="2:7" x14ac:dyDescent="0.25">
      <c r="B872" s="470" t="s">
        <v>433</v>
      </c>
      <c r="C872" s="474">
        <v>43490</v>
      </c>
      <c r="D872" s="471">
        <v>20025</v>
      </c>
      <c r="E872" s="476">
        <v>906739</v>
      </c>
      <c r="F872" s="484">
        <v>-3.7923415674040187E-2</v>
      </c>
      <c r="G872" s="467"/>
    </row>
    <row r="873" spans="2:7" x14ac:dyDescent="0.25">
      <c r="B873" s="470" t="s">
        <v>433</v>
      </c>
      <c r="C873" s="474">
        <v>43493</v>
      </c>
      <c r="D873" s="471">
        <v>20000</v>
      </c>
      <c r="E873" s="476">
        <v>619293</v>
      </c>
      <c r="F873" s="484">
        <v>-1.2492194004319278E-3</v>
      </c>
      <c r="G873" s="467"/>
    </row>
    <row r="874" spans="2:7" x14ac:dyDescent="0.25">
      <c r="B874" s="470" t="s">
        <v>433</v>
      </c>
      <c r="C874" s="474">
        <v>43494</v>
      </c>
      <c r="D874" s="471">
        <v>20078</v>
      </c>
      <c r="E874" s="476">
        <v>656553</v>
      </c>
      <c r="F874" s="484">
        <v>3.8924147153438535E-3</v>
      </c>
      <c r="G874" s="467"/>
    </row>
    <row r="875" spans="2:7" x14ac:dyDescent="0.25">
      <c r="B875" s="470" t="s">
        <v>433</v>
      </c>
      <c r="C875" s="474">
        <v>43495</v>
      </c>
      <c r="D875" s="471">
        <v>19511</v>
      </c>
      <c r="E875" s="476">
        <v>783322</v>
      </c>
      <c r="F875" s="484">
        <v>-2.8646279181573198E-2</v>
      </c>
      <c r="G875" s="467"/>
    </row>
    <row r="876" spans="2:7" x14ac:dyDescent="0.25">
      <c r="B876" s="470" t="s">
        <v>433</v>
      </c>
      <c r="C876" s="474">
        <v>43496</v>
      </c>
      <c r="D876" s="471">
        <v>19940</v>
      </c>
      <c r="E876" s="476">
        <v>1118921</v>
      </c>
      <c r="F876" s="484">
        <v>2.1749355445930547E-2</v>
      </c>
      <c r="G876" s="467"/>
    </row>
    <row r="877" spans="2:7" x14ac:dyDescent="0.25">
      <c r="B877" s="470" t="s">
        <v>433</v>
      </c>
      <c r="C877" s="474">
        <v>43497</v>
      </c>
      <c r="D877" s="471">
        <v>19867</v>
      </c>
      <c r="E877" s="476">
        <v>466052</v>
      </c>
      <c r="F877" s="484">
        <v>-3.6677007477658018E-3</v>
      </c>
      <c r="G877" s="467"/>
    </row>
    <row r="878" spans="2:7" x14ac:dyDescent="0.25">
      <c r="B878" s="470" t="s">
        <v>433</v>
      </c>
      <c r="C878" s="474">
        <v>43500</v>
      </c>
      <c r="D878" s="471">
        <v>19120</v>
      </c>
      <c r="E878" s="476">
        <v>477589</v>
      </c>
      <c r="F878" s="484">
        <v>-3.8325156162671244E-2</v>
      </c>
      <c r="G878" s="467"/>
    </row>
    <row r="879" spans="2:7" x14ac:dyDescent="0.25">
      <c r="B879" s="470" t="s">
        <v>433</v>
      </c>
      <c r="C879" s="474">
        <v>43501</v>
      </c>
      <c r="D879" s="471">
        <v>19435</v>
      </c>
      <c r="E879" s="476">
        <v>451337</v>
      </c>
      <c r="F879" s="484">
        <v>1.6340656680931303E-2</v>
      </c>
      <c r="G879" s="467"/>
    </row>
    <row r="880" spans="2:7" x14ac:dyDescent="0.25">
      <c r="B880" s="470" t="s">
        <v>433</v>
      </c>
      <c r="C880" s="474">
        <v>43502</v>
      </c>
      <c r="D880" s="471">
        <v>19417</v>
      </c>
      <c r="E880" s="476">
        <v>573164</v>
      </c>
      <c r="F880" s="484">
        <v>-9.2659329186984413E-4</v>
      </c>
      <c r="G880" s="467"/>
    </row>
    <row r="881" spans="2:7" x14ac:dyDescent="0.25">
      <c r="B881" s="470" t="s">
        <v>433</v>
      </c>
      <c r="C881" s="474">
        <v>43503</v>
      </c>
      <c r="D881" s="471">
        <v>18952</v>
      </c>
      <c r="E881" s="476">
        <v>454758</v>
      </c>
      <c r="F881" s="484">
        <v>-2.4239504155832387E-2</v>
      </c>
      <c r="G881" s="467"/>
    </row>
    <row r="882" spans="2:7" x14ac:dyDescent="0.25">
      <c r="B882" s="470" t="s">
        <v>433</v>
      </c>
      <c r="C882" s="474">
        <v>43504</v>
      </c>
      <c r="D882" s="471">
        <v>19216</v>
      </c>
      <c r="E882" s="476">
        <v>998572</v>
      </c>
      <c r="F882" s="484">
        <v>1.3833798481143354E-2</v>
      </c>
      <c r="G882" s="467"/>
    </row>
    <row r="883" spans="2:7" x14ac:dyDescent="0.25">
      <c r="B883" s="470" t="s">
        <v>433</v>
      </c>
      <c r="C883" s="474">
        <v>43507</v>
      </c>
      <c r="D883" s="471">
        <v>19021</v>
      </c>
      <c r="E883" s="476">
        <v>552656</v>
      </c>
      <c r="F883" s="484">
        <v>-1.019963336692379E-2</v>
      </c>
      <c r="G883" s="467"/>
    </row>
    <row r="884" spans="2:7" x14ac:dyDescent="0.25">
      <c r="B884" s="470" t="s">
        <v>433</v>
      </c>
      <c r="C884" s="474">
        <v>43508</v>
      </c>
      <c r="D884" s="471">
        <v>19978</v>
      </c>
      <c r="E884" s="476">
        <v>1142335</v>
      </c>
      <c r="F884" s="484">
        <v>4.9088036139253943E-2</v>
      </c>
      <c r="G884" s="467"/>
    </row>
    <row r="885" spans="2:7" x14ac:dyDescent="0.25">
      <c r="B885" s="470" t="s">
        <v>433</v>
      </c>
      <c r="C885" s="474">
        <v>43509</v>
      </c>
      <c r="D885" s="471">
        <v>20500</v>
      </c>
      <c r="E885" s="476">
        <v>1641381</v>
      </c>
      <c r="F885" s="484">
        <v>2.5793218034404545E-2</v>
      </c>
      <c r="G885" s="467"/>
    </row>
    <row r="886" spans="2:7" x14ac:dyDescent="0.25">
      <c r="B886" s="470" t="s">
        <v>433</v>
      </c>
      <c r="C886" s="474">
        <v>43510</v>
      </c>
      <c r="D886" s="471">
        <v>20235</v>
      </c>
      <c r="E886" s="476">
        <v>826571</v>
      </c>
      <c r="F886" s="484">
        <v>-1.3011107816533611E-2</v>
      </c>
      <c r="G886" s="467"/>
    </row>
    <row r="887" spans="2:7" x14ac:dyDescent="0.25">
      <c r="B887" s="470" t="s">
        <v>433</v>
      </c>
      <c r="C887" s="474">
        <v>43511</v>
      </c>
      <c r="D887" s="471">
        <v>20338</v>
      </c>
      <c r="E887" s="476">
        <v>508251</v>
      </c>
      <c r="F887" s="484">
        <v>5.0772790411168171E-3</v>
      </c>
      <c r="G887" s="467"/>
    </row>
    <row r="888" spans="2:7" x14ac:dyDescent="0.25">
      <c r="B888" s="470" t="s">
        <v>433</v>
      </c>
      <c r="C888" s="474">
        <v>43514</v>
      </c>
      <c r="D888" s="471">
        <v>20382</v>
      </c>
      <c r="E888" s="476">
        <v>1292425</v>
      </c>
      <c r="F888" s="484">
        <v>2.1611010375562675E-3</v>
      </c>
      <c r="G888" s="467"/>
    </row>
    <row r="889" spans="2:7" x14ac:dyDescent="0.25">
      <c r="B889" s="470" t="s">
        <v>433</v>
      </c>
      <c r="C889" s="474">
        <v>43515</v>
      </c>
      <c r="D889" s="471">
        <v>19958</v>
      </c>
      <c r="E889" s="476">
        <v>304305</v>
      </c>
      <c r="F889" s="484">
        <v>-2.1022092944381097E-2</v>
      </c>
      <c r="G889" s="467"/>
    </row>
    <row r="890" spans="2:7" x14ac:dyDescent="0.25">
      <c r="B890" s="470" t="s">
        <v>433</v>
      </c>
      <c r="C890" s="474">
        <v>43516</v>
      </c>
      <c r="D890" s="471">
        <v>20000</v>
      </c>
      <c r="E890" s="476">
        <v>612055</v>
      </c>
      <c r="F890" s="484">
        <v>2.1022080918702809E-3</v>
      </c>
      <c r="G890" s="467"/>
    </row>
    <row r="891" spans="2:7" x14ac:dyDescent="0.25">
      <c r="B891" s="470" t="s">
        <v>433</v>
      </c>
      <c r="C891" s="474">
        <v>43517</v>
      </c>
      <c r="D891" s="471">
        <v>19679</v>
      </c>
      <c r="E891" s="476">
        <v>342915</v>
      </c>
      <c r="F891" s="484">
        <v>-1.6180196229038352E-2</v>
      </c>
      <c r="G891" s="467"/>
    </row>
    <row r="892" spans="2:7" x14ac:dyDescent="0.25">
      <c r="B892" s="470" t="s">
        <v>433</v>
      </c>
      <c r="C892" s="474">
        <v>43518</v>
      </c>
      <c r="D892" s="471">
        <v>19862</v>
      </c>
      <c r="E892" s="476">
        <v>389715</v>
      </c>
      <c r="F892" s="484">
        <v>9.2562811562142324E-3</v>
      </c>
      <c r="G892" s="467"/>
    </row>
    <row r="893" spans="2:7" x14ac:dyDescent="0.25">
      <c r="B893" s="470" t="s">
        <v>433</v>
      </c>
      <c r="C893" s="474">
        <v>43521</v>
      </c>
      <c r="D893" s="471">
        <v>19968</v>
      </c>
      <c r="E893" s="476">
        <v>589119</v>
      </c>
      <c r="F893" s="484">
        <v>5.3226337058504504E-3</v>
      </c>
      <c r="G893" s="467"/>
    </row>
    <row r="894" spans="2:7" x14ac:dyDescent="0.25">
      <c r="B894" s="470" t="s">
        <v>433</v>
      </c>
      <c r="C894" s="474">
        <v>43522</v>
      </c>
      <c r="D894" s="471">
        <v>20054</v>
      </c>
      <c r="E894" s="476">
        <v>719871</v>
      </c>
      <c r="F894" s="484">
        <v>4.2976429147163851E-3</v>
      </c>
      <c r="G894" s="467"/>
    </row>
    <row r="895" spans="2:7" x14ac:dyDescent="0.25">
      <c r="B895" s="470" t="s">
        <v>433</v>
      </c>
      <c r="C895" s="474">
        <v>43523</v>
      </c>
      <c r="D895" s="471">
        <v>20133</v>
      </c>
      <c r="E895" s="476">
        <v>364148</v>
      </c>
      <c r="F895" s="484">
        <v>3.9316247424782749E-3</v>
      </c>
      <c r="G895" s="467"/>
    </row>
    <row r="896" spans="2:7" x14ac:dyDescent="0.25">
      <c r="B896" s="470" t="s">
        <v>433</v>
      </c>
      <c r="C896" s="474">
        <v>43524</v>
      </c>
      <c r="D896" s="471">
        <v>19970</v>
      </c>
      <c r="E896" s="476">
        <v>834757</v>
      </c>
      <c r="F896" s="484">
        <v>-8.1291124164880393E-3</v>
      </c>
      <c r="G896" s="467"/>
    </row>
    <row r="897" spans="2:7" x14ac:dyDescent="0.25">
      <c r="B897" s="470" t="s">
        <v>433</v>
      </c>
      <c r="C897" s="474">
        <v>43525</v>
      </c>
      <c r="D897" s="471">
        <v>19867</v>
      </c>
      <c r="E897" s="476">
        <v>307684</v>
      </c>
      <c r="F897" s="484">
        <v>-5.1710836417973903E-3</v>
      </c>
      <c r="G897" s="467"/>
    </row>
    <row r="898" spans="2:7" x14ac:dyDescent="0.25">
      <c r="B898" s="470" t="s">
        <v>433</v>
      </c>
      <c r="C898" s="474">
        <v>43528</v>
      </c>
      <c r="D898" s="471">
        <v>20132</v>
      </c>
      <c r="E898" s="476">
        <v>502275</v>
      </c>
      <c r="F898" s="484">
        <v>1.3250525128187123E-2</v>
      </c>
      <c r="G898" s="467"/>
    </row>
    <row r="899" spans="2:7" x14ac:dyDescent="0.25">
      <c r="B899" s="470" t="s">
        <v>433</v>
      </c>
      <c r="C899" s="474">
        <v>43529</v>
      </c>
      <c r="D899" s="471">
        <v>20246</v>
      </c>
      <c r="E899" s="476">
        <v>339588</v>
      </c>
      <c r="F899" s="484">
        <v>5.64665426244632E-3</v>
      </c>
      <c r="G899" s="467"/>
    </row>
    <row r="900" spans="2:7" x14ac:dyDescent="0.25">
      <c r="B900" s="470" t="s">
        <v>433</v>
      </c>
      <c r="C900" s="474">
        <v>43530</v>
      </c>
      <c r="D900" s="471">
        <v>20049</v>
      </c>
      <c r="E900" s="476">
        <v>414514</v>
      </c>
      <c r="F900" s="484">
        <v>-9.7779659795171562E-3</v>
      </c>
      <c r="G900" s="467"/>
    </row>
    <row r="901" spans="2:7" x14ac:dyDescent="0.25">
      <c r="B901" s="470" t="s">
        <v>433</v>
      </c>
      <c r="C901" s="474">
        <v>43531</v>
      </c>
      <c r="D901" s="471">
        <v>19970</v>
      </c>
      <c r="E901" s="476">
        <v>455074</v>
      </c>
      <c r="F901" s="484">
        <v>-3.9481297693188836E-3</v>
      </c>
      <c r="G901" s="467"/>
    </row>
    <row r="902" spans="2:7" x14ac:dyDescent="0.25">
      <c r="B902" s="470" t="s">
        <v>433</v>
      </c>
      <c r="C902" s="474">
        <v>43532</v>
      </c>
      <c r="D902" s="471">
        <v>20095</v>
      </c>
      <c r="E902" s="476">
        <v>670521</v>
      </c>
      <c r="F902" s="484">
        <v>6.2398804734404793E-3</v>
      </c>
      <c r="G902" s="467"/>
    </row>
    <row r="903" spans="2:7" x14ac:dyDescent="0.25">
      <c r="B903" s="470" t="s">
        <v>433</v>
      </c>
      <c r="C903" s="474">
        <v>43535</v>
      </c>
      <c r="D903" s="471">
        <v>20047</v>
      </c>
      <c r="E903" s="476">
        <v>272889</v>
      </c>
      <c r="F903" s="484">
        <v>-2.3915112788252622E-3</v>
      </c>
      <c r="G903" s="467"/>
    </row>
    <row r="904" spans="2:7" x14ac:dyDescent="0.25">
      <c r="B904" s="470" t="s">
        <v>433</v>
      </c>
      <c r="C904" s="474">
        <v>43536</v>
      </c>
      <c r="D904" s="471">
        <v>20286</v>
      </c>
      <c r="E904" s="476">
        <v>360252</v>
      </c>
      <c r="F904" s="484">
        <v>1.1851476331464883E-2</v>
      </c>
      <c r="G904" s="467"/>
    </row>
    <row r="905" spans="2:7" x14ac:dyDescent="0.25">
      <c r="B905" s="470" t="s">
        <v>433</v>
      </c>
      <c r="C905" s="474">
        <v>43537</v>
      </c>
      <c r="D905" s="471">
        <v>19922</v>
      </c>
      <c r="E905" s="476">
        <v>411602</v>
      </c>
      <c r="F905" s="484">
        <v>-1.8106344230829994E-2</v>
      </c>
      <c r="G905" s="467"/>
    </row>
    <row r="906" spans="2:7" x14ac:dyDescent="0.25">
      <c r="B906" s="470" t="s">
        <v>433</v>
      </c>
      <c r="C906" s="474">
        <v>43538</v>
      </c>
      <c r="D906" s="471">
        <v>19600</v>
      </c>
      <c r="E906" s="476">
        <v>403683</v>
      </c>
      <c r="F906" s="484">
        <v>-1.6295082486502337E-2</v>
      </c>
      <c r="G906" s="467"/>
    </row>
    <row r="907" spans="2:7" x14ac:dyDescent="0.25">
      <c r="B907" s="470" t="s">
        <v>433</v>
      </c>
      <c r="C907" s="474">
        <v>43539</v>
      </c>
      <c r="D907" s="471">
        <v>19500</v>
      </c>
      <c r="E907" s="476">
        <v>1932413</v>
      </c>
      <c r="F907" s="484">
        <v>-5.1151006667703768E-3</v>
      </c>
      <c r="G907" s="467"/>
    </row>
    <row r="908" spans="2:7" x14ac:dyDescent="0.25">
      <c r="B908" s="470" t="s">
        <v>433</v>
      </c>
      <c r="C908" s="474">
        <v>43542</v>
      </c>
      <c r="D908" s="471">
        <v>19800</v>
      </c>
      <c r="E908" s="476">
        <v>1029768</v>
      </c>
      <c r="F908" s="484">
        <v>1.5267472130788381E-2</v>
      </c>
      <c r="G908" s="467"/>
    </row>
    <row r="909" spans="2:7" x14ac:dyDescent="0.25">
      <c r="B909" s="470" t="s">
        <v>433</v>
      </c>
      <c r="C909" s="474">
        <v>43543</v>
      </c>
      <c r="D909" s="471">
        <v>19543</v>
      </c>
      <c r="E909" s="476">
        <v>960986</v>
      </c>
      <c r="F909" s="484">
        <v>-1.3064771652549795E-2</v>
      </c>
      <c r="G909" s="467"/>
    </row>
    <row r="910" spans="2:7" x14ac:dyDescent="0.25">
      <c r="B910" s="470" t="s">
        <v>433</v>
      </c>
      <c r="C910" s="474">
        <v>43544</v>
      </c>
      <c r="D910" s="471">
        <v>18894</v>
      </c>
      <c r="E910" s="476">
        <v>2166175</v>
      </c>
      <c r="F910" s="484">
        <v>-3.3772754700997137E-2</v>
      </c>
      <c r="G910" s="467"/>
    </row>
    <row r="911" spans="2:7" x14ac:dyDescent="0.25">
      <c r="B911" s="470" t="s">
        <v>433</v>
      </c>
      <c r="C911" s="474">
        <v>43546</v>
      </c>
      <c r="D911" s="471">
        <v>18787</v>
      </c>
      <c r="E911" s="476">
        <v>551655</v>
      </c>
      <c r="F911" s="484">
        <v>-5.6792700617806641E-3</v>
      </c>
      <c r="G911" s="467"/>
    </row>
    <row r="912" spans="2:7" x14ac:dyDescent="0.25">
      <c r="B912" s="470" t="s">
        <v>433</v>
      </c>
      <c r="C912" s="474">
        <v>43549</v>
      </c>
      <c r="D912" s="471">
        <v>18500</v>
      </c>
      <c r="E912" s="476">
        <v>389756</v>
      </c>
      <c r="F912" s="484">
        <v>-1.5394409200882746E-2</v>
      </c>
      <c r="G912" s="467"/>
    </row>
    <row r="913" spans="2:7" x14ac:dyDescent="0.25">
      <c r="B913" s="470" t="s">
        <v>433</v>
      </c>
      <c r="C913" s="474">
        <v>43550</v>
      </c>
      <c r="D913" s="471">
        <v>18744</v>
      </c>
      <c r="E913" s="476">
        <v>472639</v>
      </c>
      <c r="F913" s="484">
        <v>1.3102969121215309E-2</v>
      </c>
      <c r="G913" s="467"/>
    </row>
    <row r="914" spans="2:7" x14ac:dyDescent="0.25">
      <c r="B914" s="470" t="s">
        <v>433</v>
      </c>
      <c r="C914" s="474">
        <v>43551</v>
      </c>
      <c r="D914" s="471">
        <v>18875</v>
      </c>
      <c r="E914" s="476">
        <v>537975</v>
      </c>
      <c r="F914" s="484">
        <v>6.9645939295937698E-3</v>
      </c>
      <c r="G914" s="467"/>
    </row>
    <row r="915" spans="2:7" x14ac:dyDescent="0.25">
      <c r="B915" s="470" t="s">
        <v>433</v>
      </c>
      <c r="C915" s="474">
        <v>43552</v>
      </c>
      <c r="D915" s="471">
        <v>18652</v>
      </c>
      <c r="E915" s="476">
        <v>312540</v>
      </c>
      <c r="F915" s="484">
        <v>-1.1884916189013923E-2</v>
      </c>
      <c r="G915" s="467"/>
    </row>
    <row r="916" spans="2:7" x14ac:dyDescent="0.25">
      <c r="B916" s="470" t="s">
        <v>433</v>
      </c>
      <c r="C916" s="474">
        <v>43553</v>
      </c>
      <c r="D916" s="471">
        <v>19188</v>
      </c>
      <c r="E916" s="476">
        <v>706521</v>
      </c>
      <c r="F916" s="484">
        <v>2.8331704693742965E-2</v>
      </c>
      <c r="G916" s="467"/>
    </row>
    <row r="917" spans="2:7" x14ac:dyDescent="0.25">
      <c r="B917" s="470" t="s">
        <v>433</v>
      </c>
      <c r="C917" s="474">
        <v>43556</v>
      </c>
      <c r="D917" s="471">
        <v>19571</v>
      </c>
      <c r="E917" s="476">
        <v>359111</v>
      </c>
      <c r="F917" s="484">
        <v>1.9763795083014537E-2</v>
      </c>
      <c r="G917" s="467"/>
    </row>
    <row r="918" spans="2:7" x14ac:dyDescent="0.25">
      <c r="B918" s="470" t="s">
        <v>433</v>
      </c>
      <c r="C918" s="474">
        <v>43557</v>
      </c>
      <c r="D918" s="471">
        <v>19287</v>
      </c>
      <c r="E918" s="476">
        <v>522942</v>
      </c>
      <c r="F918" s="484">
        <v>-1.4617584895172744E-2</v>
      </c>
      <c r="G918" s="467"/>
    </row>
    <row r="919" spans="2:7" x14ac:dyDescent="0.25">
      <c r="B919" s="470" t="s">
        <v>433</v>
      </c>
      <c r="C919" s="474">
        <v>43558</v>
      </c>
      <c r="D919" s="471">
        <v>19287</v>
      </c>
      <c r="E919" s="476">
        <v>569505</v>
      </c>
      <c r="F919" s="484">
        <v>0</v>
      </c>
      <c r="G919" s="467"/>
    </row>
    <row r="920" spans="2:7" x14ac:dyDescent="0.25">
      <c r="B920" s="470" t="s">
        <v>433</v>
      </c>
      <c r="C920" s="474">
        <v>43559</v>
      </c>
      <c r="D920" s="471">
        <v>18969</v>
      </c>
      <c r="E920" s="476">
        <v>362338</v>
      </c>
      <c r="F920" s="484">
        <v>-1.6625226083073458E-2</v>
      </c>
      <c r="G920" s="467"/>
    </row>
    <row r="921" spans="2:7" x14ac:dyDescent="0.25">
      <c r="B921" s="470" t="s">
        <v>433</v>
      </c>
      <c r="C921" s="474">
        <v>43560</v>
      </c>
      <c r="D921" s="471">
        <v>19141</v>
      </c>
      <c r="E921" s="476">
        <v>370456</v>
      </c>
      <c r="F921" s="484">
        <v>9.0265635193867953E-3</v>
      </c>
      <c r="G921" s="467"/>
    </row>
    <row r="922" spans="2:7" x14ac:dyDescent="0.25">
      <c r="B922" s="470" t="s">
        <v>433</v>
      </c>
      <c r="C922" s="474">
        <v>43563</v>
      </c>
      <c r="D922" s="471">
        <v>19035</v>
      </c>
      <c r="E922" s="476">
        <v>339411</v>
      </c>
      <c r="F922" s="484">
        <v>-5.5532414295120089E-3</v>
      </c>
      <c r="G922" s="467"/>
    </row>
    <row r="923" spans="2:7" x14ac:dyDescent="0.25">
      <c r="B923" s="470" t="s">
        <v>433</v>
      </c>
      <c r="C923" s="474">
        <v>43564</v>
      </c>
      <c r="D923" s="471">
        <v>19285</v>
      </c>
      <c r="E923" s="476">
        <v>554126</v>
      </c>
      <c r="F923" s="484">
        <v>1.3048201825730386E-2</v>
      </c>
      <c r="G923" s="467"/>
    </row>
    <row r="924" spans="2:7" x14ac:dyDescent="0.25">
      <c r="B924" s="470" t="s">
        <v>433</v>
      </c>
      <c r="C924" s="474">
        <v>43565</v>
      </c>
      <c r="D924" s="471">
        <v>20100</v>
      </c>
      <c r="E924" s="476">
        <v>897385</v>
      </c>
      <c r="F924" s="484">
        <v>4.1392223404838877E-2</v>
      </c>
      <c r="G924" s="467"/>
    </row>
    <row r="925" spans="2:7" x14ac:dyDescent="0.25">
      <c r="B925" s="470" t="s">
        <v>433</v>
      </c>
      <c r="C925" s="474">
        <v>43566</v>
      </c>
      <c r="D925" s="471">
        <v>19837</v>
      </c>
      <c r="E925" s="476">
        <v>745097</v>
      </c>
      <c r="F925" s="484">
        <v>-1.3170934319058566E-2</v>
      </c>
      <c r="G925" s="467"/>
    </row>
    <row r="926" spans="2:7" x14ac:dyDescent="0.25">
      <c r="B926" s="470" t="s">
        <v>433</v>
      </c>
      <c r="C926" s="474">
        <v>43567</v>
      </c>
      <c r="D926" s="471">
        <v>20173</v>
      </c>
      <c r="E926" s="476">
        <v>470096</v>
      </c>
      <c r="F926" s="484">
        <v>1.6796195906242078E-2</v>
      </c>
      <c r="G926" s="467"/>
    </row>
    <row r="927" spans="2:7" x14ac:dyDescent="0.25">
      <c r="B927" s="470" t="s">
        <v>433</v>
      </c>
      <c r="C927" s="474">
        <v>43570</v>
      </c>
      <c r="D927" s="471">
        <v>20214</v>
      </c>
      <c r="E927" s="476">
        <v>846729</v>
      </c>
      <c r="F927" s="484">
        <v>2.0303570002571658E-3</v>
      </c>
      <c r="G927" s="467"/>
    </row>
    <row r="928" spans="2:7" x14ac:dyDescent="0.25">
      <c r="B928" s="470" t="s">
        <v>433</v>
      </c>
      <c r="C928" s="474">
        <v>43571</v>
      </c>
      <c r="D928" s="471">
        <v>20523</v>
      </c>
      <c r="E928" s="476">
        <v>794943</v>
      </c>
      <c r="F928" s="484">
        <v>1.5170774794499855E-2</v>
      </c>
      <c r="G928" s="467"/>
    </row>
    <row r="929" spans="2:7" x14ac:dyDescent="0.25">
      <c r="B929" s="470" t="s">
        <v>433</v>
      </c>
      <c r="C929" s="474">
        <v>43572</v>
      </c>
      <c r="D929" s="471">
        <v>20550</v>
      </c>
      <c r="E929" s="476">
        <v>308502</v>
      </c>
      <c r="F929" s="484">
        <v>1.3147324952728612E-3</v>
      </c>
      <c r="G929" s="467"/>
    </row>
    <row r="930" spans="2:7" x14ac:dyDescent="0.25">
      <c r="B930" s="470" t="s">
        <v>433</v>
      </c>
      <c r="C930" s="474">
        <v>43573</v>
      </c>
      <c r="D930" s="471">
        <v>20266</v>
      </c>
      <c r="E930" s="476">
        <v>392496</v>
      </c>
      <c r="F930" s="484">
        <v>-1.391633591611776E-2</v>
      </c>
      <c r="G930" s="467"/>
    </row>
    <row r="931" spans="2:7" x14ac:dyDescent="0.25">
      <c r="B931" s="470" t="s">
        <v>433</v>
      </c>
      <c r="C931" s="474">
        <v>43578</v>
      </c>
      <c r="D931" s="471">
        <v>19800</v>
      </c>
      <c r="E931" s="476">
        <v>559146</v>
      </c>
      <c r="F931" s="484">
        <v>-2.3262667325636276E-2</v>
      </c>
      <c r="G931" s="467"/>
    </row>
    <row r="932" spans="2:7" x14ac:dyDescent="0.25">
      <c r="B932" s="470" t="s">
        <v>433</v>
      </c>
      <c r="C932" s="474">
        <v>43579</v>
      </c>
      <c r="D932" s="471">
        <v>19255</v>
      </c>
      <c r="E932" s="476">
        <v>923390</v>
      </c>
      <c r="F932" s="484">
        <v>-2.7911170433617322E-2</v>
      </c>
      <c r="G932" s="467"/>
    </row>
    <row r="933" spans="2:7" x14ac:dyDescent="0.25">
      <c r="B933" s="470" t="s">
        <v>433</v>
      </c>
      <c r="C933" s="474">
        <v>43580</v>
      </c>
      <c r="D933" s="471">
        <v>19350</v>
      </c>
      <c r="E933" s="476">
        <v>721195</v>
      </c>
      <c r="F933" s="484">
        <v>4.9216522089186709E-3</v>
      </c>
      <c r="G933" s="467"/>
    </row>
    <row r="934" spans="2:7" x14ac:dyDescent="0.25">
      <c r="B934" s="470" t="s">
        <v>433</v>
      </c>
      <c r="C934" s="474">
        <v>43581</v>
      </c>
      <c r="D934" s="471">
        <v>19449</v>
      </c>
      <c r="E934" s="476">
        <v>486202</v>
      </c>
      <c r="F934" s="484">
        <v>5.1032353851774657E-3</v>
      </c>
      <c r="G934" s="467"/>
    </row>
    <row r="935" spans="2:7" x14ac:dyDescent="0.25">
      <c r="B935" s="470" t="s">
        <v>433</v>
      </c>
      <c r="C935" s="474">
        <v>43584</v>
      </c>
      <c r="D935" s="471">
        <v>19461</v>
      </c>
      <c r="E935" s="476">
        <v>532282</v>
      </c>
      <c r="F935" s="484">
        <v>6.1680803805974822E-4</v>
      </c>
      <c r="G935" s="467"/>
    </row>
    <row r="936" spans="2:7" x14ac:dyDescent="0.25">
      <c r="B936" s="470" t="s">
        <v>433</v>
      </c>
      <c r="C936" s="474">
        <v>43585</v>
      </c>
      <c r="D936" s="471">
        <v>19400</v>
      </c>
      <c r="E936" s="476">
        <v>991171</v>
      </c>
      <c r="F936" s="484">
        <v>-3.1393968297455561E-3</v>
      </c>
      <c r="G936" s="467"/>
    </row>
    <row r="937" spans="2:7" x14ac:dyDescent="0.25">
      <c r="B937" s="470" t="s">
        <v>433</v>
      </c>
      <c r="C937" s="474">
        <v>43587</v>
      </c>
      <c r="D937" s="471">
        <v>19418</v>
      </c>
      <c r="E937" s="476">
        <v>551098</v>
      </c>
      <c r="F937" s="484">
        <v>9.274048786707895E-4</v>
      </c>
      <c r="G937" s="467"/>
    </row>
    <row r="938" spans="2:7" x14ac:dyDescent="0.25">
      <c r="B938" s="470" t="s">
        <v>433</v>
      </c>
      <c r="C938" s="474">
        <v>43588</v>
      </c>
      <c r="D938" s="471">
        <v>19600</v>
      </c>
      <c r="E938" s="476">
        <v>895619</v>
      </c>
      <c r="F938" s="484">
        <v>9.3290952885183385E-3</v>
      </c>
      <c r="G938" s="467"/>
    </row>
    <row r="939" spans="2:7" x14ac:dyDescent="0.25">
      <c r="B939" s="470" t="s">
        <v>433</v>
      </c>
      <c r="C939" s="474">
        <v>43591</v>
      </c>
      <c r="D939" s="471">
        <v>20035</v>
      </c>
      <c r="E939" s="476">
        <v>826524</v>
      </c>
      <c r="F939" s="484">
        <v>2.1951177851636351E-2</v>
      </c>
      <c r="G939" s="467"/>
    </row>
    <row r="940" spans="2:7" x14ac:dyDescent="0.25">
      <c r="B940" s="470" t="s">
        <v>433</v>
      </c>
      <c r="C940" s="474">
        <v>43592</v>
      </c>
      <c r="D940" s="471">
        <v>19835</v>
      </c>
      <c r="E940" s="476">
        <v>640477</v>
      </c>
      <c r="F940" s="484">
        <v>-1.0032690121814434E-2</v>
      </c>
      <c r="G940" s="467"/>
    </row>
    <row r="941" spans="2:7" x14ac:dyDescent="0.25">
      <c r="B941" s="470" t="s">
        <v>433</v>
      </c>
      <c r="C941" s="474">
        <v>43594</v>
      </c>
      <c r="D941" s="471">
        <v>19297</v>
      </c>
      <c r="E941" s="476">
        <v>818019</v>
      </c>
      <c r="F941" s="484">
        <v>-2.7498410552074661E-2</v>
      </c>
      <c r="G941" s="467"/>
    </row>
    <row r="942" spans="2:7" x14ac:dyDescent="0.25">
      <c r="B942" s="470" t="s">
        <v>433</v>
      </c>
      <c r="C942" s="474">
        <v>43595</v>
      </c>
      <c r="D942" s="471">
        <v>19503</v>
      </c>
      <c r="E942" s="476">
        <v>877201</v>
      </c>
      <c r="F942" s="484">
        <v>1.0618656476222567E-2</v>
      </c>
      <c r="G942" s="467"/>
    </row>
    <row r="943" spans="2:7" x14ac:dyDescent="0.25">
      <c r="B943" s="470" t="s">
        <v>433</v>
      </c>
      <c r="C943" s="474">
        <v>43598</v>
      </c>
      <c r="D943" s="471">
        <v>19533</v>
      </c>
      <c r="E943" s="476">
        <v>612456</v>
      </c>
      <c r="F943" s="484">
        <v>1.5370430323933997E-3</v>
      </c>
      <c r="G943" s="467"/>
    </row>
    <row r="944" spans="2:7" x14ac:dyDescent="0.25">
      <c r="B944" s="470" t="s">
        <v>433</v>
      </c>
      <c r="C944" s="474">
        <v>43599</v>
      </c>
      <c r="D944" s="471">
        <v>19779</v>
      </c>
      <c r="E944" s="476">
        <v>655954</v>
      </c>
      <c r="F944" s="484">
        <v>1.2515425876437555E-2</v>
      </c>
      <c r="G944" s="467"/>
    </row>
    <row r="945" spans="2:7" x14ac:dyDescent="0.25">
      <c r="B945" s="470" t="s">
        <v>433</v>
      </c>
      <c r="C945" s="474">
        <v>43600</v>
      </c>
      <c r="D945" s="471">
        <v>19800</v>
      </c>
      <c r="E945" s="476">
        <v>1006906</v>
      </c>
      <c r="F945" s="484">
        <v>1.0611689012173259E-3</v>
      </c>
      <c r="G945" s="467"/>
    </row>
    <row r="946" spans="2:7" x14ac:dyDescent="0.25">
      <c r="B946" s="470" t="s">
        <v>433</v>
      </c>
      <c r="C946" s="474">
        <v>43601</v>
      </c>
      <c r="D946" s="471">
        <v>20000</v>
      </c>
      <c r="E946" s="476">
        <v>990674</v>
      </c>
      <c r="F946" s="484">
        <v>1.0050335853501506E-2</v>
      </c>
      <c r="G946" s="467"/>
    </row>
    <row r="947" spans="2:7" x14ac:dyDescent="0.25">
      <c r="B947" s="470" t="s">
        <v>433</v>
      </c>
      <c r="C947" s="474">
        <v>43602</v>
      </c>
      <c r="D947" s="471">
        <v>19780</v>
      </c>
      <c r="E947" s="476">
        <v>888662</v>
      </c>
      <c r="F947" s="484">
        <v>-1.1060947359424948E-2</v>
      </c>
      <c r="G947" s="467"/>
    </row>
    <row r="948" spans="2:7" x14ac:dyDescent="0.25">
      <c r="B948" s="470" t="s">
        <v>433</v>
      </c>
      <c r="C948" s="474">
        <v>43605</v>
      </c>
      <c r="D948" s="471">
        <v>19713</v>
      </c>
      <c r="E948" s="476">
        <v>461791</v>
      </c>
      <c r="F948" s="484">
        <v>-3.393009610725581E-3</v>
      </c>
      <c r="G948" s="467"/>
    </row>
    <row r="949" spans="2:7" x14ac:dyDescent="0.25">
      <c r="B949" s="470" t="s">
        <v>433</v>
      </c>
      <c r="C949" s="474">
        <v>43606</v>
      </c>
      <c r="D949" s="471">
        <v>19615</v>
      </c>
      <c r="E949" s="476">
        <v>1275545</v>
      </c>
      <c r="F949" s="484">
        <v>-4.9837369223246072E-3</v>
      </c>
      <c r="G949" s="467"/>
    </row>
    <row r="950" spans="2:7" x14ac:dyDescent="0.25">
      <c r="B950" s="470" t="s">
        <v>433</v>
      </c>
      <c r="C950" s="474">
        <v>43607</v>
      </c>
      <c r="D950" s="471">
        <v>19850</v>
      </c>
      <c r="E950" s="476">
        <v>733556</v>
      </c>
      <c r="F950" s="484">
        <v>1.1909427471683623E-2</v>
      </c>
      <c r="G950" s="467"/>
    </row>
    <row r="951" spans="2:7" x14ac:dyDescent="0.25">
      <c r="B951" s="470" t="s">
        <v>433</v>
      </c>
      <c r="C951" s="474">
        <v>43608</v>
      </c>
      <c r="D951" s="471">
        <v>19404</v>
      </c>
      <c r="E951" s="476">
        <v>642763</v>
      </c>
      <c r="F951" s="484">
        <v>-2.272477675022928E-2</v>
      </c>
      <c r="G951" s="467"/>
    </row>
    <row r="952" spans="2:7" x14ac:dyDescent="0.25">
      <c r="B952" s="470" t="s">
        <v>433</v>
      </c>
      <c r="C952" s="474">
        <v>43609</v>
      </c>
      <c r="D952" s="471">
        <v>18980</v>
      </c>
      <c r="E952" s="476">
        <v>773678</v>
      </c>
      <c r="F952" s="484">
        <v>-2.2093437201188348E-2</v>
      </c>
      <c r="G952" s="467"/>
    </row>
    <row r="953" spans="2:7" x14ac:dyDescent="0.25">
      <c r="B953" s="470" t="s">
        <v>433</v>
      </c>
      <c r="C953" s="474">
        <v>43612</v>
      </c>
      <c r="D953" s="471">
        <v>18952</v>
      </c>
      <c r="E953" s="476">
        <v>249963</v>
      </c>
      <c r="F953" s="484">
        <v>-1.4763263252974286E-3</v>
      </c>
      <c r="G953" s="467"/>
    </row>
    <row r="954" spans="2:7" x14ac:dyDescent="0.25">
      <c r="B954" s="470" t="s">
        <v>433</v>
      </c>
      <c r="C954" s="474">
        <v>43613</v>
      </c>
      <c r="D954" s="471">
        <v>18471</v>
      </c>
      <c r="E954" s="476">
        <v>1418419</v>
      </c>
      <c r="F954" s="484">
        <v>-2.5707532259301606E-2</v>
      </c>
      <c r="G954" s="467"/>
    </row>
    <row r="955" spans="2:7" x14ac:dyDescent="0.25">
      <c r="B955" s="470" t="s">
        <v>433</v>
      </c>
      <c r="C955" s="474">
        <v>43614</v>
      </c>
      <c r="D955" s="471">
        <v>18464</v>
      </c>
      <c r="E955" s="476">
        <v>854216</v>
      </c>
      <c r="F955" s="484">
        <v>-3.7904427149367112E-4</v>
      </c>
      <c r="G955" s="467"/>
    </row>
    <row r="956" spans="2:7" x14ac:dyDescent="0.25">
      <c r="B956" s="470" t="s">
        <v>433</v>
      </c>
      <c r="C956" s="474">
        <v>43615</v>
      </c>
      <c r="D956" s="471">
        <v>19135</v>
      </c>
      <c r="E956" s="476">
        <v>813332</v>
      </c>
      <c r="F956" s="484">
        <v>3.5696228551976621E-2</v>
      </c>
      <c r="G956" s="467"/>
    </row>
    <row r="957" spans="2:7" x14ac:dyDescent="0.25">
      <c r="B957" s="470" t="s">
        <v>433</v>
      </c>
      <c r="C957" s="474">
        <v>43616</v>
      </c>
      <c r="D957" s="471">
        <v>19149</v>
      </c>
      <c r="E957" s="476">
        <v>594062</v>
      </c>
      <c r="F957" s="484">
        <v>7.3137606436431276E-4</v>
      </c>
      <c r="G957" s="467"/>
    </row>
    <row r="958" spans="2:7" x14ac:dyDescent="0.25">
      <c r="B958" s="470" t="s">
        <v>433</v>
      </c>
      <c r="C958" s="474">
        <v>43619</v>
      </c>
      <c r="D958" s="471">
        <v>19232</v>
      </c>
      <c r="E958" s="476">
        <v>348518</v>
      </c>
      <c r="F958" s="484">
        <v>4.3250634107670329E-3</v>
      </c>
      <c r="G958" s="467"/>
    </row>
    <row r="959" spans="2:7" x14ac:dyDescent="0.25">
      <c r="B959" s="470" t="s">
        <v>433</v>
      </c>
      <c r="C959" s="474">
        <v>43620</v>
      </c>
      <c r="D959" s="471">
        <v>18714</v>
      </c>
      <c r="E959" s="476">
        <v>573216</v>
      </c>
      <c r="F959" s="484">
        <v>-2.7303651499075897E-2</v>
      </c>
      <c r="G959" s="467"/>
    </row>
    <row r="960" spans="2:7" x14ac:dyDescent="0.25">
      <c r="B960" s="470" t="s">
        <v>433</v>
      </c>
      <c r="C960" s="474">
        <v>43621</v>
      </c>
      <c r="D960" s="471">
        <v>18633</v>
      </c>
      <c r="E960" s="476">
        <v>403356</v>
      </c>
      <c r="F960" s="484">
        <v>-4.3377046084456198E-3</v>
      </c>
      <c r="G960" s="467"/>
    </row>
    <row r="961" spans="2:7" x14ac:dyDescent="0.25">
      <c r="B961" s="470" t="s">
        <v>433</v>
      </c>
      <c r="C961" s="474">
        <v>43622</v>
      </c>
      <c r="D961" s="471">
        <v>18652</v>
      </c>
      <c r="E961" s="476">
        <v>352524</v>
      </c>
      <c r="F961" s="484">
        <v>1.0191767007987145E-3</v>
      </c>
      <c r="G961" s="467"/>
    </row>
    <row r="962" spans="2:7" x14ac:dyDescent="0.25">
      <c r="B962" s="470" t="s">
        <v>433</v>
      </c>
      <c r="C962" s="474">
        <v>43623</v>
      </c>
      <c r="D962" s="471">
        <v>18849</v>
      </c>
      <c r="E962" s="476">
        <v>314586</v>
      </c>
      <c r="F962" s="484">
        <v>1.0506483142845311E-2</v>
      </c>
      <c r="G962" s="467"/>
    </row>
    <row r="963" spans="2:7" x14ac:dyDescent="0.25">
      <c r="B963" s="470" t="s">
        <v>433</v>
      </c>
      <c r="C963" s="474">
        <v>43626</v>
      </c>
      <c r="D963" s="471">
        <v>19500</v>
      </c>
      <c r="E963" s="476">
        <v>495529</v>
      </c>
      <c r="F963" s="484">
        <v>3.3954603480781533E-2</v>
      </c>
      <c r="G963" s="467"/>
    </row>
    <row r="964" spans="2:7" x14ac:dyDescent="0.25">
      <c r="B964" s="470" t="s">
        <v>433</v>
      </c>
      <c r="C964" s="474">
        <v>43627</v>
      </c>
      <c r="D964" s="471">
        <v>19500</v>
      </c>
      <c r="E964" s="476">
        <v>393191</v>
      </c>
      <c r="F964" s="484">
        <v>0</v>
      </c>
      <c r="G964" s="467"/>
    </row>
    <row r="965" spans="2:7" x14ac:dyDescent="0.25">
      <c r="B965" s="470" t="s">
        <v>433</v>
      </c>
      <c r="C965" s="474">
        <v>43628</v>
      </c>
      <c r="D965" s="471">
        <v>19275</v>
      </c>
      <c r="E965" s="476">
        <v>648531</v>
      </c>
      <c r="F965" s="484">
        <v>-1.160554612030789E-2</v>
      </c>
      <c r="G965" s="467"/>
    </row>
    <row r="966" spans="2:7" x14ac:dyDescent="0.25">
      <c r="B966" s="470" t="s">
        <v>433</v>
      </c>
      <c r="C966" s="474">
        <v>43629</v>
      </c>
      <c r="D966" s="471">
        <v>19000</v>
      </c>
      <c r="E966" s="476">
        <v>746069</v>
      </c>
      <c r="F966" s="484">
        <v>-1.4369940282952675E-2</v>
      </c>
      <c r="G966" s="467"/>
    </row>
    <row r="967" spans="2:7" x14ac:dyDescent="0.25">
      <c r="B967" s="470" t="s">
        <v>433</v>
      </c>
      <c r="C967" s="474">
        <v>43630</v>
      </c>
      <c r="D967" s="471">
        <v>19000</v>
      </c>
      <c r="E967" s="476">
        <v>551069</v>
      </c>
      <c r="F967" s="484">
        <v>0</v>
      </c>
      <c r="G967" s="467"/>
    </row>
    <row r="968" spans="2:7" x14ac:dyDescent="0.25">
      <c r="B968" s="470" t="s">
        <v>433</v>
      </c>
      <c r="C968" s="474">
        <v>43634</v>
      </c>
      <c r="D968" s="471">
        <v>19264</v>
      </c>
      <c r="E968" s="476">
        <v>779765</v>
      </c>
      <c r="F968" s="484">
        <v>1.3799089959969993E-2</v>
      </c>
      <c r="G968" s="467"/>
    </row>
    <row r="969" spans="2:7" x14ac:dyDescent="0.25">
      <c r="B969" s="470" t="s">
        <v>433</v>
      </c>
      <c r="C969" s="474">
        <v>43635</v>
      </c>
      <c r="D969" s="471">
        <v>19409</v>
      </c>
      <c r="E969" s="476">
        <v>703898</v>
      </c>
      <c r="F969" s="484">
        <v>7.4988068921796013E-3</v>
      </c>
      <c r="G969" s="467"/>
    </row>
    <row r="970" spans="2:7" x14ac:dyDescent="0.25">
      <c r="B970" s="470" t="s">
        <v>433</v>
      </c>
      <c r="C970" s="474">
        <v>43636</v>
      </c>
      <c r="D970" s="471">
        <v>19790</v>
      </c>
      <c r="E970" s="476">
        <v>2542984</v>
      </c>
      <c r="F970" s="484">
        <v>1.9439883595884281E-2</v>
      </c>
      <c r="G970" s="467"/>
    </row>
    <row r="971" spans="2:7" x14ac:dyDescent="0.25">
      <c r="B971" s="470" t="s">
        <v>433</v>
      </c>
      <c r="C971" s="474">
        <v>43637</v>
      </c>
      <c r="D971" s="471">
        <v>19599</v>
      </c>
      <c r="E971" s="476">
        <v>966635</v>
      </c>
      <c r="F971" s="484">
        <v>-9.698215087751377E-3</v>
      </c>
      <c r="G971" s="467"/>
    </row>
    <row r="972" spans="2:7" x14ac:dyDescent="0.25">
      <c r="B972" s="470" t="s">
        <v>433</v>
      </c>
      <c r="C972" s="474">
        <v>43640</v>
      </c>
      <c r="D972" s="471">
        <v>19639</v>
      </c>
      <c r="E972" s="476">
        <v>274393</v>
      </c>
      <c r="F972" s="484">
        <v>2.0388406063630146E-3</v>
      </c>
      <c r="G972" s="467"/>
    </row>
    <row r="973" spans="2:7" x14ac:dyDescent="0.25">
      <c r="B973" s="470" t="s">
        <v>433</v>
      </c>
      <c r="C973" s="474">
        <v>43641</v>
      </c>
      <c r="D973" s="471">
        <v>19431</v>
      </c>
      <c r="E973" s="476">
        <v>249839</v>
      </c>
      <c r="F973" s="484">
        <v>-1.0647656264196306E-2</v>
      </c>
      <c r="G973" s="467"/>
    </row>
    <row r="974" spans="2:7" x14ac:dyDescent="0.25">
      <c r="B974" s="470" t="s">
        <v>433</v>
      </c>
      <c r="C974" s="474">
        <v>43642</v>
      </c>
      <c r="D974" s="471">
        <v>19374</v>
      </c>
      <c r="E974" s="476">
        <v>341532</v>
      </c>
      <c r="F974" s="484">
        <v>-2.9377678646965062E-3</v>
      </c>
      <c r="G974" s="467"/>
    </row>
    <row r="975" spans="2:7" x14ac:dyDescent="0.25">
      <c r="B975" s="470" t="s">
        <v>433</v>
      </c>
      <c r="C975" s="474">
        <v>43643</v>
      </c>
      <c r="D975" s="471">
        <v>19004</v>
      </c>
      <c r="E975" s="476">
        <v>504953</v>
      </c>
      <c r="F975" s="484">
        <v>-1.928247767951826E-2</v>
      </c>
      <c r="G975" s="467"/>
    </row>
    <row r="976" spans="2:7" x14ac:dyDescent="0.25">
      <c r="B976" s="470" t="s">
        <v>433</v>
      </c>
      <c r="C976" s="474">
        <v>43644</v>
      </c>
      <c r="D976" s="471">
        <v>18683</v>
      </c>
      <c r="E976" s="476">
        <v>634657</v>
      </c>
      <c r="F976" s="484">
        <v>-1.7035463846974529E-2</v>
      </c>
      <c r="G976" s="467"/>
    </row>
    <row r="977" spans="2:7" x14ac:dyDescent="0.25">
      <c r="B977" s="470" t="s">
        <v>433</v>
      </c>
      <c r="C977" s="474">
        <v>43647</v>
      </c>
      <c r="D977" s="471">
        <v>18605</v>
      </c>
      <c r="E977" s="476">
        <v>509819</v>
      </c>
      <c r="F977" s="484">
        <v>-4.1836576791145471E-3</v>
      </c>
      <c r="G977" s="467"/>
    </row>
    <row r="978" spans="2:7" x14ac:dyDescent="0.25">
      <c r="B978" s="470" t="s">
        <v>433</v>
      </c>
      <c r="C978" s="474">
        <v>43648</v>
      </c>
      <c r="D978" s="471">
        <v>18464</v>
      </c>
      <c r="E978" s="476">
        <v>326441</v>
      </c>
      <c r="F978" s="484">
        <v>-7.6074714728967844E-3</v>
      </c>
      <c r="G978" s="467"/>
    </row>
    <row r="979" spans="2:7" x14ac:dyDescent="0.25">
      <c r="B979" s="470" t="s">
        <v>433</v>
      </c>
      <c r="C979" s="474">
        <v>43649</v>
      </c>
      <c r="D979" s="471">
        <v>18630</v>
      </c>
      <c r="E979" s="476">
        <v>409988</v>
      </c>
      <c r="F979" s="484">
        <v>8.9502942878079833E-3</v>
      </c>
      <c r="G979" s="467"/>
    </row>
    <row r="980" spans="2:7" x14ac:dyDescent="0.25">
      <c r="B980" s="470" t="s">
        <v>433</v>
      </c>
      <c r="C980" s="474">
        <v>43650</v>
      </c>
      <c r="D980" s="471">
        <v>18718</v>
      </c>
      <c r="E980" s="476">
        <v>284073</v>
      </c>
      <c r="F980" s="484">
        <v>4.7124431215677613E-3</v>
      </c>
      <c r="G980" s="467"/>
    </row>
    <row r="981" spans="2:7" x14ac:dyDescent="0.25">
      <c r="B981" s="470" t="s">
        <v>433</v>
      </c>
      <c r="C981" s="474">
        <v>43651</v>
      </c>
      <c r="D981" s="471">
        <v>18658</v>
      </c>
      <c r="E981" s="476">
        <v>223075</v>
      </c>
      <c r="F981" s="484">
        <v>-3.2106191962954409E-3</v>
      </c>
      <c r="G981" s="467"/>
    </row>
    <row r="982" spans="2:7" x14ac:dyDescent="0.25">
      <c r="B982" s="470" t="s">
        <v>433</v>
      </c>
      <c r="C982" s="474">
        <v>43654</v>
      </c>
      <c r="D982" s="471">
        <v>18661</v>
      </c>
      <c r="E982" s="476">
        <v>413500</v>
      </c>
      <c r="F982" s="484">
        <v>1.6077601256530633E-4</v>
      </c>
      <c r="G982" s="467"/>
    </row>
    <row r="983" spans="2:7" x14ac:dyDescent="0.25">
      <c r="B983" s="470" t="s">
        <v>433</v>
      </c>
      <c r="C983" s="474">
        <v>43655</v>
      </c>
      <c r="D983" s="471">
        <v>18335</v>
      </c>
      <c r="E983" s="476">
        <v>573016</v>
      </c>
      <c r="F983" s="484">
        <v>-1.7623983028045225E-2</v>
      </c>
      <c r="G983" s="467"/>
    </row>
    <row r="984" spans="2:7" x14ac:dyDescent="0.25">
      <c r="B984" s="470" t="s">
        <v>433</v>
      </c>
      <c r="C984" s="474">
        <v>43656</v>
      </c>
      <c r="D984" s="471">
        <v>18818</v>
      </c>
      <c r="E984" s="476">
        <v>548622</v>
      </c>
      <c r="F984" s="484">
        <v>2.6002057061284573E-2</v>
      </c>
      <c r="G984" s="467"/>
    </row>
    <row r="985" spans="2:7" x14ac:dyDescent="0.25">
      <c r="B985" s="470" t="s">
        <v>433</v>
      </c>
      <c r="C985" s="474">
        <v>43657</v>
      </c>
      <c r="D985" s="471">
        <v>19000</v>
      </c>
      <c r="E985" s="476">
        <v>651835</v>
      </c>
      <c r="F985" s="484">
        <v>9.6251205818665697E-3</v>
      </c>
      <c r="G985" s="467"/>
    </row>
    <row r="986" spans="2:7" x14ac:dyDescent="0.25">
      <c r="B986" s="470" t="s">
        <v>433</v>
      </c>
      <c r="C986" s="474">
        <v>43658</v>
      </c>
      <c r="D986" s="471">
        <v>19273</v>
      </c>
      <c r="E986" s="476">
        <v>529442</v>
      </c>
      <c r="F986" s="484">
        <v>1.4266173550474028E-2</v>
      </c>
      <c r="G986" s="467"/>
    </row>
    <row r="987" spans="2:7" x14ac:dyDescent="0.25">
      <c r="B987" s="470" t="s">
        <v>433</v>
      </c>
      <c r="C987" s="474">
        <v>43661</v>
      </c>
      <c r="D987" s="471">
        <v>19213</v>
      </c>
      <c r="E987" s="476">
        <v>364393</v>
      </c>
      <c r="F987" s="484">
        <v>-3.1180194673501378E-3</v>
      </c>
      <c r="G987" s="467"/>
    </row>
    <row r="988" spans="2:7" x14ac:dyDescent="0.25">
      <c r="B988" s="470" t="s">
        <v>433</v>
      </c>
      <c r="C988" s="474">
        <v>43662</v>
      </c>
      <c r="D988" s="471">
        <v>19593</v>
      </c>
      <c r="E988" s="476">
        <v>403358</v>
      </c>
      <c r="F988" s="484">
        <v>1.9585226339065374E-2</v>
      </c>
      <c r="G988" s="467"/>
    </row>
    <row r="989" spans="2:7" x14ac:dyDescent="0.25">
      <c r="B989" s="470" t="s">
        <v>433</v>
      </c>
      <c r="C989" s="474">
        <v>43663</v>
      </c>
      <c r="D989" s="471">
        <v>19406</v>
      </c>
      <c r="E989" s="476">
        <v>682864</v>
      </c>
      <c r="F989" s="484">
        <v>-9.5900629855220059E-3</v>
      </c>
      <c r="G989" s="467"/>
    </row>
    <row r="990" spans="2:7" x14ac:dyDescent="0.25">
      <c r="B990" s="470" t="s">
        <v>433</v>
      </c>
      <c r="C990" s="474">
        <v>43664</v>
      </c>
      <c r="D990" s="471">
        <v>19388</v>
      </c>
      <c r="E990" s="476">
        <v>568542</v>
      </c>
      <c r="F990" s="484">
        <v>-9.2797861997816601E-4</v>
      </c>
      <c r="G990" s="467"/>
    </row>
    <row r="991" spans="2:7" x14ac:dyDescent="0.25">
      <c r="B991" s="470" t="s">
        <v>433</v>
      </c>
      <c r="C991" s="474">
        <v>43665</v>
      </c>
      <c r="D991" s="471">
        <v>19468</v>
      </c>
      <c r="E991" s="476">
        <v>412217</v>
      </c>
      <c r="F991" s="484">
        <v>4.1177739880783335E-3</v>
      </c>
      <c r="G991" s="467"/>
    </row>
    <row r="992" spans="2:7" x14ac:dyDescent="0.25">
      <c r="B992" s="470" t="s">
        <v>433</v>
      </c>
      <c r="C992" s="474">
        <v>43668</v>
      </c>
      <c r="D992" s="471">
        <v>19400</v>
      </c>
      <c r="E992" s="476">
        <v>510399</v>
      </c>
      <c r="F992" s="484">
        <v>-3.4990259019254612E-3</v>
      </c>
      <c r="G992" s="467"/>
    </row>
    <row r="993" spans="2:7" x14ac:dyDescent="0.25">
      <c r="B993" s="470" t="s">
        <v>433</v>
      </c>
      <c r="C993" s="474">
        <v>43669</v>
      </c>
      <c r="D993" s="471">
        <v>19375</v>
      </c>
      <c r="E993" s="476">
        <v>459533</v>
      </c>
      <c r="F993" s="484">
        <v>-1.2894908298717507E-3</v>
      </c>
      <c r="G993" s="467"/>
    </row>
    <row r="994" spans="2:7" x14ac:dyDescent="0.25">
      <c r="B994" s="470" t="s">
        <v>433</v>
      </c>
      <c r="C994" s="474">
        <v>43670</v>
      </c>
      <c r="D994" s="471">
        <v>19167</v>
      </c>
      <c r="E994" s="476">
        <v>272192</v>
      </c>
      <c r="F994" s="484">
        <v>-1.0793524951094828E-2</v>
      </c>
      <c r="G994" s="467"/>
    </row>
    <row r="995" spans="2:7" x14ac:dyDescent="0.25">
      <c r="B995" s="470" t="s">
        <v>433</v>
      </c>
      <c r="C995" s="474">
        <v>43671</v>
      </c>
      <c r="D995" s="471">
        <v>18781</v>
      </c>
      <c r="E995" s="476">
        <v>759666</v>
      </c>
      <c r="F995" s="484">
        <v>-2.0344329789515527E-2</v>
      </c>
      <c r="G995" s="467"/>
    </row>
    <row r="996" spans="2:7" x14ac:dyDescent="0.25">
      <c r="B996" s="470" t="s">
        <v>433</v>
      </c>
      <c r="C996" s="474">
        <v>43672</v>
      </c>
      <c r="D996" s="471">
        <v>18433</v>
      </c>
      <c r="E996" s="476">
        <v>580340</v>
      </c>
      <c r="F996" s="484">
        <v>-1.8703183984763803E-2</v>
      </c>
      <c r="G996" s="467"/>
    </row>
    <row r="997" spans="2:7" x14ac:dyDescent="0.25">
      <c r="B997" s="470" t="s">
        <v>433</v>
      </c>
      <c r="C997" s="474">
        <v>43675</v>
      </c>
      <c r="D997" s="471">
        <v>18656</v>
      </c>
      <c r="E997" s="476">
        <v>388963</v>
      </c>
      <c r="F997" s="484">
        <v>1.2025273654045286E-2</v>
      </c>
      <c r="G997" s="467"/>
    </row>
    <row r="998" spans="2:7" x14ac:dyDescent="0.25">
      <c r="B998" s="470" t="s">
        <v>433</v>
      </c>
      <c r="C998" s="474">
        <v>43676</v>
      </c>
      <c r="D998" s="471">
        <v>18617</v>
      </c>
      <c r="E998" s="476">
        <v>1034199</v>
      </c>
      <c r="F998" s="484">
        <v>-2.0926683783219968E-3</v>
      </c>
      <c r="G998" s="467"/>
    </row>
    <row r="999" spans="2:7" x14ac:dyDescent="0.25">
      <c r="B999" s="470" t="s">
        <v>433</v>
      </c>
      <c r="C999" s="474">
        <v>43677</v>
      </c>
      <c r="D999" s="471">
        <v>18420</v>
      </c>
      <c r="E999" s="476">
        <v>1091837</v>
      </c>
      <c r="F999" s="484">
        <v>-1.0638110962599083E-2</v>
      </c>
      <c r="G999" s="467"/>
    </row>
    <row r="1000" spans="2:7" x14ac:dyDescent="0.25">
      <c r="B1000" s="470" t="s">
        <v>433</v>
      </c>
      <c r="C1000" s="474">
        <v>43678</v>
      </c>
      <c r="D1000" s="471">
        <v>18596</v>
      </c>
      <c r="E1000" s="476">
        <v>488650</v>
      </c>
      <c r="F1000" s="484">
        <v>9.5094730011774358E-3</v>
      </c>
      <c r="G1000" s="467"/>
    </row>
    <row r="1001" spans="2:7" x14ac:dyDescent="0.25">
      <c r="B1001" s="470" t="s">
        <v>433</v>
      </c>
      <c r="C1001" s="474">
        <v>43679</v>
      </c>
      <c r="D1001" s="471">
        <v>18700</v>
      </c>
      <c r="E1001" s="476">
        <v>613263</v>
      </c>
      <c r="F1001" s="484">
        <v>5.5770200322027199E-3</v>
      </c>
      <c r="G1001" s="467"/>
    </row>
    <row r="1002" spans="2:7" x14ac:dyDescent="0.25">
      <c r="B1002" s="470" t="s">
        <v>433</v>
      </c>
      <c r="C1002" s="474">
        <v>43682</v>
      </c>
      <c r="D1002" s="471">
        <v>18601</v>
      </c>
      <c r="E1002" s="476">
        <v>589522</v>
      </c>
      <c r="F1002" s="484">
        <v>-5.3081811457271087E-3</v>
      </c>
      <c r="G1002" s="467"/>
    </row>
    <row r="1003" spans="2:7" x14ac:dyDescent="0.25">
      <c r="B1003" s="470" t="s">
        <v>433</v>
      </c>
      <c r="C1003" s="474">
        <v>43683</v>
      </c>
      <c r="D1003" s="471">
        <v>18834</v>
      </c>
      <c r="E1003" s="476">
        <v>597316</v>
      </c>
      <c r="F1003" s="484">
        <v>1.244840437305763E-2</v>
      </c>
      <c r="G1003" s="467"/>
    </row>
    <row r="1004" spans="2:7" x14ac:dyDescent="0.25">
      <c r="B1004" s="470" t="s">
        <v>433</v>
      </c>
      <c r="C1004" s="474">
        <v>43684</v>
      </c>
      <c r="D1004" s="471">
        <v>18560</v>
      </c>
      <c r="E1004" s="476">
        <v>1279406</v>
      </c>
      <c r="F1004" s="484">
        <v>-1.4655019729817014E-2</v>
      </c>
      <c r="G1004" s="467"/>
    </row>
    <row r="1005" spans="2:7" x14ac:dyDescent="0.25">
      <c r="B1005" s="470" t="s">
        <v>433</v>
      </c>
      <c r="C1005" s="474">
        <v>43685</v>
      </c>
      <c r="D1005" s="471">
        <v>18772</v>
      </c>
      <c r="E1005" s="476">
        <v>607493</v>
      </c>
      <c r="F1005" s="484">
        <v>1.135767057411664E-2</v>
      </c>
      <c r="G1005" s="467"/>
    </row>
    <row r="1006" spans="2:7" x14ac:dyDescent="0.25">
      <c r="B1006" s="470" t="s">
        <v>433</v>
      </c>
      <c r="C1006" s="474">
        <v>43689</v>
      </c>
      <c r="D1006" s="471">
        <v>18481</v>
      </c>
      <c r="E1006" s="476">
        <v>329306</v>
      </c>
      <c r="F1006" s="484">
        <v>-1.5623220628552002E-2</v>
      </c>
      <c r="G1006" s="467"/>
    </row>
    <row r="1007" spans="2:7" x14ac:dyDescent="0.25">
      <c r="B1007" s="470" t="s">
        <v>433</v>
      </c>
      <c r="C1007" s="474">
        <v>43690</v>
      </c>
      <c r="D1007" s="471">
        <v>18693</v>
      </c>
      <c r="E1007" s="476">
        <v>644190</v>
      </c>
      <c r="F1007" s="484">
        <v>1.1405944926575411E-2</v>
      </c>
      <c r="G1007" s="467"/>
    </row>
    <row r="1008" spans="2:7" x14ac:dyDescent="0.25">
      <c r="B1008" s="470" t="s">
        <v>433</v>
      </c>
      <c r="C1008" s="474">
        <v>43691</v>
      </c>
      <c r="D1008" s="471">
        <v>18228</v>
      </c>
      <c r="E1008" s="476">
        <v>567152</v>
      </c>
      <c r="F1008" s="484">
        <v>-2.5190248828558519E-2</v>
      </c>
      <c r="G1008" s="467"/>
    </row>
    <row r="1009" spans="2:7" x14ac:dyDescent="0.25">
      <c r="B1009" s="470" t="s">
        <v>433</v>
      </c>
      <c r="C1009" s="474">
        <v>43692</v>
      </c>
      <c r="D1009" s="471">
        <v>18400</v>
      </c>
      <c r="E1009" s="476">
        <v>681922</v>
      </c>
      <c r="F1009" s="484">
        <v>9.3917912133038173E-3</v>
      </c>
      <c r="G1009" s="467"/>
    </row>
    <row r="1010" spans="2:7" x14ac:dyDescent="0.25">
      <c r="B1010" s="470" t="s">
        <v>433</v>
      </c>
      <c r="C1010" s="474">
        <v>43693</v>
      </c>
      <c r="D1010" s="471">
        <v>18434</v>
      </c>
      <c r="E1010" s="476">
        <v>897109</v>
      </c>
      <c r="F1010" s="484">
        <v>1.8461209565325857E-3</v>
      </c>
      <c r="G1010" s="467"/>
    </row>
    <row r="1011" spans="2:7" x14ac:dyDescent="0.25">
      <c r="B1011" s="470" t="s">
        <v>433</v>
      </c>
      <c r="C1011" s="474">
        <v>43696</v>
      </c>
      <c r="D1011" s="471">
        <v>18425</v>
      </c>
      <c r="E1011" s="476">
        <v>381922</v>
      </c>
      <c r="F1011" s="484">
        <v>-4.8834749607213972E-4</v>
      </c>
      <c r="G1011" s="467"/>
    </row>
    <row r="1012" spans="2:7" x14ac:dyDescent="0.25">
      <c r="B1012" s="470" t="s">
        <v>433</v>
      </c>
      <c r="C1012" s="474">
        <v>43697</v>
      </c>
      <c r="D1012" s="471">
        <v>18172</v>
      </c>
      <c r="E1012" s="476">
        <v>761942</v>
      </c>
      <c r="F1012" s="484">
        <v>-1.3826490178243398E-2</v>
      </c>
      <c r="G1012" s="467"/>
    </row>
    <row r="1013" spans="2:7" x14ac:dyDescent="0.25">
      <c r="B1013" s="470" t="s">
        <v>433</v>
      </c>
      <c r="C1013" s="474">
        <v>43698</v>
      </c>
      <c r="D1013" s="471">
        <v>18341</v>
      </c>
      <c r="E1013" s="476">
        <v>550603</v>
      </c>
      <c r="F1013" s="484">
        <v>9.2570430717386475E-3</v>
      </c>
      <c r="G1013" s="467"/>
    </row>
    <row r="1014" spans="2:7" x14ac:dyDescent="0.25">
      <c r="B1014" s="470" t="s">
        <v>433</v>
      </c>
      <c r="C1014" s="474">
        <v>43699</v>
      </c>
      <c r="D1014" s="471">
        <v>17343</v>
      </c>
      <c r="E1014" s="476">
        <v>980190</v>
      </c>
      <c r="F1014" s="484">
        <v>-5.5950024200446764E-2</v>
      </c>
      <c r="G1014" s="467"/>
    </row>
    <row r="1015" spans="2:7" x14ac:dyDescent="0.25">
      <c r="B1015" s="470" t="s">
        <v>433</v>
      </c>
      <c r="C1015" s="474">
        <v>43700</v>
      </c>
      <c r="D1015" s="471">
        <v>17124</v>
      </c>
      <c r="E1015" s="476">
        <v>535941</v>
      </c>
      <c r="F1015" s="484">
        <v>-1.2707978485749016E-2</v>
      </c>
      <c r="G1015" s="467"/>
    </row>
    <row r="1016" spans="2:7" x14ac:dyDescent="0.25">
      <c r="B1016" s="470" t="s">
        <v>433</v>
      </c>
      <c r="C1016" s="474">
        <v>43703</v>
      </c>
      <c r="D1016" s="471">
        <v>16793</v>
      </c>
      <c r="E1016" s="476">
        <v>518373</v>
      </c>
      <c r="F1016" s="484">
        <v>-1.9518855369828825E-2</v>
      </c>
      <c r="G1016" s="467"/>
    </row>
    <row r="1017" spans="2:7" x14ac:dyDescent="0.25">
      <c r="B1017" s="470" t="s">
        <v>433</v>
      </c>
      <c r="C1017" s="474">
        <v>43704</v>
      </c>
      <c r="D1017" s="471">
        <v>16724</v>
      </c>
      <c r="E1017" s="476">
        <v>1291039</v>
      </c>
      <c r="F1017" s="484">
        <v>-4.1173194185522791E-3</v>
      </c>
      <c r="G1017" s="467"/>
    </row>
    <row r="1018" spans="2:7" x14ac:dyDescent="0.25">
      <c r="B1018" s="470" t="s">
        <v>433</v>
      </c>
      <c r="C1018" s="474">
        <v>43705</v>
      </c>
      <c r="D1018" s="471">
        <v>17256</v>
      </c>
      <c r="E1018" s="476">
        <v>858292</v>
      </c>
      <c r="F1018" s="484">
        <v>3.1315095592536778E-2</v>
      </c>
      <c r="G1018" s="467"/>
    </row>
    <row r="1019" spans="2:7" x14ac:dyDescent="0.25">
      <c r="B1019" s="470" t="s">
        <v>433</v>
      </c>
      <c r="C1019" s="474">
        <v>43706</v>
      </c>
      <c r="D1019" s="471">
        <v>16891</v>
      </c>
      <c r="E1019" s="476">
        <v>673074</v>
      </c>
      <c r="F1019" s="484">
        <v>-2.1378973388647311E-2</v>
      </c>
      <c r="G1019" s="467"/>
    </row>
    <row r="1020" spans="2:7" x14ac:dyDescent="0.25">
      <c r="B1020" s="470" t="s">
        <v>433</v>
      </c>
      <c r="C1020" s="474">
        <v>43707</v>
      </c>
      <c r="D1020" s="471">
        <v>17383</v>
      </c>
      <c r="E1020" s="476">
        <v>697469</v>
      </c>
      <c r="F1020" s="484">
        <v>2.8711781441195419E-2</v>
      </c>
      <c r="G1020" s="467"/>
    </row>
    <row r="1021" spans="2:7" x14ac:dyDescent="0.25">
      <c r="B1021" s="470" t="s">
        <v>433</v>
      </c>
      <c r="C1021" s="474">
        <v>43710</v>
      </c>
      <c r="D1021" s="471">
        <v>17130</v>
      </c>
      <c r="E1021" s="476">
        <v>420902</v>
      </c>
      <c r="F1021" s="484">
        <v>-1.4661404803374757E-2</v>
      </c>
      <c r="G1021" s="467"/>
    </row>
    <row r="1022" spans="2:7" x14ac:dyDescent="0.25">
      <c r="B1022" s="470" t="s">
        <v>433</v>
      </c>
      <c r="C1022" s="474">
        <v>43711</v>
      </c>
      <c r="D1022" s="471">
        <v>17292</v>
      </c>
      <c r="E1022" s="476">
        <v>351363</v>
      </c>
      <c r="F1022" s="484">
        <v>9.4126544693568046E-3</v>
      </c>
      <c r="G1022" s="467"/>
    </row>
    <row r="1023" spans="2:7" x14ac:dyDescent="0.25">
      <c r="B1023" s="470" t="s">
        <v>433</v>
      </c>
      <c r="C1023" s="474">
        <v>43712</v>
      </c>
      <c r="D1023" s="471">
        <v>17436</v>
      </c>
      <c r="E1023" s="476">
        <v>585123</v>
      </c>
      <c r="F1023" s="484">
        <v>8.2930675707607298E-3</v>
      </c>
      <c r="G1023" s="467"/>
    </row>
    <row r="1024" spans="2:7" x14ac:dyDescent="0.25">
      <c r="B1024" s="470" t="s">
        <v>433</v>
      </c>
      <c r="C1024" s="474">
        <v>43713</v>
      </c>
      <c r="D1024" s="471">
        <v>17875</v>
      </c>
      <c r="E1024" s="476">
        <v>601240</v>
      </c>
      <c r="F1024" s="484">
        <v>2.4866054203925292E-2</v>
      </c>
      <c r="G1024" s="467"/>
    </row>
    <row r="1025" spans="2:7" x14ac:dyDescent="0.25">
      <c r="B1025" s="470" t="s">
        <v>433</v>
      </c>
      <c r="C1025" s="474">
        <v>43714</v>
      </c>
      <c r="D1025" s="471">
        <v>18200</v>
      </c>
      <c r="E1025" s="476">
        <v>728858</v>
      </c>
      <c r="F1025" s="484">
        <v>1.8018505502678212E-2</v>
      </c>
      <c r="G1025" s="467"/>
    </row>
    <row r="1026" spans="2:7" x14ac:dyDescent="0.25">
      <c r="B1026" s="470" t="s">
        <v>433</v>
      </c>
      <c r="C1026" s="474">
        <v>43717</v>
      </c>
      <c r="D1026" s="471">
        <v>18463</v>
      </c>
      <c r="E1026" s="476">
        <v>606384</v>
      </c>
      <c r="F1026" s="484">
        <v>1.4347135330856296E-2</v>
      </c>
      <c r="G1026" s="467"/>
    </row>
    <row r="1027" spans="2:7" x14ac:dyDescent="0.25">
      <c r="B1027" s="470" t="s">
        <v>433</v>
      </c>
      <c r="C1027" s="474">
        <v>43718</v>
      </c>
      <c r="D1027" s="471">
        <v>18389</v>
      </c>
      <c r="E1027" s="476">
        <v>390954</v>
      </c>
      <c r="F1027" s="484">
        <v>-4.0160696548899432E-3</v>
      </c>
      <c r="G1027" s="467"/>
    </row>
    <row r="1028" spans="2:7" x14ac:dyDescent="0.25">
      <c r="B1028" s="470" t="s">
        <v>433</v>
      </c>
      <c r="C1028" s="474">
        <v>43719</v>
      </c>
      <c r="D1028" s="471">
        <v>18276</v>
      </c>
      <c r="E1028" s="476">
        <v>444429</v>
      </c>
      <c r="F1028" s="484">
        <v>-6.1639360576910751E-3</v>
      </c>
      <c r="G1028" s="467"/>
    </row>
    <row r="1029" spans="2:7" x14ac:dyDescent="0.25">
      <c r="B1029" s="470" t="s">
        <v>433</v>
      </c>
      <c r="C1029" s="474">
        <v>43720</v>
      </c>
      <c r="D1029" s="471">
        <v>18712</v>
      </c>
      <c r="E1029" s="476">
        <v>1137744</v>
      </c>
      <c r="F1029" s="484">
        <v>2.3576305580852865E-2</v>
      </c>
      <c r="G1029" s="467"/>
    </row>
    <row r="1030" spans="2:7" x14ac:dyDescent="0.25">
      <c r="B1030" s="470" t="s">
        <v>433</v>
      </c>
      <c r="C1030" s="474">
        <v>43721</v>
      </c>
      <c r="D1030" s="471">
        <v>18738</v>
      </c>
      <c r="E1030" s="476">
        <v>489774</v>
      </c>
      <c r="F1030" s="484">
        <v>1.3885182471186693E-3</v>
      </c>
      <c r="G1030" s="467"/>
    </row>
    <row r="1031" spans="2:7" x14ac:dyDescent="0.25">
      <c r="B1031" s="470" t="s">
        <v>433</v>
      </c>
      <c r="C1031" s="474">
        <v>43724</v>
      </c>
      <c r="D1031" s="471">
        <v>19674</v>
      </c>
      <c r="E1031" s="476">
        <v>1157230</v>
      </c>
      <c r="F1031" s="484">
        <v>4.8744419561569594E-2</v>
      </c>
      <c r="G1031" s="467"/>
    </row>
    <row r="1032" spans="2:7" x14ac:dyDescent="0.25">
      <c r="B1032" s="470" t="s">
        <v>433</v>
      </c>
      <c r="C1032" s="474">
        <v>43725</v>
      </c>
      <c r="D1032" s="471">
        <v>19201</v>
      </c>
      <c r="E1032" s="476">
        <v>856210</v>
      </c>
      <c r="F1032" s="484">
        <v>-2.433560607978677E-2</v>
      </c>
      <c r="G1032" s="467"/>
    </row>
    <row r="1033" spans="2:7" x14ac:dyDescent="0.25">
      <c r="B1033" s="470" t="s">
        <v>433</v>
      </c>
      <c r="C1033" s="474">
        <v>43726</v>
      </c>
      <c r="D1033" s="471">
        <v>19300</v>
      </c>
      <c r="E1033" s="476">
        <v>465314</v>
      </c>
      <c r="F1033" s="484">
        <v>5.1427349000603521E-3</v>
      </c>
      <c r="G1033" s="467"/>
    </row>
    <row r="1034" spans="2:7" x14ac:dyDescent="0.25">
      <c r="B1034" s="470" t="s">
        <v>433</v>
      </c>
      <c r="C1034" s="474">
        <v>43727</v>
      </c>
      <c r="D1034" s="471">
        <v>19201</v>
      </c>
      <c r="E1034" s="476">
        <v>1727679</v>
      </c>
      <c r="F1034" s="484">
        <v>-5.142734900060366E-3</v>
      </c>
      <c r="G1034" s="467"/>
    </row>
    <row r="1035" spans="2:7" x14ac:dyDescent="0.25">
      <c r="B1035" s="470" t="s">
        <v>433</v>
      </c>
      <c r="C1035" s="474">
        <v>43728</v>
      </c>
      <c r="D1035" s="471">
        <v>19217</v>
      </c>
      <c r="E1035" s="476">
        <v>1526656</v>
      </c>
      <c r="F1035" s="484">
        <v>8.3294293951063415E-4</v>
      </c>
      <c r="G1035" s="467"/>
    </row>
    <row r="1036" spans="2:7" x14ac:dyDescent="0.25">
      <c r="B1036" s="470" t="s">
        <v>433</v>
      </c>
      <c r="C1036" s="474">
        <v>43731</v>
      </c>
      <c r="D1036" s="471">
        <v>19113</v>
      </c>
      <c r="E1036" s="476">
        <v>567317</v>
      </c>
      <c r="F1036" s="484">
        <v>-5.4265721478292004E-3</v>
      </c>
      <c r="G1036" s="467"/>
    </row>
    <row r="1037" spans="2:7" x14ac:dyDescent="0.25">
      <c r="B1037" s="470" t="s">
        <v>433</v>
      </c>
      <c r="C1037" s="474">
        <v>43733</v>
      </c>
      <c r="D1037" s="471">
        <v>18666</v>
      </c>
      <c r="E1037" s="476">
        <v>596353</v>
      </c>
      <c r="F1037" s="484">
        <v>-2.366504465890585E-2</v>
      </c>
      <c r="G1037" s="467"/>
    </row>
    <row r="1038" spans="2:7" x14ac:dyDescent="0.25">
      <c r="B1038" s="470" t="s">
        <v>433</v>
      </c>
      <c r="C1038" s="474">
        <v>43734</v>
      </c>
      <c r="D1038" s="471">
        <v>19139</v>
      </c>
      <c r="E1038" s="476">
        <v>558468</v>
      </c>
      <c r="F1038" s="484">
        <v>2.5024450912381233E-2</v>
      </c>
      <c r="G1038" s="467"/>
    </row>
    <row r="1039" spans="2:7" x14ac:dyDescent="0.25">
      <c r="B1039" s="470" t="s">
        <v>433</v>
      </c>
      <c r="C1039" s="474">
        <v>43735</v>
      </c>
      <c r="D1039" s="471">
        <v>19272</v>
      </c>
      <c r="E1039" s="476">
        <v>569684</v>
      </c>
      <c r="F1039" s="484">
        <v>6.9251272566341979E-3</v>
      </c>
      <c r="G1039" s="467"/>
    </row>
    <row r="1040" spans="2:7" x14ac:dyDescent="0.25">
      <c r="B1040" s="470" t="s">
        <v>433</v>
      </c>
      <c r="C1040" s="474">
        <v>43738</v>
      </c>
      <c r="D1040" s="471">
        <v>19101</v>
      </c>
      <c r="E1040" s="476">
        <v>639856</v>
      </c>
      <c r="F1040" s="484">
        <v>-8.912575609572251E-3</v>
      </c>
      <c r="G1040" s="467"/>
    </row>
    <row r="1041" spans="2:7" x14ac:dyDescent="0.25">
      <c r="B1041" s="470" t="s">
        <v>433</v>
      </c>
      <c r="C1041" s="474">
        <v>43739</v>
      </c>
      <c r="D1041" s="471">
        <v>19093</v>
      </c>
      <c r="E1041" s="476">
        <v>549606</v>
      </c>
      <c r="F1041" s="484">
        <v>-4.1891397167053009E-4</v>
      </c>
      <c r="G1041" s="467"/>
    </row>
    <row r="1042" spans="2:7" x14ac:dyDescent="0.25">
      <c r="B1042" s="470" t="s">
        <v>433</v>
      </c>
      <c r="C1042" s="474">
        <v>43740</v>
      </c>
      <c r="D1042" s="471">
        <v>18905</v>
      </c>
      <c r="E1042" s="476">
        <v>665248</v>
      </c>
      <c r="F1042" s="484">
        <v>-9.8953383884312837E-3</v>
      </c>
      <c r="G1042" s="467"/>
    </row>
    <row r="1043" spans="2:7" x14ac:dyDescent="0.25">
      <c r="B1043" s="470" t="s">
        <v>433</v>
      </c>
      <c r="C1043" s="474">
        <v>43741</v>
      </c>
      <c r="D1043" s="471">
        <v>18989</v>
      </c>
      <c r="E1043" s="476">
        <v>322272</v>
      </c>
      <c r="F1043" s="484">
        <v>4.4334268003836056E-3</v>
      </c>
      <c r="G1043" s="467"/>
    </row>
    <row r="1044" spans="2:7" x14ac:dyDescent="0.25">
      <c r="B1044" s="470" t="s">
        <v>433</v>
      </c>
      <c r="C1044" s="474">
        <v>43742</v>
      </c>
      <c r="D1044" s="471">
        <v>19033</v>
      </c>
      <c r="E1044" s="476">
        <v>520770</v>
      </c>
      <c r="F1044" s="484">
        <v>2.3144505623671789E-3</v>
      </c>
      <c r="G1044" s="467"/>
    </row>
    <row r="1045" spans="2:7" x14ac:dyDescent="0.25">
      <c r="B1045" s="470" t="s">
        <v>433</v>
      </c>
      <c r="C1045" s="474">
        <v>43745</v>
      </c>
      <c r="D1045" s="471">
        <v>19283</v>
      </c>
      <c r="E1045" s="476">
        <v>525138</v>
      </c>
      <c r="F1045" s="484">
        <v>1.304956403182103E-2</v>
      </c>
      <c r="G1045" s="467"/>
    </row>
    <row r="1046" spans="2:7" x14ac:dyDescent="0.25">
      <c r="B1046" s="470" t="s">
        <v>433</v>
      </c>
      <c r="C1046" s="474">
        <v>43746</v>
      </c>
      <c r="D1046" s="471">
        <v>19405</v>
      </c>
      <c r="E1046" s="476">
        <v>603416</v>
      </c>
      <c r="F1046" s="484">
        <v>6.3068860834015368E-3</v>
      </c>
      <c r="G1046" s="467"/>
    </row>
    <row r="1047" spans="2:7" x14ac:dyDescent="0.25">
      <c r="B1047" s="470" t="s">
        <v>433</v>
      </c>
      <c r="C1047" s="474">
        <v>43747</v>
      </c>
      <c r="D1047" s="471">
        <v>19080</v>
      </c>
      <c r="E1047" s="476">
        <v>484993</v>
      </c>
      <c r="F1047" s="484">
        <v>-1.6890098800729215E-2</v>
      </c>
      <c r="G1047" s="467"/>
    </row>
    <row r="1048" spans="2:7" x14ac:dyDescent="0.25">
      <c r="B1048" s="470" t="s">
        <v>433</v>
      </c>
      <c r="C1048" s="474">
        <v>43748</v>
      </c>
      <c r="D1048" s="471">
        <v>19146</v>
      </c>
      <c r="E1048" s="476">
        <v>606069</v>
      </c>
      <c r="F1048" s="484">
        <v>3.4531505040210448E-3</v>
      </c>
      <c r="G1048" s="467"/>
    </row>
    <row r="1049" spans="2:7" x14ac:dyDescent="0.25">
      <c r="B1049" s="470" t="s">
        <v>433</v>
      </c>
      <c r="C1049" s="474">
        <v>43749</v>
      </c>
      <c r="D1049" s="471">
        <v>19173</v>
      </c>
      <c r="E1049" s="476">
        <v>460591</v>
      </c>
      <c r="F1049" s="484">
        <v>1.4092228120929401E-3</v>
      </c>
      <c r="G1049" s="467"/>
    </row>
    <row r="1050" spans="2:7" x14ac:dyDescent="0.25">
      <c r="B1050" s="470" t="s">
        <v>433</v>
      </c>
      <c r="C1050" s="474">
        <v>43752</v>
      </c>
      <c r="D1050" s="471">
        <v>18765</v>
      </c>
      <c r="E1050" s="476">
        <v>758548</v>
      </c>
      <c r="F1050" s="484">
        <v>-2.1509606749270216E-2</v>
      </c>
      <c r="G1050" s="467"/>
    </row>
    <row r="1051" spans="2:7" x14ac:dyDescent="0.25">
      <c r="B1051" s="470" t="s">
        <v>433</v>
      </c>
      <c r="C1051" s="474">
        <v>43753</v>
      </c>
      <c r="D1051" s="471">
        <v>18759</v>
      </c>
      <c r="E1051" s="476">
        <v>537473</v>
      </c>
      <c r="F1051" s="484">
        <v>-3.1979533371362574E-4</v>
      </c>
      <c r="G1051" s="467"/>
    </row>
    <row r="1052" spans="2:7" x14ac:dyDescent="0.25">
      <c r="B1052" s="470" t="s">
        <v>433</v>
      </c>
      <c r="C1052" s="474">
        <v>43754</v>
      </c>
      <c r="D1052" s="471">
        <v>19100</v>
      </c>
      <c r="E1052" s="476">
        <v>615879</v>
      </c>
      <c r="F1052" s="484">
        <v>1.8014697799313684E-2</v>
      </c>
      <c r="G1052" s="467"/>
    </row>
    <row r="1053" spans="2:7" x14ac:dyDescent="0.25">
      <c r="B1053" s="470" t="s">
        <v>433</v>
      </c>
      <c r="C1053" s="474">
        <v>43755</v>
      </c>
      <c r="D1053" s="471">
        <v>19188</v>
      </c>
      <c r="E1053" s="476">
        <v>794961</v>
      </c>
      <c r="F1053" s="484">
        <v>4.5967485872332476E-3</v>
      </c>
      <c r="G1053" s="467"/>
    </row>
    <row r="1054" spans="2:7" x14ac:dyDescent="0.25">
      <c r="B1054" s="470" t="s">
        <v>433</v>
      </c>
      <c r="C1054" s="474">
        <v>43756</v>
      </c>
      <c r="D1054" s="471">
        <v>19244</v>
      </c>
      <c r="E1054" s="476">
        <v>1316274</v>
      </c>
      <c r="F1054" s="484">
        <v>2.9142401973898152E-3</v>
      </c>
      <c r="G1054" s="467"/>
    </row>
    <row r="1055" spans="2:7" x14ac:dyDescent="0.25">
      <c r="B1055" s="470" t="s">
        <v>433</v>
      </c>
      <c r="C1055" s="474">
        <v>43759</v>
      </c>
      <c r="D1055" s="471">
        <v>19000</v>
      </c>
      <c r="E1055" s="476">
        <v>544990</v>
      </c>
      <c r="F1055" s="484">
        <v>-1.2760344670766836E-2</v>
      </c>
      <c r="G1055" s="467"/>
    </row>
    <row r="1056" spans="2:7" x14ac:dyDescent="0.25">
      <c r="B1056" s="470" t="s">
        <v>433</v>
      </c>
      <c r="C1056" s="474">
        <v>43760</v>
      </c>
      <c r="D1056" s="471">
        <v>20029</v>
      </c>
      <c r="E1056" s="476">
        <v>1320722</v>
      </c>
      <c r="F1056" s="484">
        <v>5.2742244152655091E-2</v>
      </c>
      <c r="G1056" s="467"/>
    </row>
    <row r="1057" spans="2:7" x14ac:dyDescent="0.25">
      <c r="B1057" s="470" t="s">
        <v>433</v>
      </c>
      <c r="C1057" s="474">
        <v>43761</v>
      </c>
      <c r="D1057" s="471">
        <v>20205</v>
      </c>
      <c r="E1057" s="476">
        <v>538723</v>
      </c>
      <c r="F1057" s="484">
        <v>8.7488752113414649E-3</v>
      </c>
      <c r="G1057" s="467"/>
    </row>
    <row r="1058" spans="2:7" x14ac:dyDescent="0.25">
      <c r="B1058" s="470" t="s">
        <v>433</v>
      </c>
      <c r="C1058" s="474">
        <v>43762</v>
      </c>
      <c r="D1058" s="471">
        <v>20069</v>
      </c>
      <c r="E1058" s="476">
        <v>485959</v>
      </c>
      <c r="F1058" s="484">
        <v>-6.7537625738909191E-3</v>
      </c>
      <c r="G1058" s="467"/>
    </row>
    <row r="1059" spans="2:7" x14ac:dyDescent="0.25">
      <c r="B1059" s="470" t="s">
        <v>433</v>
      </c>
      <c r="C1059" s="474">
        <v>43763</v>
      </c>
      <c r="D1059" s="471">
        <v>19894</v>
      </c>
      <c r="E1059" s="476">
        <v>259071</v>
      </c>
      <c r="F1059" s="484">
        <v>-8.7581572263239031E-3</v>
      </c>
      <c r="G1059" s="467"/>
    </row>
    <row r="1060" spans="2:7" x14ac:dyDescent="0.25">
      <c r="B1060" s="470" t="s">
        <v>433</v>
      </c>
      <c r="C1060" s="474">
        <v>43766</v>
      </c>
      <c r="D1060" s="471">
        <v>20016</v>
      </c>
      <c r="E1060" s="476">
        <v>633333</v>
      </c>
      <c r="F1060" s="484">
        <v>6.1137749943330575E-3</v>
      </c>
      <c r="G1060" s="467"/>
    </row>
    <row r="1061" spans="2:7" x14ac:dyDescent="0.25">
      <c r="B1061" s="470" t="s">
        <v>433</v>
      </c>
      <c r="C1061" s="474">
        <v>43767</v>
      </c>
      <c r="D1061" s="471">
        <v>20222</v>
      </c>
      <c r="E1061" s="476">
        <v>574755</v>
      </c>
      <c r="F1061" s="484">
        <v>1.0239166944651981E-2</v>
      </c>
      <c r="G1061" s="467"/>
    </row>
    <row r="1062" spans="2:7" x14ac:dyDescent="0.25">
      <c r="B1062" s="470" t="s">
        <v>433</v>
      </c>
      <c r="C1062" s="474">
        <v>43768</v>
      </c>
      <c r="D1062" s="471">
        <v>19641</v>
      </c>
      <c r="E1062" s="476">
        <v>1724658</v>
      </c>
      <c r="F1062" s="484">
        <v>-2.9151902542143289E-2</v>
      </c>
      <c r="G1062" s="467"/>
    </row>
    <row r="1063" spans="2:7" x14ac:dyDescent="0.25">
      <c r="B1063" s="470" t="s">
        <v>433</v>
      </c>
      <c r="C1063" s="474">
        <v>43769</v>
      </c>
      <c r="D1063" s="471">
        <v>20303</v>
      </c>
      <c r="E1063" s="476">
        <v>1327395</v>
      </c>
      <c r="F1063" s="484">
        <v>3.3149440253040334E-2</v>
      </c>
      <c r="G1063" s="467"/>
    </row>
    <row r="1064" spans="2:7" x14ac:dyDescent="0.25">
      <c r="B1064" s="470" t="s">
        <v>433</v>
      </c>
      <c r="C1064" s="474">
        <v>43770</v>
      </c>
      <c r="D1064" s="471">
        <v>20232</v>
      </c>
      <c r="E1064" s="476">
        <v>322290</v>
      </c>
      <c r="F1064" s="484">
        <v>-3.5031490124402703E-3</v>
      </c>
      <c r="G1064" s="467"/>
    </row>
    <row r="1065" spans="2:7" x14ac:dyDescent="0.25">
      <c r="B1065" s="470" t="s">
        <v>433</v>
      </c>
      <c r="C1065" s="474">
        <v>43773</v>
      </c>
      <c r="D1065" s="471">
        <v>20407</v>
      </c>
      <c r="E1065" s="476">
        <v>692842</v>
      </c>
      <c r="F1065" s="484">
        <v>8.6124698792847711E-3</v>
      </c>
      <c r="G1065" s="467"/>
    </row>
    <row r="1066" spans="2:7" x14ac:dyDescent="0.25">
      <c r="B1066" s="470" t="s">
        <v>433</v>
      </c>
      <c r="C1066" s="474">
        <v>43774</v>
      </c>
      <c r="D1066" s="471">
        <v>20311</v>
      </c>
      <c r="E1066" s="476">
        <v>682787</v>
      </c>
      <c r="F1066" s="484">
        <v>-4.7153680376000812E-3</v>
      </c>
      <c r="G1066" s="467"/>
    </row>
    <row r="1067" spans="2:7" x14ac:dyDescent="0.25">
      <c r="B1067" s="470" t="s">
        <v>433</v>
      </c>
      <c r="C1067" s="474">
        <v>43775</v>
      </c>
      <c r="D1067" s="471">
        <v>20554</v>
      </c>
      <c r="E1067" s="476">
        <v>580805</v>
      </c>
      <c r="F1067" s="484">
        <v>1.1892957993532714E-2</v>
      </c>
      <c r="G1067" s="467"/>
    </row>
    <row r="1068" spans="2:7" x14ac:dyDescent="0.25">
      <c r="B1068" s="470" t="s">
        <v>433</v>
      </c>
      <c r="C1068" s="474">
        <v>43776</v>
      </c>
      <c r="D1068" s="471">
        <v>20339</v>
      </c>
      <c r="E1068" s="476">
        <v>1307698</v>
      </c>
      <c r="F1068" s="484">
        <v>-1.0515343999523008E-2</v>
      </c>
      <c r="G1068" s="467"/>
    </row>
    <row r="1069" spans="2:7" x14ac:dyDescent="0.25">
      <c r="B1069" s="470" t="s">
        <v>433</v>
      </c>
      <c r="C1069" s="474">
        <v>43777</v>
      </c>
      <c r="D1069" s="471">
        <v>20148</v>
      </c>
      <c r="E1069" s="476">
        <v>915745</v>
      </c>
      <c r="F1069" s="484">
        <v>-9.4351973199542118E-3</v>
      </c>
      <c r="G1069" s="467"/>
    </row>
    <row r="1070" spans="2:7" x14ac:dyDescent="0.25">
      <c r="B1070" s="470" t="s">
        <v>433</v>
      </c>
      <c r="C1070" s="474">
        <v>43780</v>
      </c>
      <c r="D1070" s="471">
        <v>19790</v>
      </c>
      <c r="E1070" s="476">
        <v>566048</v>
      </c>
      <c r="F1070" s="484">
        <v>-1.7928268268929768E-2</v>
      </c>
      <c r="G1070" s="467"/>
    </row>
    <row r="1071" spans="2:7" x14ac:dyDescent="0.25">
      <c r="B1071" s="470" t="s">
        <v>433</v>
      </c>
      <c r="C1071" s="474">
        <v>43781</v>
      </c>
      <c r="D1071" s="471">
        <v>19801</v>
      </c>
      <c r="E1071" s="476">
        <v>1423972</v>
      </c>
      <c r="F1071" s="484">
        <v>5.5568186118305231E-4</v>
      </c>
      <c r="G1071" s="467"/>
    </row>
    <row r="1072" spans="2:7" x14ac:dyDescent="0.25">
      <c r="B1072" s="470" t="s">
        <v>433</v>
      </c>
      <c r="C1072" s="474">
        <v>43782</v>
      </c>
      <c r="D1072" s="471">
        <v>20900</v>
      </c>
      <c r="E1072" s="476">
        <v>2143048</v>
      </c>
      <c r="F1072" s="484">
        <v>5.401671749510778E-2</v>
      </c>
      <c r="G1072" s="467"/>
    </row>
    <row r="1073" spans="2:7" x14ac:dyDescent="0.25">
      <c r="B1073" s="470" t="s">
        <v>433</v>
      </c>
      <c r="C1073" s="474">
        <v>43783</v>
      </c>
      <c r="D1073" s="471">
        <v>20801</v>
      </c>
      <c r="E1073" s="476">
        <v>1128039</v>
      </c>
      <c r="F1073" s="484">
        <v>-4.748096496074326E-3</v>
      </c>
      <c r="G1073" s="467"/>
    </row>
    <row r="1074" spans="2:7" x14ac:dyDescent="0.25">
      <c r="B1074" s="470" t="s">
        <v>433</v>
      </c>
      <c r="C1074" s="474">
        <v>43784</v>
      </c>
      <c r="D1074" s="471">
        <v>21275</v>
      </c>
      <c r="E1074" s="476">
        <v>1070269</v>
      </c>
      <c r="F1074" s="484">
        <v>2.2531611984746923E-2</v>
      </c>
      <c r="G1074" s="467"/>
    </row>
    <row r="1075" spans="2:7" x14ac:dyDescent="0.25">
      <c r="B1075" s="470" t="s">
        <v>433</v>
      </c>
      <c r="C1075" s="474">
        <v>43787</v>
      </c>
      <c r="D1075" s="471">
        <v>21081</v>
      </c>
      <c r="E1075" s="476">
        <v>848898</v>
      </c>
      <c r="F1075" s="484">
        <v>-9.1605135812674373E-3</v>
      </c>
      <c r="G1075" s="467"/>
    </row>
    <row r="1076" spans="2:7" x14ac:dyDescent="0.25">
      <c r="B1076" s="470" t="s">
        <v>433</v>
      </c>
      <c r="C1076" s="474">
        <v>43788</v>
      </c>
      <c r="D1076" s="471">
        <v>21085</v>
      </c>
      <c r="E1076" s="476">
        <v>819066</v>
      </c>
      <c r="F1076" s="484">
        <v>1.8972632035273398E-4</v>
      </c>
      <c r="G1076" s="467"/>
    </row>
    <row r="1077" spans="2:7" x14ac:dyDescent="0.25">
      <c r="B1077" s="470" t="s">
        <v>433</v>
      </c>
      <c r="C1077" s="474">
        <v>43789</v>
      </c>
      <c r="D1077" s="471">
        <v>21016</v>
      </c>
      <c r="E1077" s="476">
        <v>901072</v>
      </c>
      <c r="F1077" s="484">
        <v>-3.2778348152843863E-3</v>
      </c>
      <c r="G1077" s="467"/>
    </row>
    <row r="1078" spans="2:7" x14ac:dyDescent="0.25">
      <c r="B1078" s="470" t="s">
        <v>433</v>
      </c>
      <c r="C1078" s="474">
        <v>43790</v>
      </c>
      <c r="D1078" s="471">
        <v>20657</v>
      </c>
      <c r="E1078" s="476">
        <v>985324</v>
      </c>
      <c r="F1078" s="484">
        <v>-1.7229807367123075E-2</v>
      </c>
      <c r="G1078" s="467"/>
    </row>
    <row r="1079" spans="2:7" x14ac:dyDescent="0.25">
      <c r="B1079" s="470" t="s">
        <v>433</v>
      </c>
      <c r="C1079" s="474">
        <v>43791</v>
      </c>
      <c r="D1079" s="471">
        <v>20415</v>
      </c>
      <c r="E1079" s="476">
        <v>954794</v>
      </c>
      <c r="F1079" s="484">
        <v>-1.1784320244576615E-2</v>
      </c>
      <c r="G1079" s="467"/>
    </row>
    <row r="1080" spans="2:7" x14ac:dyDescent="0.25">
      <c r="B1080" s="470" t="s">
        <v>433</v>
      </c>
      <c r="C1080" s="474">
        <v>43794</v>
      </c>
      <c r="D1080" s="471">
        <v>20647</v>
      </c>
      <c r="E1080" s="476">
        <v>1062132</v>
      </c>
      <c r="F1080" s="484">
        <v>1.130010563120319E-2</v>
      </c>
      <c r="G1080" s="467"/>
    </row>
    <row r="1081" spans="2:7" x14ac:dyDescent="0.25">
      <c r="B1081" s="470" t="s">
        <v>433</v>
      </c>
      <c r="C1081" s="474">
        <v>43795</v>
      </c>
      <c r="D1081" s="471">
        <v>20103</v>
      </c>
      <c r="E1081" s="476">
        <v>2102640</v>
      </c>
      <c r="F1081" s="484">
        <v>-2.6700972743598946E-2</v>
      </c>
      <c r="G1081" s="467"/>
    </row>
    <row r="1082" spans="2:7" x14ac:dyDescent="0.25">
      <c r="B1082" s="470" t="s">
        <v>433</v>
      </c>
      <c r="C1082" s="474">
        <v>43796</v>
      </c>
      <c r="D1082" s="471">
        <v>20411</v>
      </c>
      <c r="E1082" s="476">
        <v>643416</v>
      </c>
      <c r="F1082" s="484">
        <v>1.5204913552762139E-2</v>
      </c>
      <c r="G1082" s="467"/>
    </row>
    <row r="1083" spans="2:7" x14ac:dyDescent="0.25">
      <c r="B1083" s="470" t="s">
        <v>433</v>
      </c>
      <c r="C1083" s="474">
        <v>43797</v>
      </c>
      <c r="D1083" s="471">
        <v>20341</v>
      </c>
      <c r="E1083" s="476">
        <v>981241</v>
      </c>
      <c r="F1083" s="484">
        <v>-3.4354175915554674E-3</v>
      </c>
      <c r="G1083" s="467"/>
    </row>
    <row r="1084" spans="2:7" x14ac:dyDescent="0.25">
      <c r="B1084" s="470" t="s">
        <v>433</v>
      </c>
      <c r="C1084" s="474">
        <v>43798</v>
      </c>
      <c r="D1084" s="471">
        <v>20592</v>
      </c>
      <c r="E1084" s="476">
        <v>1125840</v>
      </c>
      <c r="F1084" s="484">
        <v>1.2264097233420795E-2</v>
      </c>
      <c r="G1084" s="467"/>
    </row>
    <row r="1085" spans="2:7" x14ac:dyDescent="0.25">
      <c r="B1085" s="470" t="s">
        <v>433</v>
      </c>
      <c r="C1085" s="474">
        <v>43801</v>
      </c>
      <c r="D1085" s="471">
        <v>20261</v>
      </c>
      <c r="E1085" s="476">
        <v>1073976</v>
      </c>
      <c r="F1085" s="484">
        <v>-1.6204794909756615E-2</v>
      </c>
      <c r="G1085" s="467"/>
    </row>
    <row r="1086" spans="2:7" x14ac:dyDescent="0.25">
      <c r="B1086" s="470" t="s">
        <v>433</v>
      </c>
      <c r="C1086" s="474">
        <v>43802</v>
      </c>
      <c r="D1086" s="471">
        <v>20285</v>
      </c>
      <c r="E1086" s="476">
        <v>1182234</v>
      </c>
      <c r="F1086" s="484">
        <v>1.1838407143964791E-3</v>
      </c>
      <c r="G1086" s="467"/>
    </row>
    <row r="1087" spans="2:7" x14ac:dyDescent="0.25">
      <c r="B1087" s="470" t="s">
        <v>433</v>
      </c>
      <c r="C1087" s="474">
        <v>43803</v>
      </c>
      <c r="D1087" s="471">
        <v>20244</v>
      </c>
      <c r="E1087" s="476">
        <v>1026118</v>
      </c>
      <c r="F1087" s="484">
        <v>-2.0232433065790522E-3</v>
      </c>
      <c r="G1087" s="467"/>
    </row>
    <row r="1088" spans="2:7" x14ac:dyDescent="0.25">
      <c r="B1088" s="470" t="s">
        <v>433</v>
      </c>
      <c r="C1088" s="474">
        <v>43804</v>
      </c>
      <c r="D1088" s="471">
        <v>19980</v>
      </c>
      <c r="E1088" s="476">
        <v>1120127</v>
      </c>
      <c r="F1088" s="484">
        <v>-1.3126680131424052E-2</v>
      </c>
      <c r="G1088" s="467"/>
    </row>
    <row r="1089" spans="2:7" x14ac:dyDescent="0.25">
      <c r="B1089" s="470" t="s">
        <v>433</v>
      </c>
      <c r="C1089" s="474">
        <v>43805</v>
      </c>
      <c r="D1089" s="471">
        <v>20027</v>
      </c>
      <c r="E1089" s="476">
        <v>627135</v>
      </c>
      <c r="F1089" s="484">
        <v>2.3495899028790164E-3</v>
      </c>
      <c r="G1089" s="467"/>
    </row>
    <row r="1090" spans="2:7" x14ac:dyDescent="0.25">
      <c r="B1090" s="470" t="s">
        <v>433</v>
      </c>
      <c r="C1090" s="474">
        <v>43808</v>
      </c>
      <c r="D1090" s="471">
        <v>19969</v>
      </c>
      <c r="E1090" s="476">
        <v>375766</v>
      </c>
      <c r="F1090" s="484">
        <v>-2.9002920620319885E-3</v>
      </c>
      <c r="G1090" s="467"/>
    </row>
    <row r="1091" spans="2:7" x14ac:dyDescent="0.25">
      <c r="B1091" s="470" t="s">
        <v>433</v>
      </c>
      <c r="C1091" s="474">
        <v>43809</v>
      </c>
      <c r="D1091" s="471">
        <v>19766</v>
      </c>
      <c r="E1091" s="476">
        <v>784866</v>
      </c>
      <c r="F1091" s="484">
        <v>-1.0217781107262338E-2</v>
      </c>
      <c r="G1091" s="467"/>
    </row>
    <row r="1092" spans="2:7" x14ac:dyDescent="0.25">
      <c r="B1092" s="470" t="s">
        <v>433</v>
      </c>
      <c r="C1092" s="474">
        <v>43810</v>
      </c>
      <c r="D1092" s="471">
        <v>19819</v>
      </c>
      <c r="E1092" s="476">
        <v>757698</v>
      </c>
      <c r="F1092" s="484">
        <v>2.6777835882184908E-3</v>
      </c>
      <c r="G1092" s="467"/>
    </row>
    <row r="1093" spans="2:7" x14ac:dyDescent="0.25">
      <c r="B1093" s="470" t="s">
        <v>433</v>
      </c>
      <c r="C1093" s="474">
        <v>43811</v>
      </c>
      <c r="D1093" s="471">
        <v>19582</v>
      </c>
      <c r="E1093" s="476">
        <v>741092</v>
      </c>
      <c r="F1093" s="484">
        <v>-1.2030296610331098E-2</v>
      </c>
      <c r="G1093" s="467"/>
    </row>
    <row r="1094" spans="2:7" x14ac:dyDescent="0.25">
      <c r="B1094" s="470" t="s">
        <v>433</v>
      </c>
      <c r="C1094" s="474">
        <v>43812</v>
      </c>
      <c r="D1094" s="471">
        <v>20003</v>
      </c>
      <c r="E1094" s="476">
        <v>783135</v>
      </c>
      <c r="F1094" s="484">
        <v>2.1271485373236362E-2</v>
      </c>
      <c r="G1094" s="467"/>
    </row>
    <row r="1095" spans="2:7" x14ac:dyDescent="0.25">
      <c r="B1095" s="470" t="s">
        <v>433</v>
      </c>
      <c r="C1095" s="474">
        <v>43816</v>
      </c>
      <c r="D1095" s="471">
        <v>20233</v>
      </c>
      <c r="E1095" s="476">
        <v>1030007</v>
      </c>
      <c r="F1095" s="484">
        <v>1.143267249194161E-2</v>
      </c>
      <c r="G1095" s="467"/>
    </row>
    <row r="1096" spans="2:7" x14ac:dyDescent="0.25">
      <c r="B1096" s="470" t="s">
        <v>433</v>
      </c>
      <c r="C1096" s="474">
        <v>43817</v>
      </c>
      <c r="D1096" s="471">
        <v>20611</v>
      </c>
      <c r="E1096" s="476">
        <v>790606</v>
      </c>
      <c r="F1096" s="484">
        <v>1.8509979064102736E-2</v>
      </c>
      <c r="G1096" s="467"/>
    </row>
    <row r="1097" spans="2:7" x14ac:dyDescent="0.25">
      <c r="B1097" s="470" t="s">
        <v>433</v>
      </c>
      <c r="C1097" s="474">
        <v>43818</v>
      </c>
      <c r="D1097" s="471">
        <v>20365</v>
      </c>
      <c r="E1097" s="476">
        <v>1735560</v>
      </c>
      <c r="F1097" s="484">
        <v>-1.2007172760784479E-2</v>
      </c>
      <c r="G1097" s="467"/>
    </row>
    <row r="1098" spans="2:7" x14ac:dyDescent="0.25">
      <c r="B1098" s="470" t="s">
        <v>433</v>
      </c>
      <c r="C1098" s="474">
        <v>43819</v>
      </c>
      <c r="D1098" s="471">
        <v>20153</v>
      </c>
      <c r="E1098" s="476">
        <v>1013446</v>
      </c>
      <c r="F1098" s="484">
        <v>-1.0464580415023801E-2</v>
      </c>
      <c r="G1098" s="467"/>
    </row>
    <row r="1099" spans="2:7" x14ac:dyDescent="0.25">
      <c r="B1099" s="470" t="s">
        <v>433</v>
      </c>
      <c r="C1099" s="474">
        <v>43822</v>
      </c>
      <c r="D1099" s="471">
        <v>19837</v>
      </c>
      <c r="E1099" s="476">
        <v>452733</v>
      </c>
      <c r="F1099" s="484">
        <v>-1.5804279939380557E-2</v>
      </c>
      <c r="G1099" s="467"/>
    </row>
    <row r="1100" spans="2:7" x14ac:dyDescent="0.25">
      <c r="B1100" s="470" t="s">
        <v>433</v>
      </c>
      <c r="C1100" s="474">
        <v>43823</v>
      </c>
      <c r="D1100" s="471">
        <v>19757</v>
      </c>
      <c r="E1100" s="476">
        <v>135884</v>
      </c>
      <c r="F1100" s="484">
        <v>-4.0410218147034797E-3</v>
      </c>
      <c r="G1100" s="467"/>
    </row>
    <row r="1101" spans="2:7" x14ac:dyDescent="0.25">
      <c r="B1101" s="470" t="s">
        <v>433</v>
      </c>
      <c r="C1101" s="474">
        <v>43826</v>
      </c>
      <c r="D1101" s="471">
        <v>19690</v>
      </c>
      <c r="E1101" s="476">
        <v>340310</v>
      </c>
      <c r="F1101" s="484">
        <v>-3.3969662802338929E-3</v>
      </c>
      <c r="G1101" s="467"/>
    </row>
    <row r="1102" spans="2:7" x14ac:dyDescent="0.25">
      <c r="B1102" s="470" t="s">
        <v>433</v>
      </c>
      <c r="C1102" s="474">
        <v>43829</v>
      </c>
      <c r="D1102" s="471">
        <v>20023</v>
      </c>
      <c r="E1102" s="476">
        <v>353684</v>
      </c>
      <c r="F1102" s="484">
        <v>1.6770720159478409E-2</v>
      </c>
      <c r="G1102" s="467"/>
    </row>
    <row r="1103" spans="2:7" x14ac:dyDescent="0.25">
      <c r="B1103" s="470" t="s">
        <v>433</v>
      </c>
      <c r="C1103" s="474">
        <v>43830</v>
      </c>
      <c r="D1103" s="471">
        <v>19751</v>
      </c>
      <c r="E1103" s="476">
        <v>203189</v>
      </c>
      <c r="F1103" s="484">
        <v>-1.3677489833791773E-2</v>
      </c>
      <c r="G1103" s="467"/>
    </row>
    <row r="1104" spans="2:7" x14ac:dyDescent="0.25">
      <c r="B1104" s="470" t="s">
        <v>433</v>
      </c>
      <c r="C1104" s="474">
        <v>43832</v>
      </c>
      <c r="D1104" s="471">
        <v>19779</v>
      </c>
      <c r="E1104" s="476">
        <v>334470</v>
      </c>
      <c r="F1104" s="484">
        <v>1.4166458225516277E-3</v>
      </c>
      <c r="G1104" s="467"/>
    </row>
    <row r="1105" spans="2:7" x14ac:dyDescent="0.25">
      <c r="B1105" s="470" t="s">
        <v>433</v>
      </c>
      <c r="C1105" s="474">
        <v>43833</v>
      </c>
      <c r="D1105" s="471">
        <v>19565</v>
      </c>
      <c r="E1105" s="476">
        <v>339573</v>
      </c>
      <c r="F1105" s="484">
        <v>-1.0878513136896516E-2</v>
      </c>
      <c r="G1105" s="467"/>
    </row>
    <row r="1106" spans="2:7" x14ac:dyDescent="0.25">
      <c r="B1106" s="470" t="s">
        <v>433</v>
      </c>
      <c r="C1106" s="474">
        <v>43836</v>
      </c>
      <c r="D1106" s="471">
        <v>19136</v>
      </c>
      <c r="E1106" s="476">
        <v>410713</v>
      </c>
      <c r="F1106" s="484">
        <v>-2.217087789415452E-2</v>
      </c>
      <c r="G1106" s="467"/>
    </row>
    <row r="1107" spans="2:7" x14ac:dyDescent="0.25">
      <c r="B1107" s="470" t="s">
        <v>433</v>
      </c>
      <c r="C1107" s="474">
        <v>43837</v>
      </c>
      <c r="D1107" s="471">
        <v>19227</v>
      </c>
      <c r="E1107" s="476">
        <v>452902</v>
      </c>
      <c r="F1107" s="484">
        <v>4.7441634219782033E-3</v>
      </c>
      <c r="G1107" s="467"/>
    </row>
    <row r="1108" spans="2:7" x14ac:dyDescent="0.25">
      <c r="B1108" s="470" t="s">
        <v>433</v>
      </c>
      <c r="C1108" s="474">
        <v>43838</v>
      </c>
      <c r="D1108" s="471">
        <v>19175</v>
      </c>
      <c r="E1108" s="476">
        <v>604212</v>
      </c>
      <c r="F1108" s="484">
        <v>-2.7081939368796548E-3</v>
      </c>
      <c r="G1108" s="467"/>
    </row>
    <row r="1109" spans="2:7" x14ac:dyDescent="0.25">
      <c r="B1109" s="470" t="s">
        <v>433</v>
      </c>
      <c r="C1109" s="474">
        <v>43839</v>
      </c>
      <c r="D1109" s="471">
        <v>19274</v>
      </c>
      <c r="E1109" s="476">
        <v>654126</v>
      </c>
      <c r="F1109" s="484">
        <v>5.1496901757757821E-3</v>
      </c>
      <c r="G1109" s="467"/>
    </row>
    <row r="1110" spans="2:7" x14ac:dyDescent="0.25">
      <c r="B1110" s="470" t="s">
        <v>433</v>
      </c>
      <c r="C1110" s="474">
        <v>43840</v>
      </c>
      <c r="D1110" s="471">
        <v>19270</v>
      </c>
      <c r="E1110" s="476">
        <v>857899</v>
      </c>
      <c r="F1110" s="484">
        <v>-2.0755500282066569E-4</v>
      </c>
      <c r="G1110" s="467"/>
    </row>
    <row r="1111" spans="2:7" x14ac:dyDescent="0.25">
      <c r="B1111" s="470" t="s">
        <v>433</v>
      </c>
      <c r="C1111" s="474">
        <v>43843</v>
      </c>
      <c r="D1111" s="471">
        <v>19185</v>
      </c>
      <c r="E1111" s="476">
        <v>504180</v>
      </c>
      <c r="F1111" s="484">
        <v>-4.4207587273592964E-3</v>
      </c>
      <c r="G1111" s="467"/>
    </row>
    <row r="1112" spans="2:7" x14ac:dyDescent="0.25">
      <c r="B1112" s="470" t="s">
        <v>433</v>
      </c>
      <c r="C1112" s="474">
        <v>43844</v>
      </c>
      <c r="D1112" s="471">
        <v>19631</v>
      </c>
      <c r="E1112" s="476">
        <v>762730</v>
      </c>
      <c r="F1112" s="484">
        <v>2.2981225726980633E-2</v>
      </c>
      <c r="G1112" s="467"/>
    </row>
    <row r="1113" spans="2:7" x14ac:dyDescent="0.25">
      <c r="B1113" s="470" t="s">
        <v>433</v>
      </c>
      <c r="C1113" s="474">
        <v>43845</v>
      </c>
      <c r="D1113" s="471">
        <v>19972</v>
      </c>
      <c r="E1113" s="476">
        <v>762079</v>
      </c>
      <c r="F1113" s="484">
        <v>1.7221343212466503E-2</v>
      </c>
      <c r="G1113" s="467"/>
    </row>
    <row r="1114" spans="2:7" x14ac:dyDescent="0.25">
      <c r="B1114" s="470" t="s">
        <v>433</v>
      </c>
      <c r="C1114" s="474">
        <v>43846</v>
      </c>
      <c r="D1114" s="471">
        <v>19820</v>
      </c>
      <c r="E1114" s="476">
        <v>769334</v>
      </c>
      <c r="F1114" s="484">
        <v>-7.6397637365209006E-3</v>
      </c>
      <c r="G1114" s="467"/>
    </row>
    <row r="1115" spans="2:7" x14ac:dyDescent="0.25">
      <c r="B1115" s="470" t="s">
        <v>433</v>
      </c>
      <c r="C1115" s="474">
        <v>43847</v>
      </c>
      <c r="D1115" s="471">
        <v>19958</v>
      </c>
      <c r="E1115" s="476">
        <v>676392</v>
      </c>
      <c r="F1115" s="484">
        <v>6.9385365602788627E-3</v>
      </c>
      <c r="G1115" s="467"/>
    </row>
    <row r="1116" spans="2:7" x14ac:dyDescent="0.25">
      <c r="B1116" s="470" t="s">
        <v>433</v>
      </c>
      <c r="C1116" s="474">
        <v>43850</v>
      </c>
      <c r="D1116" s="471">
        <v>19964</v>
      </c>
      <c r="E1116" s="476">
        <v>187989</v>
      </c>
      <c r="F1116" s="484">
        <v>3.0058614524193809E-4</v>
      </c>
      <c r="G1116" s="467"/>
    </row>
    <row r="1117" spans="2:7" x14ac:dyDescent="0.25">
      <c r="B1117" s="470" t="s">
        <v>433</v>
      </c>
      <c r="C1117" s="474">
        <v>43851</v>
      </c>
      <c r="D1117" s="471">
        <v>20176</v>
      </c>
      <c r="E1117" s="476">
        <v>399939</v>
      </c>
      <c r="F1117" s="484">
        <v>1.0563127615200923E-2</v>
      </c>
      <c r="G1117" s="467"/>
    </row>
    <row r="1118" spans="2:7" x14ac:dyDescent="0.25">
      <c r="B1118" s="470" t="s">
        <v>433</v>
      </c>
      <c r="C1118" s="474">
        <v>43852</v>
      </c>
      <c r="D1118" s="471">
        <v>20487</v>
      </c>
      <c r="E1118" s="476">
        <v>744079</v>
      </c>
      <c r="F1118" s="484">
        <v>1.5296759424498098E-2</v>
      </c>
      <c r="G1118" s="467"/>
    </row>
    <row r="1119" spans="2:7" x14ac:dyDescent="0.25">
      <c r="B1119" s="470" t="s">
        <v>433</v>
      </c>
      <c r="C1119" s="474">
        <v>43853</v>
      </c>
      <c r="D1119" s="471">
        <v>20015</v>
      </c>
      <c r="E1119" s="476">
        <v>634411</v>
      </c>
      <c r="F1119" s="484">
        <v>-2.3308546202524916E-2</v>
      </c>
      <c r="G1119" s="467"/>
    </row>
    <row r="1120" spans="2:7" x14ac:dyDescent="0.25">
      <c r="B1120" s="470" t="s">
        <v>433</v>
      </c>
      <c r="C1120" s="474">
        <v>43854</v>
      </c>
      <c r="D1120" s="471">
        <v>20403</v>
      </c>
      <c r="E1120" s="476">
        <v>408094</v>
      </c>
      <c r="F1120" s="484">
        <v>1.9199956417074431E-2</v>
      </c>
      <c r="G1120" s="467"/>
    </row>
    <row r="1121" spans="2:7" x14ac:dyDescent="0.25">
      <c r="B1121" s="470" t="s">
        <v>433</v>
      </c>
      <c r="C1121" s="474">
        <v>43857</v>
      </c>
      <c r="D1121" s="471">
        <v>19978</v>
      </c>
      <c r="E1121" s="476">
        <v>649594</v>
      </c>
      <c r="F1121" s="484">
        <v>-2.1050280751653307E-2</v>
      </c>
      <c r="G1121" s="467"/>
    </row>
    <row r="1122" spans="2:7" x14ac:dyDescent="0.25">
      <c r="B1122" s="470" t="s">
        <v>433</v>
      </c>
      <c r="C1122" s="474">
        <v>43858</v>
      </c>
      <c r="D1122" s="471">
        <v>19480</v>
      </c>
      <c r="E1122" s="476">
        <v>478163</v>
      </c>
      <c r="F1122" s="484">
        <v>-2.5243369895568957E-2</v>
      </c>
      <c r="G1122" s="467"/>
    </row>
    <row r="1123" spans="2:7" x14ac:dyDescent="0.25">
      <c r="B1123" s="470" t="s">
        <v>433</v>
      </c>
      <c r="C1123" s="474">
        <v>43859</v>
      </c>
      <c r="D1123" s="471">
        <v>19628</v>
      </c>
      <c r="E1123" s="476">
        <v>327626</v>
      </c>
      <c r="F1123" s="484">
        <v>7.5688200132680268E-3</v>
      </c>
      <c r="G1123" s="467"/>
    </row>
    <row r="1124" spans="2:7" x14ac:dyDescent="0.25">
      <c r="B1124" s="470" t="s">
        <v>433</v>
      </c>
      <c r="C1124" s="474">
        <v>43860</v>
      </c>
      <c r="D1124" s="471">
        <v>19442</v>
      </c>
      <c r="E1124" s="476">
        <v>588316</v>
      </c>
      <c r="F1124" s="484">
        <v>-9.5214438287796969E-3</v>
      </c>
      <c r="G1124" s="467"/>
    </row>
    <row r="1125" spans="2:7" x14ac:dyDescent="0.25">
      <c r="B1125" s="470" t="s">
        <v>433</v>
      </c>
      <c r="C1125" s="474">
        <v>43861</v>
      </c>
      <c r="D1125" s="471">
        <v>19172</v>
      </c>
      <c r="E1125" s="476">
        <v>584388</v>
      </c>
      <c r="F1125" s="484">
        <v>-1.3984793101492411E-2</v>
      </c>
      <c r="G1125" s="467"/>
    </row>
    <row r="1126" spans="2:7" x14ac:dyDescent="0.25">
      <c r="B1126" s="470" t="s">
        <v>433</v>
      </c>
      <c r="C1126" s="474">
        <v>43864</v>
      </c>
      <c r="D1126" s="471">
        <v>19084</v>
      </c>
      <c r="E1126" s="476">
        <v>357664</v>
      </c>
      <c r="F1126" s="484">
        <v>-4.6005936435243155E-3</v>
      </c>
      <c r="G1126" s="467"/>
    </row>
    <row r="1127" spans="2:7" x14ac:dyDescent="0.25">
      <c r="B1127" s="470" t="s">
        <v>433</v>
      </c>
      <c r="C1127" s="474">
        <v>43865</v>
      </c>
      <c r="D1127" s="471">
        <v>19300</v>
      </c>
      <c r="E1127" s="476">
        <v>373764</v>
      </c>
      <c r="F1127" s="484">
        <v>1.1254808256979188E-2</v>
      </c>
      <c r="G1127" s="467"/>
    </row>
    <row r="1128" spans="2:7" x14ac:dyDescent="0.25">
      <c r="B1128" s="470" t="s">
        <v>433</v>
      </c>
      <c r="C1128" s="474">
        <v>43866</v>
      </c>
      <c r="D1128" s="471">
        <v>19296</v>
      </c>
      <c r="E1128" s="476">
        <v>415306</v>
      </c>
      <c r="F1128" s="484">
        <v>-2.0727536606496218E-4</v>
      </c>
      <c r="G1128" s="467"/>
    </row>
    <row r="1129" spans="2:7" x14ac:dyDescent="0.25">
      <c r="B1129" s="470" t="s">
        <v>433</v>
      </c>
      <c r="C1129" s="474">
        <v>43867</v>
      </c>
      <c r="D1129" s="471">
        <v>19200</v>
      </c>
      <c r="E1129" s="476">
        <v>221209</v>
      </c>
      <c r="F1129" s="484">
        <v>-4.9875415110390512E-3</v>
      </c>
      <c r="G1129" s="467"/>
    </row>
    <row r="1130" spans="2:7" x14ac:dyDescent="0.25">
      <c r="B1130" s="470" t="s">
        <v>433</v>
      </c>
      <c r="C1130" s="474">
        <v>43868</v>
      </c>
      <c r="D1130" s="471">
        <v>19321</v>
      </c>
      <c r="E1130" s="476">
        <v>499561</v>
      </c>
      <c r="F1130" s="484">
        <v>6.2823082455106399E-3</v>
      </c>
      <c r="G1130" s="467"/>
    </row>
    <row r="1131" spans="2:7" x14ac:dyDescent="0.25">
      <c r="B1131" s="470" t="s">
        <v>433</v>
      </c>
      <c r="C1131" s="474">
        <v>43871</v>
      </c>
      <c r="D1131" s="471">
        <v>19380</v>
      </c>
      <c r="E1131" s="476">
        <v>300727</v>
      </c>
      <c r="F1131" s="484">
        <v>3.0490191833736744E-3</v>
      </c>
      <c r="G1131" s="467"/>
    </row>
    <row r="1132" spans="2:7" x14ac:dyDescent="0.25">
      <c r="B1132" s="470" t="s">
        <v>433</v>
      </c>
      <c r="C1132" s="474">
        <v>43872</v>
      </c>
      <c r="D1132" s="471">
        <v>18650</v>
      </c>
      <c r="E1132" s="476">
        <v>1397990</v>
      </c>
      <c r="F1132" s="484">
        <v>-3.8395460372795578E-2</v>
      </c>
      <c r="G1132" s="467"/>
    </row>
    <row r="1133" spans="2:7" x14ac:dyDescent="0.25">
      <c r="B1133" s="470" t="s">
        <v>433</v>
      </c>
      <c r="C1133" s="474">
        <v>43873</v>
      </c>
      <c r="D1133" s="471">
        <v>18300</v>
      </c>
      <c r="E1133" s="476">
        <v>1540438</v>
      </c>
      <c r="F1133" s="484">
        <v>-1.8945086242449304E-2</v>
      </c>
      <c r="G1133" s="467"/>
    </row>
    <row r="1134" spans="2:7" x14ac:dyDescent="0.25">
      <c r="B1134" s="470" t="s">
        <v>433</v>
      </c>
      <c r="C1134" s="474">
        <v>43874</v>
      </c>
      <c r="D1134" s="471">
        <v>17892</v>
      </c>
      <c r="E1134" s="476">
        <v>1745713</v>
      </c>
      <c r="F1134" s="484">
        <v>-2.2547374276773547E-2</v>
      </c>
      <c r="G1134" s="467"/>
    </row>
    <row r="1135" spans="2:7" x14ac:dyDescent="0.25">
      <c r="B1135" s="470" t="s">
        <v>433</v>
      </c>
      <c r="C1135" s="474">
        <v>43875</v>
      </c>
      <c r="D1135" s="471">
        <v>17820</v>
      </c>
      <c r="E1135" s="476">
        <v>678261</v>
      </c>
      <c r="F1135" s="484">
        <v>-4.0322635279384511E-3</v>
      </c>
      <c r="G1135" s="467"/>
    </row>
    <row r="1136" spans="2:7" x14ac:dyDescent="0.25">
      <c r="B1136" s="470" t="s">
        <v>433</v>
      </c>
      <c r="C1136" s="474">
        <v>43878</v>
      </c>
      <c r="D1136" s="471">
        <v>17723</v>
      </c>
      <c r="E1136" s="476">
        <v>766854</v>
      </c>
      <c r="F1136" s="484">
        <v>-5.4581909696606156E-3</v>
      </c>
      <c r="G1136" s="467"/>
    </row>
    <row r="1137" spans="2:7" x14ac:dyDescent="0.25">
      <c r="B1137" s="470" t="s">
        <v>433</v>
      </c>
      <c r="C1137" s="474">
        <v>43879</v>
      </c>
      <c r="D1137" s="471">
        <v>17599</v>
      </c>
      <c r="E1137" s="476">
        <v>734400</v>
      </c>
      <c r="F1137" s="484">
        <v>-7.0211488249287499E-3</v>
      </c>
      <c r="G1137" s="467"/>
    </row>
    <row r="1138" spans="2:7" x14ac:dyDescent="0.25">
      <c r="B1138" s="470" t="s">
        <v>433</v>
      </c>
      <c r="C1138" s="474">
        <v>43880</v>
      </c>
      <c r="D1138" s="471">
        <v>17649</v>
      </c>
      <c r="E1138" s="476">
        <v>1826779</v>
      </c>
      <c r="F1138" s="484">
        <v>2.8370423023546206E-3</v>
      </c>
      <c r="G1138" s="467"/>
    </row>
    <row r="1139" spans="2:7" x14ac:dyDescent="0.25">
      <c r="B1139" s="470" t="s">
        <v>433</v>
      </c>
      <c r="C1139" s="474">
        <v>43881</v>
      </c>
      <c r="D1139" s="471">
        <v>17300</v>
      </c>
      <c r="E1139" s="476">
        <v>898595</v>
      </c>
      <c r="F1139" s="484">
        <v>-1.9972623046695347E-2</v>
      </c>
      <c r="G1139" s="467"/>
    </row>
    <row r="1140" spans="2:7" x14ac:dyDescent="0.25">
      <c r="B1140" s="470" t="s">
        <v>433</v>
      </c>
      <c r="C1140" s="474">
        <v>43882</v>
      </c>
      <c r="D1140" s="471">
        <v>17240</v>
      </c>
      <c r="E1140" s="476">
        <v>647326</v>
      </c>
      <c r="F1140" s="484">
        <v>-3.4742362681862782E-3</v>
      </c>
      <c r="G1140" s="467"/>
    </row>
    <row r="1141" spans="2:7" x14ac:dyDescent="0.25">
      <c r="B1141" s="470" t="s">
        <v>433</v>
      </c>
      <c r="C1141" s="474">
        <v>43885</v>
      </c>
      <c r="D1141" s="471">
        <v>16750</v>
      </c>
      <c r="E1141" s="476">
        <v>623217</v>
      </c>
      <c r="F1141" s="484">
        <v>-2.8834006964471585E-2</v>
      </c>
      <c r="G1141" s="467"/>
    </row>
    <row r="1142" spans="2:7" x14ac:dyDescent="0.25">
      <c r="B1142" s="470" t="s">
        <v>433</v>
      </c>
      <c r="C1142" s="474">
        <v>43886</v>
      </c>
      <c r="D1142" s="471">
        <v>16648</v>
      </c>
      <c r="E1142" s="476">
        <v>743444</v>
      </c>
      <c r="F1142" s="484">
        <v>-6.1081691797420868E-3</v>
      </c>
      <c r="G1142" s="467"/>
    </row>
    <row r="1143" spans="2:7" x14ac:dyDescent="0.25">
      <c r="B1143" s="470" t="s">
        <v>433</v>
      </c>
      <c r="C1143" s="474">
        <v>43887</v>
      </c>
      <c r="D1143" s="471">
        <v>17450</v>
      </c>
      <c r="E1143" s="476">
        <v>1146900</v>
      </c>
      <c r="F1143" s="484">
        <v>4.7049559557102827E-2</v>
      </c>
      <c r="G1143" s="467"/>
    </row>
    <row r="1144" spans="2:7" x14ac:dyDescent="0.25">
      <c r="B1144" s="470" t="s">
        <v>433</v>
      </c>
      <c r="C1144" s="474">
        <v>43888</v>
      </c>
      <c r="D1144" s="471">
        <v>16336</v>
      </c>
      <c r="E1144" s="476">
        <v>1043165</v>
      </c>
      <c r="F1144" s="484">
        <v>-6.5968387226126371E-2</v>
      </c>
      <c r="G1144" s="467"/>
    </row>
    <row r="1145" spans="2:7" x14ac:dyDescent="0.25">
      <c r="B1145" s="470" t="s">
        <v>433</v>
      </c>
      <c r="C1145" s="474">
        <v>43889</v>
      </c>
      <c r="D1145" s="471">
        <v>16400</v>
      </c>
      <c r="E1145" s="476">
        <v>2295550</v>
      </c>
      <c r="F1145" s="484">
        <v>3.9100734078430397E-3</v>
      </c>
      <c r="G1145" s="467"/>
    </row>
    <row r="1146" spans="2:7" x14ac:dyDescent="0.25">
      <c r="B1146" s="470" t="s">
        <v>433</v>
      </c>
      <c r="C1146" s="474">
        <v>43892</v>
      </c>
      <c r="D1146" s="471">
        <v>16515</v>
      </c>
      <c r="E1146" s="476">
        <v>798132</v>
      </c>
      <c r="F1146" s="484">
        <v>6.9877240126003E-3</v>
      </c>
      <c r="G1146" s="467"/>
    </row>
    <row r="1147" spans="2:7" x14ac:dyDescent="0.25">
      <c r="B1147" s="470" t="s">
        <v>433</v>
      </c>
      <c r="C1147" s="474">
        <v>43893</v>
      </c>
      <c r="D1147" s="471">
        <v>16897</v>
      </c>
      <c r="E1147" s="476">
        <v>2260292</v>
      </c>
      <c r="F1147" s="484">
        <v>2.2867032535759765E-2</v>
      </c>
      <c r="G1147" s="467"/>
    </row>
    <row r="1148" spans="2:7" x14ac:dyDescent="0.25">
      <c r="B1148" s="470" t="s">
        <v>433</v>
      </c>
      <c r="C1148" s="474">
        <v>43894</v>
      </c>
      <c r="D1148" s="471">
        <v>16975</v>
      </c>
      <c r="E1148" s="476">
        <v>1969433</v>
      </c>
      <c r="F1148" s="484">
        <v>4.6055820662471098E-3</v>
      </c>
      <c r="G1148" s="467"/>
    </row>
    <row r="1149" spans="2:7" x14ac:dyDescent="0.25">
      <c r="B1149" s="470" t="s">
        <v>433</v>
      </c>
      <c r="C1149" s="474">
        <v>43895</v>
      </c>
      <c r="D1149" s="471">
        <v>17157</v>
      </c>
      <c r="E1149" s="476">
        <v>1135832</v>
      </c>
      <c r="F1149" s="484">
        <v>1.0664580156529054E-2</v>
      </c>
      <c r="G1149" s="467"/>
    </row>
    <row r="1150" spans="2:7" x14ac:dyDescent="0.25">
      <c r="B1150" s="470" t="s">
        <v>433</v>
      </c>
      <c r="C1150" s="474">
        <v>43896</v>
      </c>
      <c r="D1150" s="471">
        <v>16998</v>
      </c>
      <c r="E1150" s="476">
        <v>1029519</v>
      </c>
      <c r="F1150" s="484">
        <v>-9.3105635248542946E-3</v>
      </c>
      <c r="G1150" s="467"/>
    </row>
    <row r="1151" spans="2:7" x14ac:dyDescent="0.25">
      <c r="B1151" s="470" t="s">
        <v>433</v>
      </c>
      <c r="C1151" s="474">
        <v>43899</v>
      </c>
      <c r="D1151" s="471">
        <v>17000</v>
      </c>
      <c r="E1151" s="476">
        <v>1249250</v>
      </c>
      <c r="F1151" s="484">
        <v>1.1765397978158856E-4</v>
      </c>
      <c r="G1151" s="467"/>
    </row>
    <row r="1152" spans="2:7" x14ac:dyDescent="0.25">
      <c r="B1152" s="470" t="s">
        <v>433</v>
      </c>
      <c r="C1152" s="474">
        <v>43900</v>
      </c>
      <c r="D1152" s="471">
        <v>17032</v>
      </c>
      <c r="E1152" s="476">
        <v>845478</v>
      </c>
      <c r="F1152" s="484">
        <v>1.8805835349622422E-3</v>
      </c>
      <c r="G1152" s="467"/>
    </row>
    <row r="1153" spans="2:7" x14ac:dyDescent="0.25">
      <c r="B1153" s="470" t="s">
        <v>433</v>
      </c>
      <c r="C1153" s="474">
        <v>43901</v>
      </c>
      <c r="D1153" s="471">
        <v>17107</v>
      </c>
      <c r="E1153" s="476">
        <v>1120914</v>
      </c>
      <c r="F1153" s="484">
        <v>4.3938088789765217E-3</v>
      </c>
      <c r="G1153" s="467"/>
    </row>
    <row r="1154" spans="2:7" x14ac:dyDescent="0.25">
      <c r="B1154" s="470" t="s">
        <v>433</v>
      </c>
      <c r="C1154" s="474">
        <v>43902</v>
      </c>
      <c r="D1154" s="471">
        <v>16012</v>
      </c>
      <c r="E1154" s="476">
        <v>1712186</v>
      </c>
      <c r="F1154" s="484">
        <v>-6.6149295339827663E-2</v>
      </c>
      <c r="G1154" s="467"/>
    </row>
    <row r="1155" spans="2:7" x14ac:dyDescent="0.25">
      <c r="B1155" s="470" t="s">
        <v>433</v>
      </c>
      <c r="C1155" s="474">
        <v>43903</v>
      </c>
      <c r="D1155" s="471">
        <v>15562</v>
      </c>
      <c r="E1155" s="476">
        <v>1623750</v>
      </c>
      <c r="F1155" s="484">
        <v>-2.8506395935588767E-2</v>
      </c>
      <c r="G1155" s="467"/>
    </row>
    <row r="1156" spans="2:7" x14ac:dyDescent="0.25">
      <c r="B1156" s="470" t="s">
        <v>433</v>
      </c>
      <c r="C1156" s="474">
        <v>43906</v>
      </c>
      <c r="D1156" s="471">
        <v>15712</v>
      </c>
      <c r="E1156" s="476">
        <v>2820605</v>
      </c>
      <c r="F1156" s="484">
        <v>9.5927064173716766E-3</v>
      </c>
      <c r="G1156" s="467"/>
    </row>
    <row r="1157" spans="2:7" x14ac:dyDescent="0.25">
      <c r="B1157" s="470" t="s">
        <v>433</v>
      </c>
      <c r="C1157" s="474">
        <v>43907</v>
      </c>
      <c r="D1157" s="471">
        <v>17493</v>
      </c>
      <c r="E1157" s="476">
        <v>2475860</v>
      </c>
      <c r="F1157" s="484">
        <v>0.10737604929601853</v>
      </c>
      <c r="G1157" s="467"/>
    </row>
    <row r="1158" spans="2:7" x14ac:dyDescent="0.25">
      <c r="B1158" s="470" t="s">
        <v>433</v>
      </c>
      <c r="C1158" s="474">
        <v>43908</v>
      </c>
      <c r="D1158" s="471">
        <v>16776</v>
      </c>
      <c r="E1158" s="476">
        <v>1957471</v>
      </c>
      <c r="F1158" s="484">
        <v>-4.1851507308509797E-2</v>
      </c>
      <c r="G1158" s="467"/>
    </row>
    <row r="1159" spans="2:7" x14ac:dyDescent="0.25">
      <c r="B1159" s="470" t="s">
        <v>433</v>
      </c>
      <c r="C1159" s="474">
        <v>43909</v>
      </c>
      <c r="D1159" s="471">
        <v>17963</v>
      </c>
      <c r="E1159" s="476">
        <v>2932646</v>
      </c>
      <c r="F1159" s="484">
        <v>6.8364793187079817E-2</v>
      </c>
      <c r="G1159" s="467"/>
    </row>
    <row r="1160" spans="2:7" x14ac:dyDescent="0.25">
      <c r="B1160" s="470" t="s">
        <v>433</v>
      </c>
      <c r="C1160" s="474">
        <v>43910</v>
      </c>
      <c r="D1160" s="471">
        <v>18050</v>
      </c>
      <c r="E1160" s="476">
        <v>3604249</v>
      </c>
      <c r="F1160" s="484">
        <v>4.8315979921913195E-3</v>
      </c>
      <c r="G1160" s="467"/>
    </row>
    <row r="1161" spans="2:7" x14ac:dyDescent="0.25">
      <c r="B1161" s="470" t="s">
        <v>433</v>
      </c>
      <c r="C1161" s="474">
        <v>43913</v>
      </c>
      <c r="D1161" s="471">
        <v>17735</v>
      </c>
      <c r="E1161" s="476">
        <v>1818299</v>
      </c>
      <c r="F1161" s="484">
        <v>-1.760559655330474E-2</v>
      </c>
      <c r="G1161" s="467"/>
    </row>
    <row r="1162" spans="2:7" x14ac:dyDescent="0.25">
      <c r="B1162" s="470" t="s">
        <v>433</v>
      </c>
      <c r="C1162" s="474">
        <v>43914</v>
      </c>
      <c r="D1162" s="471">
        <v>17283</v>
      </c>
      <c r="E1162" s="476">
        <v>2035197</v>
      </c>
      <c r="F1162" s="484">
        <v>-2.581672880722936E-2</v>
      </c>
      <c r="G1162" s="467"/>
    </row>
    <row r="1163" spans="2:7" x14ac:dyDescent="0.25">
      <c r="B1163" s="470" t="s">
        <v>433</v>
      </c>
      <c r="C1163" s="474">
        <v>43915</v>
      </c>
      <c r="D1163" s="471">
        <v>17874</v>
      </c>
      <c r="E1163" s="476">
        <v>1426185</v>
      </c>
      <c r="F1163" s="484">
        <v>3.3623783540844561E-2</v>
      </c>
      <c r="G1163" s="467"/>
    </row>
    <row r="1164" spans="2:7" x14ac:dyDescent="0.25">
      <c r="B1164" s="470" t="s">
        <v>433</v>
      </c>
      <c r="C1164" s="474">
        <v>43916</v>
      </c>
      <c r="D1164" s="471">
        <v>18283</v>
      </c>
      <c r="E1164" s="476">
        <v>1461185</v>
      </c>
      <c r="F1164" s="484">
        <v>2.262452338716758E-2</v>
      </c>
      <c r="G1164" s="467"/>
    </row>
    <row r="1165" spans="2:7" x14ac:dyDescent="0.25">
      <c r="B1165" s="470" t="s">
        <v>433</v>
      </c>
      <c r="C1165" s="474">
        <v>43917</v>
      </c>
      <c r="D1165" s="471">
        <v>17902</v>
      </c>
      <c r="E1165" s="476">
        <v>1337889</v>
      </c>
      <c r="F1165" s="484">
        <v>-2.1059227897620662E-2</v>
      </c>
      <c r="G1165" s="467"/>
    </row>
    <row r="1166" spans="2:7" x14ac:dyDescent="0.25">
      <c r="B1166" s="470" t="s">
        <v>433</v>
      </c>
      <c r="C1166" s="474">
        <v>43920</v>
      </c>
      <c r="D1166" s="471">
        <v>17810</v>
      </c>
      <c r="E1166" s="476">
        <v>1078518</v>
      </c>
      <c r="F1166" s="484">
        <v>-5.152341147176949E-3</v>
      </c>
      <c r="G1166" s="467"/>
    </row>
    <row r="1167" spans="2:7" x14ac:dyDescent="0.25">
      <c r="B1167" s="470" t="s">
        <v>433</v>
      </c>
      <c r="C1167" s="474">
        <v>43921</v>
      </c>
      <c r="D1167" s="471">
        <v>18175</v>
      </c>
      <c r="E1167" s="476">
        <v>1062598</v>
      </c>
      <c r="F1167" s="484">
        <v>2.0286926118012819E-2</v>
      </c>
      <c r="G1167" s="467"/>
    </row>
    <row r="1168" spans="2:7" x14ac:dyDescent="0.25">
      <c r="B1168" s="470" t="s">
        <v>433</v>
      </c>
      <c r="C1168" s="474">
        <v>43922</v>
      </c>
      <c r="D1168" s="471">
        <v>18353</v>
      </c>
      <c r="E1168" s="476">
        <v>952933</v>
      </c>
      <c r="F1168" s="484">
        <v>9.7460254567518986E-3</v>
      </c>
      <c r="G1168" s="467"/>
    </row>
    <row r="1169" spans="2:7" x14ac:dyDescent="0.25">
      <c r="B1169" s="470" t="s">
        <v>433</v>
      </c>
      <c r="C1169" s="474">
        <v>43923</v>
      </c>
      <c r="D1169" s="471">
        <v>17960</v>
      </c>
      <c r="E1169" s="476">
        <v>1067266</v>
      </c>
      <c r="F1169" s="484">
        <v>-2.1645986002281393E-2</v>
      </c>
      <c r="G1169" s="467"/>
    </row>
    <row r="1170" spans="2:7" x14ac:dyDescent="0.25">
      <c r="B1170" s="470" t="s">
        <v>433</v>
      </c>
      <c r="C1170" s="474">
        <v>43924</v>
      </c>
      <c r="D1170" s="471">
        <v>18125</v>
      </c>
      <c r="E1170" s="476">
        <v>784018</v>
      </c>
      <c r="F1170" s="484">
        <v>9.145137866684987E-3</v>
      </c>
      <c r="G1170" s="467"/>
    </row>
    <row r="1171" spans="2:7" x14ac:dyDescent="0.25">
      <c r="B1171" s="470" t="s">
        <v>433</v>
      </c>
      <c r="C1171" s="474">
        <v>43927</v>
      </c>
      <c r="D1171" s="471">
        <v>18289</v>
      </c>
      <c r="E1171" s="476">
        <v>685405</v>
      </c>
      <c r="F1171" s="484">
        <v>9.0075854817001366E-3</v>
      </c>
      <c r="G1171" s="467"/>
    </row>
    <row r="1172" spans="2:7" x14ac:dyDescent="0.25">
      <c r="B1172" s="470" t="s">
        <v>433</v>
      </c>
      <c r="C1172" s="474">
        <v>43928</v>
      </c>
      <c r="D1172" s="471">
        <v>17077</v>
      </c>
      <c r="E1172" s="476">
        <v>1144255</v>
      </c>
      <c r="F1172" s="484">
        <v>-6.8567257317336747E-2</v>
      </c>
      <c r="G1172" s="467"/>
    </row>
    <row r="1173" spans="2:7" x14ac:dyDescent="0.25">
      <c r="B1173" s="470" t="s">
        <v>433</v>
      </c>
      <c r="C1173" s="474">
        <v>43929</v>
      </c>
      <c r="D1173" s="471">
        <v>17028</v>
      </c>
      <c r="E1173" s="476">
        <v>989750</v>
      </c>
      <c r="F1173" s="484">
        <v>-2.8734809391960932E-3</v>
      </c>
      <c r="G1173" s="467"/>
    </row>
    <row r="1174" spans="2:7" x14ac:dyDescent="0.25">
      <c r="B1174" s="470" t="s">
        <v>433</v>
      </c>
      <c r="C1174" s="474">
        <v>43930</v>
      </c>
      <c r="D1174" s="471">
        <v>18078</v>
      </c>
      <c r="E1174" s="476">
        <v>1371953</v>
      </c>
      <c r="F1174" s="484">
        <v>5.9836681410313335E-2</v>
      </c>
      <c r="G1174" s="467"/>
    </row>
    <row r="1175" spans="2:7" x14ac:dyDescent="0.25">
      <c r="B1175" s="470" t="s">
        <v>433</v>
      </c>
      <c r="C1175" s="474">
        <v>43935</v>
      </c>
      <c r="D1175" s="471">
        <v>18162</v>
      </c>
      <c r="E1175" s="476">
        <v>936298</v>
      </c>
      <c r="F1175" s="484">
        <v>4.6357698914174014E-3</v>
      </c>
      <c r="G1175" s="467"/>
    </row>
    <row r="1176" spans="2:7" x14ac:dyDescent="0.25">
      <c r="B1176" s="470" t="s">
        <v>433</v>
      </c>
      <c r="C1176" s="474">
        <v>43936</v>
      </c>
      <c r="D1176" s="471">
        <v>18264</v>
      </c>
      <c r="E1176" s="476">
        <v>1204217</v>
      </c>
      <c r="F1176" s="484">
        <v>5.6004099598578874E-3</v>
      </c>
      <c r="G1176" s="467"/>
    </row>
    <row r="1177" spans="2:7" x14ac:dyDescent="0.25">
      <c r="B1177" s="470" t="s">
        <v>433</v>
      </c>
      <c r="C1177" s="474">
        <v>43937</v>
      </c>
      <c r="D1177" s="471">
        <v>18205</v>
      </c>
      <c r="E1177" s="476">
        <v>1375762</v>
      </c>
      <c r="F1177" s="484">
        <v>-3.2356276000976287E-3</v>
      </c>
      <c r="G1177" s="467"/>
    </row>
    <row r="1178" spans="2:7" x14ac:dyDescent="0.25">
      <c r="B1178" s="470" t="s">
        <v>433</v>
      </c>
      <c r="C1178" s="474">
        <v>43938</v>
      </c>
      <c r="D1178" s="471">
        <v>18496</v>
      </c>
      <c r="E1178" s="476">
        <v>666247</v>
      </c>
      <c r="F1178" s="484">
        <v>1.5858210862570252E-2</v>
      </c>
      <c r="G1178" s="467"/>
    </row>
    <row r="1179" spans="2:7" x14ac:dyDescent="0.25">
      <c r="B1179" s="470" t="s">
        <v>433</v>
      </c>
      <c r="C1179" s="474">
        <v>43941</v>
      </c>
      <c r="D1179" s="471">
        <v>18454</v>
      </c>
      <c r="E1179" s="476">
        <v>490569</v>
      </c>
      <c r="F1179" s="484">
        <v>-2.2733433336028482E-3</v>
      </c>
      <c r="G1179" s="467"/>
    </row>
    <row r="1180" spans="2:7" x14ac:dyDescent="0.25">
      <c r="B1180" s="470" t="s">
        <v>433</v>
      </c>
      <c r="C1180" s="474">
        <v>43942</v>
      </c>
      <c r="D1180" s="471">
        <v>18002</v>
      </c>
      <c r="E1180" s="476">
        <v>960175</v>
      </c>
      <c r="F1180" s="484">
        <v>-2.479828632147054E-2</v>
      </c>
      <c r="G1180" s="467"/>
    </row>
    <row r="1181" spans="2:7" x14ac:dyDescent="0.25">
      <c r="B1181" s="470" t="s">
        <v>433</v>
      </c>
      <c r="C1181" s="474">
        <v>43943</v>
      </c>
      <c r="D1181" s="471">
        <v>18452</v>
      </c>
      <c r="E1181" s="476">
        <v>1309754</v>
      </c>
      <c r="F1181" s="484">
        <v>2.4689902860680599E-2</v>
      </c>
      <c r="G1181" s="467"/>
    </row>
    <row r="1182" spans="2:7" x14ac:dyDescent="0.25">
      <c r="B1182" s="470" t="s">
        <v>433</v>
      </c>
      <c r="C1182" s="474">
        <v>43944</v>
      </c>
      <c r="D1182" s="471">
        <v>18871</v>
      </c>
      <c r="E1182" s="476">
        <v>1331096</v>
      </c>
      <c r="F1182" s="484">
        <v>2.2453586451384486E-2</v>
      </c>
      <c r="G1182" s="467"/>
    </row>
    <row r="1183" spans="2:7" x14ac:dyDescent="0.25">
      <c r="B1183" s="470" t="s">
        <v>433</v>
      </c>
      <c r="C1183" s="474">
        <v>43945</v>
      </c>
      <c r="D1183" s="471">
        <v>18950</v>
      </c>
      <c r="E1183" s="476">
        <v>1565002</v>
      </c>
      <c r="F1183" s="484">
        <v>4.1775793814768231E-3</v>
      </c>
      <c r="G1183" s="467"/>
    </row>
    <row r="1184" spans="2:7" x14ac:dyDescent="0.25">
      <c r="B1184" s="470" t="s">
        <v>433</v>
      </c>
      <c r="C1184" s="474">
        <v>43949</v>
      </c>
      <c r="D1184" s="471">
        <v>18628</v>
      </c>
      <c r="E1184" s="476">
        <v>1137941</v>
      </c>
      <c r="F1184" s="484">
        <v>-1.7138106408304613E-2</v>
      </c>
      <c r="G1184" s="467"/>
    </row>
    <row r="1185" spans="2:7" x14ac:dyDescent="0.25">
      <c r="B1185" s="470" t="s">
        <v>433</v>
      </c>
      <c r="C1185" s="474">
        <v>43950</v>
      </c>
      <c r="D1185" s="471">
        <v>18169</v>
      </c>
      <c r="E1185" s="476">
        <v>1150222</v>
      </c>
      <c r="F1185" s="484">
        <v>-2.494897999982729E-2</v>
      </c>
      <c r="G1185" s="467"/>
    </row>
    <row r="1186" spans="2:7" x14ac:dyDescent="0.25">
      <c r="B1186" s="470" t="s">
        <v>433</v>
      </c>
      <c r="C1186" s="474">
        <v>43951</v>
      </c>
      <c r="D1186" s="471">
        <v>17688</v>
      </c>
      <c r="E1186" s="476">
        <v>1264895</v>
      </c>
      <c r="F1186" s="484">
        <v>-2.6830401565158299E-2</v>
      </c>
      <c r="G1186" s="467"/>
    </row>
    <row r="1187" spans="2:7" x14ac:dyDescent="0.25">
      <c r="B1187" s="470" t="s">
        <v>433</v>
      </c>
      <c r="C1187" s="474">
        <v>43955</v>
      </c>
      <c r="D1187" s="471">
        <v>17540</v>
      </c>
      <c r="E1187" s="476">
        <v>1205312</v>
      </c>
      <c r="F1187" s="484">
        <v>-8.4024566111082066E-3</v>
      </c>
      <c r="G1187" s="467"/>
    </row>
    <row r="1188" spans="2:7" x14ac:dyDescent="0.25">
      <c r="B1188" s="470" t="s">
        <v>433</v>
      </c>
      <c r="C1188" s="474">
        <v>43956</v>
      </c>
      <c r="D1188" s="471">
        <v>18084</v>
      </c>
      <c r="E1188" s="476">
        <v>793553</v>
      </c>
      <c r="F1188" s="484">
        <v>3.0543582488321668E-2</v>
      </c>
      <c r="G1188" s="467"/>
    </row>
    <row r="1189" spans="2:7" x14ac:dyDescent="0.25">
      <c r="B1189" s="470" t="s">
        <v>433</v>
      </c>
      <c r="C1189" s="474">
        <v>43957</v>
      </c>
      <c r="D1189" s="471">
        <v>18404</v>
      </c>
      <c r="E1189" s="476">
        <v>714786</v>
      </c>
      <c r="F1189" s="484">
        <v>1.7540462860863366E-2</v>
      </c>
      <c r="G1189" s="467"/>
    </row>
    <row r="1190" spans="2:7" x14ac:dyDescent="0.25">
      <c r="B1190" s="470" t="s">
        <v>433</v>
      </c>
      <c r="C1190" s="474">
        <v>43958</v>
      </c>
      <c r="D1190" s="471">
        <v>18200</v>
      </c>
      <c r="E1190" s="476">
        <v>455959</v>
      </c>
      <c r="F1190" s="484">
        <v>-1.1146438210472545E-2</v>
      </c>
      <c r="G1190" s="467"/>
    </row>
    <row r="1191" spans="2:7" x14ac:dyDescent="0.25">
      <c r="B1191" s="470" t="s">
        <v>433</v>
      </c>
      <c r="C1191" s="474">
        <v>43959</v>
      </c>
      <c r="D1191" s="471">
        <v>18535</v>
      </c>
      <c r="E1191" s="476">
        <v>913195</v>
      </c>
      <c r="F1191" s="484">
        <v>1.823924251994586E-2</v>
      </c>
      <c r="G1191" s="467"/>
    </row>
    <row r="1192" spans="2:7" x14ac:dyDescent="0.25">
      <c r="B1192" s="470" t="s">
        <v>433</v>
      </c>
      <c r="C1192" s="474">
        <v>43962</v>
      </c>
      <c r="D1192" s="471">
        <v>18483</v>
      </c>
      <c r="E1192" s="476">
        <v>366940</v>
      </c>
      <c r="F1192" s="484">
        <v>-2.8094459021522824E-3</v>
      </c>
      <c r="G1192" s="467"/>
    </row>
    <row r="1193" spans="2:7" x14ac:dyDescent="0.25">
      <c r="B1193" s="470" t="s">
        <v>433</v>
      </c>
      <c r="C1193" s="474">
        <v>43963</v>
      </c>
      <c r="D1193" s="471">
        <v>17515</v>
      </c>
      <c r="E1193" s="476">
        <v>1721135</v>
      </c>
      <c r="F1193" s="484">
        <v>-5.379373405109323E-2</v>
      </c>
      <c r="G1193" s="467"/>
    </row>
    <row r="1194" spans="2:7" x14ac:dyDescent="0.25">
      <c r="B1194" s="470" t="s">
        <v>433</v>
      </c>
      <c r="C1194" s="474">
        <v>43964</v>
      </c>
      <c r="D1194" s="471">
        <v>17505</v>
      </c>
      <c r="E1194" s="476">
        <v>768206</v>
      </c>
      <c r="F1194" s="484">
        <v>-5.7110224282115412E-4</v>
      </c>
      <c r="G1194" s="467"/>
    </row>
    <row r="1195" spans="2:7" x14ac:dyDescent="0.25">
      <c r="B1195" s="470" t="s">
        <v>433</v>
      </c>
      <c r="C1195" s="474">
        <v>43965</v>
      </c>
      <c r="D1195" s="471">
        <v>16830</v>
      </c>
      <c r="E1195" s="476">
        <v>953051</v>
      </c>
      <c r="F1195" s="484">
        <v>-3.9323546203914407E-2</v>
      </c>
      <c r="G1195" s="467"/>
    </row>
    <row r="1196" spans="2:7" x14ac:dyDescent="0.25">
      <c r="B1196" s="470" t="s">
        <v>433</v>
      </c>
      <c r="C1196" s="474">
        <v>43966</v>
      </c>
      <c r="D1196" s="471">
        <v>16400</v>
      </c>
      <c r="E1196" s="476">
        <v>2003944</v>
      </c>
      <c r="F1196" s="484">
        <v>-2.5881673372561941E-2</v>
      </c>
      <c r="G1196" s="467"/>
    </row>
    <row r="1197" spans="2:7" x14ac:dyDescent="0.25">
      <c r="B1197" s="470" t="s">
        <v>433</v>
      </c>
      <c r="C1197" s="474">
        <v>43969</v>
      </c>
      <c r="D1197" s="471">
        <v>16300</v>
      </c>
      <c r="E1197" s="476">
        <v>938546</v>
      </c>
      <c r="F1197" s="484">
        <v>-6.1162270174360944E-3</v>
      </c>
      <c r="G1197" s="467"/>
    </row>
    <row r="1198" spans="2:7" x14ac:dyDescent="0.25">
      <c r="B1198" s="470" t="s">
        <v>433</v>
      </c>
      <c r="C1198" s="474">
        <v>43970</v>
      </c>
      <c r="D1198" s="471">
        <v>16727</v>
      </c>
      <c r="E1198" s="476">
        <v>838609</v>
      </c>
      <c r="F1198" s="484">
        <v>2.5859072517155017E-2</v>
      </c>
      <c r="G1198" s="467"/>
    </row>
    <row r="1199" spans="2:7" x14ac:dyDescent="0.25">
      <c r="B1199" s="470" t="s">
        <v>433</v>
      </c>
      <c r="C1199" s="474">
        <v>43971</v>
      </c>
      <c r="D1199" s="471">
        <v>16826</v>
      </c>
      <c r="E1199" s="476">
        <v>701791</v>
      </c>
      <c r="F1199" s="484">
        <v>5.9011287987501748E-3</v>
      </c>
      <c r="G1199" s="467"/>
    </row>
    <row r="1200" spans="2:7" x14ac:dyDescent="0.25">
      <c r="B1200" s="470" t="s">
        <v>433</v>
      </c>
      <c r="C1200" s="474">
        <v>43972</v>
      </c>
      <c r="D1200" s="471">
        <v>17890</v>
      </c>
      <c r="E1200" s="476">
        <v>1454623</v>
      </c>
      <c r="F1200" s="484">
        <v>6.1316588392005857E-2</v>
      </c>
      <c r="G1200" s="467"/>
    </row>
    <row r="1201" spans="2:7" x14ac:dyDescent="0.25">
      <c r="B1201" s="470" t="s">
        <v>433</v>
      </c>
      <c r="C1201" s="474">
        <v>43973</v>
      </c>
      <c r="D1201" s="471">
        <v>17910</v>
      </c>
      <c r="E1201" s="476">
        <v>897896</v>
      </c>
      <c r="F1201" s="484">
        <v>1.1173185519925981E-3</v>
      </c>
      <c r="G1201" s="467"/>
    </row>
    <row r="1202" spans="2:7" x14ac:dyDescent="0.25">
      <c r="B1202" s="470" t="s">
        <v>433</v>
      </c>
      <c r="C1202" s="474">
        <v>43976</v>
      </c>
      <c r="D1202" s="471">
        <v>17548</v>
      </c>
      <c r="E1202" s="476">
        <v>577440</v>
      </c>
      <c r="F1202" s="484">
        <v>-2.0419232768652845E-2</v>
      </c>
      <c r="G1202" s="467"/>
    </row>
    <row r="1203" spans="2:7" x14ac:dyDescent="0.25">
      <c r="B1203" s="470" t="s">
        <v>433</v>
      </c>
      <c r="C1203" s="474">
        <v>43977</v>
      </c>
      <c r="D1203" s="471">
        <v>17813</v>
      </c>
      <c r="E1203" s="476">
        <v>718788</v>
      </c>
      <c r="F1203" s="484">
        <v>1.4988544506380248E-2</v>
      </c>
      <c r="G1203" s="467"/>
    </row>
    <row r="1204" spans="2:7" x14ac:dyDescent="0.25">
      <c r="B1204" s="470" t="s">
        <v>433</v>
      </c>
      <c r="C1204" s="474">
        <v>43978</v>
      </c>
      <c r="D1204" s="471">
        <v>17598</v>
      </c>
      <c r="E1204" s="476">
        <v>530780</v>
      </c>
      <c r="F1204" s="484">
        <v>-1.2143268586978864E-2</v>
      </c>
      <c r="G1204" s="467"/>
    </row>
    <row r="1205" spans="2:7" x14ac:dyDescent="0.25">
      <c r="B1205" s="470" t="s">
        <v>433</v>
      </c>
      <c r="C1205" s="474">
        <v>43979</v>
      </c>
      <c r="D1205" s="471">
        <v>17443</v>
      </c>
      <c r="E1205" s="476">
        <v>650958</v>
      </c>
      <c r="F1205" s="484">
        <v>-8.8468371873712051E-3</v>
      </c>
      <c r="G1205" s="467"/>
    </row>
    <row r="1206" spans="2:7" x14ac:dyDescent="0.25">
      <c r="B1206" s="470" t="s">
        <v>433</v>
      </c>
      <c r="C1206" s="474">
        <v>43980</v>
      </c>
      <c r="D1206" s="471">
        <v>17519</v>
      </c>
      <c r="E1206" s="476">
        <v>2431593</v>
      </c>
      <c r="F1206" s="484">
        <v>4.3475842176870817E-3</v>
      </c>
      <c r="G1206" s="467"/>
    </row>
    <row r="1207" spans="2:7" x14ac:dyDescent="0.25">
      <c r="B1207" s="470" t="s">
        <v>433</v>
      </c>
      <c r="C1207" s="474">
        <v>43983</v>
      </c>
      <c r="D1207" s="471">
        <v>17633</v>
      </c>
      <c r="E1207" s="476">
        <v>516398</v>
      </c>
      <c r="F1207" s="484">
        <v>6.4861401721014672E-3</v>
      </c>
      <c r="G1207" s="467"/>
    </row>
    <row r="1208" spans="2:7" x14ac:dyDescent="0.25">
      <c r="B1208" s="470" t="s">
        <v>433</v>
      </c>
      <c r="C1208" s="474">
        <v>43984</v>
      </c>
      <c r="D1208" s="471">
        <v>17978</v>
      </c>
      <c r="E1208" s="476">
        <v>971019</v>
      </c>
      <c r="F1208" s="484">
        <v>1.9376641725421181E-2</v>
      </c>
      <c r="G1208" s="467"/>
    </row>
    <row r="1209" spans="2:7" x14ac:dyDescent="0.25">
      <c r="B1209" s="470" t="s">
        <v>433</v>
      </c>
      <c r="C1209" s="474">
        <v>43985</v>
      </c>
      <c r="D1209" s="471">
        <v>18648</v>
      </c>
      <c r="E1209" s="476">
        <v>753488</v>
      </c>
      <c r="F1209" s="484">
        <v>3.6590113582248521E-2</v>
      </c>
      <c r="G1209" s="467"/>
    </row>
    <row r="1210" spans="2:7" x14ac:dyDescent="0.25">
      <c r="B1210" s="470" t="s">
        <v>433</v>
      </c>
      <c r="C1210" s="474">
        <v>43986</v>
      </c>
      <c r="D1210" s="471">
        <v>18558</v>
      </c>
      <c r="E1210" s="476">
        <v>868893</v>
      </c>
      <c r="F1210" s="484">
        <v>-4.8379388024684892E-3</v>
      </c>
      <c r="G1210" s="467"/>
    </row>
    <row r="1211" spans="2:7" x14ac:dyDescent="0.25">
      <c r="B1211" s="470" t="s">
        <v>433</v>
      </c>
      <c r="C1211" s="474">
        <v>43987</v>
      </c>
      <c r="D1211" s="471">
        <v>18929</v>
      </c>
      <c r="E1211" s="476">
        <v>911879</v>
      </c>
      <c r="F1211" s="484">
        <v>1.9794174693094857E-2</v>
      </c>
      <c r="G1211" s="467"/>
    </row>
    <row r="1212" spans="2:7" x14ac:dyDescent="0.25">
      <c r="B1212" s="470" t="s">
        <v>433</v>
      </c>
      <c r="C1212" s="474">
        <v>43990</v>
      </c>
      <c r="D1212" s="471">
        <v>18688</v>
      </c>
      <c r="E1212" s="476">
        <v>941602</v>
      </c>
      <c r="F1212" s="484">
        <v>-1.2813530978265941E-2</v>
      </c>
      <c r="G1212" s="467"/>
    </row>
    <row r="1213" spans="2:7" x14ac:dyDescent="0.25">
      <c r="B1213" s="470" t="s">
        <v>433</v>
      </c>
      <c r="C1213" s="474">
        <v>43991</v>
      </c>
      <c r="D1213" s="471">
        <v>18689</v>
      </c>
      <c r="E1213" s="476">
        <v>1438542</v>
      </c>
      <c r="F1213" s="484">
        <v>5.3508842349072747E-5</v>
      </c>
      <c r="G1213" s="467"/>
    </row>
    <row r="1214" spans="2:7" x14ac:dyDescent="0.25">
      <c r="B1214" s="470" t="s">
        <v>433</v>
      </c>
      <c r="C1214" s="474">
        <v>43992</v>
      </c>
      <c r="D1214" s="471">
        <v>18363</v>
      </c>
      <c r="E1214" s="476">
        <v>589826</v>
      </c>
      <c r="F1214" s="484">
        <v>-1.7597344951123015E-2</v>
      </c>
      <c r="G1214" s="467"/>
    </row>
    <row r="1215" spans="2:7" x14ac:dyDescent="0.25">
      <c r="B1215" s="470" t="s">
        <v>433</v>
      </c>
      <c r="C1215" s="474">
        <v>43993</v>
      </c>
      <c r="D1215" s="471">
        <v>18008</v>
      </c>
      <c r="E1215" s="476">
        <v>878855</v>
      </c>
      <c r="F1215" s="484">
        <v>-1.9521666932611332E-2</v>
      </c>
      <c r="G1215" s="467"/>
    </row>
    <row r="1216" spans="2:7" x14ac:dyDescent="0.25">
      <c r="B1216" s="470" t="s">
        <v>433</v>
      </c>
      <c r="C1216" s="474">
        <v>43994</v>
      </c>
      <c r="D1216" s="471">
        <v>17762</v>
      </c>
      <c r="E1216" s="476">
        <v>731594</v>
      </c>
      <c r="F1216" s="484">
        <v>-1.3754759768118715E-2</v>
      </c>
      <c r="G1216" s="467"/>
    </row>
    <row r="1217" spans="2:7" x14ac:dyDescent="0.25">
      <c r="B1217" s="470" t="s">
        <v>433</v>
      </c>
      <c r="C1217" s="474">
        <v>43997</v>
      </c>
      <c r="D1217" s="471">
        <v>17120</v>
      </c>
      <c r="E1217" s="476">
        <v>928187</v>
      </c>
      <c r="F1217" s="484">
        <v>-3.6813973122716316E-2</v>
      </c>
      <c r="G1217" s="467"/>
    </row>
    <row r="1218" spans="2:7" x14ac:dyDescent="0.25">
      <c r="B1218" s="470" t="s">
        <v>433</v>
      </c>
      <c r="C1218" s="474">
        <v>43999</v>
      </c>
      <c r="D1218" s="471">
        <v>17500</v>
      </c>
      <c r="E1218" s="476">
        <v>1378003</v>
      </c>
      <c r="F1218" s="484">
        <v>2.1953510215872423E-2</v>
      </c>
      <c r="G1218" s="467"/>
    </row>
    <row r="1219" spans="2:7" x14ac:dyDescent="0.25">
      <c r="B1219" s="470" t="s">
        <v>433</v>
      </c>
      <c r="C1219" s="474">
        <v>44000</v>
      </c>
      <c r="D1219" s="471">
        <v>17343</v>
      </c>
      <c r="E1219" s="476">
        <v>1744373</v>
      </c>
      <c r="F1219" s="484">
        <v>-9.0119141610195963E-3</v>
      </c>
      <c r="G1219" s="467"/>
    </row>
    <row r="1220" spans="2:7" x14ac:dyDescent="0.25">
      <c r="B1220" s="470" t="s">
        <v>433</v>
      </c>
      <c r="C1220" s="474">
        <v>44001</v>
      </c>
      <c r="D1220" s="471">
        <v>17558</v>
      </c>
      <c r="E1220" s="476">
        <v>1919770</v>
      </c>
      <c r="F1220" s="484">
        <v>1.2320719735568277E-2</v>
      </c>
      <c r="G1220" s="467"/>
    </row>
    <row r="1221" spans="2:7" x14ac:dyDescent="0.25">
      <c r="B1221" s="470" t="s">
        <v>433</v>
      </c>
      <c r="C1221" s="474">
        <v>44004</v>
      </c>
      <c r="D1221" s="471">
        <v>17595</v>
      </c>
      <c r="E1221" s="476">
        <v>345635</v>
      </c>
      <c r="F1221" s="484">
        <v>2.1050842695313921E-3</v>
      </c>
      <c r="G1221" s="467"/>
    </row>
    <row r="1222" spans="2:7" x14ac:dyDescent="0.25">
      <c r="B1222" s="470" t="s">
        <v>433</v>
      </c>
      <c r="C1222" s="474">
        <v>44005</v>
      </c>
      <c r="D1222" s="471">
        <v>17410</v>
      </c>
      <c r="E1222" s="476">
        <v>904290</v>
      </c>
      <c r="F1222" s="484">
        <v>-1.0570016993450823E-2</v>
      </c>
      <c r="G1222" s="467"/>
    </row>
    <row r="1223" spans="2:7" x14ac:dyDescent="0.25">
      <c r="B1223" s="470" t="s">
        <v>433</v>
      </c>
      <c r="C1223" s="474">
        <v>44006</v>
      </c>
      <c r="D1223" s="471">
        <v>17500</v>
      </c>
      <c r="E1223" s="476">
        <v>537597</v>
      </c>
      <c r="F1223" s="484">
        <v>5.156127149370803E-3</v>
      </c>
      <c r="G1223" s="467"/>
    </row>
    <row r="1224" spans="2:7" x14ac:dyDescent="0.25">
      <c r="B1224" s="470" t="s">
        <v>433</v>
      </c>
      <c r="C1224" s="474">
        <v>44007</v>
      </c>
      <c r="D1224" s="471">
        <v>17254</v>
      </c>
      <c r="E1224" s="476">
        <v>822834</v>
      </c>
      <c r="F1224" s="484">
        <v>-1.4156880275081355E-2</v>
      </c>
      <c r="G1224" s="467"/>
    </row>
    <row r="1225" spans="2:7" x14ac:dyDescent="0.25">
      <c r="B1225" s="470" t="s">
        <v>433</v>
      </c>
      <c r="C1225" s="474">
        <v>44008</v>
      </c>
      <c r="D1225" s="471">
        <v>17376</v>
      </c>
      <c r="E1225" s="476">
        <v>718750</v>
      </c>
      <c r="F1225" s="484">
        <v>7.0459430971378401E-3</v>
      </c>
      <c r="G1225" s="467"/>
    </row>
    <row r="1226" spans="2:7" x14ac:dyDescent="0.25">
      <c r="B1226" s="470" t="s">
        <v>433</v>
      </c>
      <c r="C1226" s="474">
        <v>44011</v>
      </c>
      <c r="D1226" s="471">
        <v>17490</v>
      </c>
      <c r="E1226" s="476">
        <v>551005</v>
      </c>
      <c r="F1226" s="484">
        <v>6.5393452789857583E-3</v>
      </c>
      <c r="G1226" s="467"/>
    </row>
    <row r="1227" spans="2:7" x14ac:dyDescent="0.25">
      <c r="B1227" s="470" t="s">
        <v>433</v>
      </c>
      <c r="C1227" s="474">
        <v>44012</v>
      </c>
      <c r="D1227" s="471">
        <v>17160</v>
      </c>
      <c r="E1227" s="476">
        <v>755995</v>
      </c>
      <c r="F1227" s="484">
        <v>-1.9048194970694474E-2</v>
      </c>
      <c r="G1227" s="467"/>
    </row>
    <row r="1228" spans="2:7" x14ac:dyDescent="0.25">
      <c r="B1228" s="470" t="s">
        <v>433</v>
      </c>
      <c r="C1228" s="474">
        <v>44013</v>
      </c>
      <c r="D1228" s="471">
        <v>17574</v>
      </c>
      <c r="E1228" s="476">
        <v>618521</v>
      </c>
      <c r="F1228" s="484">
        <v>2.3839443013835161E-2</v>
      </c>
      <c r="G1228" s="467"/>
    </row>
    <row r="1229" spans="2:7" x14ac:dyDescent="0.25">
      <c r="B1229" s="470" t="s">
        <v>433</v>
      </c>
      <c r="C1229" s="474">
        <v>44014</v>
      </c>
      <c r="D1229" s="471">
        <v>17708</v>
      </c>
      <c r="E1229" s="476">
        <v>688052</v>
      </c>
      <c r="F1229" s="484">
        <v>7.5959777962432374E-3</v>
      </c>
      <c r="G1229" s="467"/>
    </row>
    <row r="1230" spans="2:7" x14ac:dyDescent="0.25">
      <c r="B1230" s="470" t="s">
        <v>433</v>
      </c>
      <c r="C1230" s="474">
        <v>44015</v>
      </c>
      <c r="D1230" s="471">
        <v>17666</v>
      </c>
      <c r="E1230" s="476">
        <v>248834</v>
      </c>
      <c r="F1230" s="484">
        <v>-2.3746265469541186E-3</v>
      </c>
      <c r="G1230" s="467"/>
    </row>
    <row r="1231" spans="2:7" x14ac:dyDescent="0.25">
      <c r="B1231" s="470" t="s">
        <v>433</v>
      </c>
      <c r="C1231" s="474">
        <v>44018</v>
      </c>
      <c r="D1231" s="471">
        <v>17554</v>
      </c>
      <c r="E1231" s="476">
        <v>337576</v>
      </c>
      <c r="F1231" s="484">
        <v>-6.360044153014598E-3</v>
      </c>
      <c r="G1231" s="467"/>
    </row>
    <row r="1232" spans="2:7" x14ac:dyDescent="0.25">
      <c r="B1232" s="470" t="s">
        <v>433</v>
      </c>
      <c r="C1232" s="474">
        <v>44019</v>
      </c>
      <c r="D1232" s="471">
        <v>17462</v>
      </c>
      <c r="E1232" s="476">
        <v>714865</v>
      </c>
      <c r="F1232" s="484">
        <v>-5.2547527813099782E-3</v>
      </c>
      <c r="G1232" s="467"/>
    </row>
    <row r="1233" spans="2:7" x14ac:dyDescent="0.25">
      <c r="B1233" s="470" t="s">
        <v>433</v>
      </c>
      <c r="C1233" s="474">
        <v>44020</v>
      </c>
      <c r="D1233" s="471">
        <v>17720</v>
      </c>
      <c r="E1233" s="476">
        <v>790618</v>
      </c>
      <c r="F1233" s="484">
        <v>1.4666853788319008E-2</v>
      </c>
      <c r="G1233" s="467"/>
    </row>
    <row r="1234" spans="2:7" x14ac:dyDescent="0.25">
      <c r="B1234" s="470" t="s">
        <v>433</v>
      </c>
      <c r="C1234" s="474">
        <v>44021</v>
      </c>
      <c r="D1234" s="471">
        <v>17501</v>
      </c>
      <c r="E1234" s="476">
        <v>483780</v>
      </c>
      <c r="F1234" s="484">
        <v>-1.2435923022914585E-2</v>
      </c>
      <c r="G1234" s="467"/>
    </row>
    <row r="1235" spans="2:7" x14ac:dyDescent="0.25">
      <c r="B1235" s="470" t="s">
        <v>433</v>
      </c>
      <c r="C1235" s="474">
        <v>44022</v>
      </c>
      <c r="D1235" s="471">
        <v>17450</v>
      </c>
      <c r="E1235" s="476">
        <v>819291</v>
      </c>
      <c r="F1235" s="484">
        <v>-2.9183735055841871E-3</v>
      </c>
      <c r="G1235" s="467"/>
    </row>
    <row r="1236" spans="2:7" x14ac:dyDescent="0.25">
      <c r="B1236" s="470" t="s">
        <v>433</v>
      </c>
      <c r="C1236" s="474">
        <v>44025</v>
      </c>
      <c r="D1236" s="471">
        <v>17539</v>
      </c>
      <c r="E1236" s="476">
        <v>440909</v>
      </c>
      <c r="F1236" s="484">
        <v>5.0873241275645733E-3</v>
      </c>
      <c r="G1236" s="467"/>
    </row>
    <row r="1237" spans="2:7" x14ac:dyDescent="0.25">
      <c r="B1237" s="470" t="s">
        <v>433</v>
      </c>
      <c r="C1237" s="474">
        <v>44026</v>
      </c>
      <c r="D1237" s="471">
        <v>17370</v>
      </c>
      <c r="E1237" s="476">
        <v>574325</v>
      </c>
      <c r="F1237" s="484">
        <v>-9.682392522987273E-3</v>
      </c>
      <c r="G1237" s="467"/>
    </row>
    <row r="1238" spans="2:7" x14ac:dyDescent="0.25">
      <c r="B1238" s="470" t="s">
        <v>433</v>
      </c>
      <c r="C1238" s="474">
        <v>44027</v>
      </c>
      <c r="D1238" s="471">
        <v>17370</v>
      </c>
      <c r="E1238" s="476">
        <v>492391</v>
      </c>
      <c r="F1238" s="484">
        <v>0</v>
      </c>
      <c r="G1238" s="467"/>
    </row>
    <row r="1239" spans="2:7" x14ac:dyDescent="0.25">
      <c r="B1239" s="470" t="s">
        <v>433</v>
      </c>
      <c r="C1239" s="474">
        <v>44028</v>
      </c>
      <c r="D1239" s="471">
        <v>17465</v>
      </c>
      <c r="E1239" s="476">
        <v>612030</v>
      </c>
      <c r="F1239" s="484">
        <v>5.4542980057816475E-3</v>
      </c>
      <c r="G1239" s="467"/>
    </row>
    <row r="1240" spans="2:7" x14ac:dyDescent="0.25">
      <c r="B1240" s="470" t="s">
        <v>433</v>
      </c>
      <c r="C1240" s="474">
        <v>44029</v>
      </c>
      <c r="D1240" s="471">
        <v>17450</v>
      </c>
      <c r="E1240" s="476">
        <v>1135048</v>
      </c>
      <c r="F1240" s="484">
        <v>-8.5922961035909224E-4</v>
      </c>
      <c r="G1240" s="467"/>
    </row>
    <row r="1241" spans="2:7" x14ac:dyDescent="0.25">
      <c r="B1241" s="470" t="s">
        <v>433</v>
      </c>
      <c r="C1241" s="474">
        <v>44032</v>
      </c>
      <c r="D1241" s="471">
        <v>17207</v>
      </c>
      <c r="E1241" s="476">
        <v>550411</v>
      </c>
      <c r="F1241" s="484">
        <v>-1.4023370877415623E-2</v>
      </c>
      <c r="G1241" s="467"/>
    </row>
    <row r="1242" spans="2:7" x14ac:dyDescent="0.25">
      <c r="B1242" s="470" t="s">
        <v>433</v>
      </c>
      <c r="C1242" s="474">
        <v>44033</v>
      </c>
      <c r="D1242" s="471">
        <v>17200</v>
      </c>
      <c r="E1242" s="476">
        <v>877503</v>
      </c>
      <c r="F1242" s="484">
        <v>-4.068939516132098E-4</v>
      </c>
      <c r="G1242" s="467"/>
    </row>
    <row r="1243" spans="2:7" x14ac:dyDescent="0.25">
      <c r="B1243" s="470" t="s">
        <v>433</v>
      </c>
      <c r="C1243" s="474">
        <v>44034</v>
      </c>
      <c r="D1243" s="471">
        <v>16900</v>
      </c>
      <c r="E1243" s="476">
        <v>627099</v>
      </c>
      <c r="F1243" s="484">
        <v>-1.7595761890379601E-2</v>
      </c>
      <c r="G1243" s="467"/>
    </row>
    <row r="1244" spans="2:7" x14ac:dyDescent="0.25">
      <c r="B1244" s="470" t="s">
        <v>433</v>
      </c>
      <c r="C1244" s="474">
        <v>44035</v>
      </c>
      <c r="D1244" s="471">
        <v>16683</v>
      </c>
      <c r="E1244" s="476">
        <v>611064</v>
      </c>
      <c r="F1244" s="484">
        <v>-1.2923385055491194E-2</v>
      </c>
      <c r="G1244" s="467"/>
    </row>
    <row r="1245" spans="2:7" x14ac:dyDescent="0.25">
      <c r="B1245" s="470" t="s">
        <v>433</v>
      </c>
      <c r="C1245" s="474">
        <v>44036</v>
      </c>
      <c r="D1245" s="471">
        <v>16541</v>
      </c>
      <c r="E1245" s="476">
        <v>688110</v>
      </c>
      <c r="F1245" s="484">
        <v>-8.5480896134525405E-3</v>
      </c>
      <c r="G1245" s="467"/>
    </row>
    <row r="1246" spans="2:7" x14ac:dyDescent="0.25">
      <c r="B1246" s="470" t="s">
        <v>433</v>
      </c>
      <c r="C1246" s="474">
        <v>44039</v>
      </c>
      <c r="D1246" s="471">
        <v>16458</v>
      </c>
      <c r="E1246" s="476">
        <v>513858</v>
      </c>
      <c r="F1246" s="484">
        <v>-5.0304660765629269E-3</v>
      </c>
      <c r="G1246" s="467"/>
    </row>
    <row r="1247" spans="2:7" x14ac:dyDescent="0.25">
      <c r="B1247" s="470" t="s">
        <v>433</v>
      </c>
      <c r="C1247" s="474">
        <v>44040</v>
      </c>
      <c r="D1247" s="471">
        <v>16433</v>
      </c>
      <c r="E1247" s="476">
        <v>582107</v>
      </c>
      <c r="F1247" s="484">
        <v>-1.5201729843683197E-3</v>
      </c>
      <c r="G1247" s="467"/>
    </row>
    <row r="1248" spans="2:7" x14ac:dyDescent="0.25">
      <c r="B1248" s="470" t="s">
        <v>433</v>
      </c>
      <c r="C1248" s="474">
        <v>44041</v>
      </c>
      <c r="D1248" s="471">
        <v>16900</v>
      </c>
      <c r="E1248" s="476">
        <v>809266</v>
      </c>
      <c r="F1248" s="484">
        <v>2.8022113729874908E-2</v>
      </c>
      <c r="G1248" s="467"/>
    </row>
    <row r="1249" spans="2:7" x14ac:dyDescent="0.25">
      <c r="B1249" s="470" t="s">
        <v>433</v>
      </c>
      <c r="C1249" s="474">
        <v>44042</v>
      </c>
      <c r="D1249" s="471">
        <v>16770</v>
      </c>
      <c r="E1249" s="476">
        <v>371550</v>
      </c>
      <c r="F1249" s="484">
        <v>-7.7220460939102778E-3</v>
      </c>
      <c r="G1249" s="467"/>
    </row>
    <row r="1250" spans="2:7" x14ac:dyDescent="0.25">
      <c r="B1250" s="470" t="s">
        <v>433</v>
      </c>
      <c r="C1250" s="474">
        <v>44043</v>
      </c>
      <c r="D1250" s="471">
        <v>16500</v>
      </c>
      <c r="E1250" s="476">
        <v>753882</v>
      </c>
      <c r="F1250" s="484">
        <v>-1.6231194928582552E-2</v>
      </c>
      <c r="G1250" s="467"/>
    </row>
    <row r="1251" spans="2:7" x14ac:dyDescent="0.25">
      <c r="B1251" s="470" t="s">
        <v>433</v>
      </c>
      <c r="C1251" s="474">
        <v>44046</v>
      </c>
      <c r="D1251" s="471">
        <v>16605</v>
      </c>
      <c r="E1251" s="476">
        <v>731702</v>
      </c>
      <c r="F1251" s="484">
        <v>6.3434739221749515E-3</v>
      </c>
      <c r="G1251" s="467"/>
    </row>
    <row r="1252" spans="2:7" x14ac:dyDescent="0.25">
      <c r="B1252" s="470" t="s">
        <v>433</v>
      </c>
      <c r="C1252" s="474">
        <v>44047</v>
      </c>
      <c r="D1252" s="471">
        <v>16500</v>
      </c>
      <c r="E1252" s="476">
        <v>467147</v>
      </c>
      <c r="F1252" s="484">
        <v>-6.3434739221749263E-3</v>
      </c>
      <c r="G1252" s="467"/>
    </row>
    <row r="1253" spans="2:7" x14ac:dyDescent="0.25">
      <c r="B1253" s="470" t="s">
        <v>433</v>
      </c>
      <c r="C1253" s="474">
        <v>44048</v>
      </c>
      <c r="D1253" s="471">
        <v>16315</v>
      </c>
      <c r="E1253" s="476">
        <v>796863</v>
      </c>
      <c r="F1253" s="484">
        <v>-1.1275450861250999E-2</v>
      </c>
      <c r="G1253" s="467"/>
    </row>
    <row r="1254" spans="2:7" x14ac:dyDescent="0.25">
      <c r="B1254" s="470" t="s">
        <v>433</v>
      </c>
      <c r="C1254" s="474">
        <v>44049</v>
      </c>
      <c r="D1254" s="471">
        <v>16695</v>
      </c>
      <c r="E1254" s="476">
        <v>558035</v>
      </c>
      <c r="F1254" s="484">
        <v>2.302434335033398E-2</v>
      </c>
      <c r="G1254" s="467"/>
    </row>
    <row r="1255" spans="2:7" x14ac:dyDescent="0.25">
      <c r="B1255" s="470" t="s">
        <v>433</v>
      </c>
      <c r="C1255" s="474">
        <v>44050</v>
      </c>
      <c r="D1255" s="471">
        <v>16661</v>
      </c>
      <c r="E1255" s="476">
        <v>395945</v>
      </c>
      <c r="F1255" s="484">
        <v>-2.0386144486860989E-3</v>
      </c>
      <c r="G1255" s="467"/>
    </row>
    <row r="1256" spans="2:7" x14ac:dyDescent="0.25">
      <c r="B1256" s="470" t="s">
        <v>433</v>
      </c>
      <c r="C1256" s="474">
        <v>44054</v>
      </c>
      <c r="D1256" s="471">
        <v>16870</v>
      </c>
      <c r="E1256" s="476">
        <v>789147</v>
      </c>
      <c r="F1256" s="484">
        <v>1.2466237610945277E-2</v>
      </c>
      <c r="G1256" s="467"/>
    </row>
    <row r="1257" spans="2:7" x14ac:dyDescent="0.25">
      <c r="B1257" s="470" t="s">
        <v>433</v>
      </c>
      <c r="C1257" s="474">
        <v>44055</v>
      </c>
      <c r="D1257" s="471">
        <v>16869</v>
      </c>
      <c r="E1257" s="476">
        <v>1037992</v>
      </c>
      <c r="F1257" s="484">
        <v>-5.927857970258903E-5</v>
      </c>
      <c r="G1257" s="467"/>
    </row>
    <row r="1258" spans="2:7" x14ac:dyDescent="0.25">
      <c r="B1258" s="470" t="s">
        <v>433</v>
      </c>
      <c r="C1258" s="474">
        <v>44056</v>
      </c>
      <c r="D1258" s="471">
        <v>17055</v>
      </c>
      <c r="E1258" s="476">
        <v>656578</v>
      </c>
      <c r="F1258" s="484">
        <v>1.096579789243469E-2</v>
      </c>
      <c r="G1258" s="467"/>
    </row>
    <row r="1259" spans="2:7" x14ac:dyDescent="0.25">
      <c r="B1259" s="470" t="s">
        <v>433</v>
      </c>
      <c r="C1259" s="474">
        <v>44057</v>
      </c>
      <c r="D1259" s="471">
        <v>17161</v>
      </c>
      <c r="E1259" s="476">
        <v>705473</v>
      </c>
      <c r="F1259" s="484">
        <v>6.1959515495570551E-3</v>
      </c>
      <c r="G1259" s="467"/>
    </row>
    <row r="1260" spans="2:7" x14ac:dyDescent="0.25">
      <c r="B1260" s="470" t="s">
        <v>433</v>
      </c>
      <c r="C1260" s="474">
        <v>44060</v>
      </c>
      <c r="D1260" s="471">
        <v>17050</v>
      </c>
      <c r="E1260" s="476">
        <v>688340</v>
      </c>
      <c r="F1260" s="484">
        <v>-6.4891636906402039E-3</v>
      </c>
      <c r="G1260" s="467"/>
    </row>
    <row r="1261" spans="2:7" x14ac:dyDescent="0.25">
      <c r="B1261" s="470" t="s">
        <v>433</v>
      </c>
      <c r="C1261" s="474">
        <v>44061</v>
      </c>
      <c r="D1261" s="471">
        <v>17311</v>
      </c>
      <c r="E1261" s="476">
        <v>1025874</v>
      </c>
      <c r="F1261" s="484">
        <v>1.5191933865066726E-2</v>
      </c>
      <c r="G1261" s="467"/>
    </row>
    <row r="1262" spans="2:7" x14ac:dyDescent="0.25">
      <c r="B1262" s="470" t="s">
        <v>433</v>
      </c>
      <c r="C1262" s="474">
        <v>44062</v>
      </c>
      <c r="D1262" s="471">
        <v>17248</v>
      </c>
      <c r="E1262" s="476">
        <v>532561</v>
      </c>
      <c r="F1262" s="484">
        <v>-3.645942868005765E-3</v>
      </c>
      <c r="G1262" s="467"/>
    </row>
    <row r="1263" spans="2:7" x14ac:dyDescent="0.25">
      <c r="B1263" s="470" t="s">
        <v>433</v>
      </c>
      <c r="C1263" s="474">
        <v>44063</v>
      </c>
      <c r="D1263" s="471">
        <v>17042</v>
      </c>
      <c r="E1263" s="476">
        <v>480749</v>
      </c>
      <c r="F1263" s="484">
        <v>-1.2015309320822405E-2</v>
      </c>
      <c r="G1263" s="467"/>
    </row>
    <row r="1264" spans="2:7" x14ac:dyDescent="0.25">
      <c r="B1264" s="470" t="s">
        <v>433</v>
      </c>
      <c r="C1264" s="474">
        <v>44064</v>
      </c>
      <c r="D1264" s="471">
        <v>17057</v>
      </c>
      <c r="E1264" s="476">
        <v>316211</v>
      </c>
      <c r="F1264" s="484">
        <v>8.7979125297172266E-4</v>
      </c>
      <c r="G1264" s="467"/>
    </row>
    <row r="1265" spans="2:7" x14ac:dyDescent="0.25">
      <c r="B1265" s="470" t="s">
        <v>433</v>
      </c>
      <c r="C1265" s="474">
        <v>44067</v>
      </c>
      <c r="D1265" s="471">
        <v>17490</v>
      </c>
      <c r="E1265" s="476">
        <v>506218</v>
      </c>
      <c r="F1265" s="484">
        <v>2.5068612371774872E-2</v>
      </c>
      <c r="G1265" s="467"/>
    </row>
    <row r="1266" spans="2:7" x14ac:dyDescent="0.25">
      <c r="B1266" s="470" t="s">
        <v>433</v>
      </c>
      <c r="C1266" s="474">
        <v>44068</v>
      </c>
      <c r="D1266" s="471">
        <v>17196</v>
      </c>
      <c r="E1266" s="476">
        <v>476094</v>
      </c>
      <c r="F1266" s="484">
        <v>-1.695249039647562E-2</v>
      </c>
      <c r="G1266" s="467"/>
    </row>
    <row r="1267" spans="2:7" x14ac:dyDescent="0.25">
      <c r="B1267" s="470" t="s">
        <v>433</v>
      </c>
      <c r="C1267" s="474">
        <v>44069</v>
      </c>
      <c r="D1267" s="471">
        <v>17002</v>
      </c>
      <c r="E1267" s="476">
        <v>345513</v>
      </c>
      <c r="F1267" s="484">
        <v>-1.1345814438868002E-2</v>
      </c>
      <c r="G1267" s="467"/>
    </row>
    <row r="1268" spans="2:7" x14ac:dyDescent="0.25">
      <c r="B1268" s="470" t="s">
        <v>433</v>
      </c>
      <c r="C1268" s="474">
        <v>44070</v>
      </c>
      <c r="D1268" s="471">
        <v>17083</v>
      </c>
      <c r="E1268" s="476">
        <v>321738</v>
      </c>
      <c r="F1268" s="484">
        <v>4.7528327697534088E-3</v>
      </c>
      <c r="G1268" s="467"/>
    </row>
    <row r="1269" spans="2:7" x14ac:dyDescent="0.25">
      <c r="B1269" s="470" t="s">
        <v>433</v>
      </c>
      <c r="C1269" s="474">
        <v>44071</v>
      </c>
      <c r="D1269" s="471">
        <v>16670</v>
      </c>
      <c r="E1269" s="476">
        <v>667933</v>
      </c>
      <c r="F1269" s="484">
        <v>-2.4473120202217931E-2</v>
      </c>
      <c r="G1269" s="467"/>
    </row>
    <row r="1270" spans="2:7" x14ac:dyDescent="0.25">
      <c r="B1270" s="470" t="s">
        <v>433</v>
      </c>
      <c r="C1270" s="474">
        <v>44074</v>
      </c>
      <c r="D1270" s="471">
        <v>16166</v>
      </c>
      <c r="E1270" s="476">
        <v>1633407</v>
      </c>
      <c r="F1270" s="484">
        <v>-3.0700425451050062E-2</v>
      </c>
      <c r="G1270" s="467"/>
    </row>
    <row r="1271" spans="2:7" x14ac:dyDescent="0.25">
      <c r="B1271" s="470" t="s">
        <v>433</v>
      </c>
      <c r="C1271" s="474">
        <v>44075</v>
      </c>
      <c r="D1271" s="471">
        <v>16299</v>
      </c>
      <c r="E1271" s="476">
        <v>925541</v>
      </c>
      <c r="F1271" s="484">
        <v>8.1934849258431044E-3</v>
      </c>
      <c r="G1271" s="467"/>
    </row>
    <row r="1272" spans="2:7" x14ac:dyDescent="0.25">
      <c r="B1272" s="470" t="s">
        <v>433</v>
      </c>
      <c r="C1272" s="474">
        <v>44076</v>
      </c>
      <c r="D1272" s="471">
        <v>16402</v>
      </c>
      <c r="E1272" s="476">
        <v>841392</v>
      </c>
      <c r="F1272" s="484">
        <v>6.299522376723753E-3</v>
      </c>
      <c r="G1272" s="467"/>
    </row>
    <row r="1273" spans="2:7" x14ac:dyDescent="0.25">
      <c r="B1273" s="470" t="s">
        <v>433</v>
      </c>
      <c r="C1273" s="474">
        <v>44077</v>
      </c>
      <c r="D1273" s="471">
        <v>16404</v>
      </c>
      <c r="E1273" s="476">
        <v>706151</v>
      </c>
      <c r="F1273" s="484">
        <v>1.2192891559339785E-4</v>
      </c>
      <c r="G1273" s="467"/>
    </row>
    <row r="1274" spans="2:7" x14ac:dyDescent="0.25">
      <c r="B1274" s="470" t="s">
        <v>433</v>
      </c>
      <c r="C1274" s="474">
        <v>44078</v>
      </c>
      <c r="D1274" s="471">
        <v>16254</v>
      </c>
      <c r="E1274" s="476">
        <v>505303</v>
      </c>
      <c r="F1274" s="484">
        <v>-9.1861751987997713E-3</v>
      </c>
      <c r="G1274" s="467"/>
    </row>
    <row r="1275" spans="2:7" x14ac:dyDescent="0.25">
      <c r="B1275" s="470" t="s">
        <v>433</v>
      </c>
      <c r="C1275" s="474">
        <v>44081</v>
      </c>
      <c r="D1275" s="471">
        <v>16205</v>
      </c>
      <c r="E1275" s="476">
        <v>375645</v>
      </c>
      <c r="F1275" s="484">
        <v>-3.0191957375024134E-3</v>
      </c>
      <c r="G1275" s="467"/>
    </row>
    <row r="1276" spans="2:7" x14ac:dyDescent="0.25">
      <c r="B1276" s="470" t="s">
        <v>433</v>
      </c>
      <c r="C1276" s="474">
        <v>44082</v>
      </c>
      <c r="D1276" s="471">
        <v>16892</v>
      </c>
      <c r="E1276" s="476">
        <v>805606</v>
      </c>
      <c r="F1276" s="484">
        <v>4.1520300478186417E-2</v>
      </c>
      <c r="G1276" s="467"/>
    </row>
    <row r="1277" spans="2:7" x14ac:dyDescent="0.25">
      <c r="B1277" s="470" t="s">
        <v>433</v>
      </c>
      <c r="C1277" s="474">
        <v>44083</v>
      </c>
      <c r="D1277" s="471">
        <v>17582</v>
      </c>
      <c r="E1277" s="476">
        <v>770026</v>
      </c>
      <c r="F1277" s="484">
        <v>4.0035514357289796E-2</v>
      </c>
      <c r="G1277" s="467"/>
    </row>
    <row r="1278" spans="2:7" x14ac:dyDescent="0.25">
      <c r="B1278" s="470" t="s">
        <v>433</v>
      </c>
      <c r="C1278" s="474">
        <v>44084</v>
      </c>
      <c r="D1278" s="471">
        <v>17934</v>
      </c>
      <c r="E1278" s="476">
        <v>847449</v>
      </c>
      <c r="F1278" s="484">
        <v>1.982270110086887E-2</v>
      </c>
      <c r="G1278" s="467"/>
    </row>
    <row r="1279" spans="2:7" x14ac:dyDescent="0.25">
      <c r="B1279" s="470" t="s">
        <v>433</v>
      </c>
      <c r="C1279" s="474">
        <v>44085</v>
      </c>
      <c r="D1279" s="471">
        <v>18211</v>
      </c>
      <c r="E1279" s="476">
        <v>791011</v>
      </c>
      <c r="F1279" s="484">
        <v>1.5327454583826759E-2</v>
      </c>
      <c r="G1279" s="467"/>
    </row>
    <row r="1280" spans="2:7" x14ac:dyDescent="0.25">
      <c r="B1280" s="470" t="s">
        <v>433</v>
      </c>
      <c r="C1280" s="474">
        <v>44088</v>
      </c>
      <c r="D1280" s="471">
        <v>18217</v>
      </c>
      <c r="E1280" s="476">
        <v>652850</v>
      </c>
      <c r="F1280" s="484">
        <v>3.2941693500922696E-4</v>
      </c>
      <c r="G1280" s="467"/>
    </row>
    <row r="1281" spans="2:7" x14ac:dyDescent="0.25">
      <c r="B1281" s="470" t="s">
        <v>433</v>
      </c>
      <c r="C1281" s="474">
        <v>44089</v>
      </c>
      <c r="D1281" s="471">
        <v>18043</v>
      </c>
      <c r="E1281" s="476">
        <v>655959</v>
      </c>
      <c r="F1281" s="484">
        <v>-9.5974261225304919E-3</v>
      </c>
      <c r="G1281" s="467"/>
    </row>
    <row r="1282" spans="2:7" x14ac:dyDescent="0.25">
      <c r="B1282" s="470" t="s">
        <v>433</v>
      </c>
      <c r="C1282" s="474">
        <v>44090</v>
      </c>
      <c r="D1282" s="471">
        <v>17911</v>
      </c>
      <c r="E1282" s="476">
        <v>655343</v>
      </c>
      <c r="F1282" s="484">
        <v>-7.3427486830398223E-3</v>
      </c>
      <c r="G1282" s="467"/>
    </row>
    <row r="1283" spans="2:7" x14ac:dyDescent="0.25">
      <c r="B1283" s="470" t="s">
        <v>433</v>
      </c>
      <c r="C1283" s="474">
        <v>44091</v>
      </c>
      <c r="D1283" s="471">
        <v>18079</v>
      </c>
      <c r="E1283" s="476">
        <v>1482524</v>
      </c>
      <c r="F1283" s="484">
        <v>9.3359944567559614E-3</v>
      </c>
      <c r="G1283" s="467"/>
    </row>
    <row r="1284" spans="2:7" x14ac:dyDescent="0.25">
      <c r="B1284" s="470" t="s">
        <v>433</v>
      </c>
      <c r="C1284" s="474">
        <v>44092</v>
      </c>
      <c r="D1284" s="471">
        <v>18763</v>
      </c>
      <c r="E1284" s="476">
        <v>2061546</v>
      </c>
      <c r="F1284" s="484">
        <v>3.7135801805360177E-2</v>
      </c>
      <c r="G1284" s="467"/>
    </row>
    <row r="1285" spans="2:7" x14ac:dyDescent="0.25">
      <c r="B1285" s="470" t="s">
        <v>433</v>
      </c>
      <c r="C1285" s="474">
        <v>44095</v>
      </c>
      <c r="D1285" s="471">
        <v>18281</v>
      </c>
      <c r="E1285" s="476">
        <v>776858</v>
      </c>
      <c r="F1285" s="484">
        <v>-2.6024576380289339E-2</v>
      </c>
      <c r="G1285" s="467"/>
    </row>
    <row r="1286" spans="2:7" x14ac:dyDescent="0.25">
      <c r="B1286" s="470" t="s">
        <v>433</v>
      </c>
      <c r="C1286" s="474">
        <v>44096</v>
      </c>
      <c r="D1286" s="471">
        <v>18684</v>
      </c>
      <c r="E1286" s="476">
        <v>841030</v>
      </c>
      <c r="F1286" s="484">
        <v>2.1805273514913348E-2</v>
      </c>
      <c r="G1286" s="467"/>
    </row>
    <row r="1287" spans="2:7" x14ac:dyDescent="0.25">
      <c r="B1287" s="470" t="s">
        <v>433</v>
      </c>
      <c r="C1287" s="474">
        <v>44097</v>
      </c>
      <c r="D1287" s="471">
        <v>18912</v>
      </c>
      <c r="E1287" s="476">
        <v>798241</v>
      </c>
      <c r="F1287" s="484">
        <v>1.2129098583826069E-2</v>
      </c>
      <c r="G1287" s="467"/>
    </row>
    <row r="1288" spans="2:7" x14ac:dyDescent="0.25">
      <c r="B1288" s="470" t="s">
        <v>433</v>
      </c>
      <c r="C1288" s="474">
        <v>44099</v>
      </c>
      <c r="D1288" s="471">
        <v>18846</v>
      </c>
      <c r="E1288" s="476">
        <v>420962</v>
      </c>
      <c r="F1288" s="484">
        <v>-3.4959514391231742E-3</v>
      </c>
      <c r="G1288" s="467"/>
    </row>
    <row r="1289" spans="2:7" x14ac:dyDescent="0.25">
      <c r="B1289" s="470" t="s">
        <v>433</v>
      </c>
      <c r="C1289" s="474">
        <v>44102</v>
      </c>
      <c r="D1289" s="471">
        <v>18957</v>
      </c>
      <c r="E1289" s="476">
        <v>581513</v>
      </c>
      <c r="F1289" s="484">
        <v>5.8725666748633805E-3</v>
      </c>
      <c r="G1289" s="467"/>
    </row>
    <row r="1290" spans="2:7" x14ac:dyDescent="0.25">
      <c r="B1290" s="470" t="s">
        <v>433</v>
      </c>
      <c r="C1290" s="474">
        <v>44103</v>
      </c>
      <c r="D1290" s="471">
        <v>18858</v>
      </c>
      <c r="E1290" s="476">
        <v>607477</v>
      </c>
      <c r="F1290" s="484">
        <v>-5.236029415942341E-3</v>
      </c>
      <c r="G1290" s="467"/>
    </row>
    <row r="1291" spans="2:7" x14ac:dyDescent="0.25">
      <c r="B1291" s="472" t="s">
        <v>433</v>
      </c>
      <c r="C1291" s="475">
        <v>44104</v>
      </c>
      <c r="D1291" s="473">
        <v>18965</v>
      </c>
      <c r="E1291" s="477">
        <v>1596885</v>
      </c>
      <c r="F1291" s="485">
        <v>5.6579480973766964E-3</v>
      </c>
      <c r="G1291" s="467"/>
    </row>
  </sheetData>
  <conditionalFormatting sqref="D7:D8">
    <cfRule type="cellIs" dxfId="281" priority="55" stopIfTrue="1" operator="equal">
      <formula>"ERROR"</formula>
    </cfRule>
    <cfRule type="cellIs" dxfId="280" priority="56" stopIfTrue="1" operator="equal">
      <formula>"OK"</formula>
    </cfRule>
    <cfRule type="cellIs" dxfId="279" priority="57" stopIfTrue="1" operator="equal">
      <formula>"WARNING"</formula>
    </cfRule>
  </conditionalFormatting>
  <conditionalFormatting sqref="C4">
    <cfRule type="cellIs" dxfId="278" priority="52" stopIfTrue="1" operator="equal">
      <formula>"ERROR"</formula>
    </cfRule>
    <cfRule type="cellIs" dxfId="277" priority="53" stopIfTrue="1" operator="equal">
      <formula>"OK"</formula>
    </cfRule>
    <cfRule type="cellIs" dxfId="276" priority="54" stopIfTrue="1" operator="equal">
      <formula>"WARNING"</formula>
    </cfRule>
  </conditionalFormatting>
  <conditionalFormatting sqref="C13">
    <cfRule type="cellIs" dxfId="275" priority="49" stopIfTrue="1" operator="equal">
      <formula>"ERROR"</formula>
    </cfRule>
  </conditionalFormatting>
  <conditionalFormatting sqref="C13">
    <cfRule type="cellIs" dxfId="274" priority="50" stopIfTrue="1" operator="equal">
      <formula>"OK"</formula>
    </cfRule>
  </conditionalFormatting>
  <conditionalFormatting sqref="C13">
    <cfRule type="cellIs" dxfId="273" priority="51" stopIfTrue="1" operator="equal">
      <formula>"WARNING"</formula>
    </cfRule>
  </conditionalFormatting>
  <conditionalFormatting sqref="H35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30">
    <cfRule type="cellIs" dxfId="269" priority="46" stopIfTrue="1" operator="equal">
      <formula>"ERROR"</formula>
    </cfRule>
  </conditionalFormatting>
  <conditionalFormatting sqref="C30">
    <cfRule type="cellIs" dxfId="268" priority="47" stopIfTrue="1" operator="equal">
      <formula>"OK"</formula>
    </cfRule>
  </conditionalFormatting>
  <conditionalFormatting sqref="C30">
    <cfRule type="cellIs" dxfId="267" priority="48" stopIfTrue="1" operator="equal">
      <formula>"WARNING"</formula>
    </cfRule>
  </conditionalFormatting>
  <conditionalFormatting sqref="S35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Z35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J18">
    <cfRule type="cellIs" dxfId="260" priority="61" stopIfTrue="1" operator="equal">
      <formula>"ERROR"</formula>
    </cfRule>
    <cfRule type="cellIs" dxfId="259" priority="62" stopIfTrue="1" operator="equal">
      <formula>"OK"</formula>
    </cfRule>
    <cfRule type="cellIs" dxfId="258" priority="63" stopIfTrue="1" operator="equal">
      <formula>"WARNING"</formula>
    </cfRule>
  </conditionalFormatting>
  <conditionalFormatting sqref="Q18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X18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416</v>
      </c>
    </row>
    <row r="2" spans="1:54" ht="26.25" x14ac:dyDescent="0.4">
      <c r="B2" s="2" t="s">
        <v>417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418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419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418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470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475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468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468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468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474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473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489</v>
      </c>
      <c r="C21" s="552">
        <f>3/12</f>
        <v>0.25</v>
      </c>
      <c r="D21" s="503"/>
      <c r="E21" s="621" t="s">
        <v>467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21" t="s">
        <v>467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21" t="s">
        <v>467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489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489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22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22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22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471</v>
      </c>
      <c r="AG22" s="521"/>
      <c r="AH22" s="139" t="s">
        <v>469</v>
      </c>
      <c r="AI22"/>
      <c r="AJ22"/>
      <c r="AK22"/>
      <c r="AM22" s="348"/>
      <c r="AN22"/>
      <c r="AO22"/>
      <c r="AP22"/>
      <c r="AR22" s="521" t="s">
        <v>471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22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22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22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472</v>
      </c>
      <c r="AG23" s="522"/>
      <c r="AH23" s="141" t="s">
        <v>81</v>
      </c>
      <c r="AR23" s="522" t="s">
        <v>472</v>
      </c>
      <c r="AS23" s="522"/>
      <c r="AT23" s="141" t="s">
        <v>469</v>
      </c>
    </row>
    <row r="24" spans="1:54" s="495" customFormat="1" x14ac:dyDescent="0.25">
      <c r="D24" s="553">
        <v>4</v>
      </c>
      <c r="E24" s="622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22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22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22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22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22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23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23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23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419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479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476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480</v>
      </c>
      <c r="K38" s="528" t="s">
        <v>469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481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477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476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478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477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478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416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aca="1" ref="C4" ca="1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484</v>
      </c>
      <c r="C7" s="177" t="str">
        <f ca="1"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487</v>
      </c>
      <c r="C9" s="177" t="str">
        <f ca="1">C63</f>
        <v>Ok</v>
      </c>
      <c r="E9" s="561"/>
    </row>
    <row r="10" spans="2:20" x14ac:dyDescent="0.25">
      <c r="B10" s="544" t="s">
        <v>494</v>
      </c>
      <c r="C10" s="177" t="str">
        <f ca="1">C77</f>
        <v>Ok</v>
      </c>
    </row>
    <row r="13" spans="2:20" ht="18.75" x14ac:dyDescent="0.3">
      <c r="B13" s="3" t="s">
        <v>484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aca="1" ref="C15" ca="1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@@ExampleCurve::11:53:26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493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501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aca="1" ref="C39" ca="1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aca="1" ref="C43" ca="1">_xll.d.TestUtils_And(E47:E57)</f>
        <v>Ok</v>
      </c>
      <c r="D43"/>
      <c r="E43"/>
      <c r="G43" s="59" t="s">
        <v>126</v>
      </c>
      <c r="H43" s="548" t="str">
        <f ca="1"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483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aca="1" ref="E47" ca="1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486</v>
      </c>
      <c r="J47" s="599"/>
      <c r="K47" s="198" t="str" cm="1">
        <f t="array" aca="1" ref="K47" ca="1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aca="1" ref="E48" ca="1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 ca="1"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aca="1" ref="E49" ca="1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aca="1" ref="E50" ca="1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 ca="1"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aca="1" ref="E51" ca="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aca="1" ref="D52" ca="1">_xll.d.Curve_GetDiscountFactors($C$19,B52)</f>
        <v>0.97547116833738268</v>
      </c>
      <c r="E52" s="198" t="str" cm="1">
        <f t="array" aca="1" ref="E52" ca="1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aca="1" ref="D53" ca="1">_xll.d.Curve_GetDiscountFactors($C$19,B53)</f>
        <v>0.97</v>
      </c>
      <c r="E53" s="198" t="str" cm="1">
        <f t="array" aca="1" ref="E53" ca="1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aca="1" ref="D54" ca="1">_xll.d.Curve_GetDiscountFactors($C$19,B54)</f>
        <v>0.96532043596444328</v>
      </c>
      <c r="E54" s="198" t="str" cm="1">
        <f t="array" aca="1" ref="E54" ca="1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aca="1" ref="D55" ca="1">_xll.d.Curve_GetDiscountFactors($C$19,B55)</f>
        <v>0.96</v>
      </c>
      <c r="E55" s="198" t="str" cm="1">
        <f t="array" aca="1" ref="E55" ca="1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aca="1" ref="D56" ca="1">_xll.d.Curve_GetDiscountFactors($C$19,B56)</f>
        <v>0.8356958461194135</v>
      </c>
      <c r="E56" s="198" t="str" cm="1">
        <f t="array" aca="1" ref="E56" ca="1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aca="1" ref="D57" ca="1">_xll.d.Curve_GetDiscountFactors($C$19,B57)</f>
        <v>0.62</v>
      </c>
      <c r="E57" s="198" t="str" cm="1">
        <f t="array" aca="1" ref="E57" ca="1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487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aca="1" ref="C63" ca="1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 ca="1">-LN(C30)/YEARFRAC($B$29,B68,3)</f>
        <v>0.11833459956542031</v>
      </c>
      <c r="D68" s="591">
        <f t="array" aca="1" ref="D68:D72" ca="1">_xll.d.Curve_GetZeroRates($C$19,B68:B72,"NACC")</f>
        <v>0.11833459956542096</v>
      </c>
      <c r="E68" s="586" t="str" cm="1">
        <f t="array" aca="1" ref="E68" ca="1">_xll.d.TestUtils_Equal(C68,D68)</f>
        <v>Ok</v>
      </c>
      <c r="F68" s="591">
        <f ca="1"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aca="1" ref="H68" ca="1">_xll.d.TestUtils_Equal(F68,G68)</f>
        <v>Ok</v>
      </c>
      <c r="I68" s="591">
        <f ca="1"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aca="1" ref="K68" ca="1">_xll.d.TestUtils_Equal(I68,J68)</f>
        <v>Ok</v>
      </c>
      <c r="L68" s="591">
        <f ca="1">4*($C30^(-1/(4*YEARFRAC($B$29,$B68,3)))-1)</f>
        <v>0.12010237358908604</v>
      </c>
      <c r="M68" s="591" cm="1">
        <f t="array" aca="1" ref="M68" ca="1">_xll.d.Curve_GetZeroRates($C$19,$B68,"NACQ")</f>
        <v>0.12010237358908693</v>
      </c>
      <c r="N68" s="586" t="str" cm="1">
        <f t="array" aca="1" ref="N68" ca="1">_xll.d.TestUtils_Equal(L68,M68)</f>
        <v>Ok</v>
      </c>
      <c r="O68" s="591">
        <f ca="1">12*($C30^(-1/(12*YEARFRAC($B$29,$B68,3)))-1)</f>
        <v>0.11891998374379664</v>
      </c>
      <c r="P68" s="591">
        <f t="array" aca="1" ref="P68" ca="1">_xll.d.Curve_GetZeroRates($C$19,$B68,"NACM")</f>
        <v>0.11891998374379664</v>
      </c>
      <c r="Q68" s="586" t="str" cm="1">
        <f t="array" aca="1" ref="Q68" ca="1">_xll.d.TestUtils_Equal(O68,P68)</f>
        <v>Ok</v>
      </c>
      <c r="R68" s="591">
        <f ca="1"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aca="1" ref="T68" ca="1">_xll.d.TestUtils_Equal(R68,S68)</f>
        <v>Ok</v>
      </c>
    </row>
    <row r="69" spans="2:23" x14ac:dyDescent="0.25">
      <c r="B69" s="583">
        <f>B31</f>
        <v>44621</v>
      </c>
      <c r="C69" s="592">
        <f ca="1">-LN(C31)/YEARFRAC($B$29,B69,3)</f>
        <v>0.12498285035414584</v>
      </c>
      <c r="D69" s="592">
        <f ca="1"/>
        <v>0.12498285035414587</v>
      </c>
      <c r="E69" s="585" t="str" cm="1">
        <f t="array" aca="1" ref="E69" ca="1">_xll.d.TestUtils_Equal(C69,D69)</f>
        <v>Ok</v>
      </c>
      <c r="F69" s="592">
        <f ca="1"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aca="1" ref="H69" ca="1">_xll.d.TestUtils_Equal(F69,G69)</f>
        <v>Ok</v>
      </c>
      <c r="I69" s="592">
        <f ca="1"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aca="1" ref="K69" ca="1">_xll.d.TestUtils_Equal(I69,J69)</f>
        <v>Ok</v>
      </c>
      <c r="L69" s="592">
        <f ca="1">4*($C31^(-1/(4*YEARFRAC($B$29,$B69,3)))-1)</f>
        <v>0.12695593600029031</v>
      </c>
      <c r="M69" s="592" cm="1">
        <f t="array" aca="1" ref="M69" ca="1">_xll.d.Curve_GetZeroRates($C$19,$B69,"NACQ")</f>
        <v>0.12695593600029031</v>
      </c>
      <c r="N69" s="585" t="str" cm="1">
        <f t="array" aca="1" ref="N69" ca="1">_xll.d.TestUtils_Equal(L69,M69)</f>
        <v>Ok</v>
      </c>
      <c r="O69" s="592">
        <f ca="1">12*($C31^(-1/(12*YEARFRAC($B$29,$B69,3)))-1)</f>
        <v>0.12563597891789247</v>
      </c>
      <c r="P69" s="592" cm="1">
        <f t="array" aca="1" ref="P69" ca="1">_xll.d.Curve_GetZeroRates($C$19,$B69,"NACM")</f>
        <v>0.1256359789178898</v>
      </c>
      <c r="Q69" s="585" t="str" cm="1">
        <f t="array" aca="1" ref="Q69" ca="1">_xll.d.TestUtils_Equal(O69,P69)</f>
        <v>Ok</v>
      </c>
      <c r="R69" s="592">
        <f ca="1"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aca="1" ref="T69" ca="1">_xll.d.TestUtils_Equal(R69,S69)</f>
        <v>Ok</v>
      </c>
    </row>
    <row r="70" spans="2:23" x14ac:dyDescent="0.25">
      <c r="B70" s="583">
        <f>B32</f>
        <v>44652</v>
      </c>
      <c r="C70" s="592">
        <f ca="1">-LN(C32)/YEARFRAC($B$29,B70,3)</f>
        <v>0.12352900813242923</v>
      </c>
      <c r="D70" s="592">
        <f ca="1"/>
        <v>0.12352900813242955</v>
      </c>
      <c r="E70" s="585" t="str" cm="1">
        <f t="array" aca="1" ref="E70" ca="1">_xll.d.TestUtils_Equal(C70,D70)</f>
        <v>Ok</v>
      </c>
      <c r="F70" s="592">
        <f ca="1">1*($C32^(-1/(1*YEARFRAC($B$29,$B70,3)))-1)</f>
        <v>0.13148282626969365</v>
      </c>
      <c r="G70" s="592" cm="1">
        <f t="array" aca="1" ref="G70" ca="1">_xll.d.Curve_GetZeroRates($C$19,$B70,"NACA")</f>
        <v>0.1314828262696941</v>
      </c>
      <c r="H70" s="585" t="str" cm="1">
        <f t="array" aca="1" ref="H70" ca="1">_xll.d.TestUtils_Equal(F70,G70)</f>
        <v>Ok</v>
      </c>
      <c r="I70" s="592">
        <f ca="1"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aca="1" ref="K70" ca="1">_xll.d.TestUtils_Equal(I70,J70)</f>
        <v>Ok</v>
      </c>
      <c r="L70" s="592">
        <f ca="1">4*($C32^(-1/(4*YEARFRAC($B$29,$B70,3)))-1)</f>
        <v>0.12545622286335512</v>
      </c>
      <c r="M70" s="592" cm="1">
        <f t="array" aca="1" ref="M70" ca="1">_xll.d.Curve_GetZeroRates($C$19,$B70,"NACQ")</f>
        <v>0.12545622286335512</v>
      </c>
      <c r="N70" s="585" t="str" cm="1">
        <f t="array" aca="1" ref="N70" ca="1">_xll.d.TestUtils_Equal(L70,M70)</f>
        <v>Ok</v>
      </c>
      <c r="O70" s="592">
        <f ca="1">12*($C32^(-1/(12*YEARFRAC($B$29,$B70,3)))-1)</f>
        <v>0.12416700444279183</v>
      </c>
      <c r="P70" s="592" cm="1">
        <f t="array" aca="1" ref="P70" ca="1">_xll.d.Curve_GetZeroRates($C$19,$B70,"NACM")</f>
        <v>0.12416700444279183</v>
      </c>
      <c r="Q70" s="585" t="str" cm="1">
        <f t="array" aca="1" ref="Q70" ca="1">_xll.d.TestUtils_Equal(O70,P70)</f>
        <v>Ok</v>
      </c>
      <c r="R70" s="592">
        <f ca="1"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aca="1" ref="T70" ca="1">_xll.d.TestUtils_Equal(R70,S70)</f>
        <v>Ok</v>
      </c>
    </row>
    <row r="71" spans="2:23" x14ac:dyDescent="0.25">
      <c r="B71" s="583">
        <f>B33</f>
        <v>44682</v>
      </c>
      <c r="C71" s="592">
        <f ca="1">-LN(C33)/YEARFRAC($B$29,B71,3)</f>
        <v>0.12416689999910947</v>
      </c>
      <c r="D71" s="592">
        <f ca="1"/>
        <v>0.12416689999910957</v>
      </c>
      <c r="E71" s="585" t="str" cm="1">
        <f t="array" aca="1" ref="E71" ca="1">_xll.d.TestUtils_Equal(C71,D71)</f>
        <v>Ok</v>
      </c>
      <c r="F71" s="592">
        <f ca="1"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aca="1" ref="H71" ca="1">_xll.d.TestUtils_Equal(F71,G71)</f>
        <v>Ok</v>
      </c>
      <c r="I71" s="592">
        <f ca="1"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aca="1" ref="K71" ca="1">_xll.d.TestUtils_Equal(I71,J71)</f>
        <v>Ok</v>
      </c>
      <c r="L71" s="592">
        <f ca="1">4*($C33^(-1/(4*YEARFRAC($B$29,$B71,3)))-1)</f>
        <v>0.12611417406740255</v>
      </c>
      <c r="M71" s="592" cm="1">
        <f t="array" aca="1" ref="M71" ca="1">_xll.d.Curve_GetZeroRates($C$19,$B71,"NACQ")</f>
        <v>0.12611417406740344</v>
      </c>
      <c r="N71" s="585" t="str" cm="1">
        <f t="array" aca="1" ref="N71" ca="1">_xll.d.TestUtils_Equal(L71,M71)</f>
        <v>Ok</v>
      </c>
      <c r="O71" s="592">
        <f ca="1">12*($C33^(-1/(12*YEARFRAC($B$29,$B71,3)))-1)</f>
        <v>0.12481151386647849</v>
      </c>
      <c r="P71" s="592" cm="1">
        <f t="array" aca="1" ref="P71" ca="1">_xll.d.Curve_GetZeroRates($C$19,$B71,"NACM")</f>
        <v>0.12481151386647849</v>
      </c>
      <c r="Q71" s="585" t="str" cm="1">
        <f t="array" aca="1" ref="Q71" ca="1">_xll.d.TestUtils_Equal(O71,P71)</f>
        <v>Ok</v>
      </c>
      <c r="R71" s="592">
        <f ca="1"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aca="1" ref="T71" ca="1">_xll.d.TestUtils_Equal(R71,S71)</f>
        <v>Ok</v>
      </c>
    </row>
    <row r="72" spans="2:23" x14ac:dyDescent="0.25">
      <c r="B72" s="584">
        <f>B34</f>
        <v>46022</v>
      </c>
      <c r="C72" s="593">
        <f ca="1">-LN(C34)/YEARFRAC($B$29,B72,3)</f>
        <v>0.11950895023574995</v>
      </c>
      <c r="D72" s="593">
        <f ca="1"/>
        <v>0.11950895023574998</v>
      </c>
      <c r="E72" s="587" t="str" cm="1">
        <f t="array" aca="1" ref="E72" ca="1">_xll.d.TestUtils_Equal(C72,D72)</f>
        <v>Ok</v>
      </c>
      <c r="F72" s="593">
        <f ca="1"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aca="1" ref="H72" ca="1">_xll.d.TestUtils_Equal(F72,G72)</f>
        <v>Ok</v>
      </c>
      <c r="I72" s="593">
        <f ca="1"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aca="1" ref="K72" ca="1">_xll.d.TestUtils_Equal(I72,J72)</f>
        <v>Ok</v>
      </c>
      <c r="L72" s="593">
        <f ca="1">4*($C34^(-1/(4*YEARFRAC($B$29,$B72,3)))-1)</f>
        <v>0.1213121624159994</v>
      </c>
      <c r="M72" s="593" cm="1">
        <f t="array" aca="1" ref="M72" ca="1">_xll.d.Curve_GetZeroRates($C$19,$B72,"NACQ")</f>
        <v>0.1213121624159994</v>
      </c>
      <c r="N72" s="587" t="str" cm="1">
        <f t="array" aca="1" ref="N72" ca="1">_xll.d.TestUtils_Equal(L72,M72)</f>
        <v>Ok</v>
      </c>
      <c r="O72" s="593">
        <f ca="1">12*($C34^(-1/(12*YEARFRAC($B$29,$B72,3)))-1)</f>
        <v>0.12010603026150424</v>
      </c>
      <c r="P72" s="593" cm="1">
        <f t="array" aca="1" ref="P72" ca="1">_xll.d.Curve_GetZeroRates($C$19,$B72,"NACM")</f>
        <v>0.12010603026150424</v>
      </c>
      <c r="Q72" s="587" t="str" cm="1">
        <f t="array" aca="1" ref="Q72" ca="1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aca="1" ref="T72" ca="1">_xll.d.TestUtils_Equal(R72,S72)</f>
        <v>Ok</v>
      </c>
    </row>
    <row r="75" spans="2:23" ht="18.75" x14ac:dyDescent="0.3">
      <c r="B75" s="3" t="s">
        <v>494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aca="1" ref="C77" ca="1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496</v>
      </c>
      <c r="E81" s="570" t="s">
        <v>497</v>
      </c>
      <c r="F81" s="570" t="s">
        <v>495</v>
      </c>
      <c r="G81" s="570" t="s">
        <v>498</v>
      </c>
      <c r="H81" s="570" t="s">
        <v>84</v>
      </c>
      <c r="I81" s="570" t="s">
        <v>495</v>
      </c>
      <c r="J81" s="570" t="s">
        <v>498</v>
      </c>
      <c r="K81" s="570" t="s">
        <v>84</v>
      </c>
      <c r="L81" s="570" t="s">
        <v>495</v>
      </c>
      <c r="M81" s="570" t="s">
        <v>498</v>
      </c>
      <c r="N81" s="570" t="s">
        <v>84</v>
      </c>
      <c r="O81" s="570" t="s">
        <v>495</v>
      </c>
      <c r="P81" s="570" t="s">
        <v>498</v>
      </c>
      <c r="Q81" s="570" t="s">
        <v>84</v>
      </c>
      <c r="R81" s="570" t="s">
        <v>495</v>
      </c>
      <c r="S81" s="570" t="s">
        <v>498</v>
      </c>
      <c r="T81" s="570" t="s">
        <v>84</v>
      </c>
      <c r="U81" s="570" t="s">
        <v>495</v>
      </c>
      <c r="V81" s="570" t="s">
        <v>498</v>
      </c>
      <c r="W81" s="151" t="s">
        <v>84</v>
      </c>
    </row>
    <row r="82" spans="2:23" x14ac:dyDescent="0.25">
      <c r="B82" s="576">
        <f ca="1">B68</f>
        <v>44593</v>
      </c>
      <c r="C82" s="577">
        <f ca="1">EDATE(B82,3)</f>
        <v>44682</v>
      </c>
      <c r="D82" s="580" cm="1">
        <f t="array" aca="1" ref="D82" ca="1">_xll.d.Curve_GetDiscountFactors($C$19,B82)</f>
        <v>0.99</v>
      </c>
      <c r="E82" s="580" cm="1">
        <f t="array" aca="1" ref="E82" ca="1">_xll.d.Curve_GetDiscountFactors($C$19,C82)</f>
        <v>0.96</v>
      </c>
      <c r="F82" s="573" cm="1">
        <f t="array" aca="1" ref="F82" ca="1">_xll.d.IR_DiscountFactorsToForwardRate($F$80,D82,E82,YEARFRAC(B82,C82,3))</f>
        <v>0.1261983754310686</v>
      </c>
      <c r="G82" s="573">
        <f t="array" aca="1" ref="G82:G86" ca="1">_xll.d.Curve_GetForwardRates($C$19,B82:B86,C82:C86,F80)</f>
        <v>0.12619837543106849</v>
      </c>
      <c r="H82" s="567" t="str" cm="1">
        <f t="array" aca="1" ref="H82" ca="1">_xll.d.TestUtils_Equal(F82,G82)</f>
        <v>Ok</v>
      </c>
      <c r="I82" s="573" cm="1">
        <f t="array" aca="1" ref="I82" ca="1">_xll.d.IR_DiscountFactorsToForwardRate($I$80,D82,E82,YEARFRAC(B82,C82,3))</f>
        <v>0.13450720431718377</v>
      </c>
      <c r="J82" s="573">
        <f t="array" aca="1" ref="J82:J86" ca="1">_xll.d.Curve_GetForwardRates($C$19,B82:B86,C82:C86,I80)</f>
        <v>0.13450720431718355</v>
      </c>
      <c r="K82" s="567" t="str" cm="1">
        <f t="array" aca="1" ref="K82" ca="1">_xll.d.TestUtils_Equal(I82,J82)</f>
        <v>Ok</v>
      </c>
      <c r="L82" s="573" cm="1">
        <f t="array" aca="1" ref="L82" ca="1">_xll.d.IR_DiscountFactorsToForwardRate($L$80,D82,E82,YEARFRAC(B82,C82,3))</f>
        <v>0.13026496409923993</v>
      </c>
      <c r="M82" s="573" cm="1">
        <f t="array" aca="1" ref="M82:M86" ca="1">_xll.d.Curve_GetForwardRates($C$19,B82:B86,C82:C86,L80)</f>
        <v>0.13026496409923949</v>
      </c>
      <c r="N82" s="567" t="str" cm="1">
        <f t="array" aca="1" ref="N82" ca="1">_xll.d.TestUtils_Equal(L82,M82)</f>
        <v>Ok</v>
      </c>
      <c r="O82" s="573" cm="1">
        <f t="array" aca="1" ref="O82" ca="1">_xll.d.IR_DiscountFactorsToForwardRate($O$80,D82,E82,YEARFRAC(B82,C82,3))</f>
        <v>0.12821023117693464</v>
      </c>
      <c r="P82" s="573" cm="1">
        <f t="array" aca="1" ref="P82:P86" ca="1">_xll.d.Curve_GetForwardRates($C$19,B82:B86,C82:C86,O80)</f>
        <v>0.12821023117693464</v>
      </c>
      <c r="Q82" s="567" t="str" cm="1">
        <f t="array" aca="1" ref="Q82" ca="1">_xll.d.TestUtils_Equal(O82,P82)</f>
        <v>Ok</v>
      </c>
      <c r="R82" s="573" cm="1">
        <f t="array" aca="1" ref="R82" ca="1">_xll.d.IR_DiscountFactorsToForwardRate($R$80,D82,E82,YEARFRAC(B82,C82,3))</f>
        <v>0.12686429234424779</v>
      </c>
      <c r="S82" s="573" cm="1">
        <f t="array" aca="1" ref="S82:S86" ca="1">_xll.d.Curve_GetForwardRates($C$19,B82:B86,C82:C86,R80)</f>
        <v>0.12686429234424779</v>
      </c>
      <c r="T82" s="567" t="str" cm="1">
        <f t="array" aca="1" ref="T82" ca="1">_xll.d.TestUtils_Equal(R82,S82)</f>
        <v>Ok</v>
      </c>
      <c r="U82" s="573" cm="1">
        <f t="array" aca="1" ref="U82" ca="1">_xll.d.IR_DiscountFactorsToForwardRate($U$80,D82,E82,YEARFRAC(B82,C82,3))</f>
        <v>0.12816011235955058</v>
      </c>
      <c r="V82" s="573" cm="1">
        <f t="array" aca="1" ref="V82:V86" ca="1">_xll.d.Curve_GetForwardRates($C$19,B82:B86,C82:C86,U80)</f>
        <v>0.12816011235955058</v>
      </c>
      <c r="W82" s="571" t="str" cm="1">
        <f t="array" aca="1" ref="W82" ca="1">_xll.d.TestUtils_Equal(U82,V82)</f>
        <v>Ok</v>
      </c>
    </row>
    <row r="83" spans="2:23" x14ac:dyDescent="0.25">
      <c r="B83" s="564">
        <f ca="1">B69</f>
        <v>44621</v>
      </c>
      <c r="C83" s="578">
        <f ca="1">EDATE(B83,3)</f>
        <v>44713</v>
      </c>
      <c r="D83" s="581" cm="1">
        <f t="array" aca="1" ref="D83" ca="1">_xll.d.Curve_GetDiscountFactors($C$19,B83)</f>
        <v>0.98</v>
      </c>
      <c r="E83" s="581" cm="1">
        <f t="array" aca="1" ref="E83" ca="1">_xll.d.Curve_GetDiscountFactors($C$19,C83)</f>
        <v>0.95033887992895882</v>
      </c>
      <c r="F83" s="574" cm="1">
        <f t="array" aca="1" ref="F83" ca="1">_xll.d.IR_DiscountFactorsToForwardRate($F$80,D83,E83,YEARFRAC(B83,C83,3))</f>
        <v>0.12193354632163705</v>
      </c>
      <c r="G83" s="574">
        <f ca="1"/>
        <v>0.12193354632163736</v>
      </c>
      <c r="H83" s="566" t="str" cm="1">
        <f t="array" aca="1" ref="H83" ca="1">_xll.d.TestUtils_Equal(F83,G83)</f>
        <v>Ok</v>
      </c>
      <c r="I83" s="574" cm="1">
        <f t="array" aca="1" ref="I83" ca="1">_xll.d.IR_DiscountFactorsToForwardRate($I$80,D83,E83,YEARFRAC(B83,C83,3))</f>
        <v>0.12967902795910313</v>
      </c>
      <c r="J83" s="574">
        <f ca="1"/>
        <v>0.12967902795910358</v>
      </c>
      <c r="K83" s="566" t="str" cm="1">
        <f t="array" aca="1" ref="K83" ca="1">_xll.d.TestUtils_Equal(I83,J83)</f>
        <v>Ok</v>
      </c>
      <c r="L83" s="574" cm="1">
        <f t="array" aca="1" ref="L83" ca="1">_xll.d.IR_DiscountFactorsToForwardRate($L$80,D83,E83,YEARFRAC(B83,C83,3))</f>
        <v>0.12572719600526661</v>
      </c>
      <c r="M83" s="574">
        <f ca="1"/>
        <v>0.12572719600526661</v>
      </c>
      <c r="N83" s="566" t="str" cm="1">
        <f t="array" aca="1" ref="N83" ca="1">_xll.d.TestUtils_Equal(L83,M83)</f>
        <v>Ok</v>
      </c>
      <c r="O83" s="574" cm="1">
        <f t="array" aca="1" ref="O83" ca="1">_xll.d.IR_DiscountFactorsToForwardRate($O$80,D83,E83,YEARFRAC(B83,C83,3))</f>
        <v>0.12381104902275197</v>
      </c>
      <c r="P83" s="574">
        <f ca="1"/>
        <v>0.12381104902275286</v>
      </c>
      <c r="Q83" s="566" t="str" cm="1">
        <f t="array" aca="1" ref="Q83" ca="1">_xll.d.TestUtils_Equal(O83,P83)</f>
        <v>Ok</v>
      </c>
      <c r="R83" s="574" cm="1">
        <f t="array" aca="1" ref="R83" ca="1">_xll.d.IR_DiscountFactorsToForwardRate($R$80,D83,E83,YEARFRAC(B83,C83,3))</f>
        <v>0.12255514114432575</v>
      </c>
      <c r="S83" s="574">
        <f ca="1"/>
        <v>0.12255514114432575</v>
      </c>
      <c r="T83" s="566" t="str" cm="1">
        <f t="array" aca="1" ref="T83" ca="1">_xll.d.TestUtils_Equal(R83,S83)</f>
        <v>Ok</v>
      </c>
      <c r="U83" s="574" cm="1">
        <f t="array" aca="1" ref="U83" ca="1">_xll.d.IR_DiscountFactorsToForwardRate($U$80,D83,E83,YEARFRAC(B83,C83,3))</f>
        <v>0.12382663945714034</v>
      </c>
      <c r="V83" s="574">
        <f ca="1"/>
        <v>0.12382663945714034</v>
      </c>
      <c r="W83" s="572" t="str" cm="1">
        <f t="array" aca="1" ref="W83" ca="1">_xll.d.TestUtils_Equal(U83,V83)</f>
        <v>Ok</v>
      </c>
    </row>
    <row r="84" spans="2:23" x14ac:dyDescent="0.25">
      <c r="B84" s="564">
        <f ca="1">B70</f>
        <v>44652</v>
      </c>
      <c r="C84" s="578">
        <f ca="1">EDATE(B84,3)</f>
        <v>44743</v>
      </c>
      <c r="D84" s="581" cm="1">
        <f t="array" aca="1" ref="D84" ca="1">_xll.d.Curve_GetDiscountFactors($C$19,B84)</f>
        <v>0.97</v>
      </c>
      <c r="E84" s="581" cm="1">
        <f t="array" aca="1" ref="E84" ca="1">_xll.d.Curve_GetDiscountFactors($C$19,C84)</f>
        <v>0.94108199131668513</v>
      </c>
      <c r="F84" s="574" cm="1">
        <f t="array" aca="1" ref="F84" ca="1">_xll.d.IR_DiscountFactorsToForwardRate($F$80,D84,E84,YEARFRAC(B84,C84,3))</f>
        <v>0.12139580563464189</v>
      </c>
      <c r="G84" s="574">
        <f ca="1"/>
        <v>0.12139580563464152</v>
      </c>
      <c r="H84" s="566" t="str" cm="1">
        <f t="array" aca="1" ref="H84" ca="1">_xll.d.TestUtils_Equal(F84,G84)</f>
        <v>Ok</v>
      </c>
      <c r="I84" s="574" cm="1">
        <f t="array" aca="1" ref="I84" ca="1">_xll.d.IR_DiscountFactorsToForwardRate($I$80,D84,E84,YEARFRAC(B84,C84,3))</f>
        <v>0.12907171688509589</v>
      </c>
      <c r="J84" s="574">
        <f ca="1"/>
        <v>0.12907171688509544</v>
      </c>
      <c r="K84" s="566" t="str" cm="1">
        <f t="array" aca="1" ref="K84" ca="1">_xll.d.TestUtils_Equal(I84,J84)</f>
        <v>Ok</v>
      </c>
      <c r="L84" s="574" cm="1">
        <f t="array" aca="1" ref="L84" ca="1">_xll.d.IR_DiscountFactorsToForwardRate($L$80,D84,E84,YEARFRAC(B84,C84,3))</f>
        <v>0.12515572783275886</v>
      </c>
      <c r="M84" s="574">
        <f ca="1"/>
        <v>0.12515572783275841</v>
      </c>
      <c r="N84" s="566" t="str" cm="1">
        <f t="array" aca="1" ref="N84" ca="1">_xll.d.TestUtils_Equal(L84,M84)</f>
        <v>Ok</v>
      </c>
      <c r="O84" s="574" cm="1">
        <f t="array" aca="1" ref="O84" ca="1">_xll.d.IR_DiscountFactorsToForwardRate($O$80,D84,E84,YEARFRAC(B84,C84,3))</f>
        <v>0.1232567010388852</v>
      </c>
      <c r="P84" s="574">
        <f ca="1"/>
        <v>0.1232567010388852</v>
      </c>
      <c r="Q84" s="566" t="str" cm="1">
        <f t="array" aca="1" ref="Q84" ca="1">_xll.d.TestUtils_Equal(O84,P84)</f>
        <v>Ok</v>
      </c>
      <c r="R84" s="574" cm="1">
        <f t="array" aca="1" ref="R84" ca="1">_xll.d.IR_DiscountFactorsToForwardRate($R$80,D84,E84,YEARFRAC(B84,C84,3))</f>
        <v>0.12201192072159373</v>
      </c>
      <c r="S84" s="574">
        <f ca="1"/>
        <v>0.12201192072159373</v>
      </c>
      <c r="T84" s="566" t="str" cm="1">
        <f t="array" aca="1" ref="T84" ca="1">_xll.d.TestUtils_Equal(R84,S84)</f>
        <v>Ok</v>
      </c>
      <c r="U84" s="574" cm="1">
        <f t="array" aca="1" ref="U84" ca="1">_xll.d.IR_DiscountFactorsToForwardRate($U$80,D84,E84,YEARFRAC(B84,C84,3))</f>
        <v>0.12325155100054225</v>
      </c>
      <c r="V84" s="574">
        <f ca="1"/>
        <v>0.12325155100054225</v>
      </c>
      <c r="W84" s="572" t="str" cm="1">
        <f t="array" aca="1" ref="W84" ca="1">_xll.d.TestUtils_Equal(U84,V84)</f>
        <v>Ok</v>
      </c>
    </row>
    <row r="85" spans="2:23" x14ac:dyDescent="0.25">
      <c r="B85" s="564">
        <f ca="1">B71</f>
        <v>44682</v>
      </c>
      <c r="C85" s="578">
        <f ca="1">EDATE(B85,3)</f>
        <v>44774</v>
      </c>
      <c r="D85" s="581" cm="1">
        <f t="array" aca="1" ref="D85" ca="1">_xll.d.Curve_GetDiscountFactors($C$19,B85)</f>
        <v>0.96</v>
      </c>
      <c r="E85" s="581" cm="1">
        <f t="array" aca="1" ref="E85" ca="1">_xll.d.Curve_GetDiscountFactors($C$19,C85)</f>
        <v>0.93161125578042991</v>
      </c>
      <c r="F85" s="574" cm="1">
        <f t="array" aca="1" ref="F85" ca="1">_xll.d.IR_DiscountFactorsToForwardRate($F$80,D85,E85,YEARFRAC(B85,C85,3))</f>
        <v>0.11909182040619554</v>
      </c>
      <c r="G85" s="574">
        <f ca="1"/>
        <v>0.11909182040619548</v>
      </c>
      <c r="H85" s="566" t="str" cm="1">
        <f t="array" aca="1" ref="H85" ca="1">_xll.d.TestUtils_Equal(F85,G85)</f>
        <v>Ok</v>
      </c>
      <c r="I85" s="574" cm="1">
        <f t="array" aca="1" ref="I85" ca="1">_xll.d.IR_DiscountFactorsToForwardRate($I$80,D85,E85,YEARFRAC(B85,C85,3))</f>
        <v>0.12647334678012689</v>
      </c>
      <c r="J85" s="574">
        <f ca="1"/>
        <v>0.12647334678012689</v>
      </c>
      <c r="K85" s="566" t="str" cm="1">
        <f t="array" aca="1" ref="K85" ca="1">_xll.d.TestUtils_Equal(I85,J85)</f>
        <v>Ok</v>
      </c>
      <c r="L85" s="574" cm="1">
        <f t="array" aca="1" ref="L85" ca="1">_xll.d.IR_DiscountFactorsToForwardRate($L$80,D85,E85,YEARFRAC(B85,C85,3))</f>
        <v>0.1227089737221414</v>
      </c>
      <c r="M85" s="574">
        <f ca="1"/>
        <v>0.1227089737221414</v>
      </c>
      <c r="N85" s="566" t="str" cm="1">
        <f t="array" aca="1" ref="N85" ca="1">_xll.d.TestUtils_Equal(L85,M85)</f>
        <v>Ok</v>
      </c>
      <c r="O85" s="574" cm="1">
        <f t="array" aca="1" ref="O85" ca="1">_xll.d.IR_DiscountFactorsToForwardRate($O$80,D85,E85,YEARFRAC(B85,C85,3))</f>
        <v>0.12088240426454444</v>
      </c>
      <c r="P85" s="574">
        <f ca="1"/>
        <v>0.12088240426454444</v>
      </c>
      <c r="Q85" s="566" t="str" cm="1">
        <f t="array" aca="1" ref="Q85" ca="1">_xll.d.TestUtils_Equal(O85,P85)</f>
        <v>Ok</v>
      </c>
      <c r="R85" s="574" cm="1">
        <f t="array" aca="1" ref="R85" ca="1">_xll.d.IR_DiscountFactorsToForwardRate($R$80,D85,E85,YEARFRAC(B85,C85,3))</f>
        <v>0.11968473277032032</v>
      </c>
      <c r="S85" s="574">
        <f ca="1"/>
        <v>0.11968473277032032</v>
      </c>
      <c r="T85" s="566" t="str" cm="1">
        <f t="array" aca="1" ref="T85" ca="1">_xll.d.TestUtils_Equal(R85,S85)</f>
        <v>Ok</v>
      </c>
      <c r="U85" s="574" cm="1">
        <f t="array" aca="1" ref="U85" ca="1">_xll.d.IR_DiscountFactorsToForwardRate($U$80,D85,E85,YEARFRAC(B85,C85,3))</f>
        <v>0.12089726939132452</v>
      </c>
      <c r="V85" s="574">
        <f ca="1"/>
        <v>0.12089726939132452</v>
      </c>
      <c r="W85" s="572" t="str" cm="1">
        <f t="array" aca="1" ref="W85" ca="1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f ca="1"/>
        <v>0.11909182040619463</v>
      </c>
      <c r="H86" s="568" t="str" cm="1">
        <f t="array" aca="1" ref="H86" ca="1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f ca="1"/>
        <v>0.12647334678012601</v>
      </c>
      <c r="K86" s="568" t="str" cm="1">
        <f t="array" aca="1" ref="K86" ca="1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f ca="1"/>
        <v>0.12270897372214051</v>
      </c>
      <c r="N86" s="568" t="str" cm="1">
        <f t="array" aca="1" ref="N86" ca="1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f ca="1"/>
        <v>0.12088240426454355</v>
      </c>
      <c r="Q86" s="568" t="str" cm="1">
        <f t="array" aca="1" ref="Q86" ca="1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f ca="1"/>
        <v>0.11968473277032032</v>
      </c>
      <c r="T86" s="568" t="str" cm="1">
        <f t="array" aca="1" ref="T86" ca="1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f ca="1"/>
        <v>0.12089726939132364</v>
      </c>
      <c r="W86" s="562" t="str" cm="1">
        <f t="array" aca="1" ref="W86" ca="1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416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aca="1" ref="C6" ca="1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 ca="1"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 ca="1"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aca="1" ref="C21" ca="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aca="1" ref="N21" ca="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aca="1" ref="I23" ca="1">_xll.d.Curve_GetDiscountFactors($D$24,G23)</f>
        <v>#VALUE!</v>
      </c>
      <c r="J23" s="234" t="str" cm="1">
        <f t="array" aca="1" ref="J23" ca="1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@@ZARCurve::11:53:26</v>
      </c>
      <c r="E24" s="226"/>
      <c r="G24" s="246">
        <f ca="1">EDATE(G23,1)</f>
        <v>44743</v>
      </c>
      <c r="H24" s="256">
        <f ca="1">1/(1+YEARFRAC($G$23,G24,3)*C35)</f>
        <v>0.99184782608695643</v>
      </c>
      <c r="I24" s="256" t="e" cm="1">
        <f t="array" aca="1" ref="I24" ca="1">_xll.d.Curve_GetDiscountFactors($D$24,G24)</f>
        <v>#VALUE!</v>
      </c>
      <c r="J24" s="238" t="str" cm="1">
        <f t="array" aca="1" ref="J24" ca="1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@@USDOIS::11:53:26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 ca="1">1/(1+YEARFRAC($G$23,G25,3)*C36)</f>
        <v>0.98356238210724867</v>
      </c>
      <c r="I25" s="256" t="e" cm="1">
        <f t="array" aca="1" ref="I25" ca="1">_xll.d.Curve_GetDiscountFactors($D$24,G25)</f>
        <v>#VALUE!</v>
      </c>
      <c r="J25" s="238" t="str" cm="1">
        <f t="array" aca="1" ref="J25" ca="1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 ca="1">EDATE(G23,3)</f>
        <v>44805</v>
      </c>
      <c r="H26" s="256">
        <f ca="1">1/(1+YEARFRAC($G$23,G26,3)*C37)</f>
        <v>0.97541421699625863</v>
      </c>
      <c r="I26" s="256" t="e" cm="1">
        <f t="array" aca="1" ref="I26" ca="1">_xll.d.Curve_GetDiscountFactors($D$24,G26)</f>
        <v>#VALUE!</v>
      </c>
      <c r="J26" s="238" t="str" cm="1">
        <f t="array" aca="1" ref="J26" ca="1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aca="1" ref="U26" ca="1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 ca="1">EDATE(G23,6)</f>
        <v>44896</v>
      </c>
      <c r="H27" s="256">
        <f ca="1">H26*1/(1+YEARFRAC($G$26,G27,3)*C41)</f>
        <v>0.95168722053898536</v>
      </c>
      <c r="I27" s="256" t="e" cm="1">
        <f t="array" aca="1" ref="I27" ca="1">_xll.d.Curve_GetDiscountFactors($D$24,G27)</f>
        <v>#VALUE!</v>
      </c>
      <c r="J27" s="238" t="str" cm="1">
        <f t="array" aca="1" ref="J27" ca="1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aca="1" ref="U27" ca="1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 ca="1">EDATE(G23,9)</f>
        <v>44986</v>
      </c>
      <c r="H28" s="257">
        <f ca="1">H27*1/(1+C42*YEARFRAC(G27,G28,3))</f>
        <v>0.92878565640836808</v>
      </c>
      <c r="I28" s="257" t="e" cm="1">
        <f t="array" aca="1" ref="I28" ca="1">_xll.d.Curve_GetDiscountFactors($D$24,G28)</f>
        <v>#VALUE!</v>
      </c>
      <c r="J28" s="236" t="str" cm="1">
        <f t="array" aca="1" ref="J28" ca="1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aca="1" ref="U28" ca="1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aca="1" ref="U29" ca="1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416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 ca="1">EDATE(I10,1)</f>
        <v>44743</v>
      </c>
      <c r="J11">
        <f ca="1"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 ca="1">EDATE(I10,2)</f>
        <v>44774</v>
      </c>
      <c r="J12">
        <f ca="1"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 ca="1">EDATE(I10,3)</f>
        <v>44805</v>
      </c>
      <c r="J13">
        <f ca="1"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 ca="1">EDATE(I10,6)</f>
        <v>44896</v>
      </c>
      <c r="J14">
        <f ca="1"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 ca="1"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416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 ca="1"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416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aca="1" ref="C6" ca="1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 ca="1"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aca="1" ref="C20" ca="1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aca="1" ref="J22" ca="1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 ca="1">EDATE(G22,1)</f>
        <v>44743</v>
      </c>
      <c r="H23" s="256" t="e">
        <f ca="1">1/(1+YEARFRAC($G$22,G23,3)*#REF!)</f>
        <v>#REF!</v>
      </c>
      <c r="I23" s="256" t="e" cm="1">
        <f t="array" aca="1" ref="I23" ca="1">_xll.d.Curve_GetDiscountFactors($C$23,G23)</f>
        <v>#VALUE!</v>
      </c>
      <c r="J23" s="238" t="str" cm="1">
        <f t="array" aca="1" ref="J23" ca="1">_xll.d.TestUtils_Equal(H23,I23,0.00001)</f>
        <v>Error</v>
      </c>
    </row>
    <row r="24" spans="2:10" x14ac:dyDescent="0.25">
      <c r="G24" s="246">
        <f ca="1">EDATE(G22,2)</f>
        <v>44774</v>
      </c>
      <c r="H24" s="256" t="e">
        <f ca="1">1/(1+YEARFRAC($G$22,G24,3)*#REF!)</f>
        <v>#REF!</v>
      </c>
      <c r="I24" s="256" t="e" cm="1">
        <f t="array" aca="1" ref="I24" ca="1">_xll.d.Curve_GetDiscountFactors($C$23,G24)</f>
        <v>#VALUE!</v>
      </c>
      <c r="J24" s="238" t="str" cm="1">
        <f t="array" aca="1" ref="J24" ca="1">_xll.d.TestUtils_Equal(H24,I24,0.00001)</f>
        <v>Error</v>
      </c>
    </row>
    <row r="25" spans="2:10" x14ac:dyDescent="0.25">
      <c r="G25" s="246">
        <f ca="1">EDATE(G22,3)</f>
        <v>44805</v>
      </c>
      <c r="H25" s="256" t="e">
        <f ca="1">1/(1+YEARFRAC($G$22,G25,3)*#REF!)</f>
        <v>#REF!</v>
      </c>
      <c r="I25" s="256" t="e" cm="1">
        <f t="array" aca="1" ref="I25" ca="1">_xll.d.Curve_GetDiscountFactors($C$23,G25)</f>
        <v>#VALUE!</v>
      </c>
      <c r="J25" s="238" t="str" cm="1">
        <f t="array" aca="1" ref="J25" ca="1">_xll.d.TestUtils_Equal(H25,I25,0.00001)</f>
        <v>Error</v>
      </c>
    </row>
    <row r="26" spans="2:10" x14ac:dyDescent="0.25">
      <c r="B26" s="12" t="s">
        <v>222</v>
      </c>
      <c r="C26" s="13"/>
      <c r="G26" s="246">
        <f ca="1">EDATE(G22,6)</f>
        <v>44896</v>
      </c>
      <c r="H26" s="256" t="e">
        <f ca="1">H25*1/(1+YEARFRAC($G$25,G26,3)*#REF!)</f>
        <v>#REF!</v>
      </c>
      <c r="I26" s="256" t="e" cm="1">
        <f t="array" aca="1" ref="I26" ca="1">_xll.d.Curve_GetDiscountFactors($C$23,G26)</f>
        <v>#VALUE!</v>
      </c>
      <c r="J26" s="238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 ca="1"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aca="1" ref="J27" ca="1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416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aca="1" ref="C4" ca="1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 ca="1"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 ca="1"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 ca="1"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 ca="1"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 ca="1"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 ca="1"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 ca="1"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 ca="1"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 ca="1">C197</f>
        <v>Ok</v>
      </c>
    </row>
    <row r="16" spans="2:23" x14ac:dyDescent="0.25">
      <c r="B16" s="213" t="s">
        <v>191</v>
      </c>
      <c r="C16" s="177" t="str">
        <f ca="1"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aca="1" ref="C21" ca="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aca="1" ref="C27" ca="1">_xll.d.TestUtils_IsTrue(C32="OK")</f>
        <v>Ok</v>
      </c>
      <c r="E27" s="59" t="s">
        <v>126</v>
      </c>
      <c r="F27" s="177" t="str" cm="1">
        <f t="array" aca="1" ref="F27" ca="1">_xll.d.TestUtils_IsTrue(E35="OK")</f>
        <v>Ok</v>
      </c>
      <c r="J27" s="59" t="s">
        <v>126</v>
      </c>
      <c r="K27" s="177" t="str" cm="1">
        <f t="array" aca="1" ref="K27" ca="1">_xll.d.TestUtils_IsTrue(J32="OK")</f>
        <v>Ok</v>
      </c>
      <c r="O27" s="59" t="s">
        <v>126</v>
      </c>
      <c r="P27" s="177" t="str" cm="1">
        <f t="array" aca="1" ref="P27" ca="1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aca="1" ref="C43" ca="1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aca="1" ref="C49" ca="1">_xll.d.TestUtils_IsTrue(C54="ERROR")</f>
        <v>Ok</v>
      </c>
      <c r="E49" s="59" t="s">
        <v>126</v>
      </c>
      <c r="F49" s="177" t="str" cm="1">
        <f t="array" aca="1" ref="F49" ca="1">_xll.d.TestUtils_IsTrue(E54="ERROR")</f>
        <v>Ok</v>
      </c>
      <c r="J49" s="59" t="s">
        <v>126</v>
      </c>
      <c r="K49" s="177" t="str" cm="1">
        <f t="array" aca="1" ref="K49" ca="1">_xll.d.TestUtils_IsTrue(J54="ERROR")</f>
        <v>Ok</v>
      </c>
      <c r="O49" s="59" t="s">
        <v>126</v>
      </c>
      <c r="P49" s="177" t="str" cm="1">
        <f t="array" aca="1" ref="P49" ca="1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aca="1" ref="C65" ca="1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aca="1" ref="C71" ca="1">_xll.d.TestUtils_IsTrue(C76="WARNING")</f>
        <v>Ok</v>
      </c>
      <c r="E71" s="59" t="s">
        <v>126</v>
      </c>
      <c r="F71" s="177" t="str" cm="1">
        <f t="array" aca="1" ref="F71" ca="1">_xll.d.TestUtils_IsTrue(E76="WARNING")</f>
        <v>Ok</v>
      </c>
      <c r="J71" s="59" t="s">
        <v>126</v>
      </c>
      <c r="K71" s="177" t="str" cm="1">
        <f t="array" aca="1" ref="K71" ca="1">_xll.d.TestUtils_IsTrue(J76="WARNING")</f>
        <v>Ok</v>
      </c>
      <c r="O71" s="59" t="s">
        <v>126</v>
      </c>
      <c r="P71" s="177" t="str" cm="1">
        <f t="array" aca="1" ref="P71" ca="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aca="1" ref="C87" ca="1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aca="1" ref="C93" ca="1">_xll.d.TestUtils_IsTrue(C98="ERROR")</f>
        <v>Ok</v>
      </c>
      <c r="E93" s="59" t="s">
        <v>126</v>
      </c>
      <c r="F93" s="177" t="str" cm="1">
        <f t="array" aca="1" ref="F93" ca="1">_xll.d.TestUtils_IsTrue(E98="ERROR")</f>
        <v>Ok</v>
      </c>
      <c r="J93" s="59" t="s">
        <v>126</v>
      </c>
      <c r="K93" s="177" t="str" cm="1">
        <f t="array" aca="1" ref="K93" ca="1">_xll.d.TestUtils_IsTrue(J98="ERROR")</f>
        <v>Ok</v>
      </c>
      <c r="O93" s="59" t="s">
        <v>126</v>
      </c>
      <c r="P93" s="177" t="str" cm="1">
        <f t="array" aca="1" ref="P93" ca="1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aca="1" ref="C109" ca="1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aca="1" ref="C115" ca="1">_xll.d.TestUtils_IsTrue(C120="ERROR")</f>
        <v>Ok</v>
      </c>
      <c r="E115" s="59" t="s">
        <v>126</v>
      </c>
      <c r="F115" s="177" t="str" cm="1">
        <f t="array" aca="1" ref="F115" ca="1">_xll.d.TestUtils_IsTrue(E120="ERROR")</f>
        <v>Ok</v>
      </c>
      <c r="J115" s="59" t="s">
        <v>126</v>
      </c>
      <c r="K115" s="177" t="str" cm="1">
        <f t="array" aca="1" ref="K115" ca="1">_xll.d.TestUtils_IsTrue(J120="ERROR")</f>
        <v>Ok</v>
      </c>
      <c r="O115" s="59" t="s">
        <v>126</v>
      </c>
      <c r="P115" s="177" t="str" cm="1">
        <f t="array" aca="1" ref="P115" ca="1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aca="1" ref="C120" ca="1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aca="1" ref="C131" ca="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aca="1" ref="C137" ca="1">_xll.d.TestUtils_IsTrue(C142="OK")</f>
        <v>Ok</v>
      </c>
      <c r="E137" s="59" t="s">
        <v>126</v>
      </c>
      <c r="F137" s="177" t="str" cm="1">
        <f t="array" aca="1" ref="F137" ca="1">_xll.d.TestUtils_IsTrue(E142="OK")</f>
        <v>Ok</v>
      </c>
      <c r="J137" s="59" t="s">
        <v>126</v>
      </c>
      <c r="K137" s="177" t="str" cm="1">
        <f t="array" aca="1" ref="K137" ca="1">_xll.d.TestUtils_IsTrue(J142="OK")</f>
        <v>Ok</v>
      </c>
      <c r="O137" s="59" t="s">
        <v>126</v>
      </c>
      <c r="P137" s="177" t="str" cm="1">
        <f t="array" aca="1" ref="P137" ca="1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aca="1" ref="C153" ca="1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aca="1" ref="C159" ca="1">_xll.d.TestUtils_IsTrue(C164="WARNING")</f>
        <v>Ok</v>
      </c>
      <c r="E159" s="59" t="s">
        <v>126</v>
      </c>
      <c r="F159" s="177" t="str" cm="1">
        <f t="array" aca="1" ref="F159" ca="1">_xll.d.TestUtils_IsTrue(E164="WARNING")</f>
        <v>Ok</v>
      </c>
      <c r="J159" s="59" t="s">
        <v>126</v>
      </c>
      <c r="K159" s="177" t="str" cm="1">
        <f t="array" aca="1" ref="K159" ca="1">_xll.d.TestUtils_IsTrue(J164="WARNING")</f>
        <v>Ok</v>
      </c>
      <c r="O159" s="59" t="s">
        <v>126</v>
      </c>
      <c r="P159" s="177" t="str" cm="1">
        <f t="array" aca="1" ref="P159" ca="1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aca="1" ref="C175" ca="1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aca="1" ref="C181" ca="1">_xll.d.TestUtils_IsTrue(C186="OK")</f>
        <v>Ok</v>
      </c>
      <c r="E181" s="59" t="s">
        <v>126</v>
      </c>
      <c r="F181" s="177" t="str" cm="1">
        <f t="array" aca="1" ref="F181" ca="1">_xll.d.TestUtils_IsTrue(E186="OK")</f>
        <v>Ok</v>
      </c>
      <c r="J181" s="59" t="s">
        <v>126</v>
      </c>
      <c r="K181" s="177" t="str" cm="1">
        <f t="array" aca="1" ref="K181" ca="1">_xll.d.TestUtils_IsTrue(J186="OK")</f>
        <v>Ok</v>
      </c>
      <c r="O181" s="59" t="s">
        <v>126</v>
      </c>
      <c r="P181" s="177" t="str" cm="1">
        <f t="array" aca="1" ref="P181" ca="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aca="1" ref="E186" ca="1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aca="1" ref="C197" ca="1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aca="1" ref="C203" ca="1">_xll.d.TestUtils_IsTrue(C208="OK")</f>
        <v>Ok</v>
      </c>
      <c r="E203" s="59" t="s">
        <v>126</v>
      </c>
      <c r="F203" s="177" t="str" cm="1">
        <f t="array" aca="1" ref="F203" ca="1">_xll.d.TestUtils_IsTrue(E208="OK")</f>
        <v>Ok</v>
      </c>
      <c r="J203" s="59" t="s">
        <v>126</v>
      </c>
      <c r="K203" s="177" t="str" cm="1">
        <f t="array" aca="1" ref="K203" ca="1">_xll.d.TestUtils_IsTrue(J208="OK")</f>
        <v>Ok</v>
      </c>
      <c r="O203" s="59" t="s">
        <v>126</v>
      </c>
      <c r="P203" s="177" t="str" cm="1">
        <f t="array" aca="1" ref="P203" ca="1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aca="1" ref="C219" ca="1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aca="1" ref="C225" ca="1">_xll.d.TestUtils_IsTrue(C230="ERROR")</f>
        <v>Ok</v>
      </c>
      <c r="E225" s="59" t="s">
        <v>126</v>
      </c>
      <c r="F225" s="177" t="str" cm="1">
        <f t="array" aca="1" ref="F225" ca="1">_xll.d.TestUtils_IsTrue(F230="ERROR")</f>
        <v>Ok</v>
      </c>
      <c r="H225" s="59" t="s">
        <v>126</v>
      </c>
      <c r="I225" s="177" t="str" cm="1">
        <f t="array" aca="1" ref="I225" ca="1">_xll.d.TestUtils_IsTrue(_xll.d.TestUtils_Or(I230:I233)="ERROR")</f>
        <v>Ok</v>
      </c>
      <c r="K225" s="59" t="s">
        <v>126</v>
      </c>
      <c r="L225" s="177" t="str" cm="1">
        <f t="array" aca="1" ref="L225" ca="1">_xll.d.TestUtils_IsTrue(L230="ERROR")</f>
        <v>Ok</v>
      </c>
      <c r="N225" s="59" t="s">
        <v>126</v>
      </c>
      <c r="O225" s="177" t="str" cm="1">
        <f t="array" aca="1" ref="O225" ca="1">_xll.d.TestUtils_IsTrue(O230="ERROR")</f>
        <v>Ok</v>
      </c>
      <c r="Q225" s="59" t="s">
        <v>126</v>
      </c>
      <c r="R225" s="177" t="str" cm="1">
        <f t="array" aca="1" ref="R225" ca="1">_xll.d.TestUtils_IsTrue(R230="ERROR")</f>
        <v>Ok</v>
      </c>
      <c r="T225" s="59" t="s">
        <v>126</v>
      </c>
      <c r="U225" s="177" t="str" cm="1">
        <f t="array" aca="1" ref="U225" ca="1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aca="1" ref="O230" ca="1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="115" zoomScaleNormal="115" workbookViewId="0"/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416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Ok</v>
      </c>
      <c r="E4" s="147" t="s">
        <v>116</v>
      </c>
      <c r="F4" s="59"/>
    </row>
    <row r="5" spans="2:56" x14ac:dyDescent="0.25">
      <c r="E5" s="459" t="s">
        <v>491</v>
      </c>
      <c r="F5" s="460"/>
    </row>
    <row r="6" spans="2:56" x14ac:dyDescent="0.25">
      <c r="B6" s="203" t="s">
        <v>9</v>
      </c>
      <c r="C6" s="204" t="s">
        <v>10</v>
      </c>
      <c r="E6" s="461" t="s">
        <v>490</v>
      </c>
      <c r="F6" s="144"/>
    </row>
    <row r="7" spans="2:56" x14ac:dyDescent="0.25">
      <c r="B7" s="200" t="s">
        <v>109</v>
      </c>
      <c r="C7" s="177" t="str">
        <f ca="1">C24</f>
        <v>Ok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Ok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Error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Ok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24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24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22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22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22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22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22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22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22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22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22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22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22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22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22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22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22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22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22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22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22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22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22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22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22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22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22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22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22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22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22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22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23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23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25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26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26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26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26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26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26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26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26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26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26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26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26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26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26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26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26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24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24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23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23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24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24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22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22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22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22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22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22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23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23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2023-01-13T09:53:35Z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