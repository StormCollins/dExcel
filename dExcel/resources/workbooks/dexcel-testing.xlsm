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8237A67-E288-4078-A999-71183B8B11F8}" xr6:coauthVersionLast="47" xr6:coauthVersionMax="47" xr10:uidLastSave="{00000000-0000-0000-0000-000000000000}"/>
  <bookViews>
    <workbookView xWindow="-120" yWindow="-120" windowWidth="24240" windowHeight="13140" tabRatio="721" activeTab="2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3" l="1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S21" i="17" a="1"/>
  <c r="U21" i="17" a="1"/>
  <c r="R24" i="17" a="1"/>
  <c r="T21" i="17" a="1"/>
  <c r="Q24" i="17" a="1"/>
  <c r="P23" i="17" a="1"/>
  <c r="Q23" i="17" a="1"/>
  <c r="Q25" i="17" a="1"/>
  <c r="Q26" i="17" a="1"/>
  <c r="U26" i="17" a="1"/>
  <c r="T22" i="17" a="1"/>
  <c r="F39" i="17" a="1"/>
  <c r="BG40" i="5" a="1"/>
  <c r="D5" i="8" a="1"/>
  <c r="U25" i="17" a="1"/>
  <c r="AV20" i="17" a="1"/>
  <c r="BD63" i="5" a="1"/>
  <c r="P24" i="17" a="1"/>
  <c r="Q21" i="17" a="1"/>
  <c r="F43" i="17" a="1"/>
  <c r="P25" i="17" a="1"/>
  <c r="T24" i="17" a="1"/>
  <c r="R25" i="17" a="1"/>
  <c r="P21" i="17" a="1"/>
  <c r="F40" i="17" a="1"/>
  <c r="T25" i="17" a="1"/>
  <c r="S23" i="17" a="1"/>
  <c r="U24" i="17" a="1"/>
  <c r="Q22" i="17" a="1"/>
  <c r="P26" i="17" a="1"/>
  <c r="S24" i="17" a="1"/>
  <c r="S26" i="17" a="1"/>
  <c r="M38" i="17" a="1"/>
  <c r="F42" i="17" a="1"/>
  <c r="F38" i="17" a="1"/>
  <c r="T23" i="17" a="1"/>
  <c r="P22" i="17" a="1"/>
  <c r="F41" i="17" a="1"/>
  <c r="C19" i="1" a="1"/>
  <c r="U23" i="17" a="1"/>
  <c r="R22" i="17" a="1"/>
  <c r="S22" i="17" a="1"/>
  <c r="AJ20" i="17" a="1"/>
  <c r="T26" i="17" a="1"/>
  <c r="S25" i="17" a="1"/>
  <c r="R21" i="17" a="1"/>
  <c r="R26" i="17" a="1"/>
  <c r="R23" i="17" a="1"/>
  <c r="X48" i="15" a="1"/>
  <c r="U22" i="17" a="1"/>
  <c r="D24" i="3" a="1"/>
  <c r="O24" i="3" a="1"/>
  <c r="C244" i="13" a="1"/>
  <c r="C24" i="13" a="1"/>
  <c r="C247" i="13" a="1"/>
  <c r="C243" i="13" a="1"/>
  <c r="C36" i="13" a="1"/>
  <c r="E169" i="13" a="1"/>
  <c r="C242" i="13" a="1"/>
  <c r="L65" i="13" a="1"/>
  <c r="E53" i="13" a="1"/>
  <c r="C245" i="13" a="1"/>
  <c r="E41" i="13" a="1"/>
  <c r="D246" i="13" a="1"/>
  <c r="D241" i="13" a="1"/>
  <c r="C241" i="13" a="1"/>
  <c r="D244" i="13" a="1"/>
  <c r="D245" i="13" a="1"/>
  <c r="C246" i="13" a="1"/>
  <c r="E65" i="13" a="1"/>
  <c r="D247" i="13" a="1"/>
  <c r="D243" i="13" a="1"/>
  <c r="D242" i="13" a="1"/>
  <c r="AI65" i="13" a="1"/>
  <c r="E29" i="13" a="1"/>
  <c r="Z65" i="13" a="1"/>
  <c r="E196" i="13" a="1"/>
  <c r="S65" i="13" a="1"/>
  <c r="E110" i="13" a="1"/>
  <c r="E65" i="13" l="1"/>
  <c r="L65" i="13"/>
  <c r="BG40" i="5"/>
  <c r="BD63" i="5"/>
  <c r="Z65" i="13"/>
  <c r="X48" i="15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65" i="13"/>
  <c r="O24" i="3"/>
  <c r="AI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AA24" i="17" a="1"/>
  <c r="AC22" i="17" a="1"/>
  <c r="AC26" i="17" a="1"/>
  <c r="Y21" i="17" a="1"/>
  <c r="S38" i="17" a="1"/>
  <c r="AA21" i="17" a="1"/>
  <c r="D50" i="1" a="1"/>
  <c r="Y23" i="17" a="1"/>
  <c r="D6" i="8" a="1"/>
  <c r="Z22" i="17" a="1"/>
  <c r="AD25" i="17" a="1"/>
  <c r="AC23" i="17" a="1"/>
  <c r="AB26" i="17" a="1"/>
  <c r="H39" i="17" a="1"/>
  <c r="Y22" i="17" a="1"/>
  <c r="AB23" i="17" a="1"/>
  <c r="AA22" i="17" a="1"/>
  <c r="AA23" i="17" a="1"/>
  <c r="D86" i="1" a="1"/>
  <c r="AB22" i="17" a="1"/>
  <c r="H42" i="17" a="1"/>
  <c r="Z26" i="17" a="1"/>
  <c r="AD22" i="17" a="1"/>
  <c r="AD24" i="17" a="1"/>
  <c r="Z25" i="17" a="1"/>
  <c r="AB25" i="17" a="1"/>
  <c r="D48" i="1" a="1"/>
  <c r="AD23" i="17" a="1"/>
  <c r="Z21" i="17" a="1"/>
  <c r="H43" i="17" a="1"/>
  <c r="AC21" i="17" a="1"/>
  <c r="BB20" i="17" a="1"/>
  <c r="H38" i="17" a="1"/>
  <c r="AB24" i="17" a="1"/>
  <c r="E86" i="1" a="1"/>
  <c r="AD21" i="17" a="1"/>
  <c r="Y25" i="17" a="1"/>
  <c r="Y26" i="17" a="1"/>
  <c r="AA26" i="17" a="1"/>
  <c r="Y24" i="17" a="1"/>
  <c r="AC24" i="17" a="1"/>
  <c r="AC25" i="17" a="1"/>
  <c r="Z24" i="17" a="1"/>
  <c r="AB21" i="17" a="1"/>
  <c r="AD26" i="17" a="1"/>
  <c r="AP20" i="17" a="1"/>
  <c r="AA25" i="17" a="1"/>
  <c r="H40" i="17" a="1"/>
  <c r="H41" i="17" a="1"/>
  <c r="Z23" i="17" a="1"/>
  <c r="N65" i="13" a="1"/>
  <c r="G53" i="13" a="1"/>
  <c r="AQ65" i="13" a="1"/>
  <c r="G29" i="13" a="1"/>
  <c r="G41" i="13" a="1"/>
  <c r="N65" i="13" l="1"/>
  <c r="AD48" i="15"/>
  <c r="AE48" i="15"/>
  <c r="G53" i="13"/>
  <c r="G41" i="13"/>
  <c r="G29" i="13"/>
  <c r="AQ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U86" i="1" a="1"/>
  <c r="R86" i="1" a="1"/>
  <c r="C35" i="17" a="1"/>
  <c r="O86" i="1" a="1"/>
  <c r="I86" i="1" a="1"/>
  <c r="F86" i="1" a="1"/>
  <c r="L86" i="1" a="1"/>
  <c r="AE51" i="15" a="1"/>
  <c r="AD51" i="15" a="1"/>
  <c r="E245" i="13" a="1"/>
  <c r="E244" i="13" a="1"/>
  <c r="C48" i="13" a="1"/>
  <c r="E243" i="13" a="1"/>
  <c r="E242" i="13" a="1"/>
  <c r="E246" i="13" a="1"/>
  <c r="E241" i="13" a="1"/>
  <c r="E247" i="13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T19" i="15" a="1"/>
  <c r="T87" i="5" a="1"/>
  <c r="J30" i="14" a="1"/>
  <c r="V218" i="5" a="1"/>
  <c r="F19" i="15" a="1"/>
  <c r="V222" i="5" a="1"/>
  <c r="T102" i="5" a="1"/>
  <c r="O18" i="19" a="1"/>
  <c r="X220" i="5" a="1"/>
  <c r="T223" i="5" a="1"/>
  <c r="T90" i="5" a="1"/>
  <c r="F33" i="15" a="1"/>
  <c r="U218" i="5" a="1"/>
  <c r="X223" i="5" a="1"/>
  <c r="X222" i="5" a="1"/>
  <c r="W218" i="5" a="1"/>
  <c r="X218" i="5" a="1"/>
  <c r="T97" i="5" a="1"/>
  <c r="E35" i="9" a="1"/>
  <c r="W18" i="14" a="1"/>
  <c r="T94" i="5" a="1"/>
  <c r="AF19" i="15" a="1"/>
  <c r="W223" i="5" a="1"/>
  <c r="F18" i="14" a="1"/>
  <c r="T220" i="5" a="1"/>
  <c r="V18" i="19" a="1"/>
  <c r="AU18" i="14" a="1"/>
  <c r="W221" i="5" a="1"/>
  <c r="AR19" i="15" a="1"/>
  <c r="BG30" i="14" a="1"/>
  <c r="AM18" i="14" a="1"/>
  <c r="T92" i="5" a="1"/>
  <c r="E35" i="19" a="1"/>
  <c r="U220" i="5" a="1"/>
  <c r="T219" i="5" a="1"/>
  <c r="T101" i="5" a="1"/>
  <c r="AE18" i="14" a="1"/>
  <c r="T218" i="5" a="1"/>
  <c r="T222" i="5" a="1"/>
  <c r="U219" i="5" a="1"/>
  <c r="V220" i="5" a="1"/>
  <c r="T91" i="5" a="1"/>
  <c r="T33" i="15" a="1"/>
  <c r="AB35" i="15" s="1" a="1"/>
  <c r="W217" i="5" a="1"/>
  <c r="V219" i="5" a="1"/>
  <c r="T95" i="5" a="1"/>
  <c r="T93" i="5" a="1"/>
  <c r="X217" i="5" a="1"/>
  <c r="T88" i="5" a="1"/>
  <c r="U221" i="5" a="1"/>
  <c r="W219" i="5" a="1"/>
  <c r="V217" i="5" a="1"/>
  <c r="V221" i="5" a="1"/>
  <c r="D48" i="15" a="1"/>
  <c r="T221" i="5" a="1"/>
  <c r="BC18" i="14" a="1"/>
  <c r="T96" i="5" a="1"/>
  <c r="T89" i="5" a="1"/>
  <c r="T100" i="5" a="1"/>
  <c r="T99" i="5" a="1"/>
  <c r="AD33" i="15" a="1"/>
  <c r="AC34" i="15" a="1"/>
  <c r="U222" i="5" a="1"/>
  <c r="W222" i="5" a="1"/>
  <c r="AU30" i="14" a="1"/>
  <c r="U217" i="5" a="1"/>
  <c r="AB34" i="15" a="1"/>
  <c r="X221" i="5" a="1"/>
  <c r="T98" i="5" a="1"/>
  <c r="M48" i="15" a="1"/>
  <c r="W30" i="14" a="1"/>
  <c r="W220" i="5" a="1"/>
  <c r="H18" i="19" a="1"/>
  <c r="AC33" i="15" a="1"/>
  <c r="V223" i="5" a="1"/>
  <c r="AI30" i="14" a="1"/>
  <c r="N18" i="14" a="1"/>
  <c r="T217" i="5" a="1"/>
  <c r="X219" i="5" a="1"/>
  <c r="T103" i="5" a="1"/>
  <c r="AD34" i="15" a="1"/>
  <c r="U223" i="5" a="1"/>
  <c r="AD35" i="15" a="1"/>
  <c r="N158" i="13" a="1"/>
  <c r="L141" i="13" a="1"/>
  <c r="O151" i="13" a="1"/>
  <c r="O138" i="13" a="1"/>
  <c r="N141" i="13" a="1"/>
  <c r="I215" i="13" a="1"/>
  <c r="N136" i="13" a="1"/>
  <c r="N155" i="13" a="1"/>
  <c r="N138" i="13" a="1"/>
  <c r="O155" i="13" a="1"/>
  <c r="O142" i="13" a="1"/>
  <c r="E95" i="13" a="1"/>
  <c r="N124" i="13" a="1"/>
  <c r="L229" i="13" a="1"/>
  <c r="N154" i="13" a="1"/>
  <c r="M149" i="13" a="1"/>
  <c r="O129" i="13" a="1"/>
  <c r="G175" i="13" a="1"/>
  <c r="N153" i="13" a="1"/>
  <c r="L133" i="13" a="1"/>
  <c r="M124" i="13" a="1"/>
  <c r="G174" i="13" a="1"/>
  <c r="L80" i="13" a="1"/>
  <c r="G170" i="13" a="1"/>
  <c r="N125" i="13" a="1"/>
  <c r="M148" i="13" a="1"/>
  <c r="I216" i="13" a="1"/>
  <c r="B227" i="13" a="1"/>
  <c r="I213" i="13" a="1"/>
  <c r="M132" i="13" a="1"/>
  <c r="L132" i="13" a="1"/>
  <c r="L144" i="13" a="1"/>
  <c r="N131" i="13" a="1"/>
  <c r="N146" i="13" a="1"/>
  <c r="N130" i="13" a="1"/>
  <c r="L196" i="13" a="1"/>
  <c r="G173" i="13" a="1"/>
  <c r="M227" i="13" a="1"/>
  <c r="B212" i="13" a="1"/>
  <c r="B124" i="13" a="1"/>
  <c r="H213" i="13" a="1"/>
  <c r="L230" i="13" a="1"/>
  <c r="M130" i="13" a="1"/>
  <c r="G177" i="13" a="1"/>
  <c r="O146" i="13" a="1"/>
  <c r="O140" i="13" a="1"/>
  <c r="O147" i="13" a="1"/>
  <c r="M140" i="13" a="1"/>
  <c r="N142" i="13" a="1"/>
  <c r="O124" i="13" a="1"/>
  <c r="L157" i="13" a="1"/>
  <c r="O125" i="13" a="1"/>
  <c r="M142" i="13" a="1"/>
  <c r="U110" i="13" a="1"/>
  <c r="L154" i="13" a="1"/>
  <c r="N230" i="13" a="1"/>
  <c r="L228" i="13" a="1"/>
  <c r="N137" i="13" a="1"/>
  <c r="M137" i="13" a="1"/>
  <c r="AI110" i="13" a="1"/>
  <c r="N135" i="13" a="1"/>
  <c r="N157" i="13" a="1"/>
  <c r="O156" i="13" a="1"/>
  <c r="L147" i="13" a="1"/>
  <c r="O137" i="13" a="1"/>
  <c r="M158" i="13" a="1"/>
  <c r="N143" i="13" a="1"/>
  <c r="O149" i="13" a="1"/>
  <c r="N127" i="13" a="1"/>
  <c r="AB95" i="13" a="1"/>
  <c r="M231" i="13" a="1"/>
  <c r="L127" i="13" a="1"/>
  <c r="O157" i="13" a="1"/>
  <c r="S95" i="13" a="1"/>
  <c r="N156" i="13" a="1"/>
  <c r="AB80" i="13" a="1"/>
  <c r="O143" i="13" a="1"/>
  <c r="O139" i="13" a="1"/>
  <c r="L134" i="13" a="1"/>
  <c r="N139" i="13" a="1"/>
  <c r="M154" i="13" a="1"/>
  <c r="O130" i="13" a="1"/>
  <c r="N145" i="13" a="1"/>
  <c r="L143" i="13" a="1"/>
  <c r="O150" i="13" a="1"/>
  <c r="N231" i="13" a="1"/>
  <c r="L129" i="13" a="1"/>
  <c r="L140" i="13" a="1"/>
  <c r="L142" i="13" a="1"/>
  <c r="M138" i="13" a="1"/>
  <c r="M141" i="13" a="1"/>
  <c r="M146" i="13" a="1"/>
  <c r="M139" i="13" a="1"/>
  <c r="L152" i="13" a="1"/>
  <c r="N227" i="13" a="1"/>
  <c r="O133" i="13" a="1"/>
  <c r="N229" i="13" a="1"/>
  <c r="L231" i="13" a="1"/>
  <c r="L158" i="13" a="1"/>
  <c r="M156" i="13" a="1"/>
  <c r="O132" i="13" a="1"/>
  <c r="O136" i="13" a="1"/>
  <c r="N151" i="13" a="1"/>
  <c r="O152" i="13" a="1"/>
  <c r="M157" i="13" a="1"/>
  <c r="M153" i="13" a="1"/>
  <c r="S80" i="13" a="1"/>
  <c r="L130" i="13" a="1"/>
  <c r="N126" i="13" a="1"/>
  <c r="AA196" i="13" a="1"/>
  <c r="O229" i="13" a="1"/>
  <c r="N147" i="13" a="1"/>
  <c r="I214" i="13" a="1"/>
  <c r="L150" i="13" a="1"/>
  <c r="M135" i="13" a="1"/>
  <c r="L126" i="13" a="1"/>
  <c r="O227" i="13" a="1"/>
  <c r="N128" i="13" a="1"/>
  <c r="L139" i="13" a="1"/>
  <c r="O153" i="13" a="1"/>
  <c r="M145" i="13" a="1"/>
  <c r="M126" i="13" a="1"/>
  <c r="M133" i="13" a="1"/>
  <c r="M125" i="13" a="1"/>
  <c r="O128" i="13" a="1"/>
  <c r="M110" i="13" a="1"/>
  <c r="L135" i="13" a="1"/>
  <c r="O135" i="13" a="1"/>
  <c r="L95" i="13" a="1"/>
  <c r="N132" i="13" a="1"/>
  <c r="N152" i="13" a="1"/>
  <c r="L169" i="13" a="1"/>
  <c r="M136" i="13" a="1"/>
  <c r="L153" i="13" a="1"/>
  <c r="O230" i="13" a="1"/>
  <c r="N228" i="13" a="1"/>
  <c r="O228" i="13" a="1"/>
  <c r="M128" i="13" a="1"/>
  <c r="L156" i="13" a="1"/>
  <c r="M152" i="13" a="1"/>
  <c r="O144" i="13" a="1"/>
  <c r="O126" i="13" a="1"/>
  <c r="M150" i="13" a="1"/>
  <c r="L149" i="13" a="1"/>
  <c r="N144" i="13" a="1"/>
  <c r="S169" i="13" a="1"/>
  <c r="L131" i="13" a="1"/>
  <c r="E80" i="13" a="1"/>
  <c r="L151" i="13" a="1"/>
  <c r="O145" i="13" a="1"/>
  <c r="M229" i="13" a="1"/>
  <c r="N134" i="13" a="1"/>
  <c r="L146" i="13" a="1"/>
  <c r="L136" i="13" a="1"/>
  <c r="L128" i="13" a="1"/>
  <c r="M151" i="13" a="1"/>
  <c r="M147" i="13" a="1"/>
  <c r="L125" i="13" a="1"/>
  <c r="M228" i="13" a="1"/>
  <c r="M155" i="13" a="1"/>
  <c r="O127" i="13" a="1"/>
  <c r="O131" i="13" a="1"/>
  <c r="O148" i="13" a="1"/>
  <c r="O158" i="13" a="1"/>
  <c r="G176" i="13" a="1"/>
  <c r="M230" i="13" a="1"/>
  <c r="M127" i="13" a="1"/>
  <c r="N150" i="13" a="1"/>
  <c r="M129" i="13" a="1"/>
  <c r="M143" i="13" a="1"/>
  <c r="O141" i="13" a="1"/>
  <c r="M144" i="13" a="1"/>
  <c r="S196" i="13" a="1"/>
  <c r="G171" i="13" a="1"/>
  <c r="O154" i="13" a="1"/>
  <c r="O134" i="13" a="1"/>
  <c r="N129" i="13" a="1"/>
  <c r="O231" i="13" a="1"/>
  <c r="M134" i="13" a="1"/>
  <c r="L137" i="13" a="1"/>
  <c r="N149" i="13" a="1"/>
  <c r="I212" i="13" a="1"/>
  <c r="N140" i="13" a="1"/>
  <c r="L138" i="13" a="1"/>
  <c r="N133" i="13" a="1"/>
  <c r="H215" i="13" a="1"/>
  <c r="M131" i="13" a="1"/>
  <c r="L148" i="13" a="1"/>
  <c r="L155" i="13" a="1"/>
  <c r="L145" i="13" a="1"/>
  <c r="N148" i="13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M34" i="15" a="1"/>
  <c r="X35" i="19" a="1"/>
  <c r="AB33" i="15" a="1"/>
  <c r="Y18" i="14" a="1"/>
  <c r="J18" i="19" a="1"/>
  <c r="M19" i="15" a="1"/>
  <c r="N20" i="15" a="1"/>
  <c r="AL19" i="15" a="1"/>
  <c r="AG18" i="14" a="1"/>
  <c r="AW18" i="14" a="1"/>
  <c r="M21" i="15" a="1"/>
  <c r="Z19" i="15" a="1"/>
  <c r="Q18" i="19" a="1"/>
  <c r="M20" i="15" a="1"/>
  <c r="N19" i="15" a="1"/>
  <c r="X18" i="19" a="1"/>
  <c r="P18" i="14" a="1"/>
  <c r="M33" i="15" a="1"/>
  <c r="L19" i="15" a="1"/>
  <c r="BE18" i="14" a="1"/>
  <c r="H18" i="14" a="1"/>
  <c r="Q35" i="19" a="1"/>
  <c r="AX19" i="15" a="1"/>
  <c r="L33" i="15" a="1"/>
  <c r="AO18" i="14" a="1"/>
  <c r="C203" i="5" a="1"/>
  <c r="H35" i="19" a="1"/>
  <c r="L30" i="14" a="1"/>
  <c r="N21" i="15" a="1"/>
  <c r="AW30" i="14" a="1"/>
  <c r="L20" i="15" a="1"/>
  <c r="AK30" i="14" a="1"/>
  <c r="AC35" i="15" a="1"/>
  <c r="BI30" i="14" a="1"/>
  <c r="L21" i="15" a="1"/>
  <c r="Y30" i="14" a="1"/>
  <c r="L34" i="15" a="1"/>
  <c r="N178" i="13" a="1"/>
  <c r="N196" i="13" a="1"/>
  <c r="L124" i="13" a="1"/>
  <c r="H212" i="13" a="1"/>
  <c r="N175" i="13" a="1"/>
  <c r="G199" i="13" a="1"/>
  <c r="N198" i="13" a="1"/>
  <c r="U196" i="13" a="1"/>
  <c r="N80" i="13" a="1"/>
  <c r="H216" i="13" a="1"/>
  <c r="G65" i="13" a="1"/>
  <c r="U197" i="13" a="1"/>
  <c r="G80" i="13" a="1"/>
  <c r="N200" i="13" a="1"/>
  <c r="G110" i="13" a="1"/>
  <c r="N184" i="13" a="1"/>
  <c r="N177" i="13" a="1"/>
  <c r="N95" i="13" a="1"/>
  <c r="N179" i="13" a="1"/>
  <c r="AC110" i="13" a="1"/>
  <c r="N186" i="13" a="1"/>
  <c r="AJ80" i="13" a="1"/>
  <c r="N183" i="13" a="1"/>
  <c r="G172" i="13" a="1"/>
  <c r="U199" i="13" a="1"/>
  <c r="N174" i="13" a="1"/>
  <c r="G95" i="13" a="1"/>
  <c r="U200" i="13" a="1"/>
  <c r="N176" i="13" a="1"/>
  <c r="N197" i="13" a="1"/>
  <c r="N170" i="13" a="1"/>
  <c r="N171" i="13" a="1"/>
  <c r="U198" i="13" a="1"/>
  <c r="W95" i="13" a="1"/>
  <c r="AJ95" i="13" a="1"/>
  <c r="G196" i="13" a="1"/>
  <c r="N182" i="13" a="1"/>
  <c r="W80" i="13" a="1"/>
  <c r="U65" i="13" a="1"/>
  <c r="N185" i="13" a="1"/>
  <c r="N169" i="13" a="1"/>
  <c r="N172" i="13" a="1"/>
  <c r="O110" i="13" a="1"/>
  <c r="AS110" i="13" a="1"/>
  <c r="AD65" i="13" a="1"/>
  <c r="N173" i="13" a="1"/>
  <c r="H214" i="13" a="1"/>
  <c r="N181" i="13" a="1"/>
  <c r="N199" i="13" a="1"/>
  <c r="G197" i="13" a="1"/>
  <c r="G200" i="13" a="1"/>
  <c r="L227" i="13" a="1"/>
  <c r="G169" i="13" a="1"/>
  <c r="G198" i="13" a="1"/>
  <c r="N180" i="13" a="1"/>
  <c r="AI196" i="13" a="1"/>
  <c r="AA169" i="13" a="1"/>
  <c r="M34" i="15" l="1"/>
  <c r="BI30" i="14"/>
  <c r="Z19" i="15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AW30" i="14"/>
  <c r="AK30" i="14"/>
  <c r="L30" i="14"/>
  <c r="BE18" i="14"/>
  <c r="AW18" i="14"/>
  <c r="AO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U65" i="13"/>
  <c r="G65" i="13"/>
  <c r="AD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9" i="3" a="1"/>
  <c r="T25" i="3" a="1"/>
  <c r="T31" i="3" a="1"/>
  <c r="T32" i="3" a="1"/>
  <c r="S35" i="19" a="1"/>
  <c r="T38" i="3" a="1"/>
  <c r="T27" i="3" a="1"/>
  <c r="T30" i="3" a="1"/>
  <c r="T26" i="3" a="1"/>
  <c r="T37" i="3" a="1"/>
  <c r="T28" i="3" a="1"/>
  <c r="C17" i="17" a="1"/>
  <c r="T35" i="3" a="1"/>
  <c r="T36" i="3" a="1"/>
  <c r="T24" i="3" a="1"/>
  <c r="C14" i="15" a="1"/>
  <c r="T34" i="3" a="1"/>
  <c r="C13" i="14" a="1"/>
  <c r="T33" i="3" a="1"/>
  <c r="T23" i="3" a="1"/>
  <c r="C13" i="19" a="1"/>
  <c r="Z35" i="19" a="1"/>
  <c r="T39" i="3" a="1"/>
  <c r="C27" i="15" a="1"/>
  <c r="C25" i="14" a="1"/>
  <c r="K51" i="15" a="1"/>
  <c r="J51" i="15" a="1"/>
  <c r="S51" i="15" a="1"/>
  <c r="T51" i="15" a="1"/>
  <c r="C75" i="13" a="1"/>
  <c r="C222" i="13" a="1"/>
  <c r="C90" i="13" a="1"/>
  <c r="C105" i="13" a="1"/>
  <c r="C191" i="13" a="1"/>
  <c r="C119" i="13" a="1"/>
  <c r="C60" i="13" a="1"/>
  <c r="C207" i="13" a="1"/>
  <c r="C164" i="13" a="1"/>
  <c r="C60" i="13" l="1"/>
  <c r="D10" i="13" s="1"/>
  <c r="C119" i="13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C25" i="14"/>
  <c r="D8" i="14" s="1"/>
  <c r="C13" i="14"/>
  <c r="D7" i="14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13" i="17" a="1"/>
  <c r="U38" i="3" a="1"/>
  <c r="U31" i="3" a="1"/>
  <c r="U37" i="3" a="1"/>
  <c r="U35" i="3" a="1"/>
  <c r="U36" i="3" a="1"/>
  <c r="U33" i="3" a="1"/>
  <c r="C30" i="19" a="1"/>
  <c r="U30" i="3" a="1"/>
  <c r="U34" i="3" a="1"/>
  <c r="C43" i="15" a="1"/>
  <c r="C4" i="14" a="1"/>
  <c r="C4" i="15" a="1"/>
  <c r="U24" i="3" a="1"/>
  <c r="U39" i="3" a="1"/>
  <c r="U32" i="3" a="1"/>
  <c r="U25" i="3" a="1"/>
  <c r="C4" i="13" a="1"/>
  <c r="C43" i="15" l="1"/>
  <c r="D9" i="15" s="1"/>
  <c r="C4" i="13"/>
  <c r="C19" i="8" s="1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BT64" i="5" a="1"/>
  <c r="BE40" i="5" a="1"/>
  <c r="L159" i="5" a="1"/>
  <c r="BN66" i="5" a="1"/>
  <c r="I230" i="9" a="1"/>
  <c r="U126" i="5" a="1"/>
  <c r="V139" i="5" a="1"/>
  <c r="X197" i="5" a="1"/>
  <c r="BO67" i="5" a="1"/>
  <c r="X131" i="5" a="1"/>
  <c r="BR42" i="5" a="1"/>
  <c r="X136" i="5" a="1"/>
  <c r="W130" i="5" a="1"/>
  <c r="BM40" i="5" a="1"/>
  <c r="T136" i="5" a="1"/>
  <c r="BD42" i="5" a="1"/>
  <c r="BR43" i="5" a="1"/>
  <c r="W125" i="5" a="1"/>
  <c r="BD41" i="5" a="1"/>
  <c r="U137" i="5" a="1"/>
  <c r="T198" i="5" a="1"/>
  <c r="BJ42" i="5" a="1"/>
  <c r="U132" i="5" a="1"/>
  <c r="T126" i="5" a="1"/>
  <c r="BD67" i="5" a="1"/>
  <c r="BK41" i="5" a="1"/>
  <c r="O76" i="9" a="1"/>
  <c r="V129" i="5" a="1"/>
  <c r="BF40" i="5" a="1"/>
  <c r="V130" i="5" a="1"/>
  <c r="W136" i="5" a="1"/>
  <c r="BT41" i="5" a="1"/>
  <c r="S72" i="1" a="1"/>
  <c r="BS66" i="5" a="1"/>
  <c r="X101" i="5" a="1"/>
  <c r="Z21" i="3" a="1"/>
  <c r="BM66" i="5" a="1"/>
  <c r="BM42" i="5" a="1"/>
  <c r="BP64" i="5" a="1"/>
  <c r="O54" i="9" a="1"/>
  <c r="W127" i="5" a="1"/>
  <c r="X103" i="5" a="1"/>
  <c r="U138" i="5" a="1"/>
  <c r="V90" i="5" a="1"/>
  <c r="BK64" i="5" a="1"/>
  <c r="V133" i="5" a="1"/>
  <c r="BD40" i="5" a="1"/>
  <c r="BF67" i="5" a="1"/>
  <c r="X134" i="5" a="1"/>
  <c r="BL67" i="5" a="1"/>
  <c r="BH63" i="5" a="1"/>
  <c r="BG39" i="5" a="1"/>
  <c r="BN40" i="5" a="1"/>
  <c r="BR66" i="5" a="1"/>
  <c r="U96" i="5" a="1"/>
  <c r="W95" i="5" a="1"/>
  <c r="W126" i="5" a="1"/>
  <c r="BS67" i="5" a="1"/>
  <c r="W132" i="5" a="1"/>
  <c r="BJ39" i="5" a="1"/>
  <c r="BD65" i="5" a="1"/>
  <c r="X128" i="5" a="1"/>
  <c r="V197" i="5" a="1"/>
  <c r="BR63" i="5" a="1"/>
  <c r="W129" i="5" a="1"/>
  <c r="L179" i="5" a="1"/>
  <c r="E208" i="9" a="1"/>
  <c r="BT65" i="5" a="1"/>
  <c r="BQ40" i="5" a="1"/>
  <c r="X139" i="5" a="1"/>
  <c r="K158" i="5" a="1"/>
  <c r="R230" i="9" a="1"/>
  <c r="BJ40" i="5" a="1"/>
  <c r="W88" i="5" a="1"/>
  <c r="X92" i="5" a="1"/>
  <c r="V137" i="5" a="1"/>
  <c r="BF65" i="5" a="1"/>
  <c r="J68" i="1" a="1"/>
  <c r="D5" i="4" a="1"/>
  <c r="U98" i="5" a="1"/>
  <c r="O120" i="9" a="1"/>
  <c r="BM64" i="5" a="1"/>
  <c r="BH40" i="5" a="1"/>
  <c r="E164" i="9" a="1"/>
  <c r="J98" i="9" a="1"/>
  <c r="V135" i="5" a="1"/>
  <c r="BG42" i="5" a="1"/>
  <c r="T139" i="5" a="1"/>
  <c r="BF41" i="5" a="1"/>
  <c r="U93" i="5" a="1"/>
  <c r="T127" i="5" a="1"/>
  <c r="AJ21" i="3" a="1"/>
  <c r="W131" i="5" a="1"/>
  <c r="BN43" i="5" a="1"/>
  <c r="BE65" i="5" a="1"/>
  <c r="BI64" i="5" a="1"/>
  <c r="BL66" i="5" a="1"/>
  <c r="C208" i="9" a="1"/>
  <c r="BE67" i="5" a="1"/>
  <c r="U197" i="5" a="1"/>
  <c r="W103" i="5" a="1"/>
  <c r="L230" i="9" a="1"/>
  <c r="BM67" i="5" a="1"/>
  <c r="L178" i="5" a="1"/>
  <c r="W87" i="5" a="1"/>
  <c r="BE43" i="5" a="1"/>
  <c r="J71" i="1" a="1"/>
  <c r="V87" i="5" a="1"/>
  <c r="BQ66" i="5" a="1"/>
  <c r="E98" i="9" a="1"/>
  <c r="BS65" i="5" a="1"/>
  <c r="V102" i="5" a="1"/>
  <c r="BF63" i="5" a="1"/>
  <c r="E120" i="9" a="1"/>
  <c r="U97" i="5" a="1"/>
  <c r="L177" i="5" a="1"/>
  <c r="O186" i="9" a="1"/>
  <c r="BJ66" i="5" a="1"/>
  <c r="BT67" i="5" a="1"/>
  <c r="C164" i="9" a="1"/>
  <c r="J120" i="9" a="1"/>
  <c r="V123" i="5" a="1"/>
  <c r="W99" i="5" a="1"/>
  <c r="G72" i="1" a="1"/>
  <c r="U23" i="3" a="1"/>
  <c r="L161" i="5" a="1"/>
  <c r="BO41" i="5" a="1"/>
  <c r="BM65" i="5" a="1"/>
  <c r="V127" i="5" a="1"/>
  <c r="K159" i="5" a="1"/>
  <c r="BI43" i="5" a="1"/>
  <c r="BJ63" i="5" a="1"/>
  <c r="BN42" i="5" a="1"/>
  <c r="T133" i="5" a="1"/>
  <c r="X102" i="5" a="1"/>
  <c r="O32" i="9" a="1"/>
  <c r="G68" i="1" a="1"/>
  <c r="X87" i="5" a="1"/>
  <c r="BN64" i="5" a="1"/>
  <c r="X130" i="5" a="1"/>
  <c r="I27" i="11" a="1"/>
  <c r="BG43" i="5" a="1"/>
  <c r="J142" i="9" a="1"/>
  <c r="S68" i="1" a="1"/>
  <c r="BN39" i="5" a="1"/>
  <c r="V99" i="5" a="1"/>
  <c r="C54" i="9" a="1"/>
  <c r="X90" i="5" a="1"/>
  <c r="V136" i="5" a="1"/>
  <c r="BO66" i="5" a="1"/>
  <c r="U90" i="5" a="1"/>
  <c r="BQ64" i="5" a="1"/>
  <c r="BR65" i="5" a="1"/>
  <c r="T197" i="5" a="1"/>
  <c r="U134" i="5" a="1"/>
  <c r="W197" i="5" a="1"/>
  <c r="BL42" i="5" a="1"/>
  <c r="BH64" i="5" a="1"/>
  <c r="C142" i="9" a="1"/>
  <c r="L181" i="5" a="1"/>
  <c r="BO39" i="5" a="1"/>
  <c r="E142" i="9" a="1"/>
  <c r="BK65" i="5" a="1"/>
  <c r="C186" i="9" a="1"/>
  <c r="X89" i="5" a="1"/>
  <c r="BS39" i="5" a="1"/>
  <c r="T132" i="5" a="1"/>
  <c r="J72" i="1" a="1"/>
  <c r="K179" i="5" a="1"/>
  <c r="O208" i="9" a="1"/>
  <c r="BI63" i="5" a="1"/>
  <c r="O142" i="9" a="1"/>
  <c r="BO40" i="5" a="1"/>
  <c r="BK66" i="5" a="1"/>
  <c r="X96" i="5" a="1"/>
  <c r="BF39" i="5" a="1"/>
  <c r="BR39" i="5" a="1"/>
  <c r="BL65" i="5" a="1"/>
  <c r="BO64" i="5" a="1"/>
  <c r="BH65" i="5" a="1"/>
  <c r="U94" i="5" a="1"/>
  <c r="U133" i="5" a="1"/>
  <c r="BJ41" i="5" a="1"/>
  <c r="J208" i="9" a="1"/>
  <c r="U92" i="5" a="1"/>
  <c r="X138" i="5" a="1"/>
  <c r="J70" i="1" a="1"/>
  <c r="U130" i="5" a="1"/>
  <c r="V131" i="5" a="1"/>
  <c r="G71" i="1" a="1"/>
  <c r="BH67" i="5" a="1"/>
  <c r="X100" i="5" a="1"/>
  <c r="C32" i="9" a="1"/>
  <c r="X125" i="5" a="1"/>
  <c r="V126" i="5" a="1"/>
  <c r="BF64" i="5" a="1"/>
  <c r="W100" i="5" a="1"/>
  <c r="BP67" i="5" a="1"/>
  <c r="K178" i="5" a="1"/>
  <c r="I22" i="11" a="1"/>
  <c r="X123" i="5" a="1"/>
  <c r="W139" i="5" a="1"/>
  <c r="BH66" i="5" a="1"/>
  <c r="W102" i="5" a="1"/>
  <c r="U230" i="9" a="1"/>
  <c r="BT42" i="5" a="1"/>
  <c r="BS63" i="5" a="1"/>
  <c r="BT66" i="5" a="1"/>
  <c r="BL64" i="5" a="1"/>
  <c r="BJ67" i="5" a="1"/>
  <c r="J186" i="9" a="1"/>
  <c r="BL41" i="5" a="1"/>
  <c r="BK63" i="5" a="1"/>
  <c r="BH42" i="5" a="1"/>
  <c r="BN63" i="5" a="1"/>
  <c r="K180" i="5" a="1"/>
  <c r="D4" i="4" a="1"/>
  <c r="L158" i="5" a="1"/>
  <c r="T134" i="5" a="1"/>
  <c r="BN41" i="5" a="1"/>
  <c r="V124" i="5" a="1"/>
  <c r="BP40" i="5" a="1"/>
  <c r="BK67" i="5" a="1"/>
  <c r="J32" i="9" a="1"/>
  <c r="V93" i="5" a="1"/>
  <c r="BD64" i="5" a="1"/>
  <c r="BO65" i="5" a="1"/>
  <c r="U99" i="5" a="1"/>
  <c r="X132" i="5" a="1"/>
  <c r="BI41" i="5" a="1"/>
  <c r="BO63" i="5" a="1"/>
  <c r="V100" i="5" a="1"/>
  <c r="V91" i="5" a="1"/>
  <c r="U101" i="5" a="1"/>
  <c r="V97" i="5" a="1"/>
  <c r="W134" i="5" a="1"/>
  <c r="X124" i="5" a="1"/>
  <c r="W89" i="5" a="1"/>
  <c r="BO43" i="5" a="1"/>
  <c r="T124" i="5" a="1"/>
  <c r="X129" i="5" a="1"/>
  <c r="BF43" i="5" a="1"/>
  <c r="U129" i="5" a="1"/>
  <c r="BI65" i="5" a="1"/>
  <c r="D49" i="1" a="1"/>
  <c r="BS41" i="5" a="1"/>
  <c r="K160" i="5" a="1"/>
  <c r="X135" i="5" a="1"/>
  <c r="V94" i="5" a="1"/>
  <c r="U135" i="5" a="1"/>
  <c r="V98" i="5" a="1"/>
  <c r="BL63" i="5" a="1"/>
  <c r="BP39" i="5" a="1"/>
  <c r="D51" i="1" a="1"/>
  <c r="BP63" i="5" a="1"/>
  <c r="V125" i="5" a="1"/>
  <c r="C6" i="2" a="1"/>
  <c r="K161" i="5" a="1"/>
  <c r="BS64" i="5" a="1"/>
  <c r="BT43" i="5" a="1"/>
  <c r="BP42" i="5" a="1"/>
  <c r="U87" i="5" a="1"/>
  <c r="C98" i="9" a="1"/>
  <c r="BH43" i="5" a="1"/>
  <c r="BL40" i="5" a="1"/>
  <c r="X91" i="5" a="1"/>
  <c r="X95" i="5" a="1"/>
  <c r="U89" i="5" a="1"/>
  <c r="BG67" i="5" a="1"/>
  <c r="V89" i="5" a="1"/>
  <c r="S70" i="1" a="1"/>
  <c r="T137" i="5" a="1"/>
  <c r="BS42" i="5" a="1"/>
  <c r="U123" i="5" a="1"/>
  <c r="W124" i="5" a="1"/>
  <c r="O164" i="9" a="1"/>
  <c r="V95" i="5" a="1"/>
  <c r="BI66" i="5" a="1"/>
  <c r="BP66" i="5" a="1"/>
  <c r="T129" i="5" a="1"/>
  <c r="X88" i="5" a="1"/>
  <c r="BG63" i="5" a="1"/>
  <c r="W96" i="5" a="1"/>
  <c r="G69" i="1" a="1"/>
  <c r="D47" i="1" a="1"/>
  <c r="W128" i="5" a="1"/>
  <c r="BM63" i="5" a="1"/>
  <c r="BT39" i="5" a="1"/>
  <c r="K157" i="5" a="1"/>
  <c r="W137" i="5" a="1"/>
  <c r="T135" i="5" a="1"/>
  <c r="BN65" i="5" a="1"/>
  <c r="E76" i="9" a="1"/>
  <c r="O98" i="9" a="1"/>
  <c r="W138" i="5" a="1"/>
  <c r="BI42" i="5" a="1"/>
  <c r="G47" i="1" a="1"/>
  <c r="W93" i="5" a="1"/>
  <c r="V132" i="5" a="1"/>
  <c r="BL43" i="5" a="1"/>
  <c r="BH41" i="5" a="1"/>
  <c r="BR67" i="5" a="1"/>
  <c r="W133" i="5" a="1"/>
  <c r="BP43" i="5" a="1"/>
  <c r="V88" i="5" a="1"/>
  <c r="BQ41" i="5" a="1"/>
  <c r="S69" i="1" a="1"/>
  <c r="BQ42" i="5" a="1"/>
  <c r="W97" i="5" a="1"/>
  <c r="BG66" i="5" a="1"/>
  <c r="BP65" i="5" a="1"/>
  <c r="S71" i="1" a="1"/>
  <c r="K177" i="5" a="1"/>
  <c r="U131" i="5" a="1"/>
  <c r="BQ39" i="5" a="1"/>
  <c r="U100" i="5" a="1"/>
  <c r="F230" i="9" a="1"/>
  <c r="AU21" i="3" a="1"/>
  <c r="V198" i="5" a="1"/>
  <c r="L157" i="5" a="1"/>
  <c r="X126" i="5" a="1"/>
  <c r="V134" i="5" a="1"/>
  <c r="BM43" i="5" a="1"/>
  <c r="BT63" i="5" a="1"/>
  <c r="BT40" i="5" a="1"/>
  <c r="BQ63" i="5" a="1"/>
  <c r="U95" i="5" a="1"/>
  <c r="V103" i="5" a="1"/>
  <c r="K181" i="5" a="1"/>
  <c r="T138" i="5" a="1"/>
  <c r="BF66" i="5" a="1"/>
  <c r="BN67" i="5" a="1"/>
  <c r="BO42" i="5" a="1"/>
  <c r="V96" i="5" a="1"/>
  <c r="J54" i="9" a="1"/>
  <c r="C230" i="9" a="1"/>
  <c r="BR64" i="5" a="1"/>
  <c r="BM39" i="5" a="1"/>
  <c r="BM41" i="5" a="1"/>
  <c r="U139" i="5" a="1"/>
  <c r="E54" i="9" a="1"/>
  <c r="BK42" i="5" a="1"/>
  <c r="J164" i="9" a="1"/>
  <c r="BE63" i="5" a="1"/>
  <c r="X137" i="5" a="1"/>
  <c r="J76" i="9" a="1"/>
  <c r="W98" i="5" a="1"/>
  <c r="BQ67" i="5" a="1"/>
  <c r="T131" i="5" a="1"/>
  <c r="X98" i="5" a="1"/>
  <c r="BJ43" i="5" a="1"/>
  <c r="U91" i="5" a="1"/>
  <c r="W90" i="5" a="1"/>
  <c r="BK40" i="5" a="1"/>
  <c r="BR40" i="5" a="1"/>
  <c r="X198" i="5" a="1"/>
  <c r="W123" i="5" a="1"/>
  <c r="BR41" i="5" a="1"/>
  <c r="C76" i="9" a="1"/>
  <c r="W135" i="5" a="1"/>
  <c r="BD39" i="5" a="1"/>
  <c r="BG64" i="5" a="1"/>
  <c r="U124" i="5" a="1"/>
  <c r="BJ65" i="5" a="1"/>
  <c r="W94" i="5" a="1"/>
  <c r="U88" i="5" a="1"/>
  <c r="BE66" i="5" a="1"/>
  <c r="V128" i="5" a="1"/>
  <c r="U198" i="5" a="1"/>
  <c r="BS40" i="5" a="1"/>
  <c r="X93" i="5" a="1"/>
  <c r="U128" i="5" a="1"/>
  <c r="BS43" i="5" a="1"/>
  <c r="BQ65" i="5" a="1"/>
  <c r="X97" i="5" a="1"/>
  <c r="U125" i="5" a="1"/>
  <c r="T128" i="5" a="1"/>
  <c r="BE41" i="5" a="1"/>
  <c r="J69" i="1" a="1"/>
  <c r="BJ64" i="5" a="1"/>
  <c r="BG41" i="5" a="1"/>
  <c r="U103" i="5" a="1"/>
  <c r="T123" i="5" a="1"/>
  <c r="BP41" i="5" a="1"/>
  <c r="V138" i="5" a="1"/>
  <c r="V101" i="5" a="1"/>
  <c r="L180" i="5" a="1"/>
  <c r="BH39" i="5" a="1"/>
  <c r="BE64" i="5" a="1"/>
  <c r="U127" i="5" a="1"/>
  <c r="X127" i="5" a="1"/>
  <c r="BF42" i="5" a="1"/>
  <c r="BD43" i="5" a="1"/>
  <c r="X99" i="5" a="1"/>
  <c r="BI39" i="5" a="1"/>
  <c r="U136" i="5" a="1"/>
  <c r="C120" i="9" a="1"/>
  <c r="O230" i="9" a="1"/>
  <c r="T125" i="5" a="1"/>
  <c r="BQ43" i="5" a="1"/>
  <c r="BE39" i="5" a="1"/>
  <c r="T130" i="5" a="1"/>
  <c r="BG65" i="5" a="1"/>
  <c r="BE42" i="5" a="1"/>
  <c r="L160" i="5" a="1"/>
  <c r="X94" i="5" a="1"/>
  <c r="V92" i="5" a="1"/>
  <c r="U102" i="5" a="1"/>
  <c r="W92" i="5" a="1"/>
  <c r="BI67" i="5" a="1"/>
  <c r="W101" i="5" a="1"/>
  <c r="W91" i="5" a="1"/>
  <c r="BI40" i="5" a="1"/>
  <c r="G70" i="1" a="1"/>
  <c r="BD66" i="5" a="1"/>
  <c r="BK39" i="5" a="1"/>
  <c r="BK43" i="5" a="1"/>
  <c r="W198" i="5" a="1"/>
  <c r="E186" i="9" a="1"/>
  <c r="BL39" i="5" a="1"/>
  <c r="X13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C24" i="5" a="1"/>
  <c r="H17" i="2" a="1"/>
  <c r="K69" i="1" a="1"/>
  <c r="K47" i="1" a="1"/>
  <c r="D83" i="1" a="1"/>
  <c r="H71" i="1" a="1"/>
  <c r="F225" i="9" a="1"/>
  <c r="F93" i="9" a="1"/>
  <c r="M68" i="1" a="1"/>
  <c r="M72" i="1" a="1"/>
  <c r="I23" i="11" a="1"/>
  <c r="I24" i="11" a="1"/>
  <c r="D55" i="1" a="1"/>
  <c r="P71" i="1" a="1"/>
  <c r="H72" i="1" a="1"/>
  <c r="F137" i="9" a="1"/>
  <c r="C144" i="5" a="1"/>
  <c r="C72" i="5" a="1"/>
  <c r="F159" i="9" a="1"/>
  <c r="I26" i="3" a="1"/>
  <c r="M70" i="1" a="1"/>
  <c r="C49" i="9" a="1"/>
  <c r="C203" i="9" a="1"/>
  <c r="T70" i="1" a="1"/>
  <c r="C159" i="9" a="1"/>
  <c r="C48" i="5" a="1"/>
  <c r="I25" i="11" a="1"/>
  <c r="F181" i="9" a="1"/>
  <c r="H70" i="1" a="1"/>
  <c r="C115" i="9" a="1"/>
  <c r="P27" i="9" a="1"/>
  <c r="K68" i="1" a="1"/>
  <c r="K137" i="9" a="1"/>
  <c r="L225" i="9" a="1"/>
  <c r="O225" i="9" a="1"/>
  <c r="F27" i="9" a="1"/>
  <c r="D52" i="1" a="1"/>
  <c r="D85" i="1" a="1"/>
  <c r="I225" i="9" a="1"/>
  <c r="I23" i="3" a="1"/>
  <c r="P71" i="9" a="1"/>
  <c r="D54" i="1" a="1"/>
  <c r="J22" i="11" a="1"/>
  <c r="P137" i="9" a="1"/>
  <c r="K71" i="9" a="1"/>
  <c r="P181" i="9" a="1"/>
  <c r="C71" i="9" a="1"/>
  <c r="T71" i="1" a="1"/>
  <c r="U225" i="9" a="1"/>
  <c r="C108" i="5" a="1"/>
  <c r="R225" i="9" a="1"/>
  <c r="K49" i="9" a="1"/>
  <c r="P159" i="9" a="1"/>
  <c r="C181" i="9" a="1"/>
  <c r="F203" i="9" a="1"/>
  <c r="K181" i="9" a="1"/>
  <c r="T68" i="1" a="1"/>
  <c r="K72" i="1" a="1"/>
  <c r="K159" i="9" a="1"/>
  <c r="C186" i="5" a="1"/>
  <c r="P93" i="9" a="1"/>
  <c r="F71" i="9" a="1"/>
  <c r="M71" i="1" a="1"/>
  <c r="K70" i="1" a="1"/>
  <c r="P68" i="1" a="1"/>
  <c r="I27" i="3" a="1"/>
  <c r="P49" i="9" a="1"/>
  <c r="F49" i="9" a="1"/>
  <c r="P115" i="9" a="1"/>
  <c r="C166" i="5" a="1"/>
  <c r="M69" i="1" a="1"/>
  <c r="P70" i="1" a="1"/>
  <c r="H69" i="1" a="1"/>
  <c r="C27" i="9" a="1"/>
  <c r="H68" i="1" a="1"/>
  <c r="P69" i="1" a="1"/>
  <c r="I28" i="3" a="1"/>
  <c r="D82" i="1" a="1"/>
  <c r="K203" i="9" a="1"/>
  <c r="P203" i="9" a="1"/>
  <c r="I25" i="3" a="1"/>
  <c r="D84" i="1" a="1"/>
  <c r="K93" i="9" a="1"/>
  <c r="D53" i="1" a="1"/>
  <c r="P72" i="1" a="1"/>
  <c r="T69" i="1" a="1"/>
  <c r="I24" i="3" a="1"/>
  <c r="F115" i="9" a="1"/>
  <c r="K115" i="9" a="1"/>
  <c r="K71" i="1" a="1"/>
  <c r="C93" i="9" a="1"/>
  <c r="T72" i="1" a="1"/>
  <c r="K27" i="9" a="1"/>
  <c r="D57" i="1" a="1"/>
  <c r="I26" i="11" a="1"/>
  <c r="C137" i="9" a="1"/>
  <c r="C225" i="9" a="1"/>
  <c r="D56" i="1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11" a="1"/>
  <c r="J82" i="1" a="1"/>
  <c r="E52" i="1" a="1"/>
  <c r="E56" i="1" a="1"/>
  <c r="E85" i="1" a="1"/>
  <c r="G21" i="2" a="1"/>
  <c r="E84" i="1" a="1"/>
  <c r="G82" i="1" a="1"/>
  <c r="N72" i="1" a="1"/>
  <c r="N71" i="1" a="1"/>
  <c r="C153" i="9" a="1"/>
  <c r="E55" i="1" a="1"/>
  <c r="C43" i="9" a="1"/>
  <c r="E83" i="1" a="1"/>
  <c r="U26" i="3" a="1"/>
  <c r="C87" i="9" a="1"/>
  <c r="N69" i="1" a="1"/>
  <c r="E82" i="1" a="1"/>
  <c r="S82" i="1" a="1"/>
  <c r="J24" i="3" a="1"/>
  <c r="J25" i="3" a="1"/>
  <c r="C4" i="5" a="1"/>
  <c r="Q70" i="1" a="1"/>
  <c r="E48" i="1" a="1"/>
  <c r="C175" i="9" a="1"/>
  <c r="N70" i="1" a="1"/>
  <c r="N68" i="1" a="1"/>
  <c r="U28" i="3" a="1"/>
  <c r="J27" i="3" a="1"/>
  <c r="U29" i="3" a="1"/>
  <c r="J28" i="3" a="1"/>
  <c r="Q69" i="1" a="1"/>
  <c r="E57" i="1" a="1"/>
  <c r="E53" i="1" a="1"/>
  <c r="C131" i="9" a="1"/>
  <c r="C219" i="9" a="1"/>
  <c r="J26" i="11" a="1"/>
  <c r="J23" i="11" a="1"/>
  <c r="C21" i="9" a="1"/>
  <c r="J26" i="3" a="1"/>
  <c r="E50" i="1" a="1"/>
  <c r="J25" i="11" a="1"/>
  <c r="E54" i="1" a="1"/>
  <c r="M82" i="1" a="1"/>
  <c r="E51" i="1" a="1"/>
  <c r="Q68" i="1" a="1"/>
  <c r="V82" i="1" a="1"/>
  <c r="Q71" i="1" a="1"/>
  <c r="C65" i="9" a="1"/>
  <c r="E47" i="1" a="1"/>
  <c r="E49" i="1" a="1"/>
  <c r="C109" i="9" a="1"/>
  <c r="U27" i="3" a="1"/>
  <c r="J23" i="3" a="1"/>
  <c r="P82" i="1" a="1"/>
  <c r="C197" i="9" a="1"/>
  <c r="Q72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4" i="1" a="1"/>
  <c r="L85" i="1" a="1"/>
  <c r="R84" i="1" a="1"/>
  <c r="R83" i="1" a="1"/>
  <c r="R85" i="1" a="1"/>
  <c r="H86" i="1" a="1"/>
  <c r="F82" i="1" a="1"/>
  <c r="U83" i="1" a="1"/>
  <c r="O85" i="1" a="1"/>
  <c r="N86" i="1" a="1"/>
  <c r="U85" i="1" a="1"/>
  <c r="I82" i="1" a="1"/>
  <c r="R82" i="1" a="1"/>
  <c r="L82" i="1" a="1"/>
  <c r="C43" i="1" a="1"/>
  <c r="C21" i="3" a="1"/>
  <c r="N21" i="3" a="1"/>
  <c r="F84" i="1" a="1"/>
  <c r="F83" i="1" a="1"/>
  <c r="Q86" i="1" a="1"/>
  <c r="U82" i="1" a="1"/>
  <c r="I83" i="1" a="1"/>
  <c r="F85" i="1" a="1"/>
  <c r="J27" i="11" a="1"/>
  <c r="U84" i="1" a="1"/>
  <c r="O84" i="1" a="1"/>
  <c r="K86" i="1" a="1"/>
  <c r="I85" i="1" a="1"/>
  <c r="T86" i="1" a="1"/>
  <c r="O83" i="1" a="1"/>
  <c r="W86" i="1" a="1"/>
  <c r="L83" i="1" a="1"/>
  <c r="O82" i="1" a="1"/>
  <c r="L84" i="1" a="1"/>
  <c r="C4" i="9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Q83" i="1" a="1"/>
  <c r="C39" i="1" a="1"/>
  <c r="N83" i="1" a="1"/>
  <c r="W85" i="1" a="1"/>
  <c r="Q84" i="1" a="1"/>
  <c r="H84" i="1" a="1"/>
  <c r="Q85" i="1" a="1"/>
  <c r="N84" i="1" a="1"/>
  <c r="K85" i="1" a="1"/>
  <c r="H83" i="1" a="1"/>
  <c r="T82" i="1" a="1"/>
  <c r="C15" i="1" a="1"/>
  <c r="W84" i="1" a="1"/>
  <c r="T85" i="1" a="1"/>
  <c r="K84" i="1" a="1"/>
  <c r="H85" i="1" a="1"/>
  <c r="T83" i="1" a="1"/>
  <c r="C20" i="11" a="1"/>
  <c r="T84" i="1" a="1"/>
  <c r="K82" i="1" a="1"/>
  <c r="N82" i="1" a="1"/>
  <c r="W82" i="1" a="1"/>
  <c r="Q82" i="1" a="1"/>
  <c r="N85" i="1" a="1"/>
  <c r="W83" i="1" a="1"/>
  <c r="K83" i="1" a="1"/>
  <c r="H82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3" a="1"/>
  <c r="C77" i="1" a="1"/>
  <c r="C6" i="1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69" i="1" a="1"/>
  <c r="E71" i="1" a="1"/>
  <c r="E70" i="1" a="1"/>
  <c r="E68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s="1" a="1"/>
  <c r="B10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<sst xmlns="http://schemas.openxmlformats.org/spreadsheetml/2006/main" count="3814" uniqueCount="520">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</sst>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33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5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opLeftCell="A19" workbookViewId="0">
      <selection activeCell="F26" sqref="F2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439</v>
      </c>
      <c r="C4" s="490"/>
      <c r="D4" s="487" t="s">
        <v>499</v>
      </c>
      <c r="I4" s="495"/>
    </row>
    <row r="5" spans="2:9" s="467" customFormat="1" x14ac:dyDescent="0.25">
      <c r="B5" s="491" t="s">
        <v>440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441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482</v>
      </c>
      <c r="C9" s="214"/>
    </row>
    <row r="10" spans="2:9" s="495" customFormat="1" ht="18.75" customHeight="1" x14ac:dyDescent="0.25">
      <c r="B10" s="619" t="str" cm="1">
        <f t="array" aca="1" ref="B10" ca="1">_xll.d.TestUtils_And(C19:C21,C24,C27:C29,C34:C35)</f>
        <v>Error</v>
      </c>
      <c r="C10" s="619"/>
    </row>
    <row r="11" spans="2:9" s="495" customFormat="1" ht="15" customHeight="1" x14ac:dyDescent="0.25">
      <c r="B11" s="620"/>
      <c r="C11" s="620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 ca="1"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390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420</v>
      </c>
      <c r="C23" s="479"/>
    </row>
    <row r="24" spans="2:9" x14ac:dyDescent="0.25">
      <c r="B24" s="464" t="s">
        <v>421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 ca="1">Curves!C4</f>
        <v>Ok</v>
      </c>
      <c r="D27" s="495"/>
    </row>
    <row r="28" spans="2:9" x14ac:dyDescent="0.25">
      <c r="B28" s="463" t="s">
        <v>417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 ca="1">'Sinlge Curve Bootstrapping'!C6</f>
        <v>Error</v>
      </c>
      <c r="D29" s="545" t="s">
        <v>485</v>
      </c>
    </row>
    <row r="30" spans="2:9" x14ac:dyDescent="0.25">
      <c r="B30" s="546" t="s">
        <v>58</v>
      </c>
      <c r="C30" s="306" t="s">
        <v>249</v>
      </c>
      <c r="D30" s="545" t="s">
        <v>485</v>
      </c>
    </row>
    <row r="31" spans="2:9" x14ac:dyDescent="0.25">
      <c r="B31" s="547" t="s">
        <v>11</v>
      </c>
      <c r="C31" s="205" t="s">
        <v>249</v>
      </c>
      <c r="D31" s="545" t="s">
        <v>485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 ca="1">'Test Utils'!C4</f>
        <v>Ok</v>
      </c>
    </row>
    <row r="35" spans="2:5" x14ac:dyDescent="0.25">
      <c r="B35" s="464" t="s">
        <v>85</v>
      </c>
      <c r="C35" s="141" t="str">
        <f ca="1">'Table Formatting'!C4</f>
        <v>Ok</v>
      </c>
      <c r="D35" s="545" t="s">
        <v>514</v>
      </c>
    </row>
    <row r="40" spans="2:5" x14ac:dyDescent="0.25">
      <c r="E40" s="177"/>
    </row>
  </sheetData>
  <mergeCells count="1">
    <mergeCell ref="B10:C11"/>
  </mergeCells>
  <conditionalFormatting sqref="C34">
    <cfRule type="cellIs" dxfId="558" priority="22" stopIfTrue="1" operator="equal">
      <formula>"OK"</formula>
    </cfRule>
    <cfRule type="cellIs" dxfId="557" priority="23" stopIfTrue="1" operator="equal">
      <formula>"ERROR"</formula>
    </cfRule>
  </conditionalFormatting>
  <conditionalFormatting sqref="C35">
    <cfRule type="cellIs" dxfId="556" priority="24" stopIfTrue="1" operator="equal">
      <formula>"OK"</formula>
    </cfRule>
    <cfRule type="cellIs" dxfId="555" priority="25" stopIfTrue="1" operator="equal">
      <formula>"ERROR"</formula>
    </cfRule>
  </conditionalFormatting>
  <conditionalFormatting sqref="C19">
    <cfRule type="cellIs" dxfId="554" priority="26" stopIfTrue="1" operator="equal">
      <formula>"ERROR"</formula>
    </cfRule>
    <cfRule type="cellIs" dxfId="553" priority="27" stopIfTrue="1" operator="equal">
      <formula>"OK"</formula>
    </cfRule>
    <cfRule type="cellIs" dxfId="552" priority="28" stopIfTrue="1" operator="equal">
      <formula>"WARNING"</formula>
    </cfRule>
  </conditionalFormatting>
  <conditionalFormatting sqref="C20">
    <cfRule type="cellIs" dxfId="551" priority="19" stopIfTrue="1" operator="equal">
      <formula>"ERROR"</formula>
    </cfRule>
    <cfRule type="cellIs" dxfId="550" priority="20" stopIfTrue="1" operator="equal">
      <formula>"OK"</formula>
    </cfRule>
    <cfRule type="cellIs" dxfId="549" priority="21" stopIfTrue="1" operator="equal">
      <formula>"WARNING"</formula>
    </cfRule>
  </conditionalFormatting>
  <conditionalFormatting sqref="C21">
    <cfRule type="cellIs" dxfId="548" priority="16" stopIfTrue="1" operator="equal">
      <formula>"ERROR"</formula>
    </cfRule>
    <cfRule type="cellIs" dxfId="547" priority="17" stopIfTrue="1" operator="equal">
      <formula>"OK"</formula>
    </cfRule>
    <cfRule type="cellIs" dxfId="546" priority="18" stopIfTrue="1" operator="equal">
      <formula>"WARNING"</formula>
    </cfRule>
  </conditionalFormatting>
  <conditionalFormatting sqref="C24">
    <cfRule type="cellIs" dxfId="545" priority="29" stopIfTrue="1" operator="equal">
      <formula>"ERROR"</formula>
    </cfRule>
    <cfRule type="cellIs" dxfId="544" priority="30" stopIfTrue="1" operator="equal">
      <formula>"OK"</formula>
    </cfRule>
    <cfRule type="cellIs" dxfId="543" priority="31" stopIfTrue="1" operator="equal">
      <formula>"WARNING"</formula>
    </cfRule>
  </conditionalFormatting>
  <conditionalFormatting sqref="D6">
    <cfRule type="cellIs" dxfId="542" priority="32" stopIfTrue="1" operator="equal">
      <formula>"ERROR"</formula>
    </cfRule>
    <cfRule type="cellIs" dxfId="541" priority="33" stopIfTrue="1" operator="equal">
      <formula>"OK"</formula>
    </cfRule>
    <cfRule type="cellIs" dxfId="540" priority="34" stopIfTrue="1" operator="equal">
      <formula>"WARNING"</formula>
    </cfRule>
  </conditionalFormatting>
  <conditionalFormatting sqref="C28">
    <cfRule type="cellIs" dxfId="539" priority="13" stopIfTrue="1" operator="equal">
      <formula>"ERROR"</formula>
    </cfRule>
    <cfRule type="cellIs" dxfId="538" priority="14" stopIfTrue="1" operator="equal">
      <formula>"OK"</formula>
    </cfRule>
    <cfRule type="cellIs" dxfId="537" priority="15" stopIfTrue="1" operator="equal">
      <formula>"WARNING"</formula>
    </cfRule>
  </conditionalFormatting>
  <conditionalFormatting sqref="B10:C11">
    <cfRule type="cellIs" dxfId="536" priority="10" stopIfTrue="1" operator="equal">
      <formula>"ERROR"</formula>
    </cfRule>
    <cfRule type="cellIs" dxfId="535" priority="11" stopIfTrue="1" operator="equal">
      <formula>"OK"</formula>
    </cfRule>
    <cfRule type="cellIs" dxfId="534" priority="12" stopIfTrue="1" operator="equal">
      <formula>"WARNING"</formula>
    </cfRule>
  </conditionalFormatting>
  <conditionalFormatting sqref="C27">
    <cfRule type="cellIs" dxfId="533" priority="35" stopIfTrue="1" operator="equal">
      <formula>"ERROR"</formula>
    </cfRule>
    <cfRule type="cellIs" dxfId="532" priority="36" stopIfTrue="1" operator="equal">
      <formula>"OK"</formula>
    </cfRule>
    <cfRule type="cellIs" dxfId="531" priority="37" stopIfTrue="1" operator="equal">
      <formula>"WARNING"</formula>
    </cfRule>
  </conditionalFormatting>
  <conditionalFormatting sqref="C29">
    <cfRule type="cellIs" dxfId="530" priority="38" stopIfTrue="1" operator="equal">
      <formula>"ERROR"</formula>
    </cfRule>
    <cfRule type="cellIs" dxfId="529" priority="39" stopIfTrue="1" operator="equal">
      <formula>"OK"</formula>
    </cfRule>
    <cfRule type="cellIs" dxfId="528" priority="40" stopIfTrue="1" operator="equal">
      <formula>"WARNING"</formula>
    </cfRule>
  </conditionalFormatting>
  <conditionalFormatting sqref="C30">
    <cfRule type="cellIs" dxfId="527" priority="1" stopIfTrue="1" operator="equal">
      <formula>"ERROR"</formula>
    </cfRule>
    <cfRule type="cellIs" dxfId="526" priority="2" stopIfTrue="1" operator="equal">
      <formula>"OK"</formula>
    </cfRule>
    <cfRule type="cellIs" dxfId="525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tabSelected="1" zoomScaleNormal="100" workbookViewId="0">
      <selection activeCell="C60" sqref="C60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416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aca="1" ref="C4" ca="1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502</v>
      </c>
      <c r="C7" s="465"/>
      <c r="D7" s="350" t="str">
        <f ca="1">C24</f>
        <v>Ok</v>
      </c>
    </row>
    <row r="8" spans="2:43" x14ac:dyDescent="0.2">
      <c r="B8" s="465" t="s">
        <v>506</v>
      </c>
      <c r="C8" s="465"/>
      <c r="D8" s="350" t="str">
        <f ca="1">C36</f>
        <v>Ok</v>
      </c>
    </row>
    <row r="9" spans="2:43" x14ac:dyDescent="0.2">
      <c r="B9" s="465" t="s">
        <v>500</v>
      </c>
      <c r="C9" s="465"/>
      <c r="D9" s="350" t="str">
        <f ca="1">C48</f>
        <v>Ok</v>
      </c>
    </row>
    <row r="10" spans="2:43" x14ac:dyDescent="0.2">
      <c r="B10" s="465" t="s">
        <v>407</v>
      </c>
      <c r="C10" s="465"/>
      <c r="D10" s="350" t="str">
        <f ca="1">C60</f>
        <v>Ok</v>
      </c>
    </row>
    <row r="11" spans="2:43" x14ac:dyDescent="0.2">
      <c r="B11" s="465" t="s">
        <v>408</v>
      </c>
      <c r="C11" s="465"/>
      <c r="D11" s="350" t="str">
        <f ca="1">C75</f>
        <v>Ok</v>
      </c>
    </row>
    <row r="12" spans="2:43" x14ac:dyDescent="0.2">
      <c r="B12" s="465" t="s">
        <v>409</v>
      </c>
      <c r="C12" s="465"/>
      <c r="D12" s="350" t="str">
        <f ca="1">C90</f>
        <v>Ok</v>
      </c>
    </row>
    <row r="13" spans="2:43" x14ac:dyDescent="0.2">
      <c r="B13" s="465" t="s">
        <v>410</v>
      </c>
      <c r="C13" s="465"/>
      <c r="D13" s="350" t="str">
        <f ca="1">C105</f>
        <v>Ok</v>
      </c>
    </row>
    <row r="14" spans="2:43" x14ac:dyDescent="0.2">
      <c r="B14" s="465" t="s">
        <v>411</v>
      </c>
      <c r="C14" s="465"/>
      <c r="D14" s="350" t="str">
        <f ca="1">C119</f>
        <v>Ok</v>
      </c>
    </row>
    <row r="15" spans="2:43" x14ac:dyDescent="0.2">
      <c r="B15" s="465" t="s">
        <v>412</v>
      </c>
      <c r="C15" s="465"/>
      <c r="D15" s="350" t="str">
        <f ca="1">C164</f>
        <v>Ok</v>
      </c>
    </row>
    <row r="16" spans="2:43" x14ac:dyDescent="0.2">
      <c r="B16" s="465" t="s">
        <v>413</v>
      </c>
      <c r="C16" s="465"/>
      <c r="D16" s="350" t="str">
        <f ca="1">C191</f>
        <v>Ok</v>
      </c>
    </row>
    <row r="17" spans="2:7" x14ac:dyDescent="0.2">
      <c r="B17" s="465" t="s">
        <v>414</v>
      </c>
      <c r="C17" s="465"/>
      <c r="D17" s="350" t="str">
        <f ca="1">C207</f>
        <v>Ok</v>
      </c>
    </row>
    <row r="18" spans="2:7" x14ac:dyDescent="0.2">
      <c r="B18" s="465" t="s">
        <v>415</v>
      </c>
      <c r="C18" s="465"/>
      <c r="D18" s="350" t="str">
        <f ca="1">C222</f>
        <v>Ok</v>
      </c>
    </row>
    <row r="19" spans="2:7" x14ac:dyDescent="0.2">
      <c r="B19" s="465" t="s">
        <v>492</v>
      </c>
      <c r="C19" s="465"/>
      <c r="D19" s="350" t="str">
        <f ca="1">C236</f>
        <v>Ok</v>
      </c>
    </row>
    <row r="22" spans="2:7" ht="18.75" x14ac:dyDescent="0.3">
      <c r="B22" s="3" t="s">
        <v>502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aca="1" ref="C24" ca="1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aca="1" ref="E29" ca="1">_xll.d.Dates_Act360(C29,C30)</f>
        <v>0.25555555555555554</v>
      </c>
      <c r="F29" s="601">
        <f ca="1">(C30-C29)/360</f>
        <v>0.25555555555555554</v>
      </c>
      <c r="G29" s="360" t="str" cm="1">
        <f t="array" aca="1" ref="G29" ca="1">_xll.d.TestUtils_Equal(E29,F29)</f>
        <v>Ok</v>
      </c>
    </row>
    <row r="30" spans="2:7" x14ac:dyDescent="0.2">
      <c r="B30" s="140" t="s">
        <v>258</v>
      </c>
      <c r="C30" s="371">
        <f ca="1">EDATE(C29,3)</f>
        <v>44834</v>
      </c>
    </row>
    <row r="34" spans="2:7" ht="18.75" x14ac:dyDescent="0.3">
      <c r="B34" s="3" t="s">
        <v>506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aca="1" ref="C36" ca="1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aca="1" ref="E41" ca="1">_xll.d.Dates_Act364(C41,C42)</f>
        <v>0.25274725274725274</v>
      </c>
      <c r="F41" s="601">
        <f ca="1">(C42-C41)/364</f>
        <v>0.25274725274725274</v>
      </c>
      <c r="G41" s="360" t="str" cm="1">
        <f t="array" aca="1" ref="G41" ca="1">_xll.d.TestUtils_Equal(E41,F41)</f>
        <v>Ok</v>
      </c>
    </row>
    <row r="42" spans="2:7" x14ac:dyDescent="0.2">
      <c r="B42" s="140" t="s">
        <v>258</v>
      </c>
      <c r="C42" s="371">
        <f ca="1">EDATE(C41,3)</f>
        <v>44834</v>
      </c>
    </row>
    <row r="46" spans="2:7" ht="18.75" x14ac:dyDescent="0.3">
      <c r="B46" s="3" t="s">
        <v>500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aca="1" ref="C48" ca="1">_xll.d.TestUtils_And(G53,N53,U53,AB53)</f>
        <v>Ok</v>
      </c>
    </row>
    <row r="49" spans="2:43" x14ac:dyDescent="0.2">
      <c r="G49" s="349"/>
    </row>
    <row r="50" spans="2:43" ht="15.75" x14ac:dyDescent="0.25">
      <c r="B50" s="4" t="s">
        <v>109</v>
      </c>
      <c r="C50" s="357"/>
      <c r="D50" s="357"/>
      <c r="E50" s="357"/>
      <c r="F50" s="357"/>
      <c r="G50" s="357"/>
    </row>
    <row r="52" spans="2:43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43" x14ac:dyDescent="0.2">
      <c r="B53" s="136" t="s">
        <v>257</v>
      </c>
      <c r="C53" s="351">
        <v>44742</v>
      </c>
      <c r="E53" s="600" cm="1">
        <f t="array" aca="1" ref="E53" ca="1">_xll.d.Dates_Act365(C53,C54)</f>
        <v>0.25205479452054796</v>
      </c>
      <c r="F53" s="601">
        <f ca="1">(C54-C53)/365</f>
        <v>0.25205479452054796</v>
      </c>
      <c r="G53" s="360" t="str" cm="1">
        <f t="array" aca="1" ref="G53" ca="1">_xll.d.TestUtils_Equal(E53,F53)</f>
        <v>Ok</v>
      </c>
    </row>
    <row r="54" spans="2:43" x14ac:dyDescent="0.2">
      <c r="B54" s="140" t="s">
        <v>258</v>
      </c>
      <c r="C54" s="371">
        <f ca="1">EDATE(C53,3)</f>
        <v>44834</v>
      </c>
    </row>
    <row r="58" spans="2:43" ht="18.75" x14ac:dyDescent="0.3">
      <c r="B58" s="3" t="s">
        <v>407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43" x14ac:dyDescent="0.2">
      <c r="B60" s="59" t="s">
        <v>159</v>
      </c>
      <c r="C60" s="350" t="str" cm="1">
        <f t="array" aca="1" ref="C60" ca="1">_xll.d.TestUtils_And(G65,N65,U65,AD65,AQ65)</f>
        <v>Ok</v>
      </c>
    </row>
    <row r="61" spans="2:43" x14ac:dyDescent="0.2">
      <c r="G61" s="349"/>
    </row>
    <row r="62" spans="2:43" ht="15.75" x14ac:dyDescent="0.25">
      <c r="B62" s="4" t="s">
        <v>252</v>
      </c>
      <c r="C62" s="357"/>
      <c r="D62" s="357"/>
      <c r="E62" s="357"/>
      <c r="F62" s="357"/>
      <c r="G62" s="357"/>
      <c r="I62" s="4" t="s">
        <v>518</v>
      </c>
      <c r="J62" s="357"/>
      <c r="K62" s="357"/>
      <c r="L62" s="357"/>
      <c r="M62" s="357"/>
      <c r="N62" s="357"/>
      <c r="P62" s="4" t="s">
        <v>516</v>
      </c>
      <c r="Q62" s="4"/>
      <c r="R62" s="357"/>
      <c r="S62" s="357"/>
      <c r="T62" s="357"/>
      <c r="U62" s="357"/>
      <c r="W62" s="4" t="s">
        <v>517</v>
      </c>
      <c r="X62" s="357"/>
      <c r="Y62" s="357"/>
      <c r="Z62" s="357"/>
      <c r="AA62" s="357"/>
      <c r="AB62" s="357"/>
      <c r="AC62" s="357"/>
      <c r="AD62" s="357"/>
      <c r="AF62" s="4" t="s">
        <v>515</v>
      </c>
      <c r="AG62" s="357"/>
      <c r="AH62" s="357"/>
      <c r="AI62" s="357"/>
      <c r="AJ62" s="357"/>
      <c r="AK62" s="357"/>
      <c r="AL62" s="357"/>
      <c r="AM62" s="357"/>
      <c r="AN62" s="357"/>
      <c r="AO62" s="357"/>
      <c r="AP62" s="357"/>
      <c r="AQ62" s="357"/>
    </row>
    <row r="63" spans="2:43" x14ac:dyDescent="0.2">
      <c r="G63" s="349"/>
    </row>
    <row r="64" spans="2:43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 t="s">
        <v>253</v>
      </c>
      <c r="U64" s="134" t="s">
        <v>84</v>
      </c>
      <c r="W64" s="134" t="s">
        <v>251</v>
      </c>
      <c r="X64" s="135"/>
      <c r="Z64" s="134" t="s">
        <v>133</v>
      </c>
      <c r="AA64" s="134"/>
      <c r="AB64" s="134" t="s">
        <v>253</v>
      </c>
      <c r="AC64" s="134"/>
      <c r="AD64" s="134" t="s">
        <v>84</v>
      </c>
      <c r="AF64" s="134" t="s">
        <v>251</v>
      </c>
      <c r="AG64" s="135"/>
      <c r="AI64" s="134" t="s">
        <v>133</v>
      </c>
      <c r="AJ64" s="134"/>
      <c r="AK64" s="134"/>
      <c r="AL64" s="134"/>
      <c r="AM64" s="134" t="s">
        <v>253</v>
      </c>
      <c r="AN64" s="134"/>
      <c r="AO64" s="134"/>
      <c r="AP64" s="134"/>
      <c r="AQ64" s="134" t="s">
        <v>84</v>
      </c>
    </row>
    <row r="65" spans="2:43" x14ac:dyDescent="0.2">
      <c r="B65" s="353" t="s">
        <v>34</v>
      </c>
      <c r="C65" s="354">
        <v>44742</v>
      </c>
      <c r="E65" s="358" cm="1">
        <f t="array" aca="1" ref="E65" ca="1">_xll.d.Dates_FolDay(C65,B67:B69)</f>
        <v>44743</v>
      </c>
      <c r="F65" s="359">
        <v>44743</v>
      </c>
      <c r="G65" s="360" t="str" cm="1">
        <f t="array" aca="1" ref="G65" ca="1">_xll.d.TestUtils_Equal(E65,F65)</f>
        <v>Ok</v>
      </c>
      <c r="I65" s="353" t="s">
        <v>34</v>
      </c>
      <c r="J65" s="354">
        <v>44742</v>
      </c>
      <c r="L65" s="358" cm="1">
        <f t="array" aca="1" ref="L65" ca="1">_xll.d.Dates_FolDay(J65,I67:J69)</f>
        <v>44744</v>
      </c>
      <c r="M65" s="359">
        <v>44744</v>
      </c>
      <c r="N65" s="360" t="str" cm="1">
        <f t="array" aca="1" ref="N65" ca="1">_xll.d.TestUtils_Equal(L65,M65)</f>
        <v>Ok</v>
      </c>
      <c r="P65" s="136" t="s">
        <v>34</v>
      </c>
      <c r="Q65" s="351">
        <v>44728</v>
      </c>
      <c r="S65" s="358" cm="1">
        <f t="array" aca="1" ref="S65" ca="1">_xll.d.Dates_FolDay(Q65,Q66)</f>
        <v>44729</v>
      </c>
      <c r="T65" s="359">
        <v>44729</v>
      </c>
      <c r="U65" s="360" t="str" cm="1">
        <f t="array" aca="1" ref="U65" ca="1">_xll.d.TestUtils_Equal(S65,T65)</f>
        <v>Ok</v>
      </c>
      <c r="W65" s="136" t="s">
        <v>34</v>
      </c>
      <c r="X65" s="351">
        <v>44746</v>
      </c>
      <c r="Z65" s="602" cm="1">
        <f t="array" aca="1" ref="Z65" ca="1">_xll.d.Dates_FolDay(X65,X66)</f>
        <v>44747</v>
      </c>
      <c r="AA65" s="603"/>
      <c r="AB65" s="603">
        <v>44747</v>
      </c>
      <c r="AC65" s="603"/>
      <c r="AD65" s="360" t="str" cm="1">
        <f t="array" aca="1" ref="AD65" ca="1">_xll.d.TestUtils_Equal(Z65,AB65)</f>
        <v>Ok</v>
      </c>
      <c r="AF65" s="136" t="s">
        <v>34</v>
      </c>
      <c r="AG65" s="351">
        <v>44746</v>
      </c>
      <c r="AI65" s="602" t="str" cm="1">
        <f t="array" aca="1" ref="AI65" ca="1">_xll.d.Dates_FolDay(AG65,AG66)</f>
        <v>#∂Excel Error: Unsupported calendar: 'WRE'</v>
      </c>
      <c r="AJ65" s="603"/>
      <c r="AK65" s="603"/>
      <c r="AL65" s="603"/>
      <c r="AM65" s="603" t="s">
        <v>503</v>
      </c>
      <c r="AN65" s="603"/>
      <c r="AO65" s="603"/>
      <c r="AP65" s="603"/>
      <c r="AQ65" s="360" t="str" cm="1">
        <f t="array" aca="1" ref="AQ65" ca="1">_xll.d.TestUtils_Equal(AI65,AM65)</f>
        <v>Ok</v>
      </c>
    </row>
    <row r="66" spans="2:43" x14ac:dyDescent="0.2">
      <c r="G66" s="349"/>
      <c r="I66" s="506" t="s">
        <v>519</v>
      </c>
      <c r="P66" s="140" t="s">
        <v>240</v>
      </c>
      <c r="Q66" s="141" t="s">
        <v>70</v>
      </c>
      <c r="W66" s="140" t="s">
        <v>240</v>
      </c>
      <c r="X66" s="141" t="s">
        <v>256</v>
      </c>
      <c r="AF66" s="140" t="s">
        <v>240</v>
      </c>
      <c r="AG66" s="141" t="s">
        <v>262</v>
      </c>
    </row>
    <row r="67" spans="2:43" x14ac:dyDescent="0.2">
      <c r="B67" s="352" t="s">
        <v>250</v>
      </c>
      <c r="G67" s="349"/>
      <c r="I67" s="631" t="s">
        <v>512</v>
      </c>
      <c r="J67" s="632" t="s">
        <v>513</v>
      </c>
    </row>
    <row r="68" spans="2:43" x14ac:dyDescent="0.2">
      <c r="B68" s="361">
        <v>44742</v>
      </c>
      <c r="I68" s="627">
        <v>44742</v>
      </c>
      <c r="J68" s="628">
        <v>44743</v>
      </c>
    </row>
    <row r="69" spans="2:43" x14ac:dyDescent="0.2">
      <c r="B69" s="362">
        <v>44920</v>
      </c>
      <c r="G69" s="349"/>
      <c r="I69" s="629">
        <v>44920</v>
      </c>
      <c r="J69" s="630"/>
      <c r="AA69" s="618"/>
    </row>
    <row r="70" spans="2:43" x14ac:dyDescent="0.2">
      <c r="G70" s="349"/>
      <c r="S70" s="618"/>
      <c r="T70" s="618"/>
      <c r="U70" s="618"/>
      <c r="W70" s="618"/>
      <c r="X70" s="618"/>
    </row>
    <row r="71" spans="2:43" x14ac:dyDescent="0.2">
      <c r="G71" s="349"/>
      <c r="S71" s="618"/>
      <c r="T71" s="618"/>
      <c r="U71" s="618"/>
      <c r="W71" s="618"/>
      <c r="X71" s="618"/>
    </row>
    <row r="72" spans="2:43" x14ac:dyDescent="0.2">
      <c r="G72" s="349"/>
      <c r="U72" s="618"/>
    </row>
    <row r="73" spans="2:43" ht="18.75" x14ac:dyDescent="0.3">
      <c r="B73" s="3" t="s">
        <v>408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</row>
    <row r="75" spans="2:43" x14ac:dyDescent="0.2">
      <c r="B75" s="59" t="s">
        <v>159</v>
      </c>
      <c r="C75" s="350" t="str" cm="1">
        <f t="array" aca="1" ref="C75" ca="1">_xll.d.TestUtils_And(G80,N80,W80,AJ80)</f>
        <v>Ok</v>
      </c>
    </row>
    <row r="77" spans="2:43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43" x14ac:dyDescent="0.2">
      <c r="G78" s="349"/>
    </row>
    <row r="79" spans="2:43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43" x14ac:dyDescent="0.2">
      <c r="B80" s="353" t="s">
        <v>34</v>
      </c>
      <c r="C80" s="354">
        <v>44742</v>
      </c>
      <c r="E80" s="358" cm="1">
        <f t="array" aca="1" ref="E80" ca="1">_xll.d.Dates_ModFolDay(C80,B82:B84)</f>
        <v>44741</v>
      </c>
      <c r="F80" s="359">
        <v>44741</v>
      </c>
      <c r="G80" s="360" t="str" cm="1">
        <f t="array" aca="1" ref="G80" ca="1">_xll.d.TestUtils_Equal(E80,F80)</f>
        <v>Ok</v>
      </c>
      <c r="I80" s="136" t="s">
        <v>34</v>
      </c>
      <c r="J80" s="351">
        <v>44728</v>
      </c>
      <c r="L80" s="358" cm="1">
        <f t="array" aca="1" ref="L80" ca="1">_xll.d.Dates_ModFolDay(J80,J81)</f>
        <v>44729</v>
      </c>
      <c r="M80" s="359">
        <v>44729</v>
      </c>
      <c r="N80" s="360" t="str" cm="1">
        <f t="array" aca="1" ref="N80" ca="1">_xll.d.TestUtils_Equal(L80,M80)</f>
        <v>Ok</v>
      </c>
      <c r="P80" s="136" t="s">
        <v>34</v>
      </c>
      <c r="Q80" s="351">
        <v>44746</v>
      </c>
      <c r="S80" s="602" cm="1">
        <f t="array" aca="1" ref="S80" ca="1">_xll.d.Dates_ModFolDay(Q80,Q81)</f>
        <v>44747</v>
      </c>
      <c r="T80" s="603"/>
      <c r="U80" s="603">
        <v>44747</v>
      </c>
      <c r="V80" s="603"/>
      <c r="W80" s="360" t="str" cm="1">
        <f t="array" aca="1" ref="W80" ca="1">_xll.d.TestUtils_Equal(S80,U80)</f>
        <v>Ok</v>
      </c>
      <c r="Y80" s="136" t="s">
        <v>34</v>
      </c>
      <c r="Z80" s="351">
        <v>44746</v>
      </c>
      <c r="AB80" s="602" t="str" cm="1">
        <f t="array" aca="1" ref="AB80" ca="1">_xll.d.Dates_ModFolDay(Z80,Z81)</f>
        <v>#∂Excel Error: Unsupported calendar: 'WRE'</v>
      </c>
      <c r="AC80" s="603"/>
      <c r="AD80" s="603"/>
      <c r="AE80" s="603"/>
      <c r="AF80" s="603" t="s">
        <v>503</v>
      </c>
      <c r="AG80" s="603"/>
      <c r="AH80" s="603"/>
      <c r="AI80" s="603"/>
      <c r="AJ80" s="360" t="str" cm="1">
        <f t="array" aca="1" ref="AJ80" ca="1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409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aca="1" ref="C90" ca="1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aca="1" ref="E95" ca="1">_xll.d.Dates_PrevDay(C95,B97:B99)</f>
        <v>44741</v>
      </c>
      <c r="F95" s="359">
        <v>44741</v>
      </c>
      <c r="G95" s="360" t="str" cm="1">
        <f t="array" aca="1" ref="G95" ca="1">_xll.d.TestUtils_Equal(E95,F95)</f>
        <v>Ok</v>
      </c>
      <c r="I95" s="136" t="s">
        <v>34</v>
      </c>
      <c r="J95" s="351">
        <v>44728</v>
      </c>
      <c r="L95" s="358" cm="1">
        <f t="array" aca="1" ref="L95" ca="1">_xll.d.Dates_PrevDay(J95,J96)</f>
        <v>44727</v>
      </c>
      <c r="M95" s="359">
        <v>44727</v>
      </c>
      <c r="N95" s="360" t="str" cm="1">
        <f t="array" aca="1" ref="N95" ca="1">_xll.d.TestUtils_Equal(L95,M95)</f>
        <v>Ok</v>
      </c>
      <c r="P95" s="136" t="s">
        <v>34</v>
      </c>
      <c r="Q95" s="351">
        <v>44746</v>
      </c>
      <c r="S95" s="602" cm="1">
        <f t="array" aca="1" ref="S95" ca="1">_xll.d.Dates_PrevDay(Q95,Q96)</f>
        <v>44743</v>
      </c>
      <c r="T95" s="603"/>
      <c r="U95" s="603">
        <v>44743</v>
      </c>
      <c r="V95" s="603"/>
      <c r="W95" s="360" t="str" cm="1">
        <f t="array" aca="1" ref="W95" ca="1">_xll.d.TestUtils_Equal(S95,U95)</f>
        <v>Ok</v>
      </c>
      <c r="Y95" s="136" t="s">
        <v>34</v>
      </c>
      <c r="Z95" s="351">
        <v>44746</v>
      </c>
      <c r="AB95" s="602" t="str" cm="1">
        <f t="array" aca="1" ref="AB95" ca="1">_xll.d.Dates_PrevDay(Z95,Z96)</f>
        <v>#∂Excel Error: Unsupported calendar: 'WRE'</v>
      </c>
      <c r="AC95" s="603"/>
      <c r="AD95" s="603"/>
      <c r="AE95" s="603"/>
      <c r="AF95" s="603" t="s">
        <v>503</v>
      </c>
      <c r="AG95" s="603"/>
      <c r="AH95" s="603"/>
      <c r="AI95" s="603"/>
      <c r="AJ95" s="360" t="str" cm="1">
        <f t="array" aca="1" ref="AJ95" ca="1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410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aca="1" ref="C105" ca="1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aca="1" ref="E110" ca="1">_xll.d.Dates_AddTenorToDate(C110,C111,C112,C113)</f>
        <v>44652</v>
      </c>
      <c r="F110" s="359">
        <v>44652</v>
      </c>
      <c r="G110" s="360" t="str" cm="1">
        <f t="array" aca="1" ref="G110" ca="1">_xll.d.TestUtils_Equal(E110,F110)</f>
        <v>Ok</v>
      </c>
      <c r="I110" s="520" t="s">
        <v>34</v>
      </c>
      <c r="J110" s="604"/>
      <c r="K110" s="351">
        <v>44562</v>
      </c>
      <c r="M110" s="358" cm="1">
        <f t="array" aca="1" ref="M110" ca="1">_xll.d.Dates_AddTenorToDate(K110,K111,K112,K113)</f>
        <v>44652</v>
      </c>
      <c r="N110" s="359">
        <v>44652</v>
      </c>
      <c r="O110" s="360" t="str" cm="1">
        <f t="array" aca="1" ref="O110" ca="1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aca="1" ref="U110" ca="1">_xll.d.Dates_AddTenorToDate(S110,S111,S112,S113)</f>
        <v>#∂Excel Error: Unsupported calendar: 'WRE'</v>
      </c>
      <c r="V110" s="603"/>
      <c r="W110" s="603"/>
      <c r="X110" s="603"/>
      <c r="Y110" s="603" t="s">
        <v>503</v>
      </c>
      <c r="Z110" s="603"/>
      <c r="AA110" s="603"/>
      <c r="AB110" s="603"/>
      <c r="AC110" s="360" t="str" cm="1">
        <f t="array" aca="1" ref="AC110" ca="1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aca="1" ref="AI110" ca="1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504</v>
      </c>
      <c r="AO110" s="603"/>
      <c r="AP110" s="603"/>
      <c r="AQ110" s="603"/>
      <c r="AR110" s="603"/>
      <c r="AS110" s="360" t="str" cm="1">
        <f t="array" aca="1" ref="AS110" ca="1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411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aca="1" ref="C119" ca="1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aca="1" ref="B124:E158" ca="1">_xll.d.Dates_GetListOfCalendars()</f>
        <v>Variant 1</v>
      </c>
      <c r="C124" s="318" t="str">
        <f ca="1"/>
        <v>Variant 2</v>
      </c>
      <c r="D124" s="318" t="str">
        <f ca="1"/>
        <v>Variant 3</v>
      </c>
      <c r="E124" s="133" t="str">
        <f ca="1"/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aca="1" ref="L124" ca="1">_xll.d.TestUtils_Equal(B124,G124)</f>
        <v>Ok</v>
      </c>
      <c r="M124" s="350" t="str" cm="1">
        <f t="array" aca="1" ref="M124" ca="1">_xll.d.TestUtils_Equal(C124,H124)</f>
        <v>Ok</v>
      </c>
      <c r="N124" s="350" t="str" cm="1">
        <f t="array" aca="1" ref="N124" ca="1">_xll.d.TestUtils_Equal(D124,I124)</f>
        <v>Ok</v>
      </c>
      <c r="O124" s="350" t="str" cm="1">
        <f t="array" aca="1" ref="O124" ca="1">_xll.d.TestUtils_Equal(E124,J124)</f>
        <v>Ok</v>
      </c>
    </row>
    <row r="125" spans="2:33" x14ac:dyDescent="0.2">
      <c r="B125" s="136" t="str">
        <f ca="1"/>
        <v>ARS</v>
      </c>
      <c r="C125" s="370" t="str">
        <f ca="1"/>
        <v>Argentina</v>
      </c>
      <c r="D125" s="370" t="str">
        <f ca="1"/>
        <v/>
      </c>
      <c r="E125" s="137" t="str">
        <f ca="1"/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aca="1" ref="L125" ca="1">_xll.d.TestUtils_Equal(B125,G125)</f>
        <v>Ok</v>
      </c>
      <c r="M125" s="350" t="str" cm="1">
        <f t="array" aca="1" ref="M125" ca="1">_xll.d.TestUtils_Equal(C125,H125)</f>
        <v>Ok</v>
      </c>
      <c r="N125" s="350" t="str" cm="1">
        <f t="array" aca="1" ref="N125" ca="1">_xll.d.TestUtils_Equal(D125,I125)</f>
        <v>Ok</v>
      </c>
      <c r="O125" s="350" t="str" cm="1">
        <f t="array" aca="1" ref="O125" ca="1">_xll.d.TestUtils_Equal(E125,J125)</f>
        <v>Ok</v>
      </c>
    </row>
    <row r="126" spans="2:33" x14ac:dyDescent="0.2">
      <c r="B126" s="138" t="str">
        <f ca="1"/>
        <v>AUD</v>
      </c>
      <c r="C126" s="306" t="str">
        <f ca="1"/>
        <v>Australia</v>
      </c>
      <c r="D126" s="306" t="str">
        <f ca="1"/>
        <v/>
      </c>
      <c r="E126" s="139" t="str">
        <f ca="1"/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aca="1" ref="L126" ca="1">_xll.d.TestUtils_Equal(B126,G126)</f>
        <v>Ok</v>
      </c>
      <c r="M126" s="350" t="str" cm="1">
        <f t="array" aca="1" ref="M126" ca="1">_xll.d.TestUtils_Equal(C126,H126)</f>
        <v>Ok</v>
      </c>
      <c r="N126" s="350" t="str" cm="1">
        <f t="array" aca="1" ref="N126" ca="1">_xll.d.TestUtils_Equal(D126,I126)</f>
        <v>Ok</v>
      </c>
      <c r="O126" s="350" t="str" cm="1">
        <f t="array" aca="1" ref="O126" ca="1">_xll.d.TestUtils_Equal(E126,J126)</f>
        <v>Ok</v>
      </c>
    </row>
    <row r="127" spans="2:33" x14ac:dyDescent="0.2">
      <c r="B127" s="138" t="str">
        <f ca="1"/>
        <v>BWP</v>
      </c>
      <c r="C127" s="306" t="str">
        <f ca="1"/>
        <v>Botswana</v>
      </c>
      <c r="D127" s="306" t="str">
        <f ca="1"/>
        <v/>
      </c>
      <c r="E127" s="139" t="str">
        <f ca="1"/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aca="1" ref="L127" ca="1">_xll.d.TestUtils_Equal(B127,G127)</f>
        <v>Ok</v>
      </c>
      <c r="M127" s="350" t="str" cm="1">
        <f t="array" aca="1" ref="M127" ca="1">_xll.d.TestUtils_Equal(C127,H127)</f>
        <v>Ok</v>
      </c>
      <c r="N127" s="350" t="str" cm="1">
        <f t="array" aca="1" ref="N127" ca="1">_xll.d.TestUtils_Equal(D127,I127)</f>
        <v>Ok</v>
      </c>
      <c r="O127" s="350" t="str" cm="1">
        <f t="array" aca="1" ref="O127" ca="1">_xll.d.TestUtils_Equal(E127,J127)</f>
        <v>Ok</v>
      </c>
    </row>
    <row r="128" spans="2:33" x14ac:dyDescent="0.2">
      <c r="B128" s="138" t="str">
        <f ca="1"/>
        <v>BRL</v>
      </c>
      <c r="C128" s="306" t="str">
        <f ca="1"/>
        <v>Brazil</v>
      </c>
      <c r="D128" s="306" t="str">
        <f ca="1"/>
        <v/>
      </c>
      <c r="E128" s="139" t="str">
        <f ca="1"/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aca="1" ref="L128" ca="1">_xll.d.TestUtils_Equal(B128,G128)</f>
        <v>Ok</v>
      </c>
      <c r="M128" s="350" t="str" cm="1">
        <f t="array" aca="1" ref="M128" ca="1">_xll.d.TestUtils_Equal(C128,H128)</f>
        <v>Ok</v>
      </c>
      <c r="N128" s="350" t="str" cm="1">
        <f t="array" aca="1" ref="N128" ca="1">_xll.d.TestUtils_Equal(D128,I128)</f>
        <v>Ok</v>
      </c>
      <c r="O128" s="350" t="str" cm="1">
        <f t="array" aca="1" ref="O128" ca="1">_xll.d.TestUtils_Equal(E128,J128)</f>
        <v>Ok</v>
      </c>
    </row>
    <row r="129" spans="2:15" x14ac:dyDescent="0.2">
      <c r="B129" s="138" t="str">
        <f ca="1"/>
        <v>CAD</v>
      </c>
      <c r="C129" s="306" t="str">
        <f ca="1"/>
        <v>Canada</v>
      </c>
      <c r="D129" s="306" t="str">
        <f ca="1"/>
        <v/>
      </c>
      <c r="E129" s="139" t="str">
        <f ca="1"/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aca="1" ref="L129" ca="1">_xll.d.TestUtils_Equal(B129,G129)</f>
        <v>Ok</v>
      </c>
      <c r="M129" s="350" t="str" cm="1">
        <f t="array" aca="1" ref="M129" ca="1">_xll.d.TestUtils_Equal(C129,H129)</f>
        <v>Ok</v>
      </c>
      <c r="N129" s="350" t="str" cm="1">
        <f t="array" aca="1" ref="N129" ca="1">_xll.d.TestUtils_Equal(D129,I129)</f>
        <v>Ok</v>
      </c>
      <c r="O129" s="350" t="str" cm="1">
        <f t="array" aca="1" ref="O129" ca="1">_xll.d.TestUtils_Equal(E129,J129)</f>
        <v>Ok</v>
      </c>
    </row>
    <row r="130" spans="2:15" x14ac:dyDescent="0.2">
      <c r="B130" s="138" t="str">
        <f ca="1"/>
        <v>CHF</v>
      </c>
      <c r="C130" s="306" t="str">
        <f ca="1"/>
        <v>Switzerland</v>
      </c>
      <c r="D130" s="306" t="str">
        <f ca="1"/>
        <v/>
      </c>
      <c r="E130" s="139" t="str">
        <f ca="1"/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aca="1" ref="L130" ca="1">_xll.d.TestUtils_Equal(B130,G130)</f>
        <v>Ok</v>
      </c>
      <c r="M130" s="350" t="str" cm="1">
        <f t="array" aca="1" ref="M130" ca="1">_xll.d.TestUtils_Equal(C130,H130)</f>
        <v>Ok</v>
      </c>
      <c r="N130" s="350" t="str" cm="1">
        <f t="array" aca="1" ref="N130" ca="1">_xll.d.TestUtils_Equal(D130,I130)</f>
        <v>Ok</v>
      </c>
      <c r="O130" s="350" t="str" cm="1">
        <f t="array" aca="1" ref="O130" ca="1">_xll.d.TestUtils_Equal(E130,J130)</f>
        <v>Ok</v>
      </c>
    </row>
    <row r="131" spans="2:15" x14ac:dyDescent="0.2">
      <c r="B131" s="138" t="str">
        <f ca="1"/>
        <v>CNH</v>
      </c>
      <c r="C131" s="306" t="str">
        <f ca="1"/>
        <v>China</v>
      </c>
      <c r="D131" s="306" t="str">
        <f ca="1"/>
        <v/>
      </c>
      <c r="E131" s="139" t="str">
        <f ca="1"/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aca="1" ref="L131" ca="1">_xll.d.TestUtils_Equal(B131,G131)</f>
        <v>Ok</v>
      </c>
      <c r="M131" s="350" t="str" cm="1">
        <f t="array" aca="1" ref="M131" ca="1">_xll.d.TestUtils_Equal(C131,H131)</f>
        <v>Ok</v>
      </c>
      <c r="N131" s="350" t="str" cm="1">
        <f t="array" aca="1" ref="N131" ca="1">_xll.d.TestUtils_Equal(D131,I131)</f>
        <v>Ok</v>
      </c>
      <c r="O131" s="350" t="str" cm="1">
        <f t="array" aca="1" ref="O131" ca="1">_xll.d.TestUtils_Equal(E131,J131)</f>
        <v>Ok</v>
      </c>
    </row>
    <row r="132" spans="2:15" x14ac:dyDescent="0.2">
      <c r="B132" s="138" t="str">
        <f ca="1"/>
        <v>CZK</v>
      </c>
      <c r="C132" s="306" t="str">
        <f ca="1"/>
        <v>Czech Republic</v>
      </c>
      <c r="D132" s="306" t="str">
        <f ca="1"/>
        <v/>
      </c>
      <c r="E132" s="139" t="str">
        <f ca="1"/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aca="1" ref="L132" ca="1">_xll.d.TestUtils_Equal(B132,G132)</f>
        <v>Ok</v>
      </c>
      <c r="M132" s="350" t="str" cm="1">
        <f t="array" aca="1" ref="M132" ca="1">_xll.d.TestUtils_Equal(C132,H132)</f>
        <v>Ok</v>
      </c>
      <c r="N132" s="350" t="str" cm="1">
        <f t="array" aca="1" ref="N132" ca="1">_xll.d.TestUtils_Equal(D132,I132)</f>
        <v>Ok</v>
      </c>
      <c r="O132" s="350" t="str" cm="1">
        <f t="array" aca="1" ref="O132" ca="1">_xll.d.TestUtils_Equal(E132,J132)</f>
        <v>Ok</v>
      </c>
    </row>
    <row r="133" spans="2:15" x14ac:dyDescent="0.2">
      <c r="B133" s="138" t="str">
        <f ca="1"/>
        <v>DKK</v>
      </c>
      <c r="C133" s="306" t="str">
        <f ca="1"/>
        <v>Denmark</v>
      </c>
      <c r="D133" s="306" t="str">
        <f ca="1"/>
        <v/>
      </c>
      <c r="E133" s="139" t="str">
        <f ca="1"/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aca="1" ref="L133" ca="1">_xll.d.TestUtils_Equal(B133,G133)</f>
        <v>Ok</v>
      </c>
      <c r="M133" s="350" t="str" cm="1">
        <f t="array" aca="1" ref="M133" ca="1">_xll.d.TestUtils_Equal(C133,H133)</f>
        <v>Ok</v>
      </c>
      <c r="N133" s="350" t="str" cm="1">
        <f t="array" aca="1" ref="N133" ca="1">_xll.d.TestUtils_Equal(D133,I133)</f>
        <v>Ok</v>
      </c>
      <c r="O133" s="350" t="str" cm="1">
        <f t="array" aca="1" ref="O133" ca="1">_xll.d.TestUtils_Equal(E133,J133)</f>
        <v>Ok</v>
      </c>
    </row>
    <row r="134" spans="2:15" x14ac:dyDescent="0.2">
      <c r="B134" s="138" t="str">
        <f ca="1"/>
        <v>EUR</v>
      </c>
      <c r="C134" s="306" t="str">
        <f ca="1"/>
        <v>Euro</v>
      </c>
      <c r="D134" s="306" t="str">
        <f ca="1"/>
        <v/>
      </c>
      <c r="E134" s="139" t="str">
        <f ca="1"/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aca="1" ref="L134" ca="1">_xll.d.TestUtils_Equal(B134,G134)</f>
        <v>Ok</v>
      </c>
      <c r="M134" s="350" t="str" cm="1">
        <f t="array" aca="1" ref="M134" ca="1">_xll.d.TestUtils_Equal(C134,H134)</f>
        <v>Ok</v>
      </c>
      <c r="N134" s="350" t="str" cm="1">
        <f t="array" aca="1" ref="N134" ca="1">_xll.d.TestUtils_Equal(D134,I134)</f>
        <v>Ok</v>
      </c>
      <c r="O134" s="350" t="str" cm="1">
        <f t="array" aca="1" ref="O134" ca="1">_xll.d.TestUtils_Equal(E134,J134)</f>
        <v>Ok</v>
      </c>
    </row>
    <row r="135" spans="2:15" x14ac:dyDescent="0.2">
      <c r="B135" s="138" t="str">
        <f ca="1"/>
        <v>GBP</v>
      </c>
      <c r="C135" s="306" t="str">
        <f ca="1"/>
        <v>Great Britain</v>
      </c>
      <c r="D135" s="306" t="str">
        <f ca="1"/>
        <v/>
      </c>
      <c r="E135" s="139" t="str">
        <f ca="1"/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aca="1" ref="L135" ca="1">_xll.d.TestUtils_Equal(B135,G135)</f>
        <v>Ok</v>
      </c>
      <c r="M135" s="350" t="str" cm="1">
        <f t="array" aca="1" ref="M135" ca="1">_xll.d.TestUtils_Equal(C135,H135)</f>
        <v>Ok</v>
      </c>
      <c r="N135" s="350" t="str" cm="1">
        <f t="array" aca="1" ref="N135" ca="1">_xll.d.TestUtils_Equal(D135,I135)</f>
        <v>Ok</v>
      </c>
      <c r="O135" s="350" t="str" cm="1">
        <f t="array" aca="1" ref="O135" ca="1">_xll.d.TestUtils_Equal(E135,J135)</f>
        <v>Ok</v>
      </c>
    </row>
    <row r="136" spans="2:15" x14ac:dyDescent="0.2">
      <c r="B136" s="138" t="str">
        <f ca="1"/>
        <v>Germany</v>
      </c>
      <c r="C136" s="306" t="str">
        <f ca="1"/>
        <v/>
      </c>
      <c r="D136" s="306" t="str">
        <f ca="1"/>
        <v/>
      </c>
      <c r="E136" s="139" t="str">
        <f ca="1"/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aca="1" ref="L136" ca="1">_xll.d.TestUtils_Equal(B136,G136)</f>
        <v>Ok</v>
      </c>
      <c r="M136" s="350" t="str" cm="1">
        <f t="array" aca="1" ref="M136" ca="1">_xll.d.TestUtils_Equal(C136,H136)</f>
        <v>Ok</v>
      </c>
      <c r="N136" s="350" t="str" cm="1">
        <f t="array" aca="1" ref="N136" ca="1">_xll.d.TestUtils_Equal(D136,I136)</f>
        <v>Ok</v>
      </c>
      <c r="O136" s="350" t="str" cm="1">
        <f t="array" aca="1" ref="O136" ca="1">_xll.d.TestUtils_Equal(E136,J136)</f>
        <v>Ok</v>
      </c>
    </row>
    <row r="137" spans="2:15" x14ac:dyDescent="0.2">
      <c r="B137" s="138" t="str">
        <f ca="1"/>
        <v>HUF</v>
      </c>
      <c r="C137" s="306" t="str">
        <f ca="1"/>
        <v>Hungary</v>
      </c>
      <c r="D137" s="306" t="str">
        <f ca="1"/>
        <v/>
      </c>
      <c r="E137" s="139" t="str">
        <f ca="1"/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aca="1" ref="L137" ca="1">_xll.d.TestUtils_Equal(B137,G137)</f>
        <v>Ok</v>
      </c>
      <c r="M137" s="350" t="str" cm="1">
        <f t="array" aca="1" ref="M137" ca="1">_xll.d.TestUtils_Equal(C137,H137)</f>
        <v>Ok</v>
      </c>
      <c r="N137" s="350" t="str" cm="1">
        <f t="array" aca="1" ref="N137" ca="1">_xll.d.TestUtils_Equal(D137,I137)</f>
        <v>Ok</v>
      </c>
      <c r="O137" s="350" t="str" cm="1">
        <f t="array" aca="1" ref="O137" ca="1">_xll.d.TestUtils_Equal(E137,J137)</f>
        <v>Ok</v>
      </c>
    </row>
    <row r="138" spans="2:15" x14ac:dyDescent="0.2">
      <c r="B138" s="138" t="str">
        <f ca="1"/>
        <v>INR</v>
      </c>
      <c r="C138" s="306" t="str">
        <f ca="1"/>
        <v>India</v>
      </c>
      <c r="D138" s="306" t="str">
        <f ca="1"/>
        <v/>
      </c>
      <c r="E138" s="139" t="str">
        <f ca="1"/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aca="1" ref="L138" ca="1">_xll.d.TestUtils_Equal(B138,G138)</f>
        <v>Ok</v>
      </c>
      <c r="M138" s="350" t="str" cm="1">
        <f t="array" aca="1" ref="M138" ca="1">_xll.d.TestUtils_Equal(C138,H138)</f>
        <v>Ok</v>
      </c>
      <c r="N138" s="350" t="str" cm="1">
        <f t="array" aca="1" ref="N138" ca="1">_xll.d.TestUtils_Equal(D138,I138)</f>
        <v>Ok</v>
      </c>
      <c r="O138" s="350" t="str" cm="1">
        <f t="array" aca="1" ref="O138" ca="1">_xll.d.TestUtils_Equal(E138,J138)</f>
        <v>Ok</v>
      </c>
    </row>
    <row r="139" spans="2:15" x14ac:dyDescent="0.2">
      <c r="B139" s="138" t="str">
        <f ca="1"/>
        <v>ILS</v>
      </c>
      <c r="C139" s="306" t="str">
        <f ca="1"/>
        <v>Israel</v>
      </c>
      <c r="D139" s="306" t="str">
        <f ca="1"/>
        <v/>
      </c>
      <c r="E139" s="139" t="str">
        <f ca="1"/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aca="1" ref="L139" ca="1">_xll.d.TestUtils_Equal(B139,G139)</f>
        <v>Ok</v>
      </c>
      <c r="M139" s="350" t="str" cm="1">
        <f t="array" aca="1" ref="M139" ca="1">_xll.d.TestUtils_Equal(C139,H139)</f>
        <v>Ok</v>
      </c>
      <c r="N139" s="350" t="str" cm="1">
        <f t="array" aca="1" ref="N139" ca="1">_xll.d.TestUtils_Equal(D139,I139)</f>
        <v>Ok</v>
      </c>
      <c r="O139" s="350" t="str" cm="1">
        <f t="array" aca="1" ref="O139" ca="1">_xll.d.TestUtils_Equal(E139,J139)</f>
        <v>Ok</v>
      </c>
    </row>
    <row r="140" spans="2:15" x14ac:dyDescent="0.2">
      <c r="B140" s="138" t="str">
        <f ca="1"/>
        <v>Italy</v>
      </c>
      <c r="C140" s="306" t="str">
        <f ca="1"/>
        <v/>
      </c>
      <c r="D140" s="306" t="str">
        <f ca="1"/>
        <v/>
      </c>
      <c r="E140" s="139" t="str">
        <f ca="1"/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aca="1" ref="L140" ca="1">_xll.d.TestUtils_Equal(B140,G140)</f>
        <v>Ok</v>
      </c>
      <c r="M140" s="350" t="str" cm="1">
        <f t="array" aca="1" ref="M140" ca="1">_xll.d.TestUtils_Equal(C140,H140)</f>
        <v>Ok</v>
      </c>
      <c r="N140" s="350" t="str" cm="1">
        <f t="array" aca="1" ref="N140" ca="1">_xll.d.TestUtils_Equal(D140,I140)</f>
        <v>Ok</v>
      </c>
      <c r="O140" s="350" t="str" cm="1">
        <f t="array" aca="1" ref="O140" ca="1">_xll.d.TestUtils_Equal(E140,J140)</f>
        <v>Ok</v>
      </c>
    </row>
    <row r="141" spans="2:15" x14ac:dyDescent="0.2">
      <c r="B141" s="138" t="str">
        <f ca="1"/>
        <v>JPY</v>
      </c>
      <c r="C141" s="306" t="str">
        <f ca="1"/>
        <v>Japan</v>
      </c>
      <c r="D141" s="306" t="str">
        <f ca="1"/>
        <v/>
      </c>
      <c r="E141" s="139" t="str">
        <f ca="1"/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aca="1" ref="L141" ca="1">_xll.d.TestUtils_Equal(B141,G141)</f>
        <v>Ok</v>
      </c>
      <c r="M141" s="350" t="str" cm="1">
        <f t="array" aca="1" ref="M141" ca="1">_xll.d.TestUtils_Equal(C141,H141)</f>
        <v>Ok</v>
      </c>
      <c r="N141" s="350" t="str" cm="1">
        <f t="array" aca="1" ref="N141" ca="1">_xll.d.TestUtils_Equal(D141,I141)</f>
        <v>Ok</v>
      </c>
      <c r="O141" s="350" t="str" cm="1">
        <f t="array" aca="1" ref="O141" ca="1">_xll.d.TestUtils_Equal(E141,J141)</f>
        <v>Ok</v>
      </c>
    </row>
    <row r="142" spans="2:15" x14ac:dyDescent="0.2">
      <c r="B142" s="138" t="str">
        <f ca="1"/>
        <v>KRW</v>
      </c>
      <c r="C142" s="306" t="str">
        <f ca="1"/>
        <v>South Korea</v>
      </c>
      <c r="D142" s="306" t="str">
        <f ca="1"/>
        <v/>
      </c>
      <c r="E142" s="139" t="str">
        <f ca="1"/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aca="1" ref="L142" ca="1">_xll.d.TestUtils_Equal(B142,G142)</f>
        <v>Ok</v>
      </c>
      <c r="M142" s="350" t="str" cm="1">
        <f t="array" aca="1" ref="M142" ca="1">_xll.d.TestUtils_Equal(C142,H142)</f>
        <v>Ok</v>
      </c>
      <c r="N142" s="350" t="str" cm="1">
        <f t="array" aca="1" ref="N142" ca="1">_xll.d.TestUtils_Equal(D142,I142)</f>
        <v>Ok</v>
      </c>
      <c r="O142" s="350" t="str" cm="1">
        <f t="array" aca="1" ref="O142" ca="1">_xll.d.TestUtils_Equal(E142,J142)</f>
        <v>Ok</v>
      </c>
    </row>
    <row r="143" spans="2:15" x14ac:dyDescent="0.2">
      <c r="B143" s="138" t="str">
        <f ca="1"/>
        <v>MXN</v>
      </c>
      <c r="C143" s="306" t="str">
        <f ca="1"/>
        <v>Mexico</v>
      </c>
      <c r="D143" s="306" t="str">
        <f ca="1"/>
        <v/>
      </c>
      <c r="E143" s="139" t="str">
        <f ca="1"/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aca="1" ref="L143" ca="1">_xll.d.TestUtils_Equal(B143,G143)</f>
        <v>Ok</v>
      </c>
      <c r="M143" s="350" t="str" cm="1">
        <f t="array" aca="1" ref="M143" ca="1">_xll.d.TestUtils_Equal(C143,H143)</f>
        <v>Ok</v>
      </c>
      <c r="N143" s="350" t="str" cm="1">
        <f t="array" aca="1" ref="N143" ca="1">_xll.d.TestUtils_Equal(D143,I143)</f>
        <v>Ok</v>
      </c>
      <c r="O143" s="350" t="str" cm="1">
        <f t="array" aca="1" ref="O143" ca="1">_xll.d.TestUtils_Equal(E143,J143)</f>
        <v>Ok</v>
      </c>
    </row>
    <row r="144" spans="2:15" x14ac:dyDescent="0.2">
      <c r="B144" s="138" t="str">
        <f ca="1"/>
        <v>NOK</v>
      </c>
      <c r="C144" s="306" t="str">
        <f ca="1"/>
        <v>Norway</v>
      </c>
      <c r="D144" s="306" t="str">
        <f ca="1"/>
        <v/>
      </c>
      <c r="E144" s="139" t="str">
        <f ca="1"/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aca="1" ref="L144" ca="1">_xll.d.TestUtils_Equal(B144,G144)</f>
        <v>Ok</v>
      </c>
      <c r="M144" s="350" t="str" cm="1">
        <f t="array" aca="1" ref="M144" ca="1">_xll.d.TestUtils_Equal(C144,H144)</f>
        <v>Ok</v>
      </c>
      <c r="N144" s="350" t="str" cm="1">
        <f t="array" aca="1" ref="N144" ca="1">_xll.d.TestUtils_Equal(D144,I144)</f>
        <v>Ok</v>
      </c>
      <c r="O144" s="350" t="str" cm="1">
        <f t="array" aca="1" ref="O144" ca="1">_xll.d.TestUtils_Equal(E144,J144)</f>
        <v>Ok</v>
      </c>
    </row>
    <row r="145" spans="2:15" x14ac:dyDescent="0.2">
      <c r="B145" s="138" t="str">
        <f ca="1"/>
        <v>NZD</v>
      </c>
      <c r="C145" s="306" t="str">
        <f ca="1"/>
        <v>New Zealand</v>
      </c>
      <c r="D145" s="306" t="str">
        <f ca="1"/>
        <v/>
      </c>
      <c r="E145" s="139" t="str">
        <f ca="1"/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aca="1" ref="L145" ca="1">_xll.d.TestUtils_Equal(B145,G145)</f>
        <v>Ok</v>
      </c>
      <c r="M145" s="350" t="str" cm="1">
        <f t="array" aca="1" ref="M145" ca="1">_xll.d.TestUtils_Equal(C145,H145)</f>
        <v>Ok</v>
      </c>
      <c r="N145" s="350" t="str" cm="1">
        <f t="array" aca="1" ref="N145" ca="1">_xll.d.TestUtils_Equal(D145,I145)</f>
        <v>Ok</v>
      </c>
      <c r="O145" s="350" t="str" cm="1">
        <f t="array" aca="1" ref="O145" ca="1">_xll.d.TestUtils_Equal(E145,J145)</f>
        <v>Ok</v>
      </c>
    </row>
    <row r="146" spans="2:15" x14ac:dyDescent="0.2">
      <c r="B146" s="138" t="str">
        <f ca="1"/>
        <v>PLN</v>
      </c>
      <c r="C146" s="306" t="str">
        <f ca="1"/>
        <v>Poland</v>
      </c>
      <c r="D146" s="306" t="str">
        <f ca="1"/>
        <v/>
      </c>
      <c r="E146" s="139" t="str">
        <f ca="1"/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aca="1" ref="L146" ca="1">_xll.d.TestUtils_Equal(B146,G146)</f>
        <v>Ok</v>
      </c>
      <c r="M146" s="350" t="str" cm="1">
        <f t="array" aca="1" ref="M146" ca="1">_xll.d.TestUtils_Equal(C146,H146)</f>
        <v>Ok</v>
      </c>
      <c r="N146" s="350" t="str" cm="1">
        <f t="array" aca="1" ref="N146" ca="1">_xll.d.TestUtils_Equal(D146,I146)</f>
        <v>Ok</v>
      </c>
      <c r="O146" s="350" t="str" cm="1">
        <f t="array" aca="1" ref="O146" ca="1">_xll.d.TestUtils_Equal(E146,J146)</f>
        <v>Ok</v>
      </c>
    </row>
    <row r="147" spans="2:15" x14ac:dyDescent="0.2">
      <c r="B147" s="138" t="str">
        <f ca="1"/>
        <v>RON</v>
      </c>
      <c r="C147" s="306" t="str">
        <f ca="1"/>
        <v>Romania</v>
      </c>
      <c r="D147" s="306" t="str">
        <f ca="1"/>
        <v/>
      </c>
      <c r="E147" s="139" t="str">
        <f ca="1"/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aca="1" ref="L147" ca="1">_xll.d.TestUtils_Equal(B147,G147)</f>
        <v>Ok</v>
      </c>
      <c r="M147" s="350" t="str" cm="1">
        <f t="array" aca="1" ref="M147" ca="1">_xll.d.TestUtils_Equal(C147,H147)</f>
        <v>Ok</v>
      </c>
      <c r="N147" s="350" t="str" cm="1">
        <f t="array" aca="1" ref="N147" ca="1">_xll.d.TestUtils_Equal(D147,I147)</f>
        <v>Ok</v>
      </c>
      <c r="O147" s="350" t="str" cm="1">
        <f t="array" aca="1" ref="O147" ca="1">_xll.d.TestUtils_Equal(E147,J147)</f>
        <v>Ok</v>
      </c>
    </row>
    <row r="148" spans="2:15" x14ac:dyDescent="0.2">
      <c r="B148" s="138" t="str">
        <f ca="1"/>
        <v>RUB</v>
      </c>
      <c r="C148" s="306" t="str">
        <f ca="1"/>
        <v>Russia</v>
      </c>
      <c r="D148" s="306" t="str">
        <f ca="1"/>
        <v/>
      </c>
      <c r="E148" s="139" t="str">
        <f ca="1"/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aca="1" ref="L148" ca="1">_xll.d.TestUtils_Equal(B148,G148)</f>
        <v>Ok</v>
      </c>
      <c r="M148" s="350" t="str" cm="1">
        <f t="array" aca="1" ref="M148" ca="1">_xll.d.TestUtils_Equal(C148,H148)</f>
        <v>Ok</v>
      </c>
      <c r="N148" s="350" t="str" cm="1">
        <f t="array" aca="1" ref="N148" ca="1">_xll.d.TestUtils_Equal(D148,I148)</f>
        <v>Ok</v>
      </c>
      <c r="O148" s="350" t="str" cm="1">
        <f t="array" aca="1" ref="O148" ca="1">_xll.d.TestUtils_Equal(E148,J148)</f>
        <v>Ok</v>
      </c>
    </row>
    <row r="149" spans="2:15" x14ac:dyDescent="0.2">
      <c r="B149" s="138" t="str">
        <f ca="1"/>
        <v>SGD</v>
      </c>
      <c r="C149" s="306" t="str">
        <f ca="1"/>
        <v>Singapore</v>
      </c>
      <c r="D149" s="306" t="str">
        <f ca="1"/>
        <v/>
      </c>
      <c r="E149" s="139" t="str">
        <f ca="1"/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aca="1" ref="L149" ca="1">_xll.d.TestUtils_Equal(B149,G149)</f>
        <v>Ok</v>
      </c>
      <c r="M149" s="350" t="str" cm="1">
        <f t="array" aca="1" ref="M149" ca="1">_xll.d.TestUtils_Equal(C149,H149)</f>
        <v>Ok</v>
      </c>
      <c r="N149" s="350" t="str" cm="1">
        <f t="array" aca="1" ref="N149" ca="1">_xll.d.TestUtils_Equal(D149,I149)</f>
        <v>Ok</v>
      </c>
      <c r="O149" s="350" t="str" cm="1">
        <f t="array" aca="1" ref="O149" ca="1">_xll.d.TestUtils_Equal(E149,J149)</f>
        <v>Ok</v>
      </c>
    </row>
    <row r="150" spans="2:15" x14ac:dyDescent="0.2">
      <c r="B150" s="138" t="str">
        <f ca="1"/>
        <v>SKK</v>
      </c>
      <c r="C150" s="306" t="str">
        <f ca="1"/>
        <v>Sweden</v>
      </c>
      <c r="D150" s="306" t="str">
        <f ca="1"/>
        <v/>
      </c>
      <c r="E150" s="139" t="str">
        <f ca="1"/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aca="1" ref="L150" ca="1">_xll.d.TestUtils_Equal(B150,G150)</f>
        <v>Ok</v>
      </c>
      <c r="M150" s="350" t="str" cm="1">
        <f t="array" aca="1" ref="M150" ca="1">_xll.d.TestUtils_Equal(C150,H150)</f>
        <v>Ok</v>
      </c>
      <c r="N150" s="350" t="str" cm="1">
        <f t="array" aca="1" ref="N150" ca="1">_xll.d.TestUtils_Equal(D150,I150)</f>
        <v>Ok</v>
      </c>
      <c r="O150" s="350" t="str" cm="1">
        <f t="array" aca="1" ref="O150" ca="1">_xll.d.TestUtils_Equal(E150,J150)</f>
        <v>Ok</v>
      </c>
    </row>
    <row r="151" spans="2:15" x14ac:dyDescent="0.2">
      <c r="B151" s="138" t="str">
        <f ca="1"/>
        <v>SLOVAKIA</v>
      </c>
      <c r="C151" s="306" t="str">
        <f ca="1"/>
        <v/>
      </c>
      <c r="D151" s="306" t="str">
        <f ca="1"/>
        <v/>
      </c>
      <c r="E151" s="139" t="str">
        <f ca="1"/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aca="1" ref="L151" ca="1">_xll.d.TestUtils_Equal(B151,G151)</f>
        <v>Ok</v>
      </c>
      <c r="M151" s="350" t="str" cm="1">
        <f t="array" aca="1" ref="M151" ca="1">_xll.d.TestUtils_Equal(C151,H151)</f>
        <v>Ok</v>
      </c>
      <c r="N151" s="350" t="str" cm="1">
        <f t="array" aca="1" ref="N151" ca="1">_xll.d.TestUtils_Equal(D151,I151)</f>
        <v>Ok</v>
      </c>
      <c r="O151" s="350" t="str" cm="1">
        <f t="array" aca="1" ref="O151" ca="1">_xll.d.TestUtils_Equal(E151,J151)</f>
        <v>Ok</v>
      </c>
    </row>
    <row r="152" spans="2:15" x14ac:dyDescent="0.2">
      <c r="B152" s="138" t="str">
        <f ca="1"/>
        <v>THB</v>
      </c>
      <c r="C152" s="306" t="str">
        <f ca="1"/>
        <v>Thailand</v>
      </c>
      <c r="D152" s="306" t="str">
        <f ca="1"/>
        <v/>
      </c>
      <c r="E152" s="139" t="str">
        <f ca="1"/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aca="1" ref="L152" ca="1">_xll.d.TestUtils_Equal(B152,G152)</f>
        <v>Ok</v>
      </c>
      <c r="M152" s="350" t="str" cm="1">
        <f t="array" aca="1" ref="M152" ca="1">_xll.d.TestUtils_Equal(C152,H152)</f>
        <v>Ok</v>
      </c>
      <c r="N152" s="350" t="str" cm="1">
        <f t="array" aca="1" ref="N152" ca="1">_xll.d.TestUtils_Equal(D152,I152)</f>
        <v>Ok</v>
      </c>
      <c r="O152" s="350" t="str" cm="1">
        <f t="array" aca="1" ref="O152" ca="1">_xll.d.TestUtils_Equal(E152,J152)</f>
        <v>Ok</v>
      </c>
    </row>
    <row r="153" spans="2:15" x14ac:dyDescent="0.2">
      <c r="B153" s="138" t="str">
        <f ca="1"/>
        <v>TRY</v>
      </c>
      <c r="C153" s="306" t="str">
        <f ca="1"/>
        <v>Turkey</v>
      </c>
      <c r="D153" s="306" t="str">
        <f ca="1"/>
        <v/>
      </c>
      <c r="E153" s="139" t="str">
        <f ca="1"/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aca="1" ref="L153" ca="1">_xll.d.TestUtils_Equal(B153,G153)</f>
        <v>Ok</v>
      </c>
      <c r="M153" s="350" t="str" cm="1">
        <f t="array" aca="1" ref="M153" ca="1">_xll.d.TestUtils_Equal(C153,H153)</f>
        <v>Ok</v>
      </c>
      <c r="N153" s="350" t="str" cm="1">
        <f t="array" aca="1" ref="N153" ca="1">_xll.d.TestUtils_Equal(D153,I153)</f>
        <v>Ok</v>
      </c>
      <c r="O153" s="350" t="str" cm="1">
        <f t="array" aca="1" ref="O153" ca="1">_xll.d.TestUtils_Equal(E153,J153)</f>
        <v>Ok</v>
      </c>
    </row>
    <row r="154" spans="2:15" x14ac:dyDescent="0.2">
      <c r="B154" s="138" t="str">
        <f ca="1"/>
        <v>TWD</v>
      </c>
      <c r="C154" s="306" t="str">
        <f ca="1"/>
        <v>Taiwan</v>
      </c>
      <c r="D154" s="306" t="str">
        <f ca="1"/>
        <v/>
      </c>
      <c r="E154" s="139" t="str">
        <f ca="1"/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aca="1" ref="L154" ca="1">_xll.d.TestUtils_Equal(B154,G154)</f>
        <v>Ok</v>
      </c>
      <c r="M154" s="350" t="str" cm="1">
        <f t="array" aca="1" ref="M154" ca="1">_xll.d.TestUtils_Equal(C154,H154)</f>
        <v>Ok</v>
      </c>
      <c r="N154" s="350" t="str" cm="1">
        <f t="array" aca="1" ref="N154" ca="1">_xll.d.TestUtils_Equal(D154,I154)</f>
        <v>Ok</v>
      </c>
      <c r="O154" s="350" t="str" cm="1">
        <f t="array" aca="1" ref="O154" ca="1">_xll.d.TestUtils_Equal(E154,J154)</f>
        <v>Ok</v>
      </c>
    </row>
    <row r="155" spans="2:15" x14ac:dyDescent="0.2">
      <c r="B155" s="138" t="str">
        <f ca="1"/>
        <v>UAH</v>
      </c>
      <c r="C155" s="306" t="str">
        <f ca="1"/>
        <v>Ukraine</v>
      </c>
      <c r="D155" s="306" t="str">
        <f ca="1"/>
        <v/>
      </c>
      <c r="E155" s="139" t="str">
        <f ca="1"/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aca="1" ref="L155" ca="1">_xll.d.TestUtils_Equal(B155,G155)</f>
        <v>Ok</v>
      </c>
      <c r="M155" s="350" t="str" cm="1">
        <f t="array" aca="1" ref="M155" ca="1">_xll.d.TestUtils_Equal(C155,H155)</f>
        <v>Ok</v>
      </c>
      <c r="N155" s="350" t="str" cm="1">
        <f t="array" aca="1" ref="N155" ca="1">_xll.d.TestUtils_Equal(D155,I155)</f>
        <v>Ok</v>
      </c>
      <c r="O155" s="350" t="str" cm="1">
        <f t="array" aca="1" ref="O155" ca="1">_xll.d.TestUtils_Equal(E155,J155)</f>
        <v>Ok</v>
      </c>
    </row>
    <row r="156" spans="2:15" x14ac:dyDescent="0.2">
      <c r="B156" s="138" t="str">
        <f ca="1"/>
        <v>USD</v>
      </c>
      <c r="C156" s="306" t="str">
        <f ca="1"/>
        <v>USA</v>
      </c>
      <c r="D156" s="306" t="str">
        <f ca="1"/>
        <v>United States</v>
      </c>
      <c r="E156" s="139" t="str">
        <f ca="1"/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aca="1" ref="L156" ca="1">_xll.d.TestUtils_Equal(B156,G156)</f>
        <v>Ok</v>
      </c>
      <c r="M156" s="350" t="str" cm="1">
        <f t="array" aca="1" ref="M156" ca="1">_xll.d.TestUtils_Equal(C156,H156)</f>
        <v>Ok</v>
      </c>
      <c r="N156" s="350" t="str" cm="1">
        <f t="array" aca="1" ref="N156" ca="1">_xll.d.TestUtils_Equal(D156,I156)</f>
        <v>Ok</v>
      </c>
      <c r="O156" s="350" t="str" cm="1">
        <f t="array" aca="1" ref="O156" ca="1">_xll.d.TestUtils_Equal(E156,J156)</f>
        <v>Ok</v>
      </c>
    </row>
    <row r="157" spans="2:15" x14ac:dyDescent="0.2">
      <c r="B157" s="138" t="str">
        <f ca="1"/>
        <v>WEEKENDSONLY</v>
      </c>
      <c r="C157" s="306" t="str">
        <f ca="1"/>
        <v/>
      </c>
      <c r="D157" s="306" t="str">
        <f ca="1"/>
        <v/>
      </c>
      <c r="E157" s="139" t="str">
        <f ca="1"/>
        <v/>
      </c>
      <c r="G157" s="138" t="s">
        <v>505</v>
      </c>
      <c r="H157" s="306" t="s">
        <v>283</v>
      </c>
      <c r="I157" s="306" t="s">
        <v>283</v>
      </c>
      <c r="J157" s="139" t="s">
        <v>283</v>
      </c>
      <c r="L157" s="350" t="str" cm="1">
        <f t="array" aca="1" ref="L157" ca="1">_xll.d.TestUtils_Equal(B157,G157)</f>
        <v>Ok</v>
      </c>
      <c r="M157" s="350" t="str" cm="1">
        <f t="array" aca="1" ref="M157" ca="1">_xll.d.TestUtils_Equal(C157,H157)</f>
        <v>Ok</v>
      </c>
      <c r="N157" s="350" t="str" cm="1">
        <f t="array" aca="1" ref="N157" ca="1">_xll.d.TestUtils_Equal(D157,I157)</f>
        <v>Ok</v>
      </c>
      <c r="O157" s="350" t="str" cm="1">
        <f t="array" aca="1" ref="O157" ca="1">_xll.d.TestUtils_Equal(E157,J157)</f>
        <v>Ok</v>
      </c>
    </row>
    <row r="158" spans="2:15" x14ac:dyDescent="0.2">
      <c r="B158" s="140" t="str">
        <f ca="1"/>
        <v>ZAR</v>
      </c>
      <c r="C158" s="205" t="str">
        <f ca="1"/>
        <v>South Africa</v>
      </c>
      <c r="D158" s="205" t="str">
        <f ca="1"/>
        <v/>
      </c>
      <c r="E158" s="141" t="str">
        <f ca="1"/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aca="1" ref="L158" ca="1">_xll.d.TestUtils_Equal(B158,G158)</f>
        <v>Ok</v>
      </c>
      <c r="M158" s="350" t="str" cm="1">
        <f t="array" aca="1" ref="M158" ca="1">_xll.d.TestUtils_Equal(C158,H158)</f>
        <v>Ok</v>
      </c>
      <c r="N158" s="350" t="str" cm="1">
        <f t="array" aca="1" ref="N158" ca="1">_xll.d.TestUtils_Equal(D158,I158)</f>
        <v>Ok</v>
      </c>
      <c r="O158" s="350" t="str" cm="1">
        <f t="array" aca="1" ref="O158" ca="1">_xll.d.TestUtils_Equal(E158,J158)</f>
        <v>Ok</v>
      </c>
    </row>
    <row r="162" spans="2:27" ht="18.75" x14ac:dyDescent="0.3">
      <c r="B162" s="3" t="s">
        <v>412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aca="1" ref="C164" ca="1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aca="1" ref="E169:E177" ca="1">_xll.d.Dates_GetListOfHolidays(C169,C170,C171)</f>
        <v>44641</v>
      </c>
      <c r="F169" s="365">
        <v>44641</v>
      </c>
      <c r="G169" s="137" t="str" cm="1">
        <f t="array" aca="1" ref="G169" ca="1">_xll.d.TestUtils_Equal(E169,F169)</f>
        <v>Ok</v>
      </c>
      <c r="I169" s="136" t="s">
        <v>257</v>
      </c>
      <c r="J169" s="351">
        <v>44562</v>
      </c>
      <c r="L169" s="364" cm="1">
        <f t="array" aca="1" ref="L169:L186" ca="1">_xll.d.Dates_GetListOfHolidays(J169,J170,J171)</f>
        <v>44578</v>
      </c>
      <c r="M169" s="365">
        <v>44578</v>
      </c>
      <c r="N169" s="137" t="str" cm="1">
        <f t="array" aca="1" ref="N169" ca="1">_xll.d.TestUtils_Equal(L169,M169)</f>
        <v>Ok</v>
      </c>
      <c r="P169" s="136" t="s">
        <v>257</v>
      </c>
      <c r="Q169" s="351">
        <v>44562</v>
      </c>
      <c r="S169" s="602" t="str" cm="1">
        <f t="array" aca="1" ref="S169" ca="1">_xll.d.Dates_GetListOfHolidays(Q169,Q170,Q171)</f>
        <v>#∂Excel Error: Unsupported calendar: 'WRE'</v>
      </c>
      <c r="T169" s="603"/>
      <c r="U169" s="603"/>
      <c r="V169" s="603"/>
      <c r="W169" s="603" t="s">
        <v>503</v>
      </c>
      <c r="X169" s="603"/>
      <c r="Y169" s="603"/>
      <c r="Z169" s="603"/>
      <c r="AA169" s="360" t="str" cm="1">
        <f t="array" aca="1" ref="AA169" ca="1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f ca="1"/>
        <v>44666</v>
      </c>
      <c r="F170" s="367">
        <v>44666</v>
      </c>
      <c r="G170" s="139" t="str" cm="1">
        <f t="array" aca="1" ref="G170" ca="1">_xll.d.TestUtils_Equal(E170,F170)</f>
        <v>Ok</v>
      </c>
      <c r="I170" s="138" t="s">
        <v>258</v>
      </c>
      <c r="J170" s="363">
        <v>44926</v>
      </c>
      <c r="L170" s="366">
        <f ca="1"/>
        <v>44613</v>
      </c>
      <c r="M170" s="367">
        <v>44613</v>
      </c>
      <c r="N170" s="139" t="str" cm="1">
        <f t="array" aca="1" ref="N170" ca="1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f ca="1"/>
        <v>44669</v>
      </c>
      <c r="F171" s="367">
        <v>44669</v>
      </c>
      <c r="G171" s="139" t="str" cm="1">
        <f t="array" aca="1" ref="G171" ca="1">_xll.d.TestUtils_Equal(E171,F171)</f>
        <v>Ok</v>
      </c>
      <c r="I171" s="140" t="s">
        <v>240</v>
      </c>
      <c r="J171" s="141" t="s">
        <v>256</v>
      </c>
      <c r="L171" s="366">
        <f ca="1"/>
        <v>44641</v>
      </c>
      <c r="M171" s="367">
        <v>44641</v>
      </c>
      <c r="N171" s="139" t="str" cm="1">
        <f t="array" aca="1" ref="N171" ca="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f ca="1"/>
        <v>44678</v>
      </c>
      <c r="F172" s="367">
        <v>44678</v>
      </c>
      <c r="G172" s="139" t="str" cm="1">
        <f t="array" aca="1" ref="G172" ca="1">_xll.d.TestUtils_Equal(E172,F172)</f>
        <v>Ok</v>
      </c>
      <c r="L172" s="366">
        <f ca="1"/>
        <v>44666</v>
      </c>
      <c r="M172" s="367">
        <v>44666</v>
      </c>
      <c r="N172" s="139" t="str" cm="1">
        <f t="array" aca="1" ref="N172" ca="1">_xll.d.TestUtils_Equal(L172,M172)</f>
        <v>Ok</v>
      </c>
    </row>
    <row r="173" spans="2:27" x14ac:dyDescent="0.2">
      <c r="E173" s="366">
        <f ca="1"/>
        <v>44683</v>
      </c>
      <c r="F173" s="367">
        <v>44683</v>
      </c>
      <c r="G173" s="139" t="str" cm="1">
        <f t="array" aca="1" ref="G173" ca="1">_xll.d.TestUtils_Equal(E173,F173)</f>
        <v>Ok</v>
      </c>
      <c r="L173" s="366">
        <f ca="1"/>
        <v>44669</v>
      </c>
      <c r="M173" s="367">
        <v>44669</v>
      </c>
      <c r="N173" s="139" t="str" cm="1">
        <f t="array" aca="1" ref="N173" ca="1">_xll.d.TestUtils_Equal(L173,M173)</f>
        <v>Ok</v>
      </c>
    </row>
    <row r="174" spans="2:27" x14ac:dyDescent="0.2">
      <c r="E174" s="366">
        <f ca="1"/>
        <v>44728</v>
      </c>
      <c r="F174" s="367">
        <v>44728</v>
      </c>
      <c r="G174" s="139" t="str" cm="1">
        <f t="array" aca="1" ref="G174" ca="1">_xll.d.TestUtils_Equal(E174,F174)</f>
        <v>Ok</v>
      </c>
      <c r="L174" s="366">
        <f ca="1"/>
        <v>44678</v>
      </c>
      <c r="M174" s="367">
        <v>44678</v>
      </c>
      <c r="N174" s="139" t="str" cm="1">
        <f t="array" aca="1" ref="N174" ca="1">_xll.d.TestUtils_Equal(L174,M174)</f>
        <v>Ok</v>
      </c>
    </row>
    <row r="175" spans="2:27" x14ac:dyDescent="0.2">
      <c r="E175" s="366">
        <f ca="1"/>
        <v>44782</v>
      </c>
      <c r="F175" s="367">
        <v>44782</v>
      </c>
      <c r="G175" s="139" t="str" cm="1">
        <f t="array" aca="1" ref="G175" ca="1">_xll.d.TestUtils_Equal(E175,F175)</f>
        <v>Ok</v>
      </c>
      <c r="L175" s="366">
        <f ca="1"/>
        <v>44683</v>
      </c>
      <c r="M175" s="367">
        <v>44683</v>
      </c>
      <c r="N175" s="139" t="str" cm="1">
        <f t="array" aca="1" ref="N175" ca="1">_xll.d.TestUtils_Equal(L175,M175)</f>
        <v>Ok</v>
      </c>
    </row>
    <row r="176" spans="2:27" x14ac:dyDescent="0.2">
      <c r="E176" s="366">
        <f ca="1"/>
        <v>44911</v>
      </c>
      <c r="F176" s="367">
        <v>44911</v>
      </c>
      <c r="G176" s="139" t="str" cm="1">
        <f t="array" aca="1" ref="G176" ca="1">_xll.d.TestUtils_Equal(E176,F176)</f>
        <v>Ok</v>
      </c>
      <c r="L176" s="366">
        <f ca="1"/>
        <v>44711</v>
      </c>
      <c r="M176" s="367">
        <v>44711</v>
      </c>
      <c r="N176" s="139" t="str" cm="1">
        <f t="array" aca="1" ref="N176" ca="1">_xll.d.TestUtils_Equal(L176,M176)</f>
        <v>Ok</v>
      </c>
    </row>
    <row r="177" spans="2:35" x14ac:dyDescent="0.2">
      <c r="E177" s="368">
        <f ca="1"/>
        <v>44921</v>
      </c>
      <c r="F177" s="369">
        <v>44921</v>
      </c>
      <c r="G177" s="141" t="str" cm="1">
        <f t="array" aca="1" ref="G177" ca="1">_xll.d.TestUtils_Equal(E177,F177)</f>
        <v>Ok</v>
      </c>
      <c r="L177" s="366">
        <f ca="1"/>
        <v>44728</v>
      </c>
      <c r="M177" s="367">
        <v>44728</v>
      </c>
      <c r="N177" s="139" t="str" cm="1">
        <f t="array" aca="1" ref="N177" ca="1">_xll.d.TestUtils_Equal(L177,M177)</f>
        <v>Ok</v>
      </c>
    </row>
    <row r="178" spans="2:35" x14ac:dyDescent="0.2">
      <c r="G178" s="349"/>
      <c r="L178" s="366">
        <f ca="1"/>
        <v>44732</v>
      </c>
      <c r="M178" s="367">
        <v>44732</v>
      </c>
      <c r="N178" s="139" t="str" cm="1">
        <f t="array" aca="1" ref="N178" ca="1">_xll.d.TestUtils_Equal(L178,M178)</f>
        <v>Ok</v>
      </c>
    </row>
    <row r="179" spans="2:35" x14ac:dyDescent="0.2">
      <c r="G179" s="349"/>
      <c r="L179" s="366">
        <f ca="1"/>
        <v>44746</v>
      </c>
      <c r="M179" s="367">
        <v>44746</v>
      </c>
      <c r="N179" s="139" t="str" cm="1">
        <f t="array" aca="1" ref="N179" ca="1">_xll.d.TestUtils_Equal(L179,M179)</f>
        <v>Ok</v>
      </c>
    </row>
    <row r="180" spans="2:35" x14ac:dyDescent="0.2">
      <c r="G180" s="349"/>
      <c r="L180" s="366">
        <f ca="1"/>
        <v>44782</v>
      </c>
      <c r="M180" s="367">
        <v>44782</v>
      </c>
      <c r="N180" s="139" t="str" cm="1">
        <f t="array" aca="1" ref="N180" ca="1">_xll.d.TestUtils_Equal(L180,M180)</f>
        <v>Ok</v>
      </c>
    </row>
    <row r="181" spans="2:35" x14ac:dyDescent="0.2">
      <c r="G181" s="349"/>
      <c r="L181" s="366">
        <f ca="1"/>
        <v>44809</v>
      </c>
      <c r="M181" s="367">
        <v>44809</v>
      </c>
      <c r="N181" s="139" t="str" cm="1">
        <f t="array" aca="1" ref="N181" ca="1">_xll.d.TestUtils_Equal(L181,M181)</f>
        <v>Ok</v>
      </c>
    </row>
    <row r="182" spans="2:35" x14ac:dyDescent="0.2">
      <c r="G182" s="349"/>
      <c r="L182" s="366">
        <f ca="1"/>
        <v>44844</v>
      </c>
      <c r="M182" s="367">
        <v>44844</v>
      </c>
      <c r="N182" s="139" t="str" cm="1">
        <f t="array" aca="1" ref="N182" ca="1">_xll.d.TestUtils_Equal(L182,M182)</f>
        <v>Ok</v>
      </c>
    </row>
    <row r="183" spans="2:35" x14ac:dyDescent="0.2">
      <c r="G183" s="349"/>
      <c r="L183" s="366">
        <f ca="1"/>
        <v>44876</v>
      </c>
      <c r="M183" s="367">
        <v>44876</v>
      </c>
      <c r="N183" s="139" t="str" cm="1">
        <f t="array" aca="1" ref="N183" ca="1">_xll.d.TestUtils_Equal(L183,M183)</f>
        <v>Ok</v>
      </c>
    </row>
    <row r="184" spans="2:35" x14ac:dyDescent="0.2">
      <c r="G184" s="349"/>
      <c r="L184" s="366">
        <f ca="1"/>
        <v>44889</v>
      </c>
      <c r="M184" s="367">
        <v>44889</v>
      </c>
      <c r="N184" s="139" t="str" cm="1">
        <f t="array" aca="1" ref="N184" ca="1">_xll.d.TestUtils_Equal(L184,M184)</f>
        <v>Ok</v>
      </c>
    </row>
    <row r="185" spans="2:35" x14ac:dyDescent="0.2">
      <c r="G185" s="349"/>
      <c r="L185" s="366">
        <f ca="1"/>
        <v>44911</v>
      </c>
      <c r="M185" s="367">
        <v>44911</v>
      </c>
      <c r="N185" s="139" t="str" cm="1">
        <f t="array" aca="1" ref="N185" ca="1">_xll.d.TestUtils_Equal(L185,M185)</f>
        <v>Ok</v>
      </c>
    </row>
    <row r="186" spans="2:35" x14ac:dyDescent="0.2">
      <c r="G186" s="349"/>
      <c r="L186" s="368">
        <f ca="1"/>
        <v>44921</v>
      </c>
      <c r="M186" s="369">
        <v>44921</v>
      </c>
      <c r="N186" s="141" t="str" cm="1">
        <f t="array" aca="1" ref="N186" ca="1">_xll.d.TestUtils_Equal(L186,M186)</f>
        <v>Ok</v>
      </c>
    </row>
    <row r="189" spans="2:35" ht="18.75" x14ac:dyDescent="0.3">
      <c r="B189" s="3" t="s">
        <v>413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aca="1" ref="C191" ca="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aca="1" ref="E196:E200" ca="1">_xll.d.Dates_GenerateSchedule(C196,C197,C198,C199,C200,C201)</f>
        <v>44743</v>
      </c>
      <c r="F196" s="351">
        <v>44743</v>
      </c>
      <c r="G196" s="350" t="str" cm="1">
        <f t="array" aca="1" ref="G196" ca="1">_xll.d.TestUtils_Equal(E196,F196)</f>
        <v>Ok</v>
      </c>
      <c r="I196" s="136" t="s">
        <v>257</v>
      </c>
      <c r="J196" s="351">
        <v>44743</v>
      </c>
      <c r="L196" s="364">
        <f t="array" aca="1" ref="L196:L200" ca="1">_xll.d.Dates_GenerateSchedule(J196,J197,J198,J199,J200,J201)</f>
        <v>44743</v>
      </c>
      <c r="M196" s="351">
        <v>44743</v>
      </c>
      <c r="N196" s="350" t="str" cm="1">
        <f t="array" aca="1" ref="N196" ca="1">_xll.d.TestUtils_Equal(L196,M196)</f>
        <v>Ok</v>
      </c>
      <c r="P196" s="136" t="s">
        <v>257</v>
      </c>
      <c r="Q196" s="351">
        <v>44743</v>
      </c>
      <c r="S196" s="364">
        <f t="array" aca="1" ref="S196:S200" ca="1">_xll.d.Dates_GenerateSchedule(Q196,Q197,Q198,Q199,Q200,Q201)</f>
        <v>44743</v>
      </c>
      <c r="T196" s="351">
        <v>44743</v>
      </c>
      <c r="U196" s="350" t="str" cm="1">
        <f t="array" aca="1" ref="U196" ca="1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aca="1" ref="AA196" ca="1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aca="1" ref="AI196" ca="1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f ca="1"/>
        <v>44837</v>
      </c>
      <c r="F197" s="363">
        <v>44837</v>
      </c>
      <c r="G197" s="350" t="str" cm="1">
        <f t="array" aca="1" ref="G197" ca="1">_xll.d.TestUtils_Equal(E197,F197)</f>
        <v>Ok</v>
      </c>
      <c r="I197" s="138" t="s">
        <v>258</v>
      </c>
      <c r="J197" s="363">
        <v>45108</v>
      </c>
      <c r="L197" s="366">
        <f ca="1"/>
        <v>44837</v>
      </c>
      <c r="M197" s="363">
        <v>44837</v>
      </c>
      <c r="N197" s="350" t="str" cm="1">
        <f t="array" aca="1" ref="N197" ca="1">_xll.d.TestUtils_Equal(L197,M197)</f>
        <v>Ok</v>
      </c>
      <c r="P197" s="138" t="s">
        <v>258</v>
      </c>
      <c r="Q197" s="363">
        <v>45108</v>
      </c>
      <c r="S197" s="366">
        <f ca="1"/>
        <v>44824</v>
      </c>
      <c r="T197" s="363">
        <v>44824</v>
      </c>
      <c r="U197" s="350" t="str" cm="1">
        <f t="array" aca="1" ref="U197" ca="1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f ca="1"/>
        <v>44929</v>
      </c>
      <c r="F198" s="363">
        <v>44929</v>
      </c>
      <c r="G198" s="350" t="str" cm="1">
        <f t="array" aca="1" ref="G198" ca="1">_xll.d.TestUtils_Equal(E198,F198)</f>
        <v>Ok</v>
      </c>
      <c r="I198" s="138" t="s">
        <v>355</v>
      </c>
      <c r="J198" s="139" t="s">
        <v>25</v>
      </c>
      <c r="L198" s="366">
        <f ca="1"/>
        <v>44929</v>
      </c>
      <c r="M198" s="363">
        <v>44929</v>
      </c>
      <c r="N198" s="350" t="str" cm="1">
        <f t="array" aca="1" ref="N198" ca="1">_xll.d.TestUtils_Equal(L198,M198)</f>
        <v>Ok</v>
      </c>
      <c r="P198" s="138" t="s">
        <v>355</v>
      </c>
      <c r="Q198" s="139" t="s">
        <v>25</v>
      </c>
      <c r="S198" s="366">
        <f ca="1"/>
        <v>44915</v>
      </c>
      <c r="T198" s="363">
        <v>44915</v>
      </c>
      <c r="U198" s="350" t="str" cm="1">
        <f t="array" aca="1" ref="U198" ca="1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f ca="1"/>
        <v>45019</v>
      </c>
      <c r="F199" s="363">
        <v>45019</v>
      </c>
      <c r="G199" s="350" t="str" cm="1">
        <f t="array" aca="1" ref="G199" ca="1">_xll.d.TestUtils_Equal(E199,F199)</f>
        <v>Ok</v>
      </c>
      <c r="I199" s="138" t="s">
        <v>356</v>
      </c>
      <c r="J199" s="139" t="s">
        <v>256</v>
      </c>
      <c r="L199" s="366">
        <f ca="1"/>
        <v>45019</v>
      </c>
      <c r="M199" s="363">
        <v>45019</v>
      </c>
      <c r="N199" s="350" t="str" cm="1">
        <f t="array" aca="1" ref="N199" ca="1">_xll.d.TestUtils_Equal(L199,M199)</f>
        <v>Ok</v>
      </c>
      <c r="P199" s="138" t="s">
        <v>356</v>
      </c>
      <c r="Q199" s="139" t="s">
        <v>256</v>
      </c>
      <c r="S199" s="366">
        <f ca="1"/>
        <v>45005</v>
      </c>
      <c r="T199" s="363">
        <v>45005</v>
      </c>
      <c r="U199" s="350" t="str" cm="1">
        <f t="array" aca="1" ref="U199" ca="1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f ca="1"/>
        <v>45110</v>
      </c>
      <c r="F200" s="371">
        <v>45110</v>
      </c>
      <c r="G200" s="350" t="str" cm="1">
        <f t="array" aca="1" ref="G200" ca="1">_xll.d.TestUtils_Equal(E200,F200)</f>
        <v>Ok</v>
      </c>
      <c r="I200" s="138" t="s">
        <v>241</v>
      </c>
      <c r="J200" s="139" t="s">
        <v>242</v>
      </c>
      <c r="L200" s="368">
        <f ca="1"/>
        <v>45110</v>
      </c>
      <c r="M200" s="371">
        <v>45110</v>
      </c>
      <c r="N200" s="350" t="str" cm="1">
        <f t="array" aca="1" ref="N200" ca="1">_xll.d.TestUtils_Equal(L200,M200)</f>
        <v>Ok</v>
      </c>
      <c r="P200" s="138" t="s">
        <v>241</v>
      </c>
      <c r="Q200" s="139" t="s">
        <v>242</v>
      </c>
      <c r="S200" s="368">
        <f ca="1"/>
        <v>45097</v>
      </c>
      <c r="T200" s="371">
        <v>45097</v>
      </c>
      <c r="U200" s="350" t="str" cm="1">
        <f t="array" aca="1" ref="U200" ca="1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414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aca="1" ref="C207" ca="1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aca="1" ref="B212:C216" ca="1">_xll.d.Dates_GetAvailableBusinessDayConventions()</f>
        <v>Variant 1</v>
      </c>
      <c r="C212" s="133" t="str">
        <f ca="1"/>
        <v>Variant 2</v>
      </c>
      <c r="E212" s="132" t="s">
        <v>269</v>
      </c>
      <c r="F212" s="133" t="s">
        <v>270</v>
      </c>
      <c r="H212" s="350" t="str" cm="1">
        <f t="array" aca="1" ref="H212" ca="1">_xll.d.TestUtils_Equal(B212,E212)</f>
        <v>Ok</v>
      </c>
      <c r="I212" s="350" t="str" cm="1">
        <f t="array" aca="1" ref="I212" ca="1">_xll.d.TestUtils_Equal(C212,F212)</f>
        <v>Ok</v>
      </c>
    </row>
    <row r="213" spans="2:21" x14ac:dyDescent="0.2">
      <c r="B213" s="136" t="str">
        <f ca="1"/>
        <v>Fol</v>
      </c>
      <c r="C213" s="137" t="str">
        <f ca="1"/>
        <v>Following</v>
      </c>
      <c r="E213" s="136" t="s">
        <v>271</v>
      </c>
      <c r="F213" s="137" t="s">
        <v>272</v>
      </c>
      <c r="H213" s="350" t="str" cm="1">
        <f t="array" aca="1" ref="H213" ca="1">_xll.d.TestUtils_Equal(B213,E213)</f>
        <v>Ok</v>
      </c>
      <c r="I213" s="350" t="str" cm="1">
        <f t="array" aca="1" ref="I213" ca="1">_xll.d.TestUtils_Equal(C213,F213)</f>
        <v>Ok</v>
      </c>
    </row>
    <row r="214" spans="2:21" x14ac:dyDescent="0.2">
      <c r="B214" s="138" t="str">
        <f ca="1"/>
        <v>ModFol</v>
      </c>
      <c r="C214" s="139" t="str">
        <f ca="1"/>
        <v>ModifiedFollowing</v>
      </c>
      <c r="E214" s="138" t="s">
        <v>273</v>
      </c>
      <c r="F214" s="139" t="s">
        <v>274</v>
      </c>
      <c r="H214" s="350" t="str" cm="1">
        <f t="array" aca="1" ref="H214" ca="1">_xll.d.TestUtils_Equal(B214,E214)</f>
        <v>Ok</v>
      </c>
      <c r="I214" s="350" t="str" cm="1">
        <f t="array" aca="1" ref="I214" ca="1">_xll.d.TestUtils_Equal(C214,F214)</f>
        <v>Ok</v>
      </c>
    </row>
    <row r="215" spans="2:21" x14ac:dyDescent="0.2">
      <c r="B215" s="138" t="str">
        <f ca="1"/>
        <v>ModPrec</v>
      </c>
      <c r="C215" s="139" t="str">
        <f ca="1"/>
        <v>ModPreceding</v>
      </c>
      <c r="E215" s="138" t="s">
        <v>275</v>
      </c>
      <c r="F215" s="139" t="s">
        <v>276</v>
      </c>
      <c r="H215" s="350" t="str" cm="1">
        <f t="array" aca="1" ref="H215" ca="1">_xll.d.TestUtils_Equal(B215,E215)</f>
        <v>Ok</v>
      </c>
      <c r="I215" s="350" t="str" cm="1">
        <f t="array" aca="1" ref="I215" ca="1">_xll.d.TestUtils_Equal(C215,F215)</f>
        <v>Ok</v>
      </c>
    </row>
    <row r="216" spans="2:21" x14ac:dyDescent="0.2">
      <c r="B216" s="140" t="str">
        <f ca="1"/>
        <v>Prec</v>
      </c>
      <c r="C216" s="141" t="str">
        <f ca="1"/>
        <v>Preceding</v>
      </c>
      <c r="E216" s="140" t="s">
        <v>277</v>
      </c>
      <c r="F216" s="141" t="s">
        <v>278</v>
      </c>
      <c r="H216" s="350" t="str" cm="1">
        <f t="array" aca="1" ref="H216" ca="1">_xll.d.TestUtils_Equal(B216,E216)</f>
        <v>Ok</v>
      </c>
      <c r="I216" s="350" t="str" cm="1">
        <f t="array" aca="1" ref="I216" ca="1">_xll.d.TestUtils_Equal(C216,F216)</f>
        <v>Ok</v>
      </c>
    </row>
    <row r="220" spans="2:21" ht="18.75" x14ac:dyDescent="0.3">
      <c r="B220" s="3" t="s">
        <v>415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aca="1" ref="C222" ca="1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aca="1" ref="B227:E231" ca="1">_xll.d.Dates_GetAvailableDayCountConventions()</f>
        <v>Variant 1</v>
      </c>
      <c r="C227" s="318" t="str">
        <f ca="1"/>
        <v>Variant 2</v>
      </c>
      <c r="D227" s="318" t="str">
        <f ca="1"/>
        <v>Variant 3</v>
      </c>
      <c r="E227" s="133" t="str">
        <f ca="1"/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aca="1" ref="L227" ca="1">_xll.d.TestUtils_Equal(B227,G227)</f>
        <v>Ok</v>
      </c>
      <c r="M227" s="350" t="str" cm="1">
        <f t="array" aca="1" ref="M227" ca="1">_xll.d.TestUtils_Equal(C227,H227)</f>
        <v>Ok</v>
      </c>
      <c r="N227" s="350" t="str" cm="1">
        <f t="array" aca="1" ref="N227" ca="1">_xll.d.TestUtils_Equal(D227,I227)</f>
        <v>Ok</v>
      </c>
      <c r="O227" s="350" t="str" cm="1">
        <f t="array" aca="1" ref="O227" ca="1">_xll.d.TestUtils_Equal(E227,J227)</f>
        <v>Ok</v>
      </c>
    </row>
    <row r="228" spans="2:15" x14ac:dyDescent="0.2">
      <c r="B228" s="136" t="str">
        <f ca="1"/>
        <v>Act360</v>
      </c>
      <c r="C228" s="370" t="str">
        <f ca="1"/>
        <v>Actual360</v>
      </c>
      <c r="D228" s="370" t="str">
        <f ca="1"/>
        <v/>
      </c>
      <c r="E228" s="137" t="str">
        <f ca="1"/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aca="1" ref="L228" ca="1">_xll.d.TestUtils_Equal(B228,G228)</f>
        <v>Ok</v>
      </c>
      <c r="M228" s="350" t="str" cm="1">
        <f t="array" aca="1" ref="M228" ca="1">_xll.d.TestUtils_Equal(C228,H228)</f>
        <v>Ok</v>
      </c>
      <c r="N228" s="350" t="str" cm="1">
        <f t="array" aca="1" ref="N228" ca="1">_xll.d.TestUtils_Equal(D228,I228)</f>
        <v>Ok</v>
      </c>
      <c r="O228" s="350" t="str" cm="1">
        <f t="array" aca="1" ref="O228" ca="1">_xll.d.TestUtils_Equal(E228,J228)</f>
        <v>Ok</v>
      </c>
    </row>
    <row r="229" spans="2:15" x14ac:dyDescent="0.2">
      <c r="B229" s="138" t="str">
        <f ca="1"/>
        <v>Act365</v>
      </c>
      <c r="C229" s="306" t="str">
        <f ca="1"/>
        <v>Act365F</v>
      </c>
      <c r="D229" s="306" t="str">
        <f ca="1"/>
        <v>Actual365</v>
      </c>
      <c r="E229" s="139" t="str">
        <f ca="1"/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aca="1" ref="L229" ca="1">_xll.d.TestUtils_Equal(B229,G229)</f>
        <v>Ok</v>
      </c>
      <c r="M229" s="350" t="str" cm="1">
        <f t="array" aca="1" ref="M229" ca="1">_xll.d.TestUtils_Equal(C229,H229)</f>
        <v>Ok</v>
      </c>
      <c r="N229" s="350" t="str" cm="1">
        <f t="array" aca="1" ref="N229" ca="1">_xll.d.TestUtils_Equal(D229,I229)</f>
        <v>Ok</v>
      </c>
      <c r="O229" s="350" t="str" cm="1">
        <f t="array" aca="1" ref="O229" ca="1">_xll.d.TestUtils_Equal(E229,J229)</f>
        <v>Ok</v>
      </c>
    </row>
    <row r="230" spans="2:15" x14ac:dyDescent="0.2">
      <c r="B230" s="138" t="str">
        <f ca="1"/>
        <v>ActAct</v>
      </c>
      <c r="C230" s="306" t="str">
        <f ca="1"/>
        <v>ActualActual</v>
      </c>
      <c r="D230" s="306" t="str">
        <f ca="1"/>
        <v/>
      </c>
      <c r="E230" s="139" t="str">
        <f ca="1"/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aca="1" ref="L230" ca="1">_xll.d.TestUtils_Equal(B230,G230)</f>
        <v>Ok</v>
      </c>
      <c r="M230" s="350" t="str" cm="1">
        <f t="array" aca="1" ref="M230" ca="1">_xll.d.TestUtils_Equal(C230,H230)</f>
        <v>Ok</v>
      </c>
      <c r="N230" s="350" t="str" cm="1">
        <f t="array" aca="1" ref="N230" ca="1">_xll.d.TestUtils_Equal(D230,I230)</f>
        <v>Ok</v>
      </c>
      <c r="O230" s="350" t="str" cm="1">
        <f t="array" aca="1" ref="O230" ca="1">_xll.d.TestUtils_Equal(E230,J230)</f>
        <v>Ok</v>
      </c>
    </row>
    <row r="231" spans="2:15" x14ac:dyDescent="0.2">
      <c r="B231" s="140" t="str">
        <f ca="1"/>
        <v>Bus252</v>
      </c>
      <c r="C231" s="205" t="str">
        <f ca="1"/>
        <v>Business252</v>
      </c>
      <c r="D231" s="205" t="str">
        <f ca="1"/>
        <v/>
      </c>
      <c r="E231" s="141" t="str">
        <f ca="1"/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aca="1" ref="L231" ca="1">_xll.d.TestUtils_Equal(B231,G231)</f>
        <v>Ok</v>
      </c>
      <c r="M231" s="350" t="str" cm="1">
        <f t="array" aca="1" ref="M231" ca="1">_xll.d.TestUtils_Equal(C231,H231)</f>
        <v>Ok</v>
      </c>
      <c r="N231" s="350" t="str" cm="1">
        <f t="array" aca="1" ref="N231" ca="1">_xll.d.TestUtils_Equal(D231,I231)</f>
        <v>Ok</v>
      </c>
      <c r="O231" s="350" t="str" cm="1">
        <f t="array" aca="1" ref="O231" ca="1">_xll.d.TestUtils_Equal(E231,J231)</f>
        <v>Ok</v>
      </c>
    </row>
    <row r="234" spans="2:15" ht="18.75" x14ac:dyDescent="0.3">
      <c r="B234" s="3" t="s">
        <v>492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aca="1" ref="C236" ca="1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aca="1" ref="C241" ca="1">_xll.d.Dates_GetWeekday(B241)</f>
        <v>Monday</v>
      </c>
      <c r="D241" s="370" t="str" cm="1">
        <f t="array" aca="1" ref="D241" ca="1">_xll.d.Dates_GetWeekday(B241)</f>
        <v>Monday</v>
      </c>
      <c r="E241" s="137" t="str" cm="1">
        <f t="array" aca="1" ref="E241" ca="1">_xll.d.TestUtils_Equal(C241,D241)</f>
        <v>Ok</v>
      </c>
    </row>
    <row r="242" spans="2:5" x14ac:dyDescent="0.2">
      <c r="B242" s="366">
        <v>44894</v>
      </c>
      <c r="C242" s="306" t="str" cm="1">
        <f t="array" aca="1" ref="C242" ca="1">_xll.d.Dates_GetWeekday(B242)</f>
        <v>Tuesday</v>
      </c>
      <c r="D242" s="306" t="str" cm="1">
        <f t="array" aca="1" ref="D242" ca="1">_xll.d.Dates_GetWeekday(B242)</f>
        <v>Tuesday</v>
      </c>
      <c r="E242" s="139" t="str" cm="1">
        <f t="array" aca="1" ref="E242" ca="1">_xll.d.TestUtils_Equal(C242,D242)</f>
        <v>Ok</v>
      </c>
    </row>
    <row r="243" spans="2:5" x14ac:dyDescent="0.2">
      <c r="B243" s="366">
        <v>44895</v>
      </c>
      <c r="C243" s="306" t="str" cm="1">
        <f t="array" aca="1" ref="C243" ca="1">_xll.d.Dates_GetWeekday(B243)</f>
        <v>Wednesday</v>
      </c>
      <c r="D243" s="306" t="str" cm="1">
        <f t="array" aca="1" ref="D243" ca="1">_xll.d.Dates_GetWeekday(B243)</f>
        <v>Wednesday</v>
      </c>
      <c r="E243" s="139" t="str" cm="1">
        <f t="array" aca="1" ref="E243" ca="1">_xll.d.TestUtils_Equal(C243,D243)</f>
        <v>Ok</v>
      </c>
    </row>
    <row r="244" spans="2:5" x14ac:dyDescent="0.2">
      <c r="B244" s="366">
        <v>44896</v>
      </c>
      <c r="C244" s="306" t="str" cm="1">
        <f t="array" aca="1" ref="C244" ca="1">_xll.d.Dates_GetWeekday(B244)</f>
        <v>Thursday</v>
      </c>
      <c r="D244" s="306" t="str" cm="1">
        <f t="array" aca="1" ref="D244" ca="1">_xll.d.Dates_GetWeekday(B244)</f>
        <v>Thursday</v>
      </c>
      <c r="E244" s="139" t="str" cm="1">
        <f t="array" aca="1" ref="E244" ca="1">_xll.d.TestUtils_Equal(C244,D244)</f>
        <v>Ok</v>
      </c>
    </row>
    <row r="245" spans="2:5" x14ac:dyDescent="0.2">
      <c r="B245" s="366">
        <v>44897</v>
      </c>
      <c r="C245" s="306" t="str" cm="1">
        <f t="array" aca="1" ref="C245" ca="1">_xll.d.Dates_GetWeekday(B245)</f>
        <v>Friday</v>
      </c>
      <c r="D245" s="306" t="str" cm="1">
        <f t="array" aca="1" ref="D245" ca="1">_xll.d.Dates_GetWeekday(B245)</f>
        <v>Friday</v>
      </c>
      <c r="E245" s="139" t="str" cm="1">
        <f t="array" aca="1" ref="E245" ca="1">_xll.d.TestUtils_Equal(C245,D245)</f>
        <v>Ok</v>
      </c>
    </row>
    <row r="246" spans="2:5" x14ac:dyDescent="0.2">
      <c r="B246" s="366">
        <v>44898</v>
      </c>
      <c r="C246" s="306" t="str" cm="1">
        <f t="array" aca="1" ref="C246" ca="1">_xll.d.Dates_GetWeekday(B246)</f>
        <v>Saturday</v>
      </c>
      <c r="D246" s="306" t="str" cm="1">
        <f t="array" aca="1" ref="D246" ca="1">_xll.d.Dates_GetWeekday(B246)</f>
        <v>Saturday</v>
      </c>
      <c r="E246" s="139" t="str" cm="1">
        <f t="array" aca="1" ref="E246" ca="1">_xll.d.TestUtils_Equal(C246,D246)</f>
        <v>Ok</v>
      </c>
    </row>
    <row r="247" spans="2:5" x14ac:dyDescent="0.2">
      <c r="B247" s="368">
        <v>44899</v>
      </c>
      <c r="C247" s="205" t="str" cm="1">
        <f t="array" aca="1" ref="C247" ca="1">_xll.d.Dates_GetWeekday(B247)</f>
        <v>Sunday</v>
      </c>
      <c r="D247" s="205" t="str" cm="1">
        <f t="array" aca="1" ref="D247" ca="1">_xll.d.Dates_GetWeekday(B247)</f>
        <v>Sunday</v>
      </c>
      <c r="E247" s="141" t="str" cm="1">
        <f t="array" aca="1" ref="E247" ca="1">_xll.d.TestUtils_Equal(C247,D247)</f>
        <v>Ok</v>
      </c>
    </row>
  </sheetData>
  <conditionalFormatting sqref="D10:D16">
    <cfRule type="cellIs" dxfId="524" priority="153" stopIfTrue="1" operator="equal">
      <formula>"ERROR"</formula>
    </cfRule>
    <cfRule type="cellIs" dxfId="523" priority="154" stopIfTrue="1" operator="equal">
      <formula>"OK"</formula>
    </cfRule>
    <cfRule type="cellIs" dxfId="522" priority="155" stopIfTrue="1" operator="equal">
      <formula>"WARNING"</formula>
    </cfRule>
  </conditionalFormatting>
  <conditionalFormatting sqref="C4">
    <cfRule type="cellIs" dxfId="521" priority="127" stopIfTrue="1" operator="equal">
      <formula>"ERROR"</formula>
    </cfRule>
    <cfRule type="cellIs" dxfId="520" priority="128" stopIfTrue="1" operator="equal">
      <formula>"OK"</formula>
    </cfRule>
    <cfRule type="cellIs" dxfId="519" priority="129" stopIfTrue="1" operator="equal">
      <formula>"WARNING"</formula>
    </cfRule>
  </conditionalFormatting>
  <conditionalFormatting sqref="C60">
    <cfRule type="cellIs" dxfId="518" priority="121" stopIfTrue="1" operator="equal">
      <formula>"ERROR"</formula>
    </cfRule>
  </conditionalFormatting>
  <conditionalFormatting sqref="C60">
    <cfRule type="cellIs" dxfId="517" priority="122" stopIfTrue="1" operator="equal">
      <formula>"OK"</formula>
    </cfRule>
  </conditionalFormatting>
  <conditionalFormatting sqref="C60">
    <cfRule type="cellIs" dxfId="516" priority="123" stopIfTrue="1" operator="equal">
      <formula>"WARNING"</formula>
    </cfRule>
  </conditionalFormatting>
  <conditionalFormatting sqref="G65">
    <cfRule type="cellIs" dxfId="515" priority="156" stopIfTrue="1" operator="equal">
      <formula>"ERROR"</formula>
    </cfRule>
    <cfRule type="cellIs" dxfId="514" priority="157" stopIfTrue="1" operator="equal">
      <formula>"OK"</formula>
    </cfRule>
    <cfRule type="cellIs" dxfId="513" priority="158" stopIfTrue="1" operator="equal">
      <formula>"WARNING"</formula>
    </cfRule>
  </conditionalFormatting>
  <conditionalFormatting sqref="U65">
    <cfRule type="cellIs" dxfId="512" priority="118" stopIfTrue="1" operator="equal">
      <formula>"ERROR"</formula>
    </cfRule>
    <cfRule type="cellIs" dxfId="511" priority="119" stopIfTrue="1" operator="equal">
      <formula>"OK"</formula>
    </cfRule>
    <cfRule type="cellIs" dxfId="510" priority="120" stopIfTrue="1" operator="equal">
      <formula>"WARNING"</formula>
    </cfRule>
  </conditionalFormatting>
  <conditionalFormatting sqref="AD65">
    <cfRule type="cellIs" dxfId="509" priority="115" stopIfTrue="1" operator="equal">
      <formula>"ERROR"</formula>
    </cfRule>
    <cfRule type="cellIs" dxfId="508" priority="116" stopIfTrue="1" operator="equal">
      <formula>"OK"</formula>
    </cfRule>
    <cfRule type="cellIs" dxfId="507" priority="117" stopIfTrue="1" operator="equal">
      <formula>"WARNING"</formula>
    </cfRule>
  </conditionalFormatting>
  <conditionalFormatting sqref="G169:G177">
    <cfRule type="cellIs" dxfId="506" priority="159" stopIfTrue="1" operator="equal">
      <formula>"ERROR"</formula>
    </cfRule>
    <cfRule type="cellIs" dxfId="505" priority="160" stopIfTrue="1" operator="equal">
      <formula>"OK"</formula>
    </cfRule>
    <cfRule type="cellIs" dxfId="504" priority="161" stopIfTrue="1" operator="equal">
      <formula>"WARNING"</formula>
    </cfRule>
  </conditionalFormatting>
  <conditionalFormatting sqref="C164">
    <cfRule type="cellIs" dxfId="503" priority="112" stopIfTrue="1" operator="equal">
      <formula>"ERROR"</formula>
    </cfRule>
  </conditionalFormatting>
  <conditionalFormatting sqref="C164">
    <cfRule type="cellIs" dxfId="502" priority="113" stopIfTrue="1" operator="equal">
      <formula>"OK"</formula>
    </cfRule>
  </conditionalFormatting>
  <conditionalFormatting sqref="C164">
    <cfRule type="cellIs" dxfId="501" priority="114" stopIfTrue="1" operator="equal">
      <formula>"WARNING"</formula>
    </cfRule>
  </conditionalFormatting>
  <conditionalFormatting sqref="N169:N186">
    <cfRule type="cellIs" dxfId="500" priority="109" stopIfTrue="1" operator="equal">
      <formula>"ERROR"</formula>
    </cfRule>
    <cfRule type="cellIs" dxfId="499" priority="110" stopIfTrue="1" operator="equal">
      <formula>"OK"</formula>
    </cfRule>
    <cfRule type="cellIs" dxfId="498" priority="111" stopIfTrue="1" operator="equal">
      <formula>"WARNING"</formula>
    </cfRule>
  </conditionalFormatting>
  <conditionalFormatting sqref="AQ65">
    <cfRule type="cellIs" dxfId="497" priority="106" stopIfTrue="1" operator="equal">
      <formula>"ERROR"</formula>
    </cfRule>
    <cfRule type="cellIs" dxfId="496" priority="107" stopIfTrue="1" operator="equal">
      <formula>"OK"</formula>
    </cfRule>
    <cfRule type="cellIs" dxfId="495" priority="108" stopIfTrue="1" operator="equal">
      <formula>"WARNING"</formula>
    </cfRule>
  </conditionalFormatting>
  <conditionalFormatting sqref="C75">
    <cfRule type="cellIs" dxfId="494" priority="100" stopIfTrue="1" operator="equal">
      <formula>"ERROR"</formula>
    </cfRule>
  </conditionalFormatting>
  <conditionalFormatting sqref="C75">
    <cfRule type="cellIs" dxfId="493" priority="101" stopIfTrue="1" operator="equal">
      <formula>"OK"</formula>
    </cfRule>
  </conditionalFormatting>
  <conditionalFormatting sqref="C75">
    <cfRule type="cellIs" dxfId="492" priority="102" stopIfTrue="1" operator="equal">
      <formula>"WARNING"</formula>
    </cfRule>
  </conditionalFormatting>
  <conditionalFormatting sqref="G80">
    <cfRule type="cellIs" dxfId="491" priority="103" stopIfTrue="1" operator="equal">
      <formula>"ERROR"</formula>
    </cfRule>
    <cfRule type="cellIs" dxfId="490" priority="104" stopIfTrue="1" operator="equal">
      <formula>"OK"</formula>
    </cfRule>
    <cfRule type="cellIs" dxfId="489" priority="105" stopIfTrue="1" operator="equal">
      <formula>"WARNING"</formula>
    </cfRule>
  </conditionalFormatting>
  <conditionalFormatting sqref="N80">
    <cfRule type="cellIs" dxfId="488" priority="97" stopIfTrue="1" operator="equal">
      <formula>"ERROR"</formula>
    </cfRule>
    <cfRule type="cellIs" dxfId="487" priority="98" stopIfTrue="1" operator="equal">
      <formula>"OK"</formula>
    </cfRule>
    <cfRule type="cellIs" dxfId="486" priority="99" stopIfTrue="1" operator="equal">
      <formula>"WARNING"</formula>
    </cfRule>
  </conditionalFormatting>
  <conditionalFormatting sqref="W80">
    <cfRule type="cellIs" dxfId="485" priority="94" stopIfTrue="1" operator="equal">
      <formula>"ERROR"</formula>
    </cfRule>
    <cfRule type="cellIs" dxfId="484" priority="95" stopIfTrue="1" operator="equal">
      <formula>"OK"</formula>
    </cfRule>
    <cfRule type="cellIs" dxfId="483" priority="96" stopIfTrue="1" operator="equal">
      <formula>"WARNING"</formula>
    </cfRule>
  </conditionalFormatting>
  <conditionalFormatting sqref="AJ8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C90">
    <cfRule type="cellIs" dxfId="479" priority="85" stopIfTrue="1" operator="equal">
      <formula>"ERROR"</formula>
    </cfRule>
  </conditionalFormatting>
  <conditionalFormatting sqref="C90">
    <cfRule type="cellIs" dxfId="478" priority="86" stopIfTrue="1" operator="equal">
      <formula>"OK"</formula>
    </cfRule>
  </conditionalFormatting>
  <conditionalFormatting sqref="C90">
    <cfRule type="cellIs" dxfId="477" priority="87" stopIfTrue="1" operator="equal">
      <formula>"WARNING"</formula>
    </cfRule>
  </conditionalFormatting>
  <conditionalFormatting sqref="G95">
    <cfRule type="cellIs" dxfId="476" priority="88" stopIfTrue="1" operator="equal">
      <formula>"ERROR"</formula>
    </cfRule>
    <cfRule type="cellIs" dxfId="475" priority="89" stopIfTrue="1" operator="equal">
      <formula>"OK"</formula>
    </cfRule>
    <cfRule type="cellIs" dxfId="474" priority="90" stopIfTrue="1" operator="equal">
      <formula>"WARNING"</formula>
    </cfRule>
  </conditionalFormatting>
  <conditionalFormatting sqref="N95">
    <cfRule type="cellIs" dxfId="473" priority="82" stopIfTrue="1" operator="equal">
      <formula>"ERROR"</formula>
    </cfRule>
    <cfRule type="cellIs" dxfId="472" priority="83" stopIfTrue="1" operator="equal">
      <formula>"OK"</formula>
    </cfRule>
    <cfRule type="cellIs" dxfId="471" priority="84" stopIfTrue="1" operator="equal">
      <formula>"WARNING"</formula>
    </cfRule>
  </conditionalFormatting>
  <conditionalFormatting sqref="W9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AJ9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G110">
    <cfRule type="cellIs" dxfId="464" priority="70" stopIfTrue="1" operator="equal">
      <formula>"ERROR"</formula>
    </cfRule>
    <cfRule type="cellIs" dxfId="463" priority="71" stopIfTrue="1" operator="equal">
      <formula>"OK"</formula>
    </cfRule>
    <cfRule type="cellIs" dxfId="462" priority="72" stopIfTrue="1" operator="equal">
      <formula>"WARNING"</formula>
    </cfRule>
  </conditionalFormatting>
  <conditionalFormatting sqref="C105">
    <cfRule type="cellIs" dxfId="461" priority="67" stopIfTrue="1" operator="equal">
      <formula>"ERROR"</formula>
    </cfRule>
  </conditionalFormatting>
  <conditionalFormatting sqref="C105">
    <cfRule type="cellIs" dxfId="460" priority="68" stopIfTrue="1" operator="equal">
      <formula>"OK"</formula>
    </cfRule>
  </conditionalFormatting>
  <conditionalFormatting sqref="C105">
    <cfRule type="cellIs" dxfId="459" priority="69" stopIfTrue="1" operator="equal">
      <formula>"WARNING"</formula>
    </cfRule>
  </conditionalFormatting>
  <conditionalFormatting sqref="O110">
    <cfRule type="cellIs" dxfId="458" priority="64" stopIfTrue="1" operator="equal">
      <formula>"ERROR"</formula>
    </cfRule>
    <cfRule type="cellIs" dxfId="457" priority="65" stopIfTrue="1" operator="equal">
      <formula>"OK"</formula>
    </cfRule>
    <cfRule type="cellIs" dxfId="456" priority="66" stopIfTrue="1" operator="equal">
      <formula>"WARNING"</formula>
    </cfRule>
  </conditionalFormatting>
  <conditionalFormatting sqref="AC110">
    <cfRule type="cellIs" dxfId="455" priority="61" stopIfTrue="1" operator="equal">
      <formula>"ERROR"</formula>
    </cfRule>
    <cfRule type="cellIs" dxfId="454" priority="62" stopIfTrue="1" operator="equal">
      <formula>"OK"</formula>
    </cfRule>
    <cfRule type="cellIs" dxfId="453" priority="63" stopIfTrue="1" operator="equal">
      <formula>"WARNING"</formula>
    </cfRule>
  </conditionalFormatting>
  <conditionalFormatting sqref="AS110">
    <cfRule type="cellIs" dxfId="452" priority="58" stopIfTrue="1" operator="equal">
      <formula>"ERROR"</formula>
    </cfRule>
    <cfRule type="cellIs" dxfId="451" priority="59" stopIfTrue="1" operator="equal">
      <formula>"OK"</formula>
    </cfRule>
    <cfRule type="cellIs" dxfId="450" priority="60" stopIfTrue="1" operator="equal">
      <formula>"WARNING"</formula>
    </cfRule>
  </conditionalFormatting>
  <conditionalFormatting sqref="AA169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C207">
    <cfRule type="cellIs" dxfId="446" priority="52" stopIfTrue="1" operator="equal">
      <formula>"ERROR"</formula>
    </cfRule>
  </conditionalFormatting>
  <conditionalFormatting sqref="C207">
    <cfRule type="cellIs" dxfId="445" priority="53" stopIfTrue="1" operator="equal">
      <formula>"OK"</formula>
    </cfRule>
  </conditionalFormatting>
  <conditionalFormatting sqref="C207">
    <cfRule type="cellIs" dxfId="444" priority="54" stopIfTrue="1" operator="equal">
      <formula>"WARNING"</formula>
    </cfRule>
  </conditionalFormatting>
  <conditionalFormatting sqref="H212:I216">
    <cfRule type="cellIs" dxfId="443" priority="162" stopIfTrue="1" operator="equal">
      <formula>"ERROR"</formula>
    </cfRule>
  </conditionalFormatting>
  <conditionalFormatting sqref="H212:I216">
    <cfRule type="cellIs" dxfId="442" priority="163" stopIfTrue="1" operator="equal">
      <formula>"OK"</formula>
    </cfRule>
  </conditionalFormatting>
  <conditionalFormatting sqref="H212:I216">
    <cfRule type="cellIs" dxfId="441" priority="164" stopIfTrue="1" operator="equal">
      <formula>"WARNING"</formula>
    </cfRule>
  </conditionalFormatting>
  <conditionalFormatting sqref="D15:D16">
    <cfRule type="cellIs" dxfId="440" priority="165" stopIfTrue="1" operator="equal">
      <formula>"ERROR"</formula>
    </cfRule>
    <cfRule type="cellIs" dxfId="439" priority="166" stopIfTrue="1" operator="equal">
      <formula>"OK"</formula>
    </cfRule>
    <cfRule type="cellIs" dxfId="438" priority="167" stopIfTrue="1" operator="equal">
      <formula>"WARNING"</formula>
    </cfRule>
  </conditionalFormatting>
  <conditionalFormatting sqref="D17:D18">
    <cfRule type="cellIs" dxfId="437" priority="168" stopIfTrue="1" operator="equal">
      <formula>"ERROR"</formula>
    </cfRule>
    <cfRule type="cellIs" dxfId="436" priority="169" stopIfTrue="1" operator="equal">
      <formula>"OK"</formula>
    </cfRule>
    <cfRule type="cellIs" dxfId="435" priority="170" stopIfTrue="1" operator="equal">
      <formula>"WARNING"</formula>
    </cfRule>
  </conditionalFormatting>
  <conditionalFormatting sqref="C222">
    <cfRule type="cellIs" dxfId="434" priority="46" stopIfTrue="1" operator="equal">
      <formula>"ERROR"</formula>
    </cfRule>
  </conditionalFormatting>
  <conditionalFormatting sqref="C222">
    <cfRule type="cellIs" dxfId="433" priority="47" stopIfTrue="1" operator="equal">
      <formula>"OK"</formula>
    </cfRule>
  </conditionalFormatting>
  <conditionalFormatting sqref="C222">
    <cfRule type="cellIs" dxfId="432" priority="48" stopIfTrue="1" operator="equal">
      <formula>"WARNING"</formula>
    </cfRule>
  </conditionalFormatting>
  <conditionalFormatting sqref="L227:O231">
    <cfRule type="cellIs" dxfId="431" priority="49" stopIfTrue="1" operator="equal">
      <formula>"ERROR"</formula>
    </cfRule>
  </conditionalFormatting>
  <conditionalFormatting sqref="L227:O231">
    <cfRule type="cellIs" dxfId="430" priority="50" stopIfTrue="1" operator="equal">
      <formula>"OK"</formula>
    </cfRule>
  </conditionalFormatting>
  <conditionalFormatting sqref="L227:O231">
    <cfRule type="cellIs" dxfId="429" priority="51" stopIfTrue="1" operator="equal">
      <formula>"WARNING"</formula>
    </cfRule>
  </conditionalFormatting>
  <conditionalFormatting sqref="C119">
    <cfRule type="cellIs" dxfId="428" priority="43" stopIfTrue="1" operator="equal">
      <formula>"ERROR"</formula>
    </cfRule>
  </conditionalFormatting>
  <conditionalFormatting sqref="C119">
    <cfRule type="cellIs" dxfId="427" priority="44" stopIfTrue="1" operator="equal">
      <formula>"OK"</formula>
    </cfRule>
  </conditionalFormatting>
  <conditionalFormatting sqref="C119">
    <cfRule type="cellIs" dxfId="426" priority="45" stopIfTrue="1" operator="equal">
      <formula>"WARNING"</formula>
    </cfRule>
  </conditionalFormatting>
  <conditionalFormatting sqref="L124:O158">
    <cfRule type="cellIs" dxfId="425" priority="171" stopIfTrue="1" operator="equal">
      <formula>"ERROR"</formula>
    </cfRule>
  </conditionalFormatting>
  <conditionalFormatting sqref="L124:O158">
    <cfRule type="cellIs" dxfId="424" priority="172" stopIfTrue="1" operator="equal">
      <formula>"OK"</formula>
    </cfRule>
  </conditionalFormatting>
  <conditionalFormatting sqref="L124:O158">
    <cfRule type="cellIs" dxfId="423" priority="173" stopIfTrue="1" operator="equal">
      <formula>"WARNING"</formula>
    </cfRule>
  </conditionalFormatting>
  <conditionalFormatting sqref="C191">
    <cfRule type="cellIs" dxfId="422" priority="40" stopIfTrue="1" operator="equal">
      <formula>"ERROR"</formula>
    </cfRule>
  </conditionalFormatting>
  <conditionalFormatting sqref="C191">
    <cfRule type="cellIs" dxfId="421" priority="41" stopIfTrue="1" operator="equal">
      <formula>"OK"</formula>
    </cfRule>
  </conditionalFormatting>
  <conditionalFormatting sqref="C191">
    <cfRule type="cellIs" dxfId="420" priority="42" stopIfTrue="1" operator="equal">
      <formula>"WARNING"</formula>
    </cfRule>
  </conditionalFormatting>
  <conditionalFormatting sqref="G196:G200">
    <cfRule type="cellIs" dxfId="419" priority="174" stopIfTrue="1" operator="equal">
      <formula>"ERROR"</formula>
    </cfRule>
  </conditionalFormatting>
  <conditionalFormatting sqref="G196:G200">
    <cfRule type="cellIs" dxfId="418" priority="175" stopIfTrue="1" operator="equal">
      <formula>"OK"</formula>
    </cfRule>
  </conditionalFormatting>
  <conditionalFormatting sqref="G196:G200">
    <cfRule type="cellIs" dxfId="417" priority="176" stopIfTrue="1" operator="equal">
      <formula>"WARNING"</formula>
    </cfRule>
  </conditionalFormatting>
  <conditionalFormatting sqref="N196:N200">
    <cfRule type="cellIs" dxfId="416" priority="37" stopIfTrue="1" operator="equal">
      <formula>"ERROR"</formula>
    </cfRule>
  </conditionalFormatting>
  <conditionalFormatting sqref="N196:N200">
    <cfRule type="cellIs" dxfId="415" priority="38" stopIfTrue="1" operator="equal">
      <formula>"OK"</formula>
    </cfRule>
  </conditionalFormatting>
  <conditionalFormatting sqref="N196:N200">
    <cfRule type="cellIs" dxfId="414" priority="39" stopIfTrue="1" operator="equal">
      <formula>"WARNING"</formula>
    </cfRule>
  </conditionalFormatting>
  <conditionalFormatting sqref="U196:U200">
    <cfRule type="cellIs" dxfId="413" priority="34" stopIfTrue="1" operator="equal">
      <formula>"ERROR"</formula>
    </cfRule>
  </conditionalFormatting>
  <conditionalFormatting sqref="U196:U200">
    <cfRule type="cellIs" dxfId="412" priority="35" stopIfTrue="1" operator="equal">
      <formula>"OK"</formula>
    </cfRule>
  </conditionalFormatting>
  <conditionalFormatting sqref="U196:U200">
    <cfRule type="cellIs" dxfId="411" priority="36" stopIfTrue="1" operator="equal">
      <formula>"WARNING"</formula>
    </cfRule>
  </conditionalFormatting>
  <conditionalFormatting sqref="AI196">
    <cfRule type="cellIs" dxfId="410" priority="31" stopIfTrue="1" operator="equal">
      <formula>"ERROR"</formula>
    </cfRule>
  </conditionalFormatting>
  <conditionalFormatting sqref="AI196">
    <cfRule type="cellIs" dxfId="409" priority="32" stopIfTrue="1" operator="equal">
      <formula>"OK"</formula>
    </cfRule>
  </conditionalFormatting>
  <conditionalFormatting sqref="AI196">
    <cfRule type="cellIs" dxfId="408" priority="33" stopIfTrue="1" operator="equal">
      <formula>"WARNING"</formula>
    </cfRule>
  </conditionalFormatting>
  <conditionalFormatting sqref="C236">
    <cfRule type="cellIs" dxfId="407" priority="28" stopIfTrue="1" operator="equal">
      <formula>"ERROR"</formula>
    </cfRule>
  </conditionalFormatting>
  <conditionalFormatting sqref="C236">
    <cfRule type="cellIs" dxfId="406" priority="29" stopIfTrue="1" operator="equal">
      <formula>"OK"</formula>
    </cfRule>
  </conditionalFormatting>
  <conditionalFormatting sqref="C236">
    <cfRule type="cellIs" dxfId="405" priority="30" stopIfTrue="1" operator="equal">
      <formula>"WARNING"</formula>
    </cfRule>
  </conditionalFormatting>
  <conditionalFormatting sqref="E241:E247">
    <cfRule type="cellIs" dxfId="404" priority="177" stopIfTrue="1" operator="equal">
      <formula>"ERROR"</formula>
    </cfRule>
  </conditionalFormatting>
  <conditionalFormatting sqref="E241:E247">
    <cfRule type="cellIs" dxfId="403" priority="178" stopIfTrue="1" operator="equal">
      <formula>"OK"</formula>
    </cfRule>
  </conditionalFormatting>
  <conditionalFormatting sqref="E241:E247">
    <cfRule type="cellIs" dxfId="402" priority="179" stopIfTrue="1" operator="equal">
      <formula>"WARNING"</formula>
    </cfRule>
  </conditionalFormatting>
  <conditionalFormatting sqref="D19">
    <cfRule type="cellIs" dxfId="401" priority="25" stopIfTrue="1" operator="equal">
      <formula>"ERROR"</formula>
    </cfRule>
    <cfRule type="cellIs" dxfId="400" priority="26" stopIfTrue="1" operator="equal">
      <formula>"OK"</formula>
    </cfRule>
    <cfRule type="cellIs" dxfId="399" priority="27" stopIfTrue="1" operator="equal">
      <formula>"WARNING"</formula>
    </cfRule>
  </conditionalFormatting>
  <conditionalFormatting sqref="C48">
    <cfRule type="cellIs" dxfId="398" priority="22" stopIfTrue="1" operator="equal">
      <formula>"ERROR"</formula>
    </cfRule>
  </conditionalFormatting>
  <conditionalFormatting sqref="C48">
    <cfRule type="cellIs" dxfId="397" priority="23" stopIfTrue="1" operator="equal">
      <formula>"OK"</formula>
    </cfRule>
  </conditionalFormatting>
  <conditionalFormatting sqref="C48">
    <cfRule type="cellIs" dxfId="396" priority="24" stopIfTrue="1" operator="equal">
      <formula>"WARNING"</formula>
    </cfRule>
  </conditionalFormatting>
  <conditionalFormatting sqref="G53">
    <cfRule type="cellIs" dxfId="395" priority="19" stopIfTrue="1" operator="equal">
      <formula>"ERROR"</formula>
    </cfRule>
    <cfRule type="cellIs" dxfId="394" priority="20" stopIfTrue="1" operator="equal">
      <formula>"OK"</formula>
    </cfRule>
    <cfRule type="cellIs" dxfId="393" priority="21" stopIfTrue="1" operator="equal">
      <formula>"WARNING"</formula>
    </cfRule>
  </conditionalFormatting>
  <conditionalFormatting sqref="C24">
    <cfRule type="cellIs" dxfId="392" priority="16" stopIfTrue="1" operator="equal">
      <formula>"ERROR"</formula>
    </cfRule>
  </conditionalFormatting>
  <conditionalFormatting sqref="C24">
    <cfRule type="cellIs" dxfId="391" priority="17" stopIfTrue="1" operator="equal">
      <formula>"OK"</formula>
    </cfRule>
  </conditionalFormatting>
  <conditionalFormatting sqref="C24">
    <cfRule type="cellIs" dxfId="390" priority="18" stopIfTrue="1" operator="equal">
      <formula>"WARNING"</formula>
    </cfRule>
  </conditionalFormatting>
  <conditionalFormatting sqref="G29">
    <cfRule type="cellIs" dxfId="389" priority="13" stopIfTrue="1" operator="equal">
      <formula>"ERROR"</formula>
    </cfRule>
    <cfRule type="cellIs" dxfId="388" priority="14" stopIfTrue="1" operator="equal">
      <formula>"OK"</formula>
    </cfRule>
    <cfRule type="cellIs" dxfId="387" priority="15" stopIfTrue="1" operator="equal">
      <formula>"WARNING"</formula>
    </cfRule>
  </conditionalFormatting>
  <conditionalFormatting sqref="D7:D9">
    <cfRule type="cellIs" dxfId="386" priority="10" stopIfTrue="1" operator="equal">
      <formula>"ERROR"</formula>
    </cfRule>
    <cfRule type="cellIs" dxfId="385" priority="11" stopIfTrue="1" operator="equal">
      <formula>"OK"</formula>
    </cfRule>
    <cfRule type="cellIs" dxfId="384" priority="12" stopIfTrue="1" operator="equal">
      <formula>"WARNING"</formula>
    </cfRule>
  </conditionalFormatting>
  <conditionalFormatting sqref="C36">
    <cfRule type="cellIs" dxfId="383" priority="7" stopIfTrue="1" operator="equal">
      <formula>"ERROR"</formula>
    </cfRule>
  </conditionalFormatting>
  <conditionalFormatting sqref="C36">
    <cfRule type="cellIs" dxfId="382" priority="8" stopIfTrue="1" operator="equal">
      <formula>"OK"</formula>
    </cfRule>
  </conditionalFormatting>
  <conditionalFormatting sqref="C36">
    <cfRule type="cellIs" dxfId="381" priority="9" stopIfTrue="1" operator="equal">
      <formula>"WARNING"</formula>
    </cfRule>
  </conditionalFormatting>
  <conditionalFormatting sqref="G41">
    <cfRule type="cellIs" dxfId="380" priority="4" stopIfTrue="1" operator="equal">
      <formula>"ERROR"</formula>
    </cfRule>
    <cfRule type="cellIs" dxfId="379" priority="5" stopIfTrue="1" operator="equal">
      <formula>"OK"</formula>
    </cfRule>
    <cfRule type="cellIs" dxfId="378" priority="6" stopIfTrue="1" operator="equal">
      <formula>"WARNING"</formula>
    </cfRule>
  </conditionalFormatting>
  <conditionalFormatting sqref="N65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E24" sqref="E24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58" t="s">
        <v>416</v>
      </c>
    </row>
    <row r="2" spans="1:61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1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1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1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1" x14ac:dyDescent="0.25">
      <c r="B8" s="457" t="s">
        <v>382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1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1" x14ac:dyDescent="0.25">
      <c r="B13" s="59" t="s">
        <v>159</v>
      </c>
      <c r="C13" s="350" t="str" cm="1">
        <f t="array" ref="C13">_xll.d.TestUtils_And(H18,P18,Y18,AG18,AO18,AW18,BE18)</f>
        <v>Ok</v>
      </c>
      <c r="D13" s="348"/>
      <c r="E13" s="348"/>
      <c r="F13" s="348"/>
      <c r="G13" s="348"/>
    </row>
    <row r="14" spans="1:61" x14ac:dyDescent="0.25">
      <c r="B14" s="348"/>
      <c r="C14" s="348"/>
      <c r="D14" s="348"/>
      <c r="E14" s="348"/>
      <c r="F14" s="348"/>
      <c r="G14" s="349"/>
    </row>
    <row r="15" spans="1:61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375</v>
      </c>
      <c r="AJ15" s="357"/>
      <c r="AK15" s="357"/>
      <c r="AL15" s="357"/>
      <c r="AM15" s="357"/>
      <c r="AN15" s="357"/>
      <c r="AO15" s="357"/>
      <c r="AQ15" s="4" t="s">
        <v>388</v>
      </c>
      <c r="AR15" s="357"/>
      <c r="AS15" s="357"/>
      <c r="AT15" s="357"/>
      <c r="AU15" s="357"/>
      <c r="AV15" s="357"/>
      <c r="AW15" s="357"/>
      <c r="AY15" s="4" t="s">
        <v>389</v>
      </c>
      <c r="AZ15" s="357"/>
      <c r="BA15" s="357"/>
      <c r="BB15" s="357"/>
      <c r="BC15" s="357"/>
      <c r="BD15" s="357"/>
      <c r="BE15" s="357"/>
    </row>
    <row r="16" spans="1:61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9"/>
      <c r="AQ16" s="348"/>
      <c r="AR16" s="348"/>
      <c r="AS16" s="348"/>
      <c r="AT16" s="348"/>
      <c r="AU16" s="348"/>
      <c r="AV16" s="349"/>
      <c r="AY16" s="348"/>
      <c r="AZ16" s="348"/>
      <c r="BA16" s="348"/>
      <c r="BB16" s="348"/>
      <c r="BC16" s="348"/>
      <c r="BD16" s="349"/>
    </row>
    <row r="17" spans="1:61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06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06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375" t="str" cm="1">
        <f t="array" ref="AM18">_xll.d.Math_Interpolate(AI19,AJ19:AJ20,AK19,"linear")</f>
        <v>#∂Excel Error: Row dimensions do not match or there is more than one column in x or y.</v>
      </c>
      <c r="AN18" s="376" t="s">
        <v>374</v>
      </c>
      <c r="AO18" s="360" t="str" cm="1">
        <f t="array" ref="AO18">_xll.d.TestUtils_Equal(AM18,AN18)</f>
        <v>Ok</v>
      </c>
      <c r="AQ18" s="372" t="s">
        <v>367</v>
      </c>
      <c r="AR18" s="373" t="s">
        <v>368</v>
      </c>
      <c r="AS18" s="133" t="s">
        <v>369</v>
      </c>
      <c r="AU18" s="375" t="str" cm="1">
        <f t="array" ref="AU18">_xll.d.Math_Interpolate(AQ19:AR20,AR19:AR20,AS19,"linear")</f>
        <v>#∂Excel Error: Row dimensions do not match or there is more than one column in x or y.</v>
      </c>
      <c r="AV18" s="376" t="s">
        <v>374</v>
      </c>
      <c r="AW18" s="360" t="str" cm="1">
        <f t="array" ref="AW18">_xll.d.TestUtils_Equal(AU18,AV18)</f>
        <v>Ok</v>
      </c>
      <c r="AY18" s="372" t="s">
        <v>367</v>
      </c>
      <c r="AZ18" s="373" t="s">
        <v>368</v>
      </c>
      <c r="BA18" s="133" t="s">
        <v>369</v>
      </c>
      <c r="BC18" s="375" t="str" cm="1">
        <f t="array" ref="BC18">_xll.d.Math_Interpolate(AY19:AY20,AZ19:AZ20,BA19,"magic")</f>
        <v>#∂Excel Error: Unsupported interpolation: 'magic'</v>
      </c>
      <c r="BD18" s="376" t="s">
        <v>507</v>
      </c>
      <c r="BE18" s="360" t="str" cm="1">
        <f t="array" ref="BE18">_xll.d.TestUtils_Equal(BC18,BD18)</f>
        <v>Ok</v>
      </c>
    </row>
    <row r="19" spans="1:61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136">
        <v>1</v>
      </c>
      <c r="AJ19" s="370">
        <v>0.05</v>
      </c>
      <c r="AK19" s="374">
        <v>1.5</v>
      </c>
      <c r="AL19" s="348"/>
      <c r="AM19" s="348"/>
      <c r="AN19" s="349"/>
      <c r="AQ19" s="136">
        <v>1</v>
      </c>
      <c r="AR19" s="370">
        <v>0.05</v>
      </c>
      <c r="AS19" s="374">
        <v>1.5</v>
      </c>
      <c r="AT19" s="348"/>
      <c r="AU19" s="348"/>
      <c r="AV19" s="349"/>
      <c r="AY19" s="136">
        <v>1</v>
      </c>
      <c r="AZ19" s="370">
        <v>0.05</v>
      </c>
      <c r="BA19" s="374">
        <v>1.5</v>
      </c>
      <c r="BB19" s="348"/>
      <c r="BC19" s="348"/>
      <c r="BD19" s="349"/>
    </row>
    <row r="20" spans="1:61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377">
        <v>2</v>
      </c>
      <c r="AJ20" s="378">
        <v>0.1</v>
      </c>
      <c r="AL20" s="348"/>
      <c r="AM20" s="348"/>
      <c r="AN20" s="349"/>
      <c r="AQ20" s="377">
        <v>2</v>
      </c>
      <c r="AR20" s="378">
        <v>0.1</v>
      </c>
      <c r="AT20" s="348"/>
      <c r="AU20" s="348"/>
      <c r="AV20" s="349"/>
      <c r="AY20" s="377">
        <v>2</v>
      </c>
      <c r="AZ20" s="378">
        <v>0.1</v>
      </c>
      <c r="BB20" s="348"/>
      <c r="BC20" s="348"/>
      <c r="BD20" s="349"/>
    </row>
    <row r="21" spans="1:61" x14ac:dyDescent="0.25">
      <c r="B21" s="348"/>
      <c r="C21" s="348"/>
      <c r="D21" s="348"/>
      <c r="E21" s="348"/>
      <c r="F21" s="348"/>
      <c r="G21" s="349"/>
    </row>
    <row r="22" spans="1:61" x14ac:dyDescent="0.25">
      <c r="B22" s="348"/>
      <c r="C22" s="348"/>
      <c r="D22" s="348"/>
      <c r="E22" s="348"/>
      <c r="F22" s="348"/>
      <c r="G22" s="349"/>
    </row>
    <row r="23" spans="1:61" s="348" customFormat="1" ht="18.75" x14ac:dyDescent="0.3">
      <c r="A23"/>
      <c r="B23" s="3" t="s">
        <v>382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1" s="348" customFormat="1" x14ac:dyDescent="0.25">
      <c r="A25"/>
      <c r="B25" s="59" t="s">
        <v>159</v>
      </c>
      <c r="C25" s="350" t="str" cm="1">
        <f t="array" ref="C25">_xll.d.TestUtils_And(L30,Y30,AK30,AW30,BI30)</f>
        <v>Ok</v>
      </c>
    </row>
    <row r="27" spans="1:61" ht="15.75" x14ac:dyDescent="0.25">
      <c r="B27" s="4" t="s">
        <v>383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384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385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386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376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1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1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 t="s">
        <v>253</v>
      </c>
      <c r="AW29" s="134" t="s">
        <v>84</v>
      </c>
      <c r="AY29" s="382" t="s">
        <v>251</v>
      </c>
      <c r="AZ29" s="206"/>
      <c r="BA29" s="206"/>
      <c r="BB29" s="389"/>
      <c r="BC29" s="389"/>
      <c r="BD29" s="383"/>
      <c r="BE29" s="215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384"/>
      <c r="C30" s="386" t="s">
        <v>380</v>
      </c>
      <c r="D30" s="389"/>
      <c r="E30" s="389"/>
      <c r="F30" s="387"/>
      <c r="G30" s="391" t="s">
        <v>381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380</v>
      </c>
      <c r="P30" s="389"/>
      <c r="Q30" s="389"/>
      <c r="R30" s="387"/>
      <c r="S30" s="391" t="s">
        <v>381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380</v>
      </c>
      <c r="AC30" s="389"/>
      <c r="AD30" s="389"/>
      <c r="AE30" s="387"/>
      <c r="AF30" s="391" t="s">
        <v>381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380</v>
      </c>
      <c r="AO30" s="389"/>
      <c r="AP30" s="389"/>
      <c r="AQ30" s="387"/>
      <c r="AR30" s="391" t="s">
        <v>381</v>
      </c>
      <c r="AS30" s="390"/>
      <c r="AU30" s="375" t="str" cm="1">
        <f t="array" ref="AU30">_xll.d.Math_Interpolate2D(AM31:AQ36,AR32,AS32,"linear")</f>
        <v>#∂Excel Error: Extrapolation not supported.</v>
      </c>
      <c r="AV30" s="376" t="s">
        <v>387</v>
      </c>
      <c r="AW30" s="360" t="str" cm="1">
        <f t="array" ref="AW30">_xll.d.TestUtils_Equal(AU30,AV30)</f>
        <v>Ok</v>
      </c>
      <c r="AY30" s="384"/>
      <c r="AZ30" s="386" t="s">
        <v>380</v>
      </c>
      <c r="BA30" s="389"/>
      <c r="BB30" s="389"/>
      <c r="BC30" s="387"/>
      <c r="BD30" s="391" t="s">
        <v>381</v>
      </c>
      <c r="BE30" s="390"/>
      <c r="BG30" s="375" t="str" cm="1">
        <f t="array" ref="BG30">_xll.d.Math_Interpolate2D(AY31:BC36,BD32,BE32,"magic")</f>
        <v>#∂Excel Error: Unsupported interpolation: 'magic'</v>
      </c>
      <c r="BH30" s="376" t="s">
        <v>507</v>
      </c>
      <c r="BI30" s="360" t="str" cm="1">
        <f t="array" ref="BI30">_xll.d.TestUtils_Equal(BG30,BH30)</f>
        <v>Ok</v>
      </c>
    </row>
    <row r="31" spans="1:61" x14ac:dyDescent="0.25">
      <c r="A31" s="149"/>
      <c r="B31" s="385" t="s">
        <v>379</v>
      </c>
      <c r="C31" s="394">
        <v>0</v>
      </c>
      <c r="D31" s="395">
        <v>1</v>
      </c>
      <c r="E31" s="395">
        <v>2</v>
      </c>
      <c r="F31" s="396">
        <v>3</v>
      </c>
      <c r="G31" s="392" t="s">
        <v>378</v>
      </c>
      <c r="H31" s="133" t="s">
        <v>377</v>
      </c>
      <c r="N31" s="385" t="s">
        <v>379</v>
      </c>
      <c r="O31" s="394">
        <v>0</v>
      </c>
      <c r="P31" s="395">
        <v>1</v>
      </c>
      <c r="Q31" s="395">
        <v>2</v>
      </c>
      <c r="R31" s="396">
        <v>3</v>
      </c>
      <c r="S31" s="392" t="s">
        <v>378</v>
      </c>
      <c r="T31" s="133" t="s">
        <v>377</v>
      </c>
      <c r="AA31" s="385" t="s">
        <v>379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378</v>
      </c>
      <c r="AG31" s="133" t="s">
        <v>377</v>
      </c>
      <c r="AM31" s="385" t="s">
        <v>379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378</v>
      </c>
      <c r="AS31" s="133" t="s">
        <v>377</v>
      </c>
      <c r="AY31" s="385" t="s">
        <v>379</v>
      </c>
      <c r="AZ31" s="394">
        <v>0</v>
      </c>
      <c r="BA31" s="395">
        <v>1</v>
      </c>
      <c r="BB31" s="395">
        <v>2</v>
      </c>
      <c r="BC31" s="396">
        <v>3</v>
      </c>
      <c r="BD31" s="392" t="s">
        <v>378</v>
      </c>
      <c r="BE31" s="133" t="s">
        <v>377</v>
      </c>
    </row>
    <row r="32" spans="1:61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Y32" s="381">
        <v>0</v>
      </c>
      <c r="AZ32" s="397">
        <v>1</v>
      </c>
      <c r="BA32" s="398">
        <v>2</v>
      </c>
      <c r="BB32" s="399">
        <v>3</v>
      </c>
      <c r="BC32" s="400">
        <v>4</v>
      </c>
      <c r="BD32" s="393">
        <v>2.5</v>
      </c>
      <c r="BE32" s="388">
        <v>1.5</v>
      </c>
    </row>
    <row r="33" spans="2:55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Y33" s="405">
        <v>1</v>
      </c>
      <c r="AZ33" s="406">
        <v>5</v>
      </c>
      <c r="BA33" s="407">
        <v>6</v>
      </c>
      <c r="BB33" s="407">
        <v>7</v>
      </c>
      <c r="BC33" s="408">
        <v>8</v>
      </c>
    </row>
    <row r="34" spans="2:55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Y34" s="409">
        <v>2</v>
      </c>
      <c r="AZ34" s="406">
        <v>9</v>
      </c>
      <c r="BA34" s="407">
        <v>10</v>
      </c>
      <c r="BB34" s="407">
        <v>11</v>
      </c>
      <c r="BC34" s="408">
        <v>12</v>
      </c>
    </row>
    <row r="35" spans="2:55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Y35" s="409">
        <v>3</v>
      </c>
      <c r="AZ35" s="406">
        <v>13</v>
      </c>
      <c r="BA35" s="407">
        <v>14</v>
      </c>
      <c r="BB35" s="407">
        <v>15</v>
      </c>
      <c r="BC35" s="408">
        <v>16</v>
      </c>
    </row>
    <row r="36" spans="2:55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Y36" s="401">
        <v>4</v>
      </c>
      <c r="AZ36" s="402">
        <v>17</v>
      </c>
      <c r="BA36" s="403">
        <v>18</v>
      </c>
      <c r="BB36" s="403">
        <v>19</v>
      </c>
      <c r="BC36" s="404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O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AW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E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416</v>
      </c>
    </row>
    <row r="2" spans="1:50" ht="26.25" x14ac:dyDescent="0.4">
      <c r="B2" s="2" t="s">
        <v>390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391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392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393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391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394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396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397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398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395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395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508</v>
      </c>
      <c r="X19" s="613"/>
      <c r="Y19" s="613"/>
      <c r="Z19" s="360" t="str" cm="1">
        <f t="array" ref="Z19">_xll.d.TestUtils_Equal(T19,W19)</f>
        <v>Ok</v>
      </c>
      <c r="AB19" s="411" t="s">
        <v>395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509</v>
      </c>
      <c r="AJ19" s="615"/>
      <c r="AK19" s="616"/>
      <c r="AL19" s="360" t="str" cm="1">
        <f t="array" ref="AL19">_xll.d.TestUtils_Equal(AF19,AI19)</f>
        <v>Ok</v>
      </c>
      <c r="AN19" s="411" t="s">
        <v>395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510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392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399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401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378</v>
      </c>
      <c r="C32" s="421" t="s">
        <v>377</v>
      </c>
      <c r="E32" s="435"/>
      <c r="F32" s="433" t="s">
        <v>378</v>
      </c>
      <c r="G32" s="346" t="s">
        <v>377</v>
      </c>
      <c r="H32" s="435"/>
      <c r="I32" s="433" t="s">
        <v>378</v>
      </c>
      <c r="J32" s="346" t="s">
        <v>377</v>
      </c>
      <c r="K32" s="435"/>
      <c r="L32" s="433" t="s">
        <v>378</v>
      </c>
      <c r="M32" s="346" t="s">
        <v>377</v>
      </c>
      <c r="O32" s="420" t="s">
        <v>378</v>
      </c>
      <c r="P32" s="443" t="s">
        <v>377</v>
      </c>
      <c r="Q32" s="442" t="s">
        <v>400</v>
      </c>
      <c r="S32" s="435"/>
      <c r="T32" s="433" t="s">
        <v>378</v>
      </c>
      <c r="U32" s="446" t="s">
        <v>377</v>
      </c>
      <c r="V32" s="444" t="s">
        <v>400</v>
      </c>
      <c r="W32" s="435"/>
      <c r="X32" s="433" t="s">
        <v>378</v>
      </c>
      <c r="Y32" s="446" t="s">
        <v>377</v>
      </c>
      <c r="Z32" s="444" t="s">
        <v>400</v>
      </c>
      <c r="AA32" s="435"/>
      <c r="AB32" s="433" t="s">
        <v>378</v>
      </c>
      <c r="AC32" s="446" t="s">
        <v>377</v>
      </c>
      <c r="AD32" s="444" t="s">
        <v>400</v>
      </c>
    </row>
    <row r="33" spans="2:31" x14ac:dyDescent="0.25">
      <c r="B33" s="422">
        <v>1</v>
      </c>
      <c r="C33" s="423">
        <v>0.5</v>
      </c>
      <c r="D33" s="348"/>
      <c r="E33" s="434" t="s">
        <v>378</v>
      </c>
      <c r="F33" s="429" cm="1">
        <f t="array" ref="F33:G34">_xll.d.Stats_CorrelationMatrix(B33:C38)</f>
        <v>1</v>
      </c>
      <c r="G33" s="428">
        <v>0.9855793842654561</v>
      </c>
      <c r="H33" s="434" t="s">
        <v>378</v>
      </c>
      <c r="I33" s="429">
        <f>CORREL(B33:B38,B33:B38)</f>
        <v>1</v>
      </c>
      <c r="J33" s="428">
        <f>CORREL(B33:B38,C33:C38)</f>
        <v>0.98557938426545633</v>
      </c>
      <c r="K33" s="434" t="s">
        <v>378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378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378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378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377</v>
      </c>
      <c r="F34" s="430">
        <v>0.9855793842654561</v>
      </c>
      <c r="G34" s="416">
        <v>1</v>
      </c>
      <c r="H34" s="335" t="s">
        <v>377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377</v>
      </c>
      <c r="T34" s="449">
        <v>0.9855793842654561</v>
      </c>
      <c r="U34" s="451">
        <v>1</v>
      </c>
      <c r="V34" s="452">
        <v>-0.9461544177169412</v>
      </c>
      <c r="W34" s="431" t="s">
        <v>377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400</v>
      </c>
      <c r="T35" s="430">
        <v>-0.96679334300694564</v>
      </c>
      <c r="U35" s="450">
        <v>-0.9461544177169412</v>
      </c>
      <c r="V35" s="445">
        <v>1</v>
      </c>
      <c r="W35" s="432" t="s">
        <v>400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400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393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405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406</v>
      </c>
      <c r="N45" s="357"/>
      <c r="O45" s="357"/>
      <c r="P45" s="357"/>
      <c r="Q45" s="357"/>
      <c r="R45" s="357"/>
      <c r="S45" s="357"/>
      <c r="T45" s="357"/>
      <c r="V45" s="4" t="s">
        <v>511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403</v>
      </c>
      <c r="K47" s="135" t="s">
        <v>404</v>
      </c>
      <c r="M47" s="134" t="s">
        <v>133</v>
      </c>
      <c r="N47" s="206"/>
      <c r="O47" s="206"/>
      <c r="P47" s="206"/>
      <c r="Q47" s="135"/>
      <c r="S47" s="134" t="s">
        <v>403</v>
      </c>
      <c r="T47" s="135" t="s">
        <v>404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403</v>
      </c>
      <c r="AE47" s="135" t="s">
        <v>404</v>
      </c>
    </row>
    <row r="48" spans="2:31" x14ac:dyDescent="0.25">
      <c r="B48" s="454" t="s">
        <v>402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402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416</v>
      </c>
    </row>
    <row r="2" spans="1:62" ht="26.25" x14ac:dyDescent="0.4">
      <c r="B2" s="2" t="s">
        <v>421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422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423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422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458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462</v>
      </c>
      <c r="M15" s="357"/>
      <c r="N15" s="357"/>
      <c r="O15" s="357"/>
      <c r="P15" s="357"/>
      <c r="Q15" s="357"/>
      <c r="R15" s="467"/>
      <c r="S15" s="4" t="s">
        <v>466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454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450</v>
      </c>
      <c r="C18" s="137" t="s">
        <v>459</v>
      </c>
      <c r="D18" s="348"/>
      <c r="E18" s="136" t="s">
        <v>455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450</v>
      </c>
      <c r="M18" s="137" t="s">
        <v>445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463</v>
      </c>
      <c r="Q18" s="388" t="str" cm="1">
        <f t="array" ref="Q18">_xll.d.TestUtils_Equal(O18,P18)</f>
        <v>Ok</v>
      </c>
      <c r="R18" s="467"/>
      <c r="S18" s="497" t="s">
        <v>450</v>
      </c>
      <c r="T18" s="137" t="s">
        <v>459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488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457</v>
      </c>
      <c r="C19" s="139" t="s">
        <v>460</v>
      </c>
      <c r="D19" s="348"/>
      <c r="E19" s="140" t="s">
        <v>456</v>
      </c>
      <c r="F19" s="141">
        <f>F18-C25*SQRT(C24)</f>
        <v>0.29817029082404245</v>
      </c>
      <c r="J19" s="467"/>
      <c r="K19" s="467"/>
      <c r="L19" s="498" t="s">
        <v>457</v>
      </c>
      <c r="M19" s="139" t="s">
        <v>460</v>
      </c>
      <c r="N19" s="348"/>
      <c r="O19" s="495"/>
      <c r="P19" s="495"/>
      <c r="Q19" s="495"/>
      <c r="R19" s="467"/>
      <c r="S19" s="498" t="s">
        <v>457</v>
      </c>
      <c r="T19" s="139" t="s">
        <v>445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451</v>
      </c>
      <c r="C20" s="139">
        <v>120</v>
      </c>
      <c r="D20" s="348"/>
      <c r="J20" s="467"/>
      <c r="K20" s="467"/>
      <c r="L20" s="498" t="s">
        <v>451</v>
      </c>
      <c r="M20" s="139">
        <v>120</v>
      </c>
      <c r="N20" s="348"/>
      <c r="O20" s="495"/>
      <c r="P20" s="495"/>
      <c r="Q20" s="495"/>
      <c r="R20" s="467"/>
      <c r="S20" s="498" t="s">
        <v>451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452</v>
      </c>
      <c r="C21" s="139">
        <v>100</v>
      </c>
      <c r="D21" s="348"/>
      <c r="E21" s="348"/>
      <c r="F21" s="348"/>
      <c r="G21" s="349"/>
      <c r="L21" s="498" t="s">
        <v>452</v>
      </c>
      <c r="M21" s="139">
        <v>100</v>
      </c>
      <c r="N21" s="348"/>
      <c r="O21" s="495"/>
      <c r="P21" s="495"/>
      <c r="Q21" s="495"/>
      <c r="S21" s="498" t="s">
        <v>452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465</v>
      </c>
      <c r="C22" s="139">
        <v>0.1</v>
      </c>
      <c r="D22" s="348"/>
      <c r="E22" s="348"/>
      <c r="F22" s="348"/>
      <c r="G22" s="349"/>
      <c r="L22" s="498" t="s">
        <v>465</v>
      </c>
      <c r="M22" s="139">
        <v>0.1</v>
      </c>
      <c r="N22" s="348"/>
      <c r="O22" s="495"/>
      <c r="P22" s="495"/>
      <c r="Q22" s="495"/>
      <c r="S22" s="498" t="s">
        <v>465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464</v>
      </c>
      <c r="C23" s="139">
        <v>0.03</v>
      </c>
      <c r="D23" s="348"/>
      <c r="E23" s="348"/>
      <c r="F23" s="348"/>
      <c r="G23" s="349"/>
      <c r="L23" s="498" t="s">
        <v>464</v>
      </c>
      <c r="M23" s="139">
        <v>0.03</v>
      </c>
      <c r="N23" s="348"/>
      <c r="O23" s="495"/>
      <c r="P23" s="495"/>
      <c r="Q23" s="495"/>
      <c r="S23" s="498" t="s">
        <v>464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453</v>
      </c>
      <c r="C24" s="139">
        <v>4.5199999999999996</v>
      </c>
      <c r="D24" s="348"/>
      <c r="E24" s="348"/>
      <c r="F24" s="348"/>
      <c r="G24" s="349"/>
      <c r="L24" s="498" t="s">
        <v>453</v>
      </c>
      <c r="M24" s="139">
        <v>4.5199999999999996</v>
      </c>
      <c r="N24" s="348"/>
      <c r="O24" s="495"/>
      <c r="P24" s="495"/>
      <c r="Q24" s="495"/>
      <c r="S24" s="498" t="s">
        <v>453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423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442</v>
      </c>
      <c r="C32" s="357"/>
      <c r="D32" s="357"/>
      <c r="E32" s="357"/>
      <c r="F32" s="357"/>
      <c r="G32" s="357"/>
      <c r="H32" s="357"/>
      <c r="I32" s="467"/>
      <c r="J32" s="4" t="s">
        <v>443</v>
      </c>
      <c r="K32" s="4"/>
      <c r="L32" s="4"/>
      <c r="M32" s="467"/>
      <c r="N32" s="4" t="s">
        <v>447</v>
      </c>
      <c r="O32" s="357"/>
      <c r="P32" s="357"/>
      <c r="Q32" s="357"/>
      <c r="R32" s="357"/>
      <c r="S32" s="357"/>
      <c r="T32" s="467"/>
      <c r="U32" s="4" t="s">
        <v>448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435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434</v>
      </c>
      <c r="G34" s="134" t="s">
        <v>253</v>
      </c>
      <c r="H34" s="134" t="s">
        <v>84</v>
      </c>
      <c r="I34" s="467"/>
      <c r="J34" s="494" t="s">
        <v>444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425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425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446</v>
      </c>
      <c r="S35" s="360" t="str" cm="1">
        <f t="array" ref="S35">_xll.d.TestUtils_Equal(Q35,R35)</f>
        <v>Ok</v>
      </c>
      <c r="T35" s="467"/>
      <c r="U35" s="136" t="s">
        <v>425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449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426</v>
      </c>
      <c r="C36" s="363">
        <v>45930</v>
      </c>
      <c r="E36" s="348"/>
      <c r="F36" s="466" t="s">
        <v>427</v>
      </c>
      <c r="I36" s="467"/>
      <c r="J36" s="467"/>
      <c r="K36" s="467"/>
      <c r="L36" s="467"/>
      <c r="M36" s="467"/>
      <c r="N36" s="138" t="s">
        <v>426</v>
      </c>
      <c r="O36" s="363">
        <v>45930</v>
      </c>
      <c r="P36" s="467"/>
      <c r="Q36" s="348"/>
      <c r="R36" s="467"/>
      <c r="S36" s="467"/>
      <c r="T36" s="467"/>
      <c r="U36" s="138" t="s">
        <v>426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436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436</v>
      </c>
      <c r="O37" s="486">
        <f>C37</f>
        <v>250</v>
      </c>
      <c r="P37" s="467"/>
      <c r="Q37" s="467"/>
      <c r="R37" s="467"/>
      <c r="S37" s="467"/>
      <c r="T37" s="467"/>
      <c r="U37" s="138" t="s">
        <v>436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437</v>
      </c>
      <c r="C38" s="363" t="s">
        <v>461</v>
      </c>
      <c r="N38" s="138" t="s">
        <v>437</v>
      </c>
      <c r="O38" s="363" t="s">
        <v>445</v>
      </c>
      <c r="U38" s="138" t="s">
        <v>437</v>
      </c>
      <c r="V38" s="363" t="s">
        <v>438</v>
      </c>
    </row>
    <row r="39" spans="2:65" s="467" customFormat="1" x14ac:dyDescent="0.25">
      <c r="B39" s="482" t="s">
        <v>424</v>
      </c>
      <c r="C39" s="483">
        <v>0.97</v>
      </c>
      <c r="N39" s="482" t="s">
        <v>424</v>
      </c>
      <c r="O39" s="483">
        <v>0.97</v>
      </c>
      <c r="U39" s="482" t="s">
        <v>424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428</v>
      </c>
      <c r="C42" s="469" t="s">
        <v>429</v>
      </c>
      <c r="D42" s="469" t="s">
        <v>430</v>
      </c>
      <c r="E42" s="469" t="s">
        <v>431</v>
      </c>
      <c r="F42" s="469" t="s">
        <v>432</v>
      </c>
      <c r="G42" s="467"/>
      <c r="J42" s="467"/>
      <c r="K42" s="467"/>
      <c r="L42" s="467"/>
      <c r="M42" s="467"/>
    </row>
    <row r="43" spans="2:65" x14ac:dyDescent="0.25">
      <c r="B43" s="470" t="s">
        <v>433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433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433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433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433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433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433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433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433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433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433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433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433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433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433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433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433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433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433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433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433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433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433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433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433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433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433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433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433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433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433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433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433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433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433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433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433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433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433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433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433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433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433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433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433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433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433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433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433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433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433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433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433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433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433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433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433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433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433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433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433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433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433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433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433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433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433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433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433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433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433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433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433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433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433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433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433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433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433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433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433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433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433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433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433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433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433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433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433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433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433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433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433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433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433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433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433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433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433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433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433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433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433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433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433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433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433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433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433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433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433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433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433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433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433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433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433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433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433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433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433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433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433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433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433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433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433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433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433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433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433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433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433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433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433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433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433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433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433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433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433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433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433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433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433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433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433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433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433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433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433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433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433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433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433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433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433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433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433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433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433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433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433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433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433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433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433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433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433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433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433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433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433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433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433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433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433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433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433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433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433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433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433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433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433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433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433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433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433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433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433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433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433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433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433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433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433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433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433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433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433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433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433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433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433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433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433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433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433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433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433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433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433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433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433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433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433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433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433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433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433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433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433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433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433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433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433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433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433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433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433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433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433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433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433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433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433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433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433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433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433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433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433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433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433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433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433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433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433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433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433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433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433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433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433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433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433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433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433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433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433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433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433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433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433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433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433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433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433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433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433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433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433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433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433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433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433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433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433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433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433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433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433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433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433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433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433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433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433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433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433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433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433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433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433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433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433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433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433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433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433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433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433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433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433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433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433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433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433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433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433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433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433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433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433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433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433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433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433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433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433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433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433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433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433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433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433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433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433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433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433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433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433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433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433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433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433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433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433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433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433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433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433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433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433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433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433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433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433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433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433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433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433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433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433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433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433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433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433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433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433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433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433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433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433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433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433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433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433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433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433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433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433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433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433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433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433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433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433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433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433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433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433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433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433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433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433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433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433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433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433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433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433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433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433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433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433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433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433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433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433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433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433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433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433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433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433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433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433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433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433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433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433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433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433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433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433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433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433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433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433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433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433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433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433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433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433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433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433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433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433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433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433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433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433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433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433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433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433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433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433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433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433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433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433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433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433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433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433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433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433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433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433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433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433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433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433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433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433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433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433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433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433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433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433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433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433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433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433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433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433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433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433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433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433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433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433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433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433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433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433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433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433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433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433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433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433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433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433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433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433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433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433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433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433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433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433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433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433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433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433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433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433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433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433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433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433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433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433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433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433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433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433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433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433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433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433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433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433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433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433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433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433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433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433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433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433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433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433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433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433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433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433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433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433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433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433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433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433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433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433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433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433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433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433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433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433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433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433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433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433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433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433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433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433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433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433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433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433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433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433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433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433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433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433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433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433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433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433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433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433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433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433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433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433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433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433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433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433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433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433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433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433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433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433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433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433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433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433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433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433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433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433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433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433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433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433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433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433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433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433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433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433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433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433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433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433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433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433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433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433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433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433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433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433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433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433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433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433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433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433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433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433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433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433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433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433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433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433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433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433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433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433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433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433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433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433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433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433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433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433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433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433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433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433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433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433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433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433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433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433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433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433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433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433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433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433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433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433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433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433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433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433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433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433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433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433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433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433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433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433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433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433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433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433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433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433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433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433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433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433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433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433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433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433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433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433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433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433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433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433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433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433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433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433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433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433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433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433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433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433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433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433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433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433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433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433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433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433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433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433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433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433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433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433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433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433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433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433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433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433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433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433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433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433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433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433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433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433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433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433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433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433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433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433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433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433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433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433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433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433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433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433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433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433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433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433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433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433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433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433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433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433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433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433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433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433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433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433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433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433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433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433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433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433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433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433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433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433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433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433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433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433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433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433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433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433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433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433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433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433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433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433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433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433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433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433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433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433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433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433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433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433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433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433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433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433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433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433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433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433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433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433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433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433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433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433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433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433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433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433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433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433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433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433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433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433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433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433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433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433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433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433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433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433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433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433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433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433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433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433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433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433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433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433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433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433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433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433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433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433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433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433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433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433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433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433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433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433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433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433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433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433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433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433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433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433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433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433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433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433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433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433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433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433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433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433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433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433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433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433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433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433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433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433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433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433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433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433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433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433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433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433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433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433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433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433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433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433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433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433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433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433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433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433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433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433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433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433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433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433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433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433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433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433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433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433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433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433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433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433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433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433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433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433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433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433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433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433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433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433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433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433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433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433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433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433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433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433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433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433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433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433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433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433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433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433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433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433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433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433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433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433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433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433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433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433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433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433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433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433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433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433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433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433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433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433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433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433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433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433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433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433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433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433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433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433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433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433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433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433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433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433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433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433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433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433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433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433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433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433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433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433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433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433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433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433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433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433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433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433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433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433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433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433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433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433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433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433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433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433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433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433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433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433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433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433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433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433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433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433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433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433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433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433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433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433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433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433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433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433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433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433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433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433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433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433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433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433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433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433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433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433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433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433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433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433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433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433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433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433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433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433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433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433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433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433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433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433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433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433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433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433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433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433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433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433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433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433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433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433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433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433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433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433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433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433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433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433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433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433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433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433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433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433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433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433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433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433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433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433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433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433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433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433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433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433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433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433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433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433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433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433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433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433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433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433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433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433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433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433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433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433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433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433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433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433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433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433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433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433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433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433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433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433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433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433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433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433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433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433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433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433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433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433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433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433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433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433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433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433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433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433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433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433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433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433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433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433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433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433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433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433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433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433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433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433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433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433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433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433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433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433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433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433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433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433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433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433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433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433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433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433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433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433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433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433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433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433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433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433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433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433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433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433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433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433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433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433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433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433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433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433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433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433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433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433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433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433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433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433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433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433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433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433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433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433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433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433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433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433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433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433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433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433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433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433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433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433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433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433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433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433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433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433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433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433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433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433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433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433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433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433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433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433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433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433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433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433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433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433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433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433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433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433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433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433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433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433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433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433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433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433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433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433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433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433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433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433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416</v>
      </c>
    </row>
    <row r="2" spans="1:54" ht="26.25" x14ac:dyDescent="0.4">
      <c r="B2" s="2" t="s">
        <v>417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418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419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418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470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475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468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468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468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474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473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489</v>
      </c>
      <c r="C21" s="552">
        <f>3/12</f>
        <v>0.25</v>
      </c>
      <c r="D21" s="503"/>
      <c r="E21" s="621" t="s">
        <v>467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21" t="s">
        <v>467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21" t="s">
        <v>467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489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489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22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22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22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471</v>
      </c>
      <c r="AG22" s="521"/>
      <c r="AH22" s="139" t="s">
        <v>469</v>
      </c>
      <c r="AI22"/>
      <c r="AJ22"/>
      <c r="AK22"/>
      <c r="AM22" s="348"/>
      <c r="AN22"/>
      <c r="AO22"/>
      <c r="AP22"/>
      <c r="AR22" s="521" t="s">
        <v>471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22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22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22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472</v>
      </c>
      <c r="AG23" s="522"/>
      <c r="AH23" s="141" t="s">
        <v>81</v>
      </c>
      <c r="AR23" s="522" t="s">
        <v>472</v>
      </c>
      <c r="AS23" s="522"/>
      <c r="AT23" s="141" t="s">
        <v>469</v>
      </c>
    </row>
    <row r="24" spans="1:54" s="495" customFormat="1" x14ac:dyDescent="0.25">
      <c r="D24" s="553">
        <v>4</v>
      </c>
      <c r="E24" s="622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22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22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22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22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22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23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23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23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419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479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476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480</v>
      </c>
      <c r="K38" s="528" t="s">
        <v>469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481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477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476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478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477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478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416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aca="1" ref="C4" ca="1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484</v>
      </c>
      <c r="C7" s="177" t="str">
        <f ca="1"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487</v>
      </c>
      <c r="C9" s="177" t="str">
        <f ca="1">C63</f>
        <v>Ok</v>
      </c>
      <c r="E9" s="561"/>
    </row>
    <row r="10" spans="2:20" x14ac:dyDescent="0.25">
      <c r="B10" s="544" t="s">
        <v>494</v>
      </c>
      <c r="C10" s="177" t="str">
        <f ca="1">C77</f>
        <v>Ok</v>
      </c>
    </row>
    <row r="13" spans="2:20" ht="18.75" x14ac:dyDescent="0.3">
      <c r="B13" s="3" t="s">
        <v>484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aca="1" ref="C15" ca="1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@@ExampleCurve::11:53:26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493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501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aca="1" ref="C39" ca="1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aca="1" ref="C43" ca="1">_xll.d.TestUtils_And(E47:E57)</f>
        <v>Ok</v>
      </c>
      <c r="D43"/>
      <c r="E43"/>
      <c r="G43" s="59" t="s">
        <v>126</v>
      </c>
      <c r="H43" s="548" t="str">
        <f ca="1"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483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aca="1" ref="E47" ca="1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486</v>
      </c>
      <c r="J47" s="599"/>
      <c r="K47" s="198" t="str" cm="1">
        <f t="array" aca="1" ref="K47" ca="1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aca="1" ref="E48" ca="1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 ca="1"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aca="1" ref="E49" ca="1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aca="1" ref="E50" ca="1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 ca="1"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aca="1" ref="E51" ca="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aca="1" ref="D52" ca="1">_xll.d.Curve_GetDiscountFactors($C$19,B52)</f>
        <v>0.97547116833738268</v>
      </c>
      <c r="E52" s="198" t="str" cm="1">
        <f t="array" aca="1" ref="E52" ca="1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aca="1" ref="D53" ca="1">_xll.d.Curve_GetDiscountFactors($C$19,B53)</f>
        <v>0.97</v>
      </c>
      <c r="E53" s="198" t="str" cm="1">
        <f t="array" aca="1" ref="E53" ca="1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aca="1" ref="D54" ca="1">_xll.d.Curve_GetDiscountFactors($C$19,B54)</f>
        <v>0.96532043596444328</v>
      </c>
      <c r="E54" s="198" t="str" cm="1">
        <f t="array" aca="1" ref="E54" ca="1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aca="1" ref="D55" ca="1">_xll.d.Curve_GetDiscountFactors($C$19,B55)</f>
        <v>0.96</v>
      </c>
      <c r="E55" s="198" t="str" cm="1">
        <f t="array" aca="1" ref="E55" ca="1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aca="1" ref="D56" ca="1">_xll.d.Curve_GetDiscountFactors($C$19,B56)</f>
        <v>0.8356958461194135</v>
      </c>
      <c r="E56" s="198" t="str" cm="1">
        <f t="array" aca="1" ref="E56" ca="1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aca="1" ref="D57" ca="1">_xll.d.Curve_GetDiscountFactors($C$19,B57)</f>
        <v>0.62</v>
      </c>
      <c r="E57" s="198" t="str" cm="1">
        <f t="array" aca="1" ref="E57" ca="1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487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aca="1" ref="C63" ca="1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 ca="1">-LN(C30)/YEARFRAC($B$29,B68,3)</f>
        <v>0.11833459956542031</v>
      </c>
      <c r="D68" s="591">
        <f t="array" aca="1" ref="D68:D72" ca="1">_xll.d.Curve_GetZeroRates($C$19,B68:B72,"NACC")</f>
        <v>0.11833459956542096</v>
      </c>
      <c r="E68" s="586" t="str" cm="1">
        <f t="array" aca="1" ref="E68" ca="1">_xll.d.TestUtils_Equal(C68,D68)</f>
        <v>Ok</v>
      </c>
      <c r="F68" s="591">
        <f ca="1"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aca="1" ref="H68" ca="1">_xll.d.TestUtils_Equal(F68,G68)</f>
        <v>Ok</v>
      </c>
      <c r="I68" s="591">
        <f ca="1"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aca="1" ref="K68" ca="1">_xll.d.TestUtils_Equal(I68,J68)</f>
        <v>Ok</v>
      </c>
      <c r="L68" s="591">
        <f ca="1">4*($C30^(-1/(4*YEARFRAC($B$29,$B68,3)))-1)</f>
        <v>0.12010237358908604</v>
      </c>
      <c r="M68" s="591" cm="1">
        <f t="array" aca="1" ref="M68" ca="1">_xll.d.Curve_GetZeroRates($C$19,$B68,"NACQ")</f>
        <v>0.12010237358908693</v>
      </c>
      <c r="N68" s="586" t="str" cm="1">
        <f t="array" aca="1" ref="N68" ca="1">_xll.d.TestUtils_Equal(L68,M68)</f>
        <v>Ok</v>
      </c>
      <c r="O68" s="591">
        <f ca="1">12*($C30^(-1/(12*YEARFRAC($B$29,$B68,3)))-1)</f>
        <v>0.11891998374379664</v>
      </c>
      <c r="P68" s="591">
        <f t="array" aca="1" ref="P68" ca="1">_xll.d.Curve_GetZeroRates($C$19,$B68,"NACM")</f>
        <v>0.11891998374379664</v>
      </c>
      <c r="Q68" s="586" t="str" cm="1">
        <f t="array" aca="1" ref="Q68" ca="1">_xll.d.TestUtils_Equal(O68,P68)</f>
        <v>Ok</v>
      </c>
      <c r="R68" s="591">
        <f ca="1"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aca="1" ref="T68" ca="1">_xll.d.TestUtils_Equal(R68,S68)</f>
        <v>Ok</v>
      </c>
    </row>
    <row r="69" spans="2:23" x14ac:dyDescent="0.25">
      <c r="B69" s="583">
        <f>B31</f>
        <v>44621</v>
      </c>
      <c r="C69" s="592">
        <f ca="1">-LN(C31)/YEARFRAC($B$29,B69,3)</f>
        <v>0.12498285035414584</v>
      </c>
      <c r="D69" s="592">
        <f ca="1"/>
        <v>0.12498285035414587</v>
      </c>
      <c r="E69" s="585" t="str" cm="1">
        <f t="array" aca="1" ref="E69" ca="1">_xll.d.TestUtils_Equal(C69,D69)</f>
        <v>Ok</v>
      </c>
      <c r="F69" s="592">
        <f ca="1"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aca="1" ref="H69" ca="1">_xll.d.TestUtils_Equal(F69,G69)</f>
        <v>Ok</v>
      </c>
      <c r="I69" s="592">
        <f ca="1"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aca="1" ref="K69" ca="1">_xll.d.TestUtils_Equal(I69,J69)</f>
        <v>Ok</v>
      </c>
      <c r="L69" s="592">
        <f ca="1">4*($C31^(-1/(4*YEARFRAC($B$29,$B69,3)))-1)</f>
        <v>0.12695593600029031</v>
      </c>
      <c r="M69" s="592" cm="1">
        <f t="array" aca="1" ref="M69" ca="1">_xll.d.Curve_GetZeroRates($C$19,$B69,"NACQ")</f>
        <v>0.12695593600029031</v>
      </c>
      <c r="N69" s="585" t="str" cm="1">
        <f t="array" aca="1" ref="N69" ca="1">_xll.d.TestUtils_Equal(L69,M69)</f>
        <v>Ok</v>
      </c>
      <c r="O69" s="592">
        <f ca="1">12*($C31^(-1/(12*YEARFRAC($B$29,$B69,3)))-1)</f>
        <v>0.12563597891789247</v>
      </c>
      <c r="P69" s="592" cm="1">
        <f t="array" aca="1" ref="P69" ca="1">_xll.d.Curve_GetZeroRates($C$19,$B69,"NACM")</f>
        <v>0.1256359789178898</v>
      </c>
      <c r="Q69" s="585" t="str" cm="1">
        <f t="array" aca="1" ref="Q69" ca="1">_xll.d.TestUtils_Equal(O69,P69)</f>
        <v>Ok</v>
      </c>
      <c r="R69" s="592">
        <f ca="1"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aca="1" ref="T69" ca="1">_xll.d.TestUtils_Equal(R69,S69)</f>
        <v>Ok</v>
      </c>
    </row>
    <row r="70" spans="2:23" x14ac:dyDescent="0.25">
      <c r="B70" s="583">
        <f>B32</f>
        <v>44652</v>
      </c>
      <c r="C70" s="592">
        <f ca="1">-LN(C32)/YEARFRAC($B$29,B70,3)</f>
        <v>0.12352900813242923</v>
      </c>
      <c r="D70" s="592">
        <f ca="1"/>
        <v>0.12352900813242955</v>
      </c>
      <c r="E70" s="585" t="str" cm="1">
        <f t="array" aca="1" ref="E70" ca="1">_xll.d.TestUtils_Equal(C70,D70)</f>
        <v>Ok</v>
      </c>
      <c r="F70" s="592">
        <f ca="1">1*($C32^(-1/(1*YEARFRAC($B$29,$B70,3)))-1)</f>
        <v>0.13148282626969365</v>
      </c>
      <c r="G70" s="592" cm="1">
        <f t="array" aca="1" ref="G70" ca="1">_xll.d.Curve_GetZeroRates($C$19,$B70,"NACA")</f>
        <v>0.1314828262696941</v>
      </c>
      <c r="H70" s="585" t="str" cm="1">
        <f t="array" aca="1" ref="H70" ca="1">_xll.d.TestUtils_Equal(F70,G70)</f>
        <v>Ok</v>
      </c>
      <c r="I70" s="592">
        <f ca="1"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aca="1" ref="K70" ca="1">_xll.d.TestUtils_Equal(I70,J70)</f>
        <v>Ok</v>
      </c>
      <c r="L70" s="592">
        <f ca="1">4*($C32^(-1/(4*YEARFRAC($B$29,$B70,3)))-1)</f>
        <v>0.12545622286335512</v>
      </c>
      <c r="M70" s="592" cm="1">
        <f t="array" aca="1" ref="M70" ca="1">_xll.d.Curve_GetZeroRates($C$19,$B70,"NACQ")</f>
        <v>0.12545622286335512</v>
      </c>
      <c r="N70" s="585" t="str" cm="1">
        <f t="array" aca="1" ref="N70" ca="1">_xll.d.TestUtils_Equal(L70,M70)</f>
        <v>Ok</v>
      </c>
      <c r="O70" s="592">
        <f ca="1">12*($C32^(-1/(12*YEARFRAC($B$29,$B70,3)))-1)</f>
        <v>0.12416700444279183</v>
      </c>
      <c r="P70" s="592" cm="1">
        <f t="array" aca="1" ref="P70" ca="1">_xll.d.Curve_GetZeroRates($C$19,$B70,"NACM")</f>
        <v>0.12416700444279183</v>
      </c>
      <c r="Q70" s="585" t="str" cm="1">
        <f t="array" aca="1" ref="Q70" ca="1">_xll.d.TestUtils_Equal(O70,P70)</f>
        <v>Ok</v>
      </c>
      <c r="R70" s="592">
        <f ca="1"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aca="1" ref="T70" ca="1">_xll.d.TestUtils_Equal(R70,S70)</f>
        <v>Ok</v>
      </c>
    </row>
    <row r="71" spans="2:23" x14ac:dyDescent="0.25">
      <c r="B71" s="583">
        <f>B33</f>
        <v>44682</v>
      </c>
      <c r="C71" s="592">
        <f ca="1">-LN(C33)/YEARFRAC($B$29,B71,3)</f>
        <v>0.12416689999910947</v>
      </c>
      <c r="D71" s="592">
        <f ca="1"/>
        <v>0.12416689999910957</v>
      </c>
      <c r="E71" s="585" t="str" cm="1">
        <f t="array" aca="1" ref="E71" ca="1">_xll.d.TestUtils_Equal(C71,D71)</f>
        <v>Ok</v>
      </c>
      <c r="F71" s="592">
        <f ca="1"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aca="1" ref="H71" ca="1">_xll.d.TestUtils_Equal(F71,G71)</f>
        <v>Ok</v>
      </c>
      <c r="I71" s="592">
        <f ca="1"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aca="1" ref="K71" ca="1">_xll.d.TestUtils_Equal(I71,J71)</f>
        <v>Ok</v>
      </c>
      <c r="L71" s="592">
        <f ca="1">4*($C33^(-1/(4*YEARFRAC($B$29,$B71,3)))-1)</f>
        <v>0.12611417406740255</v>
      </c>
      <c r="M71" s="592" cm="1">
        <f t="array" aca="1" ref="M71" ca="1">_xll.d.Curve_GetZeroRates($C$19,$B71,"NACQ")</f>
        <v>0.12611417406740344</v>
      </c>
      <c r="N71" s="585" t="str" cm="1">
        <f t="array" aca="1" ref="N71" ca="1">_xll.d.TestUtils_Equal(L71,M71)</f>
        <v>Ok</v>
      </c>
      <c r="O71" s="592">
        <f ca="1">12*($C33^(-1/(12*YEARFRAC($B$29,$B71,3)))-1)</f>
        <v>0.12481151386647849</v>
      </c>
      <c r="P71" s="592" cm="1">
        <f t="array" aca="1" ref="P71" ca="1">_xll.d.Curve_GetZeroRates($C$19,$B71,"NACM")</f>
        <v>0.12481151386647849</v>
      </c>
      <c r="Q71" s="585" t="str" cm="1">
        <f t="array" aca="1" ref="Q71" ca="1">_xll.d.TestUtils_Equal(O71,P71)</f>
        <v>Ok</v>
      </c>
      <c r="R71" s="592">
        <f ca="1"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aca="1" ref="T71" ca="1">_xll.d.TestUtils_Equal(R71,S71)</f>
        <v>Ok</v>
      </c>
    </row>
    <row r="72" spans="2:23" x14ac:dyDescent="0.25">
      <c r="B72" s="584">
        <f>B34</f>
        <v>46022</v>
      </c>
      <c r="C72" s="593">
        <f ca="1">-LN(C34)/YEARFRAC($B$29,B72,3)</f>
        <v>0.11950895023574995</v>
      </c>
      <c r="D72" s="593">
        <f ca="1"/>
        <v>0.11950895023574998</v>
      </c>
      <c r="E72" s="587" t="str" cm="1">
        <f t="array" aca="1" ref="E72" ca="1">_xll.d.TestUtils_Equal(C72,D72)</f>
        <v>Ok</v>
      </c>
      <c r="F72" s="593">
        <f ca="1"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aca="1" ref="H72" ca="1">_xll.d.TestUtils_Equal(F72,G72)</f>
        <v>Ok</v>
      </c>
      <c r="I72" s="593">
        <f ca="1"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aca="1" ref="K72" ca="1">_xll.d.TestUtils_Equal(I72,J72)</f>
        <v>Ok</v>
      </c>
      <c r="L72" s="593">
        <f ca="1">4*($C34^(-1/(4*YEARFRAC($B$29,$B72,3)))-1)</f>
        <v>0.1213121624159994</v>
      </c>
      <c r="M72" s="593" cm="1">
        <f t="array" aca="1" ref="M72" ca="1">_xll.d.Curve_GetZeroRates($C$19,$B72,"NACQ")</f>
        <v>0.1213121624159994</v>
      </c>
      <c r="N72" s="587" t="str" cm="1">
        <f t="array" aca="1" ref="N72" ca="1">_xll.d.TestUtils_Equal(L72,M72)</f>
        <v>Ok</v>
      </c>
      <c r="O72" s="593">
        <f ca="1">12*($C34^(-1/(12*YEARFRAC($B$29,$B72,3)))-1)</f>
        <v>0.12010603026150424</v>
      </c>
      <c r="P72" s="593" cm="1">
        <f t="array" aca="1" ref="P72" ca="1">_xll.d.Curve_GetZeroRates($C$19,$B72,"NACM")</f>
        <v>0.12010603026150424</v>
      </c>
      <c r="Q72" s="587" t="str" cm="1">
        <f t="array" aca="1" ref="Q72" ca="1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aca="1" ref="T72" ca="1">_xll.d.TestUtils_Equal(R72,S72)</f>
        <v>Ok</v>
      </c>
    </row>
    <row r="75" spans="2:23" ht="18.75" x14ac:dyDescent="0.3">
      <c r="B75" s="3" t="s">
        <v>494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aca="1" ref="C77" ca="1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496</v>
      </c>
      <c r="E81" s="570" t="s">
        <v>497</v>
      </c>
      <c r="F81" s="570" t="s">
        <v>495</v>
      </c>
      <c r="G81" s="570" t="s">
        <v>498</v>
      </c>
      <c r="H81" s="570" t="s">
        <v>84</v>
      </c>
      <c r="I81" s="570" t="s">
        <v>495</v>
      </c>
      <c r="J81" s="570" t="s">
        <v>498</v>
      </c>
      <c r="K81" s="570" t="s">
        <v>84</v>
      </c>
      <c r="L81" s="570" t="s">
        <v>495</v>
      </c>
      <c r="M81" s="570" t="s">
        <v>498</v>
      </c>
      <c r="N81" s="570" t="s">
        <v>84</v>
      </c>
      <c r="O81" s="570" t="s">
        <v>495</v>
      </c>
      <c r="P81" s="570" t="s">
        <v>498</v>
      </c>
      <c r="Q81" s="570" t="s">
        <v>84</v>
      </c>
      <c r="R81" s="570" t="s">
        <v>495</v>
      </c>
      <c r="S81" s="570" t="s">
        <v>498</v>
      </c>
      <c r="T81" s="570" t="s">
        <v>84</v>
      </c>
      <c r="U81" s="570" t="s">
        <v>495</v>
      </c>
      <c r="V81" s="570" t="s">
        <v>498</v>
      </c>
      <c r="W81" s="151" t="s">
        <v>84</v>
      </c>
    </row>
    <row r="82" spans="2:23" x14ac:dyDescent="0.25">
      <c r="B82" s="576">
        <f ca="1">B68</f>
        <v>44593</v>
      </c>
      <c r="C82" s="577">
        <f ca="1">EDATE(B82,3)</f>
        <v>44682</v>
      </c>
      <c r="D82" s="580" cm="1">
        <f t="array" aca="1" ref="D82" ca="1">_xll.d.Curve_GetDiscountFactors($C$19,B82)</f>
        <v>0.99</v>
      </c>
      <c r="E82" s="580" cm="1">
        <f t="array" aca="1" ref="E82" ca="1">_xll.d.Curve_GetDiscountFactors($C$19,C82)</f>
        <v>0.96</v>
      </c>
      <c r="F82" s="573" cm="1">
        <f t="array" aca="1" ref="F82" ca="1">_xll.d.IR_DiscountFactorsToForwardRate($F$80,D82,E82,YEARFRAC(B82,C82,3))</f>
        <v>0.1261983754310686</v>
      </c>
      <c r="G82" s="573">
        <f t="array" aca="1" ref="G82:G86" ca="1">_xll.d.Curve_GetForwardRates($C$19,B82:B86,C82:C86,F80)</f>
        <v>0.12619837543106849</v>
      </c>
      <c r="H82" s="567" t="str" cm="1">
        <f t="array" aca="1" ref="H82" ca="1">_xll.d.TestUtils_Equal(F82,G82)</f>
        <v>Ok</v>
      </c>
      <c r="I82" s="573" cm="1">
        <f t="array" aca="1" ref="I82" ca="1">_xll.d.IR_DiscountFactorsToForwardRate($I$80,D82,E82,YEARFRAC(B82,C82,3))</f>
        <v>0.13450720431718377</v>
      </c>
      <c r="J82" s="573">
        <f t="array" aca="1" ref="J82:J86" ca="1">_xll.d.Curve_GetForwardRates($C$19,B82:B86,C82:C86,I80)</f>
        <v>0.13450720431718355</v>
      </c>
      <c r="K82" s="567" t="str" cm="1">
        <f t="array" aca="1" ref="K82" ca="1">_xll.d.TestUtils_Equal(I82,J82)</f>
        <v>Ok</v>
      </c>
      <c r="L82" s="573" cm="1">
        <f t="array" aca="1" ref="L82" ca="1">_xll.d.IR_DiscountFactorsToForwardRate($L$80,D82,E82,YEARFRAC(B82,C82,3))</f>
        <v>0.13026496409923993</v>
      </c>
      <c r="M82" s="573" cm="1">
        <f t="array" aca="1" ref="M82:M86" ca="1">_xll.d.Curve_GetForwardRates($C$19,B82:B86,C82:C86,L80)</f>
        <v>0.13026496409923949</v>
      </c>
      <c r="N82" s="567" t="str" cm="1">
        <f t="array" aca="1" ref="N82" ca="1">_xll.d.TestUtils_Equal(L82,M82)</f>
        <v>Ok</v>
      </c>
      <c r="O82" s="573" cm="1">
        <f t="array" aca="1" ref="O82" ca="1">_xll.d.IR_DiscountFactorsToForwardRate($O$80,D82,E82,YEARFRAC(B82,C82,3))</f>
        <v>0.12821023117693464</v>
      </c>
      <c r="P82" s="573" cm="1">
        <f t="array" aca="1" ref="P82:P86" ca="1">_xll.d.Curve_GetForwardRates($C$19,B82:B86,C82:C86,O80)</f>
        <v>0.12821023117693464</v>
      </c>
      <c r="Q82" s="567" t="str" cm="1">
        <f t="array" aca="1" ref="Q82" ca="1">_xll.d.TestUtils_Equal(O82,P82)</f>
        <v>Ok</v>
      </c>
      <c r="R82" s="573" cm="1">
        <f t="array" aca="1" ref="R82" ca="1">_xll.d.IR_DiscountFactorsToForwardRate($R$80,D82,E82,YEARFRAC(B82,C82,3))</f>
        <v>0.12686429234424779</v>
      </c>
      <c r="S82" s="573" cm="1">
        <f t="array" aca="1" ref="S82:S86" ca="1">_xll.d.Curve_GetForwardRates($C$19,B82:B86,C82:C86,R80)</f>
        <v>0.12686429234424779</v>
      </c>
      <c r="T82" s="567" t="str" cm="1">
        <f t="array" aca="1" ref="T82" ca="1">_xll.d.TestUtils_Equal(R82,S82)</f>
        <v>Ok</v>
      </c>
      <c r="U82" s="573" cm="1">
        <f t="array" aca="1" ref="U82" ca="1">_xll.d.IR_DiscountFactorsToForwardRate($U$80,D82,E82,YEARFRAC(B82,C82,3))</f>
        <v>0.12816011235955058</v>
      </c>
      <c r="V82" s="573" cm="1">
        <f t="array" aca="1" ref="V82:V86" ca="1">_xll.d.Curve_GetForwardRates($C$19,B82:B86,C82:C86,U80)</f>
        <v>0.12816011235955058</v>
      </c>
      <c r="W82" s="571" t="str" cm="1">
        <f t="array" aca="1" ref="W82" ca="1">_xll.d.TestUtils_Equal(U82,V82)</f>
        <v>Ok</v>
      </c>
    </row>
    <row r="83" spans="2:23" x14ac:dyDescent="0.25">
      <c r="B83" s="564">
        <f ca="1">B69</f>
        <v>44621</v>
      </c>
      <c r="C83" s="578">
        <f ca="1">EDATE(B83,3)</f>
        <v>44713</v>
      </c>
      <c r="D83" s="581" cm="1">
        <f t="array" aca="1" ref="D83" ca="1">_xll.d.Curve_GetDiscountFactors($C$19,B83)</f>
        <v>0.98</v>
      </c>
      <c r="E83" s="581" cm="1">
        <f t="array" aca="1" ref="E83" ca="1">_xll.d.Curve_GetDiscountFactors($C$19,C83)</f>
        <v>0.95033887992895882</v>
      </c>
      <c r="F83" s="574" cm="1">
        <f t="array" aca="1" ref="F83" ca="1">_xll.d.IR_DiscountFactorsToForwardRate($F$80,D83,E83,YEARFRAC(B83,C83,3))</f>
        <v>0.12193354632163705</v>
      </c>
      <c r="G83" s="574">
        <f ca="1"/>
        <v>0.12193354632163736</v>
      </c>
      <c r="H83" s="566" t="str" cm="1">
        <f t="array" aca="1" ref="H83" ca="1">_xll.d.TestUtils_Equal(F83,G83)</f>
        <v>Ok</v>
      </c>
      <c r="I83" s="574" cm="1">
        <f t="array" aca="1" ref="I83" ca="1">_xll.d.IR_DiscountFactorsToForwardRate($I$80,D83,E83,YEARFRAC(B83,C83,3))</f>
        <v>0.12967902795910313</v>
      </c>
      <c r="J83" s="574">
        <f ca="1"/>
        <v>0.12967902795910358</v>
      </c>
      <c r="K83" s="566" t="str" cm="1">
        <f t="array" aca="1" ref="K83" ca="1">_xll.d.TestUtils_Equal(I83,J83)</f>
        <v>Ok</v>
      </c>
      <c r="L83" s="574" cm="1">
        <f t="array" aca="1" ref="L83" ca="1">_xll.d.IR_DiscountFactorsToForwardRate($L$80,D83,E83,YEARFRAC(B83,C83,3))</f>
        <v>0.12572719600526661</v>
      </c>
      <c r="M83" s="574">
        <f ca="1"/>
        <v>0.12572719600526661</v>
      </c>
      <c r="N83" s="566" t="str" cm="1">
        <f t="array" aca="1" ref="N83" ca="1">_xll.d.TestUtils_Equal(L83,M83)</f>
        <v>Ok</v>
      </c>
      <c r="O83" s="574" cm="1">
        <f t="array" aca="1" ref="O83" ca="1">_xll.d.IR_DiscountFactorsToForwardRate($O$80,D83,E83,YEARFRAC(B83,C83,3))</f>
        <v>0.12381104902275197</v>
      </c>
      <c r="P83" s="574">
        <f ca="1"/>
        <v>0.12381104902275286</v>
      </c>
      <c r="Q83" s="566" t="str" cm="1">
        <f t="array" aca="1" ref="Q83" ca="1">_xll.d.TestUtils_Equal(O83,P83)</f>
        <v>Ok</v>
      </c>
      <c r="R83" s="574" cm="1">
        <f t="array" aca="1" ref="R83" ca="1">_xll.d.IR_DiscountFactorsToForwardRate($R$80,D83,E83,YEARFRAC(B83,C83,3))</f>
        <v>0.12255514114432575</v>
      </c>
      <c r="S83" s="574">
        <f ca="1"/>
        <v>0.12255514114432575</v>
      </c>
      <c r="T83" s="566" t="str" cm="1">
        <f t="array" aca="1" ref="T83" ca="1">_xll.d.TestUtils_Equal(R83,S83)</f>
        <v>Ok</v>
      </c>
      <c r="U83" s="574" cm="1">
        <f t="array" aca="1" ref="U83" ca="1">_xll.d.IR_DiscountFactorsToForwardRate($U$80,D83,E83,YEARFRAC(B83,C83,3))</f>
        <v>0.12382663945714034</v>
      </c>
      <c r="V83" s="574">
        <f ca="1"/>
        <v>0.12382663945714034</v>
      </c>
      <c r="W83" s="572" t="str" cm="1">
        <f t="array" aca="1" ref="W83" ca="1">_xll.d.TestUtils_Equal(U83,V83)</f>
        <v>Ok</v>
      </c>
    </row>
    <row r="84" spans="2:23" x14ac:dyDescent="0.25">
      <c r="B84" s="564">
        <f ca="1">B70</f>
        <v>44652</v>
      </c>
      <c r="C84" s="578">
        <f ca="1">EDATE(B84,3)</f>
        <v>44743</v>
      </c>
      <c r="D84" s="581" cm="1">
        <f t="array" aca="1" ref="D84" ca="1">_xll.d.Curve_GetDiscountFactors($C$19,B84)</f>
        <v>0.97</v>
      </c>
      <c r="E84" s="581" cm="1">
        <f t="array" aca="1" ref="E84" ca="1">_xll.d.Curve_GetDiscountFactors($C$19,C84)</f>
        <v>0.94108199131668513</v>
      </c>
      <c r="F84" s="574" cm="1">
        <f t="array" aca="1" ref="F84" ca="1">_xll.d.IR_DiscountFactorsToForwardRate($F$80,D84,E84,YEARFRAC(B84,C84,3))</f>
        <v>0.12139580563464189</v>
      </c>
      <c r="G84" s="574">
        <f ca="1"/>
        <v>0.12139580563464152</v>
      </c>
      <c r="H84" s="566" t="str" cm="1">
        <f t="array" aca="1" ref="H84" ca="1">_xll.d.TestUtils_Equal(F84,G84)</f>
        <v>Ok</v>
      </c>
      <c r="I84" s="574" cm="1">
        <f t="array" aca="1" ref="I84" ca="1">_xll.d.IR_DiscountFactorsToForwardRate($I$80,D84,E84,YEARFRAC(B84,C84,3))</f>
        <v>0.12907171688509589</v>
      </c>
      <c r="J84" s="574">
        <f ca="1"/>
        <v>0.12907171688509544</v>
      </c>
      <c r="K84" s="566" t="str" cm="1">
        <f t="array" aca="1" ref="K84" ca="1">_xll.d.TestUtils_Equal(I84,J84)</f>
        <v>Ok</v>
      </c>
      <c r="L84" s="574" cm="1">
        <f t="array" aca="1" ref="L84" ca="1">_xll.d.IR_DiscountFactorsToForwardRate($L$80,D84,E84,YEARFRAC(B84,C84,3))</f>
        <v>0.12515572783275886</v>
      </c>
      <c r="M84" s="574">
        <f ca="1"/>
        <v>0.12515572783275841</v>
      </c>
      <c r="N84" s="566" t="str" cm="1">
        <f t="array" aca="1" ref="N84" ca="1">_xll.d.TestUtils_Equal(L84,M84)</f>
        <v>Ok</v>
      </c>
      <c r="O84" s="574" cm="1">
        <f t="array" aca="1" ref="O84" ca="1">_xll.d.IR_DiscountFactorsToForwardRate($O$80,D84,E84,YEARFRAC(B84,C84,3))</f>
        <v>0.1232567010388852</v>
      </c>
      <c r="P84" s="574">
        <f ca="1"/>
        <v>0.1232567010388852</v>
      </c>
      <c r="Q84" s="566" t="str" cm="1">
        <f t="array" aca="1" ref="Q84" ca="1">_xll.d.TestUtils_Equal(O84,P84)</f>
        <v>Ok</v>
      </c>
      <c r="R84" s="574" cm="1">
        <f t="array" aca="1" ref="R84" ca="1">_xll.d.IR_DiscountFactorsToForwardRate($R$80,D84,E84,YEARFRAC(B84,C84,3))</f>
        <v>0.12201192072159373</v>
      </c>
      <c r="S84" s="574">
        <f ca="1"/>
        <v>0.12201192072159373</v>
      </c>
      <c r="T84" s="566" t="str" cm="1">
        <f t="array" aca="1" ref="T84" ca="1">_xll.d.TestUtils_Equal(R84,S84)</f>
        <v>Ok</v>
      </c>
      <c r="U84" s="574" cm="1">
        <f t="array" aca="1" ref="U84" ca="1">_xll.d.IR_DiscountFactorsToForwardRate($U$80,D84,E84,YEARFRAC(B84,C84,3))</f>
        <v>0.12325155100054225</v>
      </c>
      <c r="V84" s="574">
        <f ca="1"/>
        <v>0.12325155100054225</v>
      </c>
      <c r="W84" s="572" t="str" cm="1">
        <f t="array" aca="1" ref="W84" ca="1">_xll.d.TestUtils_Equal(U84,V84)</f>
        <v>Ok</v>
      </c>
    </row>
    <row r="85" spans="2:23" x14ac:dyDescent="0.25">
      <c r="B85" s="564">
        <f ca="1">B71</f>
        <v>44682</v>
      </c>
      <c r="C85" s="578">
        <f ca="1">EDATE(B85,3)</f>
        <v>44774</v>
      </c>
      <c r="D85" s="581" cm="1">
        <f t="array" aca="1" ref="D85" ca="1">_xll.d.Curve_GetDiscountFactors($C$19,B85)</f>
        <v>0.96</v>
      </c>
      <c r="E85" s="581" cm="1">
        <f t="array" aca="1" ref="E85" ca="1">_xll.d.Curve_GetDiscountFactors($C$19,C85)</f>
        <v>0.93161125578042991</v>
      </c>
      <c r="F85" s="574" cm="1">
        <f t="array" aca="1" ref="F85" ca="1">_xll.d.IR_DiscountFactorsToForwardRate($F$80,D85,E85,YEARFRAC(B85,C85,3))</f>
        <v>0.11909182040619554</v>
      </c>
      <c r="G85" s="574">
        <f ca="1"/>
        <v>0.11909182040619548</v>
      </c>
      <c r="H85" s="566" t="str" cm="1">
        <f t="array" aca="1" ref="H85" ca="1">_xll.d.TestUtils_Equal(F85,G85)</f>
        <v>Ok</v>
      </c>
      <c r="I85" s="574" cm="1">
        <f t="array" aca="1" ref="I85" ca="1">_xll.d.IR_DiscountFactorsToForwardRate($I$80,D85,E85,YEARFRAC(B85,C85,3))</f>
        <v>0.12647334678012689</v>
      </c>
      <c r="J85" s="574">
        <f ca="1"/>
        <v>0.12647334678012689</v>
      </c>
      <c r="K85" s="566" t="str" cm="1">
        <f t="array" aca="1" ref="K85" ca="1">_xll.d.TestUtils_Equal(I85,J85)</f>
        <v>Ok</v>
      </c>
      <c r="L85" s="574" cm="1">
        <f t="array" aca="1" ref="L85" ca="1">_xll.d.IR_DiscountFactorsToForwardRate($L$80,D85,E85,YEARFRAC(B85,C85,3))</f>
        <v>0.1227089737221414</v>
      </c>
      <c r="M85" s="574">
        <f ca="1"/>
        <v>0.1227089737221414</v>
      </c>
      <c r="N85" s="566" t="str" cm="1">
        <f t="array" aca="1" ref="N85" ca="1">_xll.d.TestUtils_Equal(L85,M85)</f>
        <v>Ok</v>
      </c>
      <c r="O85" s="574" cm="1">
        <f t="array" aca="1" ref="O85" ca="1">_xll.d.IR_DiscountFactorsToForwardRate($O$80,D85,E85,YEARFRAC(B85,C85,3))</f>
        <v>0.12088240426454444</v>
      </c>
      <c r="P85" s="574">
        <f ca="1"/>
        <v>0.12088240426454444</v>
      </c>
      <c r="Q85" s="566" t="str" cm="1">
        <f t="array" aca="1" ref="Q85" ca="1">_xll.d.TestUtils_Equal(O85,P85)</f>
        <v>Ok</v>
      </c>
      <c r="R85" s="574" cm="1">
        <f t="array" aca="1" ref="R85" ca="1">_xll.d.IR_DiscountFactorsToForwardRate($R$80,D85,E85,YEARFRAC(B85,C85,3))</f>
        <v>0.11968473277032032</v>
      </c>
      <c r="S85" s="574">
        <f ca="1"/>
        <v>0.11968473277032032</v>
      </c>
      <c r="T85" s="566" t="str" cm="1">
        <f t="array" aca="1" ref="T85" ca="1">_xll.d.TestUtils_Equal(R85,S85)</f>
        <v>Ok</v>
      </c>
      <c r="U85" s="574" cm="1">
        <f t="array" aca="1" ref="U85" ca="1">_xll.d.IR_DiscountFactorsToForwardRate($U$80,D85,E85,YEARFRAC(B85,C85,3))</f>
        <v>0.12089726939132452</v>
      </c>
      <c r="V85" s="574">
        <f ca="1"/>
        <v>0.12089726939132452</v>
      </c>
      <c r="W85" s="572" t="str" cm="1">
        <f t="array" aca="1" ref="W85" ca="1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f ca="1"/>
        <v>0.11909182040619463</v>
      </c>
      <c r="H86" s="568" t="str" cm="1">
        <f t="array" aca="1" ref="H86" ca="1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f ca="1"/>
        <v>0.12647334678012601</v>
      </c>
      <c r="K86" s="568" t="str" cm="1">
        <f t="array" aca="1" ref="K86" ca="1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f ca="1"/>
        <v>0.12270897372214051</v>
      </c>
      <c r="N86" s="568" t="str" cm="1">
        <f t="array" aca="1" ref="N86" ca="1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f ca="1"/>
        <v>0.12088240426454355</v>
      </c>
      <c r="Q86" s="568" t="str" cm="1">
        <f t="array" aca="1" ref="Q86" ca="1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f ca="1"/>
        <v>0.11968473277032032</v>
      </c>
      <c r="T86" s="568" t="str" cm="1">
        <f t="array" aca="1" ref="T86" ca="1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f ca="1"/>
        <v>0.12089726939132364</v>
      </c>
      <c r="W86" s="562" t="str" cm="1">
        <f t="array" aca="1" ref="W86" ca="1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416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aca="1" ref="C6" ca="1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 ca="1"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 ca="1"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aca="1" ref="C21" ca="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aca="1" ref="N21" ca="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aca="1" ref="I23" ca="1">_xll.d.Curve_GetDiscountFactors($D$24,G23)</f>
        <v>#VALUE!</v>
      </c>
      <c r="J23" s="234" t="str" cm="1">
        <f t="array" aca="1" ref="J23" ca="1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@@ZARCurve::11:53:26</v>
      </c>
      <c r="E24" s="226"/>
      <c r="G24" s="246">
        <f ca="1">EDATE(G23,1)</f>
        <v>44743</v>
      </c>
      <c r="H24" s="256">
        <f ca="1">1/(1+YEARFRAC($G$23,G24,3)*C35)</f>
        <v>0.99184782608695643</v>
      </c>
      <c r="I24" s="256" t="e" cm="1">
        <f t="array" aca="1" ref="I24" ca="1">_xll.d.Curve_GetDiscountFactors($D$24,G24)</f>
        <v>#VALUE!</v>
      </c>
      <c r="J24" s="238" t="str" cm="1">
        <f t="array" aca="1" ref="J24" ca="1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@@USDOIS::11:53:26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 ca="1">1/(1+YEARFRAC($G$23,G25,3)*C36)</f>
        <v>0.98356238210724867</v>
      </c>
      <c r="I25" s="256" t="e" cm="1">
        <f t="array" aca="1" ref="I25" ca="1">_xll.d.Curve_GetDiscountFactors($D$24,G25)</f>
        <v>#VALUE!</v>
      </c>
      <c r="J25" s="238" t="str" cm="1">
        <f t="array" aca="1" ref="J25" ca="1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 ca="1">EDATE(G23,3)</f>
        <v>44805</v>
      </c>
      <c r="H26" s="256">
        <f ca="1">1/(1+YEARFRAC($G$23,G26,3)*C37)</f>
        <v>0.97541421699625863</v>
      </c>
      <c r="I26" s="256" t="e" cm="1">
        <f t="array" aca="1" ref="I26" ca="1">_xll.d.Curve_GetDiscountFactors($D$24,G26)</f>
        <v>#VALUE!</v>
      </c>
      <c r="J26" s="238" t="str" cm="1">
        <f t="array" aca="1" ref="J26" ca="1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aca="1" ref="U26" ca="1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 ca="1">EDATE(G23,6)</f>
        <v>44896</v>
      </c>
      <c r="H27" s="256">
        <f ca="1">H26*1/(1+YEARFRAC($G$26,G27,3)*C41)</f>
        <v>0.95168722053898536</v>
      </c>
      <c r="I27" s="256" t="e" cm="1">
        <f t="array" aca="1" ref="I27" ca="1">_xll.d.Curve_GetDiscountFactors($D$24,G27)</f>
        <v>#VALUE!</v>
      </c>
      <c r="J27" s="238" t="str" cm="1">
        <f t="array" aca="1" ref="J27" ca="1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aca="1" ref="U27" ca="1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 ca="1">EDATE(G23,9)</f>
        <v>44986</v>
      </c>
      <c r="H28" s="257">
        <f ca="1">H27*1/(1+C42*YEARFRAC(G27,G28,3))</f>
        <v>0.92878565640836808</v>
      </c>
      <c r="I28" s="257" t="e" cm="1">
        <f t="array" aca="1" ref="I28" ca="1">_xll.d.Curve_GetDiscountFactors($D$24,G28)</f>
        <v>#VALUE!</v>
      </c>
      <c r="J28" s="236" t="str" cm="1">
        <f t="array" aca="1" ref="J28" ca="1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aca="1" ref="U28" ca="1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aca="1" ref="U29" ca="1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416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 ca="1">EDATE(I10,1)</f>
        <v>44743</v>
      </c>
      <c r="J11">
        <f ca="1"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 ca="1">EDATE(I10,2)</f>
        <v>44774</v>
      </c>
      <c r="J12">
        <f ca="1"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 ca="1">EDATE(I10,3)</f>
        <v>44805</v>
      </c>
      <c r="J13">
        <f ca="1"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 ca="1">EDATE(I10,6)</f>
        <v>44896</v>
      </c>
      <c r="J14">
        <f ca="1"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 ca="1"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416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 ca="1"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416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aca="1" ref="C6" ca="1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 ca="1"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aca="1" ref="C20" ca="1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aca="1" ref="J22" ca="1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 ca="1">EDATE(G22,1)</f>
        <v>44743</v>
      </c>
      <c r="H23" s="256" t="e">
        <f ca="1">1/(1+YEARFRAC($G$22,G23,3)*#REF!)</f>
        <v>#REF!</v>
      </c>
      <c r="I23" s="256" t="e" cm="1">
        <f t="array" aca="1" ref="I23" ca="1">_xll.d.Curve_GetDiscountFactors($C$23,G23)</f>
        <v>#VALUE!</v>
      </c>
      <c r="J23" s="238" t="str" cm="1">
        <f t="array" aca="1" ref="J23" ca="1">_xll.d.TestUtils_Equal(H23,I23,0.00001)</f>
        <v>Error</v>
      </c>
    </row>
    <row r="24" spans="2:10" x14ac:dyDescent="0.25">
      <c r="G24" s="246">
        <f ca="1">EDATE(G22,2)</f>
        <v>44774</v>
      </c>
      <c r="H24" s="256" t="e">
        <f ca="1">1/(1+YEARFRAC($G$22,G24,3)*#REF!)</f>
        <v>#REF!</v>
      </c>
      <c r="I24" s="256" t="e" cm="1">
        <f t="array" aca="1" ref="I24" ca="1">_xll.d.Curve_GetDiscountFactors($C$23,G24)</f>
        <v>#VALUE!</v>
      </c>
      <c r="J24" s="238" t="str" cm="1">
        <f t="array" aca="1" ref="J24" ca="1">_xll.d.TestUtils_Equal(H24,I24,0.00001)</f>
        <v>Error</v>
      </c>
    </row>
    <row r="25" spans="2:10" x14ac:dyDescent="0.25">
      <c r="G25" s="246">
        <f ca="1">EDATE(G22,3)</f>
        <v>44805</v>
      </c>
      <c r="H25" s="256" t="e">
        <f ca="1">1/(1+YEARFRAC($G$22,G25,3)*#REF!)</f>
        <v>#REF!</v>
      </c>
      <c r="I25" s="256" t="e" cm="1">
        <f t="array" aca="1" ref="I25" ca="1">_xll.d.Curve_GetDiscountFactors($C$23,G25)</f>
        <v>#VALUE!</v>
      </c>
      <c r="J25" s="238" t="str" cm="1">
        <f t="array" aca="1" ref="J25" ca="1">_xll.d.TestUtils_Equal(H25,I25,0.00001)</f>
        <v>Error</v>
      </c>
    </row>
    <row r="26" spans="2:10" x14ac:dyDescent="0.25">
      <c r="B26" s="12" t="s">
        <v>222</v>
      </c>
      <c r="C26" s="13"/>
      <c r="G26" s="246">
        <f ca="1">EDATE(G22,6)</f>
        <v>44896</v>
      </c>
      <c r="H26" s="256" t="e">
        <f ca="1">H25*1/(1+YEARFRAC($G$25,G26,3)*#REF!)</f>
        <v>#REF!</v>
      </c>
      <c r="I26" s="256" t="e" cm="1">
        <f t="array" aca="1" ref="I26" ca="1">_xll.d.Curve_GetDiscountFactors($C$23,G26)</f>
        <v>#VALUE!</v>
      </c>
      <c r="J26" s="238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 ca="1"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aca="1" ref="J27" ca="1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416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aca="1" ref="C4" ca="1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 ca="1"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 ca="1"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 ca="1"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 ca="1"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 ca="1"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 ca="1"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 ca="1"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 ca="1"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 ca="1">C197</f>
        <v>Ok</v>
      </c>
    </row>
    <row r="16" spans="2:23" x14ac:dyDescent="0.25">
      <c r="B16" s="213" t="s">
        <v>191</v>
      </c>
      <c r="C16" s="177" t="str">
        <f ca="1"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aca="1" ref="C21" ca="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aca="1" ref="C27" ca="1">_xll.d.TestUtils_IsTrue(C32="OK")</f>
        <v>Ok</v>
      </c>
      <c r="E27" s="59" t="s">
        <v>126</v>
      </c>
      <c r="F27" s="177" t="str" cm="1">
        <f t="array" aca="1" ref="F27" ca="1">_xll.d.TestUtils_IsTrue(E35="OK")</f>
        <v>Ok</v>
      </c>
      <c r="J27" s="59" t="s">
        <v>126</v>
      </c>
      <c r="K27" s="177" t="str" cm="1">
        <f t="array" aca="1" ref="K27" ca="1">_xll.d.TestUtils_IsTrue(J32="OK")</f>
        <v>Ok</v>
      </c>
      <c r="O27" s="59" t="s">
        <v>126</v>
      </c>
      <c r="P27" s="177" t="str" cm="1">
        <f t="array" aca="1" ref="P27" ca="1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aca="1" ref="C43" ca="1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aca="1" ref="C49" ca="1">_xll.d.TestUtils_IsTrue(C54="ERROR")</f>
        <v>Ok</v>
      </c>
      <c r="E49" s="59" t="s">
        <v>126</v>
      </c>
      <c r="F49" s="177" t="str" cm="1">
        <f t="array" aca="1" ref="F49" ca="1">_xll.d.TestUtils_IsTrue(E54="ERROR")</f>
        <v>Ok</v>
      </c>
      <c r="J49" s="59" t="s">
        <v>126</v>
      </c>
      <c r="K49" s="177" t="str" cm="1">
        <f t="array" aca="1" ref="K49" ca="1">_xll.d.TestUtils_IsTrue(J54="ERROR")</f>
        <v>Ok</v>
      </c>
      <c r="O49" s="59" t="s">
        <v>126</v>
      </c>
      <c r="P49" s="177" t="str" cm="1">
        <f t="array" aca="1" ref="P49" ca="1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aca="1" ref="C65" ca="1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aca="1" ref="C71" ca="1">_xll.d.TestUtils_IsTrue(C76="WARNING")</f>
        <v>Ok</v>
      </c>
      <c r="E71" s="59" t="s">
        <v>126</v>
      </c>
      <c r="F71" s="177" t="str" cm="1">
        <f t="array" aca="1" ref="F71" ca="1">_xll.d.TestUtils_IsTrue(E76="WARNING")</f>
        <v>Ok</v>
      </c>
      <c r="J71" s="59" t="s">
        <v>126</v>
      </c>
      <c r="K71" s="177" t="str" cm="1">
        <f t="array" aca="1" ref="K71" ca="1">_xll.d.TestUtils_IsTrue(J76="WARNING")</f>
        <v>Ok</v>
      </c>
      <c r="O71" s="59" t="s">
        <v>126</v>
      </c>
      <c r="P71" s="177" t="str" cm="1">
        <f t="array" aca="1" ref="P71" ca="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aca="1" ref="C87" ca="1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aca="1" ref="C93" ca="1">_xll.d.TestUtils_IsTrue(C98="ERROR")</f>
        <v>Ok</v>
      </c>
      <c r="E93" s="59" t="s">
        <v>126</v>
      </c>
      <c r="F93" s="177" t="str" cm="1">
        <f t="array" aca="1" ref="F93" ca="1">_xll.d.TestUtils_IsTrue(E98="ERROR")</f>
        <v>Ok</v>
      </c>
      <c r="J93" s="59" t="s">
        <v>126</v>
      </c>
      <c r="K93" s="177" t="str" cm="1">
        <f t="array" aca="1" ref="K93" ca="1">_xll.d.TestUtils_IsTrue(J98="ERROR")</f>
        <v>Ok</v>
      </c>
      <c r="O93" s="59" t="s">
        <v>126</v>
      </c>
      <c r="P93" s="177" t="str" cm="1">
        <f t="array" aca="1" ref="P93" ca="1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aca="1" ref="C109" ca="1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aca="1" ref="C115" ca="1">_xll.d.TestUtils_IsTrue(C120="ERROR")</f>
        <v>Ok</v>
      </c>
      <c r="E115" s="59" t="s">
        <v>126</v>
      </c>
      <c r="F115" s="177" t="str" cm="1">
        <f t="array" aca="1" ref="F115" ca="1">_xll.d.TestUtils_IsTrue(E120="ERROR")</f>
        <v>Ok</v>
      </c>
      <c r="J115" s="59" t="s">
        <v>126</v>
      </c>
      <c r="K115" s="177" t="str" cm="1">
        <f t="array" aca="1" ref="K115" ca="1">_xll.d.TestUtils_IsTrue(J120="ERROR")</f>
        <v>Ok</v>
      </c>
      <c r="O115" s="59" t="s">
        <v>126</v>
      </c>
      <c r="P115" s="177" t="str" cm="1">
        <f t="array" aca="1" ref="P115" ca="1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aca="1" ref="C120" ca="1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aca="1" ref="C131" ca="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aca="1" ref="C137" ca="1">_xll.d.TestUtils_IsTrue(C142="OK")</f>
        <v>Ok</v>
      </c>
      <c r="E137" s="59" t="s">
        <v>126</v>
      </c>
      <c r="F137" s="177" t="str" cm="1">
        <f t="array" aca="1" ref="F137" ca="1">_xll.d.TestUtils_IsTrue(E142="OK")</f>
        <v>Ok</v>
      </c>
      <c r="J137" s="59" t="s">
        <v>126</v>
      </c>
      <c r="K137" s="177" t="str" cm="1">
        <f t="array" aca="1" ref="K137" ca="1">_xll.d.TestUtils_IsTrue(J142="OK")</f>
        <v>Ok</v>
      </c>
      <c r="O137" s="59" t="s">
        <v>126</v>
      </c>
      <c r="P137" s="177" t="str" cm="1">
        <f t="array" aca="1" ref="P137" ca="1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aca="1" ref="C153" ca="1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aca="1" ref="C159" ca="1">_xll.d.TestUtils_IsTrue(C164="WARNING")</f>
        <v>Ok</v>
      </c>
      <c r="E159" s="59" t="s">
        <v>126</v>
      </c>
      <c r="F159" s="177" t="str" cm="1">
        <f t="array" aca="1" ref="F159" ca="1">_xll.d.TestUtils_IsTrue(E164="WARNING")</f>
        <v>Ok</v>
      </c>
      <c r="J159" s="59" t="s">
        <v>126</v>
      </c>
      <c r="K159" s="177" t="str" cm="1">
        <f t="array" aca="1" ref="K159" ca="1">_xll.d.TestUtils_IsTrue(J164="WARNING")</f>
        <v>Ok</v>
      </c>
      <c r="O159" s="59" t="s">
        <v>126</v>
      </c>
      <c r="P159" s="177" t="str" cm="1">
        <f t="array" aca="1" ref="P159" ca="1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aca="1" ref="C175" ca="1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aca="1" ref="C181" ca="1">_xll.d.TestUtils_IsTrue(C186="OK")</f>
        <v>Ok</v>
      </c>
      <c r="E181" s="59" t="s">
        <v>126</v>
      </c>
      <c r="F181" s="177" t="str" cm="1">
        <f t="array" aca="1" ref="F181" ca="1">_xll.d.TestUtils_IsTrue(E186="OK")</f>
        <v>Ok</v>
      </c>
      <c r="J181" s="59" t="s">
        <v>126</v>
      </c>
      <c r="K181" s="177" t="str" cm="1">
        <f t="array" aca="1" ref="K181" ca="1">_xll.d.TestUtils_IsTrue(J186="OK")</f>
        <v>Ok</v>
      </c>
      <c r="O181" s="59" t="s">
        <v>126</v>
      </c>
      <c r="P181" s="177" t="str" cm="1">
        <f t="array" aca="1" ref="P181" ca="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aca="1" ref="E186" ca="1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aca="1" ref="C197" ca="1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aca="1" ref="C203" ca="1">_xll.d.TestUtils_IsTrue(C208="OK")</f>
        <v>Ok</v>
      </c>
      <c r="E203" s="59" t="s">
        <v>126</v>
      </c>
      <c r="F203" s="177" t="str" cm="1">
        <f t="array" aca="1" ref="F203" ca="1">_xll.d.TestUtils_IsTrue(E208="OK")</f>
        <v>Ok</v>
      </c>
      <c r="J203" s="59" t="s">
        <v>126</v>
      </c>
      <c r="K203" s="177" t="str" cm="1">
        <f t="array" aca="1" ref="K203" ca="1">_xll.d.TestUtils_IsTrue(J208="OK")</f>
        <v>Ok</v>
      </c>
      <c r="O203" s="59" t="s">
        <v>126</v>
      </c>
      <c r="P203" s="177" t="str" cm="1">
        <f t="array" aca="1" ref="P203" ca="1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aca="1" ref="C219" ca="1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aca="1" ref="C225" ca="1">_xll.d.TestUtils_IsTrue(C230="ERROR")</f>
        <v>Ok</v>
      </c>
      <c r="E225" s="59" t="s">
        <v>126</v>
      </c>
      <c r="F225" s="177" t="str" cm="1">
        <f t="array" aca="1" ref="F225" ca="1">_xll.d.TestUtils_IsTrue(F230="ERROR")</f>
        <v>Ok</v>
      </c>
      <c r="H225" s="59" t="s">
        <v>126</v>
      </c>
      <c r="I225" s="177" t="str" cm="1">
        <f t="array" aca="1" ref="I225" ca="1">_xll.d.TestUtils_IsTrue(_xll.d.TestUtils_Or(I230:I233)="ERROR")</f>
        <v>Ok</v>
      </c>
      <c r="K225" s="59" t="s">
        <v>126</v>
      </c>
      <c r="L225" s="177" t="str" cm="1">
        <f t="array" aca="1" ref="L225" ca="1">_xll.d.TestUtils_IsTrue(L230="ERROR")</f>
        <v>Ok</v>
      </c>
      <c r="N225" s="59" t="s">
        <v>126</v>
      </c>
      <c r="O225" s="177" t="str" cm="1">
        <f t="array" aca="1" ref="O225" ca="1">_xll.d.TestUtils_IsTrue(O230="ERROR")</f>
        <v>Ok</v>
      </c>
      <c r="Q225" s="59" t="s">
        <v>126</v>
      </c>
      <c r="R225" s="177" t="str" cm="1">
        <f t="array" aca="1" ref="R225" ca="1">_xll.d.TestUtils_IsTrue(R230="ERROR")</f>
        <v>Ok</v>
      </c>
      <c r="T225" s="59" t="s">
        <v>126</v>
      </c>
      <c r="U225" s="177" t="str" cm="1">
        <f t="array" aca="1" ref="U225" ca="1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aca="1" ref="O230" ca="1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416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Ok</v>
      </c>
      <c r="E4" s="147" t="s">
        <v>116</v>
      </c>
      <c r="F4" s="59"/>
    </row>
    <row r="5" spans="2:56" x14ac:dyDescent="0.25">
      <c r="E5" s="459" t="s">
        <v>491</v>
      </c>
      <c r="F5" s="460"/>
    </row>
    <row r="6" spans="2:56" x14ac:dyDescent="0.25">
      <c r="B6" s="203" t="s">
        <v>9</v>
      </c>
      <c r="C6" s="204" t="s">
        <v>10</v>
      </c>
      <c r="E6" s="461" t="s">
        <v>490</v>
      </c>
      <c r="F6" s="144"/>
    </row>
    <row r="7" spans="2:56" x14ac:dyDescent="0.25">
      <c r="B7" s="200" t="s">
        <v>109</v>
      </c>
      <c r="C7" s="177" t="str">
        <f ca="1">C24</f>
        <v>Ok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Ok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24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24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22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22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22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22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22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22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22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22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22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22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22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22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22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22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22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22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22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22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22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22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22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22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22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22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22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22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22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22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22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22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23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23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25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26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26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26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26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26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26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26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26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26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26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26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26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26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26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26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26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24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24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23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23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24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24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22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22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22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22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22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22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23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23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2023-01-13T14:22:42Z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