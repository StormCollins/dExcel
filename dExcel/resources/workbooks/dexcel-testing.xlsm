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2C537EC9-417F-4454-BFCD-A2ED615D27A8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2" i="13" l="1" a="1"/>
  <c r="Z22" i="13"/>
  <c r="AB22" i="13"/>
  <c r="AB22" i="13" a="1"/>
  <c r="L37" i="13" a="1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N46" i="13" a="1"/>
  <c r="N46" i="13"/>
  <c r="N47" i="13" a="1"/>
  <c r="N47" i="13"/>
  <c r="N48" i="13" a="1"/>
  <c r="N48" i="13"/>
  <c r="N49" i="13" a="1"/>
  <c r="N49" i="13"/>
  <c r="N50" i="13" a="1"/>
  <c r="N50" i="13"/>
  <c r="N51" i="13" a="1"/>
  <c r="N51" i="13"/>
  <c r="N45" i="13"/>
  <c r="N45" i="13" a="1"/>
  <c r="N44" i="13"/>
  <c r="N44" i="13" a="1"/>
  <c r="N43" i="13"/>
  <c r="N43" i="13" a="1"/>
  <c r="N42" i="13"/>
  <c r="N42" i="13" a="1"/>
  <c r="N41" i="13"/>
  <c r="N41" i="13" a="1"/>
  <c r="N40" i="13"/>
  <c r="N40" i="13" a="1"/>
  <c r="N39" i="13"/>
  <c r="N39" i="13" a="1"/>
  <c r="N38" i="13"/>
  <c r="N38" i="13" a="1"/>
  <c r="N37" i="13"/>
  <c r="N37" i="13" a="1"/>
  <c r="E35" i="9" a="1"/>
  <c r="E35" i="9"/>
  <c r="R33" i="3"/>
  <c r="R34" i="3"/>
  <c r="R35" i="3"/>
  <c r="R36" i="3"/>
  <c r="R37" i="3"/>
  <c r="R38" i="3"/>
  <c r="R39" i="3"/>
  <c r="D24" i="3" a="1"/>
  <c r="T107" i="5" a="1"/>
  <c r="T101" i="5" a="1"/>
  <c r="T95" i="5" a="1"/>
  <c r="T94" i="5" a="1"/>
  <c r="T105" i="5" a="1"/>
  <c r="T102" i="5" a="1"/>
  <c r="T106" i="5" a="1"/>
  <c r="T100" i="5" a="1"/>
  <c r="T99" i="5" a="1"/>
  <c r="T108" i="5" a="1"/>
  <c r="T104" i="5" a="1"/>
  <c r="T98" i="5" a="1"/>
  <c r="T109" i="5" a="1"/>
  <c r="T103" i="5" a="1"/>
  <c r="T97" i="5" a="1"/>
  <c r="T96" i="5" a="1"/>
  <c r="U229" i="5" a="1"/>
  <c r="V225" i="5" a="1"/>
  <c r="U225" i="5" a="1"/>
  <c r="V224" i="5" a="1"/>
  <c r="T225" i="5" a="1"/>
  <c r="V229" i="5" a="1"/>
  <c r="X224" i="5" a="1"/>
  <c r="X227" i="5" a="1"/>
  <c r="X223" i="5" a="1"/>
  <c r="V226" i="5" a="1"/>
  <c r="W226" i="5" a="1"/>
  <c r="X225" i="5" a="1"/>
  <c r="T227" i="5" a="1"/>
  <c r="V227" i="5" a="1"/>
  <c r="T226" i="5" a="1"/>
  <c r="U228" i="5" a="1"/>
  <c r="W229" i="5" a="1"/>
  <c r="T228" i="5" a="1"/>
  <c r="W224" i="5" a="1"/>
  <c r="X228" i="5" a="1"/>
  <c r="W227" i="5" a="1"/>
  <c r="U227" i="5" a="1"/>
  <c r="T229" i="5" a="1"/>
  <c r="U226" i="5" a="1"/>
  <c r="W223" i="5" a="1"/>
  <c r="V228" i="5" a="1"/>
  <c r="W228" i="5" a="1"/>
  <c r="X229" i="5" a="1"/>
  <c r="V223" i="5" a="1"/>
  <c r="X226" i="5" a="1"/>
  <c r="T223" i="5" a="1"/>
  <c r="T93" i="5" a="1"/>
  <c r="W225" i="5" a="1"/>
  <c r="U223" i="5" a="1"/>
  <c r="U224" i="5" a="1"/>
  <c r="T224" i="5" a="1"/>
  <c r="L22" i="13" a="1"/>
  <c r="E22" i="13" a="1"/>
  <c r="E37" i="13" a="1"/>
  <c r="G40" i="13" a="1"/>
  <c r="G39" i="13" a="1"/>
  <c r="S22" i="13" a="1"/>
  <c r="G41" i="13" a="1"/>
  <c r="N52" i="13" a="1"/>
  <c r="N53" i="13" a="1"/>
  <c r="N54" i="13" a="1"/>
  <c r="G42" i="13" a="1"/>
  <c r="G45" i="13" a="1"/>
  <c r="G43" i="13" a="1"/>
  <c r="G44" i="13" a="1"/>
  <c r="G38" i="13" a="1"/>
  <c r="G38" i="13" l="1"/>
  <c r="G44" i="13"/>
  <c r="G43" i="13"/>
  <c r="G45" i="13"/>
  <c r="G42" i="13"/>
  <c r="N54" i="13"/>
  <c r="N53" i="13"/>
  <c r="N52" i="13"/>
  <c r="G41" i="13"/>
  <c r="S22" i="13"/>
  <c r="G39" i="13"/>
  <c r="G40" i="13"/>
  <c r="E37" i="13"/>
  <c r="E22" i="13"/>
  <c r="L22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C209" i="5" a="1"/>
  <c r="U22" i="13" a="1"/>
  <c r="G37" i="13" a="1"/>
  <c r="G22" i="13" a="1"/>
  <c r="N22" i="13" a="1"/>
  <c r="N22" i="13" l="1"/>
  <c r="G22" i="13"/>
  <c r="G37" i="13"/>
  <c r="U22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16" i="13" a="1"/>
  <c r="C31" i="13" a="1"/>
  <c r="C31" i="13" l="1"/>
  <c r="C16" i="13"/>
  <c r="C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3" l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C68" i="1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V137" i="5" a="1"/>
  <c r="BS46" i="5" a="1"/>
  <c r="BI72" i="5" a="1"/>
  <c r="BH72" i="5" a="1"/>
  <c r="BQ73" i="5" a="1"/>
  <c r="BN45" i="5" a="1"/>
  <c r="BH73" i="5" a="1"/>
  <c r="BT69" i="5" a="1"/>
  <c r="U100" i="5" a="1"/>
  <c r="T129" i="5" a="1"/>
  <c r="U129" i="5" a="1"/>
  <c r="BO69" i="5" a="1"/>
  <c r="W105" i="5" a="1"/>
  <c r="BS47" i="5" a="1"/>
  <c r="BH47" i="5" a="1"/>
  <c r="BG72" i="5" a="1"/>
  <c r="W137" i="5" a="1"/>
  <c r="BK72" i="5" a="1"/>
  <c r="BD72" i="5" a="1"/>
  <c r="X102" i="5" a="1"/>
  <c r="BR69" i="5" a="1"/>
  <c r="BP73" i="5" a="1"/>
  <c r="BR72" i="5" a="1"/>
  <c r="BD69" i="5" a="1"/>
  <c r="X93" i="5" a="1"/>
  <c r="W94" i="5" a="1"/>
  <c r="BT47" i="5" a="1"/>
  <c r="V131" i="5" a="1"/>
  <c r="T142" i="5" a="1"/>
  <c r="U134" i="5" a="1"/>
  <c r="BT73" i="5" a="1"/>
  <c r="BF47" i="5" a="1"/>
  <c r="BQ49" i="5" a="1"/>
  <c r="BD71" i="5" a="1"/>
  <c r="U99" i="5" a="1"/>
  <c r="L185" i="5" a="1"/>
  <c r="U98" i="5" a="1"/>
  <c r="BP47" i="5" a="1"/>
  <c r="L164" i="5" a="1"/>
  <c r="BR49" i="5" a="1"/>
  <c r="W142" i="5" a="1"/>
  <c r="BL69" i="5" a="1"/>
  <c r="U137" i="5" a="1"/>
  <c r="W93" i="5" a="1"/>
  <c r="T144" i="5" a="1"/>
  <c r="BQ72" i="5" a="1"/>
  <c r="BL48" i="5" a="1"/>
  <c r="X144" i="5" a="1"/>
  <c r="W133" i="5" a="1"/>
  <c r="V144" i="5" a="1"/>
  <c r="BT70" i="5" a="1"/>
  <c r="W131" i="5" a="1"/>
  <c r="L165" i="5" a="1"/>
  <c r="BT71" i="5" a="1"/>
  <c r="BQ69" i="5" a="1"/>
  <c r="BS70" i="5" a="1"/>
  <c r="V109" i="5" a="1"/>
  <c r="BN73" i="5" a="1"/>
  <c r="BJ47" i="5" a="1"/>
  <c r="V96" i="5" a="1"/>
  <c r="X129" i="5" a="1"/>
  <c r="V107" i="5" a="1"/>
  <c r="BD46" i="5" a="1"/>
  <c r="U107" i="5" a="1"/>
  <c r="T132" i="5" a="1"/>
  <c r="BQ47" i="5" a="1"/>
  <c r="V94" i="5" a="1"/>
  <c r="BK71" i="5" a="1"/>
  <c r="BE69" i="5" a="1"/>
  <c r="V99" i="5" a="1"/>
  <c r="U204" i="5" a="1"/>
  <c r="BK49" i="5" a="1"/>
  <c r="U93" i="5" a="1"/>
  <c r="BM45" i="5" a="1"/>
  <c r="V140" i="5" a="1"/>
  <c r="BO46" i="5" a="1"/>
  <c r="W99" i="5" a="1"/>
  <c r="U101" i="5" a="1"/>
  <c r="U105" i="5" a="1"/>
  <c r="K167" i="5" a="1"/>
  <c r="V108" i="5" a="1"/>
  <c r="T141" i="5" a="1"/>
  <c r="T145" i="5" a="1"/>
  <c r="U97" i="5" a="1"/>
  <c r="BH46" i="5" a="1"/>
  <c r="BD47" i="5" a="1"/>
  <c r="BF69" i="5" a="1"/>
  <c r="U94" i="5" a="1"/>
  <c r="U108" i="5" a="1"/>
  <c r="X98" i="5" a="1"/>
  <c r="BO71" i="5" a="1"/>
  <c r="BI73" i="5" a="1"/>
  <c r="BL72" i="5" a="1"/>
  <c r="U135" i="5" a="1"/>
  <c r="W135" i="5" a="1"/>
  <c r="BG73" i="5" a="1"/>
  <c r="BO45" i="5" a="1"/>
  <c r="W103" i="5" a="1"/>
  <c r="U145" i="5" a="1"/>
  <c r="BD73" i="5" a="1"/>
  <c r="BL70" i="5" a="1"/>
  <c r="BD70" i="5" a="1"/>
  <c r="BP72" i="5" a="1"/>
  <c r="BJ69" i="5" a="1"/>
  <c r="BS71" i="5" a="1"/>
  <c r="BG45" i="5" a="1"/>
  <c r="V203" i="5" a="1"/>
  <c r="W100" i="5" a="1"/>
  <c r="BM47" i="5" a="1"/>
  <c r="T136" i="5" a="1"/>
  <c r="U138" i="5" a="1"/>
  <c r="W144" i="5" a="1"/>
  <c r="K184" i="5" a="1"/>
  <c r="BK69" i="5" a="1"/>
  <c r="BK47" i="5" a="1"/>
  <c r="T131" i="5" a="1"/>
  <c r="BE46" i="5" a="1"/>
  <c r="BJ70" i="5" a="1"/>
  <c r="X136" i="5" a="1"/>
  <c r="W106" i="5" a="1"/>
  <c r="BR48" i="5" a="1"/>
  <c r="X99" i="5" a="1"/>
  <c r="U132" i="5" a="1"/>
  <c r="W108" i="5" a="1"/>
  <c r="U95" i="5" a="1"/>
  <c r="V134" i="5" a="1"/>
  <c r="V139" i="5" a="1"/>
  <c r="BI70" i="5" a="1"/>
  <c r="K163" i="5" a="1"/>
  <c r="BL47" i="5" a="1"/>
  <c r="BE73" i="5" a="1"/>
  <c r="BD48" i="5" a="1"/>
  <c r="BG70" i="5" a="1"/>
  <c r="T138" i="5" a="1"/>
  <c r="U140" i="5" a="1"/>
  <c r="V103" i="5" a="1"/>
  <c r="BI46" i="5" a="1"/>
  <c r="BP49" i="5" a="1"/>
  <c r="BG48" i="5" a="1"/>
  <c r="X132" i="5" a="1"/>
  <c r="X142" i="5" a="1"/>
  <c r="BP69" i="5" a="1"/>
  <c r="BO48" i="5" a="1"/>
  <c r="U136" i="5" a="1"/>
  <c r="BR70" i="5" a="1"/>
  <c r="L186" i="5" a="1"/>
  <c r="V98" i="5" a="1"/>
  <c r="V132" i="5" a="1"/>
  <c r="BQ48" i="5" a="1"/>
  <c r="BJ72" i="5" a="1"/>
  <c r="BQ71" i="5" a="1"/>
  <c r="L187" i="5" a="1"/>
  <c r="BH48" i="5" a="1"/>
  <c r="BH70" i="5" a="1"/>
  <c r="U106" i="5" a="1"/>
  <c r="V101" i="5" a="1"/>
  <c r="BF72" i="5" a="1"/>
  <c r="X103" i="5" a="1"/>
  <c r="W129" i="5" a="1"/>
  <c r="K164" i="5" a="1"/>
  <c r="W109" i="5" a="1"/>
  <c r="X105" i="5" a="1"/>
  <c r="X204" i="5" a="1"/>
  <c r="BF46" i="5" a="1"/>
  <c r="X137" i="5" a="1"/>
  <c r="BH71" i="5" a="1"/>
  <c r="X139" i="5" a="1"/>
  <c r="BN46" i="5" a="1"/>
  <c r="BK46" i="5" a="1"/>
  <c r="BG49" i="5" a="1"/>
  <c r="T203" i="5" a="1"/>
  <c r="BJ45" i="5" a="1"/>
  <c r="W204" i="5" a="1"/>
  <c r="BS69" i="5" a="1"/>
  <c r="BD49" i="5" a="1"/>
  <c r="BE49" i="5" a="1"/>
  <c r="BP48" i="5" a="1"/>
  <c r="W132" i="5" a="1"/>
  <c r="W145" i="5" a="1"/>
  <c r="W134" i="5" a="1"/>
  <c r="W97" i="5" a="1"/>
  <c r="BM73" i="5" a="1"/>
  <c r="V136" i="5" a="1"/>
  <c r="K187" i="5" a="1"/>
  <c r="BP70" i="5" a="1"/>
  <c r="U133" i="5" a="1"/>
  <c r="T140" i="5" a="1"/>
  <c r="BQ46" i="5" a="1"/>
  <c r="BQ45" i="5" a="1"/>
  <c r="BG46" i="5" a="1"/>
  <c r="X145" i="5" a="1"/>
  <c r="BN70" i="5" a="1"/>
  <c r="BI45" i="5" a="1"/>
  <c r="X95" i="5" a="1"/>
  <c r="X107" i="5" a="1"/>
  <c r="X106" i="5" a="1"/>
  <c r="T143" i="5" a="1"/>
  <c r="BH49" i="5" a="1"/>
  <c r="U144" i="5" a="1"/>
  <c r="BK70" i="5" a="1"/>
  <c r="W96" i="5" a="1"/>
  <c r="L166" i="5" a="1"/>
  <c r="BN71" i="5" a="1"/>
  <c r="BO49" i="5" a="1"/>
  <c r="W95" i="5" a="1"/>
  <c r="V100" i="5" a="1"/>
  <c r="BG69" i="5" a="1"/>
  <c r="K183" i="5" a="1"/>
  <c r="BH69" i="5" a="1"/>
  <c r="U143" i="5" a="1"/>
  <c r="BM71" i="5" a="1"/>
  <c r="V104" i="5" a="1"/>
  <c r="V102" i="5" a="1"/>
  <c r="U109" i="5" a="1"/>
  <c r="BT48" i="5" a="1"/>
  <c r="X138" i="5" a="1"/>
  <c r="U103" i="5" a="1"/>
  <c r="U102" i="5" a="1"/>
  <c r="X94" i="5" a="1"/>
  <c r="BD45" i="5" a="1"/>
  <c r="BE70" i="5" a="1"/>
  <c r="W140" i="5" a="1"/>
  <c r="BJ71" i="5" a="1"/>
  <c r="BI48" i="5" a="1"/>
  <c r="BK48" i="5" a="1"/>
  <c r="X109" i="5" a="1"/>
  <c r="BO72" i="5" a="1"/>
  <c r="BN49" i="5" a="1"/>
  <c r="BT72" i="5" a="1"/>
  <c r="BK45" i="5" a="1"/>
  <c r="T134" i="5" a="1"/>
  <c r="BO70" i="5" a="1"/>
  <c r="W130" i="5" a="1"/>
  <c r="BJ49" i="5" a="1"/>
  <c r="L167" i="5" a="1"/>
  <c r="U203" i="5" a="1"/>
  <c r="BS72" i="5" a="1"/>
  <c r="BM46" i="5" a="1"/>
  <c r="BN72" i="5" a="1"/>
  <c r="BR73" i="5" a="1"/>
  <c r="W98" i="5" a="1"/>
  <c r="BR45" i="5" a="1"/>
  <c r="T137" i="5" a="1"/>
  <c r="X133" i="5" a="1"/>
  <c r="BP45" i="5" a="1"/>
  <c r="BI69" i="5" a="1"/>
  <c r="BL49" i="5" a="1"/>
  <c r="X131" i="5" a="1"/>
  <c r="BM70" i="5" a="1"/>
  <c r="BM69" i="5" a="1"/>
  <c r="BF71" i="5" a="1"/>
  <c r="V138" i="5" a="1"/>
  <c r="W104" i="5" a="1"/>
  <c r="T204" i="5" a="1"/>
  <c r="BF48" i="5" a="1"/>
  <c r="X100" i="5" a="1"/>
  <c r="W143" i="5" a="1"/>
  <c r="BF45" i="5" a="1"/>
  <c r="X135" i="5" a="1"/>
  <c r="V141" i="5" a="1"/>
  <c r="U131" i="5" a="1"/>
  <c r="BN69" i="5" a="1"/>
  <c r="BF70" i="5" a="1"/>
  <c r="BE72" i="5" a="1"/>
  <c r="BS49" i="5" a="1"/>
  <c r="BE45" i="5" a="1"/>
  <c r="BP71" i="5" a="1"/>
  <c r="W139" i="5" a="1"/>
  <c r="BS45" i="5" a="1"/>
  <c r="BF49" i="5" a="1"/>
  <c r="BP46" i="5" a="1"/>
  <c r="X141" i="5" a="1"/>
  <c r="W203" i="5" a="1"/>
  <c r="V130" i="5" a="1"/>
  <c r="V93" i="5" a="1"/>
  <c r="BI71" i="5" a="1"/>
  <c r="BT49" i="5" a="1"/>
  <c r="BM48" i="5" a="1"/>
  <c r="V143" i="5" a="1"/>
  <c r="T133" i="5" a="1"/>
  <c r="V135" i="5" a="1"/>
  <c r="K186" i="5" a="1"/>
  <c r="BG47" i="5" a="1"/>
  <c r="BE48" i="5" a="1"/>
  <c r="U139" i="5" a="1"/>
  <c r="BG71" i="5" a="1"/>
  <c r="V95" i="5" a="1"/>
  <c r="L183" i="5" a="1"/>
  <c r="U142" i="5" a="1"/>
  <c r="BF73" i="5" a="1"/>
  <c r="U104" i="5" a="1"/>
  <c r="X97" i="5" a="1"/>
  <c r="X140" i="5" a="1"/>
  <c r="L163" i="5" a="1"/>
  <c r="BQ70" i="5" a="1"/>
  <c r="V129" i="5" a="1"/>
  <c r="V145" i="5" a="1"/>
  <c r="X203" i="5" a="1"/>
  <c r="U130" i="5" a="1"/>
  <c r="BL45" i="5" a="1"/>
  <c r="U141" i="5" a="1"/>
  <c r="BH45" i="5" a="1"/>
  <c r="V97" i="5" a="1"/>
  <c r="BE47" i="5" a="1"/>
  <c r="BI49" i="5" a="1"/>
  <c r="X101" i="5" a="1"/>
  <c r="BJ48" i="5" a="1"/>
  <c r="K166" i="5" a="1"/>
  <c r="BL46" i="5" a="1"/>
  <c r="W102" i="5" a="1"/>
  <c r="BR46" i="5" a="1"/>
  <c r="BT46" i="5" a="1"/>
  <c r="BJ46" i="5" a="1"/>
  <c r="V142" i="5" a="1"/>
  <c r="BK73" i="5" a="1"/>
  <c r="W107" i="5" a="1"/>
  <c r="BM49" i="5" a="1"/>
  <c r="V133" i="5" a="1"/>
  <c r="X134" i="5" a="1"/>
  <c r="T135" i="5" a="1"/>
  <c r="BR47" i="5" a="1"/>
  <c r="BE71" i="5" a="1"/>
  <c r="V106" i="5" a="1"/>
  <c r="V204" i="5" a="1"/>
  <c r="BS73" i="5" a="1"/>
  <c r="V105" i="5" a="1"/>
  <c r="W138" i="5" a="1"/>
  <c r="BR71" i="5" a="1"/>
  <c r="BO73" i="5" a="1"/>
  <c r="BT45" i="5" a="1"/>
  <c r="W101" i="5" a="1"/>
  <c r="K165" i="5" a="1"/>
  <c r="W141" i="5" a="1"/>
  <c r="X96" i="5" a="1"/>
  <c r="X143" i="5" a="1"/>
  <c r="W136" i="5" a="1"/>
  <c r="BO47" i="5" a="1"/>
  <c r="BL71" i="5" a="1"/>
  <c r="BN48" i="5" a="1"/>
  <c r="X104" i="5" a="1"/>
  <c r="U96" i="5" a="1"/>
  <c r="BJ73" i="5" a="1"/>
  <c r="L184" i="5" a="1"/>
  <c r="BM72" i="5" a="1"/>
  <c r="K185" i="5" a="1"/>
  <c r="X108" i="5" a="1"/>
  <c r="BS48" i="5" a="1"/>
  <c r="BL73" i="5" a="1"/>
  <c r="X130" i="5" a="1"/>
  <c r="T139" i="5" a="1"/>
  <c r="BI47" i="5" a="1"/>
  <c r="BN47" i="5" a="1"/>
  <c r="T130" i="5" a="1"/>
  <c r="C68" i="13" l="1"/>
  <c r="I27" i="1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C69" i="13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92" i="5" a="1"/>
  <c r="C30" i="5" a="1"/>
  <c r="C172" i="5" a="1"/>
  <c r="C150" i="5" a="1"/>
  <c r="C54" i="5" a="1"/>
  <c r="C114" i="5" a="1"/>
  <c r="H27" i="3" l="1"/>
  <c r="I23" i="11"/>
  <c r="I25" i="11"/>
  <c r="J22" i="11"/>
  <c r="I26" i="11"/>
  <c r="I24" i="11"/>
  <c r="C69" i="13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1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5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<sst xmlns="http://schemas.openxmlformats.org/spreadsheetml/2006/main" count="1626" uniqueCount="283">
  <si>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</si>
  <si>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</si>
  <si>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</si>
  <si>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</si>
  <si>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</si>
  <si>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</si>
  <si>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</si>
  <si>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</si>
  <si>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</si>
  <si>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</si>
  <si>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</si>
  <si>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</si>
  <si>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</si>
  <si>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</si>
  <si>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</si>
  <si>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</si>
  <si>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</si>
  <si>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</si>
  <si>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</si>
  <si>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</si>
  <si>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</si>
  <si>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</si>
  <si>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</si>
  <si>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</si>
  <si>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</si>
  <si>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</si>
  <si>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</si>
  <si>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</si>
  <si>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</si>
  <si>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</si>
  <si>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</si>
  <si>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</si>
  <si>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</si>
  <si>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</si>
  <si>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</si>
  <si>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</si>
  <si>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</si>
  <si>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</si>
  <si>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</si>
  <si>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</si>
  <si>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</si>
  <si>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</si>
  <si>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</si>
  <si>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</si>
  <si>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</si>
  <si>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</si>
  <si>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</si>
  <si>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</si>
  <si>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</si>
  <si>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</si>
  <si>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</si>
  <si>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</si>
  <si>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</si>
  <si>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</si>
  <si>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</si>
  <si>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</si>
  <si>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</si>
  <si>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</si>
  <si>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</si>
  <si>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</si>
  <si>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</si>
  <si>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</si>
  <si>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</si>
  <si>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</si>
  <si>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</si>
  <si>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</si>
  <si>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</si>
  <si>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</si>
  <si>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</si>
  <si>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</si>
  <si>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</si>
  <si>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</si>
  <si>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</si>
  <si>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</si>
  <si>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</si>
  <si>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</si>
  <si>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</si>
  <si>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</si>
  <si>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</si>
  <si>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</si>
  <si>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</si>
  <si>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</si>
  <si>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</si>
  <si>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</si>
  <si>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</si>
  <si>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</si>
  <si>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</si>
  <si>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</si>
  <si>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</si>
  <si>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</si>
  <si>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</si>
  <si>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</si>
  <si>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</si>
  <si>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</si>
  <si>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</si>
  <si>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</si>
  <si>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</si>
  <si>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</si>
  <si>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</si>
  <si>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</si>
  <si>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</si>
  <si>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</si>
  <si>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</si>
  <si>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</si>
  <si>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</si>
  <si>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</si>
  <si>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</si>
  <si>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</si>
  <si>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</si>
  <si>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</si>
  <si>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</si>
  <si>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</si>
  <si>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</si>
  <si>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</si>
  <si>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</si>
  <si>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</si>
  <si>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</si>
  <si>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</si>
  <si>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</si>
  <si>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</si>
  <si>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</si>
  <si>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</si>
  <si>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</si>
  <si>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</si>
  <si>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</si>
  <si>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</si>
  <si>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</si>
  <si>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</si>
  <si>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</si>
  <si>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</si>
  <si>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</si>
  <si>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</si>
  <si>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</si>
  <si>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</si>
  <si>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</si>
  <si>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</si>
  <si>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</si>
  <si>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</si>
  <si>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</si>
  <si>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</si>
  <si>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</si>
  <si>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</si>
  <si>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</si>
  <si>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</si>
  <si>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</si>
  <si>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</si>
  <si>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</si>
  <si>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</si>
  <si>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</si>
  <si>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</si>
  <si>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</si>
  <si>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</si>
  <si>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</si>
  <si>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</si>
  <si>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</si>
  <si>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</si>
  <si>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</si>
  <si>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</si>
  <si>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</si>
  <si>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</si>
  <si>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</si>
  <si>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</si>
  <si>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</si>
  <si>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</si>
  <si>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</si>
  <si>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</si>
  <si>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</si>
  <si>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</si>
  <si>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</si>
  <si>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</si>
  <si>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</si>
  <si>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</si>
  <si>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</si>
  <si>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</si>
  <si>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</si>
  <si>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</si>
  <si>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</si>
  <si>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</si>
  <si>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</si>
  <si>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</si>
  <si>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</si>
  <si>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</si>
  <si>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</si>
  <si>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</si>
  <si>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</si>
  <si>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</si>
  <si>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</si>
  <si>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</si>
  <si>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</si>
  <si>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</si>
  <si>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</si>
  <si>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</si>
  <si>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</si>
  <si>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</si>
  <si>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</si>
  <si>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</si>
  <si>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</si>
  <si>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</si>
  <si>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</si>
  <si>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</si>
  <si>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</si>
  <si>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</si>
  <si>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</si>
  <si>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</si>
  <si>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</si>
  <si>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</si>
  <si>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</si>
  <si>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</si>
  <si>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</si>
  <si>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</si>
  <si>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</si>
  <si>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</si>
  <si>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</si>
  <si>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</si>
  <si>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</si>
  <si>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</si>
  <si>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</si>
  <si>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</si>
  <si>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</si>
  <si>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</si>
  <si>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</si>
  <si>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</si>
  <si>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</si>
  <si>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</si>
  <si>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</si>
  <si>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</si>
  <si>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</si>
  <si>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</si>
  <si>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</si>
  <si>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</si>
  <si>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</si>
  <si>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</si>
  <si>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</si>
  <si>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</si>
  <si>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</si>
  <si>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</si>
  <si>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</si>
  <si>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</si>
  <si>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</si>
  <si>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</si>
  <si>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</si>
  <si>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</si>
  <si>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</si>
  <si>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</si>
  <si>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</si>
  <si>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</si>
  <si>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</si>
  <si>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</si>
  <si>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</si>
  <si>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</si>
  <si>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</si>
  <si>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</si>
  <si>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</si>
  <si>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</si>
  <si>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</si>
  <si>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</si>
  <si>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</si>
  <si>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</si>
  <si>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</si>
  <si>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</si>
  <si>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</si>
  <si>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</si>
  <si>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</si>
  <si>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</si>
  <si>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</si>
  <si>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</si>
  <si>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</si>
  <si>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</si>
  <si>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</si>
  <si>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</si>
  <si>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</si>
  <si>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</si>
  <si>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</si>
  <si>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</si>
  <si>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</si>
  <si>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</si>
  <si>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</si>
  <si>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</si>
  <si>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</si>
  <si>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</si>
  <si>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</si>
  <si>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</si>
  <si>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WRE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</si>
</sst>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5" fillId="0" borderId="1" applyNumberFormat="0" applyFill="0" applyAlignment="0" applyProtection="0"/>
    <xf numFmtId="0" fontId="36" fillId="0" borderId="33" applyNumberFormat="0" applyFill="0" applyAlignment="0" applyProtection="0"/>
    <xf numFmtId="0" fontId="37" fillId="0" borderId="2" applyNumberFormat="0" applyFill="0" applyAlignment="0" applyProtection="0"/>
    <xf numFmtId="0" fontId="32" fillId="0" borderId="0" applyNumberFormat="0" applyFill="0" applyBorder="0" applyAlignment="0" applyProtection="0"/>
  </cellStyleXfs>
  <cellXfs count="404">
    <xf numFmtId="0" fontId="0" fillId="0" borderId="0" xfId="0"/>
    <xf numFmtId="14" fontId="0" fillId="0" borderId="0" xfId="0" applyNumberFormat="1"/>
    <xf numFmtId="0" fontId="15" fillId="0" borderId="1" xfId="1"/>
    <xf numFmtId="0" fontId="36" fillId="0" borderId="33" xfId="2"/>
    <xf numFmtId="0" fontId="37" fillId="0" borderId="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5" xfId="0" applyFont="1" applyFill="1" applyBorder="1" applyAlignment="1">
      <alignment horizontal="centerContinuous" vertical="center"/>
    </xf>
    <xf numFmtId="0" fontId="18" fillId="3" borderId="6" xfId="0" applyFont="1" applyFill="1" applyBorder="1" applyAlignment="1">
      <alignment horizontal="centerContinuous" vertical="center"/>
    </xf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166" fontId="17" fillId="0" borderId="10" xfId="0" applyNumberFormat="1" applyFont="1" applyBorder="1" applyAlignment="1">
      <alignment horizontal="right" vertical="center"/>
    </xf>
    <xf numFmtId="166" fontId="17" fillId="0" borderId="12" xfId="0" applyNumberFormat="1" applyFont="1" applyBorder="1" applyAlignment="1">
      <alignment horizontal="right" vertical="center"/>
    </xf>
    <xf numFmtId="166" fontId="17" fillId="0" borderId="14" xfId="0" applyNumberFormat="1" applyFont="1" applyBorder="1" applyAlignment="1">
      <alignment horizontal="right" vertical="center"/>
    </xf>
    <xf numFmtId="167" fontId="17" fillId="0" borderId="11" xfId="0" applyNumberFormat="1" applyFont="1" applyBorder="1" applyAlignment="1">
      <alignment horizontal="right" vertical="center"/>
    </xf>
    <xf numFmtId="167" fontId="17" fillId="0" borderId="13" xfId="0" applyNumberFormat="1" applyFont="1" applyBorder="1" applyAlignment="1">
      <alignment horizontal="right" vertical="center"/>
    </xf>
    <xf numFmtId="167" fontId="17" fillId="0" borderId="15" xfId="0" applyNumberFormat="1" applyFont="1" applyBorder="1" applyAlignment="1">
      <alignment horizontal="right" vertical="center"/>
    </xf>
    <xf numFmtId="0" fontId="18" fillId="3" borderId="8" xfId="0" applyFont="1" applyFill="1" applyBorder="1" applyAlignment="1">
      <alignment horizontal="centerContinuous" vertical="center"/>
    </xf>
    <xf numFmtId="0" fontId="18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8" fillId="3" borderId="7" xfId="0" applyFont="1" applyFill="1" applyBorder="1" applyAlignment="1">
      <alignment horizontal="centerContinuous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4" fontId="17" fillId="0" borderId="18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8" xfId="0" applyNumberFormat="1" applyFont="1" applyBorder="1" applyAlignment="1">
      <alignment horizontal="right" vertical="center"/>
    </xf>
    <xf numFmtId="10" fontId="17" fillId="0" borderId="11" xfId="0" applyNumberFormat="1" applyFont="1" applyBorder="1" applyAlignment="1">
      <alignment horizontal="right" vertical="center"/>
    </xf>
    <xf numFmtId="10" fontId="17" fillId="0" borderId="13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0" fontId="18" fillId="3" borderId="19" xfId="0" applyFont="1" applyFill="1" applyBorder="1" applyAlignment="1">
      <alignment horizontal="centerContinuous" vertical="center"/>
    </xf>
    <xf numFmtId="0" fontId="18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0" fontId="18" fillId="4" borderId="23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6" xfId="0" applyNumberFormat="1" applyFont="1" applyBorder="1" applyAlignment="1">
      <alignment horizontal="right" vertical="center"/>
    </xf>
    <xf numFmtId="167" fontId="17" fillId="0" borderId="17" xfId="0" applyNumberFormat="1" applyFont="1" applyBorder="1" applyAlignment="1">
      <alignment horizontal="right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3" borderId="29" xfId="0" applyFont="1" applyFill="1" applyBorder="1" applyAlignment="1">
      <alignment horizontal="centerContinuous" vertical="center"/>
    </xf>
    <xf numFmtId="0" fontId="18" fillId="4" borderId="30" xfId="0" applyFont="1" applyFill="1" applyBorder="1" applyAlignment="1">
      <alignment horizontal="center" vertical="center"/>
    </xf>
    <xf numFmtId="0" fontId="18" fillId="4" borderId="31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2" xfId="0" applyFont="1" applyFill="1" applyBorder="1" applyAlignment="1">
      <alignment horizontal="center" vertical="center"/>
    </xf>
    <xf numFmtId="0" fontId="0" fillId="0" borderId="0" xfId="0" applyBorder="1"/>
    <xf numFmtId="0" fontId="20" fillId="0" borderId="4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3" xfId="2" applyFont="1" applyBorder="1"/>
    <xf numFmtId="0" fontId="36" fillId="0" borderId="33" xfId="2" applyBorder="1"/>
    <xf numFmtId="0" fontId="23" fillId="0" borderId="0" xfId="0" applyFont="1"/>
    <xf numFmtId="0" fontId="24" fillId="0" borderId="0" xfId="0" applyFont="1"/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4" fontId="17" fillId="0" borderId="15" xfId="0" applyNumberFormat="1" applyFont="1" applyBorder="1" applyAlignment="1">
      <alignment horizontal="right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18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15" fillId="0" borderId="1" xfId="1" applyFont="1"/>
    <xf numFmtId="0" fontId="27" fillId="0" borderId="26" xfId="0" applyFont="1" applyBorder="1"/>
    <xf numFmtId="9" fontId="17" fillId="0" borderId="40" xfId="0" applyNumberFormat="1" applyFont="1" applyBorder="1" applyAlignment="1">
      <alignment horizontal="right"/>
    </xf>
    <xf numFmtId="9" fontId="17" fillId="0" borderId="42" xfId="0" applyNumberFormat="1" applyFont="1" applyBorder="1" applyAlignment="1">
      <alignment horizontal="right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3" xfId="0" applyNumberFormat="1" applyFont="1" applyBorder="1"/>
    <xf numFmtId="166" fontId="17" fillId="0" borderId="44" xfId="0" applyNumberFormat="1" applyFont="1" applyBorder="1"/>
    <xf numFmtId="0" fontId="0" fillId="0" borderId="44" xfId="0" applyBorder="1"/>
    <xf numFmtId="9" fontId="17" fillId="0" borderId="44" xfId="0" applyNumberFormat="1" applyFont="1" applyBorder="1" applyAlignment="1">
      <alignment horizontal="right"/>
    </xf>
    <xf numFmtId="9" fontId="17" fillId="0" borderId="45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4" fillId="0" borderId="50" xfId="0" applyFont="1" applyBorder="1"/>
    <xf numFmtId="0" fontId="0" fillId="0" borderId="51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0" fontId="18" fillId="4" borderId="54" xfId="0" applyFont="1" applyFill="1" applyBorder="1" applyAlignment="1">
      <alignment horizontal="center" vertical="center"/>
    </xf>
    <xf numFmtId="166" fontId="17" fillId="0" borderId="38" xfId="0" applyNumberFormat="1" applyFont="1" applyBorder="1"/>
    <xf numFmtId="166" fontId="17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0" fontId="30" fillId="0" borderId="18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1" fontId="30" fillId="0" borderId="18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2" fontId="30" fillId="0" borderId="18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73" fontId="30" fillId="0" borderId="18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8" xfId="0" applyNumberFormat="1" applyFont="1" applyBorder="1" applyAlignment="1">
      <alignment horizontal="right" vertical="center"/>
    </xf>
    <xf numFmtId="10" fontId="14" fillId="0" borderId="11" xfId="0" applyNumberFormat="1" applyFont="1" applyBorder="1" applyAlignment="1">
      <alignment horizontal="right" vertical="center"/>
    </xf>
    <xf numFmtId="10" fontId="14" fillId="0" borderId="13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66" fontId="14" fillId="0" borderId="10" xfId="0" applyNumberFormat="1" applyFont="1" applyBorder="1" applyAlignment="1">
      <alignment horizontal="right" vertical="center"/>
    </xf>
    <xf numFmtId="166" fontId="14" fillId="0" borderId="12" xfId="0" applyNumberFormat="1" applyFont="1" applyBorder="1" applyAlignment="1">
      <alignment horizontal="right" vertical="center"/>
    </xf>
    <xf numFmtId="166" fontId="14" fillId="0" borderId="14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166" fontId="14" fillId="0" borderId="18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4" xfId="0" applyFont="1" applyFill="1" applyBorder="1" applyAlignment="1">
      <alignment horizontal="center" vertical="center"/>
    </xf>
    <xf numFmtId="0" fontId="31" fillId="4" borderId="36" xfId="0" applyFont="1" applyFill="1" applyBorder="1" applyAlignment="1">
      <alignment horizontal="center" vertical="center"/>
    </xf>
    <xf numFmtId="0" fontId="31" fillId="3" borderId="5" xfId="0" applyFont="1" applyFill="1" applyBorder="1" applyAlignment="1">
      <alignment horizontal="centerContinuous" vertical="center"/>
    </xf>
    <xf numFmtId="0" fontId="31" fillId="3" borderId="6" xfId="0" applyFont="1" applyFill="1" applyBorder="1" applyAlignment="1">
      <alignment horizontal="centerContinuous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0" fontId="32" fillId="0" borderId="48" xfId="4" applyBorder="1" applyAlignment="1">
      <alignment horizontal="centerContinuous" vertical="center"/>
    </xf>
    <xf numFmtId="0" fontId="32" fillId="0" borderId="49" xfId="4" applyBorder="1" applyAlignment="1">
      <alignment horizontal="centerContinuous" vertical="center"/>
    </xf>
    <xf numFmtId="0" fontId="32" fillId="0" borderId="51" xfId="4" applyBorder="1" applyAlignment="1">
      <alignment horizontal="centerContinuous" vertical="center"/>
    </xf>
    <xf numFmtId="0" fontId="32" fillId="0" borderId="50" xfId="4" applyFill="1" applyBorder="1" applyAlignment="1">
      <alignment horizontal="centerContinuous"/>
    </xf>
    <xf numFmtId="0" fontId="32" fillId="0" borderId="51" xfId="4" applyFill="1" applyBorder="1" applyAlignment="1">
      <alignment horizontal="centerContinuous"/>
    </xf>
    <xf numFmtId="0" fontId="18" fillId="3" borderId="55" xfId="0" applyFont="1" applyFill="1" applyBorder="1" applyAlignment="1">
      <alignment horizontal="centerContinuous" vertical="center"/>
    </xf>
    <xf numFmtId="0" fontId="33" fillId="0" borderId="50" xfId="4" applyFont="1" applyFill="1" applyBorder="1" applyAlignment="1">
      <alignment horizontal="centerContinuous" vertical="center"/>
    </xf>
    <xf numFmtId="0" fontId="33" fillId="0" borderId="51" xfId="4" applyFont="1" applyFill="1" applyBorder="1" applyAlignment="1">
      <alignment horizontal="centerContinuous" vertical="center"/>
    </xf>
    <xf numFmtId="4" fontId="33" fillId="0" borderId="56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6" xfId="0" applyNumberFormat="1" applyFont="1" applyFill="1" applyBorder="1" applyAlignment="1">
      <alignment horizontal="centerContinuous" vertical="center"/>
    </xf>
    <xf numFmtId="4" fontId="18" fillId="4" borderId="36" xfId="0" applyNumberFormat="1" applyFont="1" applyFill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4" fontId="13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8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4" fontId="31" fillId="4" borderId="60" xfId="0" applyNumberFormat="1" applyFont="1" applyFill="1" applyBorder="1" applyAlignment="1">
      <alignment horizontal="center" vertical="center"/>
    </xf>
    <xf numFmtId="170" fontId="29" fillId="5" borderId="12" xfId="0" applyNumberFormat="1" applyFont="1" applyFill="1" applyBorder="1" applyAlignment="1">
      <alignment horizontal="right" vertical="center"/>
    </xf>
    <xf numFmtId="170" fontId="29" fillId="5" borderId="13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1" fontId="29" fillId="5" borderId="13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2" fontId="29" fillId="5" borderId="13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73" fontId="29" fillId="5" borderId="13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2" xfId="0" applyNumberFormat="1" applyFont="1" applyFill="1" applyBorder="1" applyAlignment="1">
      <alignment horizontal="right" vertical="center"/>
    </xf>
    <xf numFmtId="167" fontId="17" fillId="6" borderId="17" xfId="0" applyNumberFormat="1" applyFont="1" applyFill="1" applyBorder="1" applyAlignment="1">
      <alignment horizontal="right" vertical="center"/>
    </xf>
    <xf numFmtId="167" fontId="17" fillId="0" borderId="16" xfId="0" applyNumberFormat="1" applyFont="1" applyBorder="1" applyAlignment="1">
      <alignment horizontal="center" vertical="center"/>
    </xf>
    <xf numFmtId="0" fontId="18" fillId="4" borderId="35" xfId="0" applyFont="1" applyFill="1" applyBorder="1" applyAlignment="1">
      <alignment horizontal="centerContinuous" vertical="center"/>
    </xf>
    <xf numFmtId="0" fontId="18" fillId="4" borderId="36" xfId="0" applyFont="1" applyFill="1" applyBorder="1" applyAlignment="1">
      <alignment horizontal="centerContinuous" vertical="center"/>
    </xf>
    <xf numFmtId="167" fontId="17" fillId="0" borderId="61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5" xfId="0" applyFont="1" applyFill="1" applyBorder="1" applyAlignment="1">
      <alignment horizontal="center" vertical="center"/>
    </xf>
    <xf numFmtId="4" fontId="34" fillId="7" borderId="50" xfId="0" applyNumberFormat="1" applyFont="1" applyFill="1" applyBorder="1" applyAlignment="1">
      <alignment horizontal="center" vertical="center"/>
    </xf>
    <xf numFmtId="4" fontId="34" fillId="7" borderId="62" xfId="0" applyNumberFormat="1" applyFont="1" applyFill="1" applyBorder="1" applyAlignment="1">
      <alignment horizontal="center" vertical="center"/>
    </xf>
    <xf numFmtId="4" fontId="34" fillId="7" borderId="63" xfId="0" applyNumberFormat="1" applyFont="1" applyFill="1" applyBorder="1" applyAlignment="1">
      <alignment horizontal="center" vertical="center"/>
    </xf>
    <xf numFmtId="4" fontId="34" fillId="7" borderId="64" xfId="0" applyNumberFormat="1" applyFont="1" applyFill="1" applyBorder="1" applyAlignment="1">
      <alignment horizontal="center" vertical="center"/>
    </xf>
    <xf numFmtId="169" fontId="17" fillId="0" borderId="61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169" fontId="17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4" fontId="18" fillId="4" borderId="23" xfId="0" applyNumberFormat="1" applyFont="1" applyFill="1" applyBorder="1" applyAlignment="1">
      <alignment horizontal="center" vertical="center"/>
    </xf>
    <xf numFmtId="0" fontId="32" fillId="0" borderId="0" xfId="4" applyAlignment="1">
      <alignment horizontal="center"/>
    </xf>
    <xf numFmtId="0" fontId="32" fillId="8" borderId="0" xfId="4" applyFill="1" applyBorder="1" applyAlignment="1">
      <alignment horizontal="centerContinuous" vertical="center"/>
    </xf>
    <xf numFmtId="0" fontId="18" fillId="3" borderId="65" xfId="0" applyFont="1" applyFill="1" applyBorder="1" applyAlignment="1">
      <alignment horizontal="centerContinuous" vertical="center"/>
    </xf>
    <xf numFmtId="0" fontId="35" fillId="3" borderId="66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Continuous" vertical="center"/>
    </xf>
    <xf numFmtId="0" fontId="18" fillId="3" borderId="51" xfId="0" applyFont="1" applyFill="1" applyBorder="1" applyAlignment="1">
      <alignment horizontal="centerContinuous" vertical="center"/>
    </xf>
    <xf numFmtId="4" fontId="30" fillId="0" borderId="18" xfId="0" applyNumberFormat="1" applyFont="1" applyBorder="1" applyAlignment="1">
      <alignment horizontal="center" vertical="center"/>
    </xf>
    <xf numFmtId="0" fontId="31" fillId="3" borderId="7" xfId="0" applyFont="1" applyFill="1" applyBorder="1" applyAlignment="1">
      <alignment horizontal="centerContinuous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1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4" fontId="29" fillId="5" borderId="18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Continuous" vertical="center"/>
    </xf>
    <xf numFmtId="0" fontId="35" fillId="3" borderId="19" xfId="0" applyFont="1" applyFill="1" applyBorder="1" applyAlignment="1">
      <alignment horizontal="centerContinuous" vertical="center"/>
    </xf>
    <xf numFmtId="0" fontId="35" fillId="3" borderId="20" xfId="0" applyFont="1" applyFill="1" applyBorder="1" applyAlignment="1">
      <alignment horizontal="centerContinuous" vertical="center"/>
    </xf>
    <xf numFmtId="0" fontId="32" fillId="0" borderId="0" xfId="4" applyAlignment="1">
      <alignment horizontal="centerContinuous"/>
    </xf>
    <xf numFmtId="0" fontId="0" fillId="0" borderId="68" xfId="0" applyBorder="1"/>
    <xf numFmtId="0" fontId="0" fillId="0" borderId="69" xfId="0" applyBorder="1"/>
    <xf numFmtId="166" fontId="12" fillId="0" borderId="10" xfId="0" applyNumberFormat="1" applyFont="1" applyBorder="1" applyAlignment="1">
      <alignment horizontal="right" vertical="center"/>
    </xf>
    <xf numFmtId="166" fontId="12" fillId="0" borderId="12" xfId="0" applyNumberFormat="1" applyFont="1" applyBorder="1" applyAlignment="1">
      <alignment horizontal="right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166" fontId="12" fillId="0" borderId="14" xfId="0" applyNumberFormat="1" applyFont="1" applyBorder="1" applyAlignment="1">
      <alignment horizontal="right" vertical="center"/>
    </xf>
    <xf numFmtId="0" fontId="20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1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0" fontId="7" fillId="0" borderId="18" xfId="0" applyNumberFormat="1" applyFont="1" applyBorder="1" applyAlignment="1">
      <alignment horizontal="right" vertical="center"/>
    </xf>
    <xf numFmtId="4" fontId="7" fillId="0" borderId="21" xfId="0" applyNumberFormat="1" applyFont="1" applyBorder="1" applyAlignment="1">
      <alignment horizontal="center" vertical="center"/>
    </xf>
    <xf numFmtId="4" fontId="7" fillId="0" borderId="23" xfId="0" applyNumberFormat="1" applyFont="1" applyBorder="1" applyAlignment="1">
      <alignment horizontal="center" vertical="center"/>
    </xf>
    <xf numFmtId="10" fontId="7" fillId="0" borderId="22" xfId="0" applyNumberFormat="1" applyFont="1" applyBorder="1" applyAlignment="1">
      <alignment horizontal="right" vertical="center"/>
    </xf>
    <xf numFmtId="166" fontId="7" fillId="0" borderId="10" xfId="0" applyNumberFormat="1" applyFont="1" applyBorder="1" applyAlignment="1">
      <alignment horizontal="right" vertical="center"/>
    </xf>
    <xf numFmtId="166" fontId="7" fillId="0" borderId="12" xfId="0" applyNumberFormat="1" applyFont="1" applyBorder="1" applyAlignment="1">
      <alignment horizontal="right" vertical="center"/>
    </xf>
    <xf numFmtId="166" fontId="7" fillId="0" borderId="14" xfId="0" applyNumberFormat="1" applyFont="1" applyBorder="1" applyAlignment="1">
      <alignment horizontal="right" vertical="center"/>
    </xf>
    <xf numFmtId="0" fontId="31" fillId="3" borderId="5" xfId="2" applyFont="1" applyFill="1" applyBorder="1" applyAlignment="1">
      <alignment horizontal="centerContinuous" vertical="center"/>
    </xf>
    <xf numFmtId="0" fontId="31" fillId="3" borderId="7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0" fontId="18" fillId="4" borderId="72" xfId="0" applyFont="1" applyFill="1" applyBorder="1" applyAlignment="1">
      <alignment horizontal="centerContinuous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7" fontId="7" fillId="0" borderId="18" xfId="0" applyNumberFormat="1" applyFont="1" applyBorder="1" applyAlignment="1">
      <alignment horizontal="center" vertical="center"/>
    </xf>
    <xf numFmtId="166" fontId="7" fillId="0" borderId="13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7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10" fontId="6" fillId="0" borderId="16" xfId="0" applyNumberFormat="1" applyFont="1" applyBorder="1" applyAlignment="1">
      <alignment horizontal="right" vertical="center"/>
    </xf>
    <xf numFmtId="4" fontId="7" fillId="0" borderId="73" xfId="0" applyNumberFormat="1" applyFont="1" applyBorder="1" applyAlignment="1">
      <alignment horizontal="center" vertical="center"/>
    </xf>
    <xf numFmtId="10" fontId="7" fillId="0" borderId="74" xfId="0" applyNumberFormat="1" applyFont="1" applyBorder="1" applyAlignment="1">
      <alignment horizontal="right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4" fontId="7" fillId="0" borderId="78" xfId="0" applyNumberFormat="1" applyFont="1" applyBorder="1" applyAlignment="1">
      <alignment horizontal="center" vertical="center"/>
    </xf>
    <xf numFmtId="10" fontId="7" fillId="0" borderId="79" xfId="0" applyNumberFormat="1" applyFont="1" applyBorder="1" applyAlignment="1">
      <alignment horizontal="right" vertical="center"/>
    </xf>
    <xf numFmtId="4" fontId="7" fillId="0" borderId="80" xfId="0" applyNumberFormat="1" applyFont="1" applyBorder="1" applyAlignment="1">
      <alignment horizontal="center" vertical="center"/>
    </xf>
    <xf numFmtId="0" fontId="39" fillId="0" borderId="0" xfId="0" applyFont="1"/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0" fontId="20" fillId="0" borderId="4" xfId="0" quotePrefix="1" applyFont="1" applyBorder="1" applyAlignment="1">
      <alignment horizontal="centerContinuous" vertical="center"/>
    </xf>
    <xf numFmtId="4" fontId="4" fillId="0" borderId="15" xfId="0" applyNumberFormat="1" applyFont="1" applyBorder="1" applyAlignment="1">
      <alignment horizontal="center" vertical="center"/>
    </xf>
    <xf numFmtId="4" fontId="4" fillId="0" borderId="8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66" fontId="3" fillId="0" borderId="10" xfId="0" applyNumberFormat="1" applyFont="1" applyBorder="1" applyAlignment="1">
      <alignment horizontal="right" vertical="center"/>
    </xf>
    <xf numFmtId="166" fontId="3" fillId="0" borderId="12" xfId="0" applyNumberFormat="1" applyFont="1" applyBorder="1" applyAlignment="1">
      <alignment horizontal="right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174" fontId="32" fillId="0" borderId="0" xfId="4" applyNumberFormat="1"/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15" fontId="2" fillId="0" borderId="11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3" fillId="0" borderId="17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69" fontId="12" fillId="0" borderId="18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6" xfId="0" applyNumberFormat="1" applyFont="1" applyBorder="1" applyAlignment="1">
      <alignment horizontal="center" vertical="center"/>
    </xf>
    <xf numFmtId="179" fontId="3" fillId="0" borderId="17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7" xfId="0" applyNumberFormat="1" applyFont="1" applyBorder="1" applyAlignment="1">
      <alignment horizontal="center" vertical="center"/>
    </xf>
    <xf numFmtId="4" fontId="30" fillId="0" borderId="61" xfId="0" applyNumberFormat="1" applyFont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0" fontId="31" fillId="4" borderId="23" xfId="0" applyFont="1" applyFill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4" fontId="30" fillId="0" borderId="87" xfId="0" applyNumberFormat="1" applyFont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8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170" fontId="29" fillId="5" borderId="16" xfId="0" applyNumberFormat="1" applyFont="1" applyFill="1" applyBorder="1" applyAlignment="1">
      <alignment horizontal="right" vertical="center"/>
    </xf>
    <xf numFmtId="170" fontId="29" fillId="5" borderId="18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1" fontId="29" fillId="5" borderId="18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2" fontId="29" fillId="5" borderId="18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73" fontId="29" fillId="5" borderId="18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66" fontId="29" fillId="5" borderId="14" xfId="0" applyNumberFormat="1" applyFont="1" applyFill="1" applyBorder="1" applyAlignment="1">
      <alignment horizontal="right" vertical="center"/>
    </xf>
    <xf numFmtId="166" fontId="29" fillId="5" borderId="18" xfId="0" applyNumberFormat="1" applyFont="1" applyFill="1" applyBorder="1" applyAlignment="1">
      <alignment horizontal="right" vertical="center"/>
    </xf>
    <xf numFmtId="0" fontId="40" fillId="0" borderId="0" xfId="0" applyFont="1"/>
    <xf numFmtId="4" fontId="29" fillId="5" borderId="17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31" fillId="4" borderId="83" xfId="0" applyNumberFormat="1" applyFont="1" applyFill="1" applyBorder="1" applyAlignment="1">
      <alignment horizontal="center" vertical="center"/>
    </xf>
    <xf numFmtId="4" fontId="29" fillId="5" borderId="61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87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3" borderId="7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31" fillId="4" borderId="2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0" fontId="41" fillId="0" borderId="0" xfId="0" applyFont="1"/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0" fontId="18" fillId="4" borderId="88" xfId="0" applyFont="1" applyFill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166" fontId="30" fillId="0" borderId="72" xfId="0" applyNumberFormat="1" applyFont="1" applyBorder="1" applyAlignment="1">
      <alignment horizontal="center" vertical="center"/>
    </xf>
    <xf numFmtId="0" fontId="42" fillId="0" borderId="1" xfId="1" applyFont="1"/>
    <xf numFmtId="0" fontId="43" fillId="0" borderId="33" xfId="2" applyFont="1"/>
    <xf numFmtId="0" fontId="43" fillId="0" borderId="2" xfId="3" applyFont="1"/>
    <xf numFmtId="166" fontId="30" fillId="0" borderId="50" xfId="0" applyNumberFormat="1" applyFont="1" applyBorder="1" applyAlignment="1">
      <alignment horizontal="center"/>
    </xf>
    <xf numFmtId="166" fontId="30" fillId="0" borderId="91" xfId="0" applyNumberFormat="1" applyFont="1" applyBorder="1" applyAlignment="1">
      <alignment horizontal="center"/>
    </xf>
    <xf numFmtId="0" fontId="30" fillId="0" borderId="51" xfId="0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1" fillId="0" borderId="90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18" xfId="0" applyNumberFormat="1" applyFont="1" applyBorder="1" applyAlignment="1">
      <alignment horizontal="center" vertical="center"/>
    </xf>
    <xf numFmtId="4" fontId="31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18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20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16" sqref="B16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134</v>
      </c>
      <c r="C2" s="3"/>
    </row>
    <row r="4" spans="2:3" x14ac:dyDescent="0.25">
      <c r="B4" s="239" t="s">
        <v>124</v>
      </c>
      <c r="C4" s="240"/>
    </row>
    <row r="5" spans="2:3" x14ac:dyDescent="0.25">
      <c r="B5" s="241" t="s">
        <v>187</v>
      </c>
      <c r="C5" s="241"/>
    </row>
    <row r="6" spans="2:3" x14ac:dyDescent="0.25">
      <c r="B6" s="241" t="s">
        <v>188</v>
      </c>
      <c r="C6" s="241"/>
    </row>
    <row r="8" spans="2:3" x14ac:dyDescent="0.25">
      <c r="B8" s="12" t="s">
        <v>170</v>
      </c>
      <c r="C8" s="157"/>
    </row>
    <row r="9" spans="2:3" x14ac:dyDescent="0.25">
      <c r="B9" s="224" t="s">
        <v>1</v>
      </c>
    </row>
    <row r="10" spans="2:3" x14ac:dyDescent="0.25">
      <c r="B10" t="s">
        <v>22</v>
      </c>
    </row>
    <row r="14" spans="2:3" x14ac:dyDescent="0.25">
      <c r="B14" s="12" t="s">
        <v>135</v>
      </c>
      <c r="C14" s="157"/>
    </row>
    <row r="15" spans="2:3" x14ac:dyDescent="0.25">
      <c r="B15" s="224" t="s">
        <v>138</v>
      </c>
      <c r="C15" s="185" t="str">
        <f ca="1">'Test Utils'!C4</f>
        <v>OK</v>
      </c>
    </row>
    <row r="16" spans="2:3" x14ac:dyDescent="0.25">
      <c r="B16" s="224" t="s">
        <v>90</v>
      </c>
      <c r="C16" s="185" t="str">
        <f ca="1">'Table Formatting'!C4</f>
        <v>OK</v>
      </c>
    </row>
    <row r="21" spans="5:5" x14ac:dyDescent="0.25">
      <c r="E21" s="185"/>
    </row>
  </sheetData>
  <conditionalFormatting sqref="C15">
    <cfRule type="cellIs" dxfId="208" priority="1" stopIfTrue="1" operator="equal">
      <formula>"OK"</formula>
    </cfRule>
    <cfRule type="cellIs" dxfId="207" priority="2" stopIfTrue="1" operator="equal">
      <formula>"ERROR"</formula>
    </cfRule>
  </conditionalFormatting>
  <conditionalFormatting sqref="C16">
    <cfRule type="cellIs" dxfId="206" priority="3" stopIfTrue="1" operator="equal">
      <formula>"OK"</formula>
    </cfRule>
    <cfRule type="cellIs" dxfId="205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59"/>
  <sheetViews>
    <sheetView showGridLines="0" tabSelected="1" topLeftCell="O10" zoomScaleNormal="100" workbookViewId="0">
      <selection activeCell="Z23" sqref="Z23"/>
    </sheetView>
  </sheetViews>
  <sheetFormatPr defaultRowHeight="12.75" x14ac:dyDescent="0.2"/>
  <cols>
    <col min="1" max="1" width="3.75" style="376" customWidth="1"/>
    <col min="2" max="2" width="18" style="376" customWidth="1"/>
    <col min="3" max="3" width="14.25" style="376" customWidth="1"/>
    <col min="4" max="4" width="11.375" style="376" customWidth="1"/>
    <col min="5" max="5" width="10.75" style="376" customWidth="1"/>
    <col min="6" max="6" width="13.875" style="376" bestFit="1" customWidth="1"/>
    <col min="7" max="7" width="12.375" style="376" customWidth="1"/>
    <col min="8" max="8" width="8.625" style="376" customWidth="1"/>
    <col min="9" max="9" width="10.875" style="376" customWidth="1"/>
    <col min="10" max="10" width="8.875" style="376" bestFit="1" customWidth="1"/>
    <col min="11" max="11" width="9.625" style="376" customWidth="1"/>
    <col min="12" max="12" width="10" style="376" customWidth="1"/>
    <col min="13" max="13" width="13.875" style="376" bestFit="1" customWidth="1"/>
    <col min="14" max="14" width="9.375" style="376" customWidth="1"/>
    <col min="15" max="15" width="10" style="376" customWidth="1"/>
    <col min="16" max="16" width="9" style="376"/>
    <col min="17" max="17" width="8.875" style="376" bestFit="1" customWidth="1"/>
    <col min="18" max="18" width="10.625" style="376" customWidth="1"/>
    <col min="19" max="19" width="9" style="376"/>
    <col min="20" max="20" width="13.875" style="376" bestFit="1" customWidth="1"/>
    <col min="21" max="16384" width="9" style="376"/>
  </cols>
  <sheetData>
    <row r="2" spans="2:21" ht="26.25" x14ac:dyDescent="0.4">
      <c r="B2" s="2" t="s">
        <v>0</v>
      </c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4"/>
      <c r="U2" s="384"/>
    </row>
    <row r="4" spans="2:21" x14ac:dyDescent="0.2">
      <c r="B4" s="59" t="s">
        <v>171</v>
      </c>
      <c r="C4" s="379" t="str" cm="1">
        <f t="array" aca="1" ref="C4" ca="1">_xll.d.TestUtils_And(C8:C11)</f>
        <v>OK</v>
      </c>
    </row>
    <row r="7" spans="2:21" x14ac:dyDescent="0.2">
      <c r="B7" s="228" t="s">
        <v>248</v>
      </c>
      <c r="C7" s="229" t="s">
        <v>11</v>
      </c>
    </row>
    <row r="8" spans="2:21" x14ac:dyDescent="0.2">
      <c r="B8" s="238" t="s">
        <v>266</v>
      </c>
      <c r="C8" s="379" t="str">
        <f ca="1">C16</f>
        <v>OK</v>
      </c>
    </row>
    <row r="9" spans="2:21" x14ac:dyDescent="0.2">
      <c r="B9" s="238" t="s">
        <v>273</v>
      </c>
      <c r="C9" s="379"/>
    </row>
    <row r="10" spans="2:21" x14ac:dyDescent="0.2">
      <c r="B10" s="238" t="s">
        <v>274</v>
      </c>
      <c r="C10" s="379"/>
    </row>
    <row r="11" spans="2:21" x14ac:dyDescent="0.2">
      <c r="B11" s="238" t="s">
        <v>265</v>
      </c>
      <c r="C11" s="379"/>
    </row>
    <row r="14" spans="2:21" ht="18.75" x14ac:dyDescent="0.3">
      <c r="B14" s="3" t="s">
        <v>266</v>
      </c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</row>
    <row r="16" spans="2:21" x14ac:dyDescent="0.2">
      <c r="B16" s="59" t="s">
        <v>171</v>
      </c>
      <c r="C16" s="379" t="str" cm="1">
        <f t="array" aca="1" ref="C16" ca="1">_xll.d.TestUtils_And(G22,N22,U22)</f>
        <v>OK</v>
      </c>
    </row>
    <row r="18" spans="2:28" x14ac:dyDescent="0.2">
      <c r="G18" s="377"/>
    </row>
    <row r="19" spans="2:28" ht="15.75" x14ac:dyDescent="0.25">
      <c r="B19" s="4" t="s">
        <v>269</v>
      </c>
      <c r="C19" s="386"/>
      <c r="D19" s="386"/>
      <c r="E19" s="386"/>
      <c r="F19" s="386"/>
      <c r="G19" s="386"/>
      <c r="I19" s="4" t="s">
        <v>271</v>
      </c>
      <c r="J19" s="4"/>
      <c r="K19" s="386"/>
      <c r="L19" s="386"/>
      <c r="M19" s="386"/>
      <c r="N19" s="386"/>
      <c r="P19" s="4" t="s">
        <v>272</v>
      </c>
      <c r="Q19" s="386"/>
      <c r="R19" s="386"/>
      <c r="S19" s="386"/>
      <c r="T19" s="386"/>
      <c r="U19" s="386"/>
      <c r="W19" s="4" t="s">
        <v>281</v>
      </c>
      <c r="X19" s="386"/>
      <c r="Y19" s="386"/>
      <c r="Z19" s="386"/>
      <c r="AA19" s="386"/>
      <c r="AB19" s="386"/>
    </row>
    <row r="20" spans="2:28" x14ac:dyDescent="0.2">
      <c r="G20" s="377"/>
    </row>
    <row r="21" spans="2:28" x14ac:dyDescent="0.2">
      <c r="B21" s="138" t="s">
        <v>268</v>
      </c>
      <c r="C21" s="139"/>
      <c r="E21" s="138" t="s">
        <v>144</v>
      </c>
      <c r="F21" s="138" t="s">
        <v>270</v>
      </c>
      <c r="G21" s="138" t="s">
        <v>88</v>
      </c>
      <c r="I21" s="138" t="s">
        <v>268</v>
      </c>
      <c r="J21" s="139"/>
      <c r="L21" s="138" t="s">
        <v>144</v>
      </c>
      <c r="M21" s="138" t="s">
        <v>270</v>
      </c>
      <c r="N21" s="138" t="s">
        <v>88</v>
      </c>
      <c r="P21" s="138" t="s">
        <v>268</v>
      </c>
      <c r="Q21" s="139"/>
      <c r="S21" s="138" t="s">
        <v>144</v>
      </c>
      <c r="T21" s="138" t="s">
        <v>270</v>
      </c>
      <c r="U21" s="138" t="s">
        <v>88</v>
      </c>
      <c r="W21" s="138" t="s">
        <v>268</v>
      </c>
      <c r="X21" s="139"/>
      <c r="Z21" s="138" t="s">
        <v>144</v>
      </c>
      <c r="AA21" s="138" t="s">
        <v>270</v>
      </c>
      <c r="AB21" s="138" t="s">
        <v>88</v>
      </c>
    </row>
    <row r="22" spans="2:28" x14ac:dyDescent="0.2">
      <c r="B22" s="382" t="s">
        <v>35</v>
      </c>
      <c r="C22" s="383">
        <v>44742</v>
      </c>
      <c r="E22" s="387" cm="1">
        <f t="array" aca="1" ref="E22" ca="1">_xll.d.Date_FolDay(C22,B24:B26)</f>
        <v>44743</v>
      </c>
      <c r="F22" s="388">
        <v>44743</v>
      </c>
      <c r="G22" s="389" t="str" cm="1">
        <f t="array" aca="1" ref="G22" ca="1">_xll.d.TestUtils_Equal(E22,F22)</f>
        <v>OK</v>
      </c>
      <c r="I22" s="140" t="s">
        <v>35</v>
      </c>
      <c r="J22" s="380">
        <v>44728</v>
      </c>
      <c r="L22" s="387" cm="1">
        <f t="array" aca="1" ref="L22" ca="1">_xll.d.Date_FolDay(J22,J23)</f>
        <v>44729</v>
      </c>
      <c r="M22" s="388">
        <v>44729</v>
      </c>
      <c r="N22" s="389" t="str" cm="1">
        <f t="array" aca="1" ref="N22" ca="1">_xll.d.TestUtils_Equal(L22,M22)</f>
        <v>OK</v>
      </c>
      <c r="P22" s="140" t="s">
        <v>35</v>
      </c>
      <c r="Q22" s="380">
        <v>44746</v>
      </c>
      <c r="S22" s="387" cm="1">
        <f t="array" aca="1" ref="S22" ca="1">_xll.d.Date_FolDay(Q22,Q23)</f>
        <v>44747</v>
      </c>
      <c r="T22" s="388">
        <v>44747</v>
      </c>
      <c r="U22" s="389" t="str" cm="1">
        <f t="array" aca="1" ref="U22" ca="1">_xll.d.TestUtils_Equal(S22,T22)</f>
        <v>OK</v>
      </c>
      <c r="W22" s="140" t="s">
        <v>35</v>
      </c>
      <c r="X22" s="380">
        <v>44746</v>
      </c>
      <c r="Z22" s="387" t="e" cm="1">
        <f t="array" aca="1" ref="Z22" ca="1">_xll.d.Date_FolDay(X22,X23)</f>
        <v>#VALUE!</v>
      </c>
      <c r="AA22" s="388">
        <v>44747</v>
      </c>
      <c r="AB22" s="389" t="str" cm="1">
        <f t="array" aca="1" ref="AB22" ca="1">_xll.d.TestUtils_Equal(Z22,AA22)</f>
        <v>OK</v>
      </c>
    </row>
    <row r="23" spans="2:28" x14ac:dyDescent="0.2">
      <c r="G23" s="377"/>
      <c r="I23" s="144" t="s">
        <v>254</v>
      </c>
      <c r="J23" s="145" t="s">
        <v>71</v>
      </c>
      <c r="P23" s="144" t="s">
        <v>254</v>
      </c>
      <c r="Q23" s="145" t="s">
        <v>275</v>
      </c>
      <c r="W23" s="144" t="s">
        <v>254</v>
      </c>
      <c r="X23" s="145" t="s">
        <v>282</v>
      </c>
    </row>
    <row r="24" spans="2:28" x14ac:dyDescent="0.2">
      <c r="B24" s="381" t="s">
        <v>267</v>
      </c>
      <c r="G24" s="377"/>
    </row>
    <row r="25" spans="2:28" x14ac:dyDescent="0.2">
      <c r="B25" s="390">
        <v>44742</v>
      </c>
    </row>
    <row r="26" spans="2:28" x14ac:dyDescent="0.2">
      <c r="B26" s="391">
        <v>44920</v>
      </c>
      <c r="G26" s="377"/>
    </row>
    <row r="27" spans="2:28" x14ac:dyDescent="0.2">
      <c r="G27" s="377"/>
    </row>
    <row r="28" spans="2:28" x14ac:dyDescent="0.2">
      <c r="G28" s="377"/>
    </row>
    <row r="29" spans="2:28" ht="18.75" x14ac:dyDescent="0.3">
      <c r="B29" s="3" t="s">
        <v>276</v>
      </c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5"/>
    </row>
    <row r="30" spans="2:28" x14ac:dyDescent="0.2">
      <c r="G30" s="377"/>
    </row>
    <row r="31" spans="2:28" x14ac:dyDescent="0.2">
      <c r="B31" s="59" t="s">
        <v>171</v>
      </c>
      <c r="C31" s="379" t="str" cm="1">
        <f t="array" aca="1" ref="C31" ca="1">_xll.d.TestUtils_And(G37:G45)</f>
        <v>ERROR</v>
      </c>
      <c r="G31" s="377"/>
    </row>
    <row r="32" spans="2:28" x14ac:dyDescent="0.2">
      <c r="G32" s="377"/>
    </row>
    <row r="33" spans="2:14" x14ac:dyDescent="0.2">
      <c r="G33" s="377"/>
    </row>
    <row r="34" spans="2:14" ht="15.75" x14ac:dyDescent="0.25">
      <c r="B34" s="4" t="s">
        <v>279</v>
      </c>
      <c r="C34" s="386"/>
      <c r="D34" s="386"/>
      <c r="E34" s="386"/>
      <c r="F34" s="386"/>
      <c r="G34" s="386"/>
      <c r="I34" s="4" t="s">
        <v>280</v>
      </c>
      <c r="J34" s="386"/>
      <c r="K34" s="386"/>
      <c r="L34" s="386"/>
      <c r="M34" s="386"/>
      <c r="N34" s="386"/>
    </row>
    <row r="35" spans="2:14" x14ac:dyDescent="0.2">
      <c r="G35" s="377"/>
      <c r="N35" s="377"/>
    </row>
    <row r="36" spans="2:14" x14ac:dyDescent="0.2">
      <c r="B36" s="138" t="s">
        <v>268</v>
      </c>
      <c r="C36" s="139"/>
      <c r="E36" s="12" t="s">
        <v>144</v>
      </c>
      <c r="F36" s="27" t="s">
        <v>270</v>
      </c>
      <c r="G36" s="139" t="s">
        <v>88</v>
      </c>
      <c r="I36" s="138" t="s">
        <v>268</v>
      </c>
      <c r="J36" s="139"/>
      <c r="L36" s="12" t="s">
        <v>144</v>
      </c>
      <c r="M36" s="27" t="s">
        <v>270</v>
      </c>
      <c r="N36" s="139" t="s">
        <v>88</v>
      </c>
    </row>
    <row r="37" spans="2:14" x14ac:dyDescent="0.2">
      <c r="B37" s="140" t="s">
        <v>277</v>
      </c>
      <c r="C37" s="380">
        <v>44562</v>
      </c>
      <c r="E37" s="393" cm="1">
        <f t="array" aca="1" ref="E37:E150" ca="1">_xll.d.Date_GetListOfHolidays(C37,C38,C39)</f>
        <v>44562</v>
      </c>
      <c r="F37" s="394">
        <v>44641</v>
      </c>
      <c r="G37" s="141" t="str" cm="1">
        <f t="array" aca="1" ref="G37" ca="1">_xll.d.TestUtils_Equal(E37,F37)</f>
        <v>ERROR</v>
      </c>
      <c r="I37" s="140" t="s">
        <v>277</v>
      </c>
      <c r="J37" s="380">
        <v>44562</v>
      </c>
      <c r="L37" s="393">
        <f t="array" aca="1" ref="L37:L159" ca="1">_xll.d.Date_GetListOfHolidays(J37,J38,J39)</f>
        <v>44562</v>
      </c>
      <c r="M37" s="394">
        <v>44578</v>
      </c>
      <c r="N37" s="141" t="str" cm="1">
        <f t="array" aca="1" ref="N37" ca="1">_xll.d.TestUtils_Equal(L37,M37)</f>
        <v>OK</v>
      </c>
    </row>
    <row r="38" spans="2:14" x14ac:dyDescent="0.2">
      <c r="B38" s="142" t="s">
        <v>278</v>
      </c>
      <c r="C38" s="392">
        <v>44926</v>
      </c>
      <c r="E38" s="395">
        <f ca="1"/>
        <v>44563</v>
      </c>
      <c r="F38" s="396">
        <v>44666</v>
      </c>
      <c r="G38" s="143" t="str" cm="1">
        <f t="array" aca="1" ref="G38" ca="1">_xll.d.TestUtils_Equal(E38,F38)</f>
        <v>ERROR</v>
      </c>
      <c r="I38" s="142" t="s">
        <v>278</v>
      </c>
      <c r="J38" s="392">
        <v>44926</v>
      </c>
      <c r="L38" s="395">
        <f ca="1"/>
        <v>44563</v>
      </c>
      <c r="M38" s="396">
        <v>44613</v>
      </c>
      <c r="N38" s="143" t="str" cm="1">
        <f t="array" aca="1" ref="N38" ca="1">_xll.d.TestUtils_Equal(L38,M38)</f>
        <v>OK</v>
      </c>
    </row>
    <row r="39" spans="2:14" x14ac:dyDescent="0.2">
      <c r="B39" s="144" t="s">
        <v>254</v>
      </c>
      <c r="C39" s="145" t="s">
        <v>71</v>
      </c>
      <c r="E39" s="395">
        <f ca="1"/>
        <v>44569</v>
      </c>
      <c r="F39" s="396">
        <v>44669</v>
      </c>
      <c r="G39" s="143" t="str" cm="1">
        <f t="array" aca="1" ref="G39" ca="1">_xll.d.TestUtils_Equal(E39,F39)</f>
        <v>ERROR</v>
      </c>
      <c r="I39" s="144" t="s">
        <v>254</v>
      </c>
      <c r="J39" s="145" t="s">
        <v>275</v>
      </c>
      <c r="L39" s="395">
        <f ca="1"/>
        <v>44569</v>
      </c>
      <c r="M39" s="396">
        <v>44641</v>
      </c>
      <c r="N39" s="143" t="str" cm="1">
        <f t="array" aca="1" ref="N39" ca="1">_xll.d.TestUtils_Equal(L39,M39)</f>
        <v>OK</v>
      </c>
    </row>
    <row r="40" spans="2:14" x14ac:dyDescent="0.2">
      <c r="E40" s="395">
        <f ca="1"/>
        <v>44570</v>
      </c>
      <c r="F40" s="396">
        <v>44678</v>
      </c>
      <c r="G40" s="143" t="str" cm="1">
        <f t="array" aca="1" ref="G40" ca="1">_xll.d.TestUtils_Equal(E40,F40)</f>
        <v>ERROR</v>
      </c>
      <c r="L40" s="395">
        <f ca="1"/>
        <v>44570</v>
      </c>
      <c r="M40" s="396">
        <v>44666</v>
      </c>
      <c r="N40" s="143" t="str" cm="1">
        <f t="array" aca="1" ref="N40" ca="1">_xll.d.TestUtils_Equal(L40,M40)</f>
        <v>OK</v>
      </c>
    </row>
    <row r="41" spans="2:14" x14ac:dyDescent="0.2">
      <c r="E41" s="395">
        <f ca="1"/>
        <v>44576</v>
      </c>
      <c r="F41" s="396">
        <v>44683</v>
      </c>
      <c r="G41" s="143" t="str" cm="1">
        <f t="array" aca="1" ref="G41" ca="1">_xll.d.TestUtils_Equal(E41,F41)</f>
        <v>ERROR</v>
      </c>
      <c r="L41" s="395">
        <f ca="1"/>
        <v>44576</v>
      </c>
      <c r="M41" s="396">
        <v>44669</v>
      </c>
      <c r="N41" s="143" t="str" cm="1">
        <f t="array" aca="1" ref="N41" ca="1">_xll.d.TestUtils_Equal(L41,M41)</f>
        <v>OK</v>
      </c>
    </row>
    <row r="42" spans="2:14" x14ac:dyDescent="0.2">
      <c r="E42" s="395">
        <f ca="1"/>
        <v>44577</v>
      </c>
      <c r="F42" s="396">
        <v>44728</v>
      </c>
      <c r="G42" s="143" t="str" cm="1">
        <f t="array" aca="1" ref="G42" ca="1">_xll.d.TestUtils_Equal(E42,F42)</f>
        <v>ERROR</v>
      </c>
      <c r="L42" s="395">
        <f ca="1"/>
        <v>44577</v>
      </c>
      <c r="M42" s="396">
        <v>44678</v>
      </c>
      <c r="N42" s="143" t="str" cm="1">
        <f t="array" aca="1" ref="N42" ca="1">_xll.d.TestUtils_Equal(L42,M42)</f>
        <v>OK</v>
      </c>
    </row>
    <row r="43" spans="2:14" x14ac:dyDescent="0.2">
      <c r="E43" s="395">
        <f ca="1"/>
        <v>44583</v>
      </c>
      <c r="F43" s="396">
        <v>44782</v>
      </c>
      <c r="G43" s="143" t="str" cm="1">
        <f t="array" aca="1" ref="G43" ca="1">_xll.d.TestUtils_Equal(E43,F43)</f>
        <v>ERROR</v>
      </c>
      <c r="L43" s="395">
        <f ca="1"/>
        <v>44578</v>
      </c>
      <c r="M43" s="396">
        <v>44683</v>
      </c>
      <c r="N43" s="143" t="str" cm="1">
        <f t="array" aca="1" ref="N43" ca="1">_xll.d.TestUtils_Equal(L43,M43)</f>
        <v>OK</v>
      </c>
    </row>
    <row r="44" spans="2:14" x14ac:dyDescent="0.2">
      <c r="E44" s="395">
        <f ca="1"/>
        <v>44584</v>
      </c>
      <c r="F44" s="396">
        <v>44911</v>
      </c>
      <c r="G44" s="143" t="str" cm="1">
        <f t="array" aca="1" ref="G44" ca="1">_xll.d.TestUtils_Equal(E44,F44)</f>
        <v>ERROR</v>
      </c>
      <c r="L44" s="395">
        <f ca="1"/>
        <v>44583</v>
      </c>
      <c r="M44" s="396">
        <v>44711</v>
      </c>
      <c r="N44" s="143" t="str" cm="1">
        <f t="array" aca="1" ref="N44" ca="1">_xll.d.TestUtils_Equal(L44,M44)</f>
        <v>OK</v>
      </c>
    </row>
    <row r="45" spans="2:14" x14ac:dyDescent="0.2">
      <c r="E45" s="397">
        <f ca="1"/>
        <v>44590</v>
      </c>
      <c r="F45" s="398">
        <v>44921</v>
      </c>
      <c r="G45" s="145" t="str" cm="1">
        <f t="array" aca="1" ref="G45" ca="1">_xll.d.TestUtils_Equal(E45,F45)</f>
        <v>ERROR</v>
      </c>
      <c r="L45" s="395">
        <f ca="1"/>
        <v>44584</v>
      </c>
      <c r="M45" s="396">
        <v>44728</v>
      </c>
      <c r="N45" s="143" t="str" cm="1">
        <f t="array" aca="1" ref="N45" ca="1">_xll.d.TestUtils_Equal(L45,M45)</f>
        <v>OK</v>
      </c>
    </row>
    <row r="46" spans="2:14" x14ac:dyDescent="0.2">
      <c r="E46" s="376">
        <f ca="1"/>
        <v>44591</v>
      </c>
      <c r="G46" s="377"/>
      <c r="L46" s="395">
        <f ca="1"/>
        <v>44590</v>
      </c>
      <c r="M46" s="396">
        <v>44732</v>
      </c>
      <c r="N46" s="143" t="str" cm="1">
        <f t="array" aca="1" ref="N46" ca="1">_xll.d.TestUtils_Equal(L46,M46)</f>
        <v>OK</v>
      </c>
    </row>
    <row r="47" spans="2:14" x14ac:dyDescent="0.2">
      <c r="E47" s="376">
        <f ca="1"/>
        <v>44597</v>
      </c>
      <c r="G47" s="377"/>
      <c r="L47" s="395">
        <f ca="1"/>
        <v>44591</v>
      </c>
      <c r="M47" s="396">
        <v>44746</v>
      </c>
      <c r="N47" s="143" t="str" cm="1">
        <f t="array" aca="1" ref="N47" ca="1">_xll.d.TestUtils_Equal(L47,M47)</f>
        <v>OK</v>
      </c>
    </row>
    <row r="48" spans="2:14" x14ac:dyDescent="0.2">
      <c r="E48" s="376">
        <f ca="1"/>
        <v>44598</v>
      </c>
      <c r="G48" s="377"/>
      <c r="L48" s="395">
        <f ca="1"/>
        <v>44597</v>
      </c>
      <c r="M48" s="396">
        <v>44782</v>
      </c>
      <c r="N48" s="143" t="str" cm="1">
        <f t="array" aca="1" ref="N48" ca="1">_xll.d.TestUtils_Equal(L48,M48)</f>
        <v>OK</v>
      </c>
    </row>
    <row r="49" spans="2:21" x14ac:dyDescent="0.2">
      <c r="E49" s="376">
        <f ca="1"/>
        <v>44604</v>
      </c>
      <c r="G49" s="377"/>
      <c r="L49" s="395">
        <f ca="1"/>
        <v>44598</v>
      </c>
      <c r="M49" s="396">
        <v>44809</v>
      </c>
      <c r="N49" s="143" t="str" cm="1">
        <f t="array" aca="1" ref="N49" ca="1">_xll.d.TestUtils_Equal(L49,M49)</f>
        <v>OK</v>
      </c>
    </row>
    <row r="50" spans="2:21" x14ac:dyDescent="0.2">
      <c r="E50" s="376">
        <f ca="1"/>
        <v>44605</v>
      </c>
      <c r="G50" s="377"/>
      <c r="L50" s="395">
        <f ca="1"/>
        <v>44604</v>
      </c>
      <c r="M50" s="396">
        <v>44844</v>
      </c>
      <c r="N50" s="143" t="str" cm="1">
        <f t="array" aca="1" ref="N50" ca="1">_xll.d.TestUtils_Equal(L50,M50)</f>
        <v>OK</v>
      </c>
    </row>
    <row r="51" spans="2:21" x14ac:dyDescent="0.2">
      <c r="E51" s="376">
        <f ca="1"/>
        <v>44611</v>
      </c>
      <c r="G51" s="377"/>
      <c r="L51" s="395">
        <f ca="1"/>
        <v>44605</v>
      </c>
      <c r="M51" s="396">
        <v>44876</v>
      </c>
      <c r="N51" s="143" t="str" cm="1">
        <f t="array" aca="1" ref="N51" ca="1">_xll.d.TestUtils_Equal(L51,M51)</f>
        <v>OK</v>
      </c>
    </row>
    <row r="52" spans="2:21" x14ac:dyDescent="0.2">
      <c r="E52" s="376">
        <f ca="1"/>
        <v>44612</v>
      </c>
      <c r="G52" s="377"/>
      <c r="L52" s="395">
        <f ca="1"/>
        <v>44611</v>
      </c>
      <c r="M52" s="396">
        <v>44889</v>
      </c>
      <c r="N52" s="143" t="str" cm="1">
        <f t="array" aca="1" ref="N52" ca="1">_xll.d.TestUtils_Equal(L52,M52)</f>
        <v>ERROR</v>
      </c>
    </row>
    <row r="53" spans="2:21" x14ac:dyDescent="0.2">
      <c r="E53" s="376">
        <f ca="1"/>
        <v>44618</v>
      </c>
      <c r="G53" s="377"/>
      <c r="L53" s="395">
        <f ca="1"/>
        <v>44612</v>
      </c>
      <c r="M53" s="396">
        <v>44911</v>
      </c>
      <c r="N53" s="143" t="str" cm="1">
        <f t="array" aca="1" ref="N53" ca="1">_xll.d.TestUtils_Equal(L53,M53)</f>
        <v>ERROR</v>
      </c>
    </row>
    <row r="54" spans="2:21" x14ac:dyDescent="0.2">
      <c r="E54" s="376">
        <f ca="1"/>
        <v>44619</v>
      </c>
      <c r="G54" s="377"/>
      <c r="L54" s="397">
        <f ca="1"/>
        <v>44613</v>
      </c>
      <c r="M54" s="398">
        <v>44921</v>
      </c>
      <c r="N54" s="145" t="str" cm="1">
        <f t="array" aca="1" ref="N54" ca="1">_xll.d.TestUtils_Equal(L54,M54)</f>
        <v>ERROR</v>
      </c>
    </row>
    <row r="55" spans="2:21" x14ac:dyDescent="0.2">
      <c r="E55" s="376">
        <f ca="1"/>
        <v>44625</v>
      </c>
      <c r="G55" s="377"/>
      <c r="L55" s="376">
        <f ca="1"/>
        <v>44618</v>
      </c>
    </row>
    <row r="56" spans="2:21" x14ac:dyDescent="0.2">
      <c r="E56" s="376">
        <f ca="1"/>
        <v>44626</v>
      </c>
      <c r="G56" s="377"/>
      <c r="L56" s="376">
        <f ca="1"/>
        <v>44619</v>
      </c>
    </row>
    <row r="57" spans="2:21" ht="18.75" x14ac:dyDescent="0.3">
      <c r="B57" s="3" t="s">
        <v>265</v>
      </c>
      <c r="C57" s="385"/>
      <c r="D57" s="385"/>
      <c r="E57" s="385">
        <f ca="1"/>
        <v>44632</v>
      </c>
      <c r="F57" s="385"/>
      <c r="G57" s="385"/>
      <c r="H57" s="385"/>
      <c r="I57" s="385"/>
      <c r="J57" s="385"/>
      <c r="K57" s="385"/>
      <c r="L57" s="385">
        <f ca="1"/>
        <v>44625</v>
      </c>
      <c r="M57" s="385"/>
      <c r="N57" s="385"/>
      <c r="O57" s="385"/>
      <c r="P57" s="385"/>
      <c r="Q57" s="385"/>
      <c r="R57" s="385"/>
      <c r="S57" s="385"/>
      <c r="T57" s="385"/>
      <c r="U57" s="385"/>
    </row>
    <row r="58" spans="2:21" x14ac:dyDescent="0.2">
      <c r="E58" s="376">
        <f ca="1"/>
        <v>44633</v>
      </c>
      <c r="L58" s="376">
        <f ca="1"/>
        <v>44626</v>
      </c>
    </row>
    <row r="59" spans="2:21" x14ac:dyDescent="0.2">
      <c r="B59" s="66" t="s">
        <v>115</v>
      </c>
      <c r="C59" s="379"/>
      <c r="E59" s="376">
        <f ca="1"/>
        <v>44639</v>
      </c>
      <c r="L59" s="376">
        <f ca="1"/>
        <v>44632</v>
      </c>
    </row>
    <row r="60" spans="2:21" x14ac:dyDescent="0.2">
      <c r="E60" s="376">
        <f ca="1"/>
        <v>44640</v>
      </c>
      <c r="L60" s="376">
        <f ca="1"/>
        <v>44633</v>
      </c>
    </row>
    <row r="61" spans="2:21" x14ac:dyDescent="0.2">
      <c r="B61" s="375" t="s">
        <v>35</v>
      </c>
      <c r="C61" s="377">
        <v>44742</v>
      </c>
      <c r="E61" s="376">
        <f ca="1"/>
        <v>44641</v>
      </c>
      <c r="L61" s="376">
        <f ca="1"/>
        <v>44639</v>
      </c>
    </row>
    <row r="62" spans="2:21" x14ac:dyDescent="0.2">
      <c r="B62" s="375" t="s">
        <v>24</v>
      </c>
      <c r="C62" s="378" t="s">
        <v>26</v>
      </c>
      <c r="E62" s="376">
        <f ca="1"/>
        <v>44646</v>
      </c>
      <c r="L62" s="376">
        <f ca="1"/>
        <v>44640</v>
      </c>
    </row>
    <row r="63" spans="2:21" x14ac:dyDescent="0.2">
      <c r="B63" s="375" t="s">
        <v>254</v>
      </c>
      <c r="C63" s="378" t="s">
        <v>71</v>
      </c>
      <c r="E63" s="376">
        <f ca="1"/>
        <v>44647</v>
      </c>
      <c r="L63" s="376">
        <f ca="1"/>
        <v>44641</v>
      </c>
    </row>
    <row r="64" spans="2:21" x14ac:dyDescent="0.2">
      <c r="B64" s="375" t="s">
        <v>255</v>
      </c>
      <c r="C64" s="378" t="s">
        <v>256</v>
      </c>
      <c r="E64" s="376">
        <f ca="1"/>
        <v>44653</v>
      </c>
      <c r="L64" s="376">
        <f ca="1"/>
        <v>44646</v>
      </c>
    </row>
    <row r="65" spans="2:12" x14ac:dyDescent="0.2">
      <c r="E65" s="376">
        <f ca="1"/>
        <v>44654</v>
      </c>
      <c r="L65" s="376">
        <f ca="1"/>
        <v>44647</v>
      </c>
    </row>
    <row r="66" spans="2:12" x14ac:dyDescent="0.2">
      <c r="E66" s="376">
        <f ca="1"/>
        <v>44660</v>
      </c>
      <c r="L66" s="376">
        <f ca="1"/>
        <v>44653</v>
      </c>
    </row>
    <row r="67" spans="2:12" x14ac:dyDescent="0.2">
      <c r="B67" s="375" t="s">
        <v>87</v>
      </c>
      <c r="C67" s="377">
        <v>44834</v>
      </c>
      <c r="E67" s="376">
        <f ca="1"/>
        <v>44661</v>
      </c>
      <c r="L67" s="376">
        <f ca="1"/>
        <v>44654</v>
      </c>
    </row>
    <row r="68" spans="2:12" x14ac:dyDescent="0.2">
      <c r="B68" s="375" t="s">
        <v>86</v>
      </c>
      <c r="C68" s="376" cm="1">
        <f t="array" ref="C68">_xll.d.Date_AddTenorToDate(C61,C62,C63,C64)</f>
        <v>44834</v>
      </c>
      <c r="E68" s="376">
        <f ca="1"/>
        <v>44666</v>
      </c>
      <c r="L68" s="376">
        <f ca="1"/>
        <v>44660</v>
      </c>
    </row>
    <row r="69" spans="2:12" x14ac:dyDescent="0.2">
      <c r="B69" s="375" t="s">
        <v>10</v>
      </c>
      <c r="C69" s="379" t="str" cm="1">
        <f t="array" ref="C69">_xll.d.TestUtils_Equal(C67,C68)</f>
        <v>OK</v>
      </c>
      <c r="E69" s="376">
        <f ca="1"/>
        <v>44667</v>
      </c>
      <c r="L69" s="376">
        <f ca="1"/>
        <v>44661</v>
      </c>
    </row>
    <row r="70" spans="2:12" x14ac:dyDescent="0.2">
      <c r="E70" s="376">
        <f ca="1"/>
        <v>44668</v>
      </c>
      <c r="L70" s="376">
        <f ca="1"/>
        <v>44666</v>
      </c>
    </row>
    <row r="71" spans="2:12" x14ac:dyDescent="0.2">
      <c r="E71" s="376">
        <f ca="1"/>
        <v>44669</v>
      </c>
      <c r="L71" s="376">
        <f ca="1"/>
        <v>44667</v>
      </c>
    </row>
    <row r="72" spans="2:12" x14ac:dyDescent="0.2">
      <c r="E72" s="376">
        <f ca="1"/>
        <v>44674</v>
      </c>
      <c r="L72" s="376">
        <f ca="1"/>
        <v>44668</v>
      </c>
    </row>
    <row r="73" spans="2:12" x14ac:dyDescent="0.2">
      <c r="E73" s="376">
        <f ca="1"/>
        <v>44675</v>
      </c>
      <c r="L73" s="376">
        <f ca="1"/>
        <v>44669</v>
      </c>
    </row>
    <row r="74" spans="2:12" x14ac:dyDescent="0.2">
      <c r="E74" s="376">
        <f ca="1"/>
        <v>44678</v>
      </c>
      <c r="L74" s="376">
        <f ca="1"/>
        <v>44674</v>
      </c>
    </row>
    <row r="75" spans="2:12" x14ac:dyDescent="0.2">
      <c r="E75" s="376">
        <f ca="1"/>
        <v>44681</v>
      </c>
      <c r="L75" s="376">
        <f ca="1"/>
        <v>44675</v>
      </c>
    </row>
    <row r="76" spans="2:12" x14ac:dyDescent="0.2">
      <c r="E76" s="376">
        <f ca="1"/>
        <v>44682</v>
      </c>
      <c r="L76" s="376">
        <f ca="1"/>
        <v>44678</v>
      </c>
    </row>
    <row r="77" spans="2:12" x14ac:dyDescent="0.2">
      <c r="B77" s="238"/>
      <c r="E77" s="376">
        <f ca="1"/>
        <v>44683</v>
      </c>
      <c r="L77" s="376">
        <f ca="1"/>
        <v>44681</v>
      </c>
    </row>
    <row r="78" spans="2:12" x14ac:dyDescent="0.2">
      <c r="E78" s="376">
        <f ca="1"/>
        <v>44688</v>
      </c>
      <c r="L78" s="376">
        <f ca="1"/>
        <v>44682</v>
      </c>
    </row>
    <row r="79" spans="2:12" x14ac:dyDescent="0.2">
      <c r="E79" s="376">
        <f ca="1"/>
        <v>44689</v>
      </c>
      <c r="L79" s="376">
        <f ca="1"/>
        <v>44683</v>
      </c>
    </row>
    <row r="80" spans="2:12" x14ac:dyDescent="0.2">
      <c r="E80" s="376">
        <f ca="1"/>
        <v>44695</v>
      </c>
      <c r="L80" s="376">
        <f ca="1"/>
        <v>44688</v>
      </c>
    </row>
    <row r="81" spans="5:12" x14ac:dyDescent="0.2">
      <c r="E81" s="376">
        <f ca="1"/>
        <v>44696</v>
      </c>
      <c r="L81" s="376">
        <f ca="1"/>
        <v>44689</v>
      </c>
    </row>
    <row r="82" spans="5:12" x14ac:dyDescent="0.2">
      <c r="E82" s="376">
        <f ca="1"/>
        <v>44702</v>
      </c>
      <c r="L82" s="376">
        <f ca="1"/>
        <v>44695</v>
      </c>
    </row>
    <row r="83" spans="5:12" x14ac:dyDescent="0.2">
      <c r="E83" s="376">
        <f ca="1"/>
        <v>44703</v>
      </c>
      <c r="L83" s="376">
        <f ca="1"/>
        <v>44696</v>
      </c>
    </row>
    <row r="84" spans="5:12" x14ac:dyDescent="0.2">
      <c r="E84" s="376">
        <f ca="1"/>
        <v>44709</v>
      </c>
      <c r="L84" s="376">
        <f ca="1"/>
        <v>44702</v>
      </c>
    </row>
    <row r="85" spans="5:12" x14ac:dyDescent="0.2">
      <c r="E85" s="376">
        <f ca="1"/>
        <v>44710</v>
      </c>
      <c r="L85" s="376">
        <f ca="1"/>
        <v>44703</v>
      </c>
    </row>
    <row r="86" spans="5:12" x14ac:dyDescent="0.2">
      <c r="E86" s="376">
        <f ca="1"/>
        <v>44716</v>
      </c>
      <c r="L86" s="376">
        <f ca="1"/>
        <v>44709</v>
      </c>
    </row>
    <row r="87" spans="5:12" x14ac:dyDescent="0.2">
      <c r="E87" s="376">
        <f ca="1"/>
        <v>44717</v>
      </c>
      <c r="L87" s="376">
        <f ca="1"/>
        <v>44710</v>
      </c>
    </row>
    <row r="88" spans="5:12" x14ac:dyDescent="0.2">
      <c r="E88" s="376">
        <f ca="1"/>
        <v>44723</v>
      </c>
      <c r="L88" s="376">
        <f ca="1"/>
        <v>44711</v>
      </c>
    </row>
    <row r="89" spans="5:12" x14ac:dyDescent="0.2">
      <c r="E89" s="376">
        <f ca="1"/>
        <v>44724</v>
      </c>
      <c r="L89" s="376">
        <f ca="1"/>
        <v>44716</v>
      </c>
    </row>
    <row r="90" spans="5:12" x14ac:dyDescent="0.2">
      <c r="E90" s="376">
        <f ca="1"/>
        <v>44728</v>
      </c>
      <c r="L90" s="376">
        <f ca="1"/>
        <v>44717</v>
      </c>
    </row>
    <row r="91" spans="5:12" x14ac:dyDescent="0.2">
      <c r="E91" s="376">
        <f ca="1"/>
        <v>44730</v>
      </c>
      <c r="L91" s="376">
        <f ca="1"/>
        <v>44723</v>
      </c>
    </row>
    <row r="92" spans="5:12" x14ac:dyDescent="0.2">
      <c r="E92" s="376">
        <f ca="1"/>
        <v>44731</v>
      </c>
      <c r="L92" s="376">
        <f ca="1"/>
        <v>44724</v>
      </c>
    </row>
    <row r="93" spans="5:12" x14ac:dyDescent="0.2">
      <c r="E93" s="376">
        <f ca="1"/>
        <v>44737</v>
      </c>
      <c r="L93" s="376">
        <f ca="1"/>
        <v>44728</v>
      </c>
    </row>
    <row r="94" spans="5:12" x14ac:dyDescent="0.2">
      <c r="E94" s="376">
        <f ca="1"/>
        <v>44738</v>
      </c>
      <c r="L94" s="376">
        <f ca="1"/>
        <v>44730</v>
      </c>
    </row>
    <row r="95" spans="5:12" x14ac:dyDescent="0.2">
      <c r="E95" s="376">
        <f ca="1"/>
        <v>44744</v>
      </c>
      <c r="L95" s="376">
        <f ca="1"/>
        <v>44731</v>
      </c>
    </row>
    <row r="96" spans="5:12" x14ac:dyDescent="0.2">
      <c r="E96" s="376">
        <f ca="1"/>
        <v>44745</v>
      </c>
      <c r="L96" s="376">
        <f ca="1"/>
        <v>44732</v>
      </c>
    </row>
    <row r="97" spans="5:12" x14ac:dyDescent="0.2">
      <c r="E97" s="376">
        <f ca="1"/>
        <v>44751</v>
      </c>
      <c r="L97" s="376">
        <f ca="1"/>
        <v>44737</v>
      </c>
    </row>
    <row r="98" spans="5:12" x14ac:dyDescent="0.2">
      <c r="E98" s="376">
        <f ca="1"/>
        <v>44752</v>
      </c>
      <c r="L98" s="376">
        <f ca="1"/>
        <v>44738</v>
      </c>
    </row>
    <row r="99" spans="5:12" x14ac:dyDescent="0.2">
      <c r="E99" s="376">
        <f ca="1"/>
        <v>44758</v>
      </c>
      <c r="L99" s="376">
        <f ca="1"/>
        <v>44744</v>
      </c>
    </row>
    <row r="100" spans="5:12" x14ac:dyDescent="0.2">
      <c r="E100" s="376">
        <f ca="1"/>
        <v>44759</v>
      </c>
      <c r="L100" s="376">
        <f ca="1"/>
        <v>44745</v>
      </c>
    </row>
    <row r="101" spans="5:12" x14ac:dyDescent="0.2">
      <c r="E101" s="376">
        <f ca="1"/>
        <v>44765</v>
      </c>
      <c r="L101" s="376">
        <f ca="1"/>
        <v>44746</v>
      </c>
    </row>
    <row r="102" spans="5:12" x14ac:dyDescent="0.2">
      <c r="E102" s="376">
        <f ca="1"/>
        <v>44766</v>
      </c>
      <c r="L102" s="376">
        <f ca="1"/>
        <v>44751</v>
      </c>
    </row>
    <row r="103" spans="5:12" x14ac:dyDescent="0.2">
      <c r="E103" s="376">
        <f ca="1"/>
        <v>44772</v>
      </c>
      <c r="L103" s="376">
        <f ca="1"/>
        <v>44752</v>
      </c>
    </row>
    <row r="104" spans="5:12" x14ac:dyDescent="0.2">
      <c r="E104" s="376">
        <f ca="1"/>
        <v>44773</v>
      </c>
      <c r="L104" s="376">
        <f ca="1"/>
        <v>44758</v>
      </c>
    </row>
    <row r="105" spans="5:12" x14ac:dyDescent="0.2">
      <c r="E105" s="376">
        <f ca="1"/>
        <v>44779</v>
      </c>
      <c r="L105" s="376">
        <f ca="1"/>
        <v>44759</v>
      </c>
    </row>
    <row r="106" spans="5:12" x14ac:dyDescent="0.2">
      <c r="E106" s="376">
        <f ca="1"/>
        <v>44780</v>
      </c>
      <c r="L106" s="376">
        <f ca="1"/>
        <v>44765</v>
      </c>
    </row>
    <row r="107" spans="5:12" x14ac:dyDescent="0.2">
      <c r="E107" s="376">
        <f ca="1"/>
        <v>44782</v>
      </c>
      <c r="L107" s="376">
        <f ca="1"/>
        <v>44766</v>
      </c>
    </row>
    <row r="108" spans="5:12" x14ac:dyDescent="0.2">
      <c r="E108" s="376">
        <f ca="1"/>
        <v>44786</v>
      </c>
      <c r="L108" s="376">
        <f ca="1"/>
        <v>44772</v>
      </c>
    </row>
    <row r="109" spans="5:12" x14ac:dyDescent="0.2">
      <c r="E109" s="376">
        <f ca="1"/>
        <v>44787</v>
      </c>
      <c r="L109" s="376">
        <f ca="1"/>
        <v>44773</v>
      </c>
    </row>
    <row r="110" spans="5:12" x14ac:dyDescent="0.2">
      <c r="E110" s="376">
        <f ca="1"/>
        <v>44793</v>
      </c>
      <c r="L110" s="376">
        <f ca="1"/>
        <v>44779</v>
      </c>
    </row>
    <row r="111" spans="5:12" x14ac:dyDescent="0.2">
      <c r="E111" s="376">
        <f ca="1"/>
        <v>44794</v>
      </c>
      <c r="L111" s="376">
        <f ca="1"/>
        <v>44780</v>
      </c>
    </row>
    <row r="112" spans="5:12" x14ac:dyDescent="0.2">
      <c r="E112" s="376">
        <f ca="1"/>
        <v>44800</v>
      </c>
      <c r="L112" s="376">
        <f ca="1"/>
        <v>44782</v>
      </c>
    </row>
    <row r="113" spans="5:12" x14ac:dyDescent="0.2">
      <c r="E113" s="376">
        <f ca="1"/>
        <v>44801</v>
      </c>
      <c r="L113" s="376">
        <f ca="1"/>
        <v>44786</v>
      </c>
    </row>
    <row r="114" spans="5:12" x14ac:dyDescent="0.2">
      <c r="E114" s="376">
        <f ca="1"/>
        <v>44807</v>
      </c>
      <c r="L114" s="376">
        <f ca="1"/>
        <v>44787</v>
      </c>
    </row>
    <row r="115" spans="5:12" x14ac:dyDescent="0.2">
      <c r="E115" s="376">
        <f ca="1"/>
        <v>44808</v>
      </c>
      <c r="L115" s="376">
        <f ca="1"/>
        <v>44793</v>
      </c>
    </row>
    <row r="116" spans="5:12" x14ac:dyDescent="0.2">
      <c r="E116" s="376">
        <f ca="1"/>
        <v>44814</v>
      </c>
      <c r="L116" s="376">
        <f ca="1"/>
        <v>44794</v>
      </c>
    </row>
    <row r="117" spans="5:12" x14ac:dyDescent="0.2">
      <c r="E117" s="376">
        <f ca="1"/>
        <v>44815</v>
      </c>
      <c r="L117" s="376">
        <f ca="1"/>
        <v>44800</v>
      </c>
    </row>
    <row r="118" spans="5:12" x14ac:dyDescent="0.2">
      <c r="E118" s="376">
        <f ca="1"/>
        <v>44821</v>
      </c>
      <c r="L118" s="376">
        <f ca="1"/>
        <v>44801</v>
      </c>
    </row>
    <row r="119" spans="5:12" x14ac:dyDescent="0.2">
      <c r="E119" s="376">
        <f ca="1"/>
        <v>44822</v>
      </c>
      <c r="L119" s="376">
        <f ca="1"/>
        <v>44807</v>
      </c>
    </row>
    <row r="120" spans="5:12" x14ac:dyDescent="0.2">
      <c r="E120" s="376">
        <f ca="1"/>
        <v>44828</v>
      </c>
      <c r="L120" s="376">
        <f ca="1"/>
        <v>44808</v>
      </c>
    </row>
    <row r="121" spans="5:12" x14ac:dyDescent="0.2">
      <c r="E121" s="376">
        <f ca="1"/>
        <v>44829</v>
      </c>
      <c r="L121" s="376">
        <f ca="1"/>
        <v>44809</v>
      </c>
    </row>
    <row r="122" spans="5:12" x14ac:dyDescent="0.2">
      <c r="E122" s="376">
        <f ca="1"/>
        <v>44835</v>
      </c>
      <c r="L122" s="376">
        <f ca="1"/>
        <v>44814</v>
      </c>
    </row>
    <row r="123" spans="5:12" x14ac:dyDescent="0.2">
      <c r="E123" s="376">
        <f ca="1"/>
        <v>44836</v>
      </c>
      <c r="L123" s="376">
        <f ca="1"/>
        <v>44815</v>
      </c>
    </row>
    <row r="124" spans="5:12" x14ac:dyDescent="0.2">
      <c r="E124" s="376">
        <f ca="1"/>
        <v>44842</v>
      </c>
      <c r="L124" s="376">
        <f ca="1"/>
        <v>44821</v>
      </c>
    </row>
    <row r="125" spans="5:12" x14ac:dyDescent="0.2">
      <c r="E125" s="376">
        <f ca="1"/>
        <v>44843</v>
      </c>
      <c r="L125" s="376">
        <f ca="1"/>
        <v>44822</v>
      </c>
    </row>
    <row r="126" spans="5:12" x14ac:dyDescent="0.2">
      <c r="E126" s="376">
        <f ca="1"/>
        <v>44849</v>
      </c>
      <c r="L126" s="376">
        <f ca="1"/>
        <v>44828</v>
      </c>
    </row>
    <row r="127" spans="5:12" x14ac:dyDescent="0.2">
      <c r="E127" s="376">
        <f ca="1"/>
        <v>44850</v>
      </c>
      <c r="L127" s="376">
        <f ca="1"/>
        <v>44829</v>
      </c>
    </row>
    <row r="128" spans="5:12" x14ac:dyDescent="0.2">
      <c r="E128" s="376">
        <f ca="1"/>
        <v>44856</v>
      </c>
      <c r="L128" s="376">
        <f ca="1"/>
        <v>44835</v>
      </c>
    </row>
    <row r="129" spans="5:12" x14ac:dyDescent="0.2">
      <c r="E129" s="376">
        <f ca="1"/>
        <v>44857</v>
      </c>
      <c r="L129" s="376">
        <f ca="1"/>
        <v>44836</v>
      </c>
    </row>
    <row r="130" spans="5:12" x14ac:dyDescent="0.2">
      <c r="E130" s="376">
        <f ca="1"/>
        <v>44863</v>
      </c>
      <c r="L130" s="376">
        <f ca="1"/>
        <v>44842</v>
      </c>
    </row>
    <row r="131" spans="5:12" x14ac:dyDescent="0.2">
      <c r="E131" s="376">
        <f ca="1"/>
        <v>44864</v>
      </c>
      <c r="L131" s="376">
        <f ca="1"/>
        <v>44843</v>
      </c>
    </row>
    <row r="132" spans="5:12" x14ac:dyDescent="0.2">
      <c r="E132" s="376">
        <f ca="1"/>
        <v>44870</v>
      </c>
      <c r="L132" s="376">
        <f ca="1"/>
        <v>44844</v>
      </c>
    </row>
    <row r="133" spans="5:12" x14ac:dyDescent="0.2">
      <c r="E133" s="376">
        <f ca="1"/>
        <v>44871</v>
      </c>
      <c r="L133" s="376">
        <f ca="1"/>
        <v>44849</v>
      </c>
    </row>
    <row r="134" spans="5:12" x14ac:dyDescent="0.2">
      <c r="E134" s="376">
        <f ca="1"/>
        <v>44877</v>
      </c>
      <c r="L134" s="376">
        <f ca="1"/>
        <v>44850</v>
      </c>
    </row>
    <row r="135" spans="5:12" x14ac:dyDescent="0.2">
      <c r="E135" s="376">
        <f ca="1"/>
        <v>44878</v>
      </c>
      <c r="L135" s="376">
        <f ca="1"/>
        <v>44856</v>
      </c>
    </row>
    <row r="136" spans="5:12" x14ac:dyDescent="0.2">
      <c r="E136" s="376">
        <f ca="1"/>
        <v>44884</v>
      </c>
      <c r="L136" s="376">
        <f ca="1"/>
        <v>44857</v>
      </c>
    </row>
    <row r="137" spans="5:12" x14ac:dyDescent="0.2">
      <c r="E137" s="376">
        <f ca="1"/>
        <v>44885</v>
      </c>
      <c r="L137" s="376">
        <f ca="1"/>
        <v>44863</v>
      </c>
    </row>
    <row r="138" spans="5:12" x14ac:dyDescent="0.2">
      <c r="E138" s="376">
        <f ca="1"/>
        <v>44891</v>
      </c>
      <c r="L138" s="376">
        <f ca="1"/>
        <v>44864</v>
      </c>
    </row>
    <row r="139" spans="5:12" x14ac:dyDescent="0.2">
      <c r="E139" s="376">
        <f ca="1"/>
        <v>44892</v>
      </c>
      <c r="L139" s="376">
        <f ca="1"/>
        <v>44870</v>
      </c>
    </row>
    <row r="140" spans="5:12" x14ac:dyDescent="0.2">
      <c r="E140" s="376">
        <f ca="1"/>
        <v>44898</v>
      </c>
      <c r="L140" s="376">
        <f ca="1"/>
        <v>44871</v>
      </c>
    </row>
    <row r="141" spans="5:12" x14ac:dyDescent="0.2">
      <c r="E141" s="376">
        <f ca="1"/>
        <v>44899</v>
      </c>
      <c r="L141" s="376">
        <f ca="1"/>
        <v>44876</v>
      </c>
    </row>
    <row r="142" spans="5:12" x14ac:dyDescent="0.2">
      <c r="E142" s="376">
        <f ca="1"/>
        <v>44905</v>
      </c>
      <c r="L142" s="376">
        <f ca="1"/>
        <v>44877</v>
      </c>
    </row>
    <row r="143" spans="5:12" x14ac:dyDescent="0.2">
      <c r="E143" s="376">
        <f ca="1"/>
        <v>44906</v>
      </c>
      <c r="L143" s="376">
        <f ca="1"/>
        <v>44878</v>
      </c>
    </row>
    <row r="144" spans="5:12" x14ac:dyDescent="0.2">
      <c r="E144" s="376">
        <f ca="1"/>
        <v>44911</v>
      </c>
      <c r="L144" s="376">
        <f ca="1"/>
        <v>44884</v>
      </c>
    </row>
    <row r="145" spans="5:12" x14ac:dyDescent="0.2">
      <c r="E145" s="376">
        <f ca="1"/>
        <v>44912</v>
      </c>
      <c r="L145" s="376">
        <f ca="1"/>
        <v>44885</v>
      </c>
    </row>
    <row r="146" spans="5:12" x14ac:dyDescent="0.2">
      <c r="E146" s="376">
        <f ca="1"/>
        <v>44913</v>
      </c>
      <c r="L146" s="376">
        <f ca="1"/>
        <v>44889</v>
      </c>
    </row>
    <row r="147" spans="5:12" x14ac:dyDescent="0.2">
      <c r="E147" s="376">
        <f ca="1"/>
        <v>44919</v>
      </c>
      <c r="L147" s="376">
        <f ca="1"/>
        <v>44891</v>
      </c>
    </row>
    <row r="148" spans="5:12" x14ac:dyDescent="0.2">
      <c r="E148" s="376">
        <f ca="1"/>
        <v>44920</v>
      </c>
      <c r="L148" s="376">
        <f ca="1"/>
        <v>44892</v>
      </c>
    </row>
    <row r="149" spans="5:12" x14ac:dyDescent="0.2">
      <c r="E149" s="376">
        <f ca="1"/>
        <v>44921</v>
      </c>
      <c r="L149" s="376">
        <f ca="1"/>
        <v>44898</v>
      </c>
    </row>
    <row r="150" spans="5:12" x14ac:dyDescent="0.2">
      <c r="E150" s="376">
        <f ca="1"/>
        <v>44926</v>
      </c>
      <c r="L150" s="376">
        <f ca="1"/>
        <v>44899</v>
      </c>
    </row>
    <row r="151" spans="5:12" x14ac:dyDescent="0.2">
      <c r="L151" s="376">
        <f ca="1"/>
        <v>44905</v>
      </c>
    </row>
    <row r="152" spans="5:12" x14ac:dyDescent="0.2">
      <c r="L152" s="376">
        <f ca="1"/>
        <v>44906</v>
      </c>
    </row>
    <row r="153" spans="5:12" x14ac:dyDescent="0.2">
      <c r="L153" s="376">
        <f ca="1"/>
        <v>44911</v>
      </c>
    </row>
    <row r="154" spans="5:12" x14ac:dyDescent="0.2">
      <c r="L154" s="376">
        <f ca="1"/>
        <v>44912</v>
      </c>
    </row>
    <row r="155" spans="5:12" x14ac:dyDescent="0.2">
      <c r="L155" s="376">
        <f ca="1"/>
        <v>44913</v>
      </c>
    </row>
    <row r="156" spans="5:12" x14ac:dyDescent="0.2">
      <c r="L156" s="376">
        <f ca="1"/>
        <v>44919</v>
      </c>
    </row>
    <row r="157" spans="5:12" x14ac:dyDescent="0.2">
      <c r="L157" s="376">
        <f ca="1"/>
        <v>44920</v>
      </c>
    </row>
    <row r="158" spans="5:12" x14ac:dyDescent="0.2">
      <c r="L158" s="376">
        <f ca="1"/>
        <v>44921</v>
      </c>
    </row>
    <row r="159" spans="5:12" x14ac:dyDescent="0.2">
      <c r="L159" s="376">
        <f ca="1"/>
        <v>44926</v>
      </c>
    </row>
  </sheetData>
  <conditionalFormatting sqref="C59">
    <cfRule type="cellIs" dxfId="204" priority="46" stopIfTrue="1" operator="equal">
      <formula>"OK"</formula>
    </cfRule>
    <cfRule type="cellIs" dxfId="203" priority="47" stopIfTrue="1" operator="equal">
      <formula>"ERROR"</formula>
    </cfRule>
  </conditionalFormatting>
  <conditionalFormatting sqref="C69 C8:C11">
    <cfRule type="cellIs" dxfId="202" priority="48" stopIfTrue="1" operator="equal">
      <formula>"ERROR"</formula>
    </cfRule>
    <cfRule type="cellIs" dxfId="201" priority="49" stopIfTrue="1" operator="equal">
      <formula>"OK"</formula>
    </cfRule>
    <cfRule type="cellIs" dxfId="200" priority="50" stopIfTrue="1" operator="equal">
      <formula>"WARNING"</formula>
    </cfRule>
  </conditionalFormatting>
  <conditionalFormatting sqref="C4">
    <cfRule type="cellIs" dxfId="199" priority="22" stopIfTrue="1" operator="equal">
      <formula>"ERROR"</formula>
    </cfRule>
    <cfRule type="cellIs" dxfId="198" priority="23" stopIfTrue="1" operator="equal">
      <formula>"OK"</formula>
    </cfRule>
    <cfRule type="cellIs" dxfId="197" priority="24" stopIfTrue="1" operator="equal">
      <formula>"WARNING"</formula>
    </cfRule>
  </conditionalFormatting>
  <conditionalFormatting sqref="C16">
    <cfRule type="cellIs" dxfId="196" priority="16" stopIfTrue="1" operator="equal">
      <formula>"ERROR"</formula>
    </cfRule>
  </conditionalFormatting>
  <conditionalFormatting sqref="C16">
    <cfRule type="cellIs" dxfId="195" priority="17" stopIfTrue="1" operator="equal">
      <formula>"OK"</formula>
    </cfRule>
  </conditionalFormatting>
  <conditionalFormatting sqref="C16">
    <cfRule type="cellIs" dxfId="194" priority="18" stopIfTrue="1" operator="equal">
      <formula>"WARNING"</formula>
    </cfRule>
  </conditionalFormatting>
  <conditionalFormatting sqref="G22">
    <cfRule type="cellIs" dxfId="193" priority="51" stopIfTrue="1" operator="equal">
      <formula>"ERROR"</formula>
    </cfRule>
    <cfRule type="cellIs" dxfId="192" priority="52" stopIfTrue="1" operator="equal">
      <formula>"OK"</formula>
    </cfRule>
    <cfRule type="cellIs" dxfId="191" priority="53" stopIfTrue="1" operator="equal">
      <formula>"WARNING"</formula>
    </cfRule>
  </conditionalFormatting>
  <conditionalFormatting sqref="N22">
    <cfRule type="cellIs" dxfId="190" priority="13" stopIfTrue="1" operator="equal">
      <formula>"ERROR"</formula>
    </cfRule>
    <cfRule type="cellIs" dxfId="189" priority="14" stopIfTrue="1" operator="equal">
      <formula>"OK"</formula>
    </cfRule>
    <cfRule type="cellIs" dxfId="188" priority="15" stopIfTrue="1" operator="equal">
      <formula>"WARNING"</formula>
    </cfRule>
  </conditionalFormatting>
  <conditionalFormatting sqref="U22">
    <cfRule type="cellIs" dxfId="187" priority="10" stopIfTrue="1" operator="equal">
      <formula>"ERROR"</formula>
    </cfRule>
    <cfRule type="cellIs" dxfId="186" priority="11" stopIfTrue="1" operator="equal">
      <formula>"OK"</formula>
    </cfRule>
    <cfRule type="cellIs" dxfId="185" priority="12" stopIfTrue="1" operator="equal">
      <formula>"WARNING"</formula>
    </cfRule>
  </conditionalFormatting>
  <conditionalFormatting sqref="G37:G45">
    <cfRule type="cellIs" dxfId="184" priority="54" stopIfTrue="1" operator="equal">
      <formula>"ERROR"</formula>
    </cfRule>
    <cfRule type="cellIs" dxfId="183" priority="55" stopIfTrue="1" operator="equal">
      <formula>"OK"</formula>
    </cfRule>
    <cfRule type="cellIs" dxfId="182" priority="56" stopIfTrue="1" operator="equal">
      <formula>"WARNING"</formula>
    </cfRule>
  </conditionalFormatting>
  <conditionalFormatting sqref="C31">
    <cfRule type="cellIs" dxfId="181" priority="7" stopIfTrue="1" operator="equal">
      <formula>"ERROR"</formula>
    </cfRule>
  </conditionalFormatting>
  <conditionalFormatting sqref="C31">
    <cfRule type="cellIs" dxfId="180" priority="8" stopIfTrue="1" operator="equal">
      <formula>"OK"</formula>
    </cfRule>
  </conditionalFormatting>
  <conditionalFormatting sqref="C31">
    <cfRule type="cellIs" dxfId="179" priority="9" stopIfTrue="1" operator="equal">
      <formula>"WARNING"</formula>
    </cfRule>
  </conditionalFormatting>
  <conditionalFormatting sqref="N37:N54">
    <cfRule type="cellIs" dxfId="178" priority="4" stopIfTrue="1" operator="equal">
      <formula>"ERROR"</formula>
    </cfRule>
    <cfRule type="cellIs" dxfId="177" priority="5" stopIfTrue="1" operator="equal">
      <formula>"OK"</formula>
    </cfRule>
    <cfRule type="cellIs" dxfId="176" priority="6" stopIfTrue="1" operator="equal">
      <formula>"WARNING"</formula>
    </cfRule>
  </conditionalFormatting>
  <conditionalFormatting sqref="AB22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85" zoomScaleNormal="85" workbookViewId="0">
      <selection activeCell="B2" sqref="B2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171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85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25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25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25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25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25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25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5" priority="11" stopIfTrue="1" operator="equal">
      <formula>"OK"</formula>
    </cfRule>
    <cfRule type="cellIs" dxfId="174" priority="12" stopIfTrue="1" operator="equal">
      <formula>"ERROR"</formula>
    </cfRule>
  </conditionalFormatting>
  <conditionalFormatting sqref="G16">
    <cfRule type="cellIs" dxfId="173" priority="9" stopIfTrue="1" operator="equal">
      <formula>"OK"</formula>
    </cfRule>
    <cfRule type="cellIs" dxfId="172" priority="10" stopIfTrue="1" operator="equal">
      <formula>"ERROR"</formula>
    </cfRule>
  </conditionalFormatting>
  <conditionalFormatting sqref="C12">
    <cfRule type="cellIs" dxfId="171" priority="13" stopIfTrue="1" operator="equal">
      <formula>"OK"</formula>
    </cfRule>
    <cfRule type="cellIs" dxfId="170" priority="14" stopIfTrue="1" operator="equal">
      <formula>"ERROR"</formula>
    </cfRule>
  </conditionalFormatting>
  <conditionalFormatting sqref="I21:I25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L21:L25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O21:O25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S19">
    <cfRule type="cellIs" dxfId="163" priority="1" stopIfTrue="1" operator="equal">
      <formula>"OK"</formula>
    </cfRule>
    <cfRule type="cellIs" dxfId="162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zoomScale="115" zoomScaleNormal="115" workbookViewId="0">
      <selection activeCell="F6" sqref="F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171</v>
      </c>
      <c r="C6" s="185" t="str" cm="1">
        <f t="array" ref="C6">_xll.d.TestUtils_And(D10:D13)</f>
        <v>ERROR</v>
      </c>
    </row>
    <row r="8" spans="2:25" x14ac:dyDescent="0.25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25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25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25">
      <c r="K11" s="242"/>
      <c r="L11" s="243"/>
      <c r="V11" s="242"/>
      <c r="W11" s="243"/>
    </row>
    <row r="12" spans="2:25" x14ac:dyDescent="0.25">
      <c r="B12" s="277" t="s">
        <v>228</v>
      </c>
      <c r="C12" s="278"/>
      <c r="D12" s="279"/>
      <c r="K12" s="242"/>
      <c r="L12" s="243"/>
      <c r="V12" s="242"/>
      <c r="W12" s="243"/>
    </row>
    <row r="13" spans="2:25" x14ac:dyDescent="0.25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25">
      <c r="B14" s="238"/>
      <c r="C14" s="276"/>
      <c r="D14" s="185"/>
      <c r="K14" s="242"/>
      <c r="L14" s="243"/>
      <c r="V14" s="242"/>
      <c r="W14" s="243"/>
    </row>
    <row r="15" spans="2:25" x14ac:dyDescent="0.25">
      <c r="K15" s="242"/>
      <c r="L15" s="243"/>
      <c r="V15" s="242"/>
      <c r="W15" s="243"/>
    </row>
    <row r="16" spans="2:25" x14ac:dyDescent="0.25">
      <c r="K16" s="242"/>
      <c r="L16" s="243"/>
      <c r="V16" s="242"/>
      <c r="W16" s="243"/>
    </row>
    <row r="17" spans="2:50" ht="18.75" x14ac:dyDescent="0.3">
      <c r="B17" s="3" t="s">
        <v>249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250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42"/>
      <c r="L18" s="243"/>
      <c r="V18" s="242"/>
      <c r="W18" s="243"/>
    </row>
    <row r="19" spans="2:50" ht="15.75" x14ac:dyDescent="0.25">
      <c r="B19" s="4" t="s">
        <v>230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251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225</v>
      </c>
      <c r="AH19" t="s">
        <v>220</v>
      </c>
    </row>
    <row r="20" spans="2:50" x14ac:dyDescent="0.25">
      <c r="K20" s="242"/>
      <c r="L20" s="243"/>
      <c r="V20" s="242"/>
      <c r="W20" s="243"/>
    </row>
    <row r="21" spans="2:50" x14ac:dyDescent="0.25">
      <c r="B21" s="59" t="s">
        <v>136</v>
      </c>
      <c r="C21" s="185" t="str" cm="1">
        <f t="array" ref="C21">_xll.d.TestUtils_And(J23:J28)</f>
        <v>OK</v>
      </c>
      <c r="G21" s="273" t="s">
        <v>248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248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221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223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25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224</v>
      </c>
    </row>
    <row r="24" spans="2:50" x14ac:dyDescent="0.25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25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218</v>
      </c>
      <c r="AI27" s="46">
        <v>44713</v>
      </c>
      <c r="AK27" s="62"/>
      <c r="AS27" s="252" t="s">
        <v>218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222</v>
      </c>
      <c r="AV28" s="62"/>
    </row>
    <row r="29" spans="2:50" x14ac:dyDescent="0.25">
      <c r="B29" s="258" t="s">
        <v>218</v>
      </c>
      <c r="C29" s="262">
        <v>44713</v>
      </c>
      <c r="E29" s="62"/>
      <c r="K29" s="242"/>
      <c r="L29" s="243"/>
      <c r="M29" s="318" t="s">
        <v>218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25">
      <c r="B30" s="316" t="s">
        <v>257</v>
      </c>
      <c r="C30" s="283" t="s">
        <v>37</v>
      </c>
      <c r="E30" s="62"/>
      <c r="K30" s="242"/>
      <c r="L30" s="243"/>
      <c r="M30" s="316" t="s">
        <v>257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25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25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25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231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00" t="s">
        <v>232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01" t="s">
        <v>233</v>
      </c>
      <c r="C42" s="285">
        <v>0.1</v>
      </c>
      <c r="D42" s="286" t="b">
        <v>1</v>
      </c>
      <c r="F42" s="9"/>
      <c r="G42" s="299" t="s">
        <v>229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02" t="s">
        <v>234</v>
      </c>
      <c r="C43" s="287">
        <v>0.1</v>
      </c>
      <c r="D43" s="288" t="b">
        <v>1</v>
      </c>
      <c r="F43" s="9"/>
      <c r="G43" t="s">
        <v>253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25">
      <c r="F44" s="9"/>
      <c r="G44" s="315" t="s">
        <v>252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258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259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42"/>
      <c r="L61" s="243"/>
      <c r="V61" s="242"/>
      <c r="W61" s="243"/>
    </row>
    <row r="62" spans="11:33" x14ac:dyDescent="0.25">
      <c r="K62" s="242"/>
      <c r="L62" s="243"/>
      <c r="V62" s="242"/>
      <c r="W62" s="243"/>
    </row>
    <row r="63" spans="11:33" x14ac:dyDescent="0.25">
      <c r="K63" s="242"/>
      <c r="L63" s="243"/>
      <c r="V63" s="242"/>
      <c r="W63" s="243"/>
    </row>
    <row r="64" spans="11:33" x14ac:dyDescent="0.25">
      <c r="K64" s="242"/>
      <c r="L64" s="243"/>
      <c r="V64" s="242"/>
      <c r="W64" s="243"/>
    </row>
    <row r="65" spans="11:23" x14ac:dyDescent="0.25">
      <c r="K65" s="242"/>
      <c r="L65" s="243"/>
      <c r="V65" s="242"/>
      <c r="W65" s="243"/>
    </row>
    <row r="66" spans="11:23" x14ac:dyDescent="0.25">
      <c r="K66" s="242"/>
      <c r="L66" s="243"/>
      <c r="V66" s="242"/>
      <c r="W66" s="243"/>
    </row>
  </sheetData>
  <conditionalFormatting sqref="J23:J28 D10 D13:D14">
    <cfRule type="cellIs" dxfId="161" priority="10" stopIfTrue="1" operator="equal">
      <formula>"ERROR"</formula>
    </cfRule>
    <cfRule type="cellIs" dxfId="160" priority="11" stopIfTrue="1" operator="equal">
      <formula>"OK"</formula>
    </cfRule>
    <cfRule type="cellIs" dxfId="159" priority="12" stopIfTrue="1" operator="equal">
      <formula>"WARNING"</formula>
    </cfRule>
  </conditionalFormatting>
  <conditionalFormatting sqref="U23:U39">
    <cfRule type="cellIs" dxfId="158" priority="13" stopIfTrue="1" operator="equal">
      <formula>"ERROR"</formula>
    </cfRule>
    <cfRule type="cellIs" dxfId="157" priority="14" stopIfTrue="1" operator="equal">
      <formula>"OK"</formula>
    </cfRule>
    <cfRule type="cellIs" dxfId="156" priority="15" stopIfTrue="1" operator="equal">
      <formula>"WARNING"</formula>
    </cfRule>
  </conditionalFormatting>
  <conditionalFormatting sqref="C6">
    <cfRule type="cellIs" dxfId="155" priority="7" stopIfTrue="1" operator="equal">
      <formula>"ERROR"</formula>
    </cfRule>
    <cfRule type="cellIs" dxfId="154" priority="8" stopIfTrue="1" operator="equal">
      <formula>"OK"</formula>
    </cfRule>
    <cfRule type="cellIs" dxfId="153" priority="9" stopIfTrue="1" operator="equal">
      <formula>"WARNING"</formula>
    </cfRule>
  </conditionalFormatting>
  <conditionalFormatting sqref="C21">
    <cfRule type="cellIs" dxfId="152" priority="4" stopIfTrue="1" operator="equal">
      <formula>"ERROR"</formula>
    </cfRule>
    <cfRule type="cellIs" dxfId="151" priority="5" stopIfTrue="1" operator="equal">
      <formula>"OK"</formula>
    </cfRule>
    <cfRule type="cellIs" dxfId="150" priority="6" stopIfTrue="1" operator="equal">
      <formula>"WARNING"</formula>
    </cfRule>
  </conditionalFormatting>
  <conditionalFormatting sqref="N21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171</v>
      </c>
      <c r="C6" s="185" t="str" cm="1">
        <f t="array" ref="C6">_xll.d.TestUtils_And(D10:D13)</f>
        <v>ERROR</v>
      </c>
    </row>
    <row r="8" spans="2:10" x14ac:dyDescent="0.25">
      <c r="B8" s="228" t="s">
        <v>10</v>
      </c>
      <c r="C8" s="228"/>
      <c r="D8" s="229" t="s">
        <v>11</v>
      </c>
    </row>
    <row r="9" spans="2:10" x14ac:dyDescent="0.25">
      <c r="B9" s="277" t="s">
        <v>227</v>
      </c>
      <c r="C9" s="278"/>
      <c r="D9" s="279"/>
    </row>
    <row r="10" spans="2:10" x14ac:dyDescent="0.25">
      <c r="B10" s="238" t="str">
        <f>B18</f>
        <v>Flat Curve, 3m JIBAR</v>
      </c>
      <c r="C10" s="276"/>
      <c r="D10" s="185" t="str">
        <f>C20</f>
        <v>ERROR</v>
      </c>
    </row>
    <row r="12" spans="2:10" x14ac:dyDescent="0.25">
      <c r="B12" s="277" t="s">
        <v>228</v>
      </c>
      <c r="C12" s="278"/>
      <c r="D12" s="279"/>
    </row>
    <row r="13" spans="2:10" x14ac:dyDescent="0.25">
      <c r="B13" s="238" t="e">
        <f>#REF!</f>
        <v>#REF!</v>
      </c>
      <c r="C13" s="276"/>
      <c r="D13" s="185" t="str">
        <f>C32</f>
        <v>ZAR</v>
      </c>
    </row>
    <row r="16" spans="2:10" ht="18.75" x14ac:dyDescent="0.3">
      <c r="B16" s="3" t="s">
        <v>235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230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85" t="str" cm="1">
        <f t="array" ref="C20">_xll.d.TestUtils_And(J22:J27)</f>
        <v>ERROR</v>
      </c>
      <c r="G20" s="273" t="s">
        <v>226</v>
      </c>
      <c r="H20" s="274"/>
      <c r="I20" s="274"/>
      <c r="J20" s="275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25">
      <c r="B23" s="66" t="s">
        <v>240</v>
      </c>
      <c r="C23" s="306" t="s">
        <v>241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25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25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25">
      <c r="B26" s="12" t="s">
        <v>236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25">
      <c r="B28" s="303" t="s">
        <v>237</v>
      </c>
      <c r="C28" s="262">
        <v>44713</v>
      </c>
      <c r="E28" s="62"/>
    </row>
    <row r="29" spans="2:10" x14ac:dyDescent="0.25">
      <c r="B29" s="304" t="s">
        <v>238</v>
      </c>
      <c r="C29" s="283">
        <f>C28+365</f>
        <v>45078</v>
      </c>
      <c r="E29" s="62"/>
    </row>
    <row r="30" spans="2:10" x14ac:dyDescent="0.25">
      <c r="B30" s="305" t="s">
        <v>239</v>
      </c>
      <c r="C30" s="307" t="s">
        <v>242</v>
      </c>
    </row>
    <row r="31" spans="2:10" x14ac:dyDescent="0.25">
      <c r="B31" s="308" t="s">
        <v>243</v>
      </c>
      <c r="C31">
        <v>1000000</v>
      </c>
    </row>
    <row r="32" spans="2:10" x14ac:dyDescent="0.25">
      <c r="B32" s="308" t="s">
        <v>245</v>
      </c>
      <c r="C32" t="s">
        <v>71</v>
      </c>
      <c r="D32" t="s">
        <v>246</v>
      </c>
    </row>
    <row r="33" spans="2:3" x14ac:dyDescent="0.25">
      <c r="B33" s="308" t="s">
        <v>247</v>
      </c>
    </row>
    <row r="34" spans="2:3" x14ac:dyDescent="0.25">
      <c r="B34" s="308" t="s">
        <v>244</v>
      </c>
      <c r="C34" t="s">
        <v>26</v>
      </c>
    </row>
  </sheetData>
  <conditionalFormatting sqref="J22:J27 D10 D13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6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C20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171</v>
      </c>
      <c r="C4" s="185" t="str" cm="1">
        <f t="array" ref="C4">_xll.d.TestUtils_And(C7:C16)</f>
        <v>OK</v>
      </c>
    </row>
    <row r="6" spans="2:23" x14ac:dyDescent="0.25">
      <c r="B6" s="228" t="s">
        <v>10</v>
      </c>
      <c r="C6" s="229" t="s">
        <v>11</v>
      </c>
    </row>
    <row r="7" spans="2:23" x14ac:dyDescent="0.25">
      <c r="B7" s="238" t="s">
        <v>115</v>
      </c>
      <c r="C7" s="185" t="str">
        <f>C21</f>
        <v>OK</v>
      </c>
    </row>
    <row r="8" spans="2:23" x14ac:dyDescent="0.25">
      <c r="B8" s="238" t="s">
        <v>117</v>
      </c>
      <c r="C8" s="185" t="str">
        <f>C43</f>
        <v>OK</v>
      </c>
    </row>
    <row r="9" spans="2:23" x14ac:dyDescent="0.25">
      <c r="B9" s="238" t="s">
        <v>118</v>
      </c>
      <c r="C9" s="185" t="str">
        <f>C65</f>
        <v>OK</v>
      </c>
    </row>
    <row r="10" spans="2:23" x14ac:dyDescent="0.25">
      <c r="B10" s="238" t="s">
        <v>121</v>
      </c>
      <c r="C10" s="185" t="str">
        <f>C87</f>
        <v>OK</v>
      </c>
    </row>
    <row r="11" spans="2:23" x14ac:dyDescent="0.25">
      <c r="B11" s="238" t="s">
        <v>127</v>
      </c>
      <c r="C11" s="185" t="str">
        <f>C109</f>
        <v>OK</v>
      </c>
    </row>
    <row r="12" spans="2:23" x14ac:dyDescent="0.25">
      <c r="B12" s="238" t="s">
        <v>129</v>
      </c>
      <c r="C12" s="185" t="str">
        <f>C131</f>
        <v>OK</v>
      </c>
    </row>
    <row r="13" spans="2:23" x14ac:dyDescent="0.25">
      <c r="B13" s="238" t="s">
        <v>175</v>
      </c>
      <c r="C13" s="185" t="str">
        <f>C153</f>
        <v>OK</v>
      </c>
    </row>
    <row r="14" spans="2:23" x14ac:dyDescent="0.25">
      <c r="B14" s="238" t="s">
        <v>180</v>
      </c>
      <c r="C14" s="185" t="str">
        <f>C175</f>
        <v>OK</v>
      </c>
    </row>
    <row r="15" spans="2:23" x14ac:dyDescent="0.25">
      <c r="B15" s="238" t="s">
        <v>186</v>
      </c>
      <c r="C15" s="185" t="str">
        <f>C197</f>
        <v>OK</v>
      </c>
    </row>
    <row r="16" spans="2:23" x14ac:dyDescent="0.25">
      <c r="B16" s="238" t="s">
        <v>205</v>
      </c>
      <c r="C16" s="185" t="str">
        <f>C219</f>
        <v>OK</v>
      </c>
    </row>
    <row r="17" spans="2:23" x14ac:dyDescent="0.25">
      <c r="B17" s="238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85" t="str" cm="1">
        <f t="array" ref="C21">_xll.d.TestUtils_And(C27,F27,K27,P27)</f>
        <v>OK</v>
      </c>
    </row>
    <row r="23" spans="2:23" x14ac:dyDescent="0.25">
      <c r="B23" t="s">
        <v>196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25">
      <c r="B29" s="202" t="s">
        <v>145</v>
      </c>
      <c r="C29" s="186" t="s">
        <v>190</v>
      </c>
      <c r="E29" s="202" t="s">
        <v>145</v>
      </c>
      <c r="F29" s="186" t="s">
        <v>190</v>
      </c>
      <c r="J29" s="202" t="s">
        <v>145</v>
      </c>
      <c r="K29" s="186" t="s">
        <v>190</v>
      </c>
      <c r="O29" s="202" t="s">
        <v>145</v>
      </c>
      <c r="P29" s="186" t="s">
        <v>190</v>
      </c>
    </row>
    <row r="30" spans="2:23" x14ac:dyDescent="0.25">
      <c r="B30" s="186"/>
    </row>
    <row r="31" spans="2:23" x14ac:dyDescent="0.25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25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25">
      <c r="B33" s="186" t="s">
        <v>139</v>
      </c>
    </row>
    <row r="34" spans="2:23" x14ac:dyDescent="0.25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25">
      <c r="B35" s="186" t="s">
        <v>139</v>
      </c>
      <c r="E35" s="186" t="str" cm="1">
        <f t="array" aca="1" ref="E35" ca="1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25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25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25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25">
      <c r="C39" s="185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85" t="str" cm="1">
        <f t="array" ref="C43">_xll.d.TestUtils_And(C49,F49,K49,P49)</f>
        <v>OK</v>
      </c>
    </row>
    <row r="45" spans="2:23" x14ac:dyDescent="0.25">
      <c r="B45" t="s">
        <v>197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25">
      <c r="B51" s="202" t="s">
        <v>145</v>
      </c>
      <c r="C51" s="186" t="s">
        <v>190</v>
      </c>
      <c r="E51" s="202" t="s">
        <v>145</v>
      </c>
      <c r="F51" s="186" t="s">
        <v>190</v>
      </c>
      <c r="J51" s="202" t="s">
        <v>145</v>
      </c>
      <c r="K51" s="186" t="s">
        <v>190</v>
      </c>
      <c r="O51" s="202" t="s">
        <v>145</v>
      </c>
      <c r="P51" s="186" t="s">
        <v>190</v>
      </c>
    </row>
    <row r="52" spans="2:23" x14ac:dyDescent="0.25">
      <c r="B52" s="186"/>
    </row>
    <row r="53" spans="2:23" x14ac:dyDescent="0.25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25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25">
      <c r="B55" s="186" t="s">
        <v>139</v>
      </c>
    </row>
    <row r="56" spans="2:23" x14ac:dyDescent="0.25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25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25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25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25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85" t="str" cm="1">
        <f t="array" ref="C65">_xll.d.TestUtils_And(C71,F71,K71,P71)</f>
        <v>OK</v>
      </c>
    </row>
    <row r="67" spans="2:23" x14ac:dyDescent="0.25">
      <c r="B67" t="s">
        <v>198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25">
      <c r="B73" s="202" t="s">
        <v>145</v>
      </c>
      <c r="C73" s="186" t="s">
        <v>190</v>
      </c>
      <c r="E73" s="202" t="s">
        <v>145</v>
      </c>
      <c r="F73" s="186" t="s">
        <v>190</v>
      </c>
      <c r="J73" s="202" t="s">
        <v>145</v>
      </c>
      <c r="K73" s="186" t="s">
        <v>190</v>
      </c>
      <c r="O73" s="202" t="s">
        <v>145</v>
      </c>
      <c r="P73" s="186" t="s">
        <v>190</v>
      </c>
    </row>
    <row r="74" spans="2:23" x14ac:dyDescent="0.25">
      <c r="B74" s="186"/>
    </row>
    <row r="75" spans="2:23" x14ac:dyDescent="0.25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25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25">
      <c r="B77" s="186" t="s">
        <v>139</v>
      </c>
    </row>
    <row r="78" spans="2:23" x14ac:dyDescent="0.25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25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25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25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25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85" t="str" cm="1">
        <f t="array" ref="C87">_xll.d.TestUtils_And(C93,F93,K93,P93)</f>
        <v>OK</v>
      </c>
    </row>
    <row r="89" spans="2:23" x14ac:dyDescent="0.25">
      <c r="B89" t="s">
        <v>199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25">
      <c r="B95" s="202" t="s">
        <v>145</v>
      </c>
      <c r="C95" s="186" t="s">
        <v>190</v>
      </c>
      <c r="E95" s="202" t="s">
        <v>145</v>
      </c>
      <c r="F95" s="186" t="s">
        <v>190</v>
      </c>
      <c r="J95" s="202" t="s">
        <v>145</v>
      </c>
      <c r="K95" s="186" t="s">
        <v>190</v>
      </c>
      <c r="O95" s="202" t="s">
        <v>145</v>
      </c>
      <c r="P95" s="186" t="s">
        <v>190</v>
      </c>
    </row>
    <row r="96" spans="2:23" x14ac:dyDescent="0.25">
      <c r="B96" s="186"/>
    </row>
    <row r="97" spans="2:23" x14ac:dyDescent="0.25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25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25">
      <c r="B99" s="186" t="s">
        <v>149</v>
      </c>
    </row>
    <row r="100" spans="2:23" x14ac:dyDescent="0.25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25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25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25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25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85" t="str" cm="1">
        <f t="array" ref="C109">_xll.d.TestUtils_And(C115,F115,K115,P115)</f>
        <v>OK</v>
      </c>
    </row>
    <row r="111" spans="2:23" x14ac:dyDescent="0.25">
      <c r="B111" t="s">
        <v>200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25">
      <c r="B117" s="202" t="s">
        <v>145</v>
      </c>
      <c r="C117" s="186" t="s">
        <v>191</v>
      </c>
      <c r="E117" s="202" t="s">
        <v>145</v>
      </c>
      <c r="F117" s="186" t="s">
        <v>191</v>
      </c>
      <c r="J117" s="202" t="s">
        <v>145</v>
      </c>
      <c r="K117" s="186" t="s">
        <v>191</v>
      </c>
      <c r="O117" s="202" t="s">
        <v>145</v>
      </c>
      <c r="P117" s="186" t="s">
        <v>191</v>
      </c>
    </row>
    <row r="118" spans="2:23" x14ac:dyDescent="0.25">
      <c r="B118" s="186"/>
    </row>
    <row r="119" spans="2:23" x14ac:dyDescent="0.25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25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25">
      <c r="B121" s="186" t="s">
        <v>149</v>
      </c>
    </row>
    <row r="122" spans="2:23" x14ac:dyDescent="0.25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25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25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25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25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85" t="str" cm="1">
        <f t="array" ref="C131">_xll.d.TestUtils_And(C137,F137,K137,P137)</f>
        <v>OK</v>
      </c>
    </row>
    <row r="133" spans="2:23" x14ac:dyDescent="0.25">
      <c r="B133" t="s">
        <v>201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25">
      <c r="B139" s="202" t="s">
        <v>145</v>
      </c>
      <c r="C139" s="186" t="s">
        <v>191</v>
      </c>
      <c r="E139" s="202" t="s">
        <v>145</v>
      </c>
      <c r="F139" s="186" t="s">
        <v>191</v>
      </c>
      <c r="J139" s="202" t="s">
        <v>145</v>
      </c>
      <c r="K139" s="186" t="s">
        <v>191</v>
      </c>
      <c r="O139" s="202" t="s">
        <v>145</v>
      </c>
      <c r="P139" s="186" t="s">
        <v>191</v>
      </c>
    </row>
    <row r="140" spans="2:23" x14ac:dyDescent="0.25">
      <c r="B140" s="186"/>
    </row>
    <row r="141" spans="2:23" x14ac:dyDescent="0.25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25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25">
      <c r="B143" s="186" t="s">
        <v>149</v>
      </c>
    </row>
    <row r="144" spans="2:23" x14ac:dyDescent="0.25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25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25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25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25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.75" x14ac:dyDescent="0.3">
      <c r="B151" s="3" t="s">
        <v>175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85" t="str" cm="1">
        <f t="array" ref="C153">_xll.d.TestUtils_And(C159,F159,K159,P159)</f>
        <v>OK</v>
      </c>
    </row>
    <row r="155" spans="2:23" x14ac:dyDescent="0.25">
      <c r="B155" t="s">
        <v>202</v>
      </c>
    </row>
    <row r="157" spans="2:23" ht="15.75" x14ac:dyDescent="0.25">
      <c r="B157" s="4" t="s">
        <v>176</v>
      </c>
      <c r="C157" s="4"/>
      <c r="E157" s="4" t="s">
        <v>177</v>
      </c>
      <c r="F157" s="4"/>
      <c r="G157" s="4"/>
      <c r="H157" s="4"/>
      <c r="J157" s="4" t="s">
        <v>178</v>
      </c>
      <c r="K157" s="4"/>
      <c r="L157" s="4"/>
      <c r="M157" s="4"/>
      <c r="O157" s="4" t="s">
        <v>179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25">
      <c r="B161" s="202" t="s">
        <v>145</v>
      </c>
      <c r="C161" s="186" t="s">
        <v>191</v>
      </c>
      <c r="E161" s="202" t="s">
        <v>145</v>
      </c>
      <c r="F161" s="186" t="s">
        <v>191</v>
      </c>
      <c r="J161" s="202" t="s">
        <v>145</v>
      </c>
      <c r="K161" s="186" t="s">
        <v>191</v>
      </c>
      <c r="O161" s="202" t="s">
        <v>145</v>
      </c>
      <c r="P161" s="186" t="s">
        <v>191</v>
      </c>
    </row>
    <row r="162" spans="2:23" x14ac:dyDescent="0.25">
      <c r="B162" s="186"/>
    </row>
    <row r="163" spans="2:23" x14ac:dyDescent="0.25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25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25">
      <c r="B165" s="186" t="s">
        <v>153</v>
      </c>
    </row>
    <row r="166" spans="2:23" x14ac:dyDescent="0.25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25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25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25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25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.75" x14ac:dyDescent="0.3">
      <c r="B173" s="3" t="s">
        <v>180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85" t="str" cm="1">
        <f t="array" ref="C175">_xll.d.TestUtils_And(C181,F181,K181,P181)</f>
        <v>OK</v>
      </c>
    </row>
    <row r="177" spans="2:23" x14ac:dyDescent="0.25">
      <c r="B177" t="s">
        <v>203</v>
      </c>
    </row>
    <row r="179" spans="2:23" ht="15.75" x14ac:dyDescent="0.25">
      <c r="B179" s="4" t="s">
        <v>184</v>
      </c>
      <c r="C179" s="4"/>
      <c r="E179" s="4" t="s">
        <v>181</v>
      </c>
      <c r="F179" s="4"/>
      <c r="G179" s="4"/>
      <c r="H179" s="4"/>
      <c r="J179" s="4" t="s">
        <v>182</v>
      </c>
      <c r="K179" s="4"/>
      <c r="L179" s="4"/>
      <c r="M179" s="4"/>
      <c r="O179" s="4" t="s">
        <v>183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25">
      <c r="B183" s="202" t="s">
        <v>145</v>
      </c>
      <c r="C183" s="186" t="s">
        <v>191</v>
      </c>
      <c r="E183" s="202" t="s">
        <v>145</v>
      </c>
      <c r="F183" s="186" t="s">
        <v>191</v>
      </c>
      <c r="J183" s="202" t="s">
        <v>145</v>
      </c>
      <c r="K183" s="186" t="s">
        <v>191</v>
      </c>
      <c r="O183" s="202" t="s">
        <v>145</v>
      </c>
      <c r="P183" s="186" t="s">
        <v>191</v>
      </c>
    </row>
    <row r="184" spans="2:23" x14ac:dyDescent="0.25">
      <c r="B184" s="186"/>
    </row>
    <row r="185" spans="2:23" x14ac:dyDescent="0.25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25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25">
      <c r="B187" s="186" t="s">
        <v>153</v>
      </c>
    </row>
    <row r="188" spans="2:23" x14ac:dyDescent="0.25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25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25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25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25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.75" x14ac:dyDescent="0.3">
      <c r="B195" s="3" t="s">
        <v>186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85" t="str" cm="1">
        <f t="array" ref="C197">_xll.d.TestUtils_And(C203,F203,K203,P203)</f>
        <v>OK</v>
      </c>
    </row>
    <row r="199" spans="2:23" x14ac:dyDescent="0.25">
      <c r="B199" t="s">
        <v>204</v>
      </c>
    </row>
    <row r="201" spans="2:23" ht="15.75" x14ac:dyDescent="0.25">
      <c r="B201" s="4" t="s">
        <v>192</v>
      </c>
      <c r="C201" s="4"/>
      <c r="E201" s="4" t="s">
        <v>193</v>
      </c>
      <c r="F201" s="4"/>
      <c r="G201" s="4"/>
      <c r="H201" s="4"/>
      <c r="J201" s="4" t="s">
        <v>194</v>
      </c>
      <c r="K201" s="4"/>
      <c r="L201" s="4"/>
      <c r="M201" s="4"/>
      <c r="O201" s="4" t="s">
        <v>195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25">
      <c r="B205" s="202" t="s">
        <v>145</v>
      </c>
      <c r="C205" s="186" t="s">
        <v>191</v>
      </c>
      <c r="E205" s="202" t="s">
        <v>145</v>
      </c>
      <c r="F205" s="186" t="s">
        <v>191</v>
      </c>
      <c r="J205" s="202" t="s">
        <v>145</v>
      </c>
      <c r="K205" s="186" t="s">
        <v>191</v>
      </c>
      <c r="O205" s="202" t="s">
        <v>145</v>
      </c>
      <c r="P205" s="186" t="s">
        <v>191</v>
      </c>
    </row>
    <row r="206" spans="2:23" x14ac:dyDescent="0.25">
      <c r="B206" s="186"/>
    </row>
    <row r="207" spans="2:23" x14ac:dyDescent="0.25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25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25">
      <c r="B209" s="186" t="s">
        <v>153</v>
      </c>
      <c r="C209" t="str">
        <v>WARNING</v>
      </c>
    </row>
    <row r="210" spans="2:23" x14ac:dyDescent="0.25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25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25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25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25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.75" x14ac:dyDescent="0.3">
      <c r="B217" s="3" t="s">
        <v>205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85" t="str" cm="1">
        <f t="array" ref="C219">_xll.d.TestUtils_And(C225,F225,I225,L225)</f>
        <v>OK</v>
      </c>
    </row>
    <row r="221" spans="2:23" x14ac:dyDescent="0.25">
      <c r="B221" t="s">
        <v>210</v>
      </c>
    </row>
    <row r="223" spans="2:23" ht="15.75" x14ac:dyDescent="0.25">
      <c r="B223" s="4" t="s">
        <v>206</v>
      </c>
      <c r="C223" s="4"/>
      <c r="E223" s="4" t="s">
        <v>207</v>
      </c>
      <c r="F223" s="4"/>
      <c r="H223" s="4" t="s">
        <v>208</v>
      </c>
      <c r="I223" s="4"/>
      <c r="K223" s="4" t="s">
        <v>209</v>
      </c>
      <c r="L223" s="4"/>
      <c r="N223" s="4" t="s">
        <v>213</v>
      </c>
      <c r="O223" s="4"/>
      <c r="Q223" s="4" t="s">
        <v>215</v>
      </c>
      <c r="R223" s="4"/>
      <c r="T223" s="4" t="s">
        <v>215</v>
      </c>
      <c r="U223" s="4"/>
    </row>
    <row r="225" spans="2:21" x14ac:dyDescent="0.25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25">
      <c r="B227" s="202" t="s">
        <v>145</v>
      </c>
      <c r="C227" s="186" t="s">
        <v>190</v>
      </c>
      <c r="E227" s="202" t="s">
        <v>145</v>
      </c>
      <c r="F227" s="186" t="s">
        <v>191</v>
      </c>
      <c r="H227" s="202" t="s">
        <v>145</v>
      </c>
      <c r="I227" s="186" t="s">
        <v>211</v>
      </c>
      <c r="K227" s="202" t="s">
        <v>145</v>
      </c>
      <c r="L227" s="186" t="s">
        <v>212</v>
      </c>
      <c r="N227" s="202" t="s">
        <v>145</v>
      </c>
      <c r="O227" s="186" t="s">
        <v>214</v>
      </c>
      <c r="Q227" s="202" t="s">
        <v>145</v>
      </c>
      <c r="R227" s="186" t="s">
        <v>216</v>
      </c>
      <c r="T227" s="202" t="s">
        <v>145</v>
      </c>
      <c r="U227" s="186" t="s">
        <v>217</v>
      </c>
    </row>
    <row r="228" spans="2:21" x14ac:dyDescent="0.25">
      <c r="B228" s="186"/>
    </row>
    <row r="229" spans="2:21" x14ac:dyDescent="0.25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25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25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25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25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25">
      <c r="H234" s="186"/>
      <c r="I234" s="186"/>
    </row>
    <row r="235" spans="2:21" x14ac:dyDescent="0.25">
      <c r="H235" s="186"/>
      <c r="I235" s="186"/>
      <c r="L235" s="186"/>
    </row>
    <row r="236" spans="2:21" x14ac:dyDescent="0.25">
      <c r="H236" s="186"/>
      <c r="I236" s="186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9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26" t="s">
        <v>173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28" t="s">
        <v>10</v>
      </c>
      <c r="C6" s="229" t="s">
        <v>11</v>
      </c>
      <c r="E6" s="154" t="s">
        <v>122</v>
      </c>
      <c r="F6" s="148"/>
    </row>
    <row r="7" spans="2:56" x14ac:dyDescent="0.25">
      <c r="B7" s="225" t="s">
        <v>115</v>
      </c>
      <c r="C7" s="185" t="str">
        <f ca="1">C30</f>
        <v>OK</v>
      </c>
    </row>
    <row r="8" spans="2:56" x14ac:dyDescent="0.25">
      <c r="B8" s="225" t="s">
        <v>117</v>
      </c>
      <c r="C8" s="185" t="str">
        <f ca="1">C54</f>
        <v>OK</v>
      </c>
    </row>
    <row r="9" spans="2:56" x14ac:dyDescent="0.25">
      <c r="B9" s="225" t="s">
        <v>118</v>
      </c>
      <c r="C9" s="185" t="str">
        <f ca="1">C78</f>
        <v>OK</v>
      </c>
    </row>
    <row r="10" spans="2:56" x14ac:dyDescent="0.25">
      <c r="B10" s="225" t="s">
        <v>121</v>
      </c>
      <c r="C10" s="185" t="str">
        <f ca="1">C114</f>
        <v>OK</v>
      </c>
    </row>
    <row r="11" spans="2:56" x14ac:dyDescent="0.25">
      <c r="B11" s="225" t="s">
        <v>127</v>
      </c>
      <c r="C11" s="185" t="str">
        <f ca="1">C150</f>
        <v>OK</v>
      </c>
    </row>
    <row r="12" spans="2:56" x14ac:dyDescent="0.25">
      <c r="B12" s="225" t="s">
        <v>129</v>
      </c>
      <c r="C12" s="185" t="str">
        <f ca="1">C172</f>
        <v>OK</v>
      </c>
    </row>
    <row r="13" spans="2:56" x14ac:dyDescent="0.25">
      <c r="B13" s="225" t="s">
        <v>175</v>
      </c>
      <c r="C13" s="185" t="str">
        <f ca="1">C192</f>
        <v>OK</v>
      </c>
    </row>
    <row r="14" spans="2:56" x14ac:dyDescent="0.25">
      <c r="B14" s="225" t="s">
        <v>180</v>
      </c>
      <c r="C14" s="185" t="str">
        <f ca="1">C209</f>
        <v>OK</v>
      </c>
    </row>
    <row r="17" spans="2:72" s="64" customFormat="1" x14ac:dyDescent="0.25">
      <c r="B17" s="64" t="s">
        <v>93</v>
      </c>
    </row>
    <row r="18" spans="2:72" x14ac:dyDescent="0.25">
      <c r="B18" t="s">
        <v>94</v>
      </c>
    </row>
    <row r="20" spans="2:72" x14ac:dyDescent="0.25">
      <c r="B20" t="s">
        <v>107</v>
      </c>
    </row>
    <row r="22" spans="2:72" x14ac:dyDescent="0.25">
      <c r="B22" s="84" t="s">
        <v>108</v>
      </c>
    </row>
    <row r="23" spans="2:72" x14ac:dyDescent="0.25">
      <c r="B23" s="85" t="s">
        <v>125</v>
      </c>
    </row>
    <row r="24" spans="2:72" x14ac:dyDescent="0.25">
      <c r="B24" s="357" t="s">
        <v>133</v>
      </c>
    </row>
    <row r="25" spans="2:72" x14ac:dyDescent="0.25">
      <c r="B25" s="85" t="s">
        <v>174</v>
      </c>
    </row>
    <row r="26" spans="2:72" x14ac:dyDescent="0.25">
      <c r="B26" s="357" t="s">
        <v>185</v>
      </c>
    </row>
    <row r="28" spans="2:72" ht="18.75" x14ac:dyDescent="0.3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25">
      <c r="B30" s="59" t="s">
        <v>136</v>
      </c>
      <c r="C30" s="185" t="str" cm="1">
        <f t="array" aca="1" ref="C30" ca="1">_xll.d.TestUtils_And(BD45:BT49)</f>
        <v>OK</v>
      </c>
    </row>
    <row r="32" spans="2:72" x14ac:dyDescent="0.25">
      <c r="B32" s="59" t="s">
        <v>116</v>
      </c>
      <c r="C32" s="59" t="s">
        <v>33</v>
      </c>
    </row>
    <row r="33" spans="2:72" x14ac:dyDescent="0.25">
      <c r="B33" s="98" t="s">
        <v>111</v>
      </c>
      <c r="C33" s="167" t="s">
        <v>131</v>
      </c>
    </row>
    <row r="34" spans="2:72" x14ac:dyDescent="0.25">
      <c r="B34" s="92" t="s">
        <v>112</v>
      </c>
      <c r="C34" s="168" t="s">
        <v>0</v>
      </c>
    </row>
    <row r="35" spans="2:72" x14ac:dyDescent="0.25">
      <c r="B35" s="94"/>
      <c r="C35" s="169" t="s">
        <v>113</v>
      </c>
    </row>
    <row r="36" spans="2:72" x14ac:dyDescent="0.25">
      <c r="B36" s="96"/>
      <c r="C36" s="170" t="s">
        <v>114</v>
      </c>
    </row>
    <row r="37" spans="2:72" x14ac:dyDescent="0.25">
      <c r="B37" s="166" t="s">
        <v>130</v>
      </c>
      <c r="C37" s="172">
        <v>2</v>
      </c>
    </row>
    <row r="38" spans="2:72" x14ac:dyDescent="0.25">
      <c r="B38" s="166" t="s">
        <v>131</v>
      </c>
      <c r="C38" s="172">
        <v>0</v>
      </c>
    </row>
    <row r="39" spans="2:72" x14ac:dyDescent="0.25">
      <c r="B39" s="146" t="s">
        <v>119</v>
      </c>
      <c r="C39" s="147"/>
    </row>
    <row r="41" spans="2:72" x14ac:dyDescent="0.25">
      <c r="B41" t="s">
        <v>95</v>
      </c>
    </row>
    <row r="43" spans="2:72" x14ac:dyDescent="0.25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25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25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25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25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25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25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.75" x14ac:dyDescent="0.3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25">
      <c r="B54" s="59" t="s">
        <v>136</v>
      </c>
      <c r="C54" s="185" t="str" cm="1">
        <f t="array" aca="1" ref="C54" ca="1">_xll.d.TestUtils_And(BD69:BT73)</f>
        <v>OK</v>
      </c>
    </row>
    <row r="56" spans="2:72" x14ac:dyDescent="0.25">
      <c r="B56" s="59" t="s">
        <v>116</v>
      </c>
      <c r="C56" s="59" t="s">
        <v>33</v>
      </c>
    </row>
    <row r="57" spans="2:72" x14ac:dyDescent="0.25">
      <c r="B57" s="98" t="s">
        <v>111</v>
      </c>
      <c r="C57" s="99" t="s">
        <v>130</v>
      </c>
    </row>
    <row r="58" spans="2:72" x14ac:dyDescent="0.25">
      <c r="B58" s="92" t="s">
        <v>112</v>
      </c>
      <c r="C58" s="93" t="s">
        <v>0</v>
      </c>
    </row>
    <row r="59" spans="2:72" x14ac:dyDescent="0.25">
      <c r="B59" s="94"/>
      <c r="C59" s="95" t="s">
        <v>113</v>
      </c>
    </row>
    <row r="60" spans="2:72" x14ac:dyDescent="0.25">
      <c r="B60" s="96"/>
      <c r="C60" s="97" t="s">
        <v>114</v>
      </c>
    </row>
    <row r="61" spans="2:72" x14ac:dyDescent="0.25">
      <c r="B61" s="166" t="s">
        <v>130</v>
      </c>
      <c r="C61" s="172">
        <v>2</v>
      </c>
    </row>
    <row r="62" spans="2:72" x14ac:dyDescent="0.25">
      <c r="B62" s="166" t="s">
        <v>131</v>
      </c>
      <c r="C62" s="172">
        <v>0</v>
      </c>
    </row>
    <row r="63" spans="2:72" x14ac:dyDescent="0.25">
      <c r="B63" s="146" t="s">
        <v>119</v>
      </c>
      <c r="C63" s="147"/>
    </row>
    <row r="64" spans="2:72" x14ac:dyDescent="0.25">
      <c r="B64" s="64"/>
      <c r="C64" s="64"/>
    </row>
    <row r="65" spans="2:72" x14ac:dyDescent="0.25">
      <c r="B65" t="s">
        <v>120</v>
      </c>
      <c r="C65" s="64"/>
    </row>
    <row r="66" spans="2:72" x14ac:dyDescent="0.25">
      <c r="B66" s="64"/>
      <c r="C66" s="64"/>
    </row>
    <row r="67" spans="2:72" x14ac:dyDescent="0.25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25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25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25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25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25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25">
      <c r="B74" s="64"/>
      <c r="C74" s="64"/>
    </row>
    <row r="75" spans="2:72" x14ac:dyDescent="0.25">
      <c r="B75" s="64"/>
      <c r="C75" s="64"/>
    </row>
    <row r="76" spans="2:72" ht="18.75" x14ac:dyDescent="0.3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25">
      <c r="B78" s="59" t="s">
        <v>136</v>
      </c>
      <c r="C78" s="185" t="str" cm="1">
        <f t="array" aca="1" ref="C78" ca="1">_xll.d.TestUtils_And(T93:X109)</f>
        <v>OK</v>
      </c>
    </row>
    <row r="80" spans="2:72" x14ac:dyDescent="0.25">
      <c r="B80" s="59" t="s">
        <v>116</v>
      </c>
      <c r="C80" s="59" t="s">
        <v>33</v>
      </c>
    </row>
    <row r="81" spans="2:24" x14ac:dyDescent="0.25">
      <c r="B81" s="98" t="s">
        <v>111</v>
      </c>
      <c r="C81" s="99" t="s">
        <v>131</v>
      </c>
    </row>
    <row r="82" spans="2:24" x14ac:dyDescent="0.25">
      <c r="B82" s="92" t="s">
        <v>112</v>
      </c>
      <c r="C82" s="93" t="s">
        <v>0</v>
      </c>
    </row>
    <row r="83" spans="2:24" x14ac:dyDescent="0.25">
      <c r="B83" s="94"/>
      <c r="C83" s="95" t="s">
        <v>113</v>
      </c>
    </row>
    <row r="84" spans="2:24" x14ac:dyDescent="0.25">
      <c r="B84" s="96"/>
      <c r="C84" s="97" t="s">
        <v>114</v>
      </c>
    </row>
    <row r="85" spans="2:24" x14ac:dyDescent="0.25">
      <c r="B85" s="166" t="s">
        <v>130</v>
      </c>
      <c r="C85" s="172">
        <v>0</v>
      </c>
    </row>
    <row r="86" spans="2:24" x14ac:dyDescent="0.25">
      <c r="B86" s="166" t="s">
        <v>131</v>
      </c>
      <c r="C86" s="172">
        <v>2</v>
      </c>
    </row>
    <row r="87" spans="2:24" x14ac:dyDescent="0.25">
      <c r="B87" s="149" t="s">
        <v>119</v>
      </c>
      <c r="C87" s="148"/>
    </row>
    <row r="89" spans="2:24" x14ac:dyDescent="0.25">
      <c r="B89" t="s">
        <v>95</v>
      </c>
    </row>
    <row r="91" spans="2:24" x14ac:dyDescent="0.25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25">
      <c r="B93" s="399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399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25">
      <c r="B94" s="400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00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25">
      <c r="B95" s="400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00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25">
      <c r="B96" s="400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00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25">
      <c r="B97" s="400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00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25">
      <c r="B98" s="400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00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25">
      <c r="B99" s="400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00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25">
      <c r="B100" s="400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00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25">
      <c r="B101" s="400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00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25">
      <c r="B102" s="400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00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25">
      <c r="B103" s="400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00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25">
      <c r="B104" s="400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00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25">
      <c r="B105" s="400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00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25">
      <c r="B106" s="400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00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25">
      <c r="B107" s="400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00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25">
      <c r="B108" s="400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00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25">
      <c r="B109" s="401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01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.75" x14ac:dyDescent="0.3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25">
      <c r="B114" s="59" t="s">
        <v>136</v>
      </c>
      <c r="C114" s="185" t="str" cm="1">
        <f t="array" aca="1" ref="C114" ca="1">_xll.d.TestUtils_And(T129:X145)</f>
        <v>OK</v>
      </c>
    </row>
    <row r="116" spans="2:20" x14ac:dyDescent="0.25">
      <c r="B116" s="59" t="s">
        <v>116</v>
      </c>
      <c r="C116" s="59" t="s">
        <v>33</v>
      </c>
    </row>
    <row r="117" spans="2:20" x14ac:dyDescent="0.25">
      <c r="B117" s="98" t="s">
        <v>111</v>
      </c>
      <c r="C117" s="99" t="s">
        <v>130</v>
      </c>
    </row>
    <row r="118" spans="2:20" x14ac:dyDescent="0.25">
      <c r="B118" s="92" t="s">
        <v>112</v>
      </c>
      <c r="C118" s="93" t="s">
        <v>0</v>
      </c>
    </row>
    <row r="119" spans="2:20" x14ac:dyDescent="0.25">
      <c r="B119" s="94"/>
      <c r="C119" s="95" t="s">
        <v>113</v>
      </c>
    </row>
    <row r="120" spans="2:20" x14ac:dyDescent="0.25">
      <c r="B120" s="96"/>
      <c r="C120" s="97" t="s">
        <v>114</v>
      </c>
    </row>
    <row r="121" spans="2:20" x14ac:dyDescent="0.25">
      <c r="B121" s="166" t="s">
        <v>130</v>
      </c>
      <c r="C121" s="172">
        <v>0</v>
      </c>
    </row>
    <row r="122" spans="2:20" x14ac:dyDescent="0.25">
      <c r="B122" s="166" t="s">
        <v>131</v>
      </c>
      <c r="C122" s="172">
        <v>2</v>
      </c>
    </row>
    <row r="123" spans="2:20" x14ac:dyDescent="0.25">
      <c r="B123" s="149" t="s">
        <v>119</v>
      </c>
      <c r="C123" s="150"/>
    </row>
    <row r="125" spans="2:20" x14ac:dyDescent="0.25">
      <c r="B125" t="s">
        <v>120</v>
      </c>
    </row>
    <row r="127" spans="2:20" x14ac:dyDescent="0.25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25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02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03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03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03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03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03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03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03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03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03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03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03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03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03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03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03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25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03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.75" x14ac:dyDescent="0.3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25">
      <c r="B150" s="59" t="s">
        <v>136</v>
      </c>
      <c r="C150" s="185" t="str" cm="1">
        <f t="array" aca="1" ref="C150" ca="1">_xll.d.TestUtils_And(K163:L166)</f>
        <v>OK</v>
      </c>
    </row>
    <row r="152" spans="2:55" x14ac:dyDescent="0.25">
      <c r="B152" s="59" t="s">
        <v>116</v>
      </c>
      <c r="C152" s="59" t="s">
        <v>33</v>
      </c>
    </row>
    <row r="153" spans="2:55" x14ac:dyDescent="0.25">
      <c r="B153" s="98" t="s">
        <v>111</v>
      </c>
      <c r="C153" s="99" t="s">
        <v>131</v>
      </c>
    </row>
    <row r="154" spans="2:55" x14ac:dyDescent="0.25">
      <c r="B154" s="92" t="s">
        <v>112</v>
      </c>
      <c r="C154" s="93" t="s">
        <v>128</v>
      </c>
    </row>
    <row r="155" spans="2:55" x14ac:dyDescent="0.25">
      <c r="B155" s="98" t="s">
        <v>130</v>
      </c>
      <c r="C155" s="171">
        <v>2</v>
      </c>
    </row>
    <row r="156" spans="2:55" x14ac:dyDescent="0.25">
      <c r="B156" s="166" t="s">
        <v>131</v>
      </c>
      <c r="C156" s="172">
        <v>0</v>
      </c>
    </row>
    <row r="157" spans="2:55" x14ac:dyDescent="0.25">
      <c r="B157" s="149" t="s">
        <v>119</v>
      </c>
      <c r="C157" s="150"/>
    </row>
    <row r="159" spans="2:55" x14ac:dyDescent="0.25">
      <c r="B159" t="s">
        <v>172</v>
      </c>
    </row>
    <row r="161" spans="2:55" x14ac:dyDescent="0.25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25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25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25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25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25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.75" x14ac:dyDescent="0.3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25">
      <c r="B172" s="59" t="s">
        <v>136</v>
      </c>
      <c r="C172" s="185" t="str" cm="1">
        <f t="array" aca="1" ref="C172" ca="1">_xll.d.TestUtils_And(K183:L187)</f>
        <v>OK</v>
      </c>
    </row>
    <row r="174" spans="2:55" x14ac:dyDescent="0.25">
      <c r="B174" s="59" t="s">
        <v>116</v>
      </c>
      <c r="C174" s="59" t="s">
        <v>33</v>
      </c>
    </row>
    <row r="175" spans="2:55" x14ac:dyDescent="0.25">
      <c r="B175" s="98" t="s">
        <v>111</v>
      </c>
      <c r="C175" s="99" t="s">
        <v>131</v>
      </c>
    </row>
    <row r="176" spans="2:55" x14ac:dyDescent="0.25">
      <c r="B176" s="92" t="s">
        <v>112</v>
      </c>
      <c r="C176" s="93" t="s">
        <v>128</v>
      </c>
    </row>
    <row r="177" spans="2:55" x14ac:dyDescent="0.25">
      <c r="B177" s="149" t="s">
        <v>119</v>
      </c>
      <c r="C177" s="150"/>
    </row>
    <row r="179" spans="2:55" x14ac:dyDescent="0.25">
      <c r="B179" t="s">
        <v>132</v>
      </c>
    </row>
    <row r="181" spans="2:55" x14ac:dyDescent="0.25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25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25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25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25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25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.75" x14ac:dyDescent="0.3">
      <c r="B190" s="3" t="s">
        <v>175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25">
      <c r="B192" s="59" t="s">
        <v>136</v>
      </c>
      <c r="C192" s="185" t="str" cm="1">
        <f t="array" aca="1" ref="C192" ca="1">_xll.d.TestUtils_And(T203:X204)</f>
        <v>OK</v>
      </c>
    </row>
    <row r="194" spans="2:55" x14ac:dyDescent="0.25">
      <c r="B194" s="59" t="s">
        <v>116</v>
      </c>
      <c r="C194" s="59" t="s">
        <v>33</v>
      </c>
    </row>
    <row r="195" spans="2:55" x14ac:dyDescent="0.25">
      <c r="B195" s="98" t="s">
        <v>111</v>
      </c>
      <c r="C195" s="99" t="s">
        <v>130</v>
      </c>
    </row>
    <row r="196" spans="2:55" x14ac:dyDescent="0.25">
      <c r="B196" s="92" t="s">
        <v>112</v>
      </c>
      <c r="C196" s="93" t="s">
        <v>128</v>
      </c>
    </row>
    <row r="197" spans="2:55" x14ac:dyDescent="0.25">
      <c r="B197" s="149" t="s">
        <v>119</v>
      </c>
      <c r="C197" s="150"/>
    </row>
    <row r="199" spans="2:55" x14ac:dyDescent="0.25">
      <c r="B199" t="s">
        <v>132</v>
      </c>
    </row>
    <row r="201" spans="2:55" x14ac:dyDescent="0.25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25">
      <c r="B202" s="155"/>
      <c r="C202" s="155"/>
      <c r="L202" s="156"/>
      <c r="M202" s="156"/>
    </row>
    <row r="203" spans="2:55" ht="15" customHeight="1" x14ac:dyDescent="0.25">
      <c r="B203" s="399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399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25">
      <c r="B204" s="401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01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.75" x14ac:dyDescent="0.3">
      <c r="B207" s="3" t="s">
        <v>180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25">
      <c r="B209" s="59" t="s">
        <v>136</v>
      </c>
      <c r="C209" s="185" t="str" cm="1">
        <f t="array" aca="1" ref="C209" ca="1">_xll.d.TestUtils_And(T223:X229)</f>
        <v>OK</v>
      </c>
    </row>
    <row r="211" spans="2:24" x14ac:dyDescent="0.25">
      <c r="B211" s="59" t="s">
        <v>116</v>
      </c>
      <c r="C211" s="59" t="s">
        <v>33</v>
      </c>
    </row>
    <row r="212" spans="2:24" x14ac:dyDescent="0.25">
      <c r="B212" s="92" t="s">
        <v>111</v>
      </c>
      <c r="C212" s="93" t="s">
        <v>262</v>
      </c>
    </row>
    <row r="213" spans="2:24" x14ac:dyDescent="0.25">
      <c r="B213" s="94"/>
      <c r="C213" s="95" t="s">
        <v>130</v>
      </c>
    </row>
    <row r="214" spans="2:24" x14ac:dyDescent="0.25">
      <c r="B214" s="98" t="s">
        <v>112</v>
      </c>
      <c r="C214" s="99" t="s">
        <v>113</v>
      </c>
    </row>
    <row r="215" spans="2:24" x14ac:dyDescent="0.25">
      <c r="B215" s="166" t="s">
        <v>130</v>
      </c>
      <c r="C215" s="172">
        <v>2</v>
      </c>
    </row>
    <row r="216" spans="2:24" x14ac:dyDescent="0.25">
      <c r="B216" s="166" t="s">
        <v>131</v>
      </c>
      <c r="C216" s="172">
        <v>2</v>
      </c>
    </row>
    <row r="217" spans="2:24" x14ac:dyDescent="0.25">
      <c r="B217" s="149" t="s">
        <v>119</v>
      </c>
      <c r="C217" s="150"/>
    </row>
    <row r="219" spans="2:24" x14ac:dyDescent="0.25">
      <c r="B219" t="s">
        <v>263</v>
      </c>
    </row>
    <row r="221" spans="2:24" x14ac:dyDescent="0.25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25">
      <c r="B222" s="155"/>
      <c r="C222" s="155"/>
      <c r="L222" s="156"/>
      <c r="M222" s="156"/>
    </row>
    <row r="223" spans="2:24" x14ac:dyDescent="0.25">
      <c r="B223" s="156" t="s">
        <v>260</v>
      </c>
      <c r="C223" s="156"/>
      <c r="D223" s="138" t="s">
        <v>261</v>
      </c>
      <c r="E223" s="231"/>
      <c r="F223" s="139"/>
      <c r="H223" s="156" t="s">
        <v>260</v>
      </c>
      <c r="I223" s="367" t="s">
        <v>264</v>
      </c>
      <c r="J223" s="156" t="s">
        <v>261</v>
      </c>
      <c r="K223" s="156"/>
      <c r="L223" s="156"/>
      <c r="M223" s="156"/>
      <c r="N223" s="156" t="s">
        <v>260</v>
      </c>
      <c r="O223" s="367" t="s">
        <v>264</v>
      </c>
      <c r="P223" s="368" t="s">
        <v>261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25">
      <c r="B224" s="156"/>
      <c r="C224" s="156"/>
      <c r="D224" s="335">
        <v>0.75</v>
      </c>
      <c r="E224" s="336">
        <v>1</v>
      </c>
      <c r="F224" s="337">
        <v>1.25</v>
      </c>
      <c r="H224" s="367" t="s">
        <v>264</v>
      </c>
      <c r="I224" s="367" t="s">
        <v>264</v>
      </c>
      <c r="J224" s="156">
        <v>0.75</v>
      </c>
      <c r="K224" s="156">
        <v>1</v>
      </c>
      <c r="L224" s="156">
        <v>1.25</v>
      </c>
      <c r="M224" s="156"/>
      <c r="N224" s="367" t="s">
        <v>264</v>
      </c>
      <c r="O224" s="367" t="s">
        <v>264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25">
      <c r="B225" s="399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399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25">
      <c r="B226" s="400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00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25">
      <c r="B227" s="400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00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25">
      <c r="B228" s="400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00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25">
      <c r="B229" s="401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01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25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30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45:BT49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54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9:BT73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8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93:X109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14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9:X145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50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63:L167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83:L187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72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92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203:X204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9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23:X229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46</vt:i4>
      </vt:variant>
    </vt:vector>
  </HeadingPairs>
  <TitlesOfParts>
    <vt:vector size="5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2022-11-21T14:55:47Z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