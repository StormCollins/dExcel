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GitLab\dExcelTools\dExcel\dExcel\Resources\Workbooks\"/>
    </mc:Choice>
  </mc:AlternateContent>
  <xr:revisionPtr revIDLastSave="0" documentId="13_ncr:1_{A49096BB-E7A8-4D9D-B61D-A184CBA07D98}" xr6:coauthVersionLast="47" xr6:coauthVersionMax="47" xr10:uidLastSave="{00000000-0000-0000-0000-000000000000}"/>
  <bookViews>
    <workbookView xWindow="-120" yWindow="-120" windowWidth="24240" windowHeight="13140" tabRatio="485" firstSheet="8" activeTab="12" xr2:uid="{CFAC4E8B-1C32-41D2-A11E-38180CE9FB57}"/>
  </bookViews>
  <sheets>
    <sheet name="Summary" sheetId="8" r:id="rId1"/>
    <sheet name="Utilities" sheetId="12" r:id="rId2"/>
    <sheet name="Dates" sheetId="13" r:id="rId3"/>
    <sheet name="Interest Rate curves" sheetId="6" r:id="rId4"/>
    <sheet name="Curves" sheetId="1" r:id="rId5"/>
    <sheet name="SinlgeCurveBootstrapping" sheetId="3" r:id="rId6"/>
    <sheet name="MultiCurveBootstrapping" sheetId="4" r:id="rId7"/>
    <sheet name="HullWhite" sheetId="2" r:id="rId8"/>
    <sheet name="Fixed Income Instruments" sheetId="10" r:id="rId9"/>
    <sheet name="Interest Rate Swaps" sheetId="11" r:id="rId10"/>
    <sheet name="Other" sheetId="7" r:id="rId11"/>
    <sheet name="Test Utils" sheetId="9" r:id="rId12"/>
    <sheet name="Table Formatting" sheetId="5" r:id="rId13"/>
  </sheets>
  <definedNames>
    <definedName name="Curves.Title" localSheetId="2">Dates!$B$2</definedName>
    <definedName name="Curves.Title">Curves!$B$2</definedName>
    <definedName name="Logic.Title">'Test Utils'!$B$2</definedName>
    <definedName name="Summary.ResetTestsInAllSheets">Summary!$B$6:$C$6</definedName>
    <definedName name="Summary.RunTestsInAllSheets">Summary!$B$5:$C$5</definedName>
    <definedName name="TableFormatting.ResetAllSheetTests">'Table Formatting'!$E$6:$F$6</definedName>
    <definedName name="TableFormatting.RunAllSheetTests">'Table Formatting'!$E$5:$F$5</definedName>
    <definedName name="TableFormatting.Test1.Input">'Table Formatting'!$T$45:$AJ$49</definedName>
    <definedName name="TableFormatting.Test1.Output">'Table Formatting'!$AL$45:$BB$49</definedName>
    <definedName name="TableFormatting.Test1.ResetTest">'Table Formatting'!$B$39:$C$39</definedName>
    <definedName name="TableFormatting.Test1.Title">'Table Formatting'!$B$28</definedName>
    <definedName name="TableFormatting.Test2.Input">'Table Formatting'!$T$69:$AJ$73</definedName>
    <definedName name="TableFormatting.Test2.Output">'Table Formatting'!$AL$69:$BB$73</definedName>
    <definedName name="TableFormatting.Test2.ResetTest">'Table Formatting'!$B$63:$C$63</definedName>
    <definedName name="TableFormatting.Test2.Title">'Table Formatting'!$B$52</definedName>
    <definedName name="TableFormatting.Test3.Expected.PrimaryHeader">'Table Formatting'!$B$93</definedName>
    <definedName name="TableFormatting.Test3.Input">'Table Formatting'!$H$93:$L$109</definedName>
    <definedName name="TableFormatting.Test3.Output">'Table Formatting'!$N$93:$R$109</definedName>
    <definedName name="TableFormatting.Test3.Output.PrimaryHeader">'Table Formatting'!$N$93</definedName>
    <definedName name="TableFormatting.Test3.ResetTest">'Table Formatting'!$B$87:$C$87</definedName>
    <definedName name="TableFormatting.Test3.Title">'Table Formatting'!$B$76</definedName>
    <definedName name="TableFormatting.Test4.Input">'Table Formatting'!$H$129:$L$145</definedName>
    <definedName name="TableFormatting.Test4.Output">'Table Formatting'!$N$129:$R$145</definedName>
    <definedName name="TableFormatting.Test4.ResetTest">'Table Formatting'!$B$123:$C$123</definedName>
    <definedName name="TableFormatting.Test4.Title">'Table Formatting'!$B$112</definedName>
    <definedName name="TableFormatting.Test5.Input">'Table Formatting'!$E$163:$F$167</definedName>
    <definedName name="TableFormatting.Test5.Output">'Table Formatting'!$H$163:$I$167</definedName>
    <definedName name="TableFormatting.Test5.ResetTest">'Table Formatting'!$B$157:$C$157</definedName>
    <definedName name="TableFormatting.Test5.Title">'Table Formatting'!$B$148</definedName>
    <definedName name="TableFormatting.Test6.Input">'Table Formatting'!$E$183:$F$187</definedName>
    <definedName name="TableFormatting.Test6.Output">'Table Formatting'!$H$183:$I$187</definedName>
    <definedName name="TableFormatting.Test6.ResetTest">'Table Formatting'!$B$177:$C$177</definedName>
    <definedName name="TableFormatting.Test6.Title">'Table Formatting'!$B$170</definedName>
    <definedName name="TableFormatting.Test7.Expected.PrimaryHeader">'Table Formatting'!$B$203</definedName>
    <definedName name="TableFormatting.Test7.Input">'Table Formatting'!$H$203:$L$204</definedName>
    <definedName name="TableFormatting.Test7.Output">'Table Formatting'!$N$203:$R$204</definedName>
    <definedName name="TableFormatting.Test7.Output.PrimaryHeader">'Table Formatting'!$N$203:$N$204</definedName>
    <definedName name="TableFormatting.Test7.ResetTest">'Table Formatting'!$B$197:$C$197</definedName>
    <definedName name="TableFormatting.Test7.Title">'Table Formatting'!$B$190</definedName>
    <definedName name="TableFormatting.Test8.Expected.PrimaryHeader">'Table Formatting'!$B$225</definedName>
    <definedName name="TableFormatting.Test8.Input">'Table Formatting'!$H$223:$L$229</definedName>
    <definedName name="TableFormatting.Test8.Output">'Table Formatting'!$N$223:$R$229</definedName>
    <definedName name="TableFormatting.Test8.Output.PrimaryHeader">'Table Formatting'!$N$225</definedName>
    <definedName name="TableFormatting.Test8.ResetTest">'Table Formatting'!$B$217:$C$217</definedName>
    <definedName name="TableFormatting.Test8.Title">'Table Formatting'!$B$207</definedName>
    <definedName name="TableFormatting.Title">'Table Formatting'!$B$2</definedName>
  </definedNames>
  <calcPr calcId="191029" calcMode="manual" calcOnSave="0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33" i="3" l="1"/>
  <c r="R34" i="3"/>
  <c r="R35" i="3"/>
  <c r="R36" i="3"/>
  <c r="R37" i="3"/>
  <c r="R38" i="3"/>
  <c r="R39" i="3"/>
  <c r="D24" i="3" a="1"/>
  <c r="T107" i="5" a="1"/>
  <c r="T101" i="5" a="1"/>
  <c r="T95" i="5" a="1"/>
  <c r="T94" i="5" a="1"/>
  <c r="T105" i="5" a="1"/>
  <c r="T102" i="5" a="1"/>
  <c r="T106" i="5" a="1"/>
  <c r="T100" i="5" a="1"/>
  <c r="T99" i="5" a="1"/>
  <c r="T108" i="5" a="1"/>
  <c r="T104" i="5" a="1"/>
  <c r="T98" i="5" a="1"/>
  <c r="T109" i="5" a="1"/>
  <c r="T103" i="5" a="1"/>
  <c r="T97" i="5" a="1"/>
  <c r="T96" i="5" a="1"/>
  <c r="U229" i="5" a="1"/>
  <c r="V225" i="5" a="1"/>
  <c r="U225" i="5" a="1"/>
  <c r="V224" i="5" a="1"/>
  <c r="T225" i="5" a="1"/>
  <c r="V229" i="5" a="1"/>
  <c r="X224" i="5" a="1"/>
  <c r="X227" i="5" a="1"/>
  <c r="X223" i="5" a="1"/>
  <c r="V226" i="5" a="1"/>
  <c r="W226" i="5" a="1"/>
  <c r="X225" i="5" a="1"/>
  <c r="T227" i="5" a="1"/>
  <c r="V227" i="5" a="1"/>
  <c r="T226" i="5" a="1"/>
  <c r="U228" i="5" a="1"/>
  <c r="W229" i="5" a="1"/>
  <c r="T228" i="5" a="1"/>
  <c r="W224" i="5" a="1"/>
  <c r="X228" i="5" a="1"/>
  <c r="W227" i="5" a="1"/>
  <c r="U227" i="5" a="1"/>
  <c r="T229" i="5" a="1"/>
  <c r="U226" i="5" a="1"/>
  <c r="W223" i="5" a="1"/>
  <c r="V228" i="5" a="1"/>
  <c r="W228" i="5" a="1"/>
  <c r="X229" i="5" a="1"/>
  <c r="V223" i="5" a="1"/>
  <c r="X226" i="5" a="1"/>
  <c r="T223" i="5" a="1"/>
  <c r="T93" i="5" a="1"/>
  <c r="W225" i="5" a="1"/>
  <c r="U223" i="5" a="1"/>
  <c r="U224" i="5" a="1"/>
  <c r="T224" i="5" a="1"/>
  <c r="T96" i="5" l="1"/>
  <c r="T97" i="5"/>
  <c r="T103" i="5"/>
  <c r="T109" i="5"/>
  <c r="T98" i="5"/>
  <c r="T104" i="5"/>
  <c r="T108" i="5"/>
  <c r="T99" i="5"/>
  <c r="T100" i="5"/>
  <c r="T106" i="5"/>
  <c r="T102" i="5"/>
  <c r="T105" i="5"/>
  <c r="T94" i="5"/>
  <c r="T95" i="5"/>
  <c r="T101" i="5"/>
  <c r="T107" i="5"/>
  <c r="T93" i="5"/>
  <c r="T223" i="5"/>
  <c r="T224" i="5"/>
  <c r="W228" i="5"/>
  <c r="V227" i="5"/>
  <c r="U226" i="5"/>
  <c r="T225" i="5"/>
  <c r="T229" i="5"/>
  <c r="U224" i="5"/>
  <c r="V228" i="5"/>
  <c r="U227" i="5"/>
  <c r="T226" i="5"/>
  <c r="X228" i="5"/>
  <c r="U223" i="5"/>
  <c r="V224" i="5"/>
  <c r="U228" i="5"/>
  <c r="T227" i="5"/>
  <c r="X225" i="5"/>
  <c r="X229" i="5"/>
  <c r="V223" i="5"/>
  <c r="W224" i="5"/>
  <c r="T228" i="5"/>
  <c r="X226" i="5"/>
  <c r="W225" i="5"/>
  <c r="W229" i="5"/>
  <c r="W223" i="5"/>
  <c r="X224" i="5"/>
  <c r="X227" i="5"/>
  <c r="W226" i="5"/>
  <c r="V225" i="5"/>
  <c r="V229" i="5"/>
  <c r="X223" i="5"/>
  <c r="W227" i="5"/>
  <c r="V226" i="5"/>
  <c r="U225" i="5"/>
  <c r="U229" i="5"/>
  <c r="D24" i="3"/>
  <c r="R32" i="3"/>
  <c r="R31" i="3"/>
  <c r="R30" i="3"/>
  <c r="R29" i="3"/>
  <c r="R28" i="3"/>
  <c r="R27" i="3"/>
  <c r="R26" i="3"/>
  <c r="R25" i="3"/>
  <c r="R24" i="3"/>
  <c r="S49" i="3"/>
  <c r="S48" i="3"/>
  <c r="S47" i="3"/>
  <c r="R23" i="3"/>
  <c r="O24" i="3" a="1"/>
  <c r="C209" i="5" a="1"/>
  <c r="C209" i="5" l="1"/>
  <c r="C14" i="5" s="1"/>
  <c r="O24" i="3"/>
  <c r="S28" i="3"/>
  <c r="S24" i="3"/>
  <c r="S29" i="3"/>
  <c r="S30" i="3"/>
  <c r="S35" i="3"/>
  <c r="S27" i="3"/>
  <c r="S36" i="3"/>
  <c r="S31" i="3"/>
  <c r="S32" i="3"/>
  <c r="S38" i="3"/>
  <c r="S39" i="3"/>
  <c r="S26" i="3"/>
  <c r="S37" i="3"/>
  <c r="S25" i="3"/>
  <c r="S33" i="3"/>
  <c r="S34" i="3"/>
  <c r="T26" i="3" a="1"/>
  <c r="T36" i="3" a="1"/>
  <c r="T28" i="3" a="1"/>
  <c r="T34" i="3" a="1"/>
  <c r="T39" i="3" a="1"/>
  <c r="T33" i="3" a="1"/>
  <c r="T30" i="3" a="1"/>
  <c r="T35" i="3" a="1"/>
  <c r="T27" i="3" a="1"/>
  <c r="T24" i="3" a="1"/>
  <c r="T25" i="3" a="1"/>
  <c r="T23" i="3" a="1"/>
  <c r="T29" i="3" a="1"/>
  <c r="T38" i="3" a="1"/>
  <c r="T32" i="3" a="1"/>
  <c r="T37" i="3" a="1"/>
  <c r="T31" i="3" a="1"/>
  <c r="T29" i="3" l="1"/>
  <c r="T30" i="3"/>
  <c r="T31" i="3"/>
  <c r="T37" i="3"/>
  <c r="T32" i="3"/>
  <c r="T38" i="3"/>
  <c r="T33" i="3"/>
  <c r="T39" i="3"/>
  <c r="T34" i="3"/>
  <c r="T35" i="3"/>
  <c r="T36" i="3"/>
  <c r="T25" i="3"/>
  <c r="T24" i="3"/>
  <c r="T27" i="3"/>
  <c r="T28" i="3"/>
  <c r="T26" i="3"/>
  <c r="T23" i="3"/>
  <c r="U37" i="3" a="1"/>
  <c r="U32" i="3" a="1"/>
  <c r="U24" i="3" a="1"/>
  <c r="U25" i="3" a="1"/>
  <c r="U33" i="3" a="1"/>
  <c r="U34" i="3" a="1"/>
  <c r="U35" i="3" a="1"/>
  <c r="U36" i="3" a="1"/>
  <c r="U30" i="3" a="1"/>
  <c r="U31" i="3" a="1"/>
  <c r="U38" i="3" a="1"/>
  <c r="U39" i="3" a="1"/>
  <c r="U32" i="3" l="1"/>
  <c r="U37" i="3"/>
  <c r="U31" i="3"/>
  <c r="U30" i="3"/>
  <c r="U36" i="3"/>
  <c r="U35" i="3"/>
  <c r="U34" i="3"/>
  <c r="U39" i="3"/>
  <c r="U33" i="3"/>
  <c r="U38" i="3"/>
  <c r="U25" i="3"/>
  <c r="U24" i="3"/>
  <c r="B13" i="3" l="1"/>
  <c r="B9" i="3"/>
  <c r="C29" i="11"/>
  <c r="G22" i="11"/>
  <c r="G27" i="11" s="1"/>
  <c r="D13" i="11"/>
  <c r="B13" i="11"/>
  <c r="B10" i="11"/>
  <c r="B10" i="3"/>
  <c r="T231" i="9"/>
  <c r="Q231" i="9"/>
  <c r="N230" i="9"/>
  <c r="K230" i="9"/>
  <c r="H232" i="9"/>
  <c r="E232" i="9"/>
  <c r="B232" i="9"/>
  <c r="G38" i="1"/>
  <c r="F25" i="1"/>
  <c r="G25" i="1" s="1"/>
  <c r="F39" i="1"/>
  <c r="G39" i="1" s="1"/>
  <c r="F24" i="1"/>
  <c r="G24" i="1" s="1"/>
  <c r="F23" i="1"/>
  <c r="G23" i="1" s="1"/>
  <c r="F22" i="1"/>
  <c r="G22" i="1" s="1"/>
  <c r="F21" i="1"/>
  <c r="J21" i="1" s="1"/>
  <c r="G30" i="1"/>
  <c r="G36" i="1"/>
  <c r="G34" i="1"/>
  <c r="G32" i="1"/>
  <c r="F37" i="1"/>
  <c r="G37" i="1" s="1"/>
  <c r="F35" i="1"/>
  <c r="G35" i="1" s="1"/>
  <c r="F33" i="1"/>
  <c r="G33" i="1" s="1"/>
  <c r="F31" i="1"/>
  <c r="F29" i="1"/>
  <c r="I10" i="4"/>
  <c r="I15" i="4" s="1"/>
  <c r="G23" i="3"/>
  <c r="G25" i="3" s="1"/>
  <c r="C62" i="2"/>
  <c r="E64" i="2"/>
  <c r="E120" i="9" a="1"/>
  <c r="E186" i="9" a="1"/>
  <c r="C32" i="9" a="1"/>
  <c r="D5" i="4" a="1"/>
  <c r="AJ21" i="3" a="1"/>
  <c r="C21" i="13" a="1"/>
  <c r="J54" i="9" a="1"/>
  <c r="C120" i="9" a="1"/>
  <c r="E98" i="9" a="1"/>
  <c r="E164" i="9" a="1"/>
  <c r="I230" i="9" a="1"/>
  <c r="C54" i="9" a="1"/>
  <c r="C142" i="9" a="1"/>
  <c r="AU21" i="3" a="1"/>
  <c r="O120" i="9" a="1"/>
  <c r="E76" i="9" a="1"/>
  <c r="J186" i="9" a="1"/>
  <c r="C98" i="9" a="1"/>
  <c r="C230" i="9" a="1"/>
  <c r="E142" i="9" a="1"/>
  <c r="O230" i="9" a="1"/>
  <c r="Z21" i="3" a="1"/>
  <c r="J142" i="9" a="1"/>
  <c r="O76" i="9" a="1"/>
  <c r="J98" i="9" a="1"/>
  <c r="O186" i="9" a="1"/>
  <c r="I27" i="11" a="1"/>
  <c r="U230" i="9" a="1"/>
  <c r="F230" i="9" a="1"/>
  <c r="R230" i="9" a="1"/>
  <c r="O208" i="9" a="1"/>
  <c r="J120" i="9" a="1"/>
  <c r="J164" i="9" a="1"/>
  <c r="E54" i="9" a="1"/>
  <c r="E208" i="9" a="1"/>
  <c r="C76" i="9" a="1"/>
  <c r="C16" i="1" a="1"/>
  <c r="C208" i="9" a="1"/>
  <c r="O98" i="9" a="1"/>
  <c r="J208" i="9" a="1"/>
  <c r="O54" i="9" a="1"/>
  <c r="C6" i="2" a="1"/>
  <c r="I22" i="11" a="1"/>
  <c r="C186" i="9" a="1"/>
  <c r="J32" i="9" a="1"/>
  <c r="D4" i="4" a="1"/>
  <c r="O142" i="9" a="1"/>
  <c r="J76" i="9" a="1"/>
  <c r="O164" i="9" a="1"/>
  <c r="O32" i="9" a="1"/>
  <c r="U23" i="3" a="1"/>
  <c r="E32" i="9" a="1"/>
  <c r="C164" i="9" a="1"/>
  <c r="L230" i="9" a="1"/>
  <c r="V137" i="5" a="1"/>
  <c r="BS46" i="5" a="1"/>
  <c r="BI72" i="5" a="1"/>
  <c r="BH72" i="5" a="1"/>
  <c r="BQ73" i="5" a="1"/>
  <c r="BN45" i="5" a="1"/>
  <c r="BH73" i="5" a="1"/>
  <c r="BT69" i="5" a="1"/>
  <c r="U100" i="5" a="1"/>
  <c r="T129" i="5" a="1"/>
  <c r="U129" i="5" a="1"/>
  <c r="BO69" i="5" a="1"/>
  <c r="W105" i="5" a="1"/>
  <c r="BS47" i="5" a="1"/>
  <c r="BH47" i="5" a="1"/>
  <c r="BG72" i="5" a="1"/>
  <c r="W137" i="5" a="1"/>
  <c r="BK72" i="5" a="1"/>
  <c r="BD72" i="5" a="1"/>
  <c r="X102" i="5" a="1"/>
  <c r="BR69" i="5" a="1"/>
  <c r="BP73" i="5" a="1"/>
  <c r="BR72" i="5" a="1"/>
  <c r="BD69" i="5" a="1"/>
  <c r="X93" i="5" a="1"/>
  <c r="W94" i="5" a="1"/>
  <c r="BT47" i="5" a="1"/>
  <c r="V131" i="5" a="1"/>
  <c r="T142" i="5" a="1"/>
  <c r="U134" i="5" a="1"/>
  <c r="BT73" i="5" a="1"/>
  <c r="BF47" i="5" a="1"/>
  <c r="BQ49" i="5" a="1"/>
  <c r="BD71" i="5" a="1"/>
  <c r="U99" i="5" a="1"/>
  <c r="L185" i="5" a="1"/>
  <c r="U98" i="5" a="1"/>
  <c r="BP47" i="5" a="1"/>
  <c r="L164" i="5" a="1"/>
  <c r="BR49" i="5" a="1"/>
  <c r="W142" i="5" a="1"/>
  <c r="BL69" i="5" a="1"/>
  <c r="U137" i="5" a="1"/>
  <c r="W93" i="5" a="1"/>
  <c r="T144" i="5" a="1"/>
  <c r="BQ72" i="5" a="1"/>
  <c r="BL48" i="5" a="1"/>
  <c r="X144" i="5" a="1"/>
  <c r="W133" i="5" a="1"/>
  <c r="V144" i="5" a="1"/>
  <c r="BT70" i="5" a="1"/>
  <c r="W131" i="5" a="1"/>
  <c r="L165" i="5" a="1"/>
  <c r="BT71" i="5" a="1"/>
  <c r="BQ69" i="5" a="1"/>
  <c r="BS70" i="5" a="1"/>
  <c r="V109" i="5" a="1"/>
  <c r="BN73" i="5" a="1"/>
  <c r="BJ47" i="5" a="1"/>
  <c r="V96" i="5" a="1"/>
  <c r="X129" i="5" a="1"/>
  <c r="V107" i="5" a="1"/>
  <c r="BD46" i="5" a="1"/>
  <c r="U107" i="5" a="1"/>
  <c r="T132" i="5" a="1"/>
  <c r="BQ47" i="5" a="1"/>
  <c r="V94" i="5" a="1"/>
  <c r="BK71" i="5" a="1"/>
  <c r="BE69" i="5" a="1"/>
  <c r="V99" i="5" a="1"/>
  <c r="U204" i="5" a="1"/>
  <c r="BK49" i="5" a="1"/>
  <c r="U93" i="5" a="1"/>
  <c r="BM45" i="5" a="1"/>
  <c r="V140" i="5" a="1"/>
  <c r="BO46" i="5" a="1"/>
  <c r="W99" i="5" a="1"/>
  <c r="U101" i="5" a="1"/>
  <c r="U105" i="5" a="1"/>
  <c r="K167" i="5" a="1"/>
  <c r="V108" i="5" a="1"/>
  <c r="T141" i="5" a="1"/>
  <c r="T145" i="5" a="1"/>
  <c r="U97" i="5" a="1"/>
  <c r="BH46" i="5" a="1"/>
  <c r="BD47" i="5" a="1"/>
  <c r="BF69" i="5" a="1"/>
  <c r="U94" i="5" a="1"/>
  <c r="U108" i="5" a="1"/>
  <c r="X98" i="5" a="1"/>
  <c r="BO71" i="5" a="1"/>
  <c r="BI73" i="5" a="1"/>
  <c r="BL72" i="5" a="1"/>
  <c r="U135" i="5" a="1"/>
  <c r="W135" i="5" a="1"/>
  <c r="BG73" i="5" a="1"/>
  <c r="BO45" i="5" a="1"/>
  <c r="W103" i="5" a="1"/>
  <c r="U145" i="5" a="1"/>
  <c r="BD73" i="5" a="1"/>
  <c r="BL70" i="5" a="1"/>
  <c r="BD70" i="5" a="1"/>
  <c r="BP72" i="5" a="1"/>
  <c r="BJ69" i="5" a="1"/>
  <c r="BS71" i="5" a="1"/>
  <c r="BG45" i="5" a="1"/>
  <c r="V203" i="5" a="1"/>
  <c r="W100" i="5" a="1"/>
  <c r="BM47" i="5" a="1"/>
  <c r="T136" i="5" a="1"/>
  <c r="U138" i="5" a="1"/>
  <c r="W144" i="5" a="1"/>
  <c r="K184" i="5" a="1"/>
  <c r="BK69" i="5" a="1"/>
  <c r="BK47" i="5" a="1"/>
  <c r="T131" i="5" a="1"/>
  <c r="BE46" i="5" a="1"/>
  <c r="BJ70" i="5" a="1"/>
  <c r="X136" i="5" a="1"/>
  <c r="W106" i="5" a="1"/>
  <c r="BR48" i="5" a="1"/>
  <c r="X99" i="5" a="1"/>
  <c r="U132" i="5" a="1"/>
  <c r="W108" i="5" a="1"/>
  <c r="U95" i="5" a="1"/>
  <c r="V134" i="5" a="1"/>
  <c r="V139" i="5" a="1"/>
  <c r="BI70" i="5" a="1"/>
  <c r="K163" i="5" a="1"/>
  <c r="BL47" i="5" a="1"/>
  <c r="BE73" i="5" a="1"/>
  <c r="BD48" i="5" a="1"/>
  <c r="BG70" i="5" a="1"/>
  <c r="T138" i="5" a="1"/>
  <c r="U140" i="5" a="1"/>
  <c r="V103" i="5" a="1"/>
  <c r="BI46" i="5" a="1"/>
  <c r="BP49" i="5" a="1"/>
  <c r="BG48" i="5" a="1"/>
  <c r="X132" i="5" a="1"/>
  <c r="X142" i="5" a="1"/>
  <c r="BP69" i="5" a="1"/>
  <c r="BO48" i="5" a="1"/>
  <c r="U136" i="5" a="1"/>
  <c r="BR70" i="5" a="1"/>
  <c r="L186" i="5" a="1"/>
  <c r="V98" i="5" a="1"/>
  <c r="V132" i="5" a="1"/>
  <c r="BQ48" i="5" a="1"/>
  <c r="BJ72" i="5" a="1"/>
  <c r="BQ71" i="5" a="1"/>
  <c r="L187" i="5" a="1"/>
  <c r="BH48" i="5" a="1"/>
  <c r="BH70" i="5" a="1"/>
  <c r="U106" i="5" a="1"/>
  <c r="V101" i="5" a="1"/>
  <c r="BF72" i="5" a="1"/>
  <c r="X103" i="5" a="1"/>
  <c r="W129" i="5" a="1"/>
  <c r="K164" i="5" a="1"/>
  <c r="W109" i="5" a="1"/>
  <c r="X105" i="5" a="1"/>
  <c r="X204" i="5" a="1"/>
  <c r="BF46" i="5" a="1"/>
  <c r="X137" i="5" a="1"/>
  <c r="BH71" i="5" a="1"/>
  <c r="X139" i="5" a="1"/>
  <c r="BN46" i="5" a="1"/>
  <c r="BK46" i="5" a="1"/>
  <c r="BG49" i="5" a="1"/>
  <c r="T203" i="5" a="1"/>
  <c r="BJ45" i="5" a="1"/>
  <c r="W204" i="5" a="1"/>
  <c r="BS69" i="5" a="1"/>
  <c r="BD49" i="5" a="1"/>
  <c r="BE49" i="5" a="1"/>
  <c r="BP48" i="5" a="1"/>
  <c r="W132" i="5" a="1"/>
  <c r="W145" i="5" a="1"/>
  <c r="W134" i="5" a="1"/>
  <c r="W97" i="5" a="1"/>
  <c r="BM73" i="5" a="1"/>
  <c r="V136" i="5" a="1"/>
  <c r="K187" i="5" a="1"/>
  <c r="BP70" i="5" a="1"/>
  <c r="U133" i="5" a="1"/>
  <c r="T140" i="5" a="1"/>
  <c r="BQ46" i="5" a="1"/>
  <c r="BQ45" i="5" a="1"/>
  <c r="BG46" i="5" a="1"/>
  <c r="X145" i="5" a="1"/>
  <c r="BN70" i="5" a="1"/>
  <c r="BI45" i="5" a="1"/>
  <c r="X95" i="5" a="1"/>
  <c r="X107" i="5" a="1"/>
  <c r="X106" i="5" a="1"/>
  <c r="T143" i="5" a="1"/>
  <c r="BH49" i="5" a="1"/>
  <c r="U144" i="5" a="1"/>
  <c r="BK70" i="5" a="1"/>
  <c r="W96" i="5" a="1"/>
  <c r="L166" i="5" a="1"/>
  <c r="BN71" i="5" a="1"/>
  <c r="BO49" i="5" a="1"/>
  <c r="W95" i="5" a="1"/>
  <c r="V100" i="5" a="1"/>
  <c r="BG69" i="5" a="1"/>
  <c r="K183" i="5" a="1"/>
  <c r="BH69" i="5" a="1"/>
  <c r="U143" i="5" a="1"/>
  <c r="BM71" i="5" a="1"/>
  <c r="V104" i="5" a="1"/>
  <c r="V102" i="5" a="1"/>
  <c r="U109" i="5" a="1"/>
  <c r="BT48" i="5" a="1"/>
  <c r="X138" i="5" a="1"/>
  <c r="U103" i="5" a="1"/>
  <c r="U102" i="5" a="1"/>
  <c r="X94" i="5" a="1"/>
  <c r="BD45" i="5" a="1"/>
  <c r="BE70" i="5" a="1"/>
  <c r="W140" i="5" a="1"/>
  <c r="BJ71" i="5" a="1"/>
  <c r="BI48" i="5" a="1"/>
  <c r="BK48" i="5" a="1"/>
  <c r="X109" i="5" a="1"/>
  <c r="BO72" i="5" a="1"/>
  <c r="BN49" i="5" a="1"/>
  <c r="BT72" i="5" a="1"/>
  <c r="BK45" i="5" a="1"/>
  <c r="T134" i="5" a="1"/>
  <c r="BO70" i="5" a="1"/>
  <c r="W130" i="5" a="1"/>
  <c r="BJ49" i="5" a="1"/>
  <c r="L167" i="5" a="1"/>
  <c r="U203" i="5" a="1"/>
  <c r="BS72" i="5" a="1"/>
  <c r="BM46" i="5" a="1"/>
  <c r="BN72" i="5" a="1"/>
  <c r="BR73" i="5" a="1"/>
  <c r="W98" i="5" a="1"/>
  <c r="BR45" i="5" a="1"/>
  <c r="T137" i="5" a="1"/>
  <c r="X133" i="5" a="1"/>
  <c r="BP45" i="5" a="1"/>
  <c r="BI69" i="5" a="1"/>
  <c r="BL49" i="5" a="1"/>
  <c r="X131" i="5" a="1"/>
  <c r="BM70" i="5" a="1"/>
  <c r="BM69" i="5" a="1"/>
  <c r="BF71" i="5" a="1"/>
  <c r="V138" i="5" a="1"/>
  <c r="W104" i="5" a="1"/>
  <c r="T204" i="5" a="1"/>
  <c r="BF48" i="5" a="1"/>
  <c r="X100" i="5" a="1"/>
  <c r="W143" i="5" a="1"/>
  <c r="BF45" i="5" a="1"/>
  <c r="X135" i="5" a="1"/>
  <c r="V141" i="5" a="1"/>
  <c r="U131" i="5" a="1"/>
  <c r="BN69" i="5" a="1"/>
  <c r="BF70" i="5" a="1"/>
  <c r="BE72" i="5" a="1"/>
  <c r="BS49" i="5" a="1"/>
  <c r="BE45" i="5" a="1"/>
  <c r="BP71" i="5" a="1"/>
  <c r="W139" i="5" a="1"/>
  <c r="BS45" i="5" a="1"/>
  <c r="BF49" i="5" a="1"/>
  <c r="BP46" i="5" a="1"/>
  <c r="X141" i="5" a="1"/>
  <c r="W203" i="5" a="1"/>
  <c r="V130" i="5" a="1"/>
  <c r="V93" i="5" a="1"/>
  <c r="BI71" i="5" a="1"/>
  <c r="BT49" i="5" a="1"/>
  <c r="BM48" i="5" a="1"/>
  <c r="V143" i="5" a="1"/>
  <c r="T133" i="5" a="1"/>
  <c r="V135" i="5" a="1"/>
  <c r="K186" i="5" a="1"/>
  <c r="BG47" i="5" a="1"/>
  <c r="BE48" i="5" a="1"/>
  <c r="U139" i="5" a="1"/>
  <c r="BG71" i="5" a="1"/>
  <c r="V95" i="5" a="1"/>
  <c r="L183" i="5" a="1"/>
  <c r="U142" i="5" a="1"/>
  <c r="BF73" i="5" a="1"/>
  <c r="U104" i="5" a="1"/>
  <c r="X97" i="5" a="1"/>
  <c r="X140" i="5" a="1"/>
  <c r="L163" i="5" a="1"/>
  <c r="BQ70" i="5" a="1"/>
  <c r="V129" i="5" a="1"/>
  <c r="V145" i="5" a="1"/>
  <c r="X203" i="5" a="1"/>
  <c r="U130" i="5" a="1"/>
  <c r="BL45" i="5" a="1"/>
  <c r="U141" i="5" a="1"/>
  <c r="BH45" i="5" a="1"/>
  <c r="V97" i="5" a="1"/>
  <c r="BE47" i="5" a="1"/>
  <c r="BI49" i="5" a="1"/>
  <c r="X101" i="5" a="1"/>
  <c r="BJ48" i="5" a="1"/>
  <c r="K166" i="5" a="1"/>
  <c r="BL46" i="5" a="1"/>
  <c r="W102" i="5" a="1"/>
  <c r="BR46" i="5" a="1"/>
  <c r="BT46" i="5" a="1"/>
  <c r="BJ46" i="5" a="1"/>
  <c r="V142" i="5" a="1"/>
  <c r="BK73" i="5" a="1"/>
  <c r="W107" i="5" a="1"/>
  <c r="BM49" i="5" a="1"/>
  <c r="V133" i="5" a="1"/>
  <c r="X134" i="5" a="1"/>
  <c r="T135" i="5" a="1"/>
  <c r="BR47" i="5" a="1"/>
  <c r="BE71" i="5" a="1"/>
  <c r="V106" i="5" a="1"/>
  <c r="V204" i="5" a="1"/>
  <c r="BS73" i="5" a="1"/>
  <c r="V105" i="5" a="1"/>
  <c r="W138" i="5" a="1"/>
  <c r="BR71" i="5" a="1"/>
  <c r="BO73" i="5" a="1"/>
  <c r="BT45" i="5" a="1"/>
  <c r="W101" i="5" a="1"/>
  <c r="K165" i="5" a="1"/>
  <c r="W141" i="5" a="1"/>
  <c r="X96" i="5" a="1"/>
  <c r="X143" i="5" a="1"/>
  <c r="W136" i="5" a="1"/>
  <c r="BO47" i="5" a="1"/>
  <c r="BL71" i="5" a="1"/>
  <c r="BN48" i="5" a="1"/>
  <c r="X104" i="5" a="1"/>
  <c r="U96" i="5" a="1"/>
  <c r="BJ73" i="5" a="1"/>
  <c r="L184" i="5" a="1"/>
  <c r="BM72" i="5" a="1"/>
  <c r="K185" i="5" a="1"/>
  <c r="X108" i="5" a="1"/>
  <c r="BS48" i="5" a="1"/>
  <c r="BL73" i="5" a="1"/>
  <c r="X130" i="5" a="1"/>
  <c r="T139" i="5" a="1"/>
  <c r="BI47" i="5" a="1"/>
  <c r="BN47" i="5" a="1"/>
  <c r="T130" i="5" a="1"/>
  <c r="C21" i="13" l="1"/>
  <c r="I27" i="11"/>
  <c r="I22" i="11"/>
  <c r="C16" i="1"/>
  <c r="C6" i="2"/>
  <c r="U23" i="3"/>
  <c r="Z21" i="3"/>
  <c r="G25" i="11"/>
  <c r="G23" i="11"/>
  <c r="G24" i="11"/>
  <c r="G26" i="11"/>
  <c r="H25" i="3"/>
  <c r="AU21" i="3"/>
  <c r="AJ21" i="3"/>
  <c r="D4" i="4"/>
  <c r="BJ46" i="5"/>
  <c r="BM69" i="5"/>
  <c r="BK45" i="5"/>
  <c r="BE49" i="5"/>
  <c r="BF70" i="5"/>
  <c r="BR73" i="5"/>
  <c r="V99" i="5"/>
  <c r="V102" i="5"/>
  <c r="K187" i="5"/>
  <c r="BE72" i="5"/>
  <c r="BN72" i="5"/>
  <c r="BH73" i="5"/>
  <c r="BS73" i="5"/>
  <c r="W109" i="5"/>
  <c r="T132" i="5"/>
  <c r="T138" i="5"/>
  <c r="BL45" i="5"/>
  <c r="BD46" i="5"/>
  <c r="BM46" i="5"/>
  <c r="BE47" i="5"/>
  <c r="BN47" i="5"/>
  <c r="BF48" i="5"/>
  <c r="BO48" i="5"/>
  <c r="BG49" i="5"/>
  <c r="BP49" i="5"/>
  <c r="BG69" i="5"/>
  <c r="BP69" i="5"/>
  <c r="BI70" i="5"/>
  <c r="BR70" i="5"/>
  <c r="BL71" i="5"/>
  <c r="BF72" i="5"/>
  <c r="W94" i="5"/>
  <c r="W106" i="5"/>
  <c r="W203" i="5"/>
  <c r="BD45" i="5"/>
  <c r="BE46" i="5"/>
  <c r="BF47" i="5"/>
  <c r="BG48" i="5"/>
  <c r="BH49" i="5"/>
  <c r="BH69" i="5"/>
  <c r="BJ70" i="5"/>
  <c r="BQ72" i="5"/>
  <c r="BI73" i="5"/>
  <c r="BT73" i="5"/>
  <c r="X94" i="5"/>
  <c r="U139" i="5"/>
  <c r="BR45" i="5"/>
  <c r="BM49" i="5"/>
  <c r="BL47" i="5"/>
  <c r="BS71" i="5"/>
  <c r="BT46" i="5"/>
  <c r="BO49" i="5"/>
  <c r="BK71" i="5"/>
  <c r="BE45" i="5"/>
  <c r="BN46" i="5"/>
  <c r="BO47" i="5"/>
  <c r="BI49" i="5"/>
  <c r="BI69" i="5"/>
  <c r="BD71" i="5"/>
  <c r="BR72" i="5"/>
  <c r="W103" i="5"/>
  <c r="V140" i="5"/>
  <c r="BK70" i="5"/>
  <c r="BE71" i="5"/>
  <c r="BL73" i="5"/>
  <c r="W97" i="5"/>
  <c r="W100" i="5"/>
  <c r="U107" i="5"/>
  <c r="W129" i="5"/>
  <c r="U133" i="5"/>
  <c r="W141" i="5"/>
  <c r="BS46" i="5"/>
  <c r="BJ71" i="5"/>
  <c r="BS45" i="5"/>
  <c r="BE69" i="5"/>
  <c r="BF46" i="5"/>
  <c r="BH48" i="5"/>
  <c r="BM71" i="5"/>
  <c r="BF45" i="5"/>
  <c r="BO45" i="5"/>
  <c r="BG46" i="5"/>
  <c r="BP46" i="5"/>
  <c r="BH47" i="5"/>
  <c r="BQ47" i="5"/>
  <c r="BI48" i="5"/>
  <c r="BR48" i="5"/>
  <c r="BJ49" i="5"/>
  <c r="BS49" i="5"/>
  <c r="BJ69" i="5"/>
  <c r="BS69" i="5"/>
  <c r="BP71" i="5"/>
  <c r="BH72" i="5"/>
  <c r="BS72" i="5"/>
  <c r="BM73" i="5"/>
  <c r="X142" i="5"/>
  <c r="BT47" i="5"/>
  <c r="BM48" i="5"/>
  <c r="BD48" i="5"/>
  <c r="BO69" i="5"/>
  <c r="V96" i="5"/>
  <c r="BM45" i="5"/>
  <c r="BG47" i="5"/>
  <c r="BP48" i="5"/>
  <c r="BQ49" i="5"/>
  <c r="BQ69" i="5"/>
  <c r="BG72" i="5"/>
  <c r="BP45" i="5"/>
  <c r="BQ46" i="5"/>
  <c r="BR47" i="5"/>
  <c r="BS48" i="5"/>
  <c r="BT49" i="5"/>
  <c r="BT69" i="5"/>
  <c r="BL70" i="5"/>
  <c r="BF71" i="5"/>
  <c r="BQ71" i="5"/>
  <c r="V93" i="5"/>
  <c r="U95" i="5"/>
  <c r="U98" i="5"/>
  <c r="V134" i="5"/>
  <c r="T144" i="5"/>
  <c r="BG45" i="5"/>
  <c r="BQ45" i="5"/>
  <c r="BH46" i="5"/>
  <c r="BR46" i="5"/>
  <c r="BI47" i="5"/>
  <c r="BS47" i="5"/>
  <c r="BJ48" i="5"/>
  <c r="BT48" i="5"/>
  <c r="BK49" i="5"/>
  <c r="BK69" i="5"/>
  <c r="BD70" i="5"/>
  <c r="BK72" i="5"/>
  <c r="BT72" i="5"/>
  <c r="BN73" i="5"/>
  <c r="W93" i="5"/>
  <c r="U101" i="5"/>
  <c r="X104" i="5"/>
  <c r="U145" i="5"/>
  <c r="BI45" i="5"/>
  <c r="BD49" i="5"/>
  <c r="BJ45" i="5"/>
  <c r="BN69" i="5"/>
  <c r="BN48" i="5"/>
  <c r="BQ70" i="5"/>
  <c r="BO70" i="5"/>
  <c r="BG71" i="5"/>
  <c r="BR71" i="5"/>
  <c r="BL72" i="5"/>
  <c r="X95" i="5"/>
  <c r="V108" i="5"/>
  <c r="X130" i="5"/>
  <c r="W135" i="5"/>
  <c r="L163" i="5"/>
  <c r="BK47" i="5"/>
  <c r="BD69" i="5"/>
  <c r="BE70" i="5"/>
  <c r="BP70" i="5"/>
  <c r="BF73" i="5"/>
  <c r="BO73" i="5"/>
  <c r="X93" i="5"/>
  <c r="X98" i="5"/>
  <c r="L166" i="5"/>
  <c r="BL48" i="5"/>
  <c r="BK46" i="5"/>
  <c r="BM72" i="5"/>
  <c r="BG73" i="5"/>
  <c r="X136" i="5"/>
  <c r="K184" i="5"/>
  <c r="BN49" i="5"/>
  <c r="BL46" i="5"/>
  <c r="BM47" i="5"/>
  <c r="BT45" i="5"/>
  <c r="BO46" i="5"/>
  <c r="BJ47" i="5"/>
  <c r="BE48" i="5"/>
  <c r="BF49" i="5"/>
  <c r="BR49" i="5"/>
  <c r="BL69" i="5"/>
  <c r="BG70" i="5"/>
  <c r="BH71" i="5"/>
  <c r="BT71" i="5"/>
  <c r="BO72" i="5"/>
  <c r="BD73" i="5"/>
  <c r="BP73" i="5"/>
  <c r="U94" i="5"/>
  <c r="V95" i="5"/>
  <c r="X97" i="5"/>
  <c r="U100" i="5"/>
  <c r="V101" i="5"/>
  <c r="W102" i="5"/>
  <c r="X103" i="5"/>
  <c r="U106" i="5"/>
  <c r="V107" i="5"/>
  <c r="W108" i="5"/>
  <c r="X129" i="5"/>
  <c r="T131" i="5"/>
  <c r="U132" i="5"/>
  <c r="V133" i="5"/>
  <c r="W134" i="5"/>
  <c r="X135" i="5"/>
  <c r="T137" i="5"/>
  <c r="U138" i="5"/>
  <c r="V139" i="5"/>
  <c r="W140" i="5"/>
  <c r="X141" i="5"/>
  <c r="T143" i="5"/>
  <c r="U144" i="5"/>
  <c r="V145" i="5"/>
  <c r="K164" i="5"/>
  <c r="K167" i="5"/>
  <c r="L184" i="5"/>
  <c r="L187" i="5"/>
  <c r="X203" i="5"/>
  <c r="BH45" i="5"/>
  <c r="BN45" i="5"/>
  <c r="BI46" i="5"/>
  <c r="BD47" i="5"/>
  <c r="BP47" i="5"/>
  <c r="BK48" i="5"/>
  <c r="BQ48" i="5"/>
  <c r="BL49" i="5"/>
  <c r="BF69" i="5"/>
  <c r="BR69" i="5"/>
  <c r="BM70" i="5"/>
  <c r="BS70" i="5"/>
  <c r="BN71" i="5"/>
  <c r="BI72" i="5"/>
  <c r="BJ73" i="5"/>
  <c r="W96" i="5"/>
  <c r="X109" i="5"/>
  <c r="BN70" i="5"/>
  <c r="BI71" i="5"/>
  <c r="BJ72" i="5"/>
  <c r="BE73" i="5"/>
  <c r="BQ73" i="5"/>
  <c r="V94" i="5"/>
  <c r="X96" i="5"/>
  <c r="U99" i="5"/>
  <c r="W101" i="5"/>
  <c r="U105" i="5"/>
  <c r="W107" i="5"/>
  <c r="U131" i="5"/>
  <c r="V132" i="5"/>
  <c r="X134" i="5"/>
  <c r="T136" i="5"/>
  <c r="U137" i="5"/>
  <c r="V138" i="5"/>
  <c r="W139" i="5"/>
  <c r="X140" i="5"/>
  <c r="U143" i="5"/>
  <c r="V144" i="5"/>
  <c r="W145" i="5"/>
  <c r="L164" i="5"/>
  <c r="L167" i="5"/>
  <c r="K185" i="5"/>
  <c r="T204" i="5"/>
  <c r="BH70" i="5"/>
  <c r="BT70" i="5"/>
  <c r="BO71" i="5"/>
  <c r="BD72" i="5"/>
  <c r="BP72" i="5"/>
  <c r="BK73" i="5"/>
  <c r="U93" i="5"/>
  <c r="W95" i="5"/>
  <c r="V100" i="5"/>
  <c r="X102" i="5"/>
  <c r="V106" i="5"/>
  <c r="X108" i="5"/>
  <c r="T130" i="5"/>
  <c r="W133" i="5"/>
  <c r="T142" i="5"/>
  <c r="X101" i="5"/>
  <c r="U104" i="5"/>
  <c r="V105" i="5"/>
  <c r="X107" i="5"/>
  <c r="T129" i="5"/>
  <c r="U130" i="5"/>
  <c r="V131" i="5"/>
  <c r="W132" i="5"/>
  <c r="X133" i="5"/>
  <c r="T135" i="5"/>
  <c r="U136" i="5"/>
  <c r="V137" i="5"/>
  <c r="W138" i="5"/>
  <c r="X139" i="5"/>
  <c r="T141" i="5"/>
  <c r="U142" i="5"/>
  <c r="V143" i="5"/>
  <c r="W144" i="5"/>
  <c r="X145" i="5"/>
  <c r="K165" i="5"/>
  <c r="L185" i="5"/>
  <c r="T203" i="5"/>
  <c r="U204" i="5"/>
  <c r="U97" i="5"/>
  <c r="V98" i="5"/>
  <c r="W99" i="5"/>
  <c r="X100" i="5"/>
  <c r="U103" i="5"/>
  <c r="V104" i="5"/>
  <c r="W105" i="5"/>
  <c r="X106" i="5"/>
  <c r="U109" i="5"/>
  <c r="U129" i="5"/>
  <c r="V130" i="5"/>
  <c r="W131" i="5"/>
  <c r="X132" i="5"/>
  <c r="T134" i="5"/>
  <c r="U135" i="5"/>
  <c r="V136" i="5"/>
  <c r="W137" i="5"/>
  <c r="X138" i="5"/>
  <c r="T140" i="5"/>
  <c r="U141" i="5"/>
  <c r="V142" i="5"/>
  <c r="W143" i="5"/>
  <c r="X144" i="5"/>
  <c r="L165" i="5"/>
  <c r="K183" i="5"/>
  <c r="K186" i="5"/>
  <c r="U203" i="5"/>
  <c r="V204" i="5"/>
  <c r="U96" i="5"/>
  <c r="V97" i="5"/>
  <c r="W98" i="5"/>
  <c r="X99" i="5"/>
  <c r="U102" i="5"/>
  <c r="V103" i="5"/>
  <c r="W104" i="5"/>
  <c r="X105" i="5"/>
  <c r="U108" i="5"/>
  <c r="V109" i="5"/>
  <c r="V129" i="5"/>
  <c r="W130" i="5"/>
  <c r="X131" i="5"/>
  <c r="T133" i="5"/>
  <c r="U134" i="5"/>
  <c r="V135" i="5"/>
  <c r="W136" i="5"/>
  <c r="X137" i="5"/>
  <c r="T139" i="5"/>
  <c r="U140" i="5"/>
  <c r="V141" i="5"/>
  <c r="W142" i="5"/>
  <c r="X143" i="5"/>
  <c r="T145" i="5"/>
  <c r="K163" i="5"/>
  <c r="K166" i="5"/>
  <c r="L183" i="5"/>
  <c r="L186" i="5"/>
  <c r="V203" i="5"/>
  <c r="W204" i="5"/>
  <c r="X204" i="5"/>
  <c r="R230" i="9"/>
  <c r="U230" i="9"/>
  <c r="O230" i="9"/>
  <c r="L230" i="9"/>
  <c r="I233" i="9"/>
  <c r="I230" i="9"/>
  <c r="I232" i="9"/>
  <c r="I231" i="9"/>
  <c r="C230" i="9"/>
  <c r="F230" i="9"/>
  <c r="J23" i="1"/>
  <c r="M21" i="1"/>
  <c r="G21" i="1"/>
  <c r="J98" i="9"/>
  <c r="J186" i="9"/>
  <c r="C32" i="9"/>
  <c r="O54" i="9"/>
  <c r="C120" i="9"/>
  <c r="O142" i="9"/>
  <c r="O186" i="9"/>
  <c r="J208" i="9"/>
  <c r="E208" i="9"/>
  <c r="C76" i="9"/>
  <c r="O98" i="9"/>
  <c r="C164" i="9"/>
  <c r="J142" i="9"/>
  <c r="E76" i="9"/>
  <c r="E120" i="9"/>
  <c r="E164" i="9"/>
  <c r="O208" i="9"/>
  <c r="J32" i="9"/>
  <c r="J120" i="9"/>
  <c r="J164" i="9"/>
  <c r="J76" i="9"/>
  <c r="J54" i="9"/>
  <c r="O32" i="9"/>
  <c r="C54" i="9"/>
  <c r="O76" i="9"/>
  <c r="O120" i="9"/>
  <c r="C142" i="9"/>
  <c r="O164" i="9"/>
  <c r="C186" i="9"/>
  <c r="C98" i="9"/>
  <c r="C208" i="9"/>
  <c r="C209" i="9"/>
  <c r="C210" i="9"/>
  <c r="C211" i="9"/>
  <c r="E32" i="9"/>
  <c r="E54" i="9"/>
  <c r="E98" i="9"/>
  <c r="E142" i="9"/>
  <c r="E186" i="9"/>
  <c r="M25" i="1"/>
  <c r="J22" i="1"/>
  <c r="M24" i="1"/>
  <c r="M23" i="1"/>
  <c r="M22" i="1"/>
  <c r="J24" i="1"/>
  <c r="J25" i="1"/>
  <c r="G31" i="1"/>
  <c r="I12" i="4"/>
  <c r="J12" i="4" s="1"/>
  <c r="I14" i="4"/>
  <c r="J14" i="4" s="1"/>
  <c r="J15" i="4" s="1"/>
  <c r="D5" i="4"/>
  <c r="I11" i="4"/>
  <c r="J11" i="4" s="1"/>
  <c r="I13" i="4"/>
  <c r="J13" i="4" s="1"/>
  <c r="G26" i="3"/>
  <c r="H26" i="3" s="1"/>
  <c r="G27" i="3"/>
  <c r="G24" i="3"/>
  <c r="H24" i="3" s="1"/>
  <c r="G28" i="3"/>
  <c r="E62" i="2"/>
  <c r="K12" i="4" a="1"/>
  <c r="D64" i="2" a="1"/>
  <c r="K11" i="4" a="1"/>
  <c r="K13" i="4" a="1"/>
  <c r="D62" i="2" a="1"/>
  <c r="K14" i="4" a="1"/>
  <c r="K10" i="4" a="1"/>
  <c r="K15" i="4" a="1"/>
  <c r="F93" i="9" a="1"/>
  <c r="P93" i="9" a="1"/>
  <c r="U225" i="9" a="1"/>
  <c r="K21" i="1" a="1"/>
  <c r="P137" i="9" a="1"/>
  <c r="F203" i="9" a="1"/>
  <c r="K93" i="9" a="1"/>
  <c r="K49" i="9" a="1"/>
  <c r="C49" i="9" a="1"/>
  <c r="K24" i="1" a="1"/>
  <c r="I28" i="3" a="1"/>
  <c r="H36" i="1" a="1"/>
  <c r="N22" i="1" a="1"/>
  <c r="H17" i="2" a="1"/>
  <c r="H38" i="1" a="1"/>
  <c r="I25" i="11" a="1"/>
  <c r="F27" i="9" a="1"/>
  <c r="Q19" i="1" a="1"/>
  <c r="C225" i="9" a="1"/>
  <c r="K22" i="1" a="1"/>
  <c r="P181" i="9" a="1"/>
  <c r="O225" i="9" a="1"/>
  <c r="I25" i="3" a="1"/>
  <c r="N24" i="1" a="1"/>
  <c r="C181" i="9" a="1"/>
  <c r="L225" i="9" a="1"/>
  <c r="H34" i="1" a="1"/>
  <c r="R225" i="9" a="1"/>
  <c r="K115" i="9" a="1"/>
  <c r="N25" i="1" a="1"/>
  <c r="H32" i="1" a="1"/>
  <c r="C159" i="9" a="1"/>
  <c r="F49" i="9" a="1"/>
  <c r="I26" i="3" a="1"/>
  <c r="K137" i="9" a="1"/>
  <c r="I27" i="3" a="1"/>
  <c r="C71" i="9" a="1"/>
  <c r="F115" i="9" a="1"/>
  <c r="H30" i="1" a="1"/>
  <c r="K23" i="1" a="1"/>
  <c r="C27" i="9" a="1"/>
  <c r="I23" i="11" a="1"/>
  <c r="C137" i="9" a="1"/>
  <c r="C22" i="13" a="1"/>
  <c r="I26" i="11" a="1"/>
  <c r="N23" i="1" a="1"/>
  <c r="K25" i="1" a="1"/>
  <c r="F181" i="9" a="1"/>
  <c r="I23" i="3" a="1"/>
  <c r="F159" i="9" a="1"/>
  <c r="I225" i="9" a="1"/>
  <c r="I24" i="11" a="1"/>
  <c r="P159" i="9" a="1"/>
  <c r="H21" i="1" a="1"/>
  <c r="H37" i="1" a="1"/>
  <c r="K159" i="9" a="1"/>
  <c r="H39" i="1" a="1"/>
  <c r="I24" i="3" a="1"/>
  <c r="H35" i="1" a="1"/>
  <c r="H33" i="1" a="1"/>
  <c r="C93" i="9" a="1"/>
  <c r="F71" i="9" a="1"/>
  <c r="P115" i="9" a="1"/>
  <c r="H29" i="1" a="1"/>
  <c r="F137" i="9" a="1"/>
  <c r="P27" i="9" a="1"/>
  <c r="H31" i="1" a="1"/>
  <c r="C115" i="9" a="1"/>
  <c r="K27" i="9" a="1"/>
  <c r="P49" i="9" a="1"/>
  <c r="F225" i="9" a="1"/>
  <c r="J22" i="11" a="1"/>
  <c r="C203" i="9" a="1"/>
  <c r="P71" i="9" a="1"/>
  <c r="K203" i="9" a="1"/>
  <c r="P203" i="9" a="1"/>
  <c r="K71" i="9" a="1"/>
  <c r="K181" i="9" a="1"/>
  <c r="N21" i="1" a="1"/>
  <c r="C78" i="5" a="1"/>
  <c r="C192" i="5" a="1"/>
  <c r="C30" i="5" a="1"/>
  <c r="C172" i="5" a="1"/>
  <c r="C150" i="5" a="1"/>
  <c r="C54" i="5" a="1"/>
  <c r="C114" i="5" a="1"/>
  <c r="H27" i="3" l="1"/>
  <c r="I23" i="11"/>
  <c r="I25" i="11"/>
  <c r="J22" i="11"/>
  <c r="I26" i="11"/>
  <c r="I24" i="11"/>
  <c r="C22" i="13"/>
  <c r="H23" i="11"/>
  <c r="H25" i="11"/>
  <c r="H26" i="11" s="1"/>
  <c r="H24" i="11"/>
  <c r="H28" i="3"/>
  <c r="I28" i="3"/>
  <c r="I27" i="3"/>
  <c r="I26" i="3"/>
  <c r="I25" i="3"/>
  <c r="I24" i="3"/>
  <c r="I23" i="3"/>
  <c r="K25" i="1"/>
  <c r="K24" i="1"/>
  <c r="K23" i="1"/>
  <c r="K22" i="1"/>
  <c r="K21" i="1"/>
  <c r="H24" i="1"/>
  <c r="H25" i="1"/>
  <c r="H21" i="1"/>
  <c r="H23" i="1"/>
  <c r="H22" i="1"/>
  <c r="F225" i="9"/>
  <c r="C114" i="5"/>
  <c r="C10" i="5" s="1"/>
  <c r="C30" i="5"/>
  <c r="C7" i="5" s="1"/>
  <c r="C172" i="5"/>
  <c r="C12" i="5" s="1"/>
  <c r="I225" i="9"/>
  <c r="C78" i="5"/>
  <c r="C9" i="5" s="1"/>
  <c r="L225" i="9"/>
  <c r="O225" i="9"/>
  <c r="C192" i="5"/>
  <c r="C13" i="5" s="1"/>
  <c r="C150" i="5"/>
  <c r="C11" i="5" s="1"/>
  <c r="C54" i="5"/>
  <c r="C8" i="5" s="1"/>
  <c r="U225" i="9"/>
  <c r="R225" i="9"/>
  <c r="C225" i="9"/>
  <c r="F49" i="9"/>
  <c r="C49" i="9"/>
  <c r="C159" i="9"/>
  <c r="F27" i="9"/>
  <c r="P27" i="9"/>
  <c r="P93" i="9"/>
  <c r="K49" i="9"/>
  <c r="C71" i="9"/>
  <c r="K71" i="9"/>
  <c r="F203" i="9"/>
  <c r="K159" i="9"/>
  <c r="K203" i="9"/>
  <c r="C203" i="9"/>
  <c r="K115" i="9"/>
  <c r="P181" i="9"/>
  <c r="C93" i="9"/>
  <c r="K27" i="9"/>
  <c r="P137" i="9"/>
  <c r="C181" i="9"/>
  <c r="P203" i="9"/>
  <c r="C115" i="9"/>
  <c r="P159" i="9"/>
  <c r="F159" i="9"/>
  <c r="P49" i="9"/>
  <c r="F181" i="9"/>
  <c r="C137" i="9"/>
  <c r="F115" i="9"/>
  <c r="C27" i="9"/>
  <c r="F137" i="9"/>
  <c r="P115" i="9"/>
  <c r="F71" i="9"/>
  <c r="K181" i="9"/>
  <c r="F93" i="9"/>
  <c r="P71" i="9"/>
  <c r="K137" i="9"/>
  <c r="K93" i="9"/>
  <c r="H37" i="1"/>
  <c r="H39" i="1"/>
  <c r="H38" i="1"/>
  <c r="H33" i="1"/>
  <c r="H31" i="1"/>
  <c r="H34" i="1"/>
  <c r="H29" i="1"/>
  <c r="H32" i="1"/>
  <c r="H35" i="1"/>
  <c r="H36" i="1"/>
  <c r="H30" i="1"/>
  <c r="Q19" i="1"/>
  <c r="N25" i="1"/>
  <c r="N24" i="1"/>
  <c r="N23" i="1"/>
  <c r="N22" i="1"/>
  <c r="N21" i="1"/>
  <c r="K11" i="4"/>
  <c r="L11" i="4" s="1"/>
  <c r="M11" i="4" s="1"/>
  <c r="K13" i="4"/>
  <c r="L13" i="4" s="1"/>
  <c r="M13" i="4" s="1"/>
  <c r="K15" i="4"/>
  <c r="L15" i="4" s="1"/>
  <c r="M15" i="4" s="1"/>
  <c r="K14" i="4"/>
  <c r="L14" i="4" s="1"/>
  <c r="M14" i="4" s="1"/>
  <c r="K12" i="4"/>
  <c r="L12" i="4" s="1"/>
  <c r="M12" i="4" s="1"/>
  <c r="K10" i="4"/>
  <c r="L10" i="4" s="1"/>
  <c r="M10" i="4" s="1"/>
  <c r="H17" i="2"/>
  <c r="D64" i="2"/>
  <c r="D62" i="2"/>
  <c r="F62" i="2" a="1"/>
  <c r="F64" i="2" a="1"/>
  <c r="G21" i="2" a="1"/>
  <c r="I36" i="1" a="1"/>
  <c r="J25" i="11" a="1"/>
  <c r="S19" i="1" a="1"/>
  <c r="C175" i="9" a="1"/>
  <c r="J23" i="3" a="1"/>
  <c r="C21" i="9" a="1"/>
  <c r="C109" i="9" a="1"/>
  <c r="L22" i="1" a="1"/>
  <c r="U28" i="3" a="1"/>
  <c r="O24" i="1" a="1"/>
  <c r="L24" i="1" a="1"/>
  <c r="I24" i="1" a="1"/>
  <c r="U26" i="3" a="1"/>
  <c r="I32" i="1" a="1"/>
  <c r="C65" i="9" a="1"/>
  <c r="J24" i="3" a="1"/>
  <c r="L25" i="1" a="1"/>
  <c r="I30" i="1" a="1"/>
  <c r="I33" i="1" a="1"/>
  <c r="J27" i="3" a="1"/>
  <c r="O25" i="1" a="1"/>
  <c r="J23" i="11" a="1"/>
  <c r="I34" i="1" a="1"/>
  <c r="U29" i="3" a="1"/>
  <c r="I29" i="1" a="1"/>
  <c r="C131" i="9" a="1"/>
  <c r="I38" i="1" a="1"/>
  <c r="C197" i="9" a="1"/>
  <c r="J24" i="11" a="1"/>
  <c r="J28" i="3" a="1"/>
  <c r="L21" i="1" a="1"/>
  <c r="C219" i="9" a="1"/>
  <c r="I39" i="1" a="1"/>
  <c r="J26" i="11" a="1"/>
  <c r="J26" i="3" a="1"/>
  <c r="I25" i="1" a="1"/>
  <c r="O22" i="1" a="1"/>
  <c r="I23" i="1" a="1"/>
  <c r="C153" i="9" a="1"/>
  <c r="J25" i="3" a="1"/>
  <c r="I22" i="1" a="1"/>
  <c r="C87" i="9" a="1"/>
  <c r="O23" i="1" a="1"/>
  <c r="U27" i="3" a="1"/>
  <c r="I31" i="1" a="1"/>
  <c r="L23" i="1" a="1"/>
  <c r="C43" i="9" a="1"/>
  <c r="I21" i="1" a="1"/>
  <c r="I37" i="1" a="1"/>
  <c r="I35" i="1" a="1"/>
  <c r="O21" i="1" a="1"/>
  <c r="C4" i="5" a="1"/>
  <c r="C4" i="5" l="1"/>
  <c r="C16" i="8" s="1"/>
  <c r="J26" i="11"/>
  <c r="J24" i="11"/>
  <c r="J23" i="11"/>
  <c r="J25" i="11"/>
  <c r="H27" i="11"/>
  <c r="U27" i="3"/>
  <c r="J24" i="3"/>
  <c r="U26" i="3"/>
  <c r="U28" i="3"/>
  <c r="J23" i="3"/>
  <c r="J25" i="3"/>
  <c r="J28" i="3"/>
  <c r="J26" i="3"/>
  <c r="U29" i="3"/>
  <c r="J27" i="3"/>
  <c r="I30" i="1"/>
  <c r="I36" i="1"/>
  <c r="I22" i="1"/>
  <c r="I38" i="1"/>
  <c r="I32" i="1"/>
  <c r="I21" i="1"/>
  <c r="I25" i="1"/>
  <c r="O23" i="1"/>
  <c r="I34" i="1"/>
  <c r="I24" i="1"/>
  <c r="I35" i="1"/>
  <c r="I23" i="1"/>
  <c r="O21" i="1"/>
  <c r="O22" i="1"/>
  <c r="I29" i="1"/>
  <c r="O24" i="1"/>
  <c r="I31" i="1"/>
  <c r="L21" i="1"/>
  <c r="O25" i="1"/>
  <c r="I33" i="1"/>
  <c r="L22" i="1"/>
  <c r="L23" i="1"/>
  <c r="I39" i="1"/>
  <c r="L24" i="1"/>
  <c r="S19" i="1"/>
  <c r="I37" i="1"/>
  <c r="L25" i="1"/>
  <c r="C219" i="9"/>
  <c r="C16" i="9" s="1"/>
  <c r="C197" i="9"/>
  <c r="C15" i="9" s="1"/>
  <c r="C65" i="9"/>
  <c r="C9" i="9" s="1"/>
  <c r="C175" i="9"/>
  <c r="C14" i="9" s="1"/>
  <c r="C109" i="9"/>
  <c r="C11" i="9" s="1"/>
  <c r="C21" i="9"/>
  <c r="C7" i="9" s="1"/>
  <c r="C87" i="9"/>
  <c r="C10" i="9" s="1"/>
  <c r="C153" i="9"/>
  <c r="C13" i="9" s="1"/>
  <c r="C131" i="9"/>
  <c r="C12" i="9" s="1"/>
  <c r="C43" i="9"/>
  <c r="C8" i="9" s="1"/>
  <c r="G21" i="2"/>
  <c r="F62" i="2"/>
  <c r="F64" i="2"/>
  <c r="C58" i="2" a="1"/>
  <c r="N21" i="3" a="1"/>
  <c r="C4" i="9" a="1"/>
  <c r="G16" i="1" a="1"/>
  <c r="J27" i="11" a="1"/>
  <c r="C21" i="3" a="1"/>
  <c r="N21" i="3" l="1"/>
  <c r="J27" i="11"/>
  <c r="D13" i="3"/>
  <c r="C21" i="3"/>
  <c r="G16" i="1"/>
  <c r="C12" i="1" s="1"/>
  <c r="C4" i="9"/>
  <c r="C15" i="8" s="1"/>
  <c r="C58" i="2"/>
  <c r="C20" i="11" a="1"/>
  <c r="C20" i="11" l="1"/>
  <c r="D10" i="11" s="1"/>
  <c r="D10" i="3"/>
  <c r="C6" i="3" a="1"/>
  <c r="C6" i="11" a="1"/>
  <c r="C6" i="11" l="1"/>
  <c r="C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<sst xmlns="http://schemas.openxmlformats.org/spreadsheetml/2006/main" count="1567" uniqueCount="266">
  <si>
    <t>Dates</t>
  </si>
  <si>
    <t>Curves</t>
  </si>
  <si>
    <t>Discount Factors</t>
  </si>
  <si>
    <t>Curve Handle</t>
  </si>
  <si>
    <t>Curve Construction</t>
  </si>
  <si>
    <t>Discount Factor Tests</t>
  </si>
  <si>
    <t>Single Discount Factor</t>
  </si>
  <si>
    <t>Multiple Discount Factors</t>
  </si>
  <si>
    <t>Node Date</t>
  </si>
  <si>
    <t>Interpolated Date</t>
  </si>
  <si>
    <t>Test</t>
  </si>
  <si>
    <t>Result</t>
  </si>
  <si>
    <t>Hull-White</t>
  </si>
  <si>
    <t>Curve</t>
  </si>
  <si>
    <t>Swaptions</t>
  </si>
  <si>
    <t>Vol Type</t>
  </si>
  <si>
    <t>LogNormal</t>
  </si>
  <si>
    <t>Hull-White Parameters</t>
  </si>
  <si>
    <t>Swaption Maturities</t>
  </si>
  <si>
    <t>Swap Lengths</t>
  </si>
  <si>
    <t>Swaption Vols</t>
  </si>
  <si>
    <t>Calibration Handle</t>
  </si>
  <si>
    <t>Single Curve Bootstrapping</t>
  </si>
  <si>
    <t>Deposits</t>
  </si>
  <si>
    <t>Tenor</t>
  </si>
  <si>
    <t>Rate</t>
  </si>
  <si>
    <t>3m</t>
  </si>
  <si>
    <t>1m</t>
  </si>
  <si>
    <t>2m</t>
  </si>
  <si>
    <t>6m</t>
  </si>
  <si>
    <t>9m</t>
  </si>
  <si>
    <t>Base Date</t>
  </si>
  <si>
    <t>Parameter</t>
  </si>
  <si>
    <t>Value</t>
  </si>
  <si>
    <t>Testing</t>
  </si>
  <si>
    <t>Date</t>
  </si>
  <si>
    <t>RateIndex</t>
  </si>
  <si>
    <t>JIBAR</t>
  </si>
  <si>
    <t>FRAs</t>
  </si>
  <si>
    <t>Tenors</t>
  </si>
  <si>
    <t>Rates</t>
  </si>
  <si>
    <t>Bootstrapped Curve</t>
  </si>
  <si>
    <t>Manual Discount Factor</t>
  </si>
  <si>
    <t>∂Excel Discount Factor</t>
  </si>
  <si>
    <t>Difference</t>
  </si>
  <si>
    <t>Relative Difference</t>
  </si>
  <si>
    <t>Interest Rate Swaps</t>
  </si>
  <si>
    <t>SingleCurve</t>
  </si>
  <si>
    <t>USDOIS</t>
  </si>
  <si>
    <t>OIS</t>
  </si>
  <si>
    <t>Forecasting Curve</t>
  </si>
  <si>
    <t>Discounting Curve</t>
  </si>
  <si>
    <t>USDSwap</t>
  </si>
  <si>
    <t>Include</t>
  </si>
  <si>
    <t>Interpolation</t>
  </si>
  <si>
    <t>LogLinear</t>
  </si>
  <si>
    <t>Curve Name</t>
  </si>
  <si>
    <t>RateIndexTenor</t>
  </si>
  <si>
    <t>Curve Settings</t>
  </si>
  <si>
    <t>Multi Curve Bootstrapping</t>
  </si>
  <si>
    <t>USD-LIBOR</t>
  </si>
  <si>
    <t>Curve Parameters</t>
  </si>
  <si>
    <t>1y</t>
  </si>
  <si>
    <t>2y</t>
  </si>
  <si>
    <t>ForecastCurve</t>
  </si>
  <si>
    <t>DiscountCurve</t>
  </si>
  <si>
    <t>OISs</t>
  </si>
  <si>
    <t>FEDFUND</t>
  </si>
  <si>
    <t>1d</t>
  </si>
  <si>
    <t>EndDates</t>
  </si>
  <si>
    <t>3y</t>
  </si>
  <si>
    <t>ZAR</t>
  </si>
  <si>
    <t>DayCountConvention</t>
  </si>
  <si>
    <t>Actual365</t>
  </si>
  <si>
    <t>Calendars</t>
  </si>
  <si>
    <t>Setup</t>
  </si>
  <si>
    <t>Zero Rate (Manual)</t>
  </si>
  <si>
    <t>Zero Rate (∂Excel)</t>
  </si>
  <si>
    <t>Discount Factor (Manual)</t>
  </si>
  <si>
    <t>Discount Factor (∂Excel)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</si>
  <si>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White rows are anchor dates, light grey rows are interpolated dates.</t>
    </r>
  </si>
  <si>
    <t>NACC</t>
  </si>
  <si>
    <t>NACM</t>
  </si>
  <si>
    <t>NACQ</t>
  </si>
  <si>
    <t>Zero Rates</t>
  </si>
  <si>
    <t>#ERROR: Invalid compounding convention 'NACP'.</t>
  </si>
  <si>
    <t>Actual</t>
  </si>
  <si>
    <t>Expected</t>
  </si>
  <si>
    <t>Check</t>
  </si>
  <si>
    <t>loglinear</t>
  </si>
  <si>
    <t>Table Formatting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</si>
  <si>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sheet is just a visual divider.</t>
    </r>
  </si>
  <si>
    <t>Expected: Formatted</t>
  </si>
  <si>
    <r>
      <t xml:space="preserve">These tests work by copying the </t>
    </r>
    <r>
      <rPr>
        <b/>
        <sz val="11"/>
        <color theme="1"/>
        <rFont val="Calibri Light"/>
        <family val="2"/>
        <scheme val="minor"/>
      </rPr>
      <t>Before</t>
    </r>
    <r>
      <rPr>
        <sz val="11"/>
        <color theme="1"/>
        <rFont val="Calibri Light"/>
        <family val="2"/>
        <scheme val="minor"/>
      </rPr>
      <t xml:space="preserve"> section to the </t>
    </r>
    <r>
      <rPr>
        <b/>
        <sz val="11"/>
        <color theme="1"/>
        <rFont val="Calibri Light"/>
        <family val="2"/>
        <scheme val="minor"/>
      </rPr>
      <t>After</t>
    </r>
    <r>
      <rPr>
        <sz val="11"/>
        <color theme="1"/>
        <rFont val="Calibri Light"/>
        <family val="2"/>
        <scheme val="minor"/>
      </rPr>
      <t xml:space="preserve"> section and then applying the relevant formatting option.</t>
    </r>
  </si>
  <si>
    <r>
      <t xml:space="preserve">The </t>
    </r>
    <r>
      <rPr>
        <b/>
        <sz val="11"/>
        <color theme="1"/>
        <rFont val="Calibri Light"/>
        <family val="2"/>
        <scheme val="minor"/>
      </rPr>
      <t>After</t>
    </r>
    <r>
      <rPr>
        <b/>
        <i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 xml:space="preserve">section is then compared to the </t>
    </r>
    <r>
      <rPr>
        <b/>
        <sz val="11"/>
        <color theme="1"/>
        <rFont val="Calibri Light"/>
        <family val="2"/>
        <scheme val="minor"/>
      </rPr>
      <t xml:space="preserve">Expected </t>
    </r>
    <r>
      <rPr>
        <sz val="11"/>
        <color theme="1"/>
        <rFont val="Calibri Light"/>
        <family val="2"/>
        <scheme val="minor"/>
      </rPr>
      <t>section.</t>
    </r>
  </si>
  <si>
    <t>Here we test table formatting where there are dates and numbers in a vertically aligned table.</t>
  </si>
  <si>
    <t>Vol</t>
  </si>
  <si>
    <t>Data</t>
  </si>
  <si>
    <t>CF (EUR)</t>
  </si>
  <si>
    <t>CF (GBP)</t>
  </si>
  <si>
    <t>CF (RUB)</t>
  </si>
  <si>
    <t>CF (ZAR)</t>
  </si>
  <si>
    <t>NACA</t>
  </si>
  <si>
    <t>NACS</t>
  </si>
  <si>
    <t>Volatility</t>
  </si>
  <si>
    <t>Yield</t>
  </si>
  <si>
    <t>Vols</t>
  </si>
  <si>
    <r>
      <t xml:space="preserve">The formatting for date and numeric values is inferred from titles and is </t>
    </r>
    <r>
      <rPr>
        <b/>
        <sz val="11"/>
        <color theme="1"/>
        <rFont val="Calibri Light"/>
        <family val="2"/>
        <scheme val="minor"/>
      </rPr>
      <t>case insensitive</t>
    </r>
    <r>
      <rPr>
        <sz val="11"/>
        <color theme="1"/>
        <rFont val="Calibri Light"/>
        <family val="2"/>
        <scheme val="minor"/>
      </rPr>
      <t>.</t>
    </r>
  </si>
  <si>
    <t>To Do:</t>
  </si>
  <si>
    <t>Test Input</t>
  </si>
  <si>
    <t>Test Output</t>
  </si>
  <si>
    <t>Alignment</t>
  </si>
  <si>
    <t>Content</t>
  </si>
  <si>
    <t>Numbers</t>
  </si>
  <si>
    <t>Percentages</t>
  </si>
  <si>
    <t>Test 1</t>
  </si>
  <si>
    <t>Format</t>
  </si>
  <si>
    <t>Test 2</t>
  </si>
  <si>
    <t>Test 3</t>
  </si>
  <si>
    <t>Reset Test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</si>
  <si>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b/>
        <sz val="11"/>
        <color theme="1"/>
        <rFont val="Calibri Light"/>
        <family val="2"/>
        <scheme val="minor"/>
      </rPr>
      <t xml:space="preserve"> </t>
    </r>
    <r>
      <rPr>
        <sz val="11"/>
        <color theme="1"/>
        <rFont val="Calibri Light"/>
        <family val="2"/>
        <scheme val="minor"/>
      </rPr>
      <t>table formatting where there are dates and numbers in a vertically aligned table.</t>
    </r>
  </si>
  <si>
    <t>Test 4</t>
  </si>
  <si>
    <t>Reset Alll Sheet Tests</t>
  </si>
  <si>
    <t>Run Alll Sheet Tests</t>
  </si>
  <si>
    <t>Macros</t>
  </si>
  <si>
    <t>Add auto format to context menu</t>
  </si>
  <si>
    <r>
      <rPr>
        <b/>
        <i/>
        <sz val="11"/>
        <color theme="1"/>
        <rFont val="Calibri Light"/>
        <family val="2"/>
        <scheme val="minor"/>
      </rPr>
      <t xml:space="preserve">*Note: </t>
    </r>
    <r>
      <rPr>
        <i/>
        <sz val="11"/>
        <color theme="1"/>
        <rFont val="Calibri Light"/>
        <family val="2"/>
        <scheme val="minor"/>
      </rPr>
      <t>This worksheet is just a visual divider.</t>
    </r>
  </si>
  <si>
    <t>Test 5</t>
  </si>
  <si>
    <t>Text</t>
  </si>
  <si>
    <t>Test 6</t>
  </si>
  <si>
    <t>Row Headers</t>
  </si>
  <si>
    <t>Column Headers</t>
  </si>
  <si>
    <r>
      <t xml:space="preserve">Here we test </t>
    </r>
    <r>
      <rPr>
        <b/>
        <i/>
        <sz val="11"/>
        <color theme="1"/>
        <rFont val="Calibri Light"/>
        <family val="2"/>
        <scheme val="minor"/>
      </rPr>
      <t>clearing</t>
    </r>
    <r>
      <rPr>
        <sz val="11"/>
        <color theme="1"/>
        <rFont val="Calibri Light"/>
        <family val="2"/>
        <scheme val="minor"/>
      </rPr>
      <t xml:space="preserve"> table formatting where the table content is purely text.</t>
    </r>
  </si>
  <si>
    <t>Format colum and row headers.</t>
  </si>
  <si>
    <t>Summary</t>
  </si>
  <si>
    <t>Other</t>
  </si>
  <si>
    <t>Test Result</t>
  </si>
  <si>
    <t>Test Checks</t>
  </si>
  <si>
    <t>Logic</t>
  </si>
  <si>
    <t>OK</t>
  </si>
  <si>
    <t>Test 1.a</t>
  </si>
  <si>
    <t>Test 1.b</t>
  </si>
  <si>
    <t>Test 1.c</t>
  </si>
  <si>
    <t>Input</t>
  </si>
  <si>
    <t>Output</t>
  </si>
  <si>
    <t>Function</t>
  </si>
  <si>
    <t>Test 2.a</t>
  </si>
  <si>
    <t>Test 2.b</t>
  </si>
  <si>
    <t>Test 2.c</t>
  </si>
  <si>
    <t>ERROR</t>
  </si>
  <si>
    <t>Test 3.a</t>
  </si>
  <si>
    <t>Test 3.b</t>
  </si>
  <si>
    <t>Test 3.c</t>
  </si>
  <si>
    <t>WARNING</t>
  </si>
  <si>
    <t>Test 4.a</t>
  </si>
  <si>
    <t>Test 4.b</t>
  </si>
  <si>
    <t>Test 4.c</t>
  </si>
  <si>
    <t>Test 1.d</t>
  </si>
  <si>
    <t>Test 2.d</t>
  </si>
  <si>
    <t>Test 3.d</t>
  </si>
  <si>
    <t>Test 4.d</t>
  </si>
  <si>
    <t>Test 5.a</t>
  </si>
  <si>
    <t>Test 5.b</t>
  </si>
  <si>
    <t>Test 5.c</t>
  </si>
  <si>
    <t>Test 5.d</t>
  </si>
  <si>
    <t>Test 6.b</t>
  </si>
  <si>
    <t>Test 6.c</t>
  </si>
  <si>
    <t>Test 6.d</t>
  </si>
  <si>
    <t>Test 6.a</t>
  </si>
  <si>
    <t>Error Handling</t>
  </si>
  <si>
    <t>Interest Rates</t>
  </si>
  <si>
    <t>Test Results</t>
  </si>
  <si>
    <t>Here we test table applying formatting where the table content is purely text.</t>
  </si>
  <si>
    <t>All Test Results</t>
  </si>
  <si>
    <t>Add cell styles</t>
  </si>
  <si>
    <t>Test 7</t>
  </si>
  <si>
    <t>Test 7.a</t>
  </si>
  <si>
    <t>Test 7.b</t>
  </si>
  <si>
    <t>Test 7.c</t>
  </si>
  <si>
    <t>Test 7.d</t>
  </si>
  <si>
    <t>Test 8</t>
  </si>
  <si>
    <t>Test 8.b</t>
  </si>
  <si>
    <t>Test 8.c</t>
  </si>
  <si>
    <t>Test 8.d</t>
  </si>
  <si>
    <t>Test 8.a</t>
  </si>
  <si>
    <t>Change code from horizontal and vertical to something more logical.</t>
  </si>
  <si>
    <t>Test 9</t>
  </si>
  <si>
    <t>Run Tests in All Sheets</t>
  </si>
  <si>
    <t>Reset Tests in All Sheets</t>
  </si>
  <si>
    <t>Test Utils</t>
  </si>
  <si>
    <t>d.TestUtils_And</t>
  </si>
  <si>
    <t>d.TestUtils_Or</t>
  </si>
  <si>
    <t>Test 9.a</t>
  </si>
  <si>
    <t>Test 9.b</t>
  </si>
  <si>
    <t>Test 9.c</t>
  </si>
  <si>
    <t>Test 9.d</t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</si>
  <si>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</si>
  <si>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</si>
  <si>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</si>
  <si>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d.TestUtils_And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OK and some are WARNING and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</si>
  <si>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all inputs are ERROR.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</si>
  <si>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</si>
  <si>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</si>
  <si>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 xml:space="preserve">d.TestUtils_Or </t>
    </r>
    <r>
      <rPr>
        <sz val="11"/>
        <color theme="1"/>
        <rFont val="Calibri Light"/>
        <family val="2"/>
        <scheme val="minor"/>
      </rPr>
      <t>function for various input configurations (rows, columns, matrices etc.) where most inputs are ERROR and some are OK and WARNING.</t>
    </r>
  </si>
  <si>
    <r>
      <t xml:space="preserve">Here we test the </t>
    </r>
    <r>
      <rPr>
        <b/>
        <sz val="11"/>
        <color theme="1"/>
        <rFont val="Calibri Light"/>
        <family val="2"/>
        <scheme val="minor"/>
      </rPr>
      <t>d.TestUtils_Or</t>
    </r>
    <r>
      <rPr>
        <sz val="11"/>
        <color theme="1"/>
        <rFont val="Calibri Light"/>
        <family val="2"/>
        <scheme val="minor"/>
      </rPr>
      <t xml:space="preserve"> function for various input configurations (rows, columns, matrices etc.) where most inputs are ERROR and some are OK and WARNING.</t>
    </r>
  </si>
  <si>
    <t>Test 10</t>
  </si>
  <si>
    <t>Test 10.a</t>
  </si>
  <si>
    <t>Test 10.b</t>
  </si>
  <si>
    <t>Test 10.c</t>
  </si>
  <si>
    <t>Test 10.d</t>
  </si>
  <si>
    <t>Here we test all d.TestUtils functions such that, given an Excel error input e.g. #NA, #VALUE, they all should return ERROR.</t>
  </si>
  <si>
    <t>d.TestUtils_Not</t>
  </si>
  <si>
    <t>d.TestUtils_IsTrue</t>
  </si>
  <si>
    <t>Test 10.e</t>
  </si>
  <si>
    <t>d.TestUtils_IsFalse</t>
  </si>
  <si>
    <t>Test 10.f</t>
  </si>
  <si>
    <t>d.TestUtils_GreaterThan</t>
  </si>
  <si>
    <t>d.TestUtils_LessThan</t>
  </si>
  <si>
    <t>BaseDate</t>
  </si>
  <si>
    <t>Exception Testing</t>
  </si>
  <si>
    <t>Missing RateIndex</t>
  </si>
  <si>
    <t>#Error: Please provide a rate index in the curve parameters.</t>
  </si>
  <si>
    <t>UMBOR</t>
  </si>
  <si>
    <t>#Error: Unsupported rate index: UMBOR</t>
  </si>
  <si>
    <t>#Error: Please provide a base date in the curve parameters.</t>
  </si>
  <si>
    <t>Missing BaseDate</t>
  </si>
  <si>
    <t>Checks</t>
  </si>
  <si>
    <t>ZAR-Swap Testing</t>
  </si>
  <si>
    <t>USD OIS Testing</t>
  </si>
  <si>
    <t># TODO: Incorporate swap par rates in checks.</t>
  </si>
  <si>
    <t>Flat Curve, 3m JIBAR</t>
  </si>
  <si>
    <t>FraTenors</t>
  </si>
  <si>
    <t>3x6</t>
  </si>
  <si>
    <t>6x9</t>
  </si>
  <si>
    <t>9x12</t>
  </si>
  <si>
    <t>Vanilla ZAR Swap</t>
  </si>
  <si>
    <t>Swap Parameters</t>
  </si>
  <si>
    <t>EffectiveDate</t>
  </si>
  <si>
    <t>MaturityDate</t>
  </si>
  <si>
    <t>Type</t>
  </si>
  <si>
    <t>Interest Rate Swap</t>
  </si>
  <si>
    <t>@ZAR-IRS1</t>
  </si>
  <si>
    <t>Payer</t>
  </si>
  <si>
    <t>Notional</t>
  </si>
  <si>
    <t>FloatingLegFrequency</t>
  </si>
  <si>
    <t>Currency</t>
  </si>
  <si>
    <t>← Note: Used for calendar.</t>
  </si>
  <si>
    <t>BusinessDayConvetion</t>
  </si>
  <si>
    <t>Tests</t>
  </si>
  <si>
    <t>ZAR Swap Curve Testing</t>
  </si>
  <si>
    <t>USD OIS Curve Testing</t>
  </si>
  <si>
    <t>Non-Flat Curve, FEDFUND</t>
  </si>
  <si>
    <t>https://wiki.fsa-aks.deloitte.co.za/doku.php?id=valuations:methodology:instruments:interest_rate_swaps</t>
  </si>
  <si>
    <t>See link below for par rate calculation details:</t>
  </si>
  <si>
    <t>AddTenorToDate</t>
  </si>
  <si>
    <t>Calendar</t>
  </si>
  <si>
    <t>Business Day Convention</t>
  </si>
  <si>
    <t>MODFOL</t>
  </si>
  <si>
    <t>RateIndexName</t>
  </si>
  <si>
    <t>Simple</t>
  </si>
  <si>
    <t>Compounded</t>
  </si>
  <si>
    <t>Vol Surface</t>
  </si>
  <si>
    <t>Moneyness</t>
  </si>
  <si>
    <t>Column Header</t>
  </si>
  <si>
    <t>Here we test apply formatting where there are both column and row headers.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</si>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</sst>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164" formatCode="0.0000"/>
    <numFmt numFmtId="165" formatCode="0.0000000000000000"/>
    <numFmt numFmtId="166" formatCode="yyyy\-mm\-dd;@"/>
    <numFmt numFmtId="167" formatCode="#,##0.000000"/>
    <numFmt numFmtId="168" formatCode="#,##0.000000000"/>
    <numFmt numFmtId="169" formatCode="0.0000%"/>
    <numFmt numFmtId="170" formatCode="[$€-2]#,##0.00"/>
    <numFmt numFmtId="171" formatCode="[$£-809]#,##0.00"/>
    <numFmt numFmtId="172" formatCode="[$₽-419]#,##0.00"/>
    <numFmt numFmtId="173" formatCode="[$R-1C09]#,##0.00"/>
    <numFmt numFmtId="174" formatCode="#,##0.0000000"/>
    <numFmt numFmtId="175" formatCode="#,##0.0000000000"/>
    <numFmt numFmtId="176" formatCode="#,##0.00000000"/>
    <numFmt numFmtId="177" formatCode="0.00000000000"/>
    <numFmt numFmtId="178" formatCode="0.000000000000"/>
    <numFmt numFmtId="179" formatCode="#,##0.00000000000"/>
  </numFmts>
  <fonts count="40" x14ac:knownFonts="1">
    <font>
      <sz val="11"/>
      <color theme="1"/>
      <name val="Calibri Light"/>
      <family val="2"/>
      <scheme val="minor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sz val="10"/>
      <color theme="1"/>
      <name val="Calibri Light"/>
      <family val="2"/>
    </font>
    <font>
      <b/>
      <sz val="20"/>
      <name val="Calibri Light"/>
      <family val="2"/>
      <scheme val="minor"/>
    </font>
    <font>
      <b/>
      <sz val="11"/>
      <color theme="0"/>
      <name val="Calibri Light"/>
      <family val="2"/>
      <scheme val="minor"/>
    </font>
    <font>
      <sz val="10"/>
      <color theme="1"/>
      <name val="Calibri Light"/>
      <family val="2"/>
    </font>
    <font>
      <b/>
      <sz val="10"/>
      <color rgb="FFFFFFFF"/>
      <name val="Calibri Light"/>
      <family val="2"/>
    </font>
    <font>
      <b/>
      <sz val="10"/>
      <color theme="0"/>
      <name val="Calibri"/>
      <family val="2"/>
      <scheme val="major"/>
    </font>
    <font>
      <sz val="10"/>
      <color theme="1"/>
      <name val="Calibri"/>
      <family val="2"/>
      <scheme val="major"/>
    </font>
    <font>
      <b/>
      <sz val="12"/>
      <name val="Calibri Light"/>
      <family val="2"/>
      <scheme val="minor"/>
    </font>
    <font>
      <b/>
      <i/>
      <sz val="11"/>
      <color theme="1"/>
      <name val="Calibri Light"/>
      <family val="2"/>
      <scheme val="minor"/>
    </font>
    <font>
      <i/>
      <sz val="11"/>
      <color theme="1"/>
      <name val="Calibri Light"/>
      <family val="2"/>
      <scheme val="minor"/>
    </font>
    <font>
      <b/>
      <sz val="11"/>
      <color theme="1"/>
      <name val="Calibri Light"/>
      <family val="2"/>
      <scheme val="minor"/>
    </font>
    <font>
      <sz val="11"/>
      <color rgb="FFFF0000"/>
      <name val="Calibri Light"/>
      <family val="2"/>
      <scheme val="minor"/>
    </font>
    <font>
      <sz val="10"/>
      <color rgb="FF000000"/>
      <name val="Calibri Light"/>
      <family val="2"/>
    </font>
    <font>
      <b/>
      <sz val="14"/>
      <color theme="4" tint="-0.249977111117893"/>
      <name val="Calibri Light"/>
      <family val="2"/>
      <scheme val="minor"/>
    </font>
    <font>
      <b/>
      <sz val="11"/>
      <color rgb="FFFF0000"/>
      <name val="Calibri Light"/>
      <family val="2"/>
      <scheme val="minor"/>
    </font>
    <font>
      <sz val="10"/>
      <color rgb="FF000000"/>
      <name val="Calibri Light"/>
      <family val="2"/>
      <scheme val="minor"/>
    </font>
    <font>
      <sz val="10"/>
      <color theme="1"/>
      <name val="Calibri Light"/>
      <family val="2"/>
      <scheme val="minor"/>
    </font>
    <font>
      <b/>
      <sz val="10"/>
      <color rgb="FFFFFFFF"/>
      <name val="Calibri Light"/>
      <family val="2"/>
      <scheme val="minor"/>
    </font>
    <font>
      <u/>
      <sz val="11"/>
      <color theme="10"/>
      <name val="Calibri Light"/>
      <family val="2"/>
      <scheme val="minor"/>
    </font>
    <font>
      <u/>
      <sz val="10"/>
      <color theme="10"/>
      <name val="Calibri Light"/>
      <family val="2"/>
      <scheme val="minor"/>
    </font>
    <font>
      <b/>
      <sz val="10"/>
      <color theme="0"/>
      <name val="Calibri Light"/>
      <family val="2"/>
    </font>
    <font>
      <b/>
      <sz val="11"/>
      <color rgb="FFFFFFFF"/>
      <name val="Calibri Light"/>
      <family val="2"/>
      <scheme val="minor"/>
    </font>
    <font>
      <b/>
      <sz val="14"/>
      <color theme="4" tint="-0.24994659260841701"/>
      <name val="Calibri Light"/>
      <family val="2"/>
      <scheme val="minor"/>
    </font>
    <font>
      <b/>
      <sz val="12"/>
      <color theme="4" tint="-0.24994659260841701"/>
      <name val="Calibri Light"/>
      <family val="2"/>
      <scheme val="minor"/>
    </font>
    <font>
      <sz val="10"/>
      <name val="Calibri Light"/>
      <family val="2"/>
    </font>
    <font>
      <b/>
      <i/>
      <sz val="11"/>
      <color rgb="FFFFC000"/>
      <name val="Calibri Light"/>
      <family val="2"/>
      <scheme val="minor"/>
    </font>
    <font>
      <strike/>
      <sz val="11"/>
      <color rgb="FFFF0000"/>
      <name val="Calibri Light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6BC2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2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dashed">
        <color auto="1"/>
      </bottom>
      <diagonal/>
    </border>
    <border>
      <left/>
      <right/>
      <top/>
      <bottom style="hair">
        <color theme="0" tint="-0.499984740745262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rgb="FF000000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hair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hair">
        <color theme="1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auto="1"/>
      </right>
      <top/>
      <bottom/>
      <diagonal/>
    </border>
    <border>
      <left style="dashed">
        <color auto="1"/>
      </left>
      <right/>
      <top/>
      <bottom/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</borders>
  <cellStyleXfs count="5">
    <xf numFmtId="0" fontId="0" fillId="0" borderId="0"/>
    <xf numFmtId="0" fontId="14" fillId="0" borderId="1" applyNumberFormat="0" applyFill="0" applyAlignment="0" applyProtection="0"/>
    <xf numFmtId="0" fontId="35" fillId="0" borderId="33" applyNumberFormat="0" applyFill="0" applyAlignment="0" applyProtection="0"/>
    <xf numFmtId="0" fontId="36" fillId="0" borderId="2" applyNumberFormat="0" applyFill="0" applyAlignment="0" applyProtection="0"/>
    <xf numFmtId="0" fontId="31" fillId="0" borderId="0" applyNumberFormat="0" applyFill="0" applyBorder="0" applyAlignment="0" applyProtection="0"/>
  </cellStyleXfs>
  <cellXfs count="381">
    <xf numFmtId="0" fontId="0" fillId="0" borderId="0" xfId="0"/>
    <xf numFmtId="14" fontId="0" fillId="0" borderId="0" xfId="0" applyNumberFormat="1"/>
    <xf numFmtId="0" fontId="14" fillId="0" borderId="1" xfId="1"/>
    <xf numFmtId="0" fontId="35" fillId="0" borderId="33" xfId="2"/>
    <xf numFmtId="0" fontId="36" fillId="0" borderId="2" xfId="3"/>
    <xf numFmtId="164" fontId="0" fillId="0" borderId="0" xfId="0" applyNumberFormat="1"/>
    <xf numFmtId="165" fontId="0" fillId="0" borderId="0" xfId="0" applyNumberFormat="1"/>
    <xf numFmtId="0" fontId="15" fillId="2" borderId="0" xfId="0" applyFont="1" applyFill="1"/>
    <xf numFmtId="166" fontId="0" fillId="0" borderId="0" xfId="0" applyNumberFormat="1"/>
    <xf numFmtId="4" fontId="0" fillId="0" borderId="0" xfId="0" applyNumberFormat="1"/>
    <xf numFmtId="0" fontId="0" fillId="0" borderId="0" xfId="0" quotePrefix="1"/>
    <xf numFmtId="166" fontId="0" fillId="0" borderId="0" xfId="0" quotePrefix="1" applyNumberFormat="1"/>
    <xf numFmtId="0" fontId="17" fillId="3" borderId="5" xfId="0" applyFont="1" applyFill="1" applyBorder="1" applyAlignment="1">
      <alignment horizontal="centerContinuous" vertical="center"/>
    </xf>
    <xf numFmtId="0" fontId="17" fillId="3" borderId="6" xfId="0" applyFont="1" applyFill="1" applyBorder="1" applyAlignment="1">
      <alignment horizontal="centerContinuous" vertical="center"/>
    </xf>
    <xf numFmtId="4" fontId="16" fillId="0" borderId="10" xfId="0" applyNumberFormat="1" applyFont="1" applyBorder="1" applyAlignment="1">
      <alignment horizontal="right" vertical="center"/>
    </xf>
    <xf numFmtId="4" fontId="16" fillId="0" borderId="12" xfId="0" applyNumberFormat="1" applyFont="1" applyBorder="1" applyAlignment="1">
      <alignment horizontal="right" vertical="center"/>
    </xf>
    <xf numFmtId="4" fontId="16" fillId="0" borderId="14" xfId="0" applyNumberFormat="1" applyFont="1" applyBorder="1" applyAlignment="1">
      <alignment horizontal="right" vertical="center"/>
    </xf>
    <xf numFmtId="166" fontId="16" fillId="0" borderId="10" xfId="0" applyNumberFormat="1" applyFont="1" applyBorder="1" applyAlignment="1">
      <alignment horizontal="right" vertical="center"/>
    </xf>
    <xf numFmtId="166" fontId="16" fillId="0" borderId="12" xfId="0" applyNumberFormat="1" applyFont="1" applyBorder="1" applyAlignment="1">
      <alignment horizontal="right" vertical="center"/>
    </xf>
    <xf numFmtId="166" fontId="16" fillId="0" borderId="14" xfId="0" applyNumberFormat="1" applyFont="1" applyBorder="1" applyAlignment="1">
      <alignment horizontal="right" vertical="center"/>
    </xf>
    <xf numFmtId="167" fontId="16" fillId="0" borderId="11" xfId="0" applyNumberFormat="1" applyFont="1" applyBorder="1" applyAlignment="1">
      <alignment horizontal="right" vertical="center"/>
    </xf>
    <xf numFmtId="167" fontId="16" fillId="0" borderId="13" xfId="0" applyNumberFormat="1" applyFont="1" applyBorder="1" applyAlignment="1">
      <alignment horizontal="right" vertical="center"/>
    </xf>
    <xf numFmtId="167" fontId="16" fillId="0" borderId="15" xfId="0" applyNumberFormat="1" applyFont="1" applyBorder="1" applyAlignment="1">
      <alignment horizontal="right" vertical="center"/>
    </xf>
    <xf numFmtId="0" fontId="17" fillId="3" borderId="8" xfId="0" applyFont="1" applyFill="1" applyBorder="1" applyAlignment="1">
      <alignment horizontal="centerContinuous" vertical="center"/>
    </xf>
    <xf numFmtId="0" fontId="17" fillId="3" borderId="9" xfId="0" applyFont="1" applyFill="1" applyBorder="1" applyAlignment="1">
      <alignment horizontal="centerContinuous" vertical="center"/>
    </xf>
    <xf numFmtId="0" fontId="0" fillId="0" borderId="4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17" fillId="3" borderId="7" xfId="0" applyFont="1" applyFill="1" applyBorder="1" applyAlignment="1">
      <alignment horizontal="centerContinuous" vertical="center"/>
    </xf>
    <xf numFmtId="4" fontId="16" fillId="0" borderId="16" xfId="0" applyNumberFormat="1" applyFont="1" applyBorder="1" applyAlignment="1">
      <alignment horizontal="right" vertical="center"/>
    </xf>
    <xf numFmtId="4" fontId="16" fillId="0" borderId="17" xfId="0" applyNumberFormat="1" applyFont="1" applyBorder="1" applyAlignment="1">
      <alignment horizontal="right" vertical="center"/>
    </xf>
    <xf numFmtId="4" fontId="16" fillId="0" borderId="18" xfId="0" applyNumberFormat="1" applyFont="1" applyBorder="1" applyAlignment="1">
      <alignment horizontal="right" vertical="center"/>
    </xf>
    <xf numFmtId="10" fontId="16" fillId="0" borderId="16" xfId="0" applyNumberFormat="1" applyFont="1" applyBorder="1" applyAlignment="1">
      <alignment horizontal="right" vertical="center"/>
    </xf>
    <xf numFmtId="10" fontId="16" fillId="0" borderId="17" xfId="0" applyNumberFormat="1" applyFont="1" applyBorder="1" applyAlignment="1">
      <alignment horizontal="right" vertical="center"/>
    </xf>
    <xf numFmtId="10" fontId="16" fillId="0" borderId="18" xfId="0" applyNumberFormat="1" applyFont="1" applyBorder="1" applyAlignment="1">
      <alignment horizontal="right" vertical="center"/>
    </xf>
    <xf numFmtId="10" fontId="16" fillId="0" borderId="11" xfId="0" applyNumberFormat="1" applyFont="1" applyBorder="1" applyAlignment="1">
      <alignment horizontal="right" vertical="center"/>
    </xf>
    <xf numFmtId="10" fontId="16" fillId="0" borderId="13" xfId="0" applyNumberFormat="1" applyFont="1" applyBorder="1" applyAlignment="1">
      <alignment horizontal="right" vertical="center"/>
    </xf>
    <xf numFmtId="10" fontId="16" fillId="0" borderId="15" xfId="0" applyNumberFormat="1" applyFont="1" applyBorder="1" applyAlignment="1">
      <alignment horizontal="right" vertical="center"/>
    </xf>
    <xf numFmtId="0" fontId="17" fillId="3" borderId="19" xfId="0" applyFont="1" applyFill="1" applyBorder="1" applyAlignment="1">
      <alignment horizontal="centerContinuous" vertical="center"/>
    </xf>
    <xf numFmtId="0" fontId="17" fillId="3" borderId="20" xfId="0" applyFont="1" applyFill="1" applyBorder="1" applyAlignment="1">
      <alignment horizontal="centerContinuous" vertical="center"/>
    </xf>
    <xf numFmtId="0" fontId="0" fillId="0" borderId="4" xfId="0" applyBorder="1"/>
    <xf numFmtId="0" fontId="0" fillId="0" borderId="3" xfId="0" applyBorder="1"/>
    <xf numFmtId="0" fontId="17" fillId="3" borderId="0" xfId="0" applyFont="1" applyFill="1" applyBorder="1" applyAlignment="1">
      <alignment horizontal="centerContinuous" vertical="center"/>
    </xf>
    <xf numFmtId="0" fontId="16" fillId="0" borderId="0" xfId="0" applyFont="1"/>
    <xf numFmtId="0" fontId="17" fillId="4" borderId="21" xfId="0" applyFont="1" applyFill="1" applyBorder="1" applyAlignment="1">
      <alignment horizontal="center" vertical="center"/>
    </xf>
    <xf numFmtId="0" fontId="17" fillId="4" borderId="22" xfId="0" applyFont="1" applyFill="1" applyBorder="1" applyAlignment="1">
      <alignment horizontal="center" vertical="center"/>
    </xf>
    <xf numFmtId="0" fontId="17" fillId="4" borderId="23" xfId="0" applyFont="1" applyFill="1" applyBorder="1" applyAlignment="1">
      <alignment horizontal="center" vertical="center"/>
    </xf>
    <xf numFmtId="166" fontId="16" fillId="0" borderId="0" xfId="0" applyNumberFormat="1" applyFont="1"/>
    <xf numFmtId="0" fontId="18" fillId="2" borderId="0" xfId="0" applyFont="1" applyFill="1" applyAlignment="1">
      <alignment horizontal="centerContinuous"/>
    </xf>
    <xf numFmtId="168" fontId="0" fillId="0" borderId="0" xfId="0" applyNumberFormat="1"/>
    <xf numFmtId="169" fontId="0" fillId="0" borderId="0" xfId="0" applyNumberFormat="1"/>
    <xf numFmtId="0" fontId="0" fillId="0" borderId="24" xfId="0" applyFont="1" applyBorder="1" applyAlignment="1">
      <alignment horizontal="centerContinuous"/>
    </xf>
    <xf numFmtId="0" fontId="0" fillId="0" borderId="25" xfId="0" applyFont="1" applyBorder="1" applyAlignment="1">
      <alignment horizontal="centerContinuous"/>
    </xf>
    <xf numFmtId="0" fontId="0" fillId="0" borderId="26" xfId="0" applyFont="1" applyBorder="1" applyAlignment="1">
      <alignment horizontal="centerContinuous"/>
    </xf>
    <xf numFmtId="0" fontId="0" fillId="0" borderId="27" xfId="0" applyFont="1" applyBorder="1" applyAlignment="1">
      <alignment horizontal="centerContinuous"/>
    </xf>
    <xf numFmtId="166" fontId="16" fillId="0" borderId="0" xfId="0" applyNumberFormat="1" applyFont="1" applyAlignment="1">
      <alignment horizontal="right"/>
    </xf>
    <xf numFmtId="0" fontId="16" fillId="0" borderId="0" xfId="0" applyFont="1" applyFill="1" applyBorder="1"/>
    <xf numFmtId="167" fontId="16" fillId="0" borderId="16" xfId="0" applyNumberFormat="1" applyFont="1" applyBorder="1" applyAlignment="1">
      <alignment horizontal="right" vertical="center"/>
    </xf>
    <xf numFmtId="167" fontId="16" fillId="0" borderId="17" xfId="0" applyNumberFormat="1" applyFont="1" applyBorder="1" applyAlignment="1">
      <alignment horizontal="right" vertical="center"/>
    </xf>
    <xf numFmtId="0" fontId="17" fillId="3" borderId="28" xfId="0" applyFont="1" applyFill="1" applyBorder="1" applyAlignment="1">
      <alignment horizontal="centerContinuous" vertical="center"/>
    </xf>
    <xf numFmtId="0" fontId="17" fillId="3" borderId="29" xfId="0" applyFont="1" applyFill="1" applyBorder="1" applyAlignment="1">
      <alignment horizontal="centerContinuous" vertical="center"/>
    </xf>
    <xf numFmtId="0" fontId="17" fillId="4" borderId="30" xfId="0" applyFont="1" applyFill="1" applyBorder="1" applyAlignment="1">
      <alignment horizontal="center" vertical="center"/>
    </xf>
    <xf numFmtId="0" fontId="17" fillId="4" borderId="31" xfId="0" applyFont="1" applyFill="1" applyBorder="1" applyAlignment="1">
      <alignment horizontal="center" vertical="center"/>
    </xf>
    <xf numFmtId="4" fontId="16" fillId="0" borderId="0" xfId="0" applyNumberFormat="1" applyFont="1"/>
    <xf numFmtId="0" fontId="17" fillId="4" borderId="32" xfId="0" applyFont="1" applyFill="1" applyBorder="1" applyAlignment="1">
      <alignment horizontal="center" vertical="center"/>
    </xf>
    <xf numFmtId="0" fontId="0" fillId="0" borderId="0" xfId="0" applyBorder="1"/>
    <xf numFmtId="0" fontId="19" fillId="0" borderId="4" xfId="0" applyFont="1" applyBorder="1" applyAlignment="1">
      <alignment horizontal="centerContinuous"/>
    </xf>
    <xf numFmtId="0" fontId="18" fillId="2" borderId="0" xfId="0" applyFont="1" applyFill="1" applyAlignment="1">
      <alignment horizontal="centerContinuous" vertical="center"/>
    </xf>
    <xf numFmtId="0" fontId="20" fillId="0" borderId="33" xfId="2" applyFont="1" applyBorder="1"/>
    <xf numFmtId="0" fontId="35" fillId="0" borderId="33" xfId="2" applyBorder="1"/>
    <xf numFmtId="0" fontId="22" fillId="0" borderId="0" xfId="0" applyFont="1"/>
    <xf numFmtId="0" fontId="23" fillId="0" borderId="0" xfId="0" applyFont="1"/>
    <xf numFmtId="4" fontId="16" fillId="0" borderId="11" xfId="0" applyNumberFormat="1" applyFont="1" applyBorder="1" applyAlignment="1">
      <alignment horizontal="right" vertical="center"/>
    </xf>
    <xf numFmtId="4" fontId="16" fillId="0" borderId="13" xfId="0" applyNumberFormat="1" applyFont="1" applyBorder="1" applyAlignment="1">
      <alignment horizontal="right" vertical="center"/>
    </xf>
    <xf numFmtId="4" fontId="16" fillId="0" borderId="15" xfId="0" applyNumberFormat="1" applyFont="1" applyBorder="1" applyAlignment="1">
      <alignment horizontal="right" vertical="center"/>
    </xf>
    <xf numFmtId="0" fontId="17" fillId="4" borderId="34" xfId="0" applyFont="1" applyFill="1" applyBorder="1" applyAlignment="1">
      <alignment horizontal="center" vertical="center"/>
    </xf>
    <xf numFmtId="0" fontId="17" fillId="4" borderId="35" xfId="0" applyFont="1" applyFill="1" applyBorder="1" applyAlignment="1">
      <alignment horizontal="center" vertical="center"/>
    </xf>
    <xf numFmtId="0" fontId="17" fillId="4" borderId="36" xfId="0" applyFont="1" applyFill="1" applyBorder="1" applyAlignment="1">
      <alignment horizontal="center" vertical="center"/>
    </xf>
    <xf numFmtId="0" fontId="0" fillId="0" borderId="26" xfId="0" applyBorder="1"/>
    <xf numFmtId="0" fontId="14" fillId="0" borderId="1" xfId="1" applyFont="1"/>
    <xf numFmtId="0" fontId="26" fillId="0" borderId="26" xfId="0" applyFont="1" applyBorder="1"/>
    <xf numFmtId="9" fontId="16" fillId="0" borderId="40" xfId="0" applyNumberFormat="1" applyFont="1" applyBorder="1" applyAlignment="1">
      <alignment horizontal="right"/>
    </xf>
    <xf numFmtId="9" fontId="16" fillId="0" borderId="42" xfId="0" applyNumberFormat="1" applyFont="1" applyBorder="1" applyAlignment="1">
      <alignment horizontal="right"/>
    </xf>
    <xf numFmtId="166" fontId="16" fillId="0" borderId="37" xfId="0" applyNumberFormat="1" applyFont="1" applyBorder="1"/>
    <xf numFmtId="166" fontId="16" fillId="0" borderId="39" xfId="0" applyNumberFormat="1" applyFont="1" applyBorder="1"/>
    <xf numFmtId="0" fontId="27" fillId="0" borderId="0" xfId="0" applyFont="1"/>
    <xf numFmtId="0" fontId="24" fillId="0" borderId="0" xfId="0" applyFont="1"/>
    <xf numFmtId="166" fontId="16" fillId="0" borderId="43" xfId="0" applyNumberFormat="1" applyFont="1" applyBorder="1"/>
    <xf numFmtId="166" fontId="16" fillId="0" borderId="44" xfId="0" applyNumberFormat="1" applyFont="1" applyBorder="1"/>
    <xf numFmtId="0" fontId="0" fillId="0" borderId="44" xfId="0" applyBorder="1"/>
    <xf numFmtId="9" fontId="16" fillId="0" borderId="44" xfId="0" applyNumberFormat="1" applyFont="1" applyBorder="1" applyAlignment="1">
      <alignment horizontal="right"/>
    </xf>
    <xf numFmtId="9" fontId="16" fillId="0" borderId="45" xfId="0" applyNumberFormat="1" applyFont="1" applyBorder="1" applyAlignment="1">
      <alignment horizontal="right"/>
    </xf>
    <xf numFmtId="0" fontId="28" fillId="5" borderId="0" xfId="0" applyFont="1" applyFill="1" applyBorder="1" applyAlignment="1">
      <alignment horizontal="left" vertical="center"/>
    </xf>
    <xf numFmtId="0" fontId="23" fillId="0" borderId="28" xfId="0" applyFont="1" applyBorder="1"/>
    <xf numFmtId="0" fontId="0" fillId="0" borderId="29" xfId="0" applyBorder="1"/>
    <xf numFmtId="0" fontId="0" fillId="0" borderId="46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23" fillId="0" borderId="50" xfId="0" applyFont="1" applyBorder="1"/>
    <xf numFmtId="0" fontId="0" fillId="0" borderId="51" xfId="0" applyBorder="1"/>
    <xf numFmtId="4" fontId="28" fillId="5" borderId="0" xfId="0" applyNumberFormat="1" applyFont="1" applyFill="1" applyBorder="1" applyAlignment="1">
      <alignment horizontal="left" vertical="center"/>
    </xf>
    <xf numFmtId="0" fontId="17" fillId="4" borderId="52" xfId="0" applyFont="1" applyFill="1" applyBorder="1" applyAlignment="1">
      <alignment horizontal="center" vertical="center"/>
    </xf>
    <xf numFmtId="0" fontId="17" fillId="4" borderId="53" xfId="0" applyFont="1" applyFill="1" applyBorder="1" applyAlignment="1">
      <alignment horizontal="center" vertical="center"/>
    </xf>
    <xf numFmtId="0" fontId="17" fillId="4" borderId="54" xfId="0" applyFont="1" applyFill="1" applyBorder="1" applyAlignment="1">
      <alignment horizontal="center" vertical="center"/>
    </xf>
    <xf numFmtId="166" fontId="16" fillId="0" borderId="38" xfId="0" applyNumberFormat="1" applyFont="1" applyBorder="1"/>
    <xf numFmtId="166" fontId="16" fillId="0" borderId="40" xfId="0" applyNumberFormat="1" applyFont="1" applyBorder="1"/>
    <xf numFmtId="0" fontId="0" fillId="0" borderId="39" xfId="0" applyBorder="1"/>
    <xf numFmtId="0" fontId="0" fillId="0" borderId="40" xfId="0" applyBorder="1"/>
    <xf numFmtId="9" fontId="16" fillId="0" borderId="39" xfId="0" applyNumberFormat="1" applyFont="1" applyBorder="1" applyAlignment="1">
      <alignment horizontal="right"/>
    </xf>
    <xf numFmtId="9" fontId="16" fillId="0" borderId="41" xfId="0" applyNumberFormat="1" applyFont="1" applyBorder="1" applyAlignment="1">
      <alignment horizontal="right"/>
    </xf>
    <xf numFmtId="170" fontId="29" fillId="0" borderId="16" xfId="0" applyNumberFormat="1" applyFont="1" applyBorder="1" applyAlignment="1">
      <alignment horizontal="right" vertical="center"/>
    </xf>
    <xf numFmtId="170" fontId="29" fillId="0" borderId="17" xfId="0" applyNumberFormat="1" applyFont="1" applyBorder="1" applyAlignment="1">
      <alignment horizontal="right" vertical="center"/>
    </xf>
    <xf numFmtId="170" fontId="29" fillId="0" borderId="18" xfId="0" applyNumberFormat="1" applyFont="1" applyBorder="1" applyAlignment="1">
      <alignment horizontal="right" vertical="center"/>
    </xf>
    <xf numFmtId="171" fontId="29" fillId="0" borderId="16" xfId="0" applyNumberFormat="1" applyFont="1" applyBorder="1" applyAlignment="1">
      <alignment horizontal="right" vertical="center"/>
    </xf>
    <xf numFmtId="171" fontId="29" fillId="0" borderId="17" xfId="0" applyNumberFormat="1" applyFont="1" applyBorder="1" applyAlignment="1">
      <alignment horizontal="right" vertical="center"/>
    </xf>
    <xf numFmtId="171" fontId="29" fillId="0" borderId="18" xfId="0" applyNumberFormat="1" applyFont="1" applyBorder="1" applyAlignment="1">
      <alignment horizontal="right" vertical="center"/>
    </xf>
    <xf numFmtId="172" fontId="29" fillId="0" borderId="16" xfId="0" applyNumberFormat="1" applyFont="1" applyBorder="1" applyAlignment="1">
      <alignment horizontal="right" vertical="center"/>
    </xf>
    <xf numFmtId="172" fontId="29" fillId="0" borderId="17" xfId="0" applyNumberFormat="1" applyFont="1" applyBorder="1" applyAlignment="1">
      <alignment horizontal="right" vertical="center"/>
    </xf>
    <xf numFmtId="172" fontId="29" fillId="0" borderId="18" xfId="0" applyNumberFormat="1" applyFont="1" applyBorder="1" applyAlignment="1">
      <alignment horizontal="right" vertical="center"/>
    </xf>
    <xf numFmtId="173" fontId="29" fillId="0" borderId="16" xfId="0" applyNumberFormat="1" applyFont="1" applyBorder="1" applyAlignment="1">
      <alignment horizontal="right" vertical="center"/>
    </xf>
    <xf numFmtId="173" fontId="29" fillId="0" borderId="17" xfId="0" applyNumberFormat="1" applyFont="1" applyBorder="1" applyAlignment="1">
      <alignment horizontal="right" vertical="center"/>
    </xf>
    <xf numFmtId="173" fontId="29" fillId="0" borderId="18" xfId="0" applyNumberFormat="1" applyFont="1" applyBorder="1" applyAlignment="1">
      <alignment horizontal="right" vertical="center"/>
    </xf>
    <xf numFmtId="10" fontId="13" fillId="0" borderId="16" xfId="0" applyNumberFormat="1" applyFont="1" applyBorder="1" applyAlignment="1">
      <alignment horizontal="right" vertical="center"/>
    </xf>
    <xf numFmtId="10" fontId="13" fillId="0" borderId="17" xfId="0" applyNumberFormat="1" applyFont="1" applyBorder="1" applyAlignment="1">
      <alignment horizontal="right" vertical="center"/>
    </xf>
    <xf numFmtId="10" fontId="13" fillId="0" borderId="18" xfId="0" applyNumberFormat="1" applyFont="1" applyBorder="1" applyAlignment="1">
      <alignment horizontal="right" vertical="center"/>
    </xf>
    <xf numFmtId="10" fontId="13" fillId="0" borderId="11" xfId="0" applyNumberFormat="1" applyFont="1" applyBorder="1" applyAlignment="1">
      <alignment horizontal="right" vertical="center"/>
    </xf>
    <xf numFmtId="10" fontId="13" fillId="0" borderId="13" xfId="0" applyNumberFormat="1" applyFont="1" applyBorder="1" applyAlignment="1">
      <alignment horizontal="right" vertical="center"/>
    </xf>
    <xf numFmtId="10" fontId="13" fillId="0" borderId="15" xfId="0" applyNumberFormat="1" applyFont="1" applyBorder="1" applyAlignment="1">
      <alignment horizontal="right" vertical="center"/>
    </xf>
    <xf numFmtId="166" fontId="13" fillId="0" borderId="10" xfId="0" applyNumberFormat="1" applyFont="1" applyBorder="1" applyAlignment="1">
      <alignment horizontal="right" vertical="center"/>
    </xf>
    <xf numFmtId="166" fontId="13" fillId="0" borderId="12" xfId="0" applyNumberFormat="1" applyFont="1" applyBorder="1" applyAlignment="1">
      <alignment horizontal="right" vertical="center"/>
    </xf>
    <xf numFmtId="166" fontId="13" fillId="0" borderId="14" xfId="0" applyNumberFormat="1" applyFont="1" applyBorder="1" applyAlignment="1">
      <alignment horizontal="right" vertical="center"/>
    </xf>
    <xf numFmtId="166" fontId="13" fillId="0" borderId="16" xfId="0" applyNumberFormat="1" applyFont="1" applyBorder="1" applyAlignment="1">
      <alignment horizontal="right" vertical="center"/>
    </xf>
    <xf numFmtId="166" fontId="13" fillId="0" borderId="17" xfId="0" applyNumberFormat="1" applyFont="1" applyBorder="1" applyAlignment="1">
      <alignment horizontal="right" vertical="center"/>
    </xf>
    <xf numFmtId="166" fontId="13" fillId="0" borderId="18" xfId="0" applyNumberFormat="1" applyFont="1" applyBorder="1" applyAlignment="1">
      <alignment horizontal="right" vertical="center"/>
    </xf>
    <xf numFmtId="4" fontId="28" fillId="5" borderId="0" xfId="0" applyNumberFormat="1" applyFont="1" applyFill="1" applyBorder="1" applyAlignment="1">
      <alignment vertical="center"/>
    </xf>
    <xf numFmtId="3" fontId="28" fillId="5" borderId="0" xfId="0" applyNumberFormat="1" applyFont="1" applyFill="1" applyBorder="1" applyAlignment="1">
      <alignment vertical="center"/>
    </xf>
    <xf numFmtId="0" fontId="30" fillId="4" borderId="34" xfId="0" applyFont="1" applyFill="1" applyBorder="1" applyAlignment="1">
      <alignment horizontal="center" vertical="center"/>
    </xf>
    <xf numFmtId="0" fontId="30" fillId="4" borderId="36" xfId="0" applyFont="1" applyFill="1" applyBorder="1" applyAlignment="1">
      <alignment horizontal="center" vertical="center"/>
    </xf>
    <xf numFmtId="0" fontId="30" fillId="3" borderId="5" xfId="0" applyFont="1" applyFill="1" applyBorder="1" applyAlignment="1">
      <alignment horizontal="centerContinuous" vertical="center"/>
    </xf>
    <xf numFmtId="0" fontId="30" fillId="3" borderId="6" xfId="0" applyFont="1" applyFill="1" applyBorder="1" applyAlignment="1">
      <alignment horizontal="centerContinuous" vertical="center"/>
    </xf>
    <xf numFmtId="4" fontId="29" fillId="0" borderId="10" xfId="0" applyNumberFormat="1" applyFont="1" applyBorder="1" applyAlignment="1">
      <alignment horizontal="center" vertical="center"/>
    </xf>
    <xf numFmtId="4" fontId="29" fillId="0" borderId="11" xfId="0" applyNumberFormat="1" applyFont="1" applyBorder="1" applyAlignment="1">
      <alignment horizontal="center" vertical="center"/>
    </xf>
    <xf numFmtId="4" fontId="29" fillId="0" borderId="12" xfId="0" applyNumberFormat="1" applyFont="1" applyBorder="1" applyAlignment="1">
      <alignment horizontal="center" vertical="center"/>
    </xf>
    <xf numFmtId="4" fontId="29" fillId="0" borderId="13" xfId="0" applyNumberFormat="1" applyFont="1" applyBorder="1" applyAlignment="1">
      <alignment horizontal="center" vertical="center"/>
    </xf>
    <xf numFmtId="4" fontId="29" fillId="0" borderId="14" xfId="0" applyNumberFormat="1" applyFont="1" applyBorder="1" applyAlignment="1">
      <alignment horizontal="center" vertical="center"/>
    </xf>
    <xf numFmtId="4" fontId="29" fillId="0" borderId="15" xfId="0" applyNumberFormat="1" applyFont="1" applyBorder="1" applyAlignment="1">
      <alignment horizontal="center" vertical="center"/>
    </xf>
    <xf numFmtId="0" fontId="31" fillId="0" borderId="48" xfId="4" applyBorder="1" applyAlignment="1">
      <alignment horizontal="centerContinuous" vertical="center"/>
    </xf>
    <xf numFmtId="0" fontId="31" fillId="0" borderId="49" xfId="4" applyBorder="1" applyAlignment="1">
      <alignment horizontal="centerContinuous" vertical="center"/>
    </xf>
    <xf numFmtId="0" fontId="31" fillId="0" borderId="51" xfId="4" applyBorder="1" applyAlignment="1">
      <alignment horizontal="centerContinuous" vertical="center"/>
    </xf>
    <xf numFmtId="0" fontId="31" fillId="0" borderId="50" xfId="4" applyFill="1" applyBorder="1" applyAlignment="1">
      <alignment horizontal="centerContinuous"/>
    </xf>
    <xf numFmtId="0" fontId="31" fillId="0" borderId="51" xfId="4" applyFill="1" applyBorder="1" applyAlignment="1">
      <alignment horizontal="centerContinuous"/>
    </xf>
    <xf numFmtId="0" fontId="17" fillId="3" borderId="55" xfId="0" applyFont="1" applyFill="1" applyBorder="1" applyAlignment="1">
      <alignment horizontal="centerContinuous" vertical="center"/>
    </xf>
    <xf numFmtId="0" fontId="32" fillId="0" borderId="50" xfId="4" applyFont="1" applyFill="1" applyBorder="1" applyAlignment="1">
      <alignment horizontal="centerContinuous" vertical="center"/>
    </xf>
    <xf numFmtId="0" fontId="32" fillId="0" borderId="51" xfId="4" applyFont="1" applyFill="1" applyBorder="1" applyAlignment="1">
      <alignment horizontal="centerContinuous" vertical="center"/>
    </xf>
    <xf numFmtId="4" fontId="32" fillId="0" borderId="56" xfId="4" applyNumberFormat="1" applyFont="1" applyBorder="1" applyAlignment="1">
      <alignment horizontal="centerContinuous" vertical="center"/>
    </xf>
    <xf numFmtId="4" fontId="25" fillId="5" borderId="0" xfId="0" applyNumberFormat="1" applyFont="1" applyFill="1" applyBorder="1" applyAlignment="1">
      <alignment horizontal="left" vertical="center"/>
    </xf>
    <xf numFmtId="4" fontId="28" fillId="5" borderId="0" xfId="0" applyNumberFormat="1" applyFont="1" applyFill="1" applyBorder="1" applyAlignment="1">
      <alignment horizontal="left" vertical="center"/>
    </xf>
    <xf numFmtId="4" fontId="17" fillId="3" borderId="6" xfId="0" applyNumberFormat="1" applyFont="1" applyFill="1" applyBorder="1" applyAlignment="1">
      <alignment horizontal="centerContinuous" vertical="center"/>
    </xf>
    <xf numFmtId="4" fontId="17" fillId="4" borderId="36" xfId="0" applyNumberFormat="1" applyFont="1" applyFill="1" applyBorder="1" applyAlignment="1">
      <alignment horizontal="center" vertical="center"/>
    </xf>
    <xf numFmtId="4" fontId="12" fillId="0" borderId="10" xfId="0" applyNumberFormat="1" applyFont="1" applyBorder="1" applyAlignment="1">
      <alignment horizontal="center" vertical="center"/>
    </xf>
    <xf numFmtId="4" fontId="12" fillId="0" borderId="11" xfId="0" applyNumberFormat="1" applyFont="1" applyBorder="1" applyAlignment="1">
      <alignment horizontal="center" vertical="center"/>
    </xf>
    <xf numFmtId="4" fontId="12" fillId="0" borderId="12" xfId="0" applyNumberFormat="1" applyFont="1" applyBorder="1" applyAlignment="1">
      <alignment horizontal="center" vertical="center"/>
    </xf>
    <xf numFmtId="4" fontId="12" fillId="0" borderId="13" xfId="0" applyNumberFormat="1" applyFont="1" applyBorder="1" applyAlignment="1">
      <alignment horizontal="center" vertical="center"/>
    </xf>
    <xf numFmtId="4" fontId="12" fillId="0" borderId="14" xfId="0" applyNumberFormat="1" applyFont="1" applyBorder="1" applyAlignment="1">
      <alignment horizontal="center" vertical="center"/>
    </xf>
    <xf numFmtId="4" fontId="12" fillId="0" borderId="15" xfId="0" applyNumberFormat="1" applyFont="1" applyBorder="1" applyAlignment="1">
      <alignment horizontal="center" vertical="center"/>
    </xf>
    <xf numFmtId="15" fontId="0" fillId="0" borderId="0" xfId="0" applyNumberFormat="1"/>
    <xf numFmtId="0" fontId="23" fillId="0" borderId="48" xfId="0" applyFont="1" applyBorder="1"/>
    <xf numFmtId="0" fontId="0" fillId="0" borderId="51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0" borderId="47" xfId="0" applyBorder="1" applyAlignment="1">
      <alignment horizontal="left"/>
    </xf>
    <xf numFmtId="0" fontId="0" fillId="0" borderId="49" xfId="0" applyBorder="1" applyAlignment="1">
      <alignment horizontal="left"/>
    </xf>
    <xf numFmtId="0" fontId="0" fillId="0" borderId="51" xfId="0" applyBorder="1" applyAlignment="1">
      <alignment horizontal="right"/>
    </xf>
    <xf numFmtId="0" fontId="0" fillId="0" borderId="49" xfId="0" applyBorder="1" applyAlignment="1">
      <alignment horizontal="right"/>
    </xf>
    <xf numFmtId="170" fontId="28" fillId="5" borderId="17" xfId="0" applyNumberFormat="1" applyFont="1" applyFill="1" applyBorder="1" applyAlignment="1">
      <alignment horizontal="right" vertical="center"/>
    </xf>
    <xf numFmtId="171" fontId="28" fillId="5" borderId="17" xfId="0" applyNumberFormat="1" applyFont="1" applyFill="1" applyBorder="1" applyAlignment="1">
      <alignment horizontal="right" vertical="center"/>
    </xf>
    <xf numFmtId="172" fontId="28" fillId="5" borderId="17" xfId="0" applyNumberFormat="1" applyFont="1" applyFill="1" applyBorder="1" applyAlignment="1">
      <alignment horizontal="right" vertical="center"/>
    </xf>
    <xf numFmtId="173" fontId="28" fillId="5" borderId="17" xfId="0" applyNumberFormat="1" applyFont="1" applyFill="1" applyBorder="1" applyAlignment="1">
      <alignment horizontal="right" vertical="center"/>
    </xf>
    <xf numFmtId="10" fontId="28" fillId="5" borderId="17" xfId="0" applyNumberFormat="1" applyFont="1" applyFill="1" applyBorder="1" applyAlignment="1">
      <alignment horizontal="right" vertical="center"/>
    </xf>
    <xf numFmtId="10" fontId="28" fillId="5" borderId="18" xfId="0" applyNumberFormat="1" applyFont="1" applyFill="1" applyBorder="1" applyAlignment="1">
      <alignment horizontal="right" vertical="center"/>
    </xf>
    <xf numFmtId="10" fontId="28" fillId="5" borderId="13" xfId="0" applyNumberFormat="1" applyFont="1" applyFill="1" applyBorder="1" applyAlignment="1">
      <alignment horizontal="right" vertical="center"/>
    </xf>
    <xf numFmtId="10" fontId="28" fillId="5" borderId="15" xfId="0" applyNumberFormat="1" applyFont="1" applyFill="1" applyBorder="1" applyAlignment="1">
      <alignment horizontal="right" vertical="center"/>
    </xf>
    <xf numFmtId="166" fontId="28" fillId="5" borderId="10" xfId="0" applyNumberFormat="1" applyFont="1" applyFill="1" applyBorder="1" applyAlignment="1">
      <alignment horizontal="right" vertical="center"/>
    </xf>
    <xf numFmtId="166" fontId="28" fillId="5" borderId="12" xfId="0" applyNumberFormat="1" applyFont="1" applyFill="1" applyBorder="1" applyAlignment="1">
      <alignment horizontal="right" vertical="center"/>
    </xf>
    <xf numFmtId="166" fontId="28" fillId="5" borderId="16" xfId="0" applyNumberFormat="1" applyFont="1" applyFill="1" applyBorder="1" applyAlignment="1">
      <alignment horizontal="right" vertical="center"/>
    </xf>
    <xf numFmtId="166" fontId="28" fillId="5" borderId="17" xfId="0" applyNumberFormat="1" applyFont="1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" fontId="30" fillId="4" borderId="58" xfId="0" applyNumberFormat="1" applyFont="1" applyFill="1" applyBorder="1" applyAlignment="1">
      <alignment horizontal="center" vertical="center"/>
    </xf>
    <xf numFmtId="4" fontId="30" fillId="4" borderId="59" xfId="0" applyNumberFormat="1" applyFont="1" applyFill="1" applyBorder="1" applyAlignment="1">
      <alignment horizontal="center" vertical="center"/>
    </xf>
    <xf numFmtId="4" fontId="30" fillId="4" borderId="60" xfId="0" applyNumberFormat="1" applyFont="1" applyFill="1" applyBorder="1" applyAlignment="1">
      <alignment horizontal="center" vertical="center"/>
    </xf>
    <xf numFmtId="170" fontId="28" fillId="5" borderId="12" xfId="0" applyNumberFormat="1" applyFont="1" applyFill="1" applyBorder="1" applyAlignment="1">
      <alignment horizontal="right" vertical="center"/>
    </xf>
    <xf numFmtId="170" fontId="28" fillId="5" borderId="13" xfId="0" applyNumberFormat="1" applyFont="1" applyFill="1" applyBorder="1" applyAlignment="1">
      <alignment horizontal="right" vertical="center"/>
    </xf>
    <xf numFmtId="171" fontId="28" fillId="5" borderId="12" xfId="0" applyNumberFormat="1" applyFont="1" applyFill="1" applyBorder="1" applyAlignment="1">
      <alignment horizontal="right" vertical="center"/>
    </xf>
    <xf numFmtId="171" fontId="28" fillId="5" borderId="13" xfId="0" applyNumberFormat="1" applyFont="1" applyFill="1" applyBorder="1" applyAlignment="1">
      <alignment horizontal="right" vertical="center"/>
    </xf>
    <xf numFmtId="172" fontId="28" fillId="5" borderId="12" xfId="0" applyNumberFormat="1" applyFont="1" applyFill="1" applyBorder="1" applyAlignment="1">
      <alignment horizontal="right" vertical="center"/>
    </xf>
    <xf numFmtId="172" fontId="28" fillId="5" borderId="13" xfId="0" applyNumberFormat="1" applyFont="1" applyFill="1" applyBorder="1" applyAlignment="1">
      <alignment horizontal="right" vertical="center"/>
    </xf>
    <xf numFmtId="173" fontId="28" fillId="5" borderId="12" xfId="0" applyNumberFormat="1" applyFont="1" applyFill="1" applyBorder="1" applyAlignment="1">
      <alignment horizontal="right" vertical="center"/>
    </xf>
    <xf numFmtId="173" fontId="28" fillId="5" borderId="13" xfId="0" applyNumberFormat="1" applyFont="1" applyFill="1" applyBorder="1" applyAlignment="1">
      <alignment horizontal="right" vertical="center"/>
    </xf>
    <xf numFmtId="10" fontId="28" fillId="5" borderId="12" xfId="0" applyNumberFormat="1" applyFont="1" applyFill="1" applyBorder="1" applyAlignment="1">
      <alignment horizontal="right" vertical="center"/>
    </xf>
    <xf numFmtId="10" fontId="28" fillId="5" borderId="14" xfId="0" applyNumberFormat="1" applyFont="1" applyFill="1" applyBorder="1" applyAlignment="1">
      <alignment horizontal="right" vertical="center"/>
    </xf>
    <xf numFmtId="166" fontId="28" fillId="5" borderId="11" xfId="0" applyNumberFormat="1" applyFont="1" applyFill="1" applyBorder="1" applyAlignment="1">
      <alignment horizontal="right" vertical="center"/>
    </xf>
    <xf numFmtId="166" fontId="28" fillId="5" borderId="13" xfId="0" applyNumberFormat="1" applyFont="1" applyFill="1" applyBorder="1" applyAlignment="1">
      <alignment horizontal="right" vertical="center"/>
    </xf>
    <xf numFmtId="0" fontId="23" fillId="0" borderId="0" xfId="0" applyFont="1" applyAlignment="1">
      <alignment horizontal="center"/>
    </xf>
    <xf numFmtId="0" fontId="23" fillId="0" borderId="0" xfId="0" applyFont="1" applyAlignment="1">
      <alignment horizontal="center" vertical="center"/>
    </xf>
    <xf numFmtId="166" fontId="16" fillId="6" borderId="12" xfId="0" applyNumberFormat="1" applyFont="1" applyFill="1" applyBorder="1" applyAlignment="1">
      <alignment horizontal="right" vertical="center"/>
    </xf>
    <xf numFmtId="167" fontId="16" fillId="6" borderId="17" xfId="0" applyNumberFormat="1" applyFont="1" applyFill="1" applyBorder="1" applyAlignment="1">
      <alignment horizontal="right" vertical="center"/>
    </xf>
    <xf numFmtId="167" fontId="16" fillId="0" borderId="16" xfId="0" applyNumberFormat="1" applyFont="1" applyBorder="1" applyAlignment="1">
      <alignment horizontal="center" vertical="center"/>
    </xf>
    <xf numFmtId="0" fontId="17" fillId="4" borderId="35" xfId="0" applyFont="1" applyFill="1" applyBorder="1" applyAlignment="1">
      <alignment horizontal="centerContinuous" vertical="center"/>
    </xf>
    <xf numFmtId="0" fontId="17" fillId="4" borderId="36" xfId="0" applyFont="1" applyFill="1" applyBorder="1" applyAlignment="1">
      <alignment horizontal="centerContinuous" vertical="center"/>
    </xf>
    <xf numFmtId="167" fontId="16" fillId="0" borderId="61" xfId="0" applyNumberFormat="1" applyFont="1" applyBorder="1" applyAlignment="1">
      <alignment horizontal="center" vertical="center"/>
    </xf>
    <xf numFmtId="0" fontId="17" fillId="4" borderId="34" xfId="0" applyFont="1" applyFill="1" applyBorder="1" applyAlignment="1">
      <alignment horizontal="centerContinuous" vertical="center"/>
    </xf>
    <xf numFmtId="0" fontId="17" fillId="4" borderId="5" xfId="0" applyFont="1" applyFill="1" applyBorder="1" applyAlignment="1">
      <alignment horizontal="center" vertical="center"/>
    </xf>
    <xf numFmtId="4" fontId="33" fillId="7" borderId="50" xfId="0" applyNumberFormat="1" applyFont="1" applyFill="1" applyBorder="1" applyAlignment="1">
      <alignment horizontal="center" vertical="center"/>
    </xf>
    <xf numFmtId="4" fontId="33" fillId="7" borderId="62" xfId="0" applyNumberFormat="1" applyFont="1" applyFill="1" applyBorder="1" applyAlignment="1">
      <alignment horizontal="center" vertical="center"/>
    </xf>
    <xf numFmtId="4" fontId="33" fillId="7" borderId="63" xfId="0" applyNumberFormat="1" applyFont="1" applyFill="1" applyBorder="1" applyAlignment="1">
      <alignment horizontal="center" vertical="center"/>
    </xf>
    <xf numFmtId="4" fontId="33" fillId="7" borderId="64" xfId="0" applyNumberFormat="1" applyFont="1" applyFill="1" applyBorder="1" applyAlignment="1">
      <alignment horizontal="center" vertical="center"/>
    </xf>
    <xf numFmtId="169" fontId="16" fillId="0" borderId="61" xfId="0" applyNumberFormat="1" applyFont="1" applyBorder="1" applyAlignment="1">
      <alignment horizontal="right" vertical="center"/>
    </xf>
    <xf numFmtId="169" fontId="16" fillId="0" borderId="17" xfId="0" applyNumberFormat="1" applyFont="1" applyBorder="1" applyAlignment="1">
      <alignment horizontal="right" vertical="center"/>
    </xf>
    <xf numFmtId="169" fontId="16" fillId="0" borderId="18" xfId="0" applyNumberFormat="1" applyFont="1" applyBorder="1" applyAlignment="1">
      <alignment horizontal="right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4" fontId="17" fillId="4" borderId="21" xfId="0" applyNumberFormat="1" applyFont="1" applyFill="1" applyBorder="1" applyAlignment="1">
      <alignment horizontal="center" vertical="center"/>
    </xf>
    <xf numFmtId="4" fontId="17" fillId="4" borderId="22" xfId="0" applyNumberFormat="1" applyFont="1" applyFill="1" applyBorder="1" applyAlignment="1">
      <alignment horizontal="center" vertical="center"/>
    </xf>
    <xf numFmtId="4" fontId="17" fillId="4" borderId="23" xfId="0" applyNumberFormat="1" applyFont="1" applyFill="1" applyBorder="1" applyAlignment="1">
      <alignment horizontal="center" vertical="center"/>
    </xf>
    <xf numFmtId="0" fontId="31" fillId="0" borderId="0" xfId="4" applyAlignment="1">
      <alignment horizontal="center"/>
    </xf>
    <xf numFmtId="0" fontId="31" fillId="8" borderId="0" xfId="4" applyFill="1" applyBorder="1" applyAlignment="1">
      <alignment horizontal="centerContinuous" vertical="center"/>
    </xf>
    <xf numFmtId="0" fontId="17" fillId="3" borderId="65" xfId="0" applyFont="1" applyFill="1" applyBorder="1" applyAlignment="1">
      <alignment horizontal="centerContinuous" vertical="center"/>
    </xf>
    <xf numFmtId="0" fontId="34" fillId="3" borderId="66" xfId="0" applyFont="1" applyFill="1" applyBorder="1" applyAlignment="1">
      <alignment horizontal="center" vertical="center"/>
    </xf>
    <xf numFmtId="0" fontId="17" fillId="3" borderId="67" xfId="0" applyFont="1" applyFill="1" applyBorder="1" applyAlignment="1">
      <alignment horizontal="centerContinuous" vertical="center"/>
    </xf>
    <xf numFmtId="0" fontId="17" fillId="3" borderId="51" xfId="0" applyFont="1" applyFill="1" applyBorder="1" applyAlignment="1">
      <alignment horizontal="centerContinuous" vertical="center"/>
    </xf>
    <xf numFmtId="4" fontId="29" fillId="0" borderId="18" xfId="0" applyNumberFormat="1" applyFont="1" applyBorder="1" applyAlignment="1">
      <alignment horizontal="center" vertical="center"/>
    </xf>
    <xf numFmtId="0" fontId="30" fillId="3" borderId="7" xfId="0" applyFont="1" applyFill="1" applyBorder="1" applyAlignment="1">
      <alignment horizontal="centerContinuous" vertical="center"/>
    </xf>
    <xf numFmtId="4" fontId="28" fillId="5" borderId="10" xfId="0" applyNumberFormat="1" applyFont="1" applyFill="1" applyBorder="1" applyAlignment="1">
      <alignment horizontal="center" vertical="center"/>
    </xf>
    <xf numFmtId="4" fontId="28" fillId="5" borderId="16" xfId="0" applyNumberFormat="1" applyFont="1" applyFill="1" applyBorder="1" applyAlignment="1">
      <alignment horizontal="center" vertical="center"/>
    </xf>
    <xf numFmtId="4" fontId="28" fillId="5" borderId="11" xfId="0" applyNumberFormat="1" applyFont="1" applyFill="1" applyBorder="1" applyAlignment="1">
      <alignment horizontal="center" vertical="center"/>
    </xf>
    <xf numFmtId="4" fontId="28" fillId="5" borderId="14" xfId="0" applyNumberFormat="1" applyFont="1" applyFill="1" applyBorder="1" applyAlignment="1">
      <alignment horizontal="center" vertical="center"/>
    </xf>
    <xf numFmtId="4" fontId="28" fillId="5" borderId="18" xfId="0" applyNumberFormat="1" applyFont="1" applyFill="1" applyBorder="1" applyAlignment="1">
      <alignment horizontal="center" vertical="center"/>
    </xf>
    <xf numFmtId="4" fontId="28" fillId="5" borderId="15" xfId="0" applyNumberFormat="1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Continuous" vertical="center"/>
    </xf>
    <xf numFmtId="0" fontId="34" fillId="3" borderId="19" xfId="0" applyFont="1" applyFill="1" applyBorder="1" applyAlignment="1">
      <alignment horizontal="centerContinuous" vertical="center"/>
    </xf>
    <xf numFmtId="0" fontId="34" fillId="3" borderId="20" xfId="0" applyFont="1" applyFill="1" applyBorder="1" applyAlignment="1">
      <alignment horizontal="centerContinuous" vertical="center"/>
    </xf>
    <xf numFmtId="0" fontId="31" fillId="0" borderId="0" xfId="4" applyAlignment="1">
      <alignment horizontal="centerContinuous"/>
    </xf>
    <xf numFmtId="0" fontId="0" fillId="0" borderId="68" xfId="0" applyBorder="1"/>
    <xf numFmtId="0" fontId="0" fillId="0" borderId="69" xfId="0" applyBorder="1"/>
    <xf numFmtId="166" fontId="11" fillId="0" borderId="10" xfId="0" applyNumberFormat="1" applyFont="1" applyBorder="1" applyAlignment="1">
      <alignment horizontal="right" vertical="center"/>
    </xf>
    <xf numFmtId="166" fontId="11" fillId="0" borderId="12" xfId="0" applyNumberFormat="1" applyFont="1" applyBorder="1" applyAlignment="1">
      <alignment horizontal="right" vertical="center"/>
    </xf>
    <xf numFmtId="4" fontId="11" fillId="0" borderId="11" xfId="0" applyNumberFormat="1" applyFont="1" applyBorder="1" applyAlignment="1">
      <alignment horizontal="center" vertical="center"/>
    </xf>
    <xf numFmtId="4" fontId="11" fillId="0" borderId="13" xfId="0" applyNumberFormat="1" applyFont="1" applyBorder="1" applyAlignment="1">
      <alignment horizontal="center" vertical="center"/>
    </xf>
    <xf numFmtId="4" fontId="11" fillId="0" borderId="15" xfId="0" applyNumberFormat="1" applyFont="1" applyBorder="1" applyAlignment="1">
      <alignment horizontal="center" vertical="center"/>
    </xf>
    <xf numFmtId="166" fontId="11" fillId="0" borderId="14" xfId="0" applyNumberFormat="1" applyFont="1" applyBorder="1" applyAlignment="1">
      <alignment horizontal="right" vertical="center"/>
    </xf>
    <xf numFmtId="0" fontId="19" fillId="0" borderId="4" xfId="0" applyFont="1" applyBorder="1" applyAlignment="1">
      <alignment horizontal="centerContinuous" vertical="center"/>
    </xf>
    <xf numFmtId="0" fontId="0" fillId="0" borderId="3" xfId="0" applyBorder="1" applyAlignment="1">
      <alignment horizontal="centerContinuous" vertical="center"/>
    </xf>
    <xf numFmtId="0" fontId="10" fillId="0" borderId="0" xfId="0" applyFont="1"/>
    <xf numFmtId="0" fontId="9" fillId="0" borderId="0" xfId="0" applyFont="1"/>
    <xf numFmtId="166" fontId="9" fillId="0" borderId="0" xfId="0" applyNumberFormat="1" applyFont="1" applyAlignment="1">
      <alignment horizontal="right"/>
    </xf>
    <xf numFmtId="166" fontId="8" fillId="0" borderId="0" xfId="0" applyNumberFormat="1" applyFont="1" applyAlignment="1">
      <alignment horizontal="right"/>
    </xf>
    <xf numFmtId="0" fontId="7" fillId="0" borderId="0" xfId="0" applyFont="1"/>
    <xf numFmtId="166" fontId="7" fillId="0" borderId="0" xfId="0" applyNumberFormat="1" applyFont="1" applyAlignment="1">
      <alignment horizontal="right"/>
    </xf>
    <xf numFmtId="4" fontId="6" fillId="0" borderId="10" xfId="0" applyNumberFormat="1" applyFont="1" applyBorder="1" applyAlignment="1">
      <alignment horizontal="center" vertical="center"/>
    </xf>
    <xf numFmtId="4" fontId="6" fillId="0" borderId="11" xfId="0" applyNumberFormat="1" applyFont="1" applyBorder="1" applyAlignment="1">
      <alignment horizontal="center" vertical="center"/>
    </xf>
    <xf numFmtId="4" fontId="6" fillId="0" borderId="14" xfId="0" applyNumberFormat="1" applyFont="1" applyBorder="1" applyAlignment="1">
      <alignment horizontal="center" vertical="center"/>
    </xf>
    <xf numFmtId="4" fontId="6" fillId="0" borderId="15" xfId="0" applyNumberFormat="1" applyFont="1" applyBorder="1" applyAlignment="1">
      <alignment horizontal="center" vertical="center"/>
    </xf>
    <xf numFmtId="166" fontId="6" fillId="0" borderId="11" xfId="0" applyNumberFormat="1" applyFont="1" applyBorder="1" applyAlignment="1">
      <alignment horizontal="center" vertical="center"/>
    </xf>
    <xf numFmtId="4" fontId="6" fillId="0" borderId="13" xfId="0" applyNumberFormat="1" applyFont="1" applyBorder="1" applyAlignment="1">
      <alignment horizontal="center" vertical="center"/>
    </xf>
    <xf numFmtId="10" fontId="6" fillId="0" borderId="16" xfId="0" applyNumberFormat="1" applyFont="1" applyBorder="1" applyAlignment="1">
      <alignment horizontal="right" vertical="center"/>
    </xf>
    <xf numFmtId="10" fontId="6" fillId="0" borderId="17" xfId="0" applyNumberFormat="1" applyFont="1" applyBorder="1" applyAlignment="1">
      <alignment horizontal="right" vertical="center"/>
    </xf>
    <xf numFmtId="10" fontId="6" fillId="0" borderId="18" xfId="0" applyNumberFormat="1" applyFont="1" applyBorder="1" applyAlignment="1">
      <alignment horizontal="right" vertical="center"/>
    </xf>
    <xf numFmtId="4" fontId="6" fillId="0" borderId="21" xfId="0" applyNumberFormat="1" applyFont="1" applyBorder="1" applyAlignment="1">
      <alignment horizontal="center" vertical="center"/>
    </xf>
    <xf numFmtId="4" fontId="6" fillId="0" borderId="23" xfId="0" applyNumberFormat="1" applyFont="1" applyBorder="1" applyAlignment="1">
      <alignment horizontal="center" vertical="center"/>
    </xf>
    <xf numFmtId="10" fontId="6" fillId="0" borderId="22" xfId="0" applyNumberFormat="1" applyFont="1" applyBorder="1" applyAlignment="1">
      <alignment horizontal="right" vertical="center"/>
    </xf>
    <xf numFmtId="166" fontId="6" fillId="0" borderId="10" xfId="0" applyNumberFormat="1" applyFont="1" applyBorder="1" applyAlignment="1">
      <alignment horizontal="right" vertical="center"/>
    </xf>
    <xf numFmtId="166" fontId="6" fillId="0" borderId="12" xfId="0" applyNumberFormat="1" applyFont="1" applyBorder="1" applyAlignment="1">
      <alignment horizontal="right" vertical="center"/>
    </xf>
    <xf numFmtId="166" fontId="6" fillId="0" borderId="14" xfId="0" applyNumberFormat="1" applyFont="1" applyBorder="1" applyAlignment="1">
      <alignment horizontal="right" vertical="center"/>
    </xf>
    <xf numFmtId="0" fontId="30" fillId="3" borderId="5" xfId="2" applyFont="1" applyFill="1" applyBorder="1" applyAlignment="1">
      <alignment horizontal="centerContinuous" vertical="center"/>
    </xf>
    <xf numFmtId="0" fontId="30" fillId="3" borderId="7" xfId="2" applyFont="1" applyFill="1" applyBorder="1" applyAlignment="1">
      <alignment horizontal="centerContinuous" vertical="center"/>
    </xf>
    <xf numFmtId="0" fontId="30" fillId="3" borderId="6" xfId="2" applyFont="1" applyFill="1" applyBorder="1" applyAlignment="1">
      <alignment horizontal="centerContinuous" vertical="center"/>
    </xf>
    <xf numFmtId="0" fontId="0" fillId="0" borderId="0" xfId="0" applyAlignment="1">
      <alignment horizontal="centerContinuous"/>
    </xf>
    <xf numFmtId="0" fontId="17" fillId="4" borderId="70" xfId="0" applyFont="1" applyFill="1" applyBorder="1" applyAlignment="1">
      <alignment horizontal="centerContinuous" vertical="center"/>
    </xf>
    <xf numFmtId="0" fontId="17" fillId="4" borderId="71" xfId="0" applyFont="1" applyFill="1" applyBorder="1" applyAlignment="1">
      <alignment horizontal="centerContinuous" vertical="center"/>
    </xf>
    <xf numFmtId="0" fontId="17" fillId="4" borderId="72" xfId="0" applyFont="1" applyFill="1" applyBorder="1" applyAlignment="1">
      <alignment horizontal="centerContinuous" vertical="center"/>
    </xf>
    <xf numFmtId="167" fontId="6" fillId="0" borderId="16" xfId="0" applyNumberFormat="1" applyFont="1" applyBorder="1" applyAlignment="1">
      <alignment horizontal="center" vertical="center"/>
    </xf>
    <xf numFmtId="167" fontId="6" fillId="0" borderId="17" xfId="0" applyNumberFormat="1" applyFont="1" applyBorder="1" applyAlignment="1">
      <alignment horizontal="center" vertical="center"/>
    </xf>
    <xf numFmtId="167" fontId="6" fillId="0" borderId="18" xfId="0" applyNumberFormat="1" applyFont="1" applyBorder="1" applyAlignment="1">
      <alignment horizontal="center" vertical="center"/>
    </xf>
    <xf numFmtId="166" fontId="6" fillId="0" borderId="13" xfId="0" applyNumberFormat="1" applyFont="1" applyBorder="1" applyAlignment="1">
      <alignment horizontal="center" vertical="center"/>
    </xf>
    <xf numFmtId="175" fontId="0" fillId="0" borderId="0" xfId="0" applyNumberFormat="1"/>
    <xf numFmtId="10" fontId="5" fillId="0" borderId="17" xfId="0" applyNumberFormat="1" applyFont="1" applyBorder="1" applyAlignment="1">
      <alignment horizontal="right" vertical="center"/>
    </xf>
    <xf numFmtId="4" fontId="5" fillId="0" borderId="13" xfId="0" applyNumberFormat="1" applyFont="1" applyBorder="1" applyAlignment="1">
      <alignment horizontal="center" vertical="center"/>
    </xf>
    <xf numFmtId="10" fontId="5" fillId="0" borderId="18" xfId="0" applyNumberFormat="1" applyFont="1" applyBorder="1" applyAlignment="1">
      <alignment horizontal="right" vertical="center"/>
    </xf>
    <xf numFmtId="4" fontId="5" fillId="0" borderId="15" xfId="0" applyNumberFormat="1" applyFont="1" applyBorder="1" applyAlignment="1">
      <alignment horizontal="center" vertical="center"/>
    </xf>
    <xf numFmtId="4" fontId="5" fillId="0" borderId="11" xfId="0" applyNumberFormat="1" applyFont="1" applyBorder="1" applyAlignment="1">
      <alignment horizontal="center" vertical="center"/>
    </xf>
    <xf numFmtId="10" fontId="5" fillId="0" borderId="16" xfId="0" applyNumberFormat="1" applyFont="1" applyBorder="1" applyAlignment="1">
      <alignment horizontal="right" vertical="center"/>
    </xf>
    <xf numFmtId="4" fontId="6" fillId="0" borderId="73" xfId="0" applyNumberFormat="1" applyFont="1" applyBorder="1" applyAlignment="1">
      <alignment horizontal="center" vertical="center"/>
    </xf>
    <xf numFmtId="10" fontId="6" fillId="0" borderId="74" xfId="0" applyNumberFormat="1" applyFont="1" applyBorder="1" applyAlignment="1">
      <alignment horizontal="right" vertical="center"/>
    </xf>
    <xf numFmtId="4" fontId="6" fillId="0" borderId="75" xfId="0" applyNumberFormat="1" applyFont="1" applyBorder="1" applyAlignment="1">
      <alignment horizontal="center" vertical="center"/>
    </xf>
    <xf numFmtId="4" fontId="6" fillId="0" borderId="76" xfId="0" applyNumberFormat="1" applyFont="1" applyBorder="1" applyAlignment="1">
      <alignment horizontal="center" vertical="center"/>
    </xf>
    <xf numFmtId="4" fontId="6" fillId="0" borderId="77" xfId="0" applyNumberFormat="1" applyFont="1" applyBorder="1" applyAlignment="1">
      <alignment horizontal="center" vertical="center"/>
    </xf>
    <xf numFmtId="4" fontId="6" fillId="0" borderId="78" xfId="0" applyNumberFormat="1" applyFont="1" applyBorder="1" applyAlignment="1">
      <alignment horizontal="center" vertical="center"/>
    </xf>
    <xf numFmtId="10" fontId="6" fillId="0" borderId="79" xfId="0" applyNumberFormat="1" applyFont="1" applyBorder="1" applyAlignment="1">
      <alignment horizontal="right" vertical="center"/>
    </xf>
    <xf numFmtId="4" fontId="6" fillId="0" borderId="80" xfId="0" applyNumberFormat="1" applyFont="1" applyBorder="1" applyAlignment="1">
      <alignment horizontal="center" vertical="center"/>
    </xf>
    <xf numFmtId="0" fontId="38" fillId="0" borderId="0" xfId="0" applyFont="1"/>
    <xf numFmtId="4" fontId="4" fillId="0" borderId="10" xfId="0" applyNumberFormat="1" applyFont="1" applyBorder="1" applyAlignment="1">
      <alignment horizontal="center" vertical="center"/>
    </xf>
    <xf numFmtId="4" fontId="4" fillId="0" borderId="12" xfId="0" applyNumberFormat="1" applyFont="1" applyBorder="1" applyAlignment="1">
      <alignment horizontal="center" vertical="center"/>
    </xf>
    <xf numFmtId="4" fontId="4" fillId="0" borderId="14" xfId="0" applyNumberFormat="1" applyFont="1" applyBorder="1" applyAlignment="1">
      <alignment horizontal="center" vertical="center"/>
    </xf>
    <xf numFmtId="4" fontId="3" fillId="0" borderId="10" xfId="0" applyNumberFormat="1" applyFont="1" applyBorder="1" applyAlignment="1">
      <alignment horizontal="center" vertical="center"/>
    </xf>
    <xf numFmtId="4" fontId="3" fillId="0" borderId="12" xfId="0" applyNumberFormat="1" applyFont="1" applyBorder="1" applyAlignment="1">
      <alignment horizontal="center" vertical="center"/>
    </xf>
    <xf numFmtId="4" fontId="3" fillId="0" borderId="14" xfId="0" applyNumberFormat="1" applyFont="1" applyBorder="1" applyAlignment="1">
      <alignment horizontal="center" vertical="center"/>
    </xf>
    <xf numFmtId="0" fontId="19" fillId="0" borderId="4" xfId="0" quotePrefix="1" applyFont="1" applyBorder="1" applyAlignment="1">
      <alignment horizontal="centerContinuous" vertical="center"/>
    </xf>
    <xf numFmtId="4" fontId="3" fillId="0" borderId="15" xfId="0" applyNumberFormat="1" applyFont="1" applyBorder="1" applyAlignment="1">
      <alignment horizontal="center" vertical="center"/>
    </xf>
    <xf numFmtId="4" fontId="3" fillId="0" borderId="8" xfId="0" applyNumberFormat="1" applyFont="1" applyFill="1" applyBorder="1" applyAlignment="1">
      <alignment horizontal="center" vertical="center"/>
    </xf>
    <xf numFmtId="0" fontId="0" fillId="0" borderId="4" xfId="0" applyBorder="1" applyAlignment="1">
      <alignment horizontal="left" vertical="center"/>
    </xf>
    <xf numFmtId="166" fontId="2" fillId="0" borderId="10" xfId="0" applyNumberFormat="1" applyFont="1" applyBorder="1" applyAlignment="1">
      <alignment horizontal="right" vertical="center"/>
    </xf>
    <xf numFmtId="166" fontId="2" fillId="0" borderId="12" xfId="0" applyNumberFormat="1" applyFont="1" applyBorder="1" applyAlignment="1">
      <alignment horizontal="right" vertical="center"/>
    </xf>
    <xf numFmtId="4" fontId="2" fillId="0" borderId="11" xfId="0" applyNumberFormat="1" applyFont="1" applyBorder="1" applyAlignment="1">
      <alignment horizontal="center" vertical="center"/>
    </xf>
    <xf numFmtId="4" fontId="2" fillId="0" borderId="13" xfId="0" applyNumberFormat="1" applyFont="1" applyBorder="1" applyAlignment="1">
      <alignment horizontal="center" vertical="center"/>
    </xf>
    <xf numFmtId="4" fontId="2" fillId="0" borderId="15" xfId="0" applyNumberFormat="1" applyFont="1" applyBorder="1" applyAlignment="1">
      <alignment horizontal="center" vertical="center"/>
    </xf>
    <xf numFmtId="174" fontId="31" fillId="0" borderId="0" xfId="4" applyNumberFormat="1"/>
    <xf numFmtId="166" fontId="0" fillId="0" borderId="0" xfId="0" applyNumberFormat="1" applyAlignment="1">
      <alignment horizontal="center"/>
    </xf>
    <xf numFmtId="4" fontId="1" fillId="0" borderId="12" xfId="0" applyNumberFormat="1" applyFont="1" applyBorder="1" applyAlignment="1">
      <alignment horizontal="center" vertical="center"/>
    </xf>
    <xf numFmtId="4" fontId="1" fillId="0" borderId="14" xfId="0" applyNumberFormat="1" applyFont="1" applyBorder="1" applyAlignment="1">
      <alignment horizontal="center" vertical="center"/>
    </xf>
    <xf numFmtId="4" fontId="1" fillId="0" borderId="10" xfId="0" applyNumberFormat="1" applyFont="1" applyBorder="1" applyAlignment="1">
      <alignment horizontal="center" vertical="center"/>
    </xf>
    <xf numFmtId="4" fontId="1" fillId="0" borderId="13" xfId="0" applyNumberFormat="1" applyFont="1" applyBorder="1" applyAlignment="1">
      <alignment horizontal="center" vertical="center"/>
    </xf>
    <xf numFmtId="15" fontId="1" fillId="0" borderId="11" xfId="0" applyNumberFormat="1" applyFont="1" applyBorder="1" applyAlignment="1">
      <alignment horizontal="center" vertical="center"/>
    </xf>
    <xf numFmtId="176" fontId="2" fillId="0" borderId="16" xfId="0" applyNumberFormat="1" applyFont="1" applyBorder="1" applyAlignment="1">
      <alignment horizontal="center" vertical="center"/>
    </xf>
    <xf numFmtId="176" fontId="2" fillId="0" borderId="17" xfId="0" applyNumberFormat="1" applyFont="1" applyBorder="1" applyAlignment="1">
      <alignment horizontal="center" vertical="center"/>
    </xf>
    <xf numFmtId="177" fontId="0" fillId="0" borderId="0" xfId="0" applyNumberFormat="1"/>
    <xf numFmtId="169" fontId="11" fillId="0" borderId="16" xfId="0" applyNumberFormat="1" applyFont="1" applyBorder="1" applyAlignment="1">
      <alignment horizontal="right" vertical="center"/>
    </xf>
    <xf numFmtId="169" fontId="11" fillId="0" borderId="17" xfId="0" applyNumberFormat="1" applyFont="1" applyBorder="1" applyAlignment="1">
      <alignment horizontal="right" vertical="center"/>
    </xf>
    <xf numFmtId="169" fontId="11" fillId="0" borderId="18" xfId="0" applyNumberFormat="1" applyFont="1" applyBorder="1" applyAlignment="1">
      <alignment horizontal="right" vertical="center"/>
    </xf>
    <xf numFmtId="178" fontId="0" fillId="0" borderId="0" xfId="0" applyNumberFormat="1"/>
    <xf numFmtId="179" fontId="2" fillId="0" borderId="16" xfId="0" applyNumberFormat="1" applyFont="1" applyBorder="1" applyAlignment="1">
      <alignment horizontal="center" vertical="center"/>
    </xf>
    <xf numFmtId="179" fontId="2" fillId="0" borderId="17" xfId="0" applyNumberFormat="1" applyFont="1" applyBorder="1" applyAlignment="1">
      <alignment horizontal="center" vertical="center"/>
    </xf>
    <xf numFmtId="179" fontId="0" fillId="0" borderId="0" xfId="0" applyNumberFormat="1"/>
    <xf numFmtId="0" fontId="17" fillId="4" borderId="0" xfId="0" applyFont="1" applyFill="1" applyBorder="1" applyAlignment="1">
      <alignment horizontal="center" vertical="center"/>
    </xf>
    <xf numFmtId="4" fontId="29" fillId="0" borderId="17" xfId="0" applyNumberFormat="1" applyFont="1" applyBorder="1" applyAlignment="1">
      <alignment horizontal="center" vertical="center"/>
    </xf>
    <xf numFmtId="4" fontId="29" fillId="0" borderId="61" xfId="0" applyNumberFormat="1" applyFont="1" applyBorder="1" applyAlignment="1">
      <alignment horizontal="center" vertical="center"/>
    </xf>
    <xf numFmtId="4" fontId="29" fillId="0" borderId="84" xfId="0" applyNumberFormat="1" applyFont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30" fillId="4" borderId="22" xfId="0" applyFont="1" applyFill="1" applyBorder="1" applyAlignment="1">
      <alignment horizontal="center" vertical="center"/>
    </xf>
    <xf numFmtId="0" fontId="30" fillId="4" borderId="23" xfId="0" applyFont="1" applyFill="1" applyBorder="1" applyAlignment="1">
      <alignment horizontal="center" vertical="center"/>
    </xf>
    <xf numFmtId="4" fontId="29" fillId="0" borderId="85" xfId="0" applyNumberFormat="1" applyFont="1" applyBorder="1" applyAlignment="1">
      <alignment horizontal="center" vertical="center"/>
    </xf>
    <xf numFmtId="4" fontId="29" fillId="0" borderId="86" xfId="0" applyNumberFormat="1" applyFont="1" applyBorder="1" applyAlignment="1">
      <alignment horizontal="center" vertical="center"/>
    </xf>
    <xf numFmtId="4" fontId="29" fillId="0" borderId="87" xfId="0" applyNumberFormat="1" applyFont="1" applyBorder="1" applyAlignment="1">
      <alignment horizontal="center" vertical="center"/>
    </xf>
    <xf numFmtId="0" fontId="30" fillId="4" borderId="81" xfId="0" applyFont="1" applyFill="1" applyBorder="1" applyAlignment="1">
      <alignment horizontal="center" vertical="center"/>
    </xf>
    <xf numFmtId="0" fontId="30" fillId="4" borderId="82" xfId="0" applyFont="1" applyFill="1" applyBorder="1" applyAlignment="1">
      <alignment horizontal="center" vertical="center"/>
    </xf>
    <xf numFmtId="0" fontId="30" fillId="4" borderId="83" xfId="0" applyFont="1" applyFill="1" applyBorder="1" applyAlignment="1">
      <alignment horizontal="center" vertical="center"/>
    </xf>
    <xf numFmtId="0" fontId="30" fillId="4" borderId="35" xfId="0" applyFont="1" applyFill="1" applyBorder="1" applyAlignment="1">
      <alignment horizontal="center" vertical="center"/>
    </xf>
    <xf numFmtId="170" fontId="28" fillId="5" borderId="16" xfId="0" applyNumberFormat="1" applyFont="1" applyFill="1" applyBorder="1" applyAlignment="1">
      <alignment horizontal="right" vertical="center"/>
    </xf>
    <xf numFmtId="170" fontId="28" fillId="5" borderId="18" xfId="0" applyNumberFormat="1" applyFont="1" applyFill="1" applyBorder="1" applyAlignment="1">
      <alignment horizontal="right" vertical="center"/>
    </xf>
    <xf numFmtId="171" fontId="28" fillId="5" borderId="16" xfId="0" applyNumberFormat="1" applyFont="1" applyFill="1" applyBorder="1" applyAlignment="1">
      <alignment horizontal="right" vertical="center"/>
    </xf>
    <xf numFmtId="171" fontId="28" fillId="5" borderId="18" xfId="0" applyNumberFormat="1" applyFont="1" applyFill="1" applyBorder="1" applyAlignment="1">
      <alignment horizontal="right" vertical="center"/>
    </xf>
    <xf numFmtId="172" fontId="28" fillId="5" borderId="16" xfId="0" applyNumberFormat="1" applyFont="1" applyFill="1" applyBorder="1" applyAlignment="1">
      <alignment horizontal="right" vertical="center"/>
    </xf>
    <xf numFmtId="172" fontId="28" fillId="5" borderId="18" xfId="0" applyNumberFormat="1" applyFont="1" applyFill="1" applyBorder="1" applyAlignment="1">
      <alignment horizontal="right" vertical="center"/>
    </xf>
    <xf numFmtId="173" fontId="28" fillId="5" borderId="16" xfId="0" applyNumberFormat="1" applyFont="1" applyFill="1" applyBorder="1" applyAlignment="1">
      <alignment horizontal="right" vertical="center"/>
    </xf>
    <xf numFmtId="173" fontId="28" fillId="5" borderId="18" xfId="0" applyNumberFormat="1" applyFont="1" applyFill="1" applyBorder="1" applyAlignment="1">
      <alignment horizontal="right" vertical="center"/>
    </xf>
    <xf numFmtId="10" fontId="28" fillId="5" borderId="16" xfId="0" applyNumberFormat="1" applyFont="1" applyFill="1" applyBorder="1" applyAlignment="1">
      <alignment horizontal="right" vertical="center"/>
    </xf>
    <xf numFmtId="10" fontId="28" fillId="5" borderId="11" xfId="0" applyNumberFormat="1" applyFont="1" applyFill="1" applyBorder="1" applyAlignment="1">
      <alignment horizontal="right" vertical="center"/>
    </xf>
    <xf numFmtId="166" fontId="28" fillId="5" borderId="14" xfId="0" applyNumberFormat="1" applyFont="1" applyFill="1" applyBorder="1" applyAlignment="1">
      <alignment horizontal="right" vertical="center"/>
    </xf>
    <xf numFmtId="166" fontId="28" fillId="5" borderId="18" xfId="0" applyNumberFormat="1" applyFont="1" applyFill="1" applyBorder="1" applyAlignment="1">
      <alignment horizontal="right" vertical="center"/>
    </xf>
    <xf numFmtId="0" fontId="39" fillId="0" borderId="0" xfId="0" applyFont="1"/>
    <xf numFmtId="4" fontId="28" fillId="5" borderId="17" xfId="0" applyNumberFormat="1" applyFont="1" applyFill="1" applyBorder="1" applyAlignment="1">
      <alignment horizontal="center" vertical="center"/>
    </xf>
    <xf numFmtId="4" fontId="28" fillId="5" borderId="13" xfId="0" applyNumberFormat="1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 textRotation="90"/>
    </xf>
    <xf numFmtId="0" fontId="0" fillId="0" borderId="57" xfId="0" applyBorder="1" applyAlignment="1">
      <alignment horizontal="center" vertical="center" textRotation="90"/>
    </xf>
    <xf numFmtId="4" fontId="30" fillId="3" borderId="5" xfId="0" applyNumberFormat="1" applyFont="1" applyFill="1" applyBorder="1" applyAlignment="1">
      <alignment horizontal="center" vertical="center" textRotation="90"/>
    </xf>
    <xf numFmtId="0" fontId="17" fillId="3" borderId="29" xfId="0" applyFont="1" applyFill="1" applyBorder="1" applyAlignment="1">
      <alignment horizontal="center" vertical="distributed" textRotation="90"/>
    </xf>
    <xf numFmtId="0" fontId="0" fillId="0" borderId="47" xfId="0" applyBorder="1" applyAlignment="1">
      <alignment horizontal="center" vertical="distributed"/>
    </xf>
    <xf numFmtId="4" fontId="30" fillId="4" borderId="81" xfId="0" applyNumberFormat="1" applyFont="1" applyFill="1" applyBorder="1" applyAlignment="1">
      <alignment horizontal="center" vertical="center"/>
    </xf>
    <xf numFmtId="4" fontId="30" fillId="4" borderId="82" xfId="0" applyNumberFormat="1" applyFont="1" applyFill="1" applyBorder="1" applyAlignment="1">
      <alignment horizontal="center" vertical="center"/>
    </xf>
    <xf numFmtId="4" fontId="30" fillId="4" borderId="83" xfId="0" applyNumberFormat="1" applyFont="1" applyFill="1" applyBorder="1" applyAlignment="1">
      <alignment horizontal="center" vertical="center"/>
    </xf>
    <xf numFmtId="4" fontId="28" fillId="5" borderId="61" xfId="0" applyNumberFormat="1" applyFont="1" applyFill="1" applyBorder="1" applyAlignment="1">
      <alignment horizontal="center" vertical="center"/>
    </xf>
    <xf numFmtId="4" fontId="28" fillId="5" borderId="84" xfId="0" applyNumberFormat="1" applyFont="1" applyFill="1" applyBorder="1" applyAlignment="1">
      <alignment horizontal="center" vertical="center"/>
    </xf>
    <xf numFmtId="4" fontId="28" fillId="5" borderId="86" xfId="0" applyNumberFormat="1" applyFont="1" applyFill="1" applyBorder="1" applyAlignment="1">
      <alignment horizontal="center" vertical="center"/>
    </xf>
    <xf numFmtId="4" fontId="28" fillId="5" borderId="87" xfId="0" applyNumberFormat="1" applyFont="1" applyFill="1" applyBorder="1" applyAlignment="1">
      <alignment horizontal="center" vertical="center"/>
    </xf>
    <xf numFmtId="4" fontId="28" fillId="5" borderId="0" xfId="0" quotePrefix="1" applyNumberFormat="1" applyFont="1" applyFill="1" applyBorder="1" applyAlignment="1">
      <alignment horizontal="left" vertical="center"/>
    </xf>
    <xf numFmtId="4" fontId="30" fillId="3" borderId="5" xfId="0" applyNumberFormat="1" applyFont="1" applyFill="1" applyBorder="1" applyAlignment="1">
      <alignment horizontal="centerContinuous" vertical="center"/>
    </xf>
    <xf numFmtId="4" fontId="30" fillId="3" borderId="7" xfId="0" applyNumberFormat="1" applyFont="1" applyFill="1" applyBorder="1" applyAlignment="1">
      <alignment horizontal="centerContinuous" vertical="center"/>
    </xf>
    <xf numFmtId="4" fontId="30" fillId="3" borderId="6" xfId="0" applyNumberFormat="1" applyFont="1" applyFill="1" applyBorder="1" applyAlignment="1">
      <alignment horizontal="centerContinuous" vertical="center"/>
    </xf>
    <xf numFmtId="4" fontId="30" fillId="4" borderId="21" xfId="0" applyNumberFormat="1" applyFont="1" applyFill="1" applyBorder="1" applyAlignment="1">
      <alignment horizontal="center" vertical="center"/>
    </xf>
    <xf numFmtId="4" fontId="30" fillId="4" borderId="22" xfId="0" applyNumberFormat="1" applyFont="1" applyFill="1" applyBorder="1" applyAlignment="1">
      <alignment horizontal="center" vertical="center"/>
    </xf>
    <xf numFmtId="4" fontId="30" fillId="4" borderId="23" xfId="0" applyNumberFormat="1" applyFont="1" applyFill="1" applyBorder="1" applyAlignment="1">
      <alignment horizontal="center" vertical="center"/>
    </xf>
    <xf numFmtId="4" fontId="28" fillId="5" borderId="85" xfId="0" applyNumberFormat="1" applyFont="1" applyFill="1" applyBorder="1" applyAlignment="1">
      <alignment horizontal="center" vertical="center"/>
    </xf>
  </cellXfs>
  <cellStyles count="5">
    <cellStyle name="Heading 1" xfId="1" builtinId="16" customBuiltin="1"/>
    <cellStyle name="Heading 2" xfId="2" builtinId="17" customBuiltin="1"/>
    <cellStyle name="Heading 3" xfId="3" builtinId="18" customBuiltin="1"/>
    <cellStyle name="Hyperlink" xfId="4" builtinId="8"/>
    <cellStyle name="Normal" xfId="0" builtinId="0"/>
  </cellStyles>
  <dxfs count="182"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5700"/>
      </font>
      <fill>
        <patternFill>
          <fgColor indexed="64"/>
          <bgColor rgb="FFFFEB9C"/>
        </patternFill>
      </fill>
      <border>
        <left style="dashed">
          <color rgb="FF9C5700"/>
        </left>
        <right style="dashed">
          <color rgb="FF9C5700"/>
        </right>
        <top style="dashed">
          <color rgb="FF9C5700"/>
        </top>
        <bottom style="dashed">
          <color rgb="FF9C5700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  <dxf>
      <font>
        <b/>
        <i val="0"/>
        <color rgb="FF9C0006"/>
      </font>
      <fill>
        <patternFill>
          <fgColor indexed="64"/>
          <bgColor rgb="FFFFC7CE"/>
        </patternFill>
      </fill>
      <border>
        <left style="dashed">
          <color rgb="FF9C0006"/>
        </left>
        <right style="dashed">
          <color rgb="FF9C0006"/>
        </right>
        <top style="dashed">
          <color rgb="FF9C0006"/>
        </top>
        <bottom style="dashed">
          <color rgb="FF9C0006"/>
        </bottom>
      </border>
    </dxf>
    <dxf>
      <font>
        <b/>
        <i val="0"/>
        <color rgb="FF006100"/>
      </font>
      <fill>
        <patternFill>
          <fgColor indexed="64"/>
          <bgColor rgb="FFC6EFCE"/>
        </patternFill>
      </fill>
      <border>
        <left style="dashed">
          <color rgb="FF006100"/>
        </left>
        <right style="dashed">
          <color rgb="FF006100"/>
        </right>
        <top style="dashed">
          <color rgb="FF006100"/>
        </top>
        <bottom style="dashed">
          <color rgb="FF006100"/>
        </bottom>
      </border>
    </dxf>
  </dxfs>
  <tableStyles count="0" defaultTableStyle="TableStyleMedium2" defaultPivotStyle="PivotStyleLight16"/>
  <colors>
    <mruColors>
      <color rgb="FF0061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Deloitte Brand Theme">
  <a:themeElements>
    <a:clrScheme name="Custom 1">
      <a:dk1>
        <a:sysClr val="windowText" lastClr="000000"/>
      </a:dk1>
      <a:lt1>
        <a:sysClr val="window" lastClr="FFFFFF"/>
      </a:lt1>
      <a:dk2>
        <a:srgbClr val="D0D0CE"/>
      </a:dk2>
      <a:lt2>
        <a:srgbClr val="53565A"/>
      </a:lt2>
      <a:accent1>
        <a:srgbClr val="86BC25"/>
      </a:accent1>
      <a:accent2>
        <a:srgbClr val="43B02A"/>
      </a:accent2>
      <a:accent3>
        <a:srgbClr val="26890D"/>
      </a:accent3>
      <a:accent4>
        <a:srgbClr val="046A38"/>
      </a:accent4>
      <a:accent5>
        <a:srgbClr val="0D8390"/>
      </a:accent5>
      <a:accent6>
        <a:srgbClr val="007CB0"/>
      </a:accent6>
      <a:hlink>
        <a:srgbClr val="00A3E0"/>
      </a:hlink>
      <a:folHlink>
        <a:srgbClr val="7F7F7F"/>
      </a:folHlink>
    </a:clrScheme>
    <a:fontScheme name="Deloitte">
      <a:majorFont>
        <a:latin typeface="Calibri"/>
        <a:ea typeface=""/>
        <a:cs typeface=""/>
      </a:majorFont>
      <a:minorFont>
        <a:latin typeface="Calibri Light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gray">
        <a:solidFill>
          <a:schemeClr val="accent3"/>
        </a:solidFill>
        <a:ln w="19050" algn="ctr">
          <a:noFill/>
          <a:miter lim="800000"/>
          <a:headEnd/>
          <a:tailEnd/>
        </a:ln>
      </a:spPr>
      <a:bodyPr wrap="square" lIns="88900" tIns="88900" rIns="88900" bIns="88900" rtlCol="0" anchor="ctr"/>
      <a:lstStyle>
        <a:defPPr>
          <a:lnSpc>
            <a:spcPct val="106000"/>
          </a:lnSpc>
          <a:buFont typeface="Wingdings 2" pitchFamily="18" charset="2"/>
          <a:buNone/>
          <a:defRPr sz="1600" b="1" dirty="0" smtClean="0">
            <a:solidFill>
              <a:schemeClr val="bg1"/>
            </a:solidFill>
          </a:defRPr>
        </a:defPPr>
      </a:lst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square" lIns="0" tIns="0" rIns="0" bIns="0" rtlCol="0">
        <a:spAutoFit/>
      </a:bodyPr>
      <a:lstStyle>
        <a:defPPr marL="203200" indent="-203200">
          <a:spcBef>
            <a:spcPts val="600"/>
          </a:spcBef>
          <a:buSzPct val="100000"/>
          <a:buFont typeface="Arial"/>
          <a:buChar char="•"/>
          <a:defRPr dirty="0" smtClean="0">
            <a:solidFill>
              <a:srgbClr val="313131"/>
            </a:solidFill>
          </a:defRPr>
        </a:defPPr>
      </a:lstStyle>
    </a:txDef>
  </a:objectDefaults>
  <a:extraClrSchemeLst/>
  <a:custClrLst>
    <a:custClr name="Green 7">
      <a:srgbClr val="2C5234"/>
    </a:custClr>
    <a:custClr name="Green 6">
      <a:srgbClr val="046A38"/>
    </a:custClr>
    <a:custClr name="Green 5">
      <a:srgbClr val="009A44"/>
    </a:custClr>
    <a:custClr name="Green 4">
      <a:srgbClr val="43B02A"/>
    </a:custClr>
    <a:custClr name="Deloitte Green">
      <a:srgbClr val="86BC25"/>
    </a:custClr>
    <a:custClr name="Green 2">
      <a:srgbClr val="C4D600"/>
    </a:custClr>
    <a:custClr name="Green 1">
      <a:srgbClr val="E3E48D"/>
    </a:custClr>
    <a:custClr name="Teal 7">
      <a:srgbClr val="004F59"/>
    </a:custClr>
    <a:custClr name="Teal 6">
      <a:srgbClr val="007680"/>
    </a:custClr>
    <a:custClr name="Teal 5">
      <a:srgbClr val="0097A9"/>
    </a:custClr>
    <a:custClr name="Teal 4">
      <a:srgbClr val="00ABAB"/>
    </a:custClr>
    <a:custClr name="Teal 3">
      <a:srgbClr val="6FC2B4"/>
    </a:custClr>
    <a:custClr name="Teal 2">
      <a:srgbClr val="9DD4CF"/>
    </a:custClr>
    <a:custClr name="Teal 1">
      <a:srgbClr val="DDEFE8"/>
    </a:custClr>
    <a:custClr name="Blue 7">
      <a:srgbClr val="041E42"/>
    </a:custClr>
    <a:custClr name="Blue 6">
      <a:srgbClr val="012169"/>
    </a:custClr>
    <a:custClr name="Blue 5">
      <a:srgbClr val="005587"/>
    </a:custClr>
    <a:custClr name="Blue 4">
      <a:srgbClr val="0076A8"/>
    </a:custClr>
    <a:custClr name="Blue 3">
      <a:srgbClr val="00A3E0"/>
    </a:custClr>
    <a:custClr name="Blue 2">
      <a:srgbClr val="62B5E5"/>
    </a:custClr>
    <a:custClr name="Blue 1">
      <a:srgbClr val="A0DCFF"/>
    </a:custClr>
    <a:custClr name="Cool Gray 11">
      <a:srgbClr val="53565A"/>
    </a:custClr>
    <a:custClr name="Cool Gray 10">
      <a:srgbClr val="63666A"/>
    </a:custClr>
    <a:custClr name="Cool Gray 9">
      <a:srgbClr val="75787B"/>
    </a:custClr>
    <a:custClr name="Cool Gray 7">
      <a:srgbClr val="97999B"/>
    </a:custClr>
    <a:custClr name="Cool Gray 6">
      <a:srgbClr val="A7A8AA"/>
    </a:custClr>
    <a:custClr name="Cool Gray 4">
      <a:srgbClr val="BBBCBC"/>
    </a:custClr>
    <a:custClr name="Cool Gray 2">
      <a:srgbClr val="D0D0CE"/>
    </a:custClr>
    <a:custClr name="White">
      <a:srgbClr val="FFFFFF"/>
    </a:custClr>
    <a:custClr name="Black">
      <a:srgbClr val="000000"/>
    </a:custClr>
    <a:custClr name="Red">
      <a:srgbClr val="DA291C"/>
    </a:custClr>
    <a:custClr name="Orange">
      <a:srgbClr val="ED8B00"/>
    </a:custClr>
    <a:custClr name="Yellow">
      <a:srgbClr val="FFCD00"/>
    </a:custClr>
  </a:custClrLst>
  <a:extLst>
    <a:ext uri="{05A4C25C-085E-4340-85A3-A5531E510DB2}">
      <thm15:themeFamily xmlns:thm15="http://schemas.microsoft.com/office/thememl/2012/main" name="Deloitte Brand Theme" id="{7CF146C4-F33C-4674-9F60-3E413DE8D245}" vid="{1FA3A202-160F-48F1-9CAA-9049691AC626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iki.fsa-aks.deloitte.co.za/doku.php?id=valuations:methodology:instruments:interest_rate_swaps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D6FD71-F1A1-4253-BEE1-D2E2212CC602}">
  <sheetPr codeName="Sheet8">
    <tabColor theme="9" tint="-0.499984740745262"/>
  </sheetPr>
  <dimension ref="B2:E21"/>
  <sheetViews>
    <sheetView showGridLines="0" workbookViewId="0">
      <selection activeCell="B16" sqref="B16"/>
    </sheetView>
  </sheetViews>
  <sheetFormatPr defaultRowHeight="15" x14ac:dyDescent="0.25"/>
  <cols>
    <col min="1" max="1" width="3.75" customWidth="1"/>
    <col min="2" max="2" width="21.5" bestFit="1" customWidth="1"/>
  </cols>
  <sheetData>
    <row r="2" spans="2:3" ht="18.75" x14ac:dyDescent="0.3">
      <c r="B2" s="3" t="s">
        <v>134</v>
      </c>
      <c r="C2" s="3"/>
    </row>
    <row r="4" spans="2:3" x14ac:dyDescent="0.25">
      <c r="B4" s="239" t="s">
        <v>124</v>
      </c>
      <c r="C4" s="240"/>
    </row>
    <row r="5" spans="2:3" x14ac:dyDescent="0.25">
      <c r="B5" s="241" t="s">
        <v>187</v>
      </c>
      <c r="C5" s="241"/>
    </row>
    <row r="6" spans="2:3" x14ac:dyDescent="0.25">
      <c r="B6" s="241" t="s">
        <v>188</v>
      </c>
      <c r="C6" s="241"/>
    </row>
    <row r="8" spans="2:3" x14ac:dyDescent="0.25">
      <c r="B8" s="12" t="s">
        <v>170</v>
      </c>
      <c r="C8" s="157"/>
    </row>
    <row r="9" spans="2:3" x14ac:dyDescent="0.25">
      <c r="B9" s="224" t="s">
        <v>1</v>
      </c>
    </row>
    <row r="10" spans="2:3" x14ac:dyDescent="0.25">
      <c r="B10" t="s">
        <v>22</v>
      </c>
    </row>
    <row r="14" spans="2:3" x14ac:dyDescent="0.25">
      <c r="B14" s="12" t="s">
        <v>135</v>
      </c>
      <c r="C14" s="157"/>
    </row>
    <row r="15" spans="2:3" x14ac:dyDescent="0.25">
      <c r="B15" s="224" t="s">
        <v>138</v>
      </c>
      <c r="C15" s="185" t="str">
        <f>'Test Utils'!C4</f>
        <v>OK</v>
      </c>
    </row>
    <row r="16" spans="2:3" x14ac:dyDescent="0.25">
      <c r="B16" s="224" t="s">
        <v>90</v>
      </c>
      <c r="C16" s="185" t="str">
        <f ca="1">'Table Formatting'!C4</f>
        <v>OK</v>
      </c>
    </row>
    <row r="21" spans="5:5" x14ac:dyDescent="0.25">
      <c r="E21" s="185"/>
    </row>
  </sheetData>
  <conditionalFormatting sqref="C15">
    <cfRule type="cellIs" dxfId="181" priority="1" stopIfTrue="1" operator="equal">
      <formula>"OK"</formula>
    </cfRule>
    <cfRule type="cellIs" dxfId="180" priority="2" stopIfTrue="1" operator="equal">
      <formula>"ERROR"</formula>
    </cfRule>
  </conditionalFormatting>
  <conditionalFormatting sqref="C16">
    <cfRule type="cellIs" dxfId="179" priority="3" stopIfTrue="1" operator="equal">
      <formula>"OK"</formula>
    </cfRule>
    <cfRule type="cellIs" dxfId="178" priority="4" stopIfTrue="1" operator="equal">
      <formula>"ERROR"</formula>
    </cfRule>
  </conditionalFormatting>
  <hyperlinks>
    <hyperlink ref="B9" location="Curves.Title" display="Curves" xr:uid="{55B00831-142E-4799-B620-B8B79F221D3E}"/>
    <hyperlink ref="B16" location="TableFormatting.Title" display="Table Formatting" xr:uid="{36F5A4C0-4058-4EAB-B9F0-3120B1D828EB}"/>
    <hyperlink ref="B15" location="Logic.Title" display="Logic" xr:uid="{4452807D-B6BF-4ED4-B910-965E05209AC7}"/>
    <hyperlink ref="B5:C5" location="Summary.RunTestsInAllSheets" display="Run Tests in All Sheets" xr:uid="{7E1216C1-1362-48AD-AE0A-14787F111170}"/>
    <hyperlink ref="B6:C6" location="Summary.ResetTestsInAllSheets" display="Reset Tests in All Sheets" xr:uid="{B022C234-599C-4C0D-97E0-30EE93D3111C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1366-CCF0-45B8-9693-48AA439E89FC}">
  <sheetPr codeName="Sheet12">
    <tabColor theme="1"/>
  </sheetPr>
  <dimension ref="B2"/>
  <sheetViews>
    <sheetView showGridLines="0" workbookViewId="0">
      <selection activeCell="G21" sqref="G21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05842-FF7B-451B-8250-CC97FBF9B92D}">
  <sheetPr codeName="Sheet13">
    <tabColor theme="4" tint="-0.499984740745262"/>
  </sheetPr>
  <dimension ref="B2:S49"/>
  <sheetViews>
    <sheetView showGridLines="0" zoomScale="111" zoomScaleNormal="145" workbookViewId="0">
      <selection activeCell="G12" sqref="G12"/>
    </sheetView>
  </sheetViews>
  <sheetFormatPr defaultRowHeight="15" x14ac:dyDescent="0.25"/>
  <cols>
    <col min="1" max="1" width="3.75" customWidth="1"/>
    <col min="2" max="2" width="23.25" bestFit="1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19" ht="26.25" x14ac:dyDescent="0.4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19" x14ac:dyDescent="0.25">
      <c r="B4" s="59" t="s">
        <v>171</v>
      </c>
    </row>
    <row r="10" spans="2:19" ht="18.75" x14ac:dyDescent="0.3">
      <c r="B10" s="3" t="s">
        <v>254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19" x14ac:dyDescent="0.25">
      <c r="B12" s="66" t="s">
        <v>115</v>
      </c>
      <c r="C12" s="185"/>
    </row>
    <row r="14" spans="2:19" x14ac:dyDescent="0.25">
      <c r="B14" s="70" t="s">
        <v>35</v>
      </c>
      <c r="C14" s="316">
        <v>44742</v>
      </c>
    </row>
    <row r="15" spans="2:19" x14ac:dyDescent="0.25">
      <c r="B15" s="70" t="s">
        <v>24</v>
      </c>
      <c r="C15" s="186" t="s">
        <v>26</v>
      </c>
    </row>
    <row r="16" spans="2:19" x14ac:dyDescent="0.25">
      <c r="B16" s="70" t="s">
        <v>255</v>
      </c>
      <c r="C16" s="186" t="s">
        <v>71</v>
      </c>
    </row>
    <row r="17" spans="2:3" x14ac:dyDescent="0.25">
      <c r="B17" s="70" t="s">
        <v>256</v>
      </c>
      <c r="C17" s="186" t="s">
        <v>257</v>
      </c>
    </row>
    <row r="20" spans="2:3" x14ac:dyDescent="0.25">
      <c r="B20" s="70" t="s">
        <v>87</v>
      </c>
      <c r="C20" s="316">
        <v>44834</v>
      </c>
    </row>
    <row r="21" spans="2:3" x14ac:dyDescent="0.25">
      <c r="B21" s="70" t="s">
        <v>86</v>
      </c>
      <c r="C21" cm="1">
        <f t="array" ref="C21">_xll.d.Date_AddTenorToDate(C14,C15,C16,C17)</f>
        <v>44834</v>
      </c>
    </row>
    <row r="22" spans="2:3" x14ac:dyDescent="0.25">
      <c r="B22" s="70" t="s">
        <v>10</v>
      </c>
      <c r="C22" s="185" t="str" cm="1">
        <f t="array" ref="C22">_xll.d.TestUtils_Equal(C20,C21)</f>
        <v>OK</v>
      </c>
    </row>
    <row r="43" spans="2:7" x14ac:dyDescent="0.25">
      <c r="E43" s="6"/>
    </row>
    <row r="44" spans="2:7" x14ac:dyDescent="0.25">
      <c r="B44" s="5"/>
      <c r="C44" s="5"/>
      <c r="D44" s="5"/>
      <c r="E44" s="5"/>
    </row>
    <row r="45" spans="2:7" x14ac:dyDescent="0.25">
      <c r="B45" s="5"/>
      <c r="C45" s="5"/>
      <c r="D45" s="5"/>
      <c r="E45" s="5"/>
    </row>
    <row r="46" spans="2:7" x14ac:dyDescent="0.25">
      <c r="B46" s="5"/>
      <c r="C46" s="5"/>
      <c r="D46" s="5"/>
      <c r="E46" s="5"/>
      <c r="F46" s="5"/>
      <c r="G46" s="5"/>
    </row>
    <row r="47" spans="2:7" x14ac:dyDescent="0.25">
      <c r="B47" s="5"/>
      <c r="C47" s="5"/>
      <c r="D47" s="5"/>
      <c r="E47" s="5"/>
      <c r="F47" s="5"/>
      <c r="G47" s="5"/>
    </row>
    <row r="48" spans="2:7" x14ac:dyDescent="0.25">
      <c r="F48" s="5"/>
      <c r="G48" s="5"/>
    </row>
    <row r="49" spans="6:7" x14ac:dyDescent="0.25">
      <c r="F49" s="5"/>
      <c r="G49" s="5"/>
    </row>
  </sheetData>
  <conditionalFormatting sqref="C12">
    <cfRule type="cellIs" dxfId="177" priority="13" stopIfTrue="1" operator="equal">
      <formula>"OK"</formula>
    </cfRule>
    <cfRule type="cellIs" dxfId="176" priority="14" stopIfTrue="1" operator="equal">
      <formula>"ERROR"</formula>
    </cfRule>
  </conditionalFormatting>
  <conditionalFormatting sqref="C22">
    <cfRule type="cellIs" dxfId="175" priority="15" stopIfTrue="1" operator="equal">
      <formula>"ERROR"</formula>
    </cfRule>
    <cfRule type="cellIs" dxfId="174" priority="16" stopIfTrue="1" operator="equal">
      <formula>"OK"</formula>
    </cfRule>
    <cfRule type="cellIs" dxfId="173" priority="17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A59C1-DC63-430D-9384-45837AA55948}">
  <sheetPr codeName="Sheet2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16B8F-F5CA-4F43-9875-DC91B242187C}">
  <sheetPr codeName="Sheet1">
    <tabColor theme="4" tint="-0.499984740745262"/>
  </sheetPr>
  <dimension ref="B2:V49"/>
  <sheetViews>
    <sheetView showGridLines="0" zoomScale="85" zoomScaleNormal="85" workbookViewId="0">
      <selection activeCell="G9" sqref="G9"/>
    </sheetView>
  </sheetViews>
  <sheetFormatPr defaultRowHeight="15" x14ac:dyDescent="0.25"/>
  <cols>
    <col min="1" max="1" width="3.75" customWidth="1"/>
    <col min="2" max="2" width="17.375" customWidth="1"/>
    <col min="3" max="3" width="14.25" customWidth="1"/>
    <col min="4" max="4" width="11.375" customWidth="1"/>
    <col min="5" max="6" width="10.75" customWidth="1"/>
    <col min="7" max="7" width="23.875" customWidth="1"/>
    <col min="8" max="8" width="22.875" customWidth="1"/>
    <col min="9" max="9" width="10" customWidth="1"/>
    <col min="10" max="10" width="17.875" customWidth="1"/>
    <col min="11" max="11" width="16.875" customWidth="1"/>
    <col min="12" max="12" width="10" customWidth="1"/>
    <col min="13" max="13" width="18" customWidth="1"/>
    <col min="14" max="14" width="16.875" customWidth="1"/>
    <col min="15" max="15" width="10" customWidth="1"/>
    <col min="17" max="17" width="44.875" customWidth="1"/>
    <col min="18" max="18" width="45.75" customWidth="1"/>
  </cols>
  <sheetData>
    <row r="2" spans="2:22" ht="26.25" x14ac:dyDescent="0.4">
      <c r="B2" s="2" t="s">
        <v>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</row>
    <row r="4" spans="2:22" x14ac:dyDescent="0.25">
      <c r="B4" s="59" t="s">
        <v>171</v>
      </c>
    </row>
    <row r="10" spans="2:22" ht="18.75" x14ac:dyDescent="0.3">
      <c r="B10" s="3" t="s">
        <v>4</v>
      </c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</row>
    <row r="12" spans="2:22" x14ac:dyDescent="0.25">
      <c r="B12" s="66" t="s">
        <v>115</v>
      </c>
      <c r="C12" s="185" t="str">
        <f>G16</f>
        <v>OK</v>
      </c>
    </row>
    <row r="14" spans="2:22" ht="18.75" x14ac:dyDescent="0.3">
      <c r="B14" s="67" t="s">
        <v>75</v>
      </c>
      <c r="C14" s="68"/>
      <c r="D14" s="68"/>
      <c r="F14" s="67" t="s">
        <v>115</v>
      </c>
      <c r="G14" s="68"/>
      <c r="H14" s="68"/>
      <c r="I14" s="68"/>
      <c r="J14" s="68"/>
      <c r="K14" s="68"/>
      <c r="L14" s="68"/>
      <c r="M14" s="68"/>
      <c r="N14" s="68"/>
      <c r="O14" s="68"/>
      <c r="Q14" s="67" t="s">
        <v>117</v>
      </c>
      <c r="R14" s="68"/>
      <c r="S14" s="68"/>
      <c r="T14" s="68"/>
      <c r="U14" s="68"/>
      <c r="V14" s="68"/>
    </row>
    <row r="16" spans="2:22" x14ac:dyDescent="0.25">
      <c r="B16" s="66" t="s">
        <v>3</v>
      </c>
      <c r="C16" s="65" t="str" cm="1">
        <f t="array" ref="C16">_xll.d.Curve_Create("ExampleCurve",B19:C22,B26:B31,C26:C31)</f>
        <v>@@ExampleCurve::11:19:18</v>
      </c>
      <c r="D16" s="26"/>
      <c r="F16" s="59" t="s">
        <v>136</v>
      </c>
      <c r="G16" s="185" t="str" cm="1">
        <f t="array" ref="G16">_xll.d.TestUtils_And(I29:I39)</f>
        <v>OK</v>
      </c>
    </row>
    <row r="17" spans="2:19" x14ac:dyDescent="0.25">
      <c r="Q17" s="27" t="s">
        <v>169</v>
      </c>
      <c r="R17" s="27"/>
      <c r="S17" s="27"/>
    </row>
    <row r="18" spans="2:19" x14ac:dyDescent="0.25">
      <c r="B18" s="12" t="s">
        <v>61</v>
      </c>
      <c r="C18" s="157"/>
      <c r="F18" s="12" t="s">
        <v>84</v>
      </c>
      <c r="G18" s="27"/>
      <c r="H18" s="27"/>
      <c r="I18" s="27"/>
      <c r="J18" s="27"/>
      <c r="K18" s="27"/>
      <c r="L18" s="27"/>
      <c r="M18" s="27"/>
      <c r="N18" s="27"/>
      <c r="O18" s="13"/>
      <c r="Q18" s="221" t="s">
        <v>86</v>
      </c>
      <c r="R18" s="222" t="s">
        <v>87</v>
      </c>
      <c r="S18" s="223" t="s">
        <v>88</v>
      </c>
    </row>
    <row r="19" spans="2:19" x14ac:dyDescent="0.25">
      <c r="B19" s="74" t="s">
        <v>32</v>
      </c>
      <c r="C19" s="158" t="s">
        <v>33</v>
      </c>
      <c r="F19" s="211"/>
      <c r="G19" s="210" t="s">
        <v>81</v>
      </c>
      <c r="H19" s="207"/>
      <c r="I19" s="208"/>
      <c r="J19" s="210" t="s">
        <v>82</v>
      </c>
      <c r="K19" s="207"/>
      <c r="L19" s="208"/>
      <c r="M19" s="210" t="s">
        <v>83</v>
      </c>
      <c r="N19" s="207"/>
      <c r="O19" s="208"/>
      <c r="Q19" s="219" t="str" cm="1">
        <f t="array" ref="Q19">_xll.d.Curve_GetZeroRates($C$16,$F21,"NACP")</f>
        <v>#ERROR: Invalid compounding convention 'NACP'.</v>
      </c>
      <c r="R19" s="220" t="s">
        <v>85</v>
      </c>
      <c r="S19" s="206" t="str" cm="1">
        <f t="array" ref="S19">_xll.d.TestUtils_Equal(Q19,R19)</f>
        <v>OK</v>
      </c>
    </row>
    <row r="20" spans="2:19" x14ac:dyDescent="0.25">
      <c r="B20" s="159" t="s">
        <v>74</v>
      </c>
      <c r="C20" s="160" t="s">
        <v>71</v>
      </c>
      <c r="F20" s="212" t="s">
        <v>35</v>
      </c>
      <c r="G20" s="213" t="s">
        <v>76</v>
      </c>
      <c r="H20" s="214" t="s">
        <v>77</v>
      </c>
      <c r="I20" s="215" t="s">
        <v>88</v>
      </c>
      <c r="J20" s="213" t="s">
        <v>76</v>
      </c>
      <c r="K20" s="214" t="s">
        <v>77</v>
      </c>
      <c r="L20" s="215" t="s">
        <v>88</v>
      </c>
      <c r="M20" s="213" t="s">
        <v>76</v>
      </c>
      <c r="N20" s="214" t="s">
        <v>77</v>
      </c>
      <c r="O20" s="215" t="s">
        <v>88</v>
      </c>
    </row>
    <row r="21" spans="2:19" x14ac:dyDescent="0.25">
      <c r="B21" s="161" t="s">
        <v>72</v>
      </c>
      <c r="C21" s="162" t="s">
        <v>73</v>
      </c>
      <c r="E21" s="165"/>
      <c r="F21" s="18">
        <f>B27</f>
        <v>44593</v>
      </c>
      <c r="G21" s="216">
        <f>-LN(C27)/YEARFRAC($B$26,F21,3)</f>
        <v>0.11833459956542031</v>
      </c>
      <c r="H21" s="216">
        <f t="array" ref="H21:H25">_xll.d.Curve_GetZeroRates($C$16,F21:F25)</f>
        <v>0.11833459956542096</v>
      </c>
      <c r="I21" s="209" t="str" cm="1">
        <f t="array" ref="I21">_xll.d.TestUtils_Equal(G21,H21)</f>
        <v>OK</v>
      </c>
      <c r="J21" s="216">
        <f>12*($C27^(-1/(12*YEARFRAC($B$26,$F21,3)))-1)</f>
        <v>0.11891998374379664</v>
      </c>
      <c r="K21" s="216">
        <f t="array" ref="K21">_xll.d.Curve_GetZeroRates($C$16,$F21,"NACM")</f>
        <v>0.11891998374379664</v>
      </c>
      <c r="L21" s="209" t="str" cm="1">
        <f t="array" ref="L21">_xll.d.TestUtils_Equal(J21,K21)</f>
        <v>OK</v>
      </c>
      <c r="M21" s="216">
        <f>4*($C27^(-1/(4*YEARFRAC($B$26,$F21,3)))-1)</f>
        <v>0.12010237358908604</v>
      </c>
      <c r="N21" s="216" cm="1">
        <f t="array" ref="N21">_xll.d.Curve_GetZeroRates($C$16,$F21,"NACQ")</f>
        <v>0.12010237358908693</v>
      </c>
      <c r="O21" s="209" t="str" cm="1">
        <f t="array" ref="O21">_xll.d.TestUtils_Equal(M21,N21)</f>
        <v>OK</v>
      </c>
    </row>
    <row r="22" spans="2:19" x14ac:dyDescent="0.25">
      <c r="B22" s="163" t="s">
        <v>54</v>
      </c>
      <c r="C22" s="164" t="s">
        <v>89</v>
      </c>
      <c r="F22" s="18">
        <f>B28</f>
        <v>44621</v>
      </c>
      <c r="G22" s="217">
        <f>-LN(C28)/YEARFRAC($B$26,F22,3)</f>
        <v>0.12498285035414584</v>
      </c>
      <c r="H22" s="217">
        <v>0.12498285035414587</v>
      </c>
      <c r="I22" s="206" t="str" cm="1">
        <f t="array" ref="I22">_xll.d.TestUtils_Equal(G22,H22)</f>
        <v>OK</v>
      </c>
      <c r="J22" s="217">
        <f>12*($C28^(-1/(12*YEARFRAC($B$26,$F22,3)))-1)</f>
        <v>0.12563597891789247</v>
      </c>
      <c r="K22" s="217" cm="1">
        <f t="array" ref="K22">_xll.d.Curve_GetZeroRates($C$16,$F22,"NACM")</f>
        <v>0.1256359789178898</v>
      </c>
      <c r="L22" s="206" t="str" cm="1">
        <f t="array" ref="L22">_xll.d.TestUtils_Equal(J22,K22)</f>
        <v>OK</v>
      </c>
      <c r="M22" s="217">
        <f>4*($C28^(-1/(4*YEARFRAC($B$26,$F22,3)))-1)</f>
        <v>0.12695593600029031</v>
      </c>
      <c r="N22" s="217" cm="1">
        <f t="array" ref="N22">_xll.d.Curve_GetZeroRates($C$16,$F22,"NACQ")</f>
        <v>0.12695593600029031</v>
      </c>
      <c r="O22" s="206" t="str" cm="1">
        <f t="array" ref="O22">_xll.d.TestUtils_Equal(M22,N22)</f>
        <v>OK</v>
      </c>
    </row>
    <row r="23" spans="2:19" x14ac:dyDescent="0.25">
      <c r="F23" s="18">
        <f>B29</f>
        <v>44652</v>
      </c>
      <c r="G23" s="217">
        <f>-LN(C29)/YEARFRAC($B$26,F23,3)</f>
        <v>0.12352900813242923</v>
      </c>
      <c r="H23" s="217">
        <v>0.12352900813242955</v>
      </c>
      <c r="I23" s="206" t="str" cm="1">
        <f t="array" ref="I23">_xll.d.TestUtils_Equal(G23,H23)</f>
        <v>OK</v>
      </c>
      <c r="J23" s="217">
        <f>12*($C29^(-1/(12*YEARFRAC($B$26,$F23,3)))-1)</f>
        <v>0.12416700444279183</v>
      </c>
      <c r="K23" s="217" cm="1">
        <f t="array" ref="K23">_xll.d.Curve_GetZeroRates($C$16,$F23,"NACM")</f>
        <v>0.12416700444279183</v>
      </c>
      <c r="L23" s="206" t="str" cm="1">
        <f t="array" ref="L23">_xll.d.TestUtils_Equal(J23,K23)</f>
        <v>OK</v>
      </c>
      <c r="M23" s="217">
        <f>4*($C29^(-1/(4*YEARFRAC($B$26,$F23,3)))-1)</f>
        <v>0.12545622286335512</v>
      </c>
      <c r="N23" s="217" cm="1">
        <f t="array" ref="N23">_xll.d.Curve_GetZeroRates($C$16,$F23,"NACQ")</f>
        <v>0.12545622286335512</v>
      </c>
      <c r="O23" s="206" t="str" cm="1">
        <f t="array" ref="O23">_xll.d.TestUtils_Equal(M23,N23)</f>
        <v>OK</v>
      </c>
    </row>
    <row r="24" spans="2:19" x14ac:dyDescent="0.25">
      <c r="E24" s="10"/>
      <c r="F24" s="18">
        <f>B30</f>
        <v>44682</v>
      </c>
      <c r="G24" s="217">
        <f>-LN(C30)/YEARFRAC($B$26,F24,3)</f>
        <v>0.12416689999910947</v>
      </c>
      <c r="H24" s="217">
        <v>0.12416689999910957</v>
      </c>
      <c r="I24" s="206" t="str" cm="1">
        <f t="array" ref="I24">_xll.d.TestUtils_Equal(G24,H24)</f>
        <v>OK</v>
      </c>
      <c r="J24" s="217">
        <f>12*($C30^(-1/(12*YEARFRAC($B$26,$F24,3)))-1)</f>
        <v>0.12481151386647849</v>
      </c>
      <c r="K24" s="217" cm="1">
        <f t="array" ref="K24">_xll.d.Curve_GetZeroRates($C$16,$F24,"NACM")</f>
        <v>0.12481151386647849</v>
      </c>
      <c r="L24" s="206" t="str" cm="1">
        <f t="array" ref="L24">_xll.d.TestUtils_Equal(J24,K24)</f>
        <v>OK</v>
      </c>
      <c r="M24" s="217">
        <f>4*($C30^(-1/(4*YEARFRAC($B$26,$F24,3)))-1)</f>
        <v>0.12611417406740255</v>
      </c>
      <c r="N24" s="217" cm="1">
        <f t="array" ref="N24">_xll.d.Curve_GetZeroRates($C$16,$F24,"NACQ")</f>
        <v>0.12611417406740344</v>
      </c>
      <c r="O24" s="206" t="str" cm="1">
        <f t="array" ref="O24">_xll.d.TestUtils_Equal(M24,N24)</f>
        <v>OK</v>
      </c>
    </row>
    <row r="25" spans="2:19" x14ac:dyDescent="0.25">
      <c r="B25" s="12" t="s">
        <v>0</v>
      </c>
      <c r="C25" s="13" t="s">
        <v>2</v>
      </c>
      <c r="E25" s="11"/>
      <c r="F25" s="19">
        <f>B31</f>
        <v>46022</v>
      </c>
      <c r="G25" s="218">
        <f>-LN(C31)/YEARFRAC($B$26,F25,3)</f>
        <v>0.11950895023574995</v>
      </c>
      <c r="H25" s="218">
        <v>0.11950895023574998</v>
      </c>
      <c r="I25" s="206" t="str" cm="1">
        <f t="array" ref="I25">_xll.d.TestUtils_Equal(G25,H25)</f>
        <v>OK</v>
      </c>
      <c r="J25" s="218">
        <f>12*($C31^(-1/(12*YEARFRAC($B$26,$F25,3)))-1)</f>
        <v>0.12010603026150424</v>
      </c>
      <c r="K25" s="218" cm="1">
        <f t="array" ref="K25">_xll.d.Curve_GetZeroRates($C$16,$F25,"NACM")</f>
        <v>0.12010603026150424</v>
      </c>
      <c r="L25" s="206" t="str" cm="1">
        <f t="array" ref="L25">_xll.d.TestUtils_Equal(J25,K25)</f>
        <v>OK</v>
      </c>
      <c r="M25" s="218">
        <f>4*($C31^(-1/(4*YEARFRAC($B$26,$F25,3)))-1)</f>
        <v>0.1213121624159994</v>
      </c>
      <c r="N25" s="218" cm="1">
        <f t="array" ref="N25">_xll.d.Curve_GetZeroRates($C$16,$F25,"NACQ")</f>
        <v>0.1213121624159994</v>
      </c>
      <c r="O25" s="206" t="str" cm="1">
        <f t="array" ref="O25">_xll.d.TestUtils_Equal(M25,N25)</f>
        <v>OK</v>
      </c>
    </row>
    <row r="26" spans="2:19" x14ac:dyDescent="0.25">
      <c r="B26" s="17">
        <v>44562</v>
      </c>
      <c r="C26" s="71">
        <v>1</v>
      </c>
      <c r="E26" s="8"/>
    </row>
    <row r="27" spans="2:19" x14ac:dyDescent="0.25">
      <c r="B27" s="18">
        <v>44593</v>
      </c>
      <c r="C27" s="72">
        <v>0.99</v>
      </c>
      <c r="E27" s="8"/>
      <c r="F27" s="70" t="s">
        <v>2</v>
      </c>
      <c r="H27" s="69" t="s">
        <v>80</v>
      </c>
    </row>
    <row r="28" spans="2:19" x14ac:dyDescent="0.25">
      <c r="B28" s="18">
        <v>44621</v>
      </c>
      <c r="C28" s="72">
        <v>0.98</v>
      </c>
      <c r="F28" s="12" t="s">
        <v>35</v>
      </c>
      <c r="G28" s="27" t="s">
        <v>78</v>
      </c>
      <c r="H28" s="27" t="s">
        <v>79</v>
      </c>
      <c r="I28" s="27" t="s">
        <v>88</v>
      </c>
    </row>
    <row r="29" spans="2:19" x14ac:dyDescent="0.25">
      <c r="B29" s="18">
        <v>44652</v>
      </c>
      <c r="C29" s="72">
        <v>0.97</v>
      </c>
      <c r="F29" s="17">
        <f>B26</f>
        <v>44562</v>
      </c>
      <c r="G29" s="56">
        <v>1</v>
      </c>
      <c r="H29" s="56" cm="1">
        <f t="array" ref="H29">_xll.d.Curve_GetDiscountFactors($C$16,F29)</f>
        <v>1</v>
      </c>
      <c r="I29" s="206" t="str" cm="1">
        <f t="array" ref="I29">_xll.d.TestUtils_Equal(G29,H29)</f>
        <v>OK</v>
      </c>
    </row>
    <row r="30" spans="2:19" x14ac:dyDescent="0.25">
      <c r="B30" s="18">
        <v>44682</v>
      </c>
      <c r="C30" s="72">
        <v>0.96</v>
      </c>
      <c r="F30" s="204">
        <v>44576</v>
      </c>
      <c r="G30" s="205">
        <f>EXP((LN(C27)-LN(C26))/((B27-B26)/365)*((F30-B26)/365)+LN(C26))</f>
        <v>0.99547142371128639</v>
      </c>
      <c r="H30" s="205" cm="1">
        <f t="array" ref="H30">_xll.d.Curve_GetDiscountFactors($C$16,F30)</f>
        <v>0.99547142371128639</v>
      </c>
      <c r="I30" s="206" t="str" cm="1">
        <f t="array" ref="I30">_xll.d.TestUtils_Equal(G30,H30)</f>
        <v>OK</v>
      </c>
    </row>
    <row r="31" spans="2:19" x14ac:dyDescent="0.25">
      <c r="B31" s="19">
        <v>46022</v>
      </c>
      <c r="C31" s="73">
        <v>0.62</v>
      </c>
      <c r="F31" s="18">
        <f>B27</f>
        <v>44593</v>
      </c>
      <c r="G31" s="57">
        <f>EXP((LN(C27)-LN(C26))/((B27-B26)/365)*((F31-B26)/365)+LN(C26))</f>
        <v>0.99</v>
      </c>
      <c r="H31" s="57" cm="1">
        <f t="array" ref="H31">_xll.d.Curve_GetDiscountFactors($C$16,F31)</f>
        <v>0.99</v>
      </c>
      <c r="I31" s="206" t="str" cm="1">
        <f t="array" ref="I31">_xll.d.TestUtils_Equal(G31,H31)</f>
        <v>OK</v>
      </c>
    </row>
    <row r="32" spans="2:19" x14ac:dyDescent="0.25">
      <c r="F32" s="204">
        <v>44607</v>
      </c>
      <c r="G32" s="205">
        <f>EXP((LN(C28)-LN(C27))/((B28-B27)/365)*((F32-B27)/365)+LN(C27))</f>
        <v>0.98498730956292024</v>
      </c>
      <c r="H32" s="205" cm="1">
        <f t="array" ref="H32">_xll.d.Curve_GetDiscountFactors($C$16,F32)</f>
        <v>0.98498730956292024</v>
      </c>
      <c r="I32" s="206" t="str" cm="1">
        <f t="array" ref="I32">_xll.d.TestUtils_Equal(G32,H32)</f>
        <v>OK</v>
      </c>
    </row>
    <row r="33" spans="2:9" x14ac:dyDescent="0.25">
      <c r="F33" s="18">
        <f>B28</f>
        <v>44621</v>
      </c>
      <c r="G33" s="57">
        <f>EXP((LN(C28)-LN(C27))/((B28-B27)/365)*((F33-B27)/365)+LN(C27))</f>
        <v>0.98</v>
      </c>
      <c r="H33" s="57" cm="1">
        <f t="array" ref="H33">_xll.d.Curve_GetDiscountFactors($C$16,F33)</f>
        <v>0.98</v>
      </c>
      <c r="I33" s="206" t="str" cm="1">
        <f t="array" ref="I33">_xll.d.TestUtils_Equal(G33,H33)</f>
        <v>OK</v>
      </c>
    </row>
    <row r="34" spans="2:9" x14ac:dyDescent="0.25">
      <c r="F34" s="204">
        <v>44635</v>
      </c>
      <c r="G34" s="205">
        <f>EXP((LN(C29)-LN(C28))/((B29-B28)/365)*((F34-B28)/365)+LN(C28))</f>
        <v>0.97547116833738268</v>
      </c>
      <c r="H34" s="205" cm="1">
        <f t="array" ref="H34">_xll.d.Curve_GetDiscountFactors($C$16,F34)</f>
        <v>0.97547116833738268</v>
      </c>
      <c r="I34" s="206" t="str" cm="1">
        <f t="array" ref="I34">_xll.d.TestUtils_Equal(G34,H34)</f>
        <v>OK</v>
      </c>
    </row>
    <row r="35" spans="2:9" x14ac:dyDescent="0.25">
      <c r="F35" s="18">
        <f>B29</f>
        <v>44652</v>
      </c>
      <c r="G35" s="57">
        <f>EXP((LN(C29)-LN(C28))/((B29-B28)/365)*((F35-B28)/365)+LN(C28))</f>
        <v>0.97</v>
      </c>
      <c r="H35" s="57" cm="1">
        <f t="array" ref="H35">_xll.d.Curve_GetDiscountFactors($C$16,F35)</f>
        <v>0.97</v>
      </c>
      <c r="I35" s="206" t="str" cm="1">
        <f t="array" ref="I35">_xll.d.TestUtils_Equal(G35,H35)</f>
        <v>OK</v>
      </c>
    </row>
    <row r="36" spans="2:9" x14ac:dyDescent="0.25">
      <c r="F36" s="204">
        <v>44666</v>
      </c>
      <c r="G36" s="205">
        <f>EXP((LN(C30)-LN(C29))/((B30-B29)/365)*((F36-B29)/365)+LN(C29))</f>
        <v>0.96532043596444328</v>
      </c>
      <c r="H36" s="205" cm="1">
        <f t="array" ref="H36">_xll.d.Curve_GetDiscountFactors($C$16,F36)</f>
        <v>0.96532043596444328</v>
      </c>
      <c r="I36" s="206" t="str" cm="1">
        <f t="array" ref="I36">_xll.d.TestUtils_Equal(G36,H36)</f>
        <v>OK</v>
      </c>
    </row>
    <row r="37" spans="2:9" x14ac:dyDescent="0.25">
      <c r="F37" s="18">
        <f>B30</f>
        <v>44682</v>
      </c>
      <c r="G37" s="57">
        <f>EXP((LN(C30)-LN(C29))/((B30-B29)/365)*((F37-B29)/365)+LN(C29))</f>
        <v>0.96</v>
      </c>
      <c r="H37" s="57" cm="1">
        <f t="array" ref="H37">_xll.d.Curve_GetDiscountFactors($C$16,F37)</f>
        <v>0.96</v>
      </c>
      <c r="I37" s="206" t="str" cm="1">
        <f t="array" ref="I37">_xll.d.TestUtils_Equal(G37,H37)</f>
        <v>OK</v>
      </c>
    </row>
    <row r="38" spans="2:9" x14ac:dyDescent="0.25">
      <c r="E38" s="5"/>
      <c r="F38" s="204">
        <v>45107</v>
      </c>
      <c r="G38" s="205">
        <f>EXP((LN(C31)-LN(C30))/((B31-B30)/365)*((F38-B30)/365)+LN(C30))</f>
        <v>0.8356958461194135</v>
      </c>
      <c r="H38" s="205" cm="1">
        <f t="array" ref="H38">_xll.d.Curve_GetDiscountFactors($C$16,F38)</f>
        <v>0.8356958461194135</v>
      </c>
      <c r="I38" s="206" t="str" cm="1">
        <f t="array" ref="I38">_xll.d.TestUtils_Equal(G38,H38)</f>
        <v>OK</v>
      </c>
    </row>
    <row r="39" spans="2:9" x14ac:dyDescent="0.25">
      <c r="F39" s="18">
        <f>B31</f>
        <v>46022</v>
      </c>
      <c r="G39" s="57">
        <f>EXP((LN(C31)-LN(C30))/((B31-B30)/365)*((F39-B30)/365)+LN(C30))</f>
        <v>0.62</v>
      </c>
      <c r="H39" s="57" cm="1">
        <f t="array" ref="H39">_xll.d.Curve_GetDiscountFactors($C$16,F39)</f>
        <v>0.62</v>
      </c>
      <c r="I39" s="206" t="str" cm="1">
        <f t="array" ref="I39">_xll.d.TestUtils_Equal(G39,H39)</f>
        <v>OK</v>
      </c>
    </row>
    <row r="40" spans="2:9" x14ac:dyDescent="0.25">
      <c r="D40" s="5"/>
      <c r="E40" s="5"/>
    </row>
    <row r="42" spans="2:9" x14ac:dyDescent="0.25">
      <c r="C42" s="1"/>
      <c r="D42" s="5"/>
    </row>
    <row r="43" spans="2:9" x14ac:dyDescent="0.25">
      <c r="E43" s="6"/>
    </row>
    <row r="44" spans="2:9" x14ac:dyDescent="0.25">
      <c r="B44" s="5"/>
      <c r="C44" s="5"/>
      <c r="D44" s="5"/>
      <c r="E44" s="5"/>
    </row>
    <row r="45" spans="2:9" x14ac:dyDescent="0.25">
      <c r="B45" s="5"/>
      <c r="C45" s="5"/>
      <c r="D45" s="5"/>
      <c r="E45" s="5"/>
    </row>
    <row r="46" spans="2:9" x14ac:dyDescent="0.25">
      <c r="B46" s="5"/>
      <c r="C46" s="5"/>
      <c r="D46" s="5"/>
      <c r="E46" s="5"/>
      <c r="F46" s="5"/>
      <c r="G46" s="5"/>
    </row>
    <row r="47" spans="2:9" x14ac:dyDescent="0.25">
      <c r="B47" s="5"/>
      <c r="C47" s="5"/>
      <c r="D47" s="5"/>
      <c r="E47" s="5"/>
      <c r="F47" s="5"/>
      <c r="G47" s="5"/>
    </row>
    <row r="48" spans="2:9" x14ac:dyDescent="0.25">
      <c r="F48" s="5"/>
      <c r="G48" s="5"/>
    </row>
    <row r="49" spans="6:7" x14ac:dyDescent="0.25">
      <c r="F49" s="5"/>
      <c r="G49" s="5"/>
    </row>
  </sheetData>
  <conditionalFormatting sqref="I29:I39">
    <cfRule type="cellIs" dxfId="172" priority="11" stopIfTrue="1" operator="equal">
      <formula>"OK"</formula>
    </cfRule>
    <cfRule type="cellIs" dxfId="171" priority="12" stopIfTrue="1" operator="equal">
      <formula>"ERROR"</formula>
    </cfRule>
  </conditionalFormatting>
  <conditionalFormatting sqref="G16">
    <cfRule type="cellIs" dxfId="170" priority="9" stopIfTrue="1" operator="equal">
      <formula>"OK"</formula>
    </cfRule>
    <cfRule type="cellIs" dxfId="169" priority="10" stopIfTrue="1" operator="equal">
      <formula>"ERROR"</formula>
    </cfRule>
  </conditionalFormatting>
  <conditionalFormatting sqref="C12">
    <cfRule type="cellIs" dxfId="168" priority="13" stopIfTrue="1" operator="equal">
      <formula>"OK"</formula>
    </cfRule>
    <cfRule type="cellIs" dxfId="167" priority="14" stopIfTrue="1" operator="equal">
      <formula>"ERROR"</formula>
    </cfRule>
  </conditionalFormatting>
  <conditionalFormatting sqref="I21:I25">
    <cfRule type="cellIs" dxfId="166" priority="7" stopIfTrue="1" operator="equal">
      <formula>"OK"</formula>
    </cfRule>
    <cfRule type="cellIs" dxfId="165" priority="8" stopIfTrue="1" operator="equal">
      <formula>"ERROR"</formula>
    </cfRule>
  </conditionalFormatting>
  <conditionalFormatting sqref="L21:L25">
    <cfRule type="cellIs" dxfId="164" priority="5" stopIfTrue="1" operator="equal">
      <formula>"OK"</formula>
    </cfRule>
    <cfRule type="cellIs" dxfId="163" priority="6" stopIfTrue="1" operator="equal">
      <formula>"ERROR"</formula>
    </cfRule>
  </conditionalFormatting>
  <conditionalFormatting sqref="O21:O25">
    <cfRule type="cellIs" dxfId="162" priority="3" stopIfTrue="1" operator="equal">
      <formula>"OK"</formula>
    </cfRule>
    <cfRule type="cellIs" dxfId="161" priority="4" stopIfTrue="1" operator="equal">
      <formula>"ERROR"</formula>
    </cfRule>
  </conditionalFormatting>
  <conditionalFormatting sqref="S19">
    <cfRule type="cellIs" dxfId="160" priority="1" stopIfTrue="1" operator="equal">
      <formula>"OK"</formula>
    </cfRule>
    <cfRule type="cellIs" dxfId="159" priority="2" stopIfTrue="1" operator="equal">
      <formula>"ERROR"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5FBE7-4801-4BC0-9835-B683F646A84D}">
  <sheetPr codeName="Sheet3">
    <tabColor theme="4" tint="-0.499984740745262"/>
  </sheetPr>
  <dimension ref="B2:AX66"/>
  <sheetViews>
    <sheetView showGridLines="0" zoomScale="115" zoomScaleNormal="115" workbookViewId="0">
      <selection activeCell="F6" sqref="F6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  <col min="11" max="12" width="3.75" customWidth="1"/>
    <col min="13" max="13" width="17.75" customWidth="1"/>
    <col min="14" max="14" width="10" customWidth="1"/>
    <col min="15" max="15" width="11.25" customWidth="1"/>
    <col min="16" max="16" width="11.875" customWidth="1"/>
    <col min="18" max="18" width="11.375" customWidth="1"/>
    <col min="19" max="19" width="22.5" customWidth="1"/>
    <col min="20" max="20" width="21.5" customWidth="1"/>
    <col min="21" max="21" width="13.5" bestFit="1" customWidth="1"/>
    <col min="22" max="23" width="3.75" customWidth="1"/>
    <col min="24" max="24" width="11.375" customWidth="1"/>
    <col min="26" max="26" width="11" customWidth="1"/>
    <col min="41" max="41" width="20.25" customWidth="1"/>
  </cols>
  <sheetData>
    <row r="2" spans="2:25" ht="26.25" x14ac:dyDescent="0.4">
      <c r="B2" s="2" t="s">
        <v>22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</row>
    <row r="4" spans="2:25" ht="18.75" x14ac:dyDescent="0.3">
      <c r="B4" s="3" t="s">
        <v>171</v>
      </c>
      <c r="C4" s="3"/>
      <c r="D4" s="3"/>
      <c r="E4" s="3"/>
      <c r="F4" s="3"/>
      <c r="G4" s="3"/>
      <c r="H4" s="3"/>
      <c r="I4" s="3"/>
      <c r="J4" s="3"/>
    </row>
    <row r="6" spans="2:25" x14ac:dyDescent="0.25">
      <c r="B6" s="59" t="s">
        <v>171</v>
      </c>
      <c r="C6" s="185" t="str" cm="1">
        <f t="array" ref="C6">_xll.d.TestUtils_And(D10:D13)</f>
        <v>ERROR</v>
      </c>
    </row>
    <row r="8" spans="2:25" x14ac:dyDescent="0.25">
      <c r="B8" s="228" t="s">
        <v>10</v>
      </c>
      <c r="C8" s="228"/>
      <c r="D8" s="229" t="s">
        <v>11</v>
      </c>
      <c r="K8" s="242"/>
      <c r="L8" s="243"/>
      <c r="V8" s="242"/>
      <c r="W8" s="243"/>
    </row>
    <row r="9" spans="2:25" x14ac:dyDescent="0.25">
      <c r="B9" s="277" t="str">
        <f>B17</f>
        <v>ZAR Swap Curve Testing</v>
      </c>
      <c r="C9" s="278"/>
      <c r="D9" s="279"/>
      <c r="K9" s="242"/>
      <c r="L9" s="243"/>
      <c r="V9" s="242"/>
      <c r="W9" s="243"/>
    </row>
    <row r="10" spans="2:25" x14ac:dyDescent="0.25">
      <c r="B10" s="238" t="str">
        <f>B19</f>
        <v>Flat Curve, 3m JIBAR</v>
      </c>
      <c r="C10" s="276"/>
      <c r="D10" s="185" t="str">
        <f>C21</f>
        <v>OK</v>
      </c>
      <c r="K10" s="242"/>
      <c r="L10" s="243"/>
      <c r="V10" s="242"/>
      <c r="W10" s="243"/>
    </row>
    <row r="11" spans="2:25" x14ac:dyDescent="0.25">
      <c r="K11" s="242"/>
      <c r="L11" s="243"/>
      <c r="V11" s="242"/>
      <c r="W11" s="243"/>
    </row>
    <row r="12" spans="2:25" x14ac:dyDescent="0.25">
      <c r="B12" s="277" t="s">
        <v>228</v>
      </c>
      <c r="C12" s="278"/>
      <c r="D12" s="279"/>
      <c r="K12" s="242"/>
      <c r="L12" s="243"/>
      <c r="V12" s="242"/>
      <c r="W12" s="243"/>
    </row>
    <row r="13" spans="2:25" x14ac:dyDescent="0.25">
      <c r="B13" s="238" t="str">
        <f>M19</f>
        <v>Non-Flat Curve, FEDFUND</v>
      </c>
      <c r="C13" s="276"/>
      <c r="D13" s="185" t="str">
        <f>N21</f>
        <v>ERROR</v>
      </c>
      <c r="K13" s="242"/>
      <c r="L13" s="243"/>
      <c r="V13" s="242"/>
      <c r="W13" s="243"/>
    </row>
    <row r="14" spans="2:25" x14ac:dyDescent="0.25">
      <c r="B14" s="238"/>
      <c r="C14" s="276"/>
      <c r="D14" s="185"/>
      <c r="K14" s="242"/>
      <c r="L14" s="243"/>
      <c r="V14" s="242"/>
      <c r="W14" s="243"/>
    </row>
    <row r="15" spans="2:25" x14ac:dyDescent="0.25">
      <c r="K15" s="242"/>
      <c r="L15" s="243"/>
      <c r="V15" s="242"/>
      <c r="W15" s="243"/>
    </row>
    <row r="16" spans="2:25" x14ac:dyDescent="0.25">
      <c r="K16" s="242"/>
      <c r="L16" s="243"/>
      <c r="V16" s="242"/>
      <c r="W16" s="243"/>
    </row>
    <row r="17" spans="2:50" ht="18.75" x14ac:dyDescent="0.3">
      <c r="B17" s="3" t="s">
        <v>249</v>
      </c>
      <c r="C17" s="3"/>
      <c r="D17" s="3"/>
      <c r="E17" s="3"/>
      <c r="F17" s="3"/>
      <c r="G17" s="3"/>
      <c r="H17" s="3"/>
      <c r="I17" s="3"/>
      <c r="J17" s="3"/>
      <c r="K17" s="242"/>
      <c r="L17" s="243"/>
      <c r="M17" s="3" t="s">
        <v>250</v>
      </c>
      <c r="N17" s="3"/>
      <c r="O17" s="3"/>
      <c r="P17" s="3"/>
      <c r="Q17" s="3"/>
      <c r="R17" s="3"/>
      <c r="S17" s="3"/>
      <c r="T17" s="3"/>
      <c r="U17" s="3"/>
      <c r="V17" s="242"/>
      <c r="W17" s="243"/>
      <c r="X17" s="3" t="s">
        <v>219</v>
      </c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</row>
    <row r="18" spans="2:50" x14ac:dyDescent="0.25">
      <c r="K18" s="242"/>
      <c r="L18" s="243"/>
      <c r="V18" s="242"/>
      <c r="W18" s="243"/>
    </row>
    <row r="19" spans="2:50" ht="15.75" x14ac:dyDescent="0.25">
      <c r="B19" s="4" t="s">
        <v>230</v>
      </c>
      <c r="C19" s="4"/>
      <c r="D19" s="4"/>
      <c r="E19" s="4"/>
      <c r="F19" s="4"/>
      <c r="G19" s="4"/>
      <c r="H19" s="4"/>
      <c r="I19" s="4"/>
      <c r="J19" s="4"/>
      <c r="K19" s="242"/>
      <c r="L19" s="243"/>
      <c r="M19" s="4" t="s">
        <v>251</v>
      </c>
      <c r="N19" s="4"/>
      <c r="O19" s="4"/>
      <c r="P19" s="4"/>
      <c r="Q19" s="4"/>
      <c r="R19" s="4"/>
      <c r="S19" s="4"/>
      <c r="T19" s="4"/>
      <c r="U19" s="4"/>
      <c r="V19" s="242"/>
      <c r="W19" s="243"/>
      <c r="X19" t="s">
        <v>225</v>
      </c>
      <c r="AH19" t="s">
        <v>220</v>
      </c>
    </row>
    <row r="20" spans="2:50" x14ac:dyDescent="0.25">
      <c r="K20" s="242"/>
      <c r="L20" s="243"/>
      <c r="V20" s="242"/>
      <c r="W20" s="243"/>
    </row>
    <row r="21" spans="2:50" x14ac:dyDescent="0.25">
      <c r="B21" s="59" t="s">
        <v>136</v>
      </c>
      <c r="C21" s="185" t="str" cm="1">
        <f t="array" ref="C21">_xll.d.TestUtils_And(J23:J28)</f>
        <v>OK</v>
      </c>
      <c r="G21" s="273" t="s">
        <v>248</v>
      </c>
      <c r="H21" s="274"/>
      <c r="I21" s="274"/>
      <c r="J21" s="275"/>
      <c r="K21" s="242"/>
      <c r="L21" s="243"/>
      <c r="M21" s="59" t="s">
        <v>136</v>
      </c>
      <c r="N21" s="185" t="str" cm="1">
        <f t="array" ref="N21">_xll.d.TestUtils_And(U23:U39)</f>
        <v>ERROR</v>
      </c>
      <c r="R21" s="138" t="s">
        <v>248</v>
      </c>
      <c r="S21" s="231"/>
      <c r="T21" s="231"/>
      <c r="U21" s="139"/>
      <c r="V21" s="242"/>
      <c r="W21" s="243"/>
      <c r="X21" s="66" t="s">
        <v>41</v>
      </c>
      <c r="Y21" s="66"/>
      <c r="Z21" s="309" t="str" cm="1">
        <f t="array" ref="Z21">_xll.d.Curve_SingleCurveBootstrap("ZARCurve",X25:Y27,X32:Z37,X39:Z42,X44:Z47)</f>
        <v>#∂Excel Error: Base date missing from curve parameters.</v>
      </c>
      <c r="AA21" s="39"/>
      <c r="AB21" s="39"/>
      <c r="AC21" s="39"/>
      <c r="AD21" s="251"/>
      <c r="AH21" s="66" t="s">
        <v>41</v>
      </c>
      <c r="AI21" s="66"/>
      <c r="AJ21" s="250" t="str" cm="1">
        <f t="array" ref="AJ21">_xll.d.Curve_SingleCurveBootstrap("ZARCurve",AH25:AI27,AH32:AJ37,AH39:AJ42,AH44:AJ47)</f>
        <v xml:space="preserve">#∂Excel Error: Unsupported rate index: </v>
      </c>
      <c r="AK21" s="251"/>
      <c r="AM21" t="s">
        <v>221</v>
      </c>
      <c r="AS21" s="66" t="s">
        <v>41</v>
      </c>
      <c r="AT21" s="66"/>
      <c r="AU21" s="250" t="str" cm="1">
        <f t="array" ref="AU21">_xll.d.Curve_SingleCurveBootstrap("ZARCurve",AS25:AT28,AS32:AU37,AS39:AU42,AS44:AU47)</f>
        <v xml:space="preserve">#∂Excel Error: Unsupported rate index: </v>
      </c>
      <c r="AV21" s="251"/>
      <c r="AX21" t="s">
        <v>223</v>
      </c>
    </row>
    <row r="22" spans="2:50" x14ac:dyDescent="0.25">
      <c r="G22" s="74" t="s">
        <v>35</v>
      </c>
      <c r="H22" s="75" t="s">
        <v>42</v>
      </c>
      <c r="I22" s="75" t="s">
        <v>43</v>
      </c>
      <c r="J22" s="76" t="s">
        <v>88</v>
      </c>
      <c r="K22" s="242"/>
      <c r="L22" s="243"/>
      <c r="R22" s="74" t="s">
        <v>35</v>
      </c>
      <c r="S22" s="75" t="s">
        <v>42</v>
      </c>
      <c r="T22" s="75" t="s">
        <v>43</v>
      </c>
      <c r="U22" s="76" t="s">
        <v>10</v>
      </c>
      <c r="V22" s="242"/>
      <c r="W22" s="243"/>
    </row>
    <row r="23" spans="2:50" x14ac:dyDescent="0.25">
      <c r="G23" s="270">
        <f>C29</f>
        <v>44713</v>
      </c>
      <c r="H23" s="280">
        <v>1</v>
      </c>
      <c r="I23" s="280" cm="1">
        <f t="array" ref="I23">_xll.d.Curve_GetDiscountFactors($D$24,G23)</f>
        <v>1</v>
      </c>
      <c r="J23" s="259" t="str" cm="1">
        <f t="array" ref="J23">_xll.d.TestUtils_Equal(H23,I23,0.00001)</f>
        <v>OK</v>
      </c>
      <c r="K23" s="242"/>
      <c r="L23" s="243"/>
      <c r="R23" s="310">
        <f>N29</f>
        <v>44655</v>
      </c>
      <c r="S23" s="322">
        <v>1</v>
      </c>
      <c r="T23" s="329" cm="1">
        <f t="array" ref="T23">_xll.d.Curve_GetDiscountFactors($O$24,R23)</f>
        <v>1</v>
      </c>
      <c r="U23" s="312" t="str" cm="1">
        <f t="array" ref="U23">_xll.d.TestUtils_Equal(S23,T23,0.001)</f>
        <v>OK</v>
      </c>
      <c r="V23" s="242"/>
      <c r="W23" s="243"/>
      <c r="Z23" t="s">
        <v>224</v>
      </c>
    </row>
    <row r="24" spans="2:50" x14ac:dyDescent="0.25">
      <c r="B24" s="66" t="s">
        <v>41</v>
      </c>
      <c r="C24" s="66"/>
      <c r="D24" s="250" t="str" cm="1">
        <f t="array" ref="D24">_xll.d.Curve_SingleCurveBootstrap("ZARCurve",B27:C31,,B33:D37,B39:D43,B45:D48)</f>
        <v>@@ZARCurve::11:19:17</v>
      </c>
      <c r="E24" s="251"/>
      <c r="G24" s="271">
        <f>EDATE(G23,1)</f>
        <v>44743</v>
      </c>
      <c r="H24" s="281">
        <f>1/(1+YEARFRAC($G$23,G24,3)*C35)</f>
        <v>0.99184782608695643</v>
      </c>
      <c r="I24" s="281" cm="1">
        <f t="array" ref="I24">_xll.d.Curve_GetDiscountFactors($D$24,G24)</f>
        <v>0.99184782608695665</v>
      </c>
      <c r="J24" s="263" t="str" cm="1">
        <f t="array" ref="J24">_xll.d.TestUtils_Equal(H24,I24,0.00001)</f>
        <v>OK</v>
      </c>
      <c r="K24" s="242"/>
      <c r="L24" s="243"/>
      <c r="M24" s="66" t="s">
        <v>41</v>
      </c>
      <c r="N24" s="66"/>
      <c r="O24" s="250" t="str" cm="1">
        <f t="array" ref="O24">_xll.d.Curve_SingleCurveBootstrap("USDOIS",M27:N31,,M34:O36,M38:O59)</f>
        <v>@@USDOIS::11:19:17</v>
      </c>
      <c r="P24" s="251"/>
      <c r="R24" s="311">
        <f t="shared" ref="R24:R32" si="0">M40</f>
        <v>44685</v>
      </c>
      <c r="S24" s="323">
        <f>1/(1+N40*(M40-$R$23)/360)</f>
        <v>0.99971508120185737</v>
      </c>
      <c r="T24" s="330" cm="1">
        <f t="array" ref="T24">_xll.d.Curve_GetDiscountFactors($O$24,R24)</f>
        <v>0.99971508120185748</v>
      </c>
      <c r="U24" s="313" t="str" cm="1">
        <f t="array" ref="U24">_xll.d.TestUtils_Equal(S24,T24,0.001)</f>
        <v>OK</v>
      </c>
      <c r="V24" s="242"/>
      <c r="W24" s="243"/>
    </row>
    <row r="25" spans="2:50" x14ac:dyDescent="0.25">
      <c r="G25" s="271">
        <f>EDATE(G23,2)</f>
        <v>44774</v>
      </c>
      <c r="H25" s="281">
        <f>1/(1+YEARFRAC($G$23,G25,3)*C36)</f>
        <v>0.98356238210724867</v>
      </c>
      <c r="I25" s="281" cm="1">
        <f t="array" ref="I25">_xll.d.Curve_GetDiscountFactors($D$24,G25)</f>
        <v>0.98356238210724867</v>
      </c>
      <c r="J25" s="263" t="str" cm="1">
        <f t="array" ref="J25">_xll.d.TestUtils_Equal(H25,I25,0.00001)</f>
        <v>OK</v>
      </c>
      <c r="K25" s="242"/>
      <c r="L25" s="243"/>
      <c r="R25" s="311">
        <f t="shared" si="0"/>
        <v>44718</v>
      </c>
      <c r="S25" s="323">
        <f>1/(1+N41*(M41-$R$23)/360)</f>
        <v>0.99901222666088896</v>
      </c>
      <c r="T25" s="330" cm="1">
        <f t="array" ref="T25">_xll.d.Curve_GetDiscountFactors($O$24,R25)</f>
        <v>0.99901222666088918</v>
      </c>
      <c r="U25" s="313" t="str" cm="1">
        <f t="array" ref="U25">_xll.d.TestUtils_Equal(S25,T25,0.001)</f>
        <v>OK</v>
      </c>
      <c r="V25" s="242"/>
      <c r="W25" s="243"/>
      <c r="X25" s="58" t="s">
        <v>61</v>
      </c>
      <c r="Y25" s="59"/>
      <c r="AH25" s="58" t="s">
        <v>61</v>
      </c>
      <c r="AI25" s="59"/>
      <c r="AS25" s="58" t="s">
        <v>61</v>
      </c>
      <c r="AT25" s="59"/>
    </row>
    <row r="26" spans="2:50" x14ac:dyDescent="0.25">
      <c r="G26" s="271">
        <f>EDATE(G23,3)</f>
        <v>44805</v>
      </c>
      <c r="H26" s="281">
        <f>1/(1+YEARFRAC($G$23,G26,3)*C37)</f>
        <v>0.97541421699625863</v>
      </c>
      <c r="I26" s="281" cm="1">
        <f t="array" ref="I26">_xll.d.Curve_GetDiscountFactors($D$24,G26)</f>
        <v>0.97541421699625874</v>
      </c>
      <c r="J26" s="263" t="str" cm="1">
        <f t="array" ref="J26">_xll.d.TestUtils_Equal(H26,I26,0.00001)</f>
        <v>OK</v>
      </c>
      <c r="K26" s="242"/>
      <c r="L26" s="243"/>
      <c r="R26" s="311">
        <f t="shared" si="0"/>
        <v>44747</v>
      </c>
      <c r="S26" s="323">
        <f t="shared" ref="S26:S32" si="1">1/(1+N42*(M42-$R$23)/360)</f>
        <v>0.99816847176192491</v>
      </c>
      <c r="T26" s="330" cm="1">
        <f t="array" ref="T26">_xll.d.Curve_GetDiscountFactors($O$24,R26)</f>
        <v>0.9981684717619248</v>
      </c>
      <c r="U26" s="313" t="str" cm="1">
        <f t="array" ref="U26">_xll.d.TestUtils_Equal(S26,T26,0.001)</f>
        <v>OK</v>
      </c>
      <c r="V26" s="242"/>
      <c r="W26" s="243"/>
      <c r="X26" s="60" t="s">
        <v>32</v>
      </c>
      <c r="Y26" s="61" t="s">
        <v>33</v>
      </c>
      <c r="AH26" s="60" t="s">
        <v>32</v>
      </c>
      <c r="AI26" s="61" t="s">
        <v>33</v>
      </c>
      <c r="AS26" s="60" t="s">
        <v>32</v>
      </c>
      <c r="AT26" s="61" t="s">
        <v>33</v>
      </c>
    </row>
    <row r="27" spans="2:50" x14ac:dyDescent="0.25">
      <c r="B27" s="12" t="s">
        <v>61</v>
      </c>
      <c r="C27" s="13"/>
      <c r="G27" s="271">
        <f>EDATE(G23,6)</f>
        <v>44896</v>
      </c>
      <c r="H27" s="281">
        <f>H26*1/(1+YEARFRAC($G$26,G27,3)*C41)</f>
        <v>0.95168722053898536</v>
      </c>
      <c r="I27" s="281" cm="1">
        <f t="array" ref="I27">_xll.d.Curve_GetDiscountFactors($D$24,G27)</f>
        <v>0.95168722053898547</v>
      </c>
      <c r="J27" s="263" t="str" cm="1">
        <f t="array" ref="J27">_xll.d.TestUtils_Equal(H27,I27,0.00001)</f>
        <v>OK</v>
      </c>
      <c r="K27" s="242"/>
      <c r="L27" s="243"/>
      <c r="M27" s="12" t="s">
        <v>61</v>
      </c>
      <c r="N27" s="13"/>
      <c r="R27" s="311">
        <f t="shared" si="0"/>
        <v>44777</v>
      </c>
      <c r="S27" s="323">
        <f t="shared" si="1"/>
        <v>0.99710750192663333</v>
      </c>
      <c r="T27" s="330" cm="1">
        <f t="array" ref="T27">_xll.d.Curve_GetDiscountFactors($O$24,R27)</f>
        <v>0.99710750192663322</v>
      </c>
      <c r="U27" s="313" t="str" cm="1">
        <f t="array" ref="U27">_xll.d.TestUtils_Equal(S27,T27,0.001)</f>
        <v>OK</v>
      </c>
      <c r="V27" s="242"/>
      <c r="W27" s="243"/>
      <c r="X27" s="256" t="s">
        <v>36</v>
      </c>
      <c r="Y27" s="257" t="s">
        <v>37</v>
      </c>
      <c r="AA27" s="62"/>
      <c r="AH27" s="252" t="s">
        <v>218</v>
      </c>
      <c r="AI27" s="46">
        <v>44713</v>
      </c>
      <c r="AK27" s="62"/>
      <c r="AS27" s="252" t="s">
        <v>218</v>
      </c>
      <c r="AT27" s="46">
        <v>44713</v>
      </c>
      <c r="AV27" s="62"/>
    </row>
    <row r="28" spans="2:50" x14ac:dyDescent="0.25">
      <c r="B28" s="74" t="s">
        <v>32</v>
      </c>
      <c r="C28" s="76" t="s">
        <v>33</v>
      </c>
      <c r="G28" s="272">
        <f>EDATE(G23,9)</f>
        <v>44986</v>
      </c>
      <c r="H28" s="282">
        <f>H27*1/(1+C42*YEARFRAC(G27,G28,3))</f>
        <v>0.92878565640836808</v>
      </c>
      <c r="I28" s="282" cm="1">
        <f t="array" ref="I28">_xll.d.Curve_GetDiscountFactors($D$24,G28)</f>
        <v>0.92878565640836819</v>
      </c>
      <c r="J28" s="261" t="str" cm="1">
        <f t="array" ref="J28">_xll.d.TestUtils_Equal(H28,I28,0.00001)</f>
        <v>OK</v>
      </c>
      <c r="K28" s="242"/>
      <c r="L28" s="243"/>
      <c r="M28" s="74" t="s">
        <v>32</v>
      </c>
      <c r="N28" s="76" t="s">
        <v>33</v>
      </c>
      <c r="R28" s="311">
        <f t="shared" si="0"/>
        <v>44810</v>
      </c>
      <c r="S28" s="323">
        <f t="shared" si="1"/>
        <v>0.99567448579981488</v>
      </c>
      <c r="T28" s="330" cm="1">
        <f t="array" ref="T28">_xll.d.Curve_GetDiscountFactors($O$24,R28)</f>
        <v>0.99567448579981488</v>
      </c>
      <c r="U28" s="313" t="str" cm="1">
        <f t="array" ref="U28">_xll.d.TestUtils_Equal(S28,T28,0.001)</f>
        <v>OK</v>
      </c>
      <c r="V28" s="242"/>
      <c r="W28" s="243"/>
      <c r="X28" s="256"/>
      <c r="Y28" s="257"/>
      <c r="AA28" s="62"/>
      <c r="AH28" s="253"/>
      <c r="AI28" s="254"/>
      <c r="AK28" s="62"/>
      <c r="AS28" s="253" t="s">
        <v>36</v>
      </c>
      <c r="AT28" s="255" t="s">
        <v>222</v>
      </c>
      <c r="AV28" s="62"/>
    </row>
    <row r="29" spans="2:50" x14ac:dyDescent="0.25">
      <c r="B29" s="258" t="s">
        <v>218</v>
      </c>
      <c r="C29" s="262">
        <v>44713</v>
      </c>
      <c r="E29" s="62"/>
      <c r="K29" s="242"/>
      <c r="L29" s="243"/>
      <c r="M29" s="319" t="s">
        <v>218</v>
      </c>
      <c r="N29" s="321">
        <v>44655</v>
      </c>
      <c r="O29" s="8">
        <v>44651</v>
      </c>
      <c r="P29" s="62"/>
      <c r="R29" s="311">
        <f t="shared" si="0"/>
        <v>44838</v>
      </c>
      <c r="S29" s="323">
        <f t="shared" si="1"/>
        <v>0.99434894919688932</v>
      </c>
      <c r="T29" s="330" cm="1">
        <f t="array" ref="T29">_xll.d.Curve_GetDiscountFactors($O$24,R29)</f>
        <v>0.99434894919688921</v>
      </c>
      <c r="U29" s="314" t="str" cm="1">
        <f t="array" ref="U29">_xll.d.TestUtils_Equal(S29,T29,0.001)</f>
        <v>OK</v>
      </c>
      <c r="V29" s="242"/>
      <c r="W29" s="243"/>
    </row>
    <row r="30" spans="2:50" x14ac:dyDescent="0.25">
      <c r="B30" s="317" t="s">
        <v>258</v>
      </c>
      <c r="C30" s="283" t="s">
        <v>37</v>
      </c>
      <c r="E30" s="62"/>
      <c r="K30" s="242"/>
      <c r="L30" s="243"/>
      <c r="M30" s="317" t="s">
        <v>258</v>
      </c>
      <c r="N30" s="320" t="s">
        <v>67</v>
      </c>
      <c r="P30" s="62"/>
      <c r="R30" s="311">
        <f t="shared" si="0"/>
        <v>44930</v>
      </c>
      <c r="S30" s="323">
        <f t="shared" si="1"/>
        <v>0.98898517758465088</v>
      </c>
      <c r="T30" s="330" cm="1">
        <f t="array" ref="T30">_xll.d.Curve_GetDiscountFactors($O$24,R30)</f>
        <v>0.98898517758465088</v>
      </c>
      <c r="U30" s="314" t="str" cm="1">
        <f t="array" ref="U30">_xll.d.TestUtils_Equal(S30,T30,0.001)</f>
        <v>OK</v>
      </c>
      <c r="V30" s="242"/>
      <c r="W30" s="243"/>
    </row>
    <row r="31" spans="2:50" x14ac:dyDescent="0.25">
      <c r="B31" s="318" t="s">
        <v>57</v>
      </c>
      <c r="C31" s="261" t="s">
        <v>26</v>
      </c>
      <c r="K31" s="242"/>
      <c r="L31" s="243"/>
      <c r="M31" s="144" t="s">
        <v>57</v>
      </c>
      <c r="N31" s="145" t="s">
        <v>68</v>
      </c>
      <c r="P31" s="62"/>
      <c r="R31" s="311">
        <f t="shared" si="0"/>
        <v>45020</v>
      </c>
      <c r="S31" s="323">
        <f t="shared" si="1"/>
        <v>0.98275228786780011</v>
      </c>
      <c r="T31" s="330" cm="1">
        <f t="array" ref="T31">_xll.d.Curve_GetDiscountFactors($O$24,R31)</f>
        <v>0.98275228786780011</v>
      </c>
      <c r="U31" s="314" t="str" cm="1">
        <f t="array" ref="U31">_xll.d.TestUtils_Equal(S31,T31,0.001)</f>
        <v>OK</v>
      </c>
      <c r="V31" s="242"/>
      <c r="W31" s="243"/>
    </row>
    <row r="32" spans="2:50" x14ac:dyDescent="0.25">
      <c r="K32" s="242"/>
      <c r="L32" s="243"/>
      <c r="P32" s="62"/>
      <c r="R32" s="311">
        <f t="shared" si="0"/>
        <v>45203</v>
      </c>
      <c r="S32" s="323">
        <f t="shared" si="1"/>
        <v>0.96919510285098431</v>
      </c>
      <c r="T32" s="330" cm="1">
        <f t="array" ref="T32">_xll.d.Curve_GetDiscountFactors($O$24,R32)</f>
        <v>0.96893365478149973</v>
      </c>
      <c r="U32" s="314" t="str" cm="1">
        <f t="array" ref="U32">_xll.d.TestUtils_Equal(S32,T32,0.001)</f>
        <v>OK</v>
      </c>
      <c r="V32" s="242"/>
      <c r="W32" s="243"/>
      <c r="X32" s="12" t="s">
        <v>23</v>
      </c>
      <c r="Y32" s="13"/>
      <c r="Z32" s="13"/>
      <c r="AH32" s="12" t="s">
        <v>23</v>
      </c>
      <c r="AI32" s="13"/>
      <c r="AJ32" s="13"/>
      <c r="AS32" s="12" t="s">
        <v>23</v>
      </c>
      <c r="AT32" s="13"/>
      <c r="AU32" s="13"/>
    </row>
    <row r="33" spans="2:47" x14ac:dyDescent="0.25">
      <c r="B33" s="12" t="s">
        <v>23</v>
      </c>
      <c r="C33" s="27"/>
      <c r="D33" s="13"/>
      <c r="K33" s="242"/>
      <c r="L33" s="243"/>
      <c r="R33" s="311">
        <f t="shared" ref="R33:R39" si="2">M49</f>
        <v>45386</v>
      </c>
      <c r="S33" s="323">
        <f t="shared" ref="S33:S39" si="3">1/(1+N49*(M49-$R$23)/360)</f>
        <v>0.95528839028731749</v>
      </c>
      <c r="T33" s="330" cm="1">
        <f t="array" ref="T33">_xll.d.Curve_GetDiscountFactors($O$24,R33)</f>
        <v>0.95466125165760329</v>
      </c>
      <c r="U33" s="314" t="str" cm="1">
        <f t="array" ref="U33">_xll.d.TestUtils_Equal(S33,T33,0.001)</f>
        <v>OK</v>
      </c>
      <c r="V33" s="242"/>
      <c r="W33" s="243"/>
      <c r="X33" s="43" t="s">
        <v>39</v>
      </c>
      <c r="Y33" s="44" t="s">
        <v>40</v>
      </c>
      <c r="Z33" s="45" t="s">
        <v>53</v>
      </c>
      <c r="AH33" s="43" t="s">
        <v>39</v>
      </c>
      <c r="AI33" s="44" t="s">
        <v>40</v>
      </c>
      <c r="AJ33" s="45" t="s">
        <v>53</v>
      </c>
      <c r="AS33" s="43" t="s">
        <v>39</v>
      </c>
      <c r="AT33" s="44" t="s">
        <v>40</v>
      </c>
      <c r="AU33" s="45" t="s">
        <v>53</v>
      </c>
    </row>
    <row r="34" spans="2:47" x14ac:dyDescent="0.25">
      <c r="B34" s="74" t="s">
        <v>39</v>
      </c>
      <c r="C34" s="75" t="s">
        <v>40</v>
      </c>
      <c r="D34" s="76" t="s">
        <v>53</v>
      </c>
      <c r="K34" s="242"/>
      <c r="L34" s="243"/>
      <c r="M34" s="12" t="s">
        <v>23</v>
      </c>
      <c r="N34" s="27"/>
      <c r="O34" s="13"/>
      <c r="Q34" t="s">
        <v>62</v>
      </c>
      <c r="R34" s="311">
        <f t="shared" si="2"/>
        <v>45751</v>
      </c>
      <c r="S34" s="323">
        <f t="shared" si="3"/>
        <v>0.93336499860513777</v>
      </c>
      <c r="T34" s="330" cm="1">
        <f t="array" ref="T34">_xll.d.Curve_GetDiscountFactors($O$24,R34)</f>
        <v>0.93172212162756984</v>
      </c>
      <c r="U34" s="314" t="str" cm="1">
        <f t="array" ref="U34">_xll.d.TestUtils_Equal(S34,T34,0.001)</f>
        <v>ERROR</v>
      </c>
      <c r="V34" s="242"/>
      <c r="W34" s="243"/>
      <c r="X34" s="42" t="s">
        <v>27</v>
      </c>
      <c r="Y34" s="42">
        <v>0.1</v>
      </c>
      <c r="Z34" s="42" t="b">
        <v>1</v>
      </c>
      <c r="AH34" s="42" t="s">
        <v>27</v>
      </c>
      <c r="AI34" s="42">
        <v>0.1</v>
      </c>
      <c r="AJ34" s="42" t="b">
        <v>1</v>
      </c>
      <c r="AS34" s="42" t="s">
        <v>27</v>
      </c>
      <c r="AT34" s="42">
        <v>0.1</v>
      </c>
      <c r="AU34" s="42" t="b">
        <v>1</v>
      </c>
    </row>
    <row r="35" spans="2:47" x14ac:dyDescent="0.25">
      <c r="B35" s="291" t="s">
        <v>27</v>
      </c>
      <c r="C35" s="292">
        <v>0.1</v>
      </c>
      <c r="D35" s="293" t="b">
        <v>1</v>
      </c>
      <c r="F35" s="9"/>
      <c r="G35" s="284"/>
      <c r="K35" s="242"/>
      <c r="L35" s="243"/>
      <c r="M35" s="74" t="s">
        <v>39</v>
      </c>
      <c r="N35" s="75" t="s">
        <v>40</v>
      </c>
      <c r="O35" s="76" t="s">
        <v>53</v>
      </c>
      <c r="Q35" s="332" t="s">
        <v>63</v>
      </c>
      <c r="R35" s="311">
        <f t="shared" si="2"/>
        <v>46118</v>
      </c>
      <c r="S35" s="323">
        <f t="shared" si="3"/>
        <v>0.91503040379147926</v>
      </c>
      <c r="T35" s="330" cm="1">
        <f t="array" ref="T35">_xll.d.Curve_GetDiscountFactors($O$24,R35)</f>
        <v>0.91221752721251526</v>
      </c>
      <c r="U35" s="314" t="str" cm="1">
        <f t="array" ref="U35">_xll.d.TestUtils_Equal(S35,T35,0.001)</f>
        <v>ERROR</v>
      </c>
      <c r="V35" s="242"/>
      <c r="W35" s="243"/>
      <c r="X35" s="42" t="s">
        <v>28</v>
      </c>
      <c r="Y35" s="42">
        <v>0.1</v>
      </c>
      <c r="Z35" s="42" t="b">
        <v>1</v>
      </c>
      <c r="AH35" s="42" t="s">
        <v>28</v>
      </c>
      <c r="AI35" s="42">
        <v>0.1</v>
      </c>
      <c r="AJ35" s="42" t="b">
        <v>1</v>
      </c>
      <c r="AS35" s="42" t="s">
        <v>28</v>
      </c>
      <c r="AT35" s="42">
        <v>0.1</v>
      </c>
      <c r="AU35" s="42" t="b">
        <v>1</v>
      </c>
    </row>
    <row r="36" spans="2:47" x14ac:dyDescent="0.25">
      <c r="B36" s="294" t="s">
        <v>28</v>
      </c>
      <c r="C36" s="265">
        <v>0.1</v>
      </c>
      <c r="D36" s="295" t="b">
        <v>1</v>
      </c>
      <c r="F36" s="9"/>
      <c r="K36" s="242"/>
      <c r="L36" s="243"/>
      <c r="M36" s="267" t="s">
        <v>68</v>
      </c>
      <c r="N36" s="269">
        <v>3.3E-3</v>
      </c>
      <c r="O36" s="268" t="b">
        <v>1</v>
      </c>
      <c r="R36" s="311">
        <f t="shared" si="2"/>
        <v>46482</v>
      </c>
      <c r="S36" s="323">
        <f t="shared" si="3"/>
        <v>0.8991532224527552</v>
      </c>
      <c r="T36" s="330" cm="1">
        <f t="array" ref="T36">_xll.d.Curve_GetDiscountFactors($O$24,R36)</f>
        <v>0.8950983340626063</v>
      </c>
      <c r="U36" s="314" t="str" cm="1">
        <f t="array" ref="U36">_xll.d.TestUtils_Equal(S36,T36,0.001)</f>
        <v>ERROR</v>
      </c>
      <c r="V36" s="242"/>
      <c r="W36" s="243"/>
      <c r="X36" s="42" t="s">
        <v>26</v>
      </c>
      <c r="Y36" s="42">
        <v>0.1</v>
      </c>
      <c r="Z36" s="42" t="b">
        <v>1</v>
      </c>
      <c r="AH36" s="42" t="s">
        <v>26</v>
      </c>
      <c r="AI36" s="42">
        <v>0.1</v>
      </c>
      <c r="AJ36" s="42" t="b">
        <v>1</v>
      </c>
      <c r="AS36" s="42" t="s">
        <v>26</v>
      </c>
      <c r="AT36" s="42">
        <v>0.1</v>
      </c>
      <c r="AU36" s="42" t="b">
        <v>1</v>
      </c>
    </row>
    <row r="37" spans="2:47" x14ac:dyDescent="0.25">
      <c r="B37" s="296" t="s">
        <v>26</v>
      </c>
      <c r="C37" s="297">
        <v>0.1</v>
      </c>
      <c r="D37" s="298" t="b">
        <v>1</v>
      </c>
      <c r="F37" s="9"/>
      <c r="K37" s="242"/>
      <c r="L37" s="243"/>
      <c r="R37" s="311">
        <f t="shared" si="2"/>
        <v>47212</v>
      </c>
      <c r="S37" s="323">
        <f t="shared" si="3"/>
        <v>0.86816302924846078</v>
      </c>
      <c r="T37" s="330" cm="1">
        <f t="array" ref="T37">_xll.d.Curve_GetDiscountFactors($O$24,R37)</f>
        <v>0.86082884929520387</v>
      </c>
      <c r="U37" s="314" t="str" cm="1">
        <f t="array" ref="U37">_xll.d.TestUtils_Equal(S37,T37,0.001)</f>
        <v>ERROR</v>
      </c>
      <c r="V37" s="242"/>
      <c r="W37" s="243"/>
      <c r="X37" s="42" t="s">
        <v>29</v>
      </c>
      <c r="Y37" s="42">
        <v>0.1</v>
      </c>
      <c r="Z37" s="42" t="b">
        <v>1</v>
      </c>
      <c r="AH37" s="42" t="s">
        <v>29</v>
      </c>
      <c r="AI37" s="42">
        <v>0.1</v>
      </c>
      <c r="AJ37" s="42" t="b">
        <v>1</v>
      </c>
      <c r="AS37" s="42" t="s">
        <v>29</v>
      </c>
      <c r="AT37" s="42">
        <v>0.1</v>
      </c>
      <c r="AU37" s="42" t="b">
        <v>1</v>
      </c>
    </row>
    <row r="38" spans="2:47" x14ac:dyDescent="0.25">
      <c r="F38" s="9"/>
      <c r="K38" s="242"/>
      <c r="L38" s="243"/>
      <c r="M38" s="12" t="s">
        <v>66</v>
      </c>
      <c r="N38" s="27"/>
      <c r="O38" s="13"/>
      <c r="R38" s="311">
        <f t="shared" si="2"/>
        <v>48309</v>
      </c>
      <c r="S38" s="323">
        <f t="shared" si="3"/>
        <v>0.8245073259537179</v>
      </c>
      <c r="T38" s="330" cm="1">
        <f t="array" ref="T38">_xll.d.Curve_GetDiscountFactors($O$24,R38)</f>
        <v>0.81064184849750731</v>
      </c>
      <c r="U38" s="314" t="str" cm="1">
        <f t="array" ref="U38">_xll.d.TestUtils_Equal(S38,T38,0.001)</f>
        <v>ERROR</v>
      </c>
      <c r="V38" s="242"/>
      <c r="W38" s="243"/>
    </row>
    <row r="39" spans="2:47" x14ac:dyDescent="0.25">
      <c r="B39" s="12" t="s">
        <v>38</v>
      </c>
      <c r="C39" s="27"/>
      <c r="D39" s="13"/>
      <c r="F39" s="9"/>
      <c r="K39" s="242"/>
      <c r="L39" s="243"/>
      <c r="M39" s="74" t="s">
        <v>69</v>
      </c>
      <c r="N39" s="75" t="s">
        <v>40</v>
      </c>
      <c r="O39" s="76" t="s">
        <v>53</v>
      </c>
      <c r="R39" s="311">
        <f t="shared" si="2"/>
        <v>49038</v>
      </c>
      <c r="S39" s="323">
        <f t="shared" si="3"/>
        <v>0.79638441475700317</v>
      </c>
      <c r="T39" s="330" cm="1">
        <f t="array" ref="T39">_xll.d.Curve_GetDiscountFactors($O$24,R39)</f>
        <v>0.77697680844404871</v>
      </c>
      <c r="U39" s="314" t="str" cm="1">
        <f t="array" ref="U39">_xll.d.TestUtils_Equal(S39,T39,0.001)</f>
        <v>ERROR</v>
      </c>
      <c r="V39" s="242"/>
      <c r="W39" s="243"/>
      <c r="X39" s="12" t="s">
        <v>38</v>
      </c>
      <c r="Y39" s="13"/>
      <c r="Z39" s="13"/>
      <c r="AH39" s="12" t="s">
        <v>38</v>
      </c>
      <c r="AI39" s="13"/>
      <c r="AJ39" s="13"/>
      <c r="AS39" s="12" t="s">
        <v>38</v>
      </c>
      <c r="AT39" s="13"/>
      <c r="AU39" s="13"/>
    </row>
    <row r="40" spans="2:47" x14ac:dyDescent="0.25">
      <c r="B40" s="74" t="s">
        <v>231</v>
      </c>
      <c r="C40" s="75" t="s">
        <v>40</v>
      </c>
      <c r="D40" s="76" t="s">
        <v>53</v>
      </c>
      <c r="F40" s="9"/>
      <c r="K40" s="242"/>
      <c r="L40" s="243"/>
      <c r="M40" s="244">
        <v>44685</v>
      </c>
      <c r="N40" s="325">
        <v>3.4199999999999999E-3</v>
      </c>
      <c r="O40" s="246" t="b">
        <v>1</v>
      </c>
      <c r="T40" s="324"/>
      <c r="U40" s="331"/>
      <c r="V40" s="242"/>
      <c r="W40" s="243"/>
      <c r="X40" s="43" t="s">
        <v>39</v>
      </c>
      <c r="Y40" s="44" t="s">
        <v>40</v>
      </c>
      <c r="Z40" s="45" t="s">
        <v>53</v>
      </c>
      <c r="AH40" s="43" t="s">
        <v>39</v>
      </c>
      <c r="AI40" s="44" t="s">
        <v>40</v>
      </c>
      <c r="AJ40" s="45" t="s">
        <v>53</v>
      </c>
      <c r="AS40" s="43" t="s">
        <v>39</v>
      </c>
      <c r="AT40" s="44" t="s">
        <v>40</v>
      </c>
      <c r="AU40" s="45" t="s">
        <v>53</v>
      </c>
    </row>
    <row r="41" spans="2:47" x14ac:dyDescent="0.25">
      <c r="B41" s="300" t="s">
        <v>232</v>
      </c>
      <c r="C41" s="290">
        <v>0.1</v>
      </c>
      <c r="D41" s="289" t="b">
        <v>1</v>
      </c>
      <c r="F41" s="9"/>
      <c r="G41" s="8"/>
      <c r="K41" s="242"/>
      <c r="L41" s="243"/>
      <c r="M41" s="245">
        <v>44718</v>
      </c>
      <c r="N41" s="326">
        <v>5.6499999999999996E-3</v>
      </c>
      <c r="O41" s="247" t="b">
        <v>1</v>
      </c>
      <c r="T41" s="324"/>
      <c r="U41" s="331"/>
      <c r="V41" s="242"/>
      <c r="W41" s="243"/>
      <c r="X41" s="42" t="s">
        <v>29</v>
      </c>
      <c r="Y41" s="42">
        <v>0.1</v>
      </c>
      <c r="Z41" s="42" t="b">
        <v>1</v>
      </c>
      <c r="AH41" s="42" t="s">
        <v>29</v>
      </c>
      <c r="AI41" s="42">
        <v>0.1</v>
      </c>
      <c r="AJ41" s="42" t="b">
        <v>1</v>
      </c>
      <c r="AS41" s="42" t="s">
        <v>29</v>
      </c>
      <c r="AT41" s="42">
        <v>0.1</v>
      </c>
      <c r="AU41" s="42" t="b">
        <v>1</v>
      </c>
    </row>
    <row r="42" spans="2:47" x14ac:dyDescent="0.25">
      <c r="B42" s="301" t="s">
        <v>233</v>
      </c>
      <c r="C42" s="285">
        <v>0.1</v>
      </c>
      <c r="D42" s="286" t="b">
        <v>1</v>
      </c>
      <c r="F42" s="9"/>
      <c r="G42" s="299" t="s">
        <v>229</v>
      </c>
      <c r="K42" s="242"/>
      <c r="L42" s="243"/>
      <c r="M42" s="245">
        <v>44747</v>
      </c>
      <c r="N42" s="326">
        <v>7.1799999999999998E-3</v>
      </c>
      <c r="O42" s="247" t="b">
        <v>1</v>
      </c>
      <c r="T42" s="324"/>
      <c r="U42" s="331"/>
      <c r="V42" s="242"/>
      <c r="W42" s="243"/>
      <c r="X42" s="42" t="s">
        <v>30</v>
      </c>
      <c r="Y42" s="42">
        <v>0.1</v>
      </c>
      <c r="Z42" s="42" t="b">
        <v>1</v>
      </c>
      <c r="AH42" s="42" t="s">
        <v>30</v>
      </c>
      <c r="AI42" s="42">
        <v>0.1</v>
      </c>
      <c r="AJ42" s="42" t="b">
        <v>1</v>
      </c>
      <c r="AS42" s="42" t="s">
        <v>30</v>
      </c>
      <c r="AT42" s="42">
        <v>0.1</v>
      </c>
      <c r="AU42" s="42" t="b">
        <v>1</v>
      </c>
    </row>
    <row r="43" spans="2:47" x14ac:dyDescent="0.25">
      <c r="B43" s="302" t="s">
        <v>234</v>
      </c>
      <c r="C43" s="287">
        <v>0.1</v>
      </c>
      <c r="D43" s="288" t="b">
        <v>1</v>
      </c>
      <c r="F43" s="9"/>
      <c r="G43" t="s">
        <v>253</v>
      </c>
      <c r="K43" s="242"/>
      <c r="L43" s="243"/>
      <c r="M43" s="245">
        <v>44777</v>
      </c>
      <c r="N43" s="326">
        <v>8.5599999999999999E-3</v>
      </c>
      <c r="O43" s="247" t="b">
        <v>1</v>
      </c>
      <c r="T43" s="324"/>
      <c r="U43" s="331"/>
      <c r="V43" s="242"/>
      <c r="W43" s="243"/>
    </row>
    <row r="44" spans="2:47" x14ac:dyDescent="0.25">
      <c r="F44" s="9"/>
      <c r="G44" s="315" t="s">
        <v>252</v>
      </c>
      <c r="K44" s="242"/>
      <c r="L44" s="243"/>
      <c r="M44" s="245">
        <v>44810</v>
      </c>
      <c r="N44" s="326">
        <v>1.0089999999999998E-2</v>
      </c>
      <c r="O44" s="247" t="b">
        <v>1</v>
      </c>
      <c r="T44" s="324"/>
      <c r="U44" s="331"/>
      <c r="V44" s="242"/>
      <c r="W44" s="243"/>
      <c r="X44" s="12" t="s">
        <v>46</v>
      </c>
      <c r="Y44" s="13"/>
      <c r="Z44" s="13"/>
      <c r="AH44" s="12" t="s">
        <v>46</v>
      </c>
      <c r="AI44" s="13"/>
      <c r="AJ44" s="13"/>
      <c r="AS44" s="12" t="s">
        <v>46</v>
      </c>
      <c r="AT44" s="13"/>
      <c r="AU44" s="13"/>
    </row>
    <row r="45" spans="2:47" x14ac:dyDescent="0.25">
      <c r="B45" s="12" t="s">
        <v>46</v>
      </c>
      <c r="C45" s="27"/>
      <c r="D45" s="13"/>
      <c r="K45" s="242"/>
      <c r="L45" s="243"/>
      <c r="M45" s="245">
        <v>44838</v>
      </c>
      <c r="N45" s="326">
        <v>1.1180000000000001E-2</v>
      </c>
      <c r="O45" s="247" t="b">
        <v>1</v>
      </c>
      <c r="V45" s="242"/>
      <c r="W45" s="243"/>
      <c r="X45" s="43" t="s">
        <v>39</v>
      </c>
      <c r="Y45" s="44" t="s">
        <v>40</v>
      </c>
      <c r="Z45" s="45" t="s">
        <v>53</v>
      </c>
      <c r="AH45" s="43" t="s">
        <v>39</v>
      </c>
      <c r="AI45" s="44" t="s">
        <v>40</v>
      </c>
      <c r="AJ45" s="45" t="s">
        <v>53</v>
      </c>
      <c r="AS45" s="43" t="s">
        <v>39</v>
      </c>
      <c r="AT45" s="44" t="s">
        <v>40</v>
      </c>
      <c r="AU45" s="45" t="s">
        <v>53</v>
      </c>
    </row>
    <row r="46" spans="2:47" x14ac:dyDescent="0.25">
      <c r="B46" s="74" t="s">
        <v>39</v>
      </c>
      <c r="C46" s="75" t="s">
        <v>40</v>
      </c>
      <c r="D46" s="76" t="s">
        <v>53</v>
      </c>
      <c r="K46" s="242"/>
      <c r="L46" s="243"/>
      <c r="M46" s="245">
        <v>44930</v>
      </c>
      <c r="N46" s="326">
        <v>1.4579999999999999E-2</v>
      </c>
      <c r="O46" s="247" t="b">
        <v>1</v>
      </c>
      <c r="V46" s="242"/>
      <c r="W46" s="243"/>
      <c r="X46" s="42" t="s">
        <v>63</v>
      </c>
      <c r="Y46" s="42">
        <v>0.1</v>
      </c>
      <c r="Z46" s="42" t="b">
        <v>1</v>
      </c>
      <c r="AH46" s="42" t="s">
        <v>63</v>
      </c>
      <c r="AI46" s="42">
        <v>0.1</v>
      </c>
      <c r="AJ46" s="42" t="b">
        <v>1</v>
      </c>
      <c r="AS46" s="42" t="s">
        <v>63</v>
      </c>
      <c r="AT46" s="42">
        <v>0.1</v>
      </c>
      <c r="AU46" s="42" t="b">
        <v>1</v>
      </c>
    </row>
    <row r="47" spans="2:47" x14ac:dyDescent="0.25">
      <c r="B47" s="258" t="s">
        <v>63</v>
      </c>
      <c r="C47" s="264">
        <v>0.1</v>
      </c>
      <c r="D47" s="259" t="b">
        <v>1</v>
      </c>
      <c r="K47" s="242"/>
      <c r="L47" s="243"/>
      <c r="M47" s="245">
        <v>45020</v>
      </c>
      <c r="N47" s="326">
        <v>1.7310000000000002E-2</v>
      </c>
      <c r="O47" s="247" t="b">
        <v>1</v>
      </c>
      <c r="R47" t="s">
        <v>259</v>
      </c>
      <c r="S47" s="328">
        <f>1/(1+N36*(1/360))</f>
        <v>0.99999083341736039</v>
      </c>
      <c r="V47" s="242"/>
      <c r="W47" s="243"/>
      <c r="X47" s="42" t="s">
        <v>70</v>
      </c>
      <c r="Y47" s="42">
        <v>0.1</v>
      </c>
      <c r="Z47" s="42" t="b">
        <v>1</v>
      </c>
      <c r="AH47" s="42" t="s">
        <v>70</v>
      </c>
      <c r="AI47" s="42">
        <v>0.1</v>
      </c>
      <c r="AJ47" s="42" t="b">
        <v>1</v>
      </c>
      <c r="AS47" s="42" t="s">
        <v>70</v>
      </c>
      <c r="AT47" s="42">
        <v>0.1</v>
      </c>
      <c r="AU47" s="42" t="b">
        <v>1</v>
      </c>
    </row>
    <row r="48" spans="2:47" x14ac:dyDescent="0.25">
      <c r="B48" s="260" t="s">
        <v>70</v>
      </c>
      <c r="C48" s="266">
        <v>0.1</v>
      </c>
      <c r="D48" s="261" t="b">
        <v>1</v>
      </c>
      <c r="K48" s="242"/>
      <c r="L48" s="243"/>
      <c r="M48" s="245">
        <v>45203</v>
      </c>
      <c r="N48" s="326">
        <v>2.0879999999999999E-2</v>
      </c>
      <c r="O48" s="247" t="b">
        <v>1</v>
      </c>
      <c r="R48" t="s">
        <v>81</v>
      </c>
      <c r="S48" s="328">
        <f>EXP(-N36/360)</f>
        <v>0.99999083337534711</v>
      </c>
      <c r="V48" s="242"/>
      <c r="W48" s="243"/>
      <c r="X48" s="64"/>
      <c r="Y48" s="64"/>
      <c r="Z48" s="64"/>
      <c r="AA48" s="64"/>
      <c r="AB48" s="64"/>
      <c r="AC48" s="64"/>
      <c r="AD48" s="64"/>
      <c r="AE48" s="64"/>
      <c r="AF48" s="64"/>
      <c r="AG48" s="64"/>
    </row>
    <row r="49" spans="11:33" x14ac:dyDescent="0.25">
      <c r="K49" s="242"/>
      <c r="L49" s="243"/>
      <c r="M49" s="245">
        <v>45386</v>
      </c>
      <c r="N49" s="326">
        <v>2.3050000000000001E-2</v>
      </c>
      <c r="O49" s="247" t="b">
        <v>1</v>
      </c>
      <c r="R49" t="s">
        <v>260</v>
      </c>
      <c r="S49" s="328">
        <f>(1+N36)^(-1/360)</f>
        <v>0.99999084846701602</v>
      </c>
      <c r="V49" s="242"/>
      <c r="W49" s="243"/>
      <c r="X49" s="64"/>
      <c r="Y49" s="64"/>
      <c r="Z49" s="64"/>
      <c r="AA49" s="64"/>
      <c r="AB49" s="64"/>
      <c r="AC49" s="64"/>
      <c r="AD49" s="64"/>
      <c r="AE49" s="64"/>
      <c r="AF49" s="64"/>
      <c r="AG49" s="64"/>
    </row>
    <row r="50" spans="11:33" x14ac:dyDescent="0.25">
      <c r="K50" s="242"/>
      <c r="L50" s="243"/>
      <c r="M50" s="245">
        <v>45751</v>
      </c>
      <c r="N50" s="326">
        <v>2.3450000000000002E-2</v>
      </c>
      <c r="O50" s="247" t="b">
        <v>1</v>
      </c>
      <c r="V50" s="242"/>
      <c r="W50" s="243"/>
      <c r="X50" s="64"/>
      <c r="Y50" s="64"/>
      <c r="Z50" s="64"/>
      <c r="AA50" s="64"/>
      <c r="AB50" s="64"/>
      <c r="AC50" s="64"/>
      <c r="AD50" s="64"/>
      <c r="AE50" s="64"/>
      <c r="AF50" s="64"/>
      <c r="AG50" s="64"/>
    </row>
    <row r="51" spans="11:33" x14ac:dyDescent="0.25">
      <c r="K51" s="242"/>
      <c r="L51" s="243"/>
      <c r="M51" s="245">
        <v>46118</v>
      </c>
      <c r="N51" s="326">
        <v>2.2850000000000002E-2</v>
      </c>
      <c r="O51" s="247" t="b">
        <v>1</v>
      </c>
      <c r="V51" s="242"/>
      <c r="W51" s="243"/>
      <c r="X51" s="64"/>
      <c r="Y51" s="64"/>
      <c r="Z51" s="64"/>
      <c r="AA51" s="64"/>
      <c r="AB51" s="64"/>
      <c r="AC51" s="64"/>
      <c r="AD51" s="64"/>
      <c r="AE51" s="64"/>
      <c r="AF51" s="64"/>
      <c r="AG51" s="64"/>
    </row>
    <row r="52" spans="11:33" x14ac:dyDescent="0.25">
      <c r="K52" s="242"/>
      <c r="L52" s="243"/>
      <c r="M52" s="245">
        <v>46482</v>
      </c>
      <c r="N52" s="326">
        <v>2.2099999999999998E-2</v>
      </c>
      <c r="O52" s="247" t="b">
        <v>1</v>
      </c>
      <c r="V52" s="242"/>
      <c r="W52" s="243"/>
      <c r="X52" s="64"/>
      <c r="Y52" s="64"/>
      <c r="Z52" s="64"/>
      <c r="AA52" s="64"/>
      <c r="AB52" s="64"/>
      <c r="AC52" s="64"/>
      <c r="AD52" s="64"/>
      <c r="AE52" s="64"/>
      <c r="AF52" s="64"/>
      <c r="AG52" s="64"/>
    </row>
    <row r="53" spans="11:33" x14ac:dyDescent="0.25">
      <c r="K53" s="242"/>
      <c r="L53" s="243"/>
      <c r="M53" s="245">
        <v>47212</v>
      </c>
      <c r="N53" s="326">
        <v>2.138E-2</v>
      </c>
      <c r="O53" s="247" t="b">
        <v>1</v>
      </c>
      <c r="V53" s="242"/>
      <c r="W53" s="243"/>
      <c r="X53" s="64"/>
      <c r="Y53" s="64"/>
      <c r="Z53" s="64"/>
      <c r="AA53" s="64"/>
      <c r="AB53" s="64"/>
      <c r="AC53" s="64"/>
      <c r="AD53" s="64"/>
      <c r="AE53" s="64"/>
      <c r="AF53" s="64"/>
      <c r="AG53" s="64"/>
    </row>
    <row r="54" spans="11:33" x14ac:dyDescent="0.25">
      <c r="K54" s="242"/>
      <c r="L54" s="243"/>
      <c r="M54" s="245">
        <v>48309</v>
      </c>
      <c r="N54" s="326">
        <v>2.0969999999999999E-2</v>
      </c>
      <c r="O54" s="247" t="b">
        <v>1</v>
      </c>
      <c r="V54" s="242"/>
      <c r="W54" s="243"/>
      <c r="X54" s="64"/>
      <c r="Y54" s="64"/>
      <c r="Z54" s="64"/>
      <c r="AA54" s="64"/>
      <c r="AB54" s="64"/>
      <c r="AC54" s="64"/>
      <c r="AD54" s="64"/>
      <c r="AE54" s="64"/>
      <c r="AF54" s="64"/>
      <c r="AG54" s="64"/>
    </row>
    <row r="55" spans="11:33" x14ac:dyDescent="0.25">
      <c r="K55" s="242"/>
      <c r="L55" s="243"/>
      <c r="M55" s="245">
        <v>49038</v>
      </c>
      <c r="N55" s="326">
        <v>2.1000000000000001E-2</v>
      </c>
      <c r="O55" s="247" t="b">
        <v>1</v>
      </c>
      <c r="V55" s="242"/>
      <c r="W55" s="243"/>
      <c r="X55" s="64"/>
      <c r="Y55" s="64"/>
      <c r="Z55" s="64"/>
      <c r="AA55" s="64"/>
      <c r="AB55" s="64"/>
      <c r="AC55" s="64"/>
      <c r="AD55" s="64"/>
      <c r="AE55" s="64"/>
      <c r="AF55" s="64"/>
      <c r="AG55" s="64"/>
    </row>
    <row r="56" spans="11:33" x14ac:dyDescent="0.25">
      <c r="K56" s="242"/>
      <c r="L56" s="243"/>
      <c r="M56" s="245">
        <v>50136</v>
      </c>
      <c r="N56" s="326">
        <v>2.0959999999999999E-2</v>
      </c>
      <c r="O56" s="247" t="b">
        <v>1</v>
      </c>
      <c r="V56" s="242"/>
      <c r="W56" s="243"/>
      <c r="X56" s="64"/>
      <c r="Y56" s="64"/>
      <c r="Z56" s="64"/>
      <c r="AA56" s="64"/>
      <c r="AB56" s="64"/>
      <c r="AC56" s="64"/>
      <c r="AD56" s="64"/>
      <c r="AE56" s="64"/>
      <c r="AF56" s="64"/>
      <c r="AG56" s="64"/>
    </row>
    <row r="57" spans="11:33" x14ac:dyDescent="0.25">
      <c r="K57" s="242"/>
      <c r="L57" s="243"/>
      <c r="M57" s="245">
        <v>51963</v>
      </c>
      <c r="N57" s="326">
        <v>2.0830000000000001E-2</v>
      </c>
      <c r="O57" s="247" t="b">
        <v>1</v>
      </c>
      <c r="V57" s="242"/>
      <c r="W57" s="243"/>
      <c r="X57" s="64"/>
      <c r="Y57" s="64"/>
      <c r="Z57" s="64"/>
      <c r="AA57" s="64"/>
      <c r="AB57" s="64"/>
      <c r="AC57" s="64"/>
      <c r="AD57" s="64"/>
      <c r="AE57" s="64"/>
      <c r="AF57" s="64"/>
      <c r="AG57" s="64"/>
    </row>
    <row r="58" spans="11:33" x14ac:dyDescent="0.25">
      <c r="K58" s="242"/>
      <c r="L58" s="243"/>
      <c r="M58" s="245">
        <v>53786</v>
      </c>
      <c r="N58" s="326">
        <v>2.0250000000000001E-2</v>
      </c>
      <c r="O58" s="247" t="b">
        <v>1</v>
      </c>
      <c r="V58" s="242"/>
      <c r="W58" s="243"/>
      <c r="X58" s="64"/>
      <c r="Y58" s="64"/>
      <c r="Z58" s="64"/>
      <c r="AA58" s="64"/>
      <c r="AB58" s="64"/>
      <c r="AC58" s="64"/>
      <c r="AD58" s="64"/>
      <c r="AE58" s="64"/>
      <c r="AF58" s="64"/>
      <c r="AG58" s="64"/>
    </row>
    <row r="59" spans="11:33" x14ac:dyDescent="0.25">
      <c r="K59" s="242"/>
      <c r="L59" s="243"/>
      <c r="M59" s="249">
        <v>55613</v>
      </c>
      <c r="N59" s="327">
        <v>1.9550000000000001E-2</v>
      </c>
      <c r="O59" s="248" t="b">
        <v>1</v>
      </c>
      <c r="V59" s="242"/>
      <c r="W59" s="243"/>
      <c r="X59" s="64"/>
      <c r="Y59" s="64"/>
      <c r="Z59" s="64"/>
      <c r="AA59" s="64"/>
      <c r="AB59" s="64"/>
      <c r="AC59" s="64"/>
      <c r="AD59" s="64"/>
      <c r="AE59" s="64"/>
      <c r="AF59" s="64"/>
      <c r="AG59" s="64"/>
    </row>
    <row r="60" spans="11:33" x14ac:dyDescent="0.25">
      <c r="K60" s="242"/>
      <c r="L60" s="243"/>
      <c r="V60" s="242"/>
      <c r="W60" s="243"/>
      <c r="X60" s="64"/>
      <c r="Y60" s="64"/>
      <c r="Z60" s="64"/>
      <c r="AA60" s="64"/>
      <c r="AB60" s="64"/>
      <c r="AC60" s="64"/>
      <c r="AD60" s="64"/>
      <c r="AE60" s="64"/>
      <c r="AF60" s="64"/>
      <c r="AG60" s="64"/>
    </row>
    <row r="61" spans="11:33" x14ac:dyDescent="0.25">
      <c r="K61" s="242"/>
      <c r="L61" s="243"/>
      <c r="V61" s="242"/>
      <c r="W61" s="243"/>
    </row>
    <row r="62" spans="11:33" x14ac:dyDescent="0.25">
      <c r="K62" s="242"/>
      <c r="L62" s="243"/>
      <c r="V62" s="242"/>
      <c r="W62" s="243"/>
    </row>
    <row r="63" spans="11:33" x14ac:dyDescent="0.25">
      <c r="K63" s="242"/>
      <c r="L63" s="243"/>
      <c r="V63" s="242"/>
      <c r="W63" s="243"/>
    </row>
    <row r="64" spans="11:33" x14ac:dyDescent="0.25">
      <c r="K64" s="242"/>
      <c r="L64" s="243"/>
      <c r="V64" s="242"/>
      <c r="W64" s="243"/>
    </row>
    <row r="65" spans="11:23" x14ac:dyDescent="0.25">
      <c r="K65" s="242"/>
      <c r="L65" s="243"/>
      <c r="V65" s="242"/>
      <c r="W65" s="243"/>
    </row>
    <row r="66" spans="11:23" x14ac:dyDescent="0.25">
      <c r="K66" s="242"/>
      <c r="L66" s="243"/>
      <c r="V66" s="242"/>
      <c r="W66" s="243"/>
    </row>
  </sheetData>
  <conditionalFormatting sqref="J23:J28 D10 D13:D14">
    <cfRule type="cellIs" dxfId="158" priority="10" stopIfTrue="1" operator="equal">
      <formula>"ERROR"</formula>
    </cfRule>
    <cfRule type="cellIs" dxfId="157" priority="11" stopIfTrue="1" operator="equal">
      <formula>"OK"</formula>
    </cfRule>
    <cfRule type="cellIs" dxfId="156" priority="12" stopIfTrue="1" operator="equal">
      <formula>"WARNING"</formula>
    </cfRule>
  </conditionalFormatting>
  <conditionalFormatting sqref="U23:U39">
    <cfRule type="cellIs" dxfId="155" priority="13" stopIfTrue="1" operator="equal">
      <formula>"ERROR"</formula>
    </cfRule>
    <cfRule type="cellIs" dxfId="154" priority="14" stopIfTrue="1" operator="equal">
      <formula>"OK"</formula>
    </cfRule>
    <cfRule type="cellIs" dxfId="153" priority="15" stopIfTrue="1" operator="equal">
      <formula>"WARNING"</formula>
    </cfRule>
  </conditionalFormatting>
  <conditionalFormatting sqref="C6">
    <cfRule type="cellIs" dxfId="152" priority="7" stopIfTrue="1" operator="equal">
      <formula>"ERROR"</formula>
    </cfRule>
    <cfRule type="cellIs" dxfId="151" priority="8" stopIfTrue="1" operator="equal">
      <formula>"OK"</formula>
    </cfRule>
    <cfRule type="cellIs" dxfId="150" priority="9" stopIfTrue="1" operator="equal">
      <formula>"WARNING"</formula>
    </cfRule>
  </conditionalFormatting>
  <conditionalFormatting sqref="C21">
    <cfRule type="cellIs" dxfId="149" priority="4" stopIfTrue="1" operator="equal">
      <formula>"ERROR"</formula>
    </cfRule>
    <cfRule type="cellIs" dxfId="148" priority="5" stopIfTrue="1" operator="equal">
      <formula>"OK"</formula>
    </cfRule>
    <cfRule type="cellIs" dxfId="147" priority="6" stopIfTrue="1" operator="equal">
      <formula>"WARNING"</formula>
    </cfRule>
  </conditionalFormatting>
  <conditionalFormatting sqref="N21">
    <cfRule type="cellIs" dxfId="146" priority="1" stopIfTrue="1" operator="equal">
      <formula>"ERROR"</formula>
    </cfRule>
    <cfRule type="cellIs" dxfId="145" priority="2" stopIfTrue="1" operator="equal">
      <formula>"OK"</formula>
    </cfRule>
    <cfRule type="cellIs" dxfId="144" priority="3" stopIfTrue="1" operator="equal">
      <formula>"WARNING"</formula>
    </cfRule>
  </conditionalFormatting>
  <hyperlinks>
    <hyperlink ref="G44" r:id="rId1" xr:uid="{6E83939E-DE65-46DA-A531-F038BB9EC528}"/>
  </hyperlinks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8283A-9D41-4788-93EB-0BC431C290EC}">
  <sheetPr codeName="Sheet4">
    <tabColor theme="4" tint="-0.499984740745262"/>
  </sheetPr>
  <dimension ref="B2:M39"/>
  <sheetViews>
    <sheetView showGridLines="0" zoomScale="114" workbookViewId="0">
      <selection activeCell="D1" sqref="D1"/>
    </sheetView>
  </sheetViews>
  <sheetFormatPr defaultRowHeight="15" x14ac:dyDescent="0.25"/>
  <cols>
    <col min="1" max="1" width="3.75" customWidth="1"/>
    <col min="2" max="2" width="15.5" customWidth="1"/>
    <col min="3" max="3" width="21.625" customWidth="1"/>
    <col min="4" max="4" width="15.875" customWidth="1"/>
    <col min="5" max="6" width="21" customWidth="1"/>
    <col min="7" max="7" width="15" customWidth="1"/>
    <col min="8" max="8" width="22.5" customWidth="1"/>
    <col min="9" max="9" width="21.5" customWidth="1"/>
    <col min="10" max="10" width="13.5" customWidth="1"/>
    <col min="11" max="11" width="17.875" customWidth="1"/>
    <col min="13" max="13" width="27.375" customWidth="1"/>
  </cols>
  <sheetData>
    <row r="2" spans="2:13" ht="26.25" x14ac:dyDescent="0.4">
      <c r="B2" s="2" t="s">
        <v>59</v>
      </c>
      <c r="C2" s="2"/>
      <c r="D2" s="2"/>
      <c r="E2" s="2"/>
      <c r="F2" s="2"/>
      <c r="G2" s="2"/>
      <c r="H2" s="2"/>
      <c r="I2" s="2"/>
      <c r="J2" s="2"/>
      <c r="K2" s="2"/>
    </row>
    <row r="4" spans="2:13" x14ac:dyDescent="0.25">
      <c r="B4" s="47" t="s">
        <v>50</v>
      </c>
      <c r="C4" s="47"/>
      <c r="D4" s="50" t="e" cm="1">
        <f t="array" ref="D4">_xll.d.Curve_SingleCurveBootstrap("ForecastingCurve",C9,B24:D29,B31:D34)</f>
        <v>#VALUE!</v>
      </c>
      <c r="E4" s="51"/>
    </row>
    <row r="5" spans="2:13" x14ac:dyDescent="0.25">
      <c r="B5" s="47" t="s">
        <v>51</v>
      </c>
      <c r="C5" s="47"/>
      <c r="D5" s="52" t="e" cm="1">
        <f t="array" ref="D5">_xll.d.Curve_SingleCurveBootstrap("DiscountingCurve",C9,B24:D29,B31:D34)</f>
        <v>#VALUE!</v>
      </c>
      <c r="E5" s="53"/>
    </row>
    <row r="7" spans="2:13" ht="18.75" x14ac:dyDescent="0.3">
      <c r="B7" s="58" t="s">
        <v>61</v>
      </c>
      <c r="C7" s="59"/>
      <c r="D7" s="64"/>
      <c r="E7" s="64"/>
      <c r="I7" s="3" t="s">
        <v>34</v>
      </c>
      <c r="J7" s="3"/>
      <c r="K7" s="3"/>
      <c r="L7" s="3"/>
      <c r="M7" s="3"/>
    </row>
    <row r="8" spans="2:13" x14ac:dyDescent="0.25">
      <c r="B8" s="60" t="s">
        <v>32</v>
      </c>
      <c r="C8" s="61" t="s">
        <v>33</v>
      </c>
      <c r="D8" s="64"/>
      <c r="E8" s="64"/>
    </row>
    <row r="9" spans="2:13" x14ac:dyDescent="0.25">
      <c r="B9" s="42" t="s">
        <v>31</v>
      </c>
      <c r="C9" s="46">
        <v>44713</v>
      </c>
      <c r="I9" s="23" t="s">
        <v>35</v>
      </c>
      <c r="J9" s="41" t="s">
        <v>42</v>
      </c>
      <c r="K9" s="41" t="s">
        <v>43</v>
      </c>
      <c r="L9" s="41" t="s">
        <v>44</v>
      </c>
      <c r="M9" s="41" t="s">
        <v>45</v>
      </c>
    </row>
    <row r="10" spans="2:13" x14ac:dyDescent="0.25">
      <c r="B10" s="42" t="s">
        <v>50</v>
      </c>
      <c r="C10" s="54" t="s">
        <v>52</v>
      </c>
      <c r="F10" s="9"/>
      <c r="G10" s="9"/>
      <c r="H10" s="9"/>
      <c r="I10" s="8">
        <f>C9</f>
        <v>44713</v>
      </c>
      <c r="J10">
        <v>1</v>
      </c>
      <c r="K10" s="48" t="e" cm="1">
        <f t="array" aca="1" ref="K10" ca="1">_xll.d.Curve_DF($D$4,I10)</f>
        <v>#NAME?</v>
      </c>
      <c r="L10" s="48" t="e">
        <f t="shared" ref="L10:L15" ca="1" si="0">J10-K10</f>
        <v>#NAME?</v>
      </c>
      <c r="M10" s="49" t="e">
        <f ca="1">L10/J10</f>
        <v>#NAME?</v>
      </c>
    </row>
    <row r="11" spans="2:13" x14ac:dyDescent="0.25">
      <c r="B11" s="42" t="s">
        <v>51</v>
      </c>
      <c r="C11" s="54" t="s">
        <v>48</v>
      </c>
      <c r="F11" s="9"/>
      <c r="G11" s="9"/>
      <c r="H11" s="9"/>
      <c r="I11" s="8">
        <f>EDATE(I10,1)</f>
        <v>44743</v>
      </c>
      <c r="J11">
        <f>EXP(-D26*YEARFRAC($C$9,I11,3))</f>
        <v>0.99181450701087914</v>
      </c>
      <c r="K11" s="48" t="e" cm="1">
        <f t="array" aca="1" ref="K11" ca="1">_xll.d.Curve_DF($D$4,I11)</f>
        <v>#NAME?</v>
      </c>
      <c r="L11" s="48" t="e">
        <f t="shared" ca="1" si="0"/>
        <v>#NAME?</v>
      </c>
      <c r="M11" s="49" t="e">
        <f t="shared" ref="M11:M12" ca="1" si="1">L11/J11</f>
        <v>#NAME?</v>
      </c>
    </row>
    <row r="12" spans="2:13" x14ac:dyDescent="0.25">
      <c r="B12" s="55" t="s">
        <v>54</v>
      </c>
      <c r="C12" s="54" t="s">
        <v>55</v>
      </c>
      <c r="F12" s="9"/>
      <c r="G12" s="9"/>
      <c r="H12" s="9"/>
      <c r="I12" s="8">
        <f>EDATE(I10,2)</f>
        <v>44774</v>
      </c>
      <c r="J12">
        <f>EXP(-D27*YEARFRAC($C$9,I12,3))</f>
        <v>0.98342654747456371</v>
      </c>
      <c r="K12" s="48" t="e" cm="1">
        <f t="array" aca="1" ref="K12" ca="1">_xll.d.Curve_DF($D$4,I12)</f>
        <v>#NAME?</v>
      </c>
      <c r="L12" s="48" t="e">
        <f t="shared" ca="1" si="0"/>
        <v>#NAME?</v>
      </c>
      <c r="M12" s="49" t="e">
        <f t="shared" ca="1" si="1"/>
        <v>#NAME?</v>
      </c>
    </row>
    <row r="13" spans="2:13" x14ac:dyDescent="0.25">
      <c r="F13" s="9"/>
      <c r="G13" s="9"/>
      <c r="H13" s="9"/>
      <c r="I13" s="8">
        <f>EDATE(I10,3)</f>
        <v>44805</v>
      </c>
      <c r="J13">
        <f>EXP(-D28*YEARFRAC($C$9,I13,3))</f>
        <v>0.97510952647028781</v>
      </c>
      <c r="K13" s="48" t="e" cm="1">
        <f t="array" aca="1" ref="K13" ca="1">_xll.d.Curve_DF($D$4,I13)</f>
        <v>#NAME?</v>
      </c>
      <c r="L13" s="48" t="e">
        <f t="shared" ca="1" si="0"/>
        <v>#NAME?</v>
      </c>
      <c r="M13" s="49" t="e">
        <f ca="1">L13/J13</f>
        <v>#NAME?</v>
      </c>
    </row>
    <row r="14" spans="2:13" x14ac:dyDescent="0.25">
      <c r="B14" s="58" t="s">
        <v>58</v>
      </c>
      <c r="C14" s="59"/>
      <c r="F14" s="9"/>
      <c r="G14" s="9"/>
      <c r="H14" s="9"/>
      <c r="I14" s="8">
        <f>EDATE(I10,6)</f>
        <v>44896</v>
      </c>
      <c r="J14">
        <f>EXP(-D29*YEARFRAC($C$9,I14,3))</f>
        <v>0.95109912802471741</v>
      </c>
      <c r="K14" s="48" t="e" cm="1">
        <f t="array" aca="1" ref="K14" ca="1">_xll.d.Curve_DF($D$4,I14)</f>
        <v>#NAME?</v>
      </c>
      <c r="L14" s="48" t="e">
        <f t="shared" ca="1" si="0"/>
        <v>#NAME?</v>
      </c>
      <c r="M14" s="49" t="e">
        <f ca="1">L14/J14</f>
        <v>#NAME?</v>
      </c>
    </row>
    <row r="15" spans="2:13" x14ac:dyDescent="0.25">
      <c r="B15" s="60" t="s">
        <v>32</v>
      </c>
      <c r="C15" s="61" t="s">
        <v>33</v>
      </c>
      <c r="G15" s="8"/>
      <c r="I15" s="8">
        <f>EDATE(I10,9)</f>
        <v>44986</v>
      </c>
      <c r="J15">
        <f>J14*EXP(-D33*YEARFRAC(I14,I15,3))</f>
        <v>0.92793413813861503</v>
      </c>
      <c r="K15" s="48" t="e" cm="1">
        <f t="array" aca="1" ref="K15" ca="1">_xll.d.Curve_DF($D$4,I15)</f>
        <v>#NAME?</v>
      </c>
      <c r="L15" s="48" t="e">
        <f t="shared" ca="1" si="0"/>
        <v>#NAME?</v>
      </c>
      <c r="M15" s="49" t="e">
        <f ca="1">L15/J15</f>
        <v>#NAME?</v>
      </c>
    </row>
    <row r="16" spans="2:13" x14ac:dyDescent="0.25">
      <c r="B16" s="42" t="s">
        <v>56</v>
      </c>
      <c r="C16" s="54" t="s">
        <v>52</v>
      </c>
    </row>
    <row r="17" spans="2:9" x14ac:dyDescent="0.25">
      <c r="B17" s="42" t="s">
        <v>36</v>
      </c>
      <c r="C17" s="54" t="s">
        <v>60</v>
      </c>
    </row>
    <row r="18" spans="2:9" x14ac:dyDescent="0.25">
      <c r="E18" s="42"/>
      <c r="F18" s="54"/>
      <c r="H18" s="46"/>
    </row>
    <row r="19" spans="2:9" x14ac:dyDescent="0.25">
      <c r="B19" s="58" t="s">
        <v>58</v>
      </c>
      <c r="C19" s="59"/>
      <c r="H19" s="46"/>
      <c r="I19" s="46"/>
    </row>
    <row r="20" spans="2:9" x14ac:dyDescent="0.25">
      <c r="B20" s="60" t="s">
        <v>32</v>
      </c>
      <c r="C20" s="61" t="s">
        <v>33</v>
      </c>
      <c r="H20" s="46"/>
      <c r="I20" s="46"/>
    </row>
    <row r="21" spans="2:9" x14ac:dyDescent="0.25">
      <c r="B21" s="42" t="s">
        <v>56</v>
      </c>
      <c r="C21" s="54" t="s">
        <v>48</v>
      </c>
      <c r="I21" s="46"/>
    </row>
    <row r="22" spans="2:9" x14ac:dyDescent="0.25">
      <c r="B22" s="42" t="s">
        <v>36</v>
      </c>
      <c r="C22" s="54" t="s">
        <v>49</v>
      </c>
      <c r="H22" s="42"/>
    </row>
    <row r="23" spans="2:9" x14ac:dyDescent="0.25">
      <c r="H23" s="42"/>
      <c r="I23" s="46"/>
    </row>
    <row r="24" spans="2:9" x14ac:dyDescent="0.25">
      <c r="B24" s="12" t="s">
        <v>23</v>
      </c>
      <c r="C24" s="27"/>
      <c r="D24" s="13"/>
      <c r="E24" s="13"/>
      <c r="F24" s="13"/>
      <c r="G24" s="13"/>
      <c r="I24" s="46"/>
    </row>
    <row r="25" spans="2:9" x14ac:dyDescent="0.25">
      <c r="B25" s="43" t="s">
        <v>39</v>
      </c>
      <c r="C25" s="44" t="s">
        <v>36</v>
      </c>
      <c r="D25" s="44" t="s">
        <v>40</v>
      </c>
      <c r="E25" s="63" t="s">
        <v>64</v>
      </c>
      <c r="F25" s="63" t="s">
        <v>65</v>
      </c>
      <c r="G25" s="45" t="s">
        <v>53</v>
      </c>
    </row>
    <row r="26" spans="2:9" x14ac:dyDescent="0.25">
      <c r="B26" s="42" t="s">
        <v>27</v>
      </c>
      <c r="C26" s="42" t="s">
        <v>37</v>
      </c>
      <c r="D26" s="42">
        <v>0.1</v>
      </c>
      <c r="E26" s="42" t="s">
        <v>52</v>
      </c>
      <c r="F26" s="42" t="s">
        <v>48</v>
      </c>
      <c r="G26" t="b">
        <v>1</v>
      </c>
    </row>
    <row r="27" spans="2:9" x14ac:dyDescent="0.25">
      <c r="B27" s="42" t="s">
        <v>28</v>
      </c>
      <c r="C27" s="42" t="s">
        <v>37</v>
      </c>
      <c r="D27" s="42">
        <v>0.1</v>
      </c>
      <c r="E27" s="42" t="s">
        <v>52</v>
      </c>
      <c r="F27" s="42" t="s">
        <v>48</v>
      </c>
      <c r="G27" t="b">
        <v>1</v>
      </c>
    </row>
    <row r="28" spans="2:9" x14ac:dyDescent="0.25">
      <c r="B28" s="42" t="s">
        <v>26</v>
      </c>
      <c r="C28" s="42" t="s">
        <v>37</v>
      </c>
      <c r="D28" s="42">
        <v>0.1</v>
      </c>
      <c r="E28" s="42" t="s">
        <v>52</v>
      </c>
      <c r="F28" s="42" t="s">
        <v>48</v>
      </c>
      <c r="G28" t="b">
        <v>1</v>
      </c>
    </row>
    <row r="29" spans="2:9" x14ac:dyDescent="0.25">
      <c r="B29" s="42" t="s">
        <v>29</v>
      </c>
      <c r="C29" s="42" t="s">
        <v>37</v>
      </c>
      <c r="D29" s="42">
        <v>0.1</v>
      </c>
      <c r="E29" s="42" t="s">
        <v>52</v>
      </c>
      <c r="F29" s="42" t="s">
        <v>48</v>
      </c>
      <c r="G29" t="b">
        <v>1</v>
      </c>
    </row>
    <row r="31" spans="2:9" x14ac:dyDescent="0.25">
      <c r="B31" s="12" t="s">
        <v>38</v>
      </c>
      <c r="C31" s="27"/>
      <c r="D31" s="13"/>
      <c r="E31" s="13"/>
      <c r="F31" s="13"/>
      <c r="G31" s="13"/>
    </row>
    <row r="32" spans="2:9" x14ac:dyDescent="0.25">
      <c r="B32" s="43" t="s">
        <v>39</v>
      </c>
      <c r="C32" s="44" t="s">
        <v>36</v>
      </c>
      <c r="D32" s="44" t="s">
        <v>40</v>
      </c>
      <c r="E32" s="63" t="s">
        <v>64</v>
      </c>
      <c r="F32" s="63" t="s">
        <v>65</v>
      </c>
      <c r="G32" s="45" t="s">
        <v>53</v>
      </c>
    </row>
    <row r="33" spans="2:7" x14ac:dyDescent="0.25">
      <c r="B33" s="42" t="s">
        <v>29</v>
      </c>
      <c r="C33" s="42" t="s">
        <v>37</v>
      </c>
      <c r="D33" s="42">
        <v>0.1</v>
      </c>
      <c r="E33" s="42" t="s">
        <v>52</v>
      </c>
      <c r="F33" s="42" t="s">
        <v>48</v>
      </c>
      <c r="G33" t="b">
        <v>1</v>
      </c>
    </row>
    <row r="34" spans="2:7" x14ac:dyDescent="0.25">
      <c r="B34" s="42" t="s">
        <v>30</v>
      </c>
      <c r="C34" s="42" t="s">
        <v>37</v>
      </c>
      <c r="D34" s="42">
        <v>0.1</v>
      </c>
      <c r="E34" s="42" t="s">
        <v>52</v>
      </c>
      <c r="F34" s="42" t="s">
        <v>48</v>
      </c>
      <c r="G34" t="b">
        <v>1</v>
      </c>
    </row>
    <row r="36" spans="2:7" x14ac:dyDescent="0.25">
      <c r="B36" s="12" t="s">
        <v>46</v>
      </c>
      <c r="C36" s="27"/>
      <c r="D36" s="13"/>
      <c r="E36" s="13"/>
      <c r="F36" s="13"/>
      <c r="G36" s="13"/>
    </row>
    <row r="37" spans="2:7" x14ac:dyDescent="0.25">
      <c r="B37" s="43" t="s">
        <v>24</v>
      </c>
      <c r="C37" s="44" t="s">
        <v>36</v>
      </c>
      <c r="D37" s="44" t="s">
        <v>25</v>
      </c>
      <c r="E37" s="63" t="s">
        <v>64</v>
      </c>
      <c r="F37" s="63" t="s">
        <v>65</v>
      </c>
      <c r="G37" s="45" t="s">
        <v>53</v>
      </c>
    </row>
    <row r="38" spans="2:7" x14ac:dyDescent="0.25">
      <c r="B38" s="42" t="s">
        <v>62</v>
      </c>
      <c r="C38" s="42" t="s">
        <v>37</v>
      </c>
      <c r="D38" s="42">
        <v>0.1</v>
      </c>
      <c r="E38" s="42" t="s">
        <v>52</v>
      </c>
      <c r="F38" s="42" t="s">
        <v>48</v>
      </c>
      <c r="G38" t="b">
        <v>1</v>
      </c>
    </row>
    <row r="39" spans="2:7" x14ac:dyDescent="0.25">
      <c r="B39" s="42" t="s">
        <v>63</v>
      </c>
      <c r="C39" s="42" t="s">
        <v>37</v>
      </c>
      <c r="D39" s="42">
        <v>0.1</v>
      </c>
      <c r="E39" s="42" t="s">
        <v>52</v>
      </c>
      <c r="F39" s="42" t="s">
        <v>48</v>
      </c>
      <c r="G39" t="b">
        <v>1</v>
      </c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68985-AB02-4634-9BA7-979CDC0733CA}">
  <sheetPr codeName="Sheet5">
    <tabColor theme="4" tint="-0.499984740745262"/>
  </sheetPr>
  <dimension ref="B2:J67"/>
  <sheetViews>
    <sheetView showGridLines="0" zoomScale="115" zoomScaleNormal="115" workbookViewId="0">
      <selection activeCell="C6" sqref="C6"/>
    </sheetView>
  </sheetViews>
  <sheetFormatPr defaultRowHeight="15" x14ac:dyDescent="0.25"/>
  <cols>
    <col min="1" max="1" width="3.625" customWidth="1"/>
    <col min="2" max="2" width="14.875" customWidth="1"/>
    <col min="3" max="3" width="15.5" customWidth="1"/>
    <col min="7" max="7" width="19.75" customWidth="1"/>
    <col min="8" max="8" width="11.875" customWidth="1"/>
    <col min="9" max="9" width="13.25" customWidth="1"/>
    <col min="10" max="10" width="9.875" customWidth="1"/>
  </cols>
  <sheetData>
    <row r="2" spans="2:10" ht="26.25" x14ac:dyDescent="0.4">
      <c r="B2" s="2" t="s">
        <v>12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13</v>
      </c>
      <c r="C4" s="3"/>
      <c r="D4" s="3"/>
      <c r="E4" s="3"/>
      <c r="G4" s="3" t="s">
        <v>14</v>
      </c>
      <c r="H4" s="3"/>
      <c r="I4" s="3"/>
      <c r="J4" s="3"/>
    </row>
    <row r="6" spans="2:10" x14ac:dyDescent="0.25">
      <c r="B6" s="12" t="s">
        <v>3</v>
      </c>
      <c r="C6" s="25" t="str" cm="1">
        <f t="array" ref="C6">_xll.d.Curve_Create("CurveForHullWhite",,B9:B41,C9:C41)</f>
        <v>DayCountConvention not set in parameters.</v>
      </c>
      <c r="D6" s="25"/>
      <c r="E6" s="26"/>
      <c r="F6" s="9"/>
      <c r="G6" s="12" t="s">
        <v>18</v>
      </c>
      <c r="H6" s="27" t="s">
        <v>19</v>
      </c>
      <c r="I6" s="27" t="s">
        <v>20</v>
      </c>
      <c r="J6" s="13" t="s">
        <v>15</v>
      </c>
    </row>
    <row r="7" spans="2:10" x14ac:dyDescent="0.25">
      <c r="F7" s="9"/>
      <c r="G7" s="14">
        <v>7</v>
      </c>
      <c r="H7" s="28">
        <v>1</v>
      </c>
      <c r="I7" s="31">
        <v>0.36199999999999999</v>
      </c>
      <c r="J7" s="34" t="s">
        <v>16</v>
      </c>
    </row>
    <row r="8" spans="2:10" x14ac:dyDescent="0.25">
      <c r="B8" s="23" t="s">
        <v>0</v>
      </c>
      <c r="C8" s="24" t="s">
        <v>2</v>
      </c>
      <c r="E8" s="10"/>
      <c r="F8" s="9"/>
      <c r="G8" s="15">
        <v>5</v>
      </c>
      <c r="H8" s="29">
        <v>3</v>
      </c>
      <c r="I8" s="32">
        <v>0.38</v>
      </c>
      <c r="J8" s="35" t="s">
        <v>16</v>
      </c>
    </row>
    <row r="9" spans="2:10" x14ac:dyDescent="0.25">
      <c r="B9" s="17">
        <v>44706</v>
      </c>
      <c r="C9" s="20">
        <v>1</v>
      </c>
      <c r="E9" s="10"/>
      <c r="G9" s="15">
        <v>4</v>
      </c>
      <c r="H9" s="29">
        <v>4</v>
      </c>
      <c r="I9" s="32">
        <v>0.38900000000000001</v>
      </c>
      <c r="J9" s="35" t="s">
        <v>16</v>
      </c>
    </row>
    <row r="10" spans="2:10" x14ac:dyDescent="0.25">
      <c r="B10" s="18">
        <v>44707</v>
      </c>
      <c r="C10" s="21">
        <v>0.99999800000000005</v>
      </c>
      <c r="E10" s="11"/>
      <c r="F10" s="9"/>
      <c r="G10" s="15">
        <v>3</v>
      </c>
      <c r="H10" s="29">
        <v>5</v>
      </c>
      <c r="I10" s="32">
        <v>0.40200000000000002</v>
      </c>
      <c r="J10" s="35" t="s">
        <v>16</v>
      </c>
    </row>
    <row r="11" spans="2:10" x14ac:dyDescent="0.25">
      <c r="B11" s="18">
        <v>44718</v>
      </c>
      <c r="C11" s="21">
        <v>0.99997599999999998</v>
      </c>
      <c r="E11" s="8"/>
      <c r="F11" s="9"/>
      <c r="G11" s="15">
        <v>2</v>
      </c>
      <c r="H11" s="29">
        <v>6</v>
      </c>
      <c r="I11" s="32">
        <v>0.42099999999999999</v>
      </c>
      <c r="J11" s="35" t="s">
        <v>16</v>
      </c>
    </row>
    <row r="12" spans="2:10" x14ac:dyDescent="0.25">
      <c r="B12" s="18">
        <v>44741</v>
      </c>
      <c r="C12" s="21">
        <v>0.99992300000000001</v>
      </c>
      <c r="F12" s="1"/>
      <c r="G12" s="16">
        <v>1</v>
      </c>
      <c r="H12" s="30">
        <v>7</v>
      </c>
      <c r="I12" s="33">
        <v>0.45700000000000002</v>
      </c>
      <c r="J12" s="36" t="s">
        <v>16</v>
      </c>
    </row>
    <row r="13" spans="2:10" x14ac:dyDescent="0.25">
      <c r="B13" s="18">
        <v>44773</v>
      </c>
      <c r="C13" s="21">
        <v>0.99979600000000002</v>
      </c>
    </row>
    <row r="14" spans="2:10" x14ac:dyDescent="0.25">
      <c r="B14" s="18">
        <v>44802</v>
      </c>
      <c r="C14" s="21">
        <v>0.99965800000000005</v>
      </c>
    </row>
    <row r="15" spans="2:10" ht="18.75" x14ac:dyDescent="0.3">
      <c r="B15" s="18">
        <v>44830</v>
      </c>
      <c r="C15" s="21">
        <v>0.99958499999999995</v>
      </c>
      <c r="G15" s="3" t="s">
        <v>17</v>
      </c>
      <c r="H15" s="3"/>
      <c r="I15" s="3"/>
      <c r="J15" s="3"/>
    </row>
    <row r="16" spans="2:10" x14ac:dyDescent="0.25">
      <c r="B16" s="18">
        <v>44857</v>
      </c>
      <c r="C16" s="21">
        <v>0.999421</v>
      </c>
    </row>
    <row r="17" spans="2:9" x14ac:dyDescent="0.25">
      <c r="B17" s="18">
        <v>44887</v>
      </c>
      <c r="C17" s="21">
        <v>0.99924900000000005</v>
      </c>
      <c r="G17" s="12" t="s">
        <v>21</v>
      </c>
      <c r="H17" s="39" t="e" cm="1">
        <f t="array" ref="H17">_xll.d.HullWhite_Calibrate("HW",C6,G6:J12)</f>
        <v>#VALUE!</v>
      </c>
      <c r="I17" s="40"/>
    </row>
    <row r="18" spans="2:9" x14ac:dyDescent="0.25">
      <c r="B18" s="18">
        <v>44920</v>
      </c>
      <c r="C18" s="21">
        <v>0.99921499999999996</v>
      </c>
    </row>
    <row r="19" spans="2:9" x14ac:dyDescent="0.25">
      <c r="B19" s="18">
        <v>44949</v>
      </c>
      <c r="C19" s="21">
        <v>0.99906200000000001</v>
      </c>
    </row>
    <row r="20" spans="2:9" x14ac:dyDescent="0.25">
      <c r="B20" s="18">
        <v>44979</v>
      </c>
      <c r="C20" s="21">
        <v>0.99885800000000002</v>
      </c>
    </row>
    <row r="21" spans="2:9" x14ac:dyDescent="0.25">
      <c r="B21" s="18">
        <v>45012</v>
      </c>
      <c r="C21" s="21">
        <v>0.99878100000000003</v>
      </c>
      <c r="G21" s="37" t="e" cm="1">
        <f t="array" ref="G21">_xll.d.HullWhite_GetParameters(H17)</f>
        <v>#VALUE!</v>
      </c>
      <c r="H21" s="38"/>
    </row>
    <row r="22" spans="2:9" x14ac:dyDescent="0.25">
      <c r="B22" s="18">
        <v>45041</v>
      </c>
      <c r="C22" s="21">
        <v>0.99856400000000001</v>
      </c>
      <c r="G22" s="18"/>
      <c r="H22" s="21"/>
    </row>
    <row r="23" spans="2:9" x14ac:dyDescent="0.25">
      <c r="B23" s="18">
        <v>45071</v>
      </c>
      <c r="C23" s="21">
        <v>0.998309</v>
      </c>
      <c r="G23" s="19"/>
      <c r="H23" s="22"/>
    </row>
    <row r="24" spans="2:9" x14ac:dyDescent="0.25">
      <c r="B24" s="18">
        <v>45162</v>
      </c>
      <c r="C24" s="21">
        <v>0.99748499999999996</v>
      </c>
    </row>
    <row r="25" spans="2:9" x14ac:dyDescent="0.25">
      <c r="B25" s="18">
        <v>45252</v>
      </c>
      <c r="C25" s="21">
        <v>0.99626000000000003</v>
      </c>
    </row>
    <row r="26" spans="2:9" x14ac:dyDescent="0.25">
      <c r="B26" s="18">
        <v>45344</v>
      </c>
      <c r="C26" s="21">
        <v>0.99468800000000002</v>
      </c>
    </row>
    <row r="27" spans="2:9" x14ac:dyDescent="0.25">
      <c r="B27" s="18">
        <v>45438</v>
      </c>
      <c r="C27" s="21">
        <v>0.99261299999999997</v>
      </c>
    </row>
    <row r="28" spans="2:9" x14ac:dyDescent="0.25">
      <c r="B28" s="18">
        <v>45806</v>
      </c>
      <c r="C28" s="21">
        <v>0.98043999999999998</v>
      </c>
    </row>
    <row r="29" spans="2:9" x14ac:dyDescent="0.25">
      <c r="B29" s="18">
        <v>46173</v>
      </c>
      <c r="C29" s="21">
        <v>0.96520099999999998</v>
      </c>
    </row>
    <row r="30" spans="2:9" x14ac:dyDescent="0.25">
      <c r="B30" s="18">
        <v>46537</v>
      </c>
      <c r="C30" s="21">
        <v>0.94818400000000003</v>
      </c>
    </row>
    <row r="31" spans="2:9" x14ac:dyDescent="0.25">
      <c r="B31" s="18">
        <v>46901</v>
      </c>
      <c r="C31" s="21">
        <v>0.93045800000000001</v>
      </c>
    </row>
    <row r="32" spans="2:9" x14ac:dyDescent="0.25">
      <c r="B32" s="18">
        <v>47267</v>
      </c>
      <c r="C32" s="21">
        <v>0.91225999999999996</v>
      </c>
    </row>
    <row r="33" spans="2:3" x14ac:dyDescent="0.25">
      <c r="B33" s="18">
        <v>47632</v>
      </c>
      <c r="C33" s="21">
        <v>0.89427000000000001</v>
      </c>
    </row>
    <row r="34" spans="2:3" x14ac:dyDescent="0.25">
      <c r="B34" s="18">
        <v>47997</v>
      </c>
      <c r="C34" s="21">
        <v>0.87622500000000003</v>
      </c>
    </row>
    <row r="35" spans="2:3" x14ac:dyDescent="0.25">
      <c r="B35" s="18">
        <v>48364</v>
      </c>
      <c r="C35" s="21">
        <v>0.85857799999999995</v>
      </c>
    </row>
    <row r="36" spans="2:3" x14ac:dyDescent="0.25">
      <c r="B36" s="18">
        <v>49093</v>
      </c>
      <c r="C36" s="21">
        <v>0.82275399999999999</v>
      </c>
    </row>
    <row r="37" spans="2:3" x14ac:dyDescent="0.25">
      <c r="B37" s="18">
        <v>50191</v>
      </c>
      <c r="C37" s="21">
        <v>0.77304499999999998</v>
      </c>
    </row>
    <row r="38" spans="2:3" x14ac:dyDescent="0.25">
      <c r="B38" s="18">
        <v>52015</v>
      </c>
      <c r="C38" s="21">
        <v>0.69641399999999998</v>
      </c>
    </row>
    <row r="39" spans="2:3" x14ac:dyDescent="0.25">
      <c r="B39" s="18">
        <v>53841</v>
      </c>
      <c r="C39" s="21">
        <v>0.63234400000000002</v>
      </c>
    </row>
    <row r="40" spans="2:3" x14ac:dyDescent="0.25">
      <c r="B40" s="18">
        <v>55667</v>
      </c>
      <c r="C40" s="21">
        <v>0.57906999999999997</v>
      </c>
    </row>
    <row r="41" spans="2:3" x14ac:dyDescent="0.25">
      <c r="B41" s="19">
        <v>59320</v>
      </c>
      <c r="C41" s="22">
        <v>0.49973099999999998</v>
      </c>
    </row>
    <row r="42" spans="2:3" x14ac:dyDescent="0.25">
      <c r="B42" s="8"/>
    </row>
    <row r="55" spans="2:6" ht="18.75" x14ac:dyDescent="0.3">
      <c r="B55" s="3" t="s">
        <v>5</v>
      </c>
      <c r="C55" s="3"/>
    </row>
    <row r="57" spans="2:6" x14ac:dyDescent="0.25">
      <c r="B57" s="7" t="s">
        <v>10</v>
      </c>
      <c r="C57" s="7" t="s">
        <v>11</v>
      </c>
    </row>
    <row r="58" spans="2:6" x14ac:dyDescent="0.25">
      <c r="B58" t="s">
        <v>6</v>
      </c>
      <c r="C58" t="e" cm="1">
        <f t="array" aca="1" ref="C58" ca="1">_xll.d.And(F62:F64)</f>
        <v>#NAME?</v>
      </c>
    </row>
    <row r="60" spans="2:6" ht="15.75" x14ac:dyDescent="0.25">
      <c r="B60" s="4" t="s">
        <v>6</v>
      </c>
      <c r="C60" s="4"/>
    </row>
    <row r="62" spans="2:6" x14ac:dyDescent="0.25">
      <c r="B62" t="s">
        <v>8</v>
      </c>
      <c r="C62" s="1">
        <f>B12</f>
        <v>44741</v>
      </c>
      <c r="D62" s="5" t="e" cm="1">
        <f t="array" aca="1" ref="D62" ca="1">_xll.d.Curve_DF(C6,C62)</f>
        <v>#NAME?</v>
      </c>
      <c r="E62" s="5">
        <f>VLOOKUP(C62,B9:C14,2,FALSE)</f>
        <v>0.99992300000000001</v>
      </c>
      <c r="F62" t="e" cm="1">
        <f t="array" aca="1" ref="F62" ca="1">_xll.d.Equal(D62,E62)</f>
        <v>#NAME?</v>
      </c>
    </row>
    <row r="64" spans="2:6" x14ac:dyDescent="0.25">
      <c r="B64" t="s">
        <v>9</v>
      </c>
      <c r="C64" s="1">
        <v>44607</v>
      </c>
      <c r="D64" s="5" t="e" cm="1">
        <f t="array" aca="1" ref="D64" ca="1">_xll.d.Curve_DF(C6,C64)</f>
        <v>#NAME?</v>
      </c>
      <c r="E64" s="5">
        <f>EXP((LN(C11)-LN(C10))/((B11-B10)/365)*((C64-B10)/365)+LN(C10))</f>
        <v>1.0001980222018509</v>
      </c>
      <c r="F64" t="e" cm="1">
        <f t="array" aca="1" ref="F64" ca="1">_xll.d.Equal(D64,E64)</f>
        <v>#NAME?</v>
      </c>
    </row>
    <row r="67" spans="2:5" ht="15.75" x14ac:dyDescent="0.25">
      <c r="B67" s="4" t="s">
        <v>7</v>
      </c>
      <c r="C67" s="4"/>
      <c r="E67" s="6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C1E906-9771-47CD-8BBD-3388703C7176}">
  <sheetPr codeName="Sheet10">
    <tabColor theme="1"/>
  </sheetPr>
  <dimension ref="B2"/>
  <sheetViews>
    <sheetView showGridLines="0" workbookViewId="0">
      <selection activeCell="B2" sqref="B2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126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C77EE2-81C8-4690-964C-AF7D716B46FF}">
  <sheetPr codeName="Sheet11">
    <tabColor theme="4" tint="-0.499984740745262"/>
  </sheetPr>
  <dimension ref="B2:J34"/>
  <sheetViews>
    <sheetView showGridLines="0" zoomScale="115" zoomScaleNormal="115" workbookViewId="0">
      <selection activeCell="B13" sqref="B13"/>
    </sheetView>
  </sheetViews>
  <sheetFormatPr defaultRowHeight="15" x14ac:dyDescent="0.25"/>
  <cols>
    <col min="1" max="1" width="3.75" customWidth="1"/>
    <col min="2" max="3" width="15.5" customWidth="1"/>
    <col min="4" max="4" width="15.875" customWidth="1"/>
    <col min="5" max="5" width="10" customWidth="1"/>
    <col min="7" max="7" width="14.875" bestFit="1" customWidth="1"/>
    <col min="8" max="8" width="22.5" customWidth="1"/>
    <col min="9" max="9" width="21.5" customWidth="1"/>
    <col min="10" max="10" width="10" customWidth="1"/>
  </cols>
  <sheetData>
    <row r="2" spans="2:10" ht="26.25" x14ac:dyDescent="0.4">
      <c r="B2" s="2" t="s">
        <v>46</v>
      </c>
      <c r="C2" s="2"/>
      <c r="D2" s="2"/>
      <c r="E2" s="2"/>
      <c r="F2" s="2"/>
      <c r="G2" s="2"/>
      <c r="H2" s="2"/>
      <c r="I2" s="2"/>
      <c r="J2" s="2"/>
    </row>
    <row r="4" spans="2:10" ht="18.75" x14ac:dyDescent="0.3">
      <c r="B4" s="3" t="s">
        <v>171</v>
      </c>
      <c r="C4" s="3"/>
      <c r="D4" s="3"/>
      <c r="E4" s="3"/>
      <c r="F4" s="3"/>
      <c r="G4" s="3"/>
      <c r="H4" s="3"/>
      <c r="I4" s="3"/>
      <c r="J4" s="3"/>
    </row>
    <row r="6" spans="2:10" x14ac:dyDescent="0.25">
      <c r="B6" s="59" t="s">
        <v>171</v>
      </c>
      <c r="C6" s="185" t="str" cm="1">
        <f t="array" ref="C6">_xll.d.TestUtils_And(D10:D13)</f>
        <v>ERROR</v>
      </c>
    </row>
    <row r="8" spans="2:10" x14ac:dyDescent="0.25">
      <c r="B8" s="228" t="s">
        <v>10</v>
      </c>
      <c r="C8" s="228"/>
      <c r="D8" s="229" t="s">
        <v>11</v>
      </c>
    </row>
    <row r="9" spans="2:10" x14ac:dyDescent="0.25">
      <c r="B9" s="277" t="s">
        <v>227</v>
      </c>
      <c r="C9" s="278"/>
      <c r="D9" s="279"/>
    </row>
    <row r="10" spans="2:10" x14ac:dyDescent="0.25">
      <c r="B10" s="238" t="str">
        <f>B18</f>
        <v>Flat Curve, 3m JIBAR</v>
      </c>
      <c r="C10" s="276"/>
      <c r="D10" s="185" t="str">
        <f>C20</f>
        <v>ERROR</v>
      </c>
    </row>
    <row r="12" spans="2:10" x14ac:dyDescent="0.25">
      <c r="B12" s="277" t="s">
        <v>228</v>
      </c>
      <c r="C12" s="278"/>
      <c r="D12" s="279"/>
    </row>
    <row r="13" spans="2:10" x14ac:dyDescent="0.25">
      <c r="B13" s="238" t="e">
        <f>#REF!</f>
        <v>#REF!</v>
      </c>
      <c r="C13" s="276"/>
      <c r="D13" s="185" t="str">
        <f>C32</f>
        <v>ZAR</v>
      </c>
    </row>
    <row r="16" spans="2:10" ht="18.75" x14ac:dyDescent="0.3">
      <c r="B16" s="3" t="s">
        <v>235</v>
      </c>
      <c r="C16" s="3"/>
      <c r="D16" s="3"/>
      <c r="E16" s="3"/>
      <c r="F16" s="3"/>
      <c r="G16" s="3"/>
      <c r="H16" s="3"/>
      <c r="I16" s="3"/>
      <c r="J16" s="3"/>
    </row>
    <row r="18" spans="2:10" ht="15.75" x14ac:dyDescent="0.25">
      <c r="B18" s="4" t="s">
        <v>230</v>
      </c>
      <c r="C18" s="4"/>
      <c r="D18" s="4"/>
      <c r="E18" s="4"/>
      <c r="F18" s="4"/>
      <c r="G18" s="4"/>
      <c r="H18" s="4"/>
      <c r="I18" s="4"/>
      <c r="J18" s="4"/>
    </row>
    <row r="20" spans="2:10" x14ac:dyDescent="0.25">
      <c r="B20" s="59" t="s">
        <v>136</v>
      </c>
      <c r="C20" s="185" t="str" cm="1">
        <f t="array" ref="C20">_xll.d.TestUtils_And(J22:J27)</f>
        <v>ERROR</v>
      </c>
      <c r="G20" s="273" t="s">
        <v>226</v>
      </c>
      <c r="H20" s="274"/>
      <c r="I20" s="274"/>
      <c r="J20" s="275"/>
    </row>
    <row r="21" spans="2:10" x14ac:dyDescent="0.25">
      <c r="G21" s="74" t="s">
        <v>35</v>
      </c>
      <c r="H21" s="75" t="s">
        <v>42</v>
      </c>
      <c r="I21" s="75" t="s">
        <v>43</v>
      </c>
      <c r="J21" s="76" t="s">
        <v>88</v>
      </c>
    </row>
    <row r="22" spans="2:10" x14ac:dyDescent="0.25">
      <c r="G22" s="270">
        <f>C28</f>
        <v>44713</v>
      </c>
      <c r="H22" s="280">
        <v>1</v>
      </c>
      <c r="I22" s="280" t="e" cm="1">
        <f t="array" ref="I22">_xll.d.Curve_GetDiscountFactors($C$23,G22)</f>
        <v>#VALUE!</v>
      </c>
      <c r="J22" s="259" t="str" cm="1">
        <f t="array" ref="J22">_xll.d.TestUtils_Equal(H22,I22,0.00001)</f>
        <v>ERROR</v>
      </c>
    </row>
    <row r="23" spans="2:10" x14ac:dyDescent="0.25">
      <c r="B23" s="66" t="s">
        <v>240</v>
      </c>
      <c r="C23" s="306" t="s">
        <v>241</v>
      </c>
      <c r="D23" s="251"/>
      <c r="G23" s="271">
        <f>EDATE(G22,1)</f>
        <v>44743</v>
      </c>
      <c r="H23" s="281" t="e">
        <f>1/(1+YEARFRAC($G$22,G23,3)*#REF!)</f>
        <v>#REF!</v>
      </c>
      <c r="I23" s="281" t="e" cm="1">
        <f t="array" ref="I23">_xll.d.Curve_GetDiscountFactors($C$23,G23)</f>
        <v>#VALUE!</v>
      </c>
      <c r="J23" s="263" t="str" cm="1">
        <f t="array" ref="J23">_xll.d.TestUtils_Equal(H23,I23,0.00001)</f>
        <v>ERROR</v>
      </c>
    </row>
    <row r="24" spans="2:10" x14ac:dyDescent="0.25">
      <c r="G24" s="271">
        <f>EDATE(G22,2)</f>
        <v>44774</v>
      </c>
      <c r="H24" s="281" t="e">
        <f>1/(1+YEARFRAC($G$22,G24,3)*#REF!)</f>
        <v>#REF!</v>
      </c>
      <c r="I24" s="281" t="e" cm="1">
        <f t="array" ref="I24">_xll.d.Curve_GetDiscountFactors($C$23,G24)</f>
        <v>#VALUE!</v>
      </c>
      <c r="J24" s="263" t="str" cm="1">
        <f t="array" ref="J24">_xll.d.TestUtils_Equal(H24,I24,0.00001)</f>
        <v>ERROR</v>
      </c>
    </row>
    <row r="25" spans="2:10" x14ac:dyDescent="0.25">
      <c r="G25" s="271">
        <f>EDATE(G22,3)</f>
        <v>44805</v>
      </c>
      <c r="H25" s="281" t="e">
        <f>1/(1+YEARFRAC($G$22,G25,3)*#REF!)</f>
        <v>#REF!</v>
      </c>
      <c r="I25" s="281" t="e" cm="1">
        <f t="array" ref="I25">_xll.d.Curve_GetDiscountFactors($C$23,G25)</f>
        <v>#VALUE!</v>
      </c>
      <c r="J25" s="263" t="str" cm="1">
        <f t="array" ref="J25">_xll.d.TestUtils_Equal(H25,I25,0.00001)</f>
        <v>ERROR</v>
      </c>
    </row>
    <row r="26" spans="2:10" x14ac:dyDescent="0.25">
      <c r="B26" s="12" t="s">
        <v>236</v>
      </c>
      <c r="C26" s="13"/>
      <c r="G26" s="271">
        <f>EDATE(G22,6)</f>
        <v>44896</v>
      </c>
      <c r="H26" s="281" t="e">
        <f>H25*1/(1+YEARFRAC($G$25,G26,3)*#REF!)</f>
        <v>#REF!</v>
      </c>
      <c r="I26" s="281" t="e" cm="1">
        <f t="array" ref="I26">_xll.d.Curve_GetDiscountFactors($C$23,G26)</f>
        <v>#VALUE!</v>
      </c>
      <c r="J26" s="263" t="str" cm="1">
        <f t="array" ref="J26">_xll.d.TestUtils_Equal(H26,I26,0.00001)</f>
        <v>ERROR</v>
      </c>
    </row>
    <row r="27" spans="2:10" x14ac:dyDescent="0.25">
      <c r="B27" s="74" t="s">
        <v>32</v>
      </c>
      <c r="C27" s="76" t="s">
        <v>33</v>
      </c>
      <c r="G27" s="272">
        <f>EDATE(G22,9)</f>
        <v>44986</v>
      </c>
      <c r="H27" s="282" t="e">
        <f>H26*1/(1+#REF!*YEARFRAC(G26,G27,3))</f>
        <v>#REF!</v>
      </c>
      <c r="I27" s="282" t="e" cm="1">
        <f t="array" ref="I27">_xll.d.Curve_GetDiscountFactors($C$23,G27)</f>
        <v>#VALUE!</v>
      </c>
      <c r="J27" s="261" t="str" cm="1">
        <f t="array" ref="J27">_xll.d.TestUtils_Equal(H27,I27,0.00001)</f>
        <v>ERROR</v>
      </c>
    </row>
    <row r="28" spans="2:10" x14ac:dyDescent="0.25">
      <c r="B28" s="303" t="s">
        <v>237</v>
      </c>
      <c r="C28" s="262">
        <v>44713</v>
      </c>
      <c r="E28" s="62"/>
    </row>
    <row r="29" spans="2:10" x14ac:dyDescent="0.25">
      <c r="B29" s="304" t="s">
        <v>238</v>
      </c>
      <c r="C29" s="283">
        <f>C28+365</f>
        <v>45078</v>
      </c>
      <c r="E29" s="62"/>
    </row>
    <row r="30" spans="2:10" x14ac:dyDescent="0.25">
      <c r="B30" s="305" t="s">
        <v>239</v>
      </c>
      <c r="C30" s="307" t="s">
        <v>242</v>
      </c>
    </row>
    <row r="31" spans="2:10" x14ac:dyDescent="0.25">
      <c r="B31" s="308" t="s">
        <v>243</v>
      </c>
      <c r="C31">
        <v>1000000</v>
      </c>
    </row>
    <row r="32" spans="2:10" x14ac:dyDescent="0.25">
      <c r="B32" s="308" t="s">
        <v>245</v>
      </c>
      <c r="C32" t="s">
        <v>71</v>
      </c>
      <c r="D32" t="s">
        <v>246</v>
      </c>
    </row>
    <row r="33" spans="2:3" x14ac:dyDescent="0.25">
      <c r="B33" s="308" t="s">
        <v>247</v>
      </c>
    </row>
    <row r="34" spans="2:3" x14ac:dyDescent="0.25">
      <c r="B34" s="308" t="s">
        <v>244</v>
      </c>
      <c r="C34" t="s">
        <v>26</v>
      </c>
    </row>
  </sheetData>
  <conditionalFormatting sqref="J22:J27 D10 D13">
    <cfRule type="cellIs" dxfId="143" priority="7" stopIfTrue="1" operator="equal">
      <formula>"ERROR"</formula>
    </cfRule>
    <cfRule type="cellIs" dxfId="142" priority="8" stopIfTrue="1" operator="equal">
      <formula>"OK"</formula>
    </cfRule>
    <cfRule type="cellIs" dxfId="141" priority="9" stopIfTrue="1" operator="equal">
      <formula>"WARNING"</formula>
    </cfRule>
  </conditionalFormatting>
  <conditionalFormatting sqref="C6">
    <cfRule type="cellIs" dxfId="140" priority="4" stopIfTrue="1" operator="equal">
      <formula>"ERROR"</formula>
    </cfRule>
    <cfRule type="cellIs" dxfId="139" priority="5" stopIfTrue="1" operator="equal">
      <formula>"OK"</formula>
    </cfRule>
    <cfRule type="cellIs" dxfId="138" priority="6" stopIfTrue="1" operator="equal">
      <formula>"WARNING"</formula>
    </cfRule>
  </conditionalFormatting>
  <conditionalFormatting sqref="C20">
    <cfRule type="cellIs" dxfId="137" priority="1" stopIfTrue="1" operator="equal">
      <formula>"ERROR"</formula>
    </cfRule>
    <cfRule type="cellIs" dxfId="136" priority="2" stopIfTrue="1" operator="equal">
      <formula>"OK"</formula>
    </cfRule>
    <cfRule type="cellIs" dxfId="135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375DC8-A793-4EE3-8FCE-A43942085E4F}">
  <sheetPr codeName="Sheet6">
    <tabColor theme="1"/>
  </sheetPr>
  <dimension ref="B2"/>
  <sheetViews>
    <sheetView showGridLines="0" topLeftCell="A27" workbookViewId="0">
      <selection activeCell="B28" sqref="B28"/>
    </sheetView>
  </sheetViews>
  <sheetFormatPr defaultRowHeight="15" x14ac:dyDescent="0.25"/>
  <cols>
    <col min="1" max="1" width="3.75" customWidth="1"/>
  </cols>
  <sheetData>
    <row r="2" spans="2:2" x14ac:dyDescent="0.25">
      <c r="B2" s="69" t="s">
        <v>91</v>
      </c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79AA42-FEAE-4841-975E-F1176FAAAB8D}">
  <sheetPr codeName="Sheet9">
    <tabColor theme="4" tint="-0.499984740745262"/>
  </sheetPr>
  <dimension ref="B2:W236"/>
  <sheetViews>
    <sheetView showGridLines="0" topLeftCell="A55" workbookViewId="0">
      <selection activeCell="B4" sqref="B4:C8"/>
    </sheetView>
  </sheetViews>
  <sheetFormatPr defaultRowHeight="15" x14ac:dyDescent="0.25"/>
  <cols>
    <col min="1" max="1" width="3.75" customWidth="1"/>
    <col min="2" max="2" width="10.75" bestFit="1" customWidth="1"/>
    <col min="3" max="3" width="11.625" customWidth="1"/>
    <col min="5" max="5" width="9.625" bestFit="1" customWidth="1"/>
    <col min="6" max="6" width="13.375" customWidth="1"/>
    <col min="9" max="9" width="12.75" customWidth="1"/>
    <col min="10" max="10" width="9.375" bestFit="1" customWidth="1"/>
    <col min="11" max="11" width="11.625" customWidth="1"/>
    <col min="12" max="12" width="13.375" customWidth="1"/>
    <col min="15" max="15" width="14.75" customWidth="1"/>
    <col min="16" max="16" width="13" customWidth="1"/>
    <col min="17" max="17" width="10.5" customWidth="1"/>
    <col min="18" max="18" width="18.25" customWidth="1"/>
    <col min="21" max="21" width="17.75" customWidth="1"/>
  </cols>
  <sheetData>
    <row r="2" spans="2:23" ht="26.25" x14ac:dyDescent="0.4">
      <c r="B2" s="78" t="s">
        <v>189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2:23" x14ac:dyDescent="0.25">
      <c r="B4" s="59" t="s">
        <v>171</v>
      </c>
      <c r="C4" s="185" t="str" cm="1">
        <f t="array" ref="C4">_xll.d.TestUtils_And(C7:C16)</f>
        <v>OK</v>
      </c>
    </row>
    <row r="6" spans="2:23" x14ac:dyDescent="0.25">
      <c r="B6" s="228" t="s">
        <v>10</v>
      </c>
      <c r="C6" s="229" t="s">
        <v>11</v>
      </c>
    </row>
    <row r="7" spans="2:23" x14ac:dyDescent="0.25">
      <c r="B7" s="238" t="s">
        <v>115</v>
      </c>
      <c r="C7" s="185" t="str">
        <f>C21</f>
        <v>OK</v>
      </c>
    </row>
    <row r="8" spans="2:23" x14ac:dyDescent="0.25">
      <c r="B8" s="238" t="s">
        <v>117</v>
      </c>
      <c r="C8" s="185" t="str">
        <f>C43</f>
        <v>OK</v>
      </c>
    </row>
    <row r="9" spans="2:23" x14ac:dyDescent="0.25">
      <c r="B9" s="238" t="s">
        <v>118</v>
      </c>
      <c r="C9" s="185" t="str">
        <f>C65</f>
        <v>OK</v>
      </c>
    </row>
    <row r="10" spans="2:23" x14ac:dyDescent="0.25">
      <c r="B10" s="238" t="s">
        <v>121</v>
      </c>
      <c r="C10" s="185" t="str">
        <f>C87</f>
        <v>OK</v>
      </c>
    </row>
    <row r="11" spans="2:23" x14ac:dyDescent="0.25">
      <c r="B11" s="238" t="s">
        <v>127</v>
      </c>
      <c r="C11" s="185" t="str">
        <f>C109</f>
        <v>OK</v>
      </c>
    </row>
    <row r="12" spans="2:23" x14ac:dyDescent="0.25">
      <c r="B12" s="238" t="s">
        <v>129</v>
      </c>
      <c r="C12" s="185" t="str">
        <f>C131</f>
        <v>OK</v>
      </c>
    </row>
    <row r="13" spans="2:23" x14ac:dyDescent="0.25">
      <c r="B13" s="238" t="s">
        <v>175</v>
      </c>
      <c r="C13" s="185" t="str">
        <f>C153</f>
        <v>OK</v>
      </c>
    </row>
    <row r="14" spans="2:23" x14ac:dyDescent="0.25">
      <c r="B14" s="238" t="s">
        <v>180</v>
      </c>
      <c r="C14" s="185" t="str">
        <f>C175</f>
        <v>OK</v>
      </c>
    </row>
    <row r="15" spans="2:23" x14ac:dyDescent="0.25">
      <c r="B15" s="238" t="s">
        <v>186</v>
      </c>
      <c r="C15" s="185" t="str">
        <f>C197</f>
        <v>OK</v>
      </c>
    </row>
    <row r="16" spans="2:23" x14ac:dyDescent="0.25">
      <c r="B16" s="238" t="s">
        <v>205</v>
      </c>
      <c r="C16" s="185" t="str">
        <f>C219</f>
        <v>OK</v>
      </c>
    </row>
    <row r="17" spans="2:23" x14ac:dyDescent="0.25">
      <c r="B17" s="238"/>
    </row>
    <row r="19" spans="2:23" ht="18.75" x14ac:dyDescent="0.3">
      <c r="B19" s="3" t="s">
        <v>115</v>
      </c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1" spans="2:23" x14ac:dyDescent="0.25">
      <c r="B21" s="59" t="s">
        <v>136</v>
      </c>
      <c r="C21" s="185" t="str" cm="1">
        <f t="array" ref="C21">_xll.d.TestUtils_And(C27,F27,K27,P27)</f>
        <v>OK</v>
      </c>
    </row>
    <row r="23" spans="2:23" x14ac:dyDescent="0.25">
      <c r="B23" t="s">
        <v>196</v>
      </c>
    </row>
    <row r="25" spans="2:23" ht="15.75" x14ac:dyDescent="0.25">
      <c r="B25" s="4" t="s">
        <v>140</v>
      </c>
      <c r="C25" s="4"/>
      <c r="E25" s="4" t="s">
        <v>141</v>
      </c>
      <c r="F25" s="4"/>
      <c r="G25" s="4"/>
      <c r="H25" s="4"/>
      <c r="J25" s="4" t="s">
        <v>142</v>
      </c>
      <c r="K25" s="4"/>
      <c r="L25" s="4"/>
      <c r="M25" s="4"/>
      <c r="O25" s="4" t="s">
        <v>157</v>
      </c>
      <c r="P25" s="4"/>
      <c r="Q25" s="4"/>
      <c r="R25" s="4"/>
      <c r="S25" s="4"/>
      <c r="T25" s="4"/>
      <c r="U25" s="4"/>
      <c r="V25" s="4"/>
      <c r="W25" s="4"/>
    </row>
    <row r="27" spans="2:23" x14ac:dyDescent="0.25">
      <c r="B27" s="59" t="s">
        <v>136</v>
      </c>
      <c r="C27" s="185" t="str" cm="1">
        <f t="array" ref="C27">_xll.d.TestUtils_IsTrue(C32="OK")</f>
        <v>OK</v>
      </c>
      <c r="E27" s="59" t="s">
        <v>136</v>
      </c>
      <c r="F27" s="185" t="str" cm="1">
        <f t="array" ref="F27">_xll.d.TestUtils_IsTrue(E32="OK")</f>
        <v>OK</v>
      </c>
      <c r="J27" s="59" t="s">
        <v>136</v>
      </c>
      <c r="K27" s="185" t="str" cm="1">
        <f t="array" ref="K27">_xll.d.TestUtils_IsTrue(J32="OK")</f>
        <v>OK</v>
      </c>
      <c r="O27" s="59" t="s">
        <v>136</v>
      </c>
      <c r="P27" s="185" t="str" cm="1">
        <f t="array" ref="P27">_xll.d.TestUtils_IsTrue(O32="OK")</f>
        <v>OK</v>
      </c>
    </row>
    <row r="29" spans="2:23" x14ac:dyDescent="0.25">
      <c r="B29" s="202" t="s">
        <v>145</v>
      </c>
      <c r="C29" s="186" t="s">
        <v>190</v>
      </c>
      <c r="E29" s="202" t="s">
        <v>145</v>
      </c>
      <c r="F29" s="186" t="s">
        <v>190</v>
      </c>
      <c r="J29" s="202" t="s">
        <v>145</v>
      </c>
      <c r="K29" s="186" t="s">
        <v>190</v>
      </c>
      <c r="O29" s="202" t="s">
        <v>145</v>
      </c>
      <c r="P29" s="186" t="s">
        <v>190</v>
      </c>
    </row>
    <row r="30" spans="2:23" x14ac:dyDescent="0.25">
      <c r="B30" s="186"/>
    </row>
    <row r="31" spans="2:23" x14ac:dyDescent="0.25">
      <c r="B31" s="203" t="s">
        <v>143</v>
      </c>
      <c r="C31" s="203" t="s">
        <v>144</v>
      </c>
      <c r="E31" s="203" t="s">
        <v>144</v>
      </c>
      <c r="J31" s="203" t="s">
        <v>144</v>
      </c>
      <c r="O31" s="203" t="s">
        <v>144</v>
      </c>
    </row>
    <row r="32" spans="2:23" x14ac:dyDescent="0.25">
      <c r="B32" s="186" t="s">
        <v>139</v>
      </c>
      <c r="C32" s="186" t="str" cm="1">
        <f t="array" ref="C32">_xll.d.TestUtils_And(B32:B35)</f>
        <v>OK</v>
      </c>
      <c r="E32" s="186" t="str" cm="1">
        <f t="array" ref="E32">_xll.d.TestUtils_And(E35:H35)</f>
        <v>OK</v>
      </c>
      <c r="J32" s="186" t="str" cm="1">
        <f t="array" ref="J32">_xll.d.TestUtils_And(J35:M38)</f>
        <v>OK</v>
      </c>
      <c r="O32" s="186" t="str" cm="1">
        <f t="array" ref="O32">_xll.d.TestUtils_And(O35,O37:Q37,S35:S38,U35:W38)</f>
        <v>OK</v>
      </c>
    </row>
    <row r="33" spans="2:23" x14ac:dyDescent="0.25">
      <c r="B33" s="186" t="s">
        <v>139</v>
      </c>
    </row>
    <row r="34" spans="2:23" x14ac:dyDescent="0.25">
      <c r="B34" s="186" t="s">
        <v>139</v>
      </c>
      <c r="E34" s="203" t="s">
        <v>143</v>
      </c>
      <c r="J34" s="70" t="s">
        <v>143</v>
      </c>
      <c r="O34" s="70" t="s">
        <v>143</v>
      </c>
    </row>
    <row r="35" spans="2:23" x14ac:dyDescent="0.25">
      <c r="B35" s="186" t="s">
        <v>139</v>
      </c>
      <c r="E35" s="186" t="s">
        <v>139</v>
      </c>
      <c r="F35" s="186" t="s">
        <v>139</v>
      </c>
      <c r="G35" s="186" t="s">
        <v>139</v>
      </c>
      <c r="H35" s="186" t="s">
        <v>139</v>
      </c>
      <c r="J35" s="186" t="s">
        <v>139</v>
      </c>
      <c r="K35" s="186" t="s">
        <v>139</v>
      </c>
      <c r="L35" s="186" t="s">
        <v>139</v>
      </c>
      <c r="M35" s="186" t="s">
        <v>139</v>
      </c>
      <c r="O35" s="186" t="s">
        <v>139</v>
      </c>
      <c r="R35" s="186"/>
      <c r="S35" s="186" t="s">
        <v>139</v>
      </c>
      <c r="U35" s="186" t="s">
        <v>139</v>
      </c>
      <c r="V35" s="186" t="s">
        <v>139</v>
      </c>
      <c r="W35" s="186" t="s">
        <v>139</v>
      </c>
    </row>
    <row r="36" spans="2:23" x14ac:dyDescent="0.25">
      <c r="J36" s="186" t="s">
        <v>139</v>
      </c>
      <c r="K36" s="186" t="s">
        <v>139</v>
      </c>
      <c r="L36" s="186" t="s">
        <v>139</v>
      </c>
      <c r="M36" s="186" t="s">
        <v>139</v>
      </c>
      <c r="S36" s="186" t="s">
        <v>139</v>
      </c>
      <c r="U36" s="186" t="s">
        <v>139</v>
      </c>
      <c r="V36" s="186" t="s">
        <v>139</v>
      </c>
      <c r="W36" s="186" t="s">
        <v>139</v>
      </c>
    </row>
    <row r="37" spans="2:23" x14ac:dyDescent="0.25">
      <c r="J37" s="186" t="s">
        <v>139</v>
      </c>
      <c r="K37" s="186" t="s">
        <v>139</v>
      </c>
      <c r="L37" s="186" t="s">
        <v>139</v>
      </c>
      <c r="M37" s="186" t="s">
        <v>139</v>
      </c>
      <c r="O37" s="186" t="s">
        <v>139</v>
      </c>
      <c r="P37" s="186" t="s">
        <v>139</v>
      </c>
      <c r="Q37" s="186" t="s">
        <v>139</v>
      </c>
      <c r="S37" s="186" t="s">
        <v>139</v>
      </c>
      <c r="U37" s="186" t="s">
        <v>139</v>
      </c>
      <c r="V37" s="186" t="s">
        <v>139</v>
      </c>
      <c r="W37" s="186" t="s">
        <v>139</v>
      </c>
    </row>
    <row r="38" spans="2:23" x14ac:dyDescent="0.25">
      <c r="C38" s="185"/>
      <c r="J38" s="186" t="s">
        <v>139</v>
      </c>
      <c r="K38" s="186" t="s">
        <v>139</v>
      </c>
      <c r="L38" s="186" t="s">
        <v>139</v>
      </c>
      <c r="M38" s="186" t="s">
        <v>139</v>
      </c>
      <c r="S38" s="186" t="s">
        <v>139</v>
      </c>
      <c r="U38" s="186" t="s">
        <v>139</v>
      </c>
      <c r="V38" s="186" t="s">
        <v>139</v>
      </c>
      <c r="W38" s="186" t="s">
        <v>139</v>
      </c>
    </row>
    <row r="39" spans="2:23" x14ac:dyDescent="0.25">
      <c r="C39" s="185"/>
    </row>
    <row r="41" spans="2:23" ht="18.75" x14ac:dyDescent="0.3">
      <c r="B41" s="3" t="s">
        <v>117</v>
      </c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3" spans="2:23" x14ac:dyDescent="0.25">
      <c r="B43" s="59" t="s">
        <v>136</v>
      </c>
      <c r="C43" s="185" t="str" cm="1">
        <f t="array" ref="C43">_xll.d.TestUtils_And(C49,F49,K49,P49)</f>
        <v>OK</v>
      </c>
    </row>
    <row r="45" spans="2:23" x14ac:dyDescent="0.25">
      <c r="B45" t="s">
        <v>197</v>
      </c>
    </row>
    <row r="47" spans="2:23" ht="15.75" x14ac:dyDescent="0.25">
      <c r="B47" s="4" t="s">
        <v>146</v>
      </c>
      <c r="C47" s="4"/>
      <c r="E47" s="4" t="s">
        <v>147</v>
      </c>
      <c r="F47" s="4"/>
      <c r="G47" s="4"/>
      <c r="H47" s="4"/>
      <c r="J47" s="4" t="s">
        <v>148</v>
      </c>
      <c r="K47" s="4"/>
      <c r="L47" s="4"/>
      <c r="M47" s="4"/>
      <c r="O47" s="4" t="s">
        <v>158</v>
      </c>
      <c r="P47" s="4"/>
      <c r="Q47" s="4"/>
      <c r="R47" s="4"/>
      <c r="S47" s="4"/>
      <c r="T47" s="4"/>
      <c r="U47" s="4"/>
      <c r="V47" s="4"/>
      <c r="W47" s="4"/>
    </row>
    <row r="49" spans="2:23" x14ac:dyDescent="0.25">
      <c r="B49" s="59" t="s">
        <v>136</v>
      </c>
      <c r="C49" s="185" t="str" cm="1">
        <f t="array" ref="C49">_xll.d.TestUtils_IsTrue(C54="ERROR")</f>
        <v>OK</v>
      </c>
      <c r="E49" s="59" t="s">
        <v>136</v>
      </c>
      <c r="F49" s="185" t="str" cm="1">
        <f t="array" ref="F49">_xll.d.TestUtils_IsTrue(E54="ERROR")</f>
        <v>OK</v>
      </c>
      <c r="J49" s="59" t="s">
        <v>136</v>
      </c>
      <c r="K49" s="185" t="str" cm="1">
        <f t="array" ref="K49">_xll.d.TestUtils_IsTrue(J54="ERROR")</f>
        <v>OK</v>
      </c>
      <c r="O49" s="59" t="s">
        <v>136</v>
      </c>
      <c r="P49" s="185" t="str" cm="1">
        <f t="array" ref="P49">_xll.d.TestUtils_IsTrue(O54="ERROR")</f>
        <v>OK</v>
      </c>
    </row>
    <row r="51" spans="2:23" x14ac:dyDescent="0.25">
      <c r="B51" s="202" t="s">
        <v>145</v>
      </c>
      <c r="C51" s="186" t="s">
        <v>190</v>
      </c>
      <c r="E51" s="202" t="s">
        <v>145</v>
      </c>
      <c r="F51" s="186" t="s">
        <v>190</v>
      </c>
      <c r="J51" s="202" t="s">
        <v>145</v>
      </c>
      <c r="K51" s="186" t="s">
        <v>190</v>
      </c>
      <c r="O51" s="202" t="s">
        <v>145</v>
      </c>
      <c r="P51" s="186" t="s">
        <v>190</v>
      </c>
    </row>
    <row r="52" spans="2:23" x14ac:dyDescent="0.25">
      <c r="B52" s="186"/>
    </row>
    <row r="53" spans="2:23" x14ac:dyDescent="0.25">
      <c r="B53" s="203" t="s">
        <v>143</v>
      </c>
      <c r="C53" s="203" t="s">
        <v>144</v>
      </c>
      <c r="E53" s="203" t="s">
        <v>144</v>
      </c>
      <c r="J53" s="203" t="s">
        <v>144</v>
      </c>
      <c r="O53" s="203" t="s">
        <v>144</v>
      </c>
    </row>
    <row r="54" spans="2:23" x14ac:dyDescent="0.25">
      <c r="B54" s="186" t="s">
        <v>139</v>
      </c>
      <c r="C54" s="186" t="str" cm="1">
        <f t="array" ref="C54">_xll.d.TestUtils_And(B54:B57)</f>
        <v>ERROR</v>
      </c>
      <c r="E54" s="186" t="str" cm="1">
        <f t="array" ref="E54">_xll.d.TestUtils_And(E57:H57)</f>
        <v>ERROR</v>
      </c>
      <c r="J54" s="186" t="str" cm="1">
        <f t="array" ref="J54">_xll.d.TestUtils_And(J57:M60)</f>
        <v>ERROR</v>
      </c>
      <c r="O54" s="186" t="str" cm="1">
        <f t="array" ref="O54">_xll.d.TestUtils_And(O57,O59:Q59,S57:S60,U57:W60)</f>
        <v>ERROR</v>
      </c>
    </row>
    <row r="55" spans="2:23" x14ac:dyDescent="0.25">
      <c r="B55" s="186" t="s">
        <v>139</v>
      </c>
    </row>
    <row r="56" spans="2:23" x14ac:dyDescent="0.25">
      <c r="B56" s="186" t="s">
        <v>149</v>
      </c>
      <c r="E56" s="203" t="s">
        <v>143</v>
      </c>
      <c r="J56" s="70" t="s">
        <v>143</v>
      </c>
      <c r="O56" s="70" t="s">
        <v>143</v>
      </c>
    </row>
    <row r="57" spans="2:23" x14ac:dyDescent="0.25">
      <c r="B57" s="186" t="s">
        <v>139</v>
      </c>
      <c r="E57" s="186" t="s">
        <v>139</v>
      </c>
      <c r="F57" s="186" t="s">
        <v>149</v>
      </c>
      <c r="G57" s="186" t="s">
        <v>139</v>
      </c>
      <c r="H57" s="186" t="s">
        <v>139</v>
      </c>
      <c r="J57" s="186" t="s">
        <v>139</v>
      </c>
      <c r="K57" s="186" t="s">
        <v>139</v>
      </c>
      <c r="L57" s="186" t="s">
        <v>139</v>
      </c>
      <c r="M57" s="186" t="s">
        <v>139</v>
      </c>
      <c r="O57" s="186" t="s">
        <v>139</v>
      </c>
      <c r="R57" s="186"/>
      <c r="S57" s="186" t="s">
        <v>139</v>
      </c>
      <c r="U57" s="186" t="s">
        <v>139</v>
      </c>
      <c r="V57" s="186" t="s">
        <v>139</v>
      </c>
      <c r="W57" s="186" t="s">
        <v>139</v>
      </c>
    </row>
    <row r="58" spans="2:23" x14ac:dyDescent="0.25">
      <c r="J58" s="186" t="s">
        <v>139</v>
      </c>
      <c r="K58" s="186" t="s">
        <v>139</v>
      </c>
      <c r="L58" s="186" t="s">
        <v>139</v>
      </c>
      <c r="M58" s="186" t="s">
        <v>139</v>
      </c>
      <c r="S58" s="186" t="s">
        <v>139</v>
      </c>
      <c r="U58" s="186" t="s">
        <v>139</v>
      </c>
      <c r="V58" s="186" t="s">
        <v>139</v>
      </c>
      <c r="W58" s="186" t="s">
        <v>139</v>
      </c>
    </row>
    <row r="59" spans="2:23" x14ac:dyDescent="0.25">
      <c r="J59" s="186" t="s">
        <v>139</v>
      </c>
      <c r="K59" s="186" t="s">
        <v>139</v>
      </c>
      <c r="L59" s="186" t="s">
        <v>149</v>
      </c>
      <c r="M59" s="186" t="s">
        <v>139</v>
      </c>
      <c r="O59" s="186" t="s">
        <v>139</v>
      </c>
      <c r="P59" s="186" t="s">
        <v>149</v>
      </c>
      <c r="Q59" s="186" t="s">
        <v>139</v>
      </c>
      <c r="S59" s="186" t="s">
        <v>139</v>
      </c>
      <c r="U59" s="186" t="s">
        <v>139</v>
      </c>
      <c r="V59" s="186" t="s">
        <v>139</v>
      </c>
      <c r="W59" s="186" t="s">
        <v>139</v>
      </c>
    </row>
    <row r="60" spans="2:23" x14ac:dyDescent="0.25">
      <c r="C60" s="185"/>
      <c r="J60" s="186" t="s">
        <v>139</v>
      </c>
      <c r="K60" s="186" t="s">
        <v>139</v>
      </c>
      <c r="L60" s="186" t="s">
        <v>139</v>
      </c>
      <c r="M60" s="186" t="s">
        <v>139</v>
      </c>
      <c r="S60" s="186" t="s">
        <v>139</v>
      </c>
      <c r="U60" s="186" t="s">
        <v>139</v>
      </c>
      <c r="V60" s="186" t="s">
        <v>139</v>
      </c>
      <c r="W60" s="186" t="s">
        <v>139</v>
      </c>
    </row>
    <row r="63" spans="2:23" ht="18.75" x14ac:dyDescent="0.3">
      <c r="B63" s="3" t="s">
        <v>118</v>
      </c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5" spans="2:23" x14ac:dyDescent="0.25">
      <c r="B65" s="59" t="s">
        <v>136</v>
      </c>
      <c r="C65" s="185" t="str" cm="1">
        <f t="array" ref="C65">_xll.d.TestUtils_And(C71,F71,K71,P71)</f>
        <v>OK</v>
      </c>
    </row>
    <row r="67" spans="2:23" x14ac:dyDescent="0.25">
      <c r="B67" t="s">
        <v>198</v>
      </c>
    </row>
    <row r="69" spans="2:23" s="64" customFormat="1" ht="15.75" x14ac:dyDescent="0.25">
      <c r="B69" s="4" t="s">
        <v>150</v>
      </c>
      <c r="C69" s="4"/>
      <c r="E69" s="4" t="s">
        <v>151</v>
      </c>
      <c r="F69" s="4"/>
      <c r="G69" s="4"/>
      <c r="H69" s="4"/>
      <c r="J69" s="4" t="s">
        <v>152</v>
      </c>
      <c r="K69" s="4"/>
      <c r="L69" s="4"/>
      <c r="M69" s="4"/>
      <c r="O69" s="4" t="s">
        <v>159</v>
      </c>
      <c r="P69" s="4"/>
      <c r="Q69" s="4"/>
      <c r="R69" s="4"/>
      <c r="S69" s="4"/>
      <c r="T69" s="4"/>
      <c r="U69" s="4"/>
      <c r="V69" s="4"/>
      <c r="W69" s="4"/>
    </row>
    <row r="71" spans="2:23" x14ac:dyDescent="0.25">
      <c r="B71" s="59" t="s">
        <v>136</v>
      </c>
      <c r="C71" s="185" t="str" cm="1">
        <f t="array" ref="C71">_xll.d.TestUtils_IsTrue(C76="WARNING")</f>
        <v>OK</v>
      </c>
      <c r="E71" s="59" t="s">
        <v>136</v>
      </c>
      <c r="F71" s="185" t="str" cm="1">
        <f t="array" ref="F71">_xll.d.TestUtils_IsTrue(E76="WARNING")</f>
        <v>OK</v>
      </c>
      <c r="J71" s="59" t="s">
        <v>136</v>
      </c>
      <c r="K71" s="185" t="str" cm="1">
        <f t="array" ref="K71">_xll.d.TestUtils_IsTrue(J76="WARNING")</f>
        <v>OK</v>
      </c>
      <c r="O71" s="59" t="s">
        <v>136</v>
      </c>
      <c r="P71" s="185" t="str" cm="1">
        <f t="array" ref="P71">_xll.d.TestUtils_IsTrue(O76="WARNING")</f>
        <v>OK</v>
      </c>
    </row>
    <row r="73" spans="2:23" x14ac:dyDescent="0.25">
      <c r="B73" s="202" t="s">
        <v>145</v>
      </c>
      <c r="C73" s="186" t="s">
        <v>190</v>
      </c>
      <c r="E73" s="202" t="s">
        <v>145</v>
      </c>
      <c r="F73" s="186" t="s">
        <v>190</v>
      </c>
      <c r="J73" s="202" t="s">
        <v>145</v>
      </c>
      <c r="K73" s="186" t="s">
        <v>190</v>
      </c>
      <c r="O73" s="202" t="s">
        <v>145</v>
      </c>
      <c r="P73" s="186" t="s">
        <v>190</v>
      </c>
    </row>
    <row r="74" spans="2:23" x14ac:dyDescent="0.25">
      <c r="B74" s="186"/>
    </row>
    <row r="75" spans="2:23" x14ac:dyDescent="0.25">
      <c r="B75" s="203" t="s">
        <v>143</v>
      </c>
      <c r="C75" s="203" t="s">
        <v>144</v>
      </c>
      <c r="E75" s="203" t="s">
        <v>144</v>
      </c>
      <c r="J75" s="203" t="s">
        <v>144</v>
      </c>
      <c r="O75" s="203" t="s">
        <v>144</v>
      </c>
    </row>
    <row r="76" spans="2:23" x14ac:dyDescent="0.25">
      <c r="B76" s="186" t="s">
        <v>139</v>
      </c>
      <c r="C76" s="186" t="str" cm="1">
        <f t="array" ref="C76">_xll.d.TestUtils_And(B76:B79)</f>
        <v>WARNING</v>
      </c>
      <c r="E76" s="186" t="str" cm="1">
        <f t="array" ref="E76">_xll.d.TestUtils_And(E79:H79)</f>
        <v>WARNING</v>
      </c>
      <c r="J76" s="186" t="str" cm="1">
        <f t="array" ref="J76">_xll.d.TestUtils_And(J79:M82)</f>
        <v>WARNING</v>
      </c>
      <c r="O76" s="186" t="str" cm="1">
        <f t="array" ref="O76">_xll.d.TestUtils_And(O79,O81:Q81,S79:S82,U79:W82)</f>
        <v>WARNING</v>
      </c>
    </row>
    <row r="77" spans="2:23" x14ac:dyDescent="0.25">
      <c r="B77" s="186" t="s">
        <v>139</v>
      </c>
    </row>
    <row r="78" spans="2:23" x14ac:dyDescent="0.25">
      <c r="B78" s="186" t="s">
        <v>153</v>
      </c>
      <c r="E78" s="203" t="s">
        <v>143</v>
      </c>
      <c r="J78" s="70" t="s">
        <v>143</v>
      </c>
      <c r="O78" s="70" t="s">
        <v>143</v>
      </c>
    </row>
    <row r="79" spans="2:23" x14ac:dyDescent="0.25">
      <c r="B79" s="186" t="s">
        <v>139</v>
      </c>
      <c r="E79" s="186" t="s">
        <v>139</v>
      </c>
      <c r="F79" s="186" t="s">
        <v>153</v>
      </c>
      <c r="G79" s="186" t="s">
        <v>139</v>
      </c>
      <c r="H79" s="186" t="s">
        <v>139</v>
      </c>
      <c r="J79" s="186" t="s">
        <v>139</v>
      </c>
      <c r="K79" s="186" t="s">
        <v>139</v>
      </c>
      <c r="L79" s="186" t="s">
        <v>139</v>
      </c>
      <c r="M79" s="186" t="s">
        <v>139</v>
      </c>
      <c r="O79" s="186" t="s">
        <v>139</v>
      </c>
      <c r="R79" s="186"/>
      <c r="S79" s="186" t="s">
        <v>139</v>
      </c>
      <c r="U79" s="186" t="s">
        <v>139</v>
      </c>
      <c r="V79" s="186" t="s">
        <v>139</v>
      </c>
      <c r="W79" s="186" t="s">
        <v>139</v>
      </c>
    </row>
    <row r="80" spans="2:23" x14ac:dyDescent="0.25">
      <c r="J80" s="186" t="s">
        <v>139</v>
      </c>
      <c r="K80" s="186" t="s">
        <v>139</v>
      </c>
      <c r="L80" s="186" t="s">
        <v>139</v>
      </c>
      <c r="M80" s="186" t="s">
        <v>139</v>
      </c>
      <c r="S80" s="186" t="s">
        <v>139</v>
      </c>
      <c r="U80" s="186" t="s">
        <v>139</v>
      </c>
      <c r="V80" s="186" t="s">
        <v>139</v>
      </c>
      <c r="W80" s="186" t="s">
        <v>139</v>
      </c>
    </row>
    <row r="81" spans="2:23" x14ac:dyDescent="0.25">
      <c r="J81" s="186" t="s">
        <v>139</v>
      </c>
      <c r="K81" s="186" t="s">
        <v>139</v>
      </c>
      <c r="L81" s="186" t="s">
        <v>153</v>
      </c>
      <c r="M81" s="186" t="s">
        <v>139</v>
      </c>
      <c r="O81" s="186" t="s">
        <v>139</v>
      </c>
      <c r="P81" s="186" t="s">
        <v>153</v>
      </c>
      <c r="Q81" s="186" t="s">
        <v>139</v>
      </c>
      <c r="S81" s="186" t="s">
        <v>139</v>
      </c>
      <c r="U81" s="186" t="s">
        <v>139</v>
      </c>
      <c r="V81" s="186" t="s">
        <v>139</v>
      </c>
      <c r="W81" s="186" t="s">
        <v>139</v>
      </c>
    </row>
    <row r="82" spans="2:23" x14ac:dyDescent="0.25">
      <c r="C82" s="185"/>
      <c r="J82" s="186" t="s">
        <v>139</v>
      </c>
      <c r="K82" s="186" t="s">
        <v>139</v>
      </c>
      <c r="L82" s="186" t="s">
        <v>139</v>
      </c>
      <c r="M82" s="186" t="s">
        <v>139</v>
      </c>
      <c r="S82" s="186" t="s">
        <v>139</v>
      </c>
      <c r="U82" s="186" t="s">
        <v>139</v>
      </c>
      <c r="V82" s="186" t="s">
        <v>139</v>
      </c>
      <c r="W82" s="186" t="s">
        <v>139</v>
      </c>
    </row>
    <row r="85" spans="2:23" ht="18.75" x14ac:dyDescent="0.3">
      <c r="B85" s="3" t="s">
        <v>121</v>
      </c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7" spans="2:23" x14ac:dyDescent="0.25">
      <c r="B87" s="59" t="s">
        <v>136</v>
      </c>
      <c r="C87" s="185" t="str" cm="1">
        <f t="array" ref="C87">_xll.d.TestUtils_And(C93,F93,K93,P93)</f>
        <v>OK</v>
      </c>
    </row>
    <row r="89" spans="2:23" x14ac:dyDescent="0.25">
      <c r="B89" t="s">
        <v>199</v>
      </c>
    </row>
    <row r="91" spans="2:23" ht="15.75" x14ac:dyDescent="0.25">
      <c r="B91" s="4" t="s">
        <v>154</v>
      </c>
      <c r="C91" s="4"/>
      <c r="E91" s="4" t="s">
        <v>155</v>
      </c>
      <c r="F91" s="4"/>
      <c r="G91" s="4"/>
      <c r="H91" s="4"/>
      <c r="J91" s="4" t="s">
        <v>156</v>
      </c>
      <c r="K91" s="4"/>
      <c r="L91" s="4"/>
      <c r="M91" s="4"/>
      <c r="O91" s="4" t="s">
        <v>160</v>
      </c>
      <c r="P91" s="4"/>
      <c r="Q91" s="4"/>
      <c r="R91" s="4"/>
      <c r="S91" s="4"/>
      <c r="T91" s="4"/>
      <c r="U91" s="4"/>
      <c r="V91" s="4"/>
      <c r="W91" s="4"/>
    </row>
    <row r="93" spans="2:23" x14ac:dyDescent="0.25">
      <c r="B93" s="59" t="s">
        <v>136</v>
      </c>
      <c r="C93" s="185" t="str" cm="1">
        <f t="array" ref="C93">_xll.d.TestUtils_IsTrue(C98="ERROR")</f>
        <v>OK</v>
      </c>
      <c r="E93" s="59" t="s">
        <v>136</v>
      </c>
      <c r="F93" s="185" t="str" cm="1">
        <f t="array" ref="F93">_xll.d.TestUtils_IsTrue(E98="ERROR")</f>
        <v>OK</v>
      </c>
      <c r="J93" s="59" t="s">
        <v>136</v>
      </c>
      <c r="K93" s="185" t="str" cm="1">
        <f t="array" ref="K93">_xll.d.TestUtils_IsTrue(J98="ERROR")</f>
        <v>OK</v>
      </c>
      <c r="O93" s="59" t="s">
        <v>136</v>
      </c>
      <c r="P93" s="185" t="str" cm="1">
        <f t="array" ref="P93">_xll.d.TestUtils_IsTrue(O98="ERROR")</f>
        <v>OK</v>
      </c>
    </row>
    <row r="95" spans="2:23" x14ac:dyDescent="0.25">
      <c r="B95" s="202" t="s">
        <v>145</v>
      </c>
      <c r="C95" s="186" t="s">
        <v>190</v>
      </c>
      <c r="E95" s="202" t="s">
        <v>145</v>
      </c>
      <c r="F95" s="186" t="s">
        <v>190</v>
      </c>
      <c r="J95" s="202" t="s">
        <v>145</v>
      </c>
      <c r="K95" s="186" t="s">
        <v>190</v>
      </c>
      <c r="O95" s="202" t="s">
        <v>145</v>
      </c>
      <c r="P95" s="186" t="s">
        <v>190</v>
      </c>
    </row>
    <row r="96" spans="2:23" x14ac:dyDescent="0.25">
      <c r="B96" s="186"/>
    </row>
    <row r="97" spans="2:23" x14ac:dyDescent="0.25">
      <c r="B97" s="203" t="s">
        <v>143</v>
      </c>
      <c r="C97" s="203" t="s">
        <v>144</v>
      </c>
      <c r="E97" s="203" t="s">
        <v>144</v>
      </c>
      <c r="J97" s="203" t="s">
        <v>144</v>
      </c>
      <c r="O97" s="203" t="s">
        <v>144</v>
      </c>
    </row>
    <row r="98" spans="2:23" x14ac:dyDescent="0.25">
      <c r="B98" s="186" t="s">
        <v>139</v>
      </c>
      <c r="C98" s="186" t="str" cm="1">
        <f t="array" ref="C98">_xll.d.TestUtils_And(B98:B101)</f>
        <v>ERROR</v>
      </c>
      <c r="E98" s="186" t="str" cm="1">
        <f t="array" ref="E98">_xll.d.TestUtils_And(E101:H101)</f>
        <v>ERROR</v>
      </c>
      <c r="J98" s="186" t="str" cm="1">
        <f t="array" ref="J98">_xll.d.TestUtils_And(J101:M104)</f>
        <v>ERROR</v>
      </c>
      <c r="O98" s="186" t="str" cm="1">
        <f t="array" ref="O98">_xll.d.TestUtils_And(O101,O103:Q103,S101:S104,U101:W104)</f>
        <v>ERROR</v>
      </c>
    </row>
    <row r="99" spans="2:23" x14ac:dyDescent="0.25">
      <c r="B99" s="186" t="s">
        <v>149</v>
      </c>
    </row>
    <row r="100" spans="2:23" x14ac:dyDescent="0.25">
      <c r="B100" s="186" t="s">
        <v>153</v>
      </c>
      <c r="E100" s="203" t="s">
        <v>143</v>
      </c>
      <c r="J100" s="70" t="s">
        <v>143</v>
      </c>
      <c r="O100" s="70" t="s">
        <v>143</v>
      </c>
    </row>
    <row r="101" spans="2:23" x14ac:dyDescent="0.25">
      <c r="B101" s="186" t="s">
        <v>139</v>
      </c>
      <c r="E101" s="186" t="s">
        <v>139</v>
      </c>
      <c r="F101" s="186" t="s">
        <v>153</v>
      </c>
      <c r="G101" s="186" t="s">
        <v>139</v>
      </c>
      <c r="H101" s="186" t="s">
        <v>149</v>
      </c>
      <c r="J101" s="186" t="s">
        <v>139</v>
      </c>
      <c r="K101" s="186" t="s">
        <v>139</v>
      </c>
      <c r="L101" s="186" t="s">
        <v>139</v>
      </c>
      <c r="M101" s="186" t="s">
        <v>139</v>
      </c>
      <c r="O101" s="186" t="s">
        <v>139</v>
      </c>
      <c r="R101" s="186"/>
      <c r="S101" s="186" t="s">
        <v>139</v>
      </c>
      <c r="U101" s="186" t="s">
        <v>139</v>
      </c>
      <c r="V101" s="186" t="s">
        <v>139</v>
      </c>
      <c r="W101" s="186" t="s">
        <v>139</v>
      </c>
    </row>
    <row r="102" spans="2:23" x14ac:dyDescent="0.25">
      <c r="J102" s="186" t="s">
        <v>139</v>
      </c>
      <c r="K102" s="186" t="s">
        <v>139</v>
      </c>
      <c r="L102" s="186" t="s">
        <v>139</v>
      </c>
      <c r="M102" s="186" t="s">
        <v>139</v>
      </c>
      <c r="S102" s="186" t="s">
        <v>139</v>
      </c>
      <c r="U102" s="186" t="s">
        <v>139</v>
      </c>
      <c r="V102" s="186" t="s">
        <v>139</v>
      </c>
      <c r="W102" s="186" t="s">
        <v>139</v>
      </c>
    </row>
    <row r="103" spans="2:23" x14ac:dyDescent="0.25">
      <c r="J103" s="186" t="s">
        <v>139</v>
      </c>
      <c r="K103" s="186" t="s">
        <v>139</v>
      </c>
      <c r="L103" s="186" t="s">
        <v>153</v>
      </c>
      <c r="M103" s="186" t="s">
        <v>139</v>
      </c>
      <c r="O103" s="186" t="s">
        <v>139</v>
      </c>
      <c r="P103" s="186" t="s">
        <v>153</v>
      </c>
      <c r="Q103" s="186" t="s">
        <v>139</v>
      </c>
      <c r="S103" s="186" t="s">
        <v>139</v>
      </c>
      <c r="U103" s="186" t="s">
        <v>149</v>
      </c>
      <c r="V103" s="186" t="s">
        <v>139</v>
      </c>
      <c r="W103" s="186" t="s">
        <v>139</v>
      </c>
    </row>
    <row r="104" spans="2:23" x14ac:dyDescent="0.25">
      <c r="C104" s="185"/>
      <c r="J104" s="186" t="s">
        <v>139</v>
      </c>
      <c r="K104" s="186" t="s">
        <v>139</v>
      </c>
      <c r="L104" s="186" t="s">
        <v>139</v>
      </c>
      <c r="M104" s="186" t="s">
        <v>149</v>
      </c>
      <c r="S104" s="186" t="s">
        <v>139</v>
      </c>
      <c r="U104" s="186" t="s">
        <v>139</v>
      </c>
      <c r="V104" s="186" t="s">
        <v>139</v>
      </c>
      <c r="W104" s="186" t="s">
        <v>139</v>
      </c>
    </row>
    <row r="107" spans="2:23" ht="18.75" x14ac:dyDescent="0.3">
      <c r="B107" s="3" t="s">
        <v>127</v>
      </c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9" spans="2:23" x14ac:dyDescent="0.25">
      <c r="B109" s="59" t="s">
        <v>136</v>
      </c>
      <c r="C109" s="185" t="str" cm="1">
        <f t="array" ref="C109">_xll.d.TestUtils_And(C115,F115,K115,P115)</f>
        <v>OK</v>
      </c>
    </row>
    <row r="111" spans="2:23" x14ac:dyDescent="0.25">
      <c r="B111" t="s">
        <v>200</v>
      </c>
    </row>
    <row r="113" spans="2:23" ht="15.75" x14ac:dyDescent="0.25">
      <c r="B113" s="4" t="s">
        <v>161</v>
      </c>
      <c r="C113" s="4"/>
      <c r="E113" s="4" t="s">
        <v>162</v>
      </c>
      <c r="F113" s="4"/>
      <c r="G113" s="4"/>
      <c r="H113" s="4"/>
      <c r="J113" s="4" t="s">
        <v>163</v>
      </c>
      <c r="K113" s="4"/>
      <c r="L113" s="4"/>
      <c r="M113" s="4"/>
      <c r="O113" s="4" t="s">
        <v>164</v>
      </c>
      <c r="P113" s="4"/>
      <c r="Q113" s="4"/>
      <c r="R113" s="4"/>
      <c r="S113" s="4"/>
      <c r="T113" s="4"/>
      <c r="U113" s="4"/>
      <c r="V113" s="4"/>
      <c r="W113" s="4"/>
    </row>
    <row r="115" spans="2:23" x14ac:dyDescent="0.25">
      <c r="B115" s="59" t="s">
        <v>136</v>
      </c>
      <c r="C115" s="185" t="str" cm="1">
        <f t="array" ref="C115">_xll.d.TestUtils_IsTrue(C120="ERROR")</f>
        <v>OK</v>
      </c>
      <c r="E115" s="59" t="s">
        <v>136</v>
      </c>
      <c r="F115" s="185" t="str" cm="1">
        <f t="array" ref="F115">_xll.d.TestUtils_IsTrue(E120="ERROR")</f>
        <v>OK</v>
      </c>
      <c r="J115" s="59" t="s">
        <v>136</v>
      </c>
      <c r="K115" s="185" t="str" cm="1">
        <f t="array" ref="K115">_xll.d.TestUtils_IsTrue(J120="ERROR")</f>
        <v>OK</v>
      </c>
      <c r="O115" s="59" t="s">
        <v>136</v>
      </c>
      <c r="P115" s="185" t="str" cm="1">
        <f t="array" ref="P115">_xll.d.TestUtils_IsTrue(O120="ERROR")</f>
        <v>OK</v>
      </c>
    </row>
    <row r="117" spans="2:23" x14ac:dyDescent="0.25">
      <c r="B117" s="202" t="s">
        <v>145</v>
      </c>
      <c r="C117" s="186" t="s">
        <v>191</v>
      </c>
      <c r="E117" s="202" t="s">
        <v>145</v>
      </c>
      <c r="F117" s="186" t="s">
        <v>191</v>
      </c>
      <c r="J117" s="202" t="s">
        <v>145</v>
      </c>
      <c r="K117" s="186" t="s">
        <v>191</v>
      </c>
      <c r="O117" s="202" t="s">
        <v>145</v>
      </c>
      <c r="P117" s="186" t="s">
        <v>191</v>
      </c>
    </row>
    <row r="118" spans="2:23" x14ac:dyDescent="0.25">
      <c r="B118" s="186"/>
    </row>
    <row r="119" spans="2:23" x14ac:dyDescent="0.25">
      <c r="B119" s="203" t="s">
        <v>143</v>
      </c>
      <c r="C119" s="203" t="s">
        <v>144</v>
      </c>
      <c r="E119" s="203" t="s">
        <v>144</v>
      </c>
      <c r="J119" s="203" t="s">
        <v>144</v>
      </c>
      <c r="O119" s="203" t="s">
        <v>144</v>
      </c>
    </row>
    <row r="120" spans="2:23" x14ac:dyDescent="0.25">
      <c r="B120" s="186" t="s">
        <v>149</v>
      </c>
      <c r="C120" s="186" t="str" cm="1">
        <f t="array" ref="C120">_xll.d.TestUtils_Or(B120:B123)</f>
        <v>ERROR</v>
      </c>
      <c r="E120" s="186" t="str" cm="1">
        <f t="array" ref="E120">_xll.d.TestUtils_Or(E123:H123)</f>
        <v>ERROR</v>
      </c>
      <c r="J120" s="186" t="str" cm="1">
        <f t="array" ref="J120">_xll.d.TestUtils_Or(J123:M126)</f>
        <v>ERROR</v>
      </c>
      <c r="O120" s="186" t="str" cm="1">
        <f t="array" ref="O120">_xll.d.TestUtils_Or(O123,O125:Q125,S123:S126,U123:W126)</f>
        <v>ERROR</v>
      </c>
    </row>
    <row r="121" spans="2:23" x14ac:dyDescent="0.25">
      <c r="B121" s="186" t="s">
        <v>149</v>
      </c>
    </row>
    <row r="122" spans="2:23" x14ac:dyDescent="0.25">
      <c r="B122" s="186" t="s">
        <v>149</v>
      </c>
      <c r="E122" s="203" t="s">
        <v>143</v>
      </c>
      <c r="J122" s="70" t="s">
        <v>143</v>
      </c>
      <c r="O122" s="70" t="s">
        <v>143</v>
      </c>
    </row>
    <row r="123" spans="2:23" x14ac:dyDescent="0.25">
      <c r="B123" s="186" t="s">
        <v>149</v>
      </c>
      <c r="E123" s="186" t="s">
        <v>149</v>
      </c>
      <c r="F123" s="186" t="s">
        <v>149</v>
      </c>
      <c r="G123" s="186" t="s">
        <v>149</v>
      </c>
      <c r="H123" s="186" t="s">
        <v>149</v>
      </c>
      <c r="J123" s="186" t="s">
        <v>149</v>
      </c>
      <c r="K123" s="186" t="s">
        <v>149</v>
      </c>
      <c r="L123" s="186" t="s">
        <v>149</v>
      </c>
      <c r="M123" s="186" t="s">
        <v>149</v>
      </c>
      <c r="O123" s="186" t="s">
        <v>149</v>
      </c>
      <c r="R123" s="186"/>
      <c r="S123" s="186" t="s">
        <v>149</v>
      </c>
      <c r="U123" s="186" t="s">
        <v>149</v>
      </c>
      <c r="V123" s="186" t="s">
        <v>149</v>
      </c>
      <c r="W123" s="186" t="s">
        <v>149</v>
      </c>
    </row>
    <row r="124" spans="2:23" x14ac:dyDescent="0.25">
      <c r="J124" s="186" t="s">
        <v>149</v>
      </c>
      <c r="K124" s="186" t="s">
        <v>149</v>
      </c>
      <c r="L124" s="186" t="s">
        <v>149</v>
      </c>
      <c r="M124" s="186" t="s">
        <v>149</v>
      </c>
      <c r="S124" s="186" t="s">
        <v>149</v>
      </c>
      <c r="U124" s="186" t="s">
        <v>149</v>
      </c>
      <c r="V124" s="186" t="s">
        <v>149</v>
      </c>
      <c r="W124" s="186" t="s">
        <v>149</v>
      </c>
    </row>
    <row r="125" spans="2:23" x14ac:dyDescent="0.25">
      <c r="J125" s="186" t="s">
        <v>149</v>
      </c>
      <c r="K125" s="186" t="s">
        <v>149</v>
      </c>
      <c r="L125" s="186" t="s">
        <v>149</v>
      </c>
      <c r="M125" s="186" t="s">
        <v>149</v>
      </c>
      <c r="O125" s="186" t="s">
        <v>149</v>
      </c>
      <c r="P125" s="186" t="s">
        <v>149</v>
      </c>
      <c r="Q125" s="186" t="s">
        <v>149</v>
      </c>
      <c r="S125" s="186" t="s">
        <v>149</v>
      </c>
      <c r="U125" s="186" t="s">
        <v>149</v>
      </c>
      <c r="V125" s="186" t="s">
        <v>149</v>
      </c>
      <c r="W125" s="186" t="s">
        <v>149</v>
      </c>
    </row>
    <row r="126" spans="2:23" x14ac:dyDescent="0.25">
      <c r="C126" s="185"/>
      <c r="J126" s="186" t="s">
        <v>149</v>
      </c>
      <c r="K126" s="186" t="s">
        <v>149</v>
      </c>
      <c r="L126" s="186" t="s">
        <v>149</v>
      </c>
      <c r="M126" s="186" t="s">
        <v>149</v>
      </c>
      <c r="S126" s="186" t="s">
        <v>149</v>
      </c>
      <c r="U126" s="186" t="s">
        <v>149</v>
      </c>
      <c r="V126" s="186" t="s">
        <v>149</v>
      </c>
      <c r="W126" s="186" t="s">
        <v>149</v>
      </c>
    </row>
    <row r="129" spans="2:23" ht="18.75" x14ac:dyDescent="0.3">
      <c r="B129" s="3" t="s">
        <v>129</v>
      </c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1" spans="2:23" x14ac:dyDescent="0.25">
      <c r="B131" s="59" t="s">
        <v>136</v>
      </c>
      <c r="C131" s="185" t="str" cm="1">
        <f t="array" ref="C131">_xll.d.TestUtils_And(C137,F137,K137,P137)</f>
        <v>OK</v>
      </c>
    </row>
    <row r="133" spans="2:23" x14ac:dyDescent="0.25">
      <c r="B133" t="s">
        <v>201</v>
      </c>
    </row>
    <row r="135" spans="2:23" ht="15.75" x14ac:dyDescent="0.25">
      <c r="B135" s="4" t="s">
        <v>168</v>
      </c>
      <c r="C135" s="4"/>
      <c r="E135" s="4" t="s">
        <v>165</v>
      </c>
      <c r="F135" s="4"/>
      <c r="G135" s="4"/>
      <c r="H135" s="4"/>
      <c r="J135" s="4" t="s">
        <v>166</v>
      </c>
      <c r="K135" s="4"/>
      <c r="L135" s="4"/>
      <c r="M135" s="4"/>
      <c r="O135" s="4" t="s">
        <v>167</v>
      </c>
      <c r="P135" s="4"/>
      <c r="Q135" s="4"/>
      <c r="R135" s="4"/>
      <c r="S135" s="4"/>
      <c r="T135" s="4"/>
      <c r="U135" s="4"/>
      <c r="V135" s="4"/>
      <c r="W135" s="4"/>
    </row>
    <row r="137" spans="2:23" x14ac:dyDescent="0.25">
      <c r="B137" s="59" t="s">
        <v>136</v>
      </c>
      <c r="C137" s="185" t="str" cm="1">
        <f t="array" ref="C137">_xll.d.TestUtils_IsTrue(C142="OK")</f>
        <v>OK</v>
      </c>
      <c r="E137" s="59" t="s">
        <v>136</v>
      </c>
      <c r="F137" s="185" t="str" cm="1">
        <f t="array" ref="F137">_xll.d.TestUtils_IsTrue(E142="OK")</f>
        <v>OK</v>
      </c>
      <c r="J137" s="59" t="s">
        <v>136</v>
      </c>
      <c r="K137" s="185" t="str" cm="1">
        <f t="array" ref="K137">_xll.d.TestUtils_IsTrue(J142="OK")</f>
        <v>OK</v>
      </c>
      <c r="O137" s="59" t="s">
        <v>136</v>
      </c>
      <c r="P137" s="185" t="str" cm="1">
        <f t="array" ref="P137">_xll.d.TestUtils_IsTrue(O142="OK")</f>
        <v>OK</v>
      </c>
    </row>
    <row r="139" spans="2:23" x14ac:dyDescent="0.25">
      <c r="B139" s="202" t="s">
        <v>145</v>
      </c>
      <c r="C139" s="186" t="s">
        <v>191</v>
      </c>
      <c r="E139" s="202" t="s">
        <v>145</v>
      </c>
      <c r="F139" s="186" t="s">
        <v>191</v>
      </c>
      <c r="J139" s="202" t="s">
        <v>145</v>
      </c>
      <c r="K139" s="186" t="s">
        <v>191</v>
      </c>
      <c r="O139" s="202" t="s">
        <v>145</v>
      </c>
      <c r="P139" s="186" t="s">
        <v>191</v>
      </c>
    </row>
    <row r="140" spans="2:23" x14ac:dyDescent="0.25">
      <c r="B140" s="186"/>
    </row>
    <row r="141" spans="2:23" x14ac:dyDescent="0.25">
      <c r="B141" s="203" t="s">
        <v>143</v>
      </c>
      <c r="C141" s="203" t="s">
        <v>144</v>
      </c>
      <c r="E141" s="203" t="s">
        <v>144</v>
      </c>
      <c r="J141" s="203" t="s">
        <v>144</v>
      </c>
      <c r="O141" s="203" t="s">
        <v>144</v>
      </c>
    </row>
    <row r="142" spans="2:23" x14ac:dyDescent="0.25">
      <c r="B142" s="186" t="s">
        <v>149</v>
      </c>
      <c r="C142" s="186" t="str" cm="1">
        <f t="array" ref="C142">_xll.d.TestUtils_Or(B142:B145)</f>
        <v>OK</v>
      </c>
      <c r="E142" s="186" t="str" cm="1">
        <f t="array" ref="E142">_xll.d.TestUtils_Or(E145:H145)</f>
        <v>OK</v>
      </c>
      <c r="J142" s="186" t="str" cm="1">
        <f t="array" ref="J142">_xll.d.TestUtils_Or(J145:M148)</f>
        <v>OK</v>
      </c>
      <c r="O142" s="186" t="str" cm="1">
        <f t="array" ref="O142">_xll.d.TestUtils_Or(O145,O147:Q147,S145:S148,U145:W148)</f>
        <v>OK</v>
      </c>
    </row>
    <row r="143" spans="2:23" x14ac:dyDescent="0.25">
      <c r="B143" s="186" t="s">
        <v>149</v>
      </c>
    </row>
    <row r="144" spans="2:23" x14ac:dyDescent="0.25">
      <c r="B144" s="186" t="s">
        <v>139</v>
      </c>
      <c r="E144" s="203" t="s">
        <v>143</v>
      </c>
      <c r="J144" s="70" t="s">
        <v>143</v>
      </c>
      <c r="O144" s="70" t="s">
        <v>143</v>
      </c>
    </row>
    <row r="145" spans="2:23" x14ac:dyDescent="0.25">
      <c r="B145" s="186" t="s">
        <v>149</v>
      </c>
      <c r="E145" s="186" t="s">
        <v>149</v>
      </c>
      <c r="F145" s="186" t="s">
        <v>139</v>
      </c>
      <c r="G145" t="s">
        <v>149</v>
      </c>
      <c r="H145" s="186" t="s">
        <v>149</v>
      </c>
      <c r="J145" s="186" t="s">
        <v>149</v>
      </c>
      <c r="K145" s="186" t="s">
        <v>149</v>
      </c>
      <c r="L145" s="186" t="s">
        <v>149</v>
      </c>
      <c r="M145" s="186" t="s">
        <v>139</v>
      </c>
      <c r="O145" s="186" t="s">
        <v>149</v>
      </c>
      <c r="R145" s="186"/>
      <c r="S145" s="186" t="s">
        <v>149</v>
      </c>
      <c r="U145" s="186" t="s">
        <v>149</v>
      </c>
      <c r="V145" s="186" t="s">
        <v>149</v>
      </c>
      <c r="W145" s="186" t="s">
        <v>149</v>
      </c>
    </row>
    <row r="146" spans="2:23" x14ac:dyDescent="0.25">
      <c r="J146" s="186" t="s">
        <v>149</v>
      </c>
      <c r="K146" s="186" t="s">
        <v>149</v>
      </c>
      <c r="L146" s="186" t="s">
        <v>149</v>
      </c>
      <c r="M146" s="186" t="s">
        <v>149</v>
      </c>
      <c r="S146" s="186" t="s">
        <v>149</v>
      </c>
      <c r="U146" s="186" t="s">
        <v>149</v>
      </c>
      <c r="V146" s="186" t="s">
        <v>149</v>
      </c>
      <c r="W146" s="186" t="s">
        <v>149</v>
      </c>
    </row>
    <row r="147" spans="2:23" x14ac:dyDescent="0.25">
      <c r="J147" s="186" t="s">
        <v>149</v>
      </c>
      <c r="K147" s="186" t="s">
        <v>149</v>
      </c>
      <c r="L147" s="186" t="s">
        <v>149</v>
      </c>
      <c r="M147" s="186" t="s">
        <v>149</v>
      </c>
      <c r="O147" s="186" t="s">
        <v>149</v>
      </c>
      <c r="P147" s="186" t="s">
        <v>149</v>
      </c>
      <c r="Q147" s="186" t="s">
        <v>139</v>
      </c>
      <c r="S147" s="186" t="s">
        <v>149</v>
      </c>
      <c r="U147" s="186" t="s">
        <v>149</v>
      </c>
      <c r="V147" s="186" t="s">
        <v>149</v>
      </c>
      <c r="W147" s="186" t="s">
        <v>149</v>
      </c>
    </row>
    <row r="148" spans="2:23" x14ac:dyDescent="0.25">
      <c r="J148" s="186" t="s">
        <v>149</v>
      </c>
      <c r="K148" s="186" t="s">
        <v>149</v>
      </c>
      <c r="L148" s="186" t="s">
        <v>149</v>
      </c>
      <c r="M148" s="186" t="s">
        <v>149</v>
      </c>
      <c r="S148" s="186" t="s">
        <v>139</v>
      </c>
      <c r="U148" s="186" t="s">
        <v>149</v>
      </c>
      <c r="V148" s="186" t="s">
        <v>149</v>
      </c>
      <c r="W148" s="186" t="s">
        <v>149</v>
      </c>
    </row>
    <row r="151" spans="2:23" ht="18.75" x14ac:dyDescent="0.3">
      <c r="B151" s="3" t="s">
        <v>175</v>
      </c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3" spans="2:23" x14ac:dyDescent="0.25">
      <c r="B153" s="59" t="s">
        <v>136</v>
      </c>
      <c r="C153" s="185" t="str" cm="1">
        <f t="array" ref="C153">_xll.d.TestUtils_And(C159,F159,K159,P159)</f>
        <v>OK</v>
      </c>
    </row>
    <row r="155" spans="2:23" x14ac:dyDescent="0.25">
      <c r="B155" t="s">
        <v>202</v>
      </c>
    </row>
    <row r="157" spans="2:23" ht="15.75" x14ac:dyDescent="0.25">
      <c r="B157" s="4" t="s">
        <v>176</v>
      </c>
      <c r="C157" s="4"/>
      <c r="E157" s="4" t="s">
        <v>177</v>
      </c>
      <c r="F157" s="4"/>
      <c r="G157" s="4"/>
      <c r="H157" s="4"/>
      <c r="J157" s="4" t="s">
        <v>178</v>
      </c>
      <c r="K157" s="4"/>
      <c r="L157" s="4"/>
      <c r="M157" s="4"/>
      <c r="O157" s="4" t="s">
        <v>179</v>
      </c>
      <c r="P157" s="4"/>
      <c r="Q157" s="4"/>
      <c r="R157" s="4"/>
      <c r="S157" s="4"/>
      <c r="T157" s="4"/>
      <c r="U157" s="4"/>
      <c r="V157" s="4"/>
      <c r="W157" s="4"/>
    </row>
    <row r="159" spans="2:23" x14ac:dyDescent="0.25">
      <c r="B159" s="59" t="s">
        <v>136</v>
      </c>
      <c r="C159" s="185" t="str" cm="1">
        <f t="array" ref="C159">_xll.d.TestUtils_IsTrue(C164="WARNING")</f>
        <v>OK</v>
      </c>
      <c r="E159" s="59" t="s">
        <v>136</v>
      </c>
      <c r="F159" s="185" t="str" cm="1">
        <f t="array" ref="F159">_xll.d.TestUtils_IsTrue(E164="WARNING")</f>
        <v>OK</v>
      </c>
      <c r="J159" s="59" t="s">
        <v>136</v>
      </c>
      <c r="K159" s="185" t="str" cm="1">
        <f t="array" ref="K159">_xll.d.TestUtils_IsTrue(J164="WARNING")</f>
        <v>OK</v>
      </c>
      <c r="O159" s="59" t="s">
        <v>136</v>
      </c>
      <c r="P159" s="185" t="str" cm="1">
        <f t="array" ref="P159">_xll.d.TestUtils_IsTrue(O164="WARNING")</f>
        <v>OK</v>
      </c>
    </row>
    <row r="161" spans="2:23" x14ac:dyDescent="0.25">
      <c r="B161" s="202" t="s">
        <v>145</v>
      </c>
      <c r="C161" s="186" t="s">
        <v>191</v>
      </c>
      <c r="E161" s="202" t="s">
        <v>145</v>
      </c>
      <c r="F161" s="186" t="s">
        <v>191</v>
      </c>
      <c r="J161" s="202" t="s">
        <v>145</v>
      </c>
      <c r="K161" s="186" t="s">
        <v>191</v>
      </c>
      <c r="O161" s="202" t="s">
        <v>145</v>
      </c>
      <c r="P161" s="186" t="s">
        <v>191</v>
      </c>
    </row>
    <row r="162" spans="2:23" x14ac:dyDescent="0.25">
      <c r="B162" s="186"/>
    </row>
    <row r="163" spans="2:23" x14ac:dyDescent="0.25">
      <c r="B163" s="203" t="s">
        <v>143</v>
      </c>
      <c r="C163" s="203" t="s">
        <v>144</v>
      </c>
      <c r="E163" s="203" t="s">
        <v>144</v>
      </c>
      <c r="J163" s="203" t="s">
        <v>144</v>
      </c>
      <c r="O163" s="203" t="s">
        <v>144</v>
      </c>
    </row>
    <row r="164" spans="2:23" x14ac:dyDescent="0.25">
      <c r="B164" s="186" t="s">
        <v>149</v>
      </c>
      <c r="C164" s="186" t="str" cm="1">
        <f t="array" ref="C164">_xll.d.TestUtils_Or(B164:B167)</f>
        <v>WARNING</v>
      </c>
      <c r="E164" s="186" t="str" cm="1">
        <f t="array" ref="E164">_xll.d.TestUtils_Or(E167:H167)</f>
        <v>WARNING</v>
      </c>
      <c r="J164" s="186" t="str" cm="1">
        <f t="array" ref="J164">_xll.d.TestUtils_Or(J167:M170)</f>
        <v>WARNING</v>
      </c>
      <c r="O164" s="186" t="str" cm="1">
        <f t="array" ref="O164">_xll.d.TestUtils_Or(O167,O169:Q169,S167:S170,U167:W170)</f>
        <v>WARNING</v>
      </c>
    </row>
    <row r="165" spans="2:23" x14ac:dyDescent="0.25">
      <c r="B165" s="186" t="s">
        <v>153</v>
      </c>
    </row>
    <row r="166" spans="2:23" x14ac:dyDescent="0.25">
      <c r="B166" s="186" t="s">
        <v>149</v>
      </c>
      <c r="E166" s="203" t="s">
        <v>143</v>
      </c>
      <c r="J166" s="70" t="s">
        <v>143</v>
      </c>
      <c r="O166" s="70" t="s">
        <v>143</v>
      </c>
    </row>
    <row r="167" spans="2:23" x14ac:dyDescent="0.25">
      <c r="B167" s="186" t="s">
        <v>149</v>
      </c>
      <c r="E167" s="186" t="s">
        <v>149</v>
      </c>
      <c r="F167" s="186" t="s">
        <v>149</v>
      </c>
      <c r="G167" s="186" t="s">
        <v>149</v>
      </c>
      <c r="H167" s="186" t="s">
        <v>153</v>
      </c>
      <c r="J167" s="186" t="s">
        <v>149</v>
      </c>
      <c r="K167" s="186" t="s">
        <v>149</v>
      </c>
      <c r="L167" s="186" t="s">
        <v>149</v>
      </c>
      <c r="M167" s="186" t="s">
        <v>149</v>
      </c>
      <c r="O167" s="186" t="s">
        <v>149</v>
      </c>
      <c r="R167" s="186"/>
      <c r="S167" s="186" t="s">
        <v>149</v>
      </c>
      <c r="U167" s="186" t="s">
        <v>149</v>
      </c>
      <c r="V167" s="186" t="s">
        <v>149</v>
      </c>
      <c r="W167" s="186" t="s">
        <v>149</v>
      </c>
    </row>
    <row r="168" spans="2:23" x14ac:dyDescent="0.25">
      <c r="J168" s="186" t="s">
        <v>149</v>
      </c>
      <c r="K168" s="186" t="s">
        <v>149</v>
      </c>
      <c r="L168" s="186" t="s">
        <v>149</v>
      </c>
      <c r="M168" s="186" t="s">
        <v>149</v>
      </c>
      <c r="S168" s="186" t="s">
        <v>149</v>
      </c>
      <c r="U168" s="186" t="s">
        <v>149</v>
      </c>
      <c r="V168" s="186" t="s">
        <v>149</v>
      </c>
      <c r="W168" s="186" t="s">
        <v>149</v>
      </c>
    </row>
    <row r="169" spans="2:23" x14ac:dyDescent="0.25">
      <c r="J169" s="186" t="s">
        <v>149</v>
      </c>
      <c r="K169" s="186" t="s">
        <v>153</v>
      </c>
      <c r="L169" s="186" t="s">
        <v>149</v>
      </c>
      <c r="M169" s="186" t="s">
        <v>149</v>
      </c>
      <c r="O169" s="186" t="s">
        <v>149</v>
      </c>
      <c r="P169" s="186" t="s">
        <v>149</v>
      </c>
      <c r="Q169" s="186" t="s">
        <v>153</v>
      </c>
      <c r="S169" s="186" t="s">
        <v>149</v>
      </c>
      <c r="U169" s="186" t="s">
        <v>149</v>
      </c>
      <c r="V169" s="186" t="s">
        <v>149</v>
      </c>
      <c r="W169" s="186" t="s">
        <v>149</v>
      </c>
    </row>
    <row r="170" spans="2:23" x14ac:dyDescent="0.25">
      <c r="J170" s="186" t="s">
        <v>149</v>
      </c>
      <c r="K170" s="186" t="s">
        <v>149</v>
      </c>
      <c r="L170" s="186" t="s">
        <v>149</v>
      </c>
      <c r="M170" s="186" t="s">
        <v>149</v>
      </c>
      <c r="S170" s="186" t="s">
        <v>149</v>
      </c>
      <c r="U170" s="186" t="s">
        <v>149</v>
      </c>
      <c r="V170" s="186" t="s">
        <v>149</v>
      </c>
      <c r="W170" s="186" t="s">
        <v>149</v>
      </c>
    </row>
    <row r="173" spans="2:23" ht="18.75" x14ac:dyDescent="0.3">
      <c r="B173" s="3" t="s">
        <v>180</v>
      </c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5" spans="2:23" x14ac:dyDescent="0.25">
      <c r="B175" s="59" t="s">
        <v>136</v>
      </c>
      <c r="C175" s="185" t="str" cm="1">
        <f t="array" ref="C175">_xll.d.TestUtils_And(C181,F181,K181,P181)</f>
        <v>OK</v>
      </c>
    </row>
    <row r="177" spans="2:23" x14ac:dyDescent="0.25">
      <c r="B177" t="s">
        <v>203</v>
      </c>
    </row>
    <row r="179" spans="2:23" ht="15.75" x14ac:dyDescent="0.25">
      <c r="B179" s="4" t="s">
        <v>184</v>
      </c>
      <c r="C179" s="4"/>
      <c r="E179" s="4" t="s">
        <v>181</v>
      </c>
      <c r="F179" s="4"/>
      <c r="G179" s="4"/>
      <c r="H179" s="4"/>
      <c r="J179" s="4" t="s">
        <v>182</v>
      </c>
      <c r="K179" s="4"/>
      <c r="L179" s="4"/>
      <c r="M179" s="4"/>
      <c r="O179" s="4" t="s">
        <v>183</v>
      </c>
      <c r="P179" s="4"/>
      <c r="Q179" s="4"/>
      <c r="R179" s="4"/>
      <c r="S179" s="4"/>
      <c r="T179" s="4"/>
      <c r="U179" s="4"/>
      <c r="V179" s="4"/>
      <c r="W179" s="4"/>
    </row>
    <row r="181" spans="2:23" x14ac:dyDescent="0.25">
      <c r="B181" s="59" t="s">
        <v>136</v>
      </c>
      <c r="C181" s="185" t="str" cm="1">
        <f t="array" ref="C181">_xll.d.TestUtils_IsTrue(C186="OK")</f>
        <v>OK</v>
      </c>
      <c r="E181" s="59" t="s">
        <v>136</v>
      </c>
      <c r="F181" s="185" t="str" cm="1">
        <f t="array" ref="F181">_xll.d.TestUtils_IsTrue(E186="OK")</f>
        <v>OK</v>
      </c>
      <c r="J181" s="59" t="s">
        <v>136</v>
      </c>
      <c r="K181" s="185" t="str" cm="1">
        <f t="array" ref="K181">_xll.d.TestUtils_IsTrue(J186="OK")</f>
        <v>OK</v>
      </c>
      <c r="O181" s="59" t="s">
        <v>136</v>
      </c>
      <c r="P181" s="185" t="str" cm="1">
        <f t="array" ref="P181">_xll.d.TestUtils_IsTrue(O186="OK")</f>
        <v>OK</v>
      </c>
    </row>
    <row r="183" spans="2:23" x14ac:dyDescent="0.25">
      <c r="B183" s="202" t="s">
        <v>145</v>
      </c>
      <c r="C183" s="186" t="s">
        <v>191</v>
      </c>
      <c r="E183" s="202" t="s">
        <v>145</v>
      </c>
      <c r="F183" s="186" t="s">
        <v>191</v>
      </c>
      <c r="J183" s="202" t="s">
        <v>145</v>
      </c>
      <c r="K183" s="186" t="s">
        <v>191</v>
      </c>
      <c r="O183" s="202" t="s">
        <v>145</v>
      </c>
      <c r="P183" s="186" t="s">
        <v>191</v>
      </c>
    </row>
    <row r="184" spans="2:23" x14ac:dyDescent="0.25">
      <c r="B184" s="186"/>
    </row>
    <row r="185" spans="2:23" x14ac:dyDescent="0.25">
      <c r="B185" s="203" t="s">
        <v>143</v>
      </c>
      <c r="C185" s="203" t="s">
        <v>144</v>
      </c>
      <c r="E185" s="203" t="s">
        <v>144</v>
      </c>
      <c r="J185" s="203" t="s">
        <v>144</v>
      </c>
      <c r="O185" s="203" t="s">
        <v>144</v>
      </c>
    </row>
    <row r="186" spans="2:23" x14ac:dyDescent="0.25">
      <c r="B186" s="186" t="s">
        <v>149</v>
      </c>
      <c r="C186" s="186" t="str" cm="1">
        <f t="array" ref="C186">_xll.d.TestUtils_Or(B186:B189)</f>
        <v>OK</v>
      </c>
      <c r="E186" s="186" t="str" cm="1">
        <f t="array" ref="E186">_xll.d.TestUtils_Or(E189:H189)</f>
        <v>OK</v>
      </c>
      <c r="J186" s="186" t="str" cm="1">
        <f t="array" ref="J186">_xll.d.TestUtils_Or(J189:M192)</f>
        <v>OK</v>
      </c>
      <c r="O186" s="186" t="str" cm="1">
        <f t="array" ref="O186">_xll.d.TestUtils_Or(O189,O191:Q191,S189:S192,U189:W192)</f>
        <v>OK</v>
      </c>
    </row>
    <row r="187" spans="2:23" x14ac:dyDescent="0.25">
      <c r="B187" s="186" t="s">
        <v>153</v>
      </c>
    </row>
    <row r="188" spans="2:23" x14ac:dyDescent="0.25">
      <c r="B188" s="186" t="s">
        <v>149</v>
      </c>
      <c r="E188" s="203" t="s">
        <v>143</v>
      </c>
      <c r="J188" s="70" t="s">
        <v>143</v>
      </c>
      <c r="O188" s="70" t="s">
        <v>143</v>
      </c>
    </row>
    <row r="189" spans="2:23" x14ac:dyDescent="0.25">
      <c r="B189" s="186" t="s">
        <v>139</v>
      </c>
      <c r="E189" s="186" t="s">
        <v>149</v>
      </c>
      <c r="F189" s="186" t="s">
        <v>139</v>
      </c>
      <c r="G189" s="186" t="s">
        <v>149</v>
      </c>
      <c r="H189" s="186" t="s">
        <v>153</v>
      </c>
      <c r="J189" s="186" t="s">
        <v>149</v>
      </c>
      <c r="K189" s="186" t="s">
        <v>149</v>
      </c>
      <c r="L189" s="186" t="s">
        <v>149</v>
      </c>
      <c r="M189" s="186" t="s">
        <v>149</v>
      </c>
      <c r="O189" s="186" t="s">
        <v>149</v>
      </c>
      <c r="R189" s="186"/>
      <c r="S189" s="186" t="s">
        <v>149</v>
      </c>
      <c r="U189" s="186" t="s">
        <v>149</v>
      </c>
      <c r="V189" s="186" t="s">
        <v>149</v>
      </c>
      <c r="W189" s="186" t="s">
        <v>149</v>
      </c>
    </row>
    <row r="190" spans="2:23" x14ac:dyDescent="0.25">
      <c r="J190" s="186" t="s">
        <v>149</v>
      </c>
      <c r="K190" s="186" t="s">
        <v>149</v>
      </c>
      <c r="L190" s="186" t="s">
        <v>139</v>
      </c>
      <c r="M190" s="186" t="s">
        <v>149</v>
      </c>
      <c r="S190" s="186" t="s">
        <v>149</v>
      </c>
      <c r="U190" s="186" t="s">
        <v>149</v>
      </c>
      <c r="V190" s="186" t="s">
        <v>139</v>
      </c>
      <c r="W190" s="186" t="s">
        <v>149</v>
      </c>
    </row>
    <row r="191" spans="2:23" x14ac:dyDescent="0.25">
      <c r="J191" s="186" t="s">
        <v>149</v>
      </c>
      <c r="K191" s="186" t="s">
        <v>153</v>
      </c>
      <c r="L191" s="186" t="s">
        <v>149</v>
      </c>
      <c r="M191" s="186" t="s">
        <v>149</v>
      </c>
      <c r="O191" s="186" t="s">
        <v>149</v>
      </c>
      <c r="P191" s="186" t="s">
        <v>149</v>
      </c>
      <c r="Q191" s="186" t="s">
        <v>153</v>
      </c>
      <c r="S191" s="186" t="s">
        <v>149</v>
      </c>
      <c r="U191" s="186" t="s">
        <v>149</v>
      </c>
      <c r="V191" s="186" t="s">
        <v>149</v>
      </c>
      <c r="W191" s="186" t="s">
        <v>149</v>
      </c>
    </row>
    <row r="192" spans="2:23" x14ac:dyDescent="0.25">
      <c r="J192" s="186" t="s">
        <v>149</v>
      </c>
      <c r="K192" s="186" t="s">
        <v>149</v>
      </c>
      <c r="L192" s="186" t="s">
        <v>149</v>
      </c>
      <c r="M192" s="186" t="s">
        <v>149</v>
      </c>
      <c r="S192" s="186" t="s">
        <v>149</v>
      </c>
      <c r="U192" s="186" t="s">
        <v>149</v>
      </c>
      <c r="V192" s="186" t="s">
        <v>149</v>
      </c>
      <c r="W192" s="186" t="s">
        <v>149</v>
      </c>
    </row>
    <row r="195" spans="2:23" ht="18.75" x14ac:dyDescent="0.3">
      <c r="B195" s="3" t="s">
        <v>186</v>
      </c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7" spans="2:23" x14ac:dyDescent="0.25">
      <c r="B197" s="59" t="s">
        <v>136</v>
      </c>
      <c r="C197" s="185" t="str" cm="1">
        <f t="array" ref="C197">_xll.d.TestUtils_And(C203,F203,K203,P203)</f>
        <v>OK</v>
      </c>
    </row>
    <row r="199" spans="2:23" x14ac:dyDescent="0.25">
      <c r="B199" t="s">
        <v>204</v>
      </c>
    </row>
    <row r="201" spans="2:23" ht="15.75" x14ac:dyDescent="0.25">
      <c r="B201" s="4" t="s">
        <v>192</v>
      </c>
      <c r="C201" s="4"/>
      <c r="E201" s="4" t="s">
        <v>193</v>
      </c>
      <c r="F201" s="4"/>
      <c r="G201" s="4"/>
      <c r="H201" s="4"/>
      <c r="J201" s="4" t="s">
        <v>194</v>
      </c>
      <c r="K201" s="4"/>
      <c r="L201" s="4"/>
      <c r="M201" s="4"/>
      <c r="O201" s="4" t="s">
        <v>195</v>
      </c>
      <c r="P201" s="4"/>
      <c r="Q201" s="4"/>
      <c r="R201" s="4"/>
      <c r="S201" s="4"/>
      <c r="T201" s="4"/>
      <c r="U201" s="4"/>
      <c r="V201" s="4"/>
      <c r="W201" s="4"/>
    </row>
    <row r="203" spans="2:23" x14ac:dyDescent="0.25">
      <c r="B203" s="59" t="s">
        <v>136</v>
      </c>
      <c r="C203" s="185" t="str" cm="1">
        <f t="array" ref="C203">_xll.d.TestUtils_IsTrue(C208="OK")</f>
        <v>OK</v>
      </c>
      <c r="E203" s="59" t="s">
        <v>136</v>
      </c>
      <c r="F203" s="185" t="str" cm="1">
        <f t="array" ref="F203">_xll.d.TestUtils_IsTrue(E208="OK")</f>
        <v>OK</v>
      </c>
      <c r="J203" s="59" t="s">
        <v>136</v>
      </c>
      <c r="K203" s="185" t="str" cm="1">
        <f t="array" ref="K203">_xll.d.TestUtils_IsTrue(J208="OK")</f>
        <v>OK</v>
      </c>
      <c r="O203" s="59" t="s">
        <v>136</v>
      </c>
      <c r="P203" s="185" t="str" cm="1">
        <f t="array" ref="P203">_xll.d.TestUtils_IsTrue(O208="OK")</f>
        <v>OK</v>
      </c>
    </row>
    <row r="205" spans="2:23" x14ac:dyDescent="0.25">
      <c r="B205" s="202" t="s">
        <v>145</v>
      </c>
      <c r="C205" s="186" t="s">
        <v>191</v>
      </c>
      <c r="E205" s="202" t="s">
        <v>145</v>
      </c>
      <c r="F205" s="186" t="s">
        <v>191</v>
      </c>
      <c r="J205" s="202" t="s">
        <v>145</v>
      </c>
      <c r="K205" s="186" t="s">
        <v>191</v>
      </c>
      <c r="O205" s="202" t="s">
        <v>145</v>
      </c>
      <c r="P205" s="186" t="s">
        <v>191</v>
      </c>
    </row>
    <row r="206" spans="2:23" x14ac:dyDescent="0.25">
      <c r="B206" s="186"/>
    </row>
    <row r="207" spans="2:23" x14ac:dyDescent="0.25">
      <c r="B207" s="203" t="s">
        <v>143</v>
      </c>
      <c r="C207" s="203" t="s">
        <v>144</v>
      </c>
      <c r="E207" s="203" t="s">
        <v>144</v>
      </c>
      <c r="J207" s="203" t="s">
        <v>144</v>
      </c>
      <c r="O207" s="203" t="s">
        <v>144</v>
      </c>
    </row>
    <row r="208" spans="2:23" x14ac:dyDescent="0.25">
      <c r="B208" s="186" t="s">
        <v>149</v>
      </c>
      <c r="C208" s="186" t="str">
        <f t="array" ref="C208:C211">_xll.d.TestUtils_Not(B208:B211)</f>
        <v>OK</v>
      </c>
      <c r="E208" s="186" t="str" cm="1">
        <f t="array" ref="E208">_xll.d.TestUtils_Or(E211:H211)</f>
        <v>OK</v>
      </c>
      <c r="J208" s="186" t="str" cm="1">
        <f t="array" ref="J208">_xll.d.TestUtils_Or(J211:M214)</f>
        <v>OK</v>
      </c>
      <c r="O208" s="186" t="str" cm="1">
        <f t="array" ref="O208">_xll.d.TestUtils_Or(O211,O213:Q213,S211:S214,U211:W214)</f>
        <v>OK</v>
      </c>
    </row>
    <row r="209" spans="2:23" x14ac:dyDescent="0.25">
      <c r="B209" s="186" t="s">
        <v>153</v>
      </c>
      <c r="C209" t="str">
        <v>WARNING</v>
      </c>
    </row>
    <row r="210" spans="2:23" x14ac:dyDescent="0.25">
      <c r="B210" s="186" t="s">
        <v>149</v>
      </c>
      <c r="C210" t="str">
        <v>OK</v>
      </c>
      <c r="E210" s="203" t="s">
        <v>143</v>
      </c>
      <c r="J210" s="70" t="s">
        <v>143</v>
      </c>
      <c r="O210" s="70" t="s">
        <v>143</v>
      </c>
    </row>
    <row r="211" spans="2:23" x14ac:dyDescent="0.25">
      <c r="B211" s="186" t="s">
        <v>139</v>
      </c>
      <c r="C211" t="str">
        <v>ERROR</v>
      </c>
      <c r="E211" s="186" t="s">
        <v>149</v>
      </c>
      <c r="F211" s="186" t="s">
        <v>139</v>
      </c>
      <c r="G211" s="186" t="s">
        <v>149</v>
      </c>
      <c r="H211" s="186" t="s">
        <v>153</v>
      </c>
      <c r="J211" s="186" t="s">
        <v>149</v>
      </c>
      <c r="K211" s="186" t="s">
        <v>149</v>
      </c>
      <c r="L211" s="186" t="s">
        <v>149</v>
      </c>
      <c r="M211" s="186" t="s">
        <v>149</v>
      </c>
      <c r="O211" s="186" t="s">
        <v>149</v>
      </c>
      <c r="R211" s="186"/>
      <c r="S211" s="186" t="s">
        <v>149</v>
      </c>
      <c r="U211" s="186" t="s">
        <v>149</v>
      </c>
      <c r="V211" s="186" t="s">
        <v>149</v>
      </c>
      <c r="W211" s="186" t="s">
        <v>149</v>
      </c>
    </row>
    <row r="212" spans="2:23" x14ac:dyDescent="0.25">
      <c r="J212" s="186" t="s">
        <v>149</v>
      </c>
      <c r="K212" s="186" t="s">
        <v>149</v>
      </c>
      <c r="L212" s="186" t="s">
        <v>139</v>
      </c>
      <c r="M212" s="186" t="s">
        <v>149</v>
      </c>
      <c r="S212" s="186" t="s">
        <v>149</v>
      </c>
      <c r="U212" s="186" t="s">
        <v>149</v>
      </c>
      <c r="V212" s="186" t="s">
        <v>139</v>
      </c>
      <c r="W212" s="186" t="s">
        <v>149</v>
      </c>
    </row>
    <row r="213" spans="2:23" x14ac:dyDescent="0.25">
      <c r="J213" s="186" t="s">
        <v>149</v>
      </c>
      <c r="K213" s="186" t="s">
        <v>153</v>
      </c>
      <c r="L213" s="186" t="s">
        <v>149</v>
      </c>
      <c r="M213" s="186" t="s">
        <v>149</v>
      </c>
      <c r="O213" s="186" t="s">
        <v>149</v>
      </c>
      <c r="P213" s="186" t="s">
        <v>149</v>
      </c>
      <c r="Q213" s="186" t="s">
        <v>153</v>
      </c>
      <c r="S213" s="186" t="s">
        <v>149</v>
      </c>
      <c r="U213" s="186" t="s">
        <v>149</v>
      </c>
      <c r="V213" s="186" t="s">
        <v>149</v>
      </c>
      <c r="W213" s="186" t="s">
        <v>149</v>
      </c>
    </row>
    <row r="214" spans="2:23" x14ac:dyDescent="0.25">
      <c r="J214" s="186" t="s">
        <v>149</v>
      </c>
      <c r="K214" s="186" t="s">
        <v>149</v>
      </c>
      <c r="L214" s="186" t="s">
        <v>149</v>
      </c>
      <c r="M214" s="186" t="s">
        <v>149</v>
      </c>
      <c r="S214" s="186" t="s">
        <v>149</v>
      </c>
      <c r="U214" s="186" t="s">
        <v>149</v>
      </c>
      <c r="V214" s="186" t="s">
        <v>149</v>
      </c>
      <c r="W214" s="186" t="s">
        <v>149</v>
      </c>
    </row>
    <row r="217" spans="2:23" ht="18.75" x14ac:dyDescent="0.3">
      <c r="B217" s="3" t="s">
        <v>205</v>
      </c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9" spans="2:23" x14ac:dyDescent="0.25">
      <c r="B219" s="59" t="s">
        <v>136</v>
      </c>
      <c r="C219" s="185" t="str" cm="1">
        <f t="array" ref="C219">_xll.d.TestUtils_And(C225,F225,I225,L225)</f>
        <v>OK</v>
      </c>
    </row>
    <row r="221" spans="2:23" x14ac:dyDescent="0.25">
      <c r="B221" t="s">
        <v>210</v>
      </c>
    </row>
    <row r="223" spans="2:23" ht="15.75" x14ac:dyDescent="0.25">
      <c r="B223" s="4" t="s">
        <v>206</v>
      </c>
      <c r="C223" s="4"/>
      <c r="E223" s="4" t="s">
        <v>207</v>
      </c>
      <c r="F223" s="4"/>
      <c r="H223" s="4" t="s">
        <v>208</v>
      </c>
      <c r="I223" s="4"/>
      <c r="K223" s="4" t="s">
        <v>209</v>
      </c>
      <c r="L223" s="4"/>
      <c r="N223" s="4" t="s">
        <v>213</v>
      </c>
      <c r="O223" s="4"/>
      <c r="Q223" s="4" t="s">
        <v>215</v>
      </c>
      <c r="R223" s="4"/>
      <c r="T223" s="4" t="s">
        <v>215</v>
      </c>
      <c r="U223" s="4"/>
    </row>
    <row r="225" spans="2:21" x14ac:dyDescent="0.25">
      <c r="B225" s="59" t="s">
        <v>136</v>
      </c>
      <c r="C225" s="185" t="str" cm="1">
        <f t="array" ref="C225">_xll.d.TestUtils_IsTrue(C230="ERROR")</f>
        <v>OK</v>
      </c>
      <c r="E225" s="59" t="s">
        <v>136</v>
      </c>
      <c r="F225" s="185" t="str" cm="1">
        <f t="array" ref="F225">_xll.d.TestUtils_IsTrue(F230="ERROR")</f>
        <v>OK</v>
      </c>
      <c r="H225" s="59" t="s">
        <v>136</v>
      </c>
      <c r="I225" s="185" t="str" cm="1">
        <f t="array" ref="I225">_xll.d.TestUtils_IsTrue(_xll.d.TestUtils_Or(I230:I233)="ERROR")</f>
        <v>OK</v>
      </c>
      <c r="K225" s="59" t="s">
        <v>136</v>
      </c>
      <c r="L225" s="185" t="str" cm="1">
        <f t="array" ref="L225">_xll.d.TestUtils_IsTrue(L230="ERROR")</f>
        <v>OK</v>
      </c>
      <c r="N225" s="59" t="s">
        <v>136</v>
      </c>
      <c r="O225" s="185" t="str" cm="1">
        <f t="array" ref="O225">_xll.d.TestUtils_IsTrue(O230="ERROR")</f>
        <v>OK</v>
      </c>
      <c r="Q225" s="59" t="s">
        <v>136</v>
      </c>
      <c r="R225" s="185" t="str" cm="1">
        <f t="array" ref="R225">_xll.d.TestUtils_IsTrue(R230="ERROR")</f>
        <v>OK</v>
      </c>
      <c r="T225" s="59" t="s">
        <v>136</v>
      </c>
      <c r="U225" s="185" t="str" cm="1">
        <f t="array" ref="U225">_xll.d.TestUtils_IsTrue(U230="ERROR")</f>
        <v>OK</v>
      </c>
    </row>
    <row r="227" spans="2:21" x14ac:dyDescent="0.25">
      <c r="B227" s="202" t="s">
        <v>145</v>
      </c>
      <c r="C227" s="186" t="s">
        <v>190</v>
      </c>
      <c r="E227" s="202" t="s">
        <v>145</v>
      </c>
      <c r="F227" s="186" t="s">
        <v>191</v>
      </c>
      <c r="H227" s="202" t="s">
        <v>145</v>
      </c>
      <c r="I227" s="186" t="s">
        <v>211</v>
      </c>
      <c r="K227" s="202" t="s">
        <v>145</v>
      </c>
      <c r="L227" s="186" t="s">
        <v>212</v>
      </c>
      <c r="N227" s="202" t="s">
        <v>145</v>
      </c>
      <c r="O227" s="186" t="s">
        <v>214</v>
      </c>
      <c r="Q227" s="202" t="s">
        <v>145</v>
      </c>
      <c r="R227" s="186" t="s">
        <v>216</v>
      </c>
      <c r="T227" s="202" t="s">
        <v>145</v>
      </c>
      <c r="U227" s="186" t="s">
        <v>217</v>
      </c>
    </row>
    <row r="228" spans="2:21" x14ac:dyDescent="0.25">
      <c r="B228" s="186"/>
    </row>
    <row r="229" spans="2:21" x14ac:dyDescent="0.25">
      <c r="B229" s="203" t="s">
        <v>143</v>
      </c>
      <c r="C229" s="203" t="s">
        <v>144</v>
      </c>
      <c r="E229" s="203" t="s">
        <v>143</v>
      </c>
      <c r="F229" s="203" t="s">
        <v>144</v>
      </c>
      <c r="H229" s="203" t="s">
        <v>143</v>
      </c>
      <c r="I229" s="203" t="s">
        <v>144</v>
      </c>
      <c r="K229" s="203" t="s">
        <v>143</v>
      </c>
      <c r="L229" s="203" t="s">
        <v>144</v>
      </c>
      <c r="N229" s="203" t="s">
        <v>143</v>
      </c>
      <c r="O229" s="203" t="s">
        <v>144</v>
      </c>
      <c r="Q229" s="203" t="s">
        <v>143</v>
      </c>
      <c r="R229" s="203" t="s">
        <v>144</v>
      </c>
      <c r="T229" s="203" t="s">
        <v>143</v>
      </c>
      <c r="U229" s="203" t="s">
        <v>144</v>
      </c>
    </row>
    <row r="230" spans="2:21" x14ac:dyDescent="0.25">
      <c r="B230" s="186" t="s">
        <v>139</v>
      </c>
      <c r="C230" s="186" t="str" cm="1">
        <f t="array" ref="C230">_xll.d.TestUtils_And(B230:B233)</f>
        <v>ERROR</v>
      </c>
      <c r="E230" s="186" t="s">
        <v>139</v>
      </c>
      <c r="F230" s="186" t="str" cm="1">
        <f t="array" ref="F230">_xll.d.TestUtils_Or(E230:E233)</f>
        <v>ERROR</v>
      </c>
      <c r="H230" s="186" t="s">
        <v>139</v>
      </c>
      <c r="I230" s="185" t="str">
        <f t="array" ref="I230:I233">_xll.d.TestUtils_Not(H230:H233)</f>
        <v>ERROR</v>
      </c>
      <c r="K230" s="186" t="e">
        <f>NA()</f>
        <v>#N/A</v>
      </c>
      <c r="L230" s="185" t="str" cm="1">
        <f t="array" ref="L230">_xll.d.TestUtils_IsTrue(K230)</f>
        <v>ERROR</v>
      </c>
      <c r="N230" s="186" t="e">
        <f>NA()</f>
        <v>#N/A</v>
      </c>
      <c r="O230" s="185" t="str" cm="1">
        <f t="array" ref="O230">_xll.d.TestUtils_IsFalse(N230)</f>
        <v>ERROR</v>
      </c>
      <c r="Q230" s="186">
        <v>10</v>
      </c>
      <c r="R230" s="185" t="str" cm="1">
        <f t="array" ref="R230">_xll.d.TestUtils_GreaterThan(Q230,Q231)</f>
        <v>ERROR</v>
      </c>
      <c r="T230" s="186">
        <v>10</v>
      </c>
      <c r="U230" s="185" t="str" cm="1">
        <f t="array" ref="U230">_xll.d.TestUtils_LessThan(T230,T231)</f>
        <v>ERROR</v>
      </c>
    </row>
    <row r="231" spans="2:21" x14ac:dyDescent="0.25">
      <c r="B231" s="186" t="s">
        <v>153</v>
      </c>
      <c r="E231" s="186" t="s">
        <v>153</v>
      </c>
      <c r="H231" s="186" t="s">
        <v>153</v>
      </c>
      <c r="I231" s="185" t="str">
        <v>ERROR</v>
      </c>
      <c r="K231" s="185"/>
      <c r="N231" s="185"/>
      <c r="Q231" t="e">
        <f>NA()</f>
        <v>#N/A</v>
      </c>
      <c r="T231" t="e">
        <f>NA()</f>
        <v>#N/A</v>
      </c>
    </row>
    <row r="232" spans="2:21" x14ac:dyDescent="0.25">
      <c r="B232" s="186" t="e">
        <f>NA()</f>
        <v>#N/A</v>
      </c>
      <c r="E232" s="186" t="e">
        <f>NA()</f>
        <v>#N/A</v>
      </c>
      <c r="H232" s="186" t="e">
        <f>NA()</f>
        <v>#N/A</v>
      </c>
      <c r="I232" s="185" t="str">
        <v>ERROR</v>
      </c>
      <c r="L232" s="185"/>
    </row>
    <row r="233" spans="2:21" x14ac:dyDescent="0.25">
      <c r="B233" s="186" t="s">
        <v>139</v>
      </c>
      <c r="E233" s="186" t="s">
        <v>139</v>
      </c>
      <c r="F233" s="186"/>
      <c r="H233" s="186" t="s">
        <v>139</v>
      </c>
      <c r="I233" s="185" t="str">
        <v>ERROR</v>
      </c>
      <c r="K233" s="186"/>
      <c r="L233" s="185"/>
    </row>
    <row r="234" spans="2:21" x14ac:dyDescent="0.25">
      <c r="H234" s="186"/>
      <c r="I234" s="186"/>
    </row>
    <row r="235" spans="2:21" x14ac:dyDescent="0.25">
      <c r="H235" s="186"/>
      <c r="I235" s="186"/>
      <c r="L235" s="186"/>
    </row>
    <row r="236" spans="2:21" x14ac:dyDescent="0.25">
      <c r="H236" s="186"/>
      <c r="I236" s="186"/>
    </row>
  </sheetData>
  <conditionalFormatting sqref="C4 C7:C12">
    <cfRule type="cellIs" dxfId="134" priority="52" stopIfTrue="1" operator="equal">
      <formula>"ERROR"</formula>
    </cfRule>
    <cfRule type="cellIs" dxfId="133" priority="53" stopIfTrue="1" operator="equal">
      <formula>"OK"</formula>
    </cfRule>
    <cfRule type="cellIs" dxfId="132" priority="54" stopIfTrue="1" operator="equal">
      <formula>"WARNING"</formula>
    </cfRule>
  </conditionalFormatting>
  <conditionalFormatting sqref="C27 F27 K27 P27">
    <cfRule type="cellIs" dxfId="131" priority="55" stopIfTrue="1" operator="equal">
      <formula>"ERROR"</formula>
    </cfRule>
    <cfRule type="cellIs" dxfId="130" priority="56" stopIfTrue="1" operator="equal">
      <formula>"OK"</formula>
    </cfRule>
    <cfRule type="cellIs" dxfId="129" priority="57" stopIfTrue="1" operator="equal">
      <formula>"WARNING"</formula>
    </cfRule>
  </conditionalFormatting>
  <conditionalFormatting sqref="C49 F49 K49 P49">
    <cfRule type="cellIs" dxfId="128" priority="58" stopIfTrue="1" operator="equal">
      <formula>"ERROR"</formula>
    </cfRule>
    <cfRule type="cellIs" dxfId="127" priority="59" stopIfTrue="1" operator="equal">
      <formula>"OK"</formula>
    </cfRule>
    <cfRule type="cellIs" dxfId="126" priority="60" stopIfTrue="1" operator="equal">
      <formula>"WARNING"</formula>
    </cfRule>
  </conditionalFormatting>
  <conditionalFormatting sqref="C71 F71 K71 P71">
    <cfRule type="cellIs" dxfId="125" priority="61" stopIfTrue="1" operator="equal">
      <formula>"ERROR"</formula>
    </cfRule>
    <cfRule type="cellIs" dxfId="124" priority="62" stopIfTrue="1" operator="equal">
      <formula>"OK"</formula>
    </cfRule>
    <cfRule type="cellIs" dxfId="123" priority="63" stopIfTrue="1" operator="equal">
      <formula>"WARNING"</formula>
    </cfRule>
  </conditionalFormatting>
  <conditionalFormatting sqref="C93 F93 K93 P93">
    <cfRule type="cellIs" dxfId="122" priority="64" stopIfTrue="1" operator="equal">
      <formula>"ERROR"</formula>
    </cfRule>
    <cfRule type="cellIs" dxfId="121" priority="65" stopIfTrue="1" operator="equal">
      <formula>"OK"</formula>
    </cfRule>
    <cfRule type="cellIs" dxfId="120" priority="66" stopIfTrue="1" operator="equal">
      <formula>"WARNING"</formula>
    </cfRule>
  </conditionalFormatting>
  <conditionalFormatting sqref="C115 F115 K115 P115">
    <cfRule type="cellIs" dxfId="119" priority="67" stopIfTrue="1" operator="equal">
      <formula>"ERROR"</formula>
    </cfRule>
  </conditionalFormatting>
  <conditionalFormatting sqref="C115 F115 K115 P115">
    <cfRule type="cellIs" dxfId="118" priority="68" stopIfTrue="1" operator="equal">
      <formula>"OK"</formula>
    </cfRule>
  </conditionalFormatting>
  <conditionalFormatting sqref="C115 F115 K115 P115">
    <cfRule type="cellIs" dxfId="117" priority="69" stopIfTrue="1" operator="equal">
      <formula>"WARNING"</formula>
    </cfRule>
  </conditionalFormatting>
  <conditionalFormatting sqref="C137 F137 K137 P137">
    <cfRule type="cellIs" dxfId="116" priority="70" stopIfTrue="1" operator="equal">
      <formula>"ERROR"</formula>
    </cfRule>
  </conditionalFormatting>
  <conditionalFormatting sqref="C137 F137 K137 P137">
    <cfRule type="cellIs" dxfId="115" priority="71" stopIfTrue="1" operator="equal">
      <formula>"OK"</formula>
    </cfRule>
  </conditionalFormatting>
  <conditionalFormatting sqref="C137 F137 K137 P137">
    <cfRule type="cellIs" dxfId="114" priority="72" stopIfTrue="1" operator="equal">
      <formula>"WARNING"</formula>
    </cfRule>
  </conditionalFormatting>
  <conditionalFormatting sqref="C159 F159 K159 P159">
    <cfRule type="cellIs" dxfId="113" priority="49" stopIfTrue="1" operator="equal">
      <formula>"ERROR"</formula>
    </cfRule>
  </conditionalFormatting>
  <conditionalFormatting sqref="C159 F159 K159 P159">
    <cfRule type="cellIs" dxfId="112" priority="50" stopIfTrue="1" operator="equal">
      <formula>"OK"</formula>
    </cfRule>
  </conditionalFormatting>
  <conditionalFormatting sqref="C159 F159 K159 P159">
    <cfRule type="cellIs" dxfId="111" priority="51" stopIfTrue="1" operator="equal">
      <formula>"WARNING"</formula>
    </cfRule>
  </conditionalFormatting>
  <conditionalFormatting sqref="C153">
    <cfRule type="cellIs" dxfId="110" priority="73" stopIfTrue="1" operator="equal">
      <formula>"ERROR"</formula>
    </cfRule>
  </conditionalFormatting>
  <conditionalFormatting sqref="C153">
    <cfRule type="cellIs" dxfId="109" priority="74" stopIfTrue="1" operator="equal">
      <formula>"OK"</formula>
    </cfRule>
  </conditionalFormatting>
  <conditionalFormatting sqref="C153">
    <cfRule type="cellIs" dxfId="108" priority="75" stopIfTrue="1" operator="equal">
      <formula>"WARNING"</formula>
    </cfRule>
  </conditionalFormatting>
  <conditionalFormatting sqref="C131">
    <cfRule type="cellIs" dxfId="107" priority="46" stopIfTrue="1" operator="equal">
      <formula>"ERROR"</formula>
    </cfRule>
  </conditionalFormatting>
  <conditionalFormatting sqref="C131">
    <cfRule type="cellIs" dxfId="106" priority="47" stopIfTrue="1" operator="equal">
      <formula>"OK"</formula>
    </cfRule>
  </conditionalFormatting>
  <conditionalFormatting sqref="C131">
    <cfRule type="cellIs" dxfId="105" priority="48" stopIfTrue="1" operator="equal">
      <formula>"WARNING"</formula>
    </cfRule>
  </conditionalFormatting>
  <conditionalFormatting sqref="C109">
    <cfRule type="cellIs" dxfId="104" priority="43" stopIfTrue="1" operator="equal">
      <formula>"ERROR"</formula>
    </cfRule>
  </conditionalFormatting>
  <conditionalFormatting sqref="C109">
    <cfRule type="cellIs" dxfId="103" priority="44" stopIfTrue="1" operator="equal">
      <formula>"OK"</formula>
    </cfRule>
  </conditionalFormatting>
  <conditionalFormatting sqref="C109">
    <cfRule type="cellIs" dxfId="102" priority="45" stopIfTrue="1" operator="equal">
      <formula>"WARNING"</formula>
    </cfRule>
  </conditionalFormatting>
  <conditionalFormatting sqref="C87">
    <cfRule type="cellIs" dxfId="101" priority="40" stopIfTrue="1" operator="equal">
      <formula>"ERROR"</formula>
    </cfRule>
  </conditionalFormatting>
  <conditionalFormatting sqref="C87">
    <cfRule type="cellIs" dxfId="100" priority="41" stopIfTrue="1" operator="equal">
      <formula>"OK"</formula>
    </cfRule>
  </conditionalFormatting>
  <conditionalFormatting sqref="C87">
    <cfRule type="cellIs" dxfId="99" priority="42" stopIfTrue="1" operator="equal">
      <formula>"WARNING"</formula>
    </cfRule>
  </conditionalFormatting>
  <conditionalFormatting sqref="C65">
    <cfRule type="cellIs" dxfId="98" priority="37" stopIfTrue="1" operator="equal">
      <formula>"ERROR"</formula>
    </cfRule>
  </conditionalFormatting>
  <conditionalFormatting sqref="C65">
    <cfRule type="cellIs" dxfId="97" priority="38" stopIfTrue="1" operator="equal">
      <formula>"OK"</formula>
    </cfRule>
  </conditionalFormatting>
  <conditionalFormatting sqref="C65">
    <cfRule type="cellIs" dxfId="96" priority="39" stopIfTrue="1" operator="equal">
      <formula>"WARNING"</formula>
    </cfRule>
  </conditionalFormatting>
  <conditionalFormatting sqref="C43">
    <cfRule type="cellIs" dxfId="95" priority="34" stopIfTrue="1" operator="equal">
      <formula>"ERROR"</formula>
    </cfRule>
  </conditionalFormatting>
  <conditionalFormatting sqref="C43">
    <cfRule type="cellIs" dxfId="94" priority="35" stopIfTrue="1" operator="equal">
      <formula>"OK"</formula>
    </cfRule>
  </conditionalFormatting>
  <conditionalFormatting sqref="C43">
    <cfRule type="cellIs" dxfId="93" priority="36" stopIfTrue="1" operator="equal">
      <formula>"WARNING"</formula>
    </cfRule>
  </conditionalFormatting>
  <conditionalFormatting sqref="C21">
    <cfRule type="cellIs" dxfId="92" priority="31" stopIfTrue="1" operator="equal">
      <formula>"ERROR"</formula>
    </cfRule>
  </conditionalFormatting>
  <conditionalFormatting sqref="C21">
    <cfRule type="cellIs" dxfId="91" priority="32" stopIfTrue="1" operator="equal">
      <formula>"OK"</formula>
    </cfRule>
  </conditionalFormatting>
  <conditionalFormatting sqref="C21">
    <cfRule type="cellIs" dxfId="90" priority="33" stopIfTrue="1" operator="equal">
      <formula>"WARNING"</formula>
    </cfRule>
  </conditionalFormatting>
  <conditionalFormatting sqref="C13:C15">
    <cfRule type="cellIs" dxfId="89" priority="76" stopIfTrue="1" operator="equal">
      <formula>"ERROR"</formula>
    </cfRule>
    <cfRule type="cellIs" dxfId="88" priority="77" stopIfTrue="1" operator="equal">
      <formula>"OK"</formula>
    </cfRule>
    <cfRule type="cellIs" dxfId="87" priority="78" stopIfTrue="1" operator="equal">
      <formula>"WARNING"</formula>
    </cfRule>
  </conditionalFormatting>
  <conditionalFormatting sqref="C181 F181 K181 P181">
    <cfRule type="cellIs" dxfId="86" priority="25" stopIfTrue="1" operator="equal">
      <formula>"ERROR"</formula>
    </cfRule>
  </conditionalFormatting>
  <conditionalFormatting sqref="C181 F181 K181 P181">
    <cfRule type="cellIs" dxfId="85" priority="26" stopIfTrue="1" operator="equal">
      <formula>"OK"</formula>
    </cfRule>
  </conditionalFormatting>
  <conditionalFormatting sqref="C181 F181 K181 P181">
    <cfRule type="cellIs" dxfId="84" priority="27" stopIfTrue="1" operator="equal">
      <formula>"WARNING"</formula>
    </cfRule>
  </conditionalFormatting>
  <conditionalFormatting sqref="C175">
    <cfRule type="cellIs" dxfId="83" priority="28" stopIfTrue="1" operator="equal">
      <formula>"ERROR"</formula>
    </cfRule>
  </conditionalFormatting>
  <conditionalFormatting sqref="C175">
    <cfRule type="cellIs" dxfId="82" priority="29" stopIfTrue="1" operator="equal">
      <formula>"OK"</formula>
    </cfRule>
  </conditionalFormatting>
  <conditionalFormatting sqref="C175">
    <cfRule type="cellIs" dxfId="81" priority="30" stopIfTrue="1" operator="equal">
      <formula>"WARNING"</formula>
    </cfRule>
  </conditionalFormatting>
  <conditionalFormatting sqref="C203 F203 K203 P203">
    <cfRule type="cellIs" dxfId="80" priority="19" stopIfTrue="1" operator="equal">
      <formula>"ERROR"</formula>
    </cfRule>
  </conditionalFormatting>
  <conditionalFormatting sqref="C203 F203 K203 P203">
    <cfRule type="cellIs" dxfId="79" priority="20" stopIfTrue="1" operator="equal">
      <formula>"OK"</formula>
    </cfRule>
  </conditionalFormatting>
  <conditionalFormatting sqref="C203 F203 K203 P203">
    <cfRule type="cellIs" dxfId="78" priority="21" stopIfTrue="1" operator="equal">
      <formula>"WARNING"</formula>
    </cfRule>
  </conditionalFormatting>
  <conditionalFormatting sqref="C197">
    <cfRule type="cellIs" dxfId="77" priority="22" stopIfTrue="1" operator="equal">
      <formula>"ERROR"</formula>
    </cfRule>
  </conditionalFormatting>
  <conditionalFormatting sqref="C197">
    <cfRule type="cellIs" dxfId="76" priority="23" stopIfTrue="1" operator="equal">
      <formula>"OK"</formula>
    </cfRule>
  </conditionalFormatting>
  <conditionalFormatting sqref="C197">
    <cfRule type="cellIs" dxfId="75" priority="24" stopIfTrue="1" operator="equal">
      <formula>"WARNING"</formula>
    </cfRule>
  </conditionalFormatting>
  <conditionalFormatting sqref="C225 F225 I225 L225">
    <cfRule type="cellIs" dxfId="74" priority="13" stopIfTrue="1" operator="equal">
      <formula>"ERROR"</formula>
    </cfRule>
  </conditionalFormatting>
  <conditionalFormatting sqref="C225 F225 I225 L225">
    <cfRule type="cellIs" dxfId="73" priority="14" stopIfTrue="1" operator="equal">
      <formula>"OK"</formula>
    </cfRule>
  </conditionalFormatting>
  <conditionalFormatting sqref="C225 F225 I225 L225">
    <cfRule type="cellIs" dxfId="72" priority="15" stopIfTrue="1" operator="equal">
      <formula>"WARNING"</formula>
    </cfRule>
  </conditionalFormatting>
  <conditionalFormatting sqref="C219">
    <cfRule type="cellIs" dxfId="71" priority="16" stopIfTrue="1" operator="equal">
      <formula>"ERROR"</formula>
    </cfRule>
  </conditionalFormatting>
  <conditionalFormatting sqref="C219">
    <cfRule type="cellIs" dxfId="70" priority="17" stopIfTrue="1" operator="equal">
      <formula>"OK"</formula>
    </cfRule>
  </conditionalFormatting>
  <conditionalFormatting sqref="C219">
    <cfRule type="cellIs" dxfId="69" priority="18" stopIfTrue="1" operator="equal">
      <formula>"WARNING"</formula>
    </cfRule>
  </conditionalFormatting>
  <conditionalFormatting sqref="O225">
    <cfRule type="cellIs" dxfId="68" priority="10" stopIfTrue="1" operator="equal">
      <formula>"ERROR"</formula>
    </cfRule>
  </conditionalFormatting>
  <conditionalFormatting sqref="O225">
    <cfRule type="cellIs" dxfId="67" priority="11" stopIfTrue="1" operator="equal">
      <formula>"OK"</formula>
    </cfRule>
  </conditionalFormatting>
  <conditionalFormatting sqref="O225">
    <cfRule type="cellIs" dxfId="66" priority="12" stopIfTrue="1" operator="equal">
      <formula>"WARNING"</formula>
    </cfRule>
  </conditionalFormatting>
  <conditionalFormatting sqref="C16">
    <cfRule type="cellIs" dxfId="65" priority="79" stopIfTrue="1" operator="equal">
      <formula>"ERROR"</formula>
    </cfRule>
    <cfRule type="cellIs" dxfId="64" priority="80" stopIfTrue="1" operator="equal">
      <formula>"OK"</formula>
    </cfRule>
    <cfRule type="cellIs" dxfId="63" priority="81" stopIfTrue="1" operator="equal">
      <formula>"WARNING"</formula>
    </cfRule>
  </conditionalFormatting>
  <conditionalFormatting sqref="R225">
    <cfRule type="cellIs" dxfId="62" priority="4" stopIfTrue="1" operator="equal">
      <formula>"ERROR"</formula>
    </cfRule>
  </conditionalFormatting>
  <conditionalFormatting sqref="R225">
    <cfRule type="cellIs" dxfId="61" priority="5" stopIfTrue="1" operator="equal">
      <formula>"OK"</formula>
    </cfRule>
  </conditionalFormatting>
  <conditionalFormatting sqref="R225">
    <cfRule type="cellIs" dxfId="60" priority="6" stopIfTrue="1" operator="equal">
      <formula>"WARNING"</formula>
    </cfRule>
  </conditionalFormatting>
  <conditionalFormatting sqref="U225">
    <cfRule type="cellIs" dxfId="59" priority="1" stopIfTrue="1" operator="equal">
      <formula>"ERROR"</formula>
    </cfRule>
  </conditionalFormatting>
  <conditionalFormatting sqref="U225">
    <cfRule type="cellIs" dxfId="58" priority="2" stopIfTrue="1" operator="equal">
      <formula>"OK"</formula>
    </cfRule>
  </conditionalFormatting>
  <conditionalFormatting sqref="U225">
    <cfRule type="cellIs" dxfId="57" priority="3" stopIfTrue="1" operator="equal">
      <formula>"WARNING"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7687AB-CE32-4392-9203-0257779B5376}">
  <sheetPr codeName="Sheet7">
    <tabColor theme="4" tint="-0.499984740745262"/>
  </sheetPr>
  <dimension ref="B2:BT230"/>
  <sheetViews>
    <sheetView showGridLines="0" tabSelected="1" topLeftCell="A217" zoomScaleNormal="100" workbookViewId="0">
      <selection activeCell="H11" sqref="H11"/>
    </sheetView>
  </sheetViews>
  <sheetFormatPr defaultRowHeight="15" x14ac:dyDescent="0.25"/>
  <cols>
    <col min="1" max="1" width="3.75" customWidth="1"/>
    <col min="2" max="2" width="15.375" customWidth="1"/>
    <col min="3" max="3" width="13.125" customWidth="1"/>
    <col min="5" max="5" width="12.75" bestFit="1" customWidth="1"/>
    <col min="6" max="6" width="10.875" customWidth="1"/>
    <col min="8" max="8" width="13.75" customWidth="1"/>
    <col min="9" max="9" width="12.5" customWidth="1"/>
    <col min="10" max="10" width="9.875" customWidth="1"/>
    <col min="14" max="14" width="11.5" bestFit="1" customWidth="1"/>
    <col min="18" max="18" width="10.875" customWidth="1"/>
  </cols>
  <sheetData>
    <row r="2" spans="2:56" ht="26.25" x14ac:dyDescent="0.4">
      <c r="B2" s="2" t="s">
        <v>90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</row>
    <row r="4" spans="2:56" x14ac:dyDescent="0.25">
      <c r="B4" s="226" t="s">
        <v>173</v>
      </c>
      <c r="C4" s="227" t="str" cm="1">
        <f t="array" aca="1" ref="C4" ca="1">_xll.d.TestUtils_And(C7:C14)</f>
        <v>OK</v>
      </c>
      <c r="E4" s="151" t="s">
        <v>124</v>
      </c>
      <c r="F4" s="59"/>
    </row>
    <row r="5" spans="2:56" x14ac:dyDescent="0.25">
      <c r="E5" s="152" t="s">
        <v>123</v>
      </c>
      <c r="F5" s="153"/>
    </row>
    <row r="6" spans="2:56" x14ac:dyDescent="0.25">
      <c r="B6" s="228" t="s">
        <v>10</v>
      </c>
      <c r="C6" s="229" t="s">
        <v>11</v>
      </c>
      <c r="E6" s="154" t="s">
        <v>122</v>
      </c>
      <c r="F6" s="148"/>
    </row>
    <row r="7" spans="2:56" x14ac:dyDescent="0.25">
      <c r="B7" s="225" t="s">
        <v>115</v>
      </c>
      <c r="C7" s="185" t="str">
        <f ca="1">C30</f>
        <v>OK</v>
      </c>
    </row>
    <row r="8" spans="2:56" x14ac:dyDescent="0.25">
      <c r="B8" s="225" t="s">
        <v>117</v>
      </c>
      <c r="C8" s="185" t="str">
        <f ca="1">C54</f>
        <v>OK</v>
      </c>
    </row>
    <row r="9" spans="2:56" x14ac:dyDescent="0.25">
      <c r="B9" s="225" t="s">
        <v>118</v>
      </c>
      <c r="C9" s="185" t="str">
        <f ca="1">C78</f>
        <v>OK</v>
      </c>
    </row>
    <row r="10" spans="2:56" x14ac:dyDescent="0.25">
      <c r="B10" s="225" t="s">
        <v>121</v>
      </c>
      <c r="C10" s="185" t="str">
        <f ca="1">C114</f>
        <v>OK</v>
      </c>
    </row>
    <row r="11" spans="2:56" x14ac:dyDescent="0.25">
      <c r="B11" s="225" t="s">
        <v>127</v>
      </c>
      <c r="C11" s="185" t="str">
        <f ca="1">C150</f>
        <v>OK</v>
      </c>
    </row>
    <row r="12" spans="2:56" x14ac:dyDescent="0.25">
      <c r="B12" s="225" t="s">
        <v>129</v>
      </c>
      <c r="C12" s="185" t="str">
        <f ca="1">C172</f>
        <v>OK</v>
      </c>
    </row>
    <row r="13" spans="2:56" x14ac:dyDescent="0.25">
      <c r="B13" s="225" t="s">
        <v>175</v>
      </c>
      <c r="C13" s="185" t="str">
        <f ca="1">C192</f>
        <v>OK</v>
      </c>
    </row>
    <row r="14" spans="2:56" x14ac:dyDescent="0.25">
      <c r="B14" s="225" t="s">
        <v>180</v>
      </c>
      <c r="C14" s="185" t="str">
        <f ca="1">C209</f>
        <v>OK</v>
      </c>
    </row>
    <row r="17" spans="2:72" s="64" customFormat="1" x14ac:dyDescent="0.25">
      <c r="B17" s="64" t="s">
        <v>93</v>
      </c>
    </row>
    <row r="18" spans="2:72" x14ac:dyDescent="0.25">
      <c r="B18" t="s">
        <v>94</v>
      </c>
    </row>
    <row r="20" spans="2:72" x14ac:dyDescent="0.25">
      <c r="B20" t="s">
        <v>107</v>
      </c>
    </row>
    <row r="22" spans="2:72" x14ac:dyDescent="0.25">
      <c r="B22" s="84" t="s">
        <v>108</v>
      </c>
    </row>
    <row r="23" spans="2:72" x14ac:dyDescent="0.25">
      <c r="B23" s="85" t="s">
        <v>125</v>
      </c>
    </row>
    <row r="24" spans="2:72" x14ac:dyDescent="0.25">
      <c r="B24" s="358" t="s">
        <v>133</v>
      </c>
    </row>
    <row r="25" spans="2:72" x14ac:dyDescent="0.25">
      <c r="B25" s="85" t="s">
        <v>174</v>
      </c>
    </row>
    <row r="26" spans="2:72" x14ac:dyDescent="0.25">
      <c r="B26" s="358" t="s">
        <v>185</v>
      </c>
    </row>
    <row r="28" spans="2:72" ht="18.75" x14ac:dyDescent="0.3">
      <c r="B28" s="79" t="s">
        <v>115</v>
      </c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7"/>
      <c r="AH28" s="77"/>
      <c r="AI28" s="77"/>
      <c r="AJ28" s="77"/>
      <c r="AK28" s="77"/>
      <c r="AL28" s="77"/>
      <c r="AM28" s="77"/>
      <c r="AN28" s="77"/>
      <c r="AO28" s="77"/>
      <c r="AP28" s="77"/>
      <c r="AQ28" s="77"/>
      <c r="AR28" s="77"/>
      <c r="AS28" s="77"/>
      <c r="AT28" s="77"/>
      <c r="AU28" s="77"/>
      <c r="AV28" s="77"/>
      <c r="AW28" s="77"/>
      <c r="AX28" s="77"/>
      <c r="AY28" s="77"/>
      <c r="AZ28" s="77"/>
      <c r="BA28" s="77"/>
      <c r="BB28" s="77"/>
      <c r="BC28" s="77"/>
      <c r="BD28" s="77"/>
      <c r="BE28" s="77"/>
      <c r="BF28" s="77"/>
      <c r="BG28" s="77"/>
      <c r="BH28" s="77"/>
      <c r="BI28" s="77"/>
      <c r="BJ28" s="77"/>
      <c r="BK28" s="77"/>
      <c r="BL28" s="77"/>
      <c r="BM28" s="77"/>
      <c r="BN28" s="77"/>
      <c r="BO28" s="77"/>
      <c r="BP28" s="77"/>
      <c r="BQ28" s="77"/>
      <c r="BR28" s="77"/>
      <c r="BS28" s="77"/>
      <c r="BT28" s="77"/>
    </row>
    <row r="30" spans="2:72" x14ac:dyDescent="0.25">
      <c r="B30" s="59" t="s">
        <v>136</v>
      </c>
      <c r="C30" s="185" t="str" cm="1">
        <f t="array" aca="1" ref="C30" ca="1">_xll.d.TestUtils_And(BD45:BT49)</f>
        <v>OK</v>
      </c>
    </row>
    <row r="32" spans="2:72" x14ac:dyDescent="0.25">
      <c r="B32" s="59" t="s">
        <v>116</v>
      </c>
      <c r="C32" s="59" t="s">
        <v>33</v>
      </c>
    </row>
    <row r="33" spans="2:72" x14ac:dyDescent="0.25">
      <c r="B33" s="98" t="s">
        <v>111</v>
      </c>
      <c r="C33" s="167" t="s">
        <v>131</v>
      </c>
    </row>
    <row r="34" spans="2:72" x14ac:dyDescent="0.25">
      <c r="B34" s="92" t="s">
        <v>112</v>
      </c>
      <c r="C34" s="168" t="s">
        <v>0</v>
      </c>
    </row>
    <row r="35" spans="2:72" x14ac:dyDescent="0.25">
      <c r="B35" s="94"/>
      <c r="C35" s="169" t="s">
        <v>113</v>
      </c>
    </row>
    <row r="36" spans="2:72" x14ac:dyDescent="0.25">
      <c r="B36" s="96"/>
      <c r="C36" s="170" t="s">
        <v>114</v>
      </c>
    </row>
    <row r="37" spans="2:72" x14ac:dyDescent="0.25">
      <c r="B37" s="166" t="s">
        <v>130</v>
      </c>
      <c r="C37" s="172">
        <v>2</v>
      </c>
    </row>
    <row r="38" spans="2:72" x14ac:dyDescent="0.25">
      <c r="B38" s="166" t="s">
        <v>131</v>
      </c>
      <c r="C38" s="172">
        <v>0</v>
      </c>
    </row>
    <row r="39" spans="2:72" x14ac:dyDescent="0.25">
      <c r="B39" s="146" t="s">
        <v>119</v>
      </c>
      <c r="C39" s="147"/>
    </row>
    <row r="41" spans="2:72" x14ac:dyDescent="0.25">
      <c r="B41" t="s">
        <v>95</v>
      </c>
    </row>
    <row r="43" spans="2:72" x14ac:dyDescent="0.25">
      <c r="B43" s="70" t="s">
        <v>92</v>
      </c>
      <c r="T43" s="70" t="s">
        <v>109</v>
      </c>
      <c r="AL43" s="70" t="s">
        <v>110</v>
      </c>
      <c r="BD43" s="70" t="s">
        <v>137</v>
      </c>
    </row>
    <row r="45" spans="2:72" x14ac:dyDescent="0.25">
      <c r="B45" s="12" t="s">
        <v>97</v>
      </c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13"/>
      <c r="T45" s="91" t="s">
        <v>97</v>
      </c>
      <c r="U45" s="91"/>
      <c r="V45" s="91"/>
      <c r="W45" s="91"/>
      <c r="X45" s="91"/>
      <c r="Y45" s="91"/>
      <c r="Z45" s="91"/>
      <c r="AA45" s="91"/>
      <c r="AB45" s="91"/>
      <c r="AC45" s="91"/>
      <c r="AD45" s="91"/>
      <c r="AE45" s="91"/>
      <c r="AF45" s="91"/>
      <c r="AG45" s="91"/>
      <c r="AH45" s="91"/>
      <c r="AI45" s="91"/>
      <c r="AJ45" s="91"/>
      <c r="AL45" s="138" t="s">
        <v>97</v>
      </c>
      <c r="AM45" s="231"/>
      <c r="AN45" s="231"/>
      <c r="AO45" s="231"/>
      <c r="AP45" s="231"/>
      <c r="AQ45" s="231"/>
      <c r="AR45" s="231"/>
      <c r="AS45" s="231"/>
      <c r="AT45" s="231"/>
      <c r="AU45" s="231"/>
      <c r="AV45" s="231"/>
      <c r="AW45" s="231"/>
      <c r="AX45" s="231"/>
      <c r="AY45" s="231"/>
      <c r="AZ45" s="231"/>
      <c r="BA45" s="231"/>
      <c r="BB45" s="139"/>
      <c r="BD45" s="185" t="str" cm="1">
        <f t="array" aca="1" ref="BD45" ca="1">_xll.d.TestUtils_IsTrue(_xll.d.Formatting_Equal(B45,AL45))</f>
        <v>OK</v>
      </c>
      <c r="BE45" s="185" t="str" cm="1">
        <f t="array" aca="1" ref="BE45" ca="1">_xll.d.TestUtils_IsTrue(_xll.d.Formatting_Equal(C45,AM45))</f>
        <v>OK</v>
      </c>
      <c r="BF45" s="185" t="str" cm="1">
        <f t="array" aca="1" ref="BF45" ca="1">_xll.d.TestUtils_IsTrue(_xll.d.Formatting_Equal(D45,AN45))</f>
        <v>OK</v>
      </c>
      <c r="BG45" s="185" t="str" cm="1">
        <f t="array" aca="1" ref="BG45" ca="1">_xll.d.TestUtils_IsTrue(_xll.d.Formatting_Equal(E45,AO45))</f>
        <v>OK</v>
      </c>
      <c r="BH45" s="185" t="str" cm="1">
        <f t="array" aca="1" ref="BH45" ca="1">_xll.d.TestUtils_IsTrue(_xll.d.Formatting_Equal(F45,AP45))</f>
        <v>OK</v>
      </c>
      <c r="BI45" s="185" t="str" cm="1">
        <f t="array" aca="1" ref="BI45" ca="1">_xll.d.TestUtils_IsTrue(_xll.d.Formatting_Equal(G45,AQ45))</f>
        <v>OK</v>
      </c>
      <c r="BJ45" s="185" t="str" cm="1">
        <f t="array" aca="1" ref="BJ45" ca="1">_xll.d.TestUtils_IsTrue(_xll.d.Formatting_Equal(H45,AR45))</f>
        <v>OK</v>
      </c>
      <c r="BK45" s="185" t="str" cm="1">
        <f t="array" aca="1" ref="BK45" ca="1">_xll.d.TestUtils_IsTrue(_xll.d.Formatting_Equal(I45,AS45))</f>
        <v>OK</v>
      </c>
      <c r="BL45" s="185" t="str" cm="1">
        <f t="array" aca="1" ref="BL45" ca="1">_xll.d.TestUtils_IsTrue(_xll.d.Formatting_Equal(J45,AT45))</f>
        <v>OK</v>
      </c>
      <c r="BM45" s="185" t="str" cm="1">
        <f t="array" aca="1" ref="BM45" ca="1">_xll.d.TestUtils_IsTrue(_xll.d.Formatting_Equal(K45,AU45))</f>
        <v>OK</v>
      </c>
      <c r="BN45" s="185" t="str" cm="1">
        <f t="array" aca="1" ref="BN45" ca="1">_xll.d.TestUtils_IsTrue(_xll.d.Formatting_Equal(L45,AV45))</f>
        <v>OK</v>
      </c>
      <c r="BO45" s="185" t="str" cm="1">
        <f t="array" aca="1" ref="BO45" ca="1">_xll.d.TestUtils_IsTrue(_xll.d.Formatting_Equal(M45,AW45))</f>
        <v>OK</v>
      </c>
      <c r="BP45" s="185" t="str" cm="1">
        <f t="array" aca="1" ref="BP45" ca="1">_xll.d.TestUtils_IsTrue(_xll.d.Formatting_Equal(N45,AX45))</f>
        <v>OK</v>
      </c>
      <c r="BQ45" s="185" t="str" cm="1">
        <f t="array" aca="1" ref="BQ45" ca="1">_xll.d.TestUtils_IsTrue(_xll.d.Formatting_Equal(O45,AY45))</f>
        <v>OK</v>
      </c>
      <c r="BR45" s="185" t="str" cm="1">
        <f t="array" aca="1" ref="BR45" ca="1">_xll.d.TestUtils_IsTrue(_xll.d.Formatting_Equal(P45,AZ45))</f>
        <v>OK</v>
      </c>
      <c r="BS45" s="185" t="str" cm="1">
        <f t="array" aca="1" ref="BS45" ca="1">_xll.d.TestUtils_IsTrue(_xll.d.Formatting_Equal(Q45,BA45))</f>
        <v>OK</v>
      </c>
      <c r="BT45" s="185" t="str" cm="1">
        <f t="array" aca="1" ref="BT45" ca="1">_xll.d.TestUtils_IsTrue(_xll.d.Formatting_Equal(R45,BB45))</f>
        <v>OK</v>
      </c>
    </row>
    <row r="46" spans="2:72" x14ac:dyDescent="0.25">
      <c r="B46" s="74" t="s">
        <v>35</v>
      </c>
      <c r="C46" s="75" t="s">
        <v>0</v>
      </c>
      <c r="D46" s="75" t="s">
        <v>98</v>
      </c>
      <c r="E46" s="75" t="s">
        <v>99</v>
      </c>
      <c r="F46" s="75" t="s">
        <v>100</v>
      </c>
      <c r="G46" s="75" t="s">
        <v>101</v>
      </c>
      <c r="H46" s="75" t="s">
        <v>102</v>
      </c>
      <c r="I46" s="75" t="s">
        <v>81</v>
      </c>
      <c r="J46" s="75" t="s">
        <v>82</v>
      </c>
      <c r="K46" s="75" t="s">
        <v>83</v>
      </c>
      <c r="L46" s="75" t="s">
        <v>103</v>
      </c>
      <c r="M46" s="75" t="s">
        <v>25</v>
      </c>
      <c r="N46" s="75" t="s">
        <v>40</v>
      </c>
      <c r="O46" s="75" t="s">
        <v>104</v>
      </c>
      <c r="P46" s="75" t="s">
        <v>96</v>
      </c>
      <c r="Q46" s="75" t="s">
        <v>106</v>
      </c>
      <c r="R46" s="76" t="s">
        <v>105</v>
      </c>
      <c r="T46" s="91" t="s">
        <v>35</v>
      </c>
      <c r="U46" s="91" t="s">
        <v>0</v>
      </c>
      <c r="V46" s="91" t="s">
        <v>98</v>
      </c>
      <c r="W46" s="91" t="s">
        <v>99</v>
      </c>
      <c r="X46" s="91" t="s">
        <v>100</v>
      </c>
      <c r="Y46" s="91" t="s">
        <v>101</v>
      </c>
      <c r="Z46" s="91" t="s">
        <v>102</v>
      </c>
      <c r="AA46" s="91" t="s">
        <v>81</v>
      </c>
      <c r="AB46" s="91" t="s">
        <v>82</v>
      </c>
      <c r="AC46" s="91" t="s">
        <v>83</v>
      </c>
      <c r="AD46" s="91" t="s">
        <v>103</v>
      </c>
      <c r="AE46" s="91" t="s">
        <v>25</v>
      </c>
      <c r="AF46" s="91" t="s">
        <v>40</v>
      </c>
      <c r="AG46" s="91" t="s">
        <v>104</v>
      </c>
      <c r="AH46" s="91" t="s">
        <v>96</v>
      </c>
      <c r="AI46" s="91" t="s">
        <v>106</v>
      </c>
      <c r="AJ46" s="91" t="s">
        <v>105</v>
      </c>
      <c r="AL46" s="136" t="s">
        <v>35</v>
      </c>
      <c r="AM46" s="345" t="s">
        <v>0</v>
      </c>
      <c r="AN46" s="345" t="s">
        <v>98</v>
      </c>
      <c r="AO46" s="345" t="s">
        <v>99</v>
      </c>
      <c r="AP46" s="345" t="s">
        <v>100</v>
      </c>
      <c r="AQ46" s="345" t="s">
        <v>101</v>
      </c>
      <c r="AR46" s="345" t="s">
        <v>102</v>
      </c>
      <c r="AS46" s="345" t="s">
        <v>81</v>
      </c>
      <c r="AT46" s="345" t="s">
        <v>82</v>
      </c>
      <c r="AU46" s="345" t="s">
        <v>83</v>
      </c>
      <c r="AV46" s="345" t="s">
        <v>103</v>
      </c>
      <c r="AW46" s="345" t="s">
        <v>25</v>
      </c>
      <c r="AX46" s="345" t="s">
        <v>40</v>
      </c>
      <c r="AY46" s="345" t="s">
        <v>104</v>
      </c>
      <c r="AZ46" s="345" t="s">
        <v>96</v>
      </c>
      <c r="BA46" s="345" t="s">
        <v>106</v>
      </c>
      <c r="BB46" s="137" t="s">
        <v>105</v>
      </c>
      <c r="BD46" s="185" t="str" cm="1">
        <f t="array" aca="1" ref="BD46" ca="1">_xll.d.TestUtils_IsTrue(_xll.d.Formatting_Equal(B46,AL46))</f>
        <v>OK</v>
      </c>
      <c r="BE46" s="185" t="str" cm="1">
        <f t="array" aca="1" ref="BE46" ca="1">_xll.d.TestUtils_IsTrue(_xll.d.Formatting_Equal(C46,AM46))</f>
        <v>OK</v>
      </c>
      <c r="BF46" s="185" t="str" cm="1">
        <f t="array" aca="1" ref="BF46" ca="1">_xll.d.TestUtils_IsTrue(_xll.d.Formatting_Equal(D46,AN46))</f>
        <v>OK</v>
      </c>
      <c r="BG46" s="185" t="str" cm="1">
        <f t="array" aca="1" ref="BG46" ca="1">_xll.d.TestUtils_IsTrue(_xll.d.Formatting_Equal(E46,AO46))</f>
        <v>OK</v>
      </c>
      <c r="BH46" s="185" t="str" cm="1">
        <f t="array" aca="1" ref="BH46" ca="1">_xll.d.TestUtils_IsTrue(_xll.d.Formatting_Equal(F46,AP46))</f>
        <v>OK</v>
      </c>
      <c r="BI46" s="185" t="str" cm="1">
        <f t="array" aca="1" ref="BI46" ca="1">_xll.d.TestUtils_IsTrue(_xll.d.Formatting_Equal(G46,AQ46))</f>
        <v>OK</v>
      </c>
      <c r="BJ46" s="185" t="str" cm="1">
        <f t="array" aca="1" ref="BJ46" ca="1">_xll.d.TestUtils_IsTrue(_xll.d.Formatting_Equal(H46,AR46))</f>
        <v>OK</v>
      </c>
      <c r="BK46" s="185" t="str" cm="1">
        <f t="array" aca="1" ref="BK46" ca="1">_xll.d.TestUtils_IsTrue(_xll.d.Formatting_Equal(I46,AS46))</f>
        <v>OK</v>
      </c>
      <c r="BL46" s="185" t="str" cm="1">
        <f t="array" aca="1" ref="BL46" ca="1">_xll.d.TestUtils_IsTrue(_xll.d.Formatting_Equal(J46,AT46))</f>
        <v>OK</v>
      </c>
      <c r="BM46" s="185" t="str" cm="1">
        <f t="array" aca="1" ref="BM46" ca="1">_xll.d.TestUtils_IsTrue(_xll.d.Formatting_Equal(K46,AU46))</f>
        <v>OK</v>
      </c>
      <c r="BN46" s="185" t="str" cm="1">
        <f t="array" aca="1" ref="BN46" ca="1">_xll.d.TestUtils_IsTrue(_xll.d.Formatting_Equal(L46,AV46))</f>
        <v>OK</v>
      </c>
      <c r="BO46" s="185" t="str" cm="1">
        <f t="array" aca="1" ref="BO46" ca="1">_xll.d.TestUtils_IsTrue(_xll.d.Formatting_Equal(M46,AW46))</f>
        <v>OK</v>
      </c>
      <c r="BP46" s="185" t="str" cm="1">
        <f t="array" aca="1" ref="BP46" ca="1">_xll.d.TestUtils_IsTrue(_xll.d.Formatting_Equal(N46,AX46))</f>
        <v>OK</v>
      </c>
      <c r="BQ46" s="185" t="str" cm="1">
        <f t="array" aca="1" ref="BQ46" ca="1">_xll.d.TestUtils_IsTrue(_xll.d.Formatting_Equal(O46,AY46))</f>
        <v>OK</v>
      </c>
      <c r="BR46" s="185" t="str" cm="1">
        <f t="array" aca="1" ref="BR46" ca="1">_xll.d.TestUtils_IsTrue(_xll.d.Formatting_Equal(P46,AZ46))</f>
        <v>OK</v>
      </c>
      <c r="BS46" s="185" t="str" cm="1">
        <f t="array" aca="1" ref="BS46" ca="1">_xll.d.TestUtils_IsTrue(_xll.d.Formatting_Equal(Q46,BA46))</f>
        <v>OK</v>
      </c>
      <c r="BT46" s="185" t="str" cm="1">
        <f t="array" aca="1" ref="BT46" ca="1">_xll.d.TestUtils_IsTrue(_xll.d.Formatting_Equal(R46,BB46))</f>
        <v>OK</v>
      </c>
    </row>
    <row r="47" spans="2:72" x14ac:dyDescent="0.25">
      <c r="B47" s="128">
        <v>44562</v>
      </c>
      <c r="C47" s="131">
        <v>44562</v>
      </c>
      <c r="D47" s="110">
        <v>1000</v>
      </c>
      <c r="E47" s="113">
        <v>1000</v>
      </c>
      <c r="F47" s="116">
        <v>1000</v>
      </c>
      <c r="G47" s="119">
        <v>1000</v>
      </c>
      <c r="H47" s="122">
        <v>0.3</v>
      </c>
      <c r="I47" s="122">
        <v>0.3</v>
      </c>
      <c r="J47" s="122">
        <v>0.3</v>
      </c>
      <c r="K47" s="122">
        <v>0.3</v>
      </c>
      <c r="L47" s="122">
        <v>0.3</v>
      </c>
      <c r="M47" s="122">
        <v>0.3</v>
      </c>
      <c r="N47" s="122">
        <v>0.3</v>
      </c>
      <c r="O47" s="122">
        <v>0.3</v>
      </c>
      <c r="P47" s="122">
        <v>0.3</v>
      </c>
      <c r="Q47" s="122">
        <v>0.3</v>
      </c>
      <c r="R47" s="125">
        <v>0.3</v>
      </c>
      <c r="T47" s="91">
        <v>44562</v>
      </c>
      <c r="U47" s="91">
        <v>44562</v>
      </c>
      <c r="V47" s="91">
        <v>1000</v>
      </c>
      <c r="W47" s="91">
        <v>1000</v>
      </c>
      <c r="X47" s="91">
        <v>1000</v>
      </c>
      <c r="Y47" s="91">
        <v>1000</v>
      </c>
      <c r="Z47" s="91">
        <v>0.3</v>
      </c>
      <c r="AA47" s="91">
        <v>0.3</v>
      </c>
      <c r="AB47" s="91">
        <v>0.3</v>
      </c>
      <c r="AC47" s="91">
        <v>0.3</v>
      </c>
      <c r="AD47" s="91">
        <v>0.3</v>
      </c>
      <c r="AE47" s="91">
        <v>0.3</v>
      </c>
      <c r="AF47" s="91">
        <v>0.3</v>
      </c>
      <c r="AG47" s="91">
        <v>0.3</v>
      </c>
      <c r="AH47" s="91">
        <v>0.3</v>
      </c>
      <c r="AI47" s="91">
        <v>0.3</v>
      </c>
      <c r="AJ47" s="91">
        <v>0.3</v>
      </c>
      <c r="AL47" s="181">
        <v>44562</v>
      </c>
      <c r="AM47" s="183">
        <v>44562</v>
      </c>
      <c r="AN47" s="346">
        <v>1000</v>
      </c>
      <c r="AO47" s="348">
        <v>1000</v>
      </c>
      <c r="AP47" s="350">
        <v>1000</v>
      </c>
      <c r="AQ47" s="352">
        <v>1000</v>
      </c>
      <c r="AR47" s="354">
        <v>0.3</v>
      </c>
      <c r="AS47" s="354">
        <v>0.3</v>
      </c>
      <c r="AT47" s="354">
        <v>0.3</v>
      </c>
      <c r="AU47" s="354">
        <v>0.3</v>
      </c>
      <c r="AV47" s="354">
        <v>0.3</v>
      </c>
      <c r="AW47" s="354">
        <v>0.3</v>
      </c>
      <c r="AX47" s="354">
        <v>0.3</v>
      </c>
      <c r="AY47" s="354">
        <v>0.3</v>
      </c>
      <c r="AZ47" s="354">
        <v>0.3</v>
      </c>
      <c r="BA47" s="354">
        <v>0.3</v>
      </c>
      <c r="BB47" s="355">
        <v>0.3</v>
      </c>
      <c r="BD47" s="185" t="str" cm="1">
        <f t="array" aca="1" ref="BD47" ca="1">_xll.d.TestUtils_IsTrue(_xll.d.Formatting_Equal(B47,AL47))</f>
        <v>OK</v>
      </c>
      <c r="BE47" s="185" t="str" cm="1">
        <f t="array" aca="1" ref="BE47" ca="1">_xll.d.TestUtils_IsTrue(_xll.d.Formatting_Equal(C47,AM47))</f>
        <v>OK</v>
      </c>
      <c r="BF47" s="185" t="str" cm="1">
        <f t="array" aca="1" ref="BF47" ca="1">_xll.d.TestUtils_IsTrue(_xll.d.Formatting_Equal(D47,AN47))</f>
        <v>OK</v>
      </c>
      <c r="BG47" s="185" t="str" cm="1">
        <f t="array" aca="1" ref="BG47" ca="1">_xll.d.TestUtils_IsTrue(_xll.d.Formatting_Equal(E47,AO47))</f>
        <v>OK</v>
      </c>
      <c r="BH47" s="185" t="str" cm="1">
        <f t="array" aca="1" ref="BH47" ca="1">_xll.d.TestUtils_IsTrue(_xll.d.Formatting_Equal(F47,AP47))</f>
        <v>OK</v>
      </c>
      <c r="BI47" s="185" t="str" cm="1">
        <f t="array" aca="1" ref="BI47" ca="1">_xll.d.TestUtils_IsTrue(_xll.d.Formatting_Equal(G47,AQ47))</f>
        <v>OK</v>
      </c>
      <c r="BJ47" s="185" t="str" cm="1">
        <f t="array" aca="1" ref="BJ47" ca="1">_xll.d.TestUtils_IsTrue(_xll.d.Formatting_Equal(H47,AR47))</f>
        <v>OK</v>
      </c>
      <c r="BK47" s="185" t="str" cm="1">
        <f t="array" aca="1" ref="BK47" ca="1">_xll.d.TestUtils_IsTrue(_xll.d.Formatting_Equal(I47,AS47))</f>
        <v>OK</v>
      </c>
      <c r="BL47" s="185" t="str" cm="1">
        <f t="array" aca="1" ref="BL47" ca="1">_xll.d.TestUtils_IsTrue(_xll.d.Formatting_Equal(J47,AT47))</f>
        <v>OK</v>
      </c>
      <c r="BM47" s="185" t="str" cm="1">
        <f t="array" aca="1" ref="BM47" ca="1">_xll.d.TestUtils_IsTrue(_xll.d.Formatting_Equal(K47,AU47))</f>
        <v>OK</v>
      </c>
      <c r="BN47" s="185" t="str" cm="1">
        <f t="array" aca="1" ref="BN47" ca="1">_xll.d.TestUtils_IsTrue(_xll.d.Formatting_Equal(L47,AV47))</f>
        <v>OK</v>
      </c>
      <c r="BO47" s="185" t="str" cm="1">
        <f t="array" aca="1" ref="BO47" ca="1">_xll.d.TestUtils_IsTrue(_xll.d.Formatting_Equal(M47,AW47))</f>
        <v>OK</v>
      </c>
      <c r="BP47" s="185" t="str" cm="1">
        <f t="array" aca="1" ref="BP47" ca="1">_xll.d.TestUtils_IsTrue(_xll.d.Formatting_Equal(N47,AX47))</f>
        <v>OK</v>
      </c>
      <c r="BQ47" s="185" t="str" cm="1">
        <f t="array" aca="1" ref="BQ47" ca="1">_xll.d.TestUtils_IsTrue(_xll.d.Formatting_Equal(O47,AY47))</f>
        <v>OK</v>
      </c>
      <c r="BR47" s="185" t="str" cm="1">
        <f t="array" aca="1" ref="BR47" ca="1">_xll.d.TestUtils_IsTrue(_xll.d.Formatting_Equal(P47,AZ47))</f>
        <v>OK</v>
      </c>
      <c r="BS47" s="185" t="str" cm="1">
        <f t="array" aca="1" ref="BS47" ca="1">_xll.d.TestUtils_IsTrue(_xll.d.Formatting_Equal(Q47,BA47))</f>
        <v>OK</v>
      </c>
      <c r="BT47" s="185" t="str" cm="1">
        <f t="array" aca="1" ref="BT47" ca="1">_xll.d.TestUtils_IsTrue(_xll.d.Formatting_Equal(R47,BB47))</f>
        <v>OK</v>
      </c>
    </row>
    <row r="48" spans="2:72" x14ac:dyDescent="0.25">
      <c r="B48" s="129">
        <v>44593</v>
      </c>
      <c r="C48" s="132">
        <v>44593</v>
      </c>
      <c r="D48" s="111">
        <v>2000</v>
      </c>
      <c r="E48" s="114">
        <v>2000</v>
      </c>
      <c r="F48" s="117">
        <v>2000</v>
      </c>
      <c r="G48" s="120">
        <v>2000</v>
      </c>
      <c r="H48" s="123">
        <v>0.4</v>
      </c>
      <c r="I48" s="123">
        <v>0.4</v>
      </c>
      <c r="J48" s="123">
        <v>0.4</v>
      </c>
      <c r="K48" s="123">
        <v>0.4</v>
      </c>
      <c r="L48" s="123">
        <v>0.4</v>
      </c>
      <c r="M48" s="123">
        <v>0.4</v>
      </c>
      <c r="N48" s="123">
        <v>0.4</v>
      </c>
      <c r="O48" s="123">
        <v>0.4</v>
      </c>
      <c r="P48" s="123">
        <v>0.4</v>
      </c>
      <c r="Q48" s="123">
        <v>0.4</v>
      </c>
      <c r="R48" s="126">
        <v>0.4</v>
      </c>
      <c r="T48" s="91">
        <v>44593</v>
      </c>
      <c r="U48" s="91">
        <v>44593</v>
      </c>
      <c r="V48" s="91">
        <v>2000</v>
      </c>
      <c r="W48" s="91">
        <v>2000</v>
      </c>
      <c r="X48" s="91">
        <v>2000</v>
      </c>
      <c r="Y48" s="91">
        <v>2000</v>
      </c>
      <c r="Z48" s="91">
        <v>0.4</v>
      </c>
      <c r="AA48" s="91">
        <v>0.4</v>
      </c>
      <c r="AB48" s="91">
        <v>0.4</v>
      </c>
      <c r="AC48" s="91">
        <v>0.4</v>
      </c>
      <c r="AD48" s="91">
        <v>0.4</v>
      </c>
      <c r="AE48" s="91">
        <v>0.4</v>
      </c>
      <c r="AF48" s="91">
        <v>0.4</v>
      </c>
      <c r="AG48" s="91">
        <v>0.4</v>
      </c>
      <c r="AH48" s="91">
        <v>0.4</v>
      </c>
      <c r="AI48" s="91">
        <v>0.4</v>
      </c>
      <c r="AJ48" s="91">
        <v>0.4</v>
      </c>
      <c r="AL48" s="182">
        <v>44593</v>
      </c>
      <c r="AM48" s="184">
        <v>44593</v>
      </c>
      <c r="AN48" s="173">
        <v>2000</v>
      </c>
      <c r="AO48" s="174">
        <v>2000</v>
      </c>
      <c r="AP48" s="175">
        <v>2000</v>
      </c>
      <c r="AQ48" s="176">
        <v>2000</v>
      </c>
      <c r="AR48" s="177">
        <v>0.4</v>
      </c>
      <c r="AS48" s="177">
        <v>0.4</v>
      </c>
      <c r="AT48" s="177">
        <v>0.4</v>
      </c>
      <c r="AU48" s="177">
        <v>0.4</v>
      </c>
      <c r="AV48" s="177">
        <v>0.4</v>
      </c>
      <c r="AW48" s="177">
        <v>0.4</v>
      </c>
      <c r="AX48" s="177">
        <v>0.4</v>
      </c>
      <c r="AY48" s="177">
        <v>0.4</v>
      </c>
      <c r="AZ48" s="177">
        <v>0.4</v>
      </c>
      <c r="BA48" s="177">
        <v>0.4</v>
      </c>
      <c r="BB48" s="179">
        <v>0.4</v>
      </c>
      <c r="BD48" s="185" t="str" cm="1">
        <f t="array" aca="1" ref="BD48" ca="1">_xll.d.TestUtils_IsTrue(_xll.d.Formatting_Equal(B48,AL48))</f>
        <v>OK</v>
      </c>
      <c r="BE48" s="185" t="str" cm="1">
        <f t="array" aca="1" ref="BE48" ca="1">_xll.d.TestUtils_IsTrue(_xll.d.Formatting_Equal(C48,AM48))</f>
        <v>OK</v>
      </c>
      <c r="BF48" s="185" t="str" cm="1">
        <f t="array" aca="1" ref="BF48" ca="1">_xll.d.TestUtils_IsTrue(_xll.d.Formatting_Equal(D48,AN48))</f>
        <v>OK</v>
      </c>
      <c r="BG48" s="185" t="str" cm="1">
        <f t="array" aca="1" ref="BG48" ca="1">_xll.d.TestUtils_IsTrue(_xll.d.Formatting_Equal(E48,AO48))</f>
        <v>OK</v>
      </c>
      <c r="BH48" s="185" t="str" cm="1">
        <f t="array" aca="1" ref="BH48" ca="1">_xll.d.TestUtils_IsTrue(_xll.d.Formatting_Equal(F48,AP48))</f>
        <v>OK</v>
      </c>
      <c r="BI48" s="185" t="str" cm="1">
        <f t="array" aca="1" ref="BI48" ca="1">_xll.d.TestUtils_IsTrue(_xll.d.Formatting_Equal(G48,AQ48))</f>
        <v>OK</v>
      </c>
      <c r="BJ48" s="185" t="str" cm="1">
        <f t="array" aca="1" ref="BJ48" ca="1">_xll.d.TestUtils_IsTrue(_xll.d.Formatting_Equal(H48,AR48))</f>
        <v>OK</v>
      </c>
      <c r="BK48" s="185" t="str" cm="1">
        <f t="array" aca="1" ref="BK48" ca="1">_xll.d.TestUtils_IsTrue(_xll.d.Formatting_Equal(I48,AS48))</f>
        <v>OK</v>
      </c>
      <c r="BL48" s="185" t="str" cm="1">
        <f t="array" aca="1" ref="BL48" ca="1">_xll.d.TestUtils_IsTrue(_xll.d.Formatting_Equal(J48,AT48))</f>
        <v>OK</v>
      </c>
      <c r="BM48" s="185" t="str" cm="1">
        <f t="array" aca="1" ref="BM48" ca="1">_xll.d.TestUtils_IsTrue(_xll.d.Formatting_Equal(K48,AU48))</f>
        <v>OK</v>
      </c>
      <c r="BN48" s="185" t="str" cm="1">
        <f t="array" aca="1" ref="BN48" ca="1">_xll.d.TestUtils_IsTrue(_xll.d.Formatting_Equal(L48,AV48))</f>
        <v>OK</v>
      </c>
      <c r="BO48" s="185" t="str" cm="1">
        <f t="array" aca="1" ref="BO48" ca="1">_xll.d.TestUtils_IsTrue(_xll.d.Formatting_Equal(M48,AW48))</f>
        <v>OK</v>
      </c>
      <c r="BP48" s="185" t="str" cm="1">
        <f t="array" aca="1" ref="BP48" ca="1">_xll.d.TestUtils_IsTrue(_xll.d.Formatting_Equal(N48,AX48))</f>
        <v>OK</v>
      </c>
      <c r="BQ48" s="185" t="str" cm="1">
        <f t="array" aca="1" ref="BQ48" ca="1">_xll.d.TestUtils_IsTrue(_xll.d.Formatting_Equal(O48,AY48))</f>
        <v>OK</v>
      </c>
      <c r="BR48" s="185" t="str" cm="1">
        <f t="array" aca="1" ref="BR48" ca="1">_xll.d.TestUtils_IsTrue(_xll.d.Formatting_Equal(P48,AZ48))</f>
        <v>OK</v>
      </c>
      <c r="BS48" s="185" t="str" cm="1">
        <f t="array" aca="1" ref="BS48" ca="1">_xll.d.TestUtils_IsTrue(_xll.d.Formatting_Equal(Q48,BA48))</f>
        <v>OK</v>
      </c>
      <c r="BT48" s="185" t="str" cm="1">
        <f t="array" aca="1" ref="BT48" ca="1">_xll.d.TestUtils_IsTrue(_xll.d.Formatting_Equal(R48,BB48))</f>
        <v>OK</v>
      </c>
    </row>
    <row r="49" spans="2:72" x14ac:dyDescent="0.25">
      <c r="B49" s="130">
        <v>44621</v>
      </c>
      <c r="C49" s="133">
        <v>44621</v>
      </c>
      <c r="D49" s="112">
        <v>3000</v>
      </c>
      <c r="E49" s="115">
        <v>3000</v>
      </c>
      <c r="F49" s="118">
        <v>3000</v>
      </c>
      <c r="G49" s="121">
        <v>3000</v>
      </c>
      <c r="H49" s="124">
        <v>0.5</v>
      </c>
      <c r="I49" s="124">
        <v>0.5</v>
      </c>
      <c r="J49" s="124">
        <v>0.5</v>
      </c>
      <c r="K49" s="124">
        <v>0.5</v>
      </c>
      <c r="L49" s="124">
        <v>0.5</v>
      </c>
      <c r="M49" s="124">
        <v>0.5</v>
      </c>
      <c r="N49" s="124">
        <v>0.5</v>
      </c>
      <c r="O49" s="124">
        <v>0.5</v>
      </c>
      <c r="P49" s="124">
        <v>0.5</v>
      </c>
      <c r="Q49" s="124">
        <v>0.5</v>
      </c>
      <c r="R49" s="127">
        <v>0.5</v>
      </c>
      <c r="T49" s="91">
        <v>44621</v>
      </c>
      <c r="U49" s="91">
        <v>44621</v>
      </c>
      <c r="V49" s="91">
        <v>3000</v>
      </c>
      <c r="W49" s="91">
        <v>3000</v>
      </c>
      <c r="X49" s="91">
        <v>3000</v>
      </c>
      <c r="Y49" s="91">
        <v>3000</v>
      </c>
      <c r="Z49" s="91">
        <v>0.5</v>
      </c>
      <c r="AA49" s="91">
        <v>0.5</v>
      </c>
      <c r="AB49" s="91">
        <v>0.5</v>
      </c>
      <c r="AC49" s="91">
        <v>0.5</v>
      </c>
      <c r="AD49" s="91">
        <v>0.5</v>
      </c>
      <c r="AE49" s="91">
        <v>0.5</v>
      </c>
      <c r="AF49" s="91">
        <v>0.5</v>
      </c>
      <c r="AG49" s="91">
        <v>0.5</v>
      </c>
      <c r="AH49" s="91">
        <v>0.5</v>
      </c>
      <c r="AI49" s="91">
        <v>0.5</v>
      </c>
      <c r="AJ49" s="91">
        <v>0.5</v>
      </c>
      <c r="AL49" s="356">
        <v>44621</v>
      </c>
      <c r="AM49" s="357">
        <v>44621</v>
      </c>
      <c r="AN49" s="347">
        <v>3000</v>
      </c>
      <c r="AO49" s="349">
        <v>3000</v>
      </c>
      <c r="AP49" s="351">
        <v>3000</v>
      </c>
      <c r="AQ49" s="353">
        <v>3000</v>
      </c>
      <c r="AR49" s="178">
        <v>0.5</v>
      </c>
      <c r="AS49" s="178">
        <v>0.5</v>
      </c>
      <c r="AT49" s="178">
        <v>0.5</v>
      </c>
      <c r="AU49" s="178">
        <v>0.5</v>
      </c>
      <c r="AV49" s="178">
        <v>0.5</v>
      </c>
      <c r="AW49" s="178">
        <v>0.5</v>
      </c>
      <c r="AX49" s="178">
        <v>0.5</v>
      </c>
      <c r="AY49" s="178">
        <v>0.5</v>
      </c>
      <c r="AZ49" s="178">
        <v>0.5</v>
      </c>
      <c r="BA49" s="178">
        <v>0.5</v>
      </c>
      <c r="BB49" s="180">
        <v>0.5</v>
      </c>
      <c r="BD49" s="185" t="str" cm="1">
        <f t="array" aca="1" ref="BD49" ca="1">_xll.d.TestUtils_IsTrue(_xll.d.Formatting_Equal(B49,AL49))</f>
        <v>OK</v>
      </c>
      <c r="BE49" s="185" t="str" cm="1">
        <f t="array" aca="1" ref="BE49" ca="1">_xll.d.TestUtils_IsTrue(_xll.d.Formatting_Equal(C49,AM49))</f>
        <v>OK</v>
      </c>
      <c r="BF49" s="185" t="str" cm="1">
        <f t="array" aca="1" ref="BF49" ca="1">_xll.d.TestUtils_IsTrue(_xll.d.Formatting_Equal(D49,AN49))</f>
        <v>OK</v>
      </c>
      <c r="BG49" s="185" t="str" cm="1">
        <f t="array" aca="1" ref="BG49" ca="1">_xll.d.TestUtils_IsTrue(_xll.d.Formatting_Equal(E49,AO49))</f>
        <v>OK</v>
      </c>
      <c r="BH49" s="185" t="str" cm="1">
        <f t="array" aca="1" ref="BH49" ca="1">_xll.d.TestUtils_IsTrue(_xll.d.Formatting_Equal(F49,AP49))</f>
        <v>OK</v>
      </c>
      <c r="BI49" s="185" t="str" cm="1">
        <f t="array" aca="1" ref="BI49" ca="1">_xll.d.TestUtils_IsTrue(_xll.d.Formatting_Equal(G49,AQ49))</f>
        <v>OK</v>
      </c>
      <c r="BJ49" s="185" t="str" cm="1">
        <f t="array" aca="1" ref="BJ49" ca="1">_xll.d.TestUtils_IsTrue(_xll.d.Formatting_Equal(H49,AR49))</f>
        <v>OK</v>
      </c>
      <c r="BK49" s="185" t="str" cm="1">
        <f t="array" aca="1" ref="BK49" ca="1">_xll.d.TestUtils_IsTrue(_xll.d.Formatting_Equal(I49,AS49))</f>
        <v>OK</v>
      </c>
      <c r="BL49" s="185" t="str" cm="1">
        <f t="array" aca="1" ref="BL49" ca="1">_xll.d.TestUtils_IsTrue(_xll.d.Formatting_Equal(J49,AT49))</f>
        <v>OK</v>
      </c>
      <c r="BM49" s="185" t="str" cm="1">
        <f t="array" aca="1" ref="BM49" ca="1">_xll.d.TestUtils_IsTrue(_xll.d.Formatting_Equal(K49,AU49))</f>
        <v>OK</v>
      </c>
      <c r="BN49" s="185" t="str" cm="1">
        <f t="array" aca="1" ref="BN49" ca="1">_xll.d.TestUtils_IsTrue(_xll.d.Formatting_Equal(L49,AV49))</f>
        <v>OK</v>
      </c>
      <c r="BO49" s="185" t="str" cm="1">
        <f t="array" aca="1" ref="BO49" ca="1">_xll.d.TestUtils_IsTrue(_xll.d.Formatting_Equal(M49,AW49))</f>
        <v>OK</v>
      </c>
      <c r="BP49" s="185" t="str" cm="1">
        <f t="array" aca="1" ref="BP49" ca="1">_xll.d.TestUtils_IsTrue(_xll.d.Formatting_Equal(N49,AX49))</f>
        <v>OK</v>
      </c>
      <c r="BQ49" s="185" t="str" cm="1">
        <f t="array" aca="1" ref="BQ49" ca="1">_xll.d.TestUtils_IsTrue(_xll.d.Formatting_Equal(O49,AY49))</f>
        <v>OK</v>
      </c>
      <c r="BR49" s="185" t="str" cm="1">
        <f t="array" aca="1" ref="BR49" ca="1">_xll.d.TestUtils_IsTrue(_xll.d.Formatting_Equal(P49,AZ49))</f>
        <v>OK</v>
      </c>
      <c r="BS49" s="185" t="str" cm="1">
        <f t="array" aca="1" ref="BS49" ca="1">_xll.d.TestUtils_IsTrue(_xll.d.Formatting_Equal(Q49,BA49))</f>
        <v>OK</v>
      </c>
      <c r="BT49" s="185" t="str" cm="1">
        <f t="array" aca="1" ref="BT49" ca="1">_xll.d.TestUtils_IsTrue(_xll.d.Formatting_Equal(R49,BB49))</f>
        <v>OK</v>
      </c>
    </row>
    <row r="50" spans="2:72" x14ac:dyDescent="0.25">
      <c r="AL50" s="156"/>
      <c r="AM50" s="156"/>
      <c r="AN50" s="156"/>
      <c r="AO50" s="156"/>
      <c r="AP50" s="156"/>
      <c r="AQ50" s="156"/>
      <c r="AR50" s="156"/>
      <c r="AS50" s="156"/>
      <c r="AT50" s="156"/>
      <c r="AU50" s="156"/>
      <c r="AV50" s="156"/>
      <c r="AW50" s="156"/>
      <c r="AX50" s="156"/>
      <c r="AY50" s="156"/>
      <c r="AZ50" s="156"/>
      <c r="BA50" s="156"/>
      <c r="BB50" s="156"/>
    </row>
    <row r="52" spans="2:72" ht="18.75" x14ac:dyDescent="0.3">
      <c r="B52" s="3" t="s">
        <v>117</v>
      </c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</row>
    <row r="54" spans="2:72" x14ac:dyDescent="0.25">
      <c r="B54" s="59" t="s">
        <v>136</v>
      </c>
      <c r="C54" s="185" t="str" cm="1">
        <f t="array" aca="1" ref="C54" ca="1">_xll.d.TestUtils_And(BD69:BT73)</f>
        <v>OK</v>
      </c>
    </row>
    <row r="56" spans="2:72" x14ac:dyDescent="0.25">
      <c r="B56" s="59" t="s">
        <v>116</v>
      </c>
      <c r="C56" s="59" t="s">
        <v>33</v>
      </c>
    </row>
    <row r="57" spans="2:72" x14ac:dyDescent="0.25">
      <c r="B57" s="98" t="s">
        <v>111</v>
      </c>
      <c r="C57" s="99" t="s">
        <v>130</v>
      </c>
    </row>
    <row r="58" spans="2:72" x14ac:dyDescent="0.25">
      <c r="B58" s="92" t="s">
        <v>112</v>
      </c>
      <c r="C58" s="93" t="s">
        <v>0</v>
      </c>
    </row>
    <row r="59" spans="2:72" x14ac:dyDescent="0.25">
      <c r="B59" s="94"/>
      <c r="C59" s="95" t="s">
        <v>113</v>
      </c>
    </row>
    <row r="60" spans="2:72" x14ac:dyDescent="0.25">
      <c r="B60" s="96"/>
      <c r="C60" s="97" t="s">
        <v>114</v>
      </c>
    </row>
    <row r="61" spans="2:72" x14ac:dyDescent="0.25">
      <c r="B61" s="166" t="s">
        <v>130</v>
      </c>
      <c r="C61" s="172">
        <v>2</v>
      </c>
    </row>
    <row r="62" spans="2:72" x14ac:dyDescent="0.25">
      <c r="B62" s="166" t="s">
        <v>131</v>
      </c>
      <c r="C62" s="172">
        <v>0</v>
      </c>
    </row>
    <row r="63" spans="2:72" x14ac:dyDescent="0.25">
      <c r="B63" s="146" t="s">
        <v>119</v>
      </c>
      <c r="C63" s="147"/>
    </row>
    <row r="64" spans="2:72" x14ac:dyDescent="0.25">
      <c r="B64" s="64"/>
      <c r="C64" s="64"/>
    </row>
    <row r="65" spans="2:72" x14ac:dyDescent="0.25">
      <c r="B65" t="s">
        <v>120</v>
      </c>
      <c r="C65" s="64"/>
    </row>
    <row r="66" spans="2:72" x14ac:dyDescent="0.25">
      <c r="B66" s="64"/>
      <c r="C66" s="64"/>
    </row>
    <row r="67" spans="2:72" x14ac:dyDescent="0.25">
      <c r="B67" s="70" t="s">
        <v>92</v>
      </c>
      <c r="T67" s="70" t="s">
        <v>109</v>
      </c>
      <c r="AL67" s="70" t="s">
        <v>110</v>
      </c>
      <c r="BD67" s="70" t="s">
        <v>137</v>
      </c>
    </row>
    <row r="69" spans="2:72" x14ac:dyDescent="0.25">
      <c r="B69" s="91" t="s">
        <v>97</v>
      </c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T69" s="12" t="s">
        <v>97</v>
      </c>
      <c r="U69" s="27"/>
      <c r="V69" s="27"/>
      <c r="W69" s="27"/>
      <c r="X69" s="27"/>
      <c r="Y69" s="27"/>
      <c r="Z69" s="27"/>
      <c r="AA69" s="27"/>
      <c r="AB69" s="27"/>
      <c r="AC69" s="27"/>
      <c r="AD69" s="27"/>
      <c r="AE69" s="27"/>
      <c r="AF69" s="27"/>
      <c r="AG69" s="27"/>
      <c r="AH69" s="27"/>
      <c r="AI69" s="27"/>
      <c r="AJ69" s="13"/>
      <c r="AL69" s="155" t="s">
        <v>97</v>
      </c>
      <c r="AM69" s="155"/>
      <c r="AN69" s="155"/>
      <c r="AO69" s="155"/>
      <c r="AP69" s="155"/>
      <c r="AQ69" s="155"/>
      <c r="AR69" s="155"/>
      <c r="AS69" s="155"/>
      <c r="AT69" s="155"/>
      <c r="AU69" s="155"/>
      <c r="AV69" s="155"/>
      <c r="AW69" s="155"/>
      <c r="AX69" s="155"/>
      <c r="AY69" s="155"/>
      <c r="AZ69" s="155"/>
      <c r="BA69" s="155"/>
      <c r="BB69" s="155"/>
      <c r="BD69" s="185" t="str" cm="1">
        <f t="array" aca="1" ref="BD69" ca="1">_xll.d.TestUtils_IsTrue(_xll.d.Formatting_Equal(B69,AL69))</f>
        <v>OK</v>
      </c>
      <c r="BE69" s="185" t="str" cm="1">
        <f t="array" aca="1" ref="BE69" ca="1">_xll.d.TestUtils_IsTrue(_xll.d.Formatting_Equal(C69,AM69))</f>
        <v>OK</v>
      </c>
      <c r="BF69" s="185" t="str" cm="1">
        <f t="array" aca="1" ref="BF69" ca="1">_xll.d.TestUtils_IsTrue(_xll.d.Formatting_Equal(D69,AN69))</f>
        <v>OK</v>
      </c>
      <c r="BG69" s="185" t="str" cm="1">
        <f t="array" aca="1" ref="BG69" ca="1">_xll.d.TestUtils_IsTrue(_xll.d.Formatting_Equal(E69,AO69))</f>
        <v>OK</v>
      </c>
      <c r="BH69" s="185" t="str" cm="1">
        <f t="array" aca="1" ref="BH69" ca="1">_xll.d.TestUtils_IsTrue(_xll.d.Formatting_Equal(F69,AP69))</f>
        <v>OK</v>
      </c>
      <c r="BI69" s="185" t="str" cm="1">
        <f t="array" aca="1" ref="BI69" ca="1">_xll.d.TestUtils_IsTrue(_xll.d.Formatting_Equal(G69,AQ69))</f>
        <v>OK</v>
      </c>
      <c r="BJ69" s="185" t="str" cm="1">
        <f t="array" aca="1" ref="BJ69" ca="1">_xll.d.TestUtils_IsTrue(_xll.d.Formatting_Equal(H69,AR69))</f>
        <v>OK</v>
      </c>
      <c r="BK69" s="185" t="str" cm="1">
        <f t="array" aca="1" ref="BK69" ca="1">_xll.d.TestUtils_IsTrue(_xll.d.Formatting_Equal(I69,AS69))</f>
        <v>OK</v>
      </c>
      <c r="BL69" s="185" t="str" cm="1">
        <f t="array" aca="1" ref="BL69" ca="1">_xll.d.TestUtils_IsTrue(_xll.d.Formatting_Equal(J69,AT69))</f>
        <v>OK</v>
      </c>
      <c r="BM69" s="185" t="str" cm="1">
        <f t="array" aca="1" ref="BM69" ca="1">_xll.d.TestUtils_IsTrue(_xll.d.Formatting_Equal(K69,AU69))</f>
        <v>OK</v>
      </c>
      <c r="BN69" s="185" t="str" cm="1">
        <f t="array" aca="1" ref="BN69" ca="1">_xll.d.TestUtils_IsTrue(_xll.d.Formatting_Equal(L69,AV69))</f>
        <v>OK</v>
      </c>
      <c r="BO69" s="185" t="str" cm="1">
        <f t="array" aca="1" ref="BO69" ca="1">_xll.d.TestUtils_IsTrue(_xll.d.Formatting_Equal(M69,AW69))</f>
        <v>OK</v>
      </c>
      <c r="BP69" s="185" t="str" cm="1">
        <f t="array" aca="1" ref="BP69" ca="1">_xll.d.TestUtils_IsTrue(_xll.d.Formatting_Equal(N69,AX69))</f>
        <v>OK</v>
      </c>
      <c r="BQ69" s="185" t="str" cm="1">
        <f t="array" aca="1" ref="BQ69" ca="1">_xll.d.TestUtils_IsTrue(_xll.d.Formatting_Equal(O69,AY69))</f>
        <v>OK</v>
      </c>
      <c r="BR69" s="185" t="str" cm="1">
        <f t="array" aca="1" ref="BR69" ca="1">_xll.d.TestUtils_IsTrue(_xll.d.Formatting_Equal(P69,AZ69))</f>
        <v>OK</v>
      </c>
      <c r="BS69" s="185" t="str" cm="1">
        <f t="array" aca="1" ref="BS69" ca="1">_xll.d.TestUtils_IsTrue(_xll.d.Formatting_Equal(Q69,BA69))</f>
        <v>OK</v>
      </c>
      <c r="BT69" s="185" t="str" cm="1">
        <f t="array" aca="1" ref="BT69" ca="1">_xll.d.TestUtils_IsTrue(_xll.d.Formatting_Equal(R69,BB69))</f>
        <v>OK</v>
      </c>
    </row>
    <row r="70" spans="2:72" x14ac:dyDescent="0.25">
      <c r="B70" s="91" t="s">
        <v>35</v>
      </c>
      <c r="C70" s="91" t="s">
        <v>0</v>
      </c>
      <c r="D70" s="91" t="s">
        <v>98</v>
      </c>
      <c r="E70" s="91" t="s">
        <v>99</v>
      </c>
      <c r="F70" s="91" t="s">
        <v>100</v>
      </c>
      <c r="G70" s="91" t="s">
        <v>101</v>
      </c>
      <c r="H70" s="91" t="s">
        <v>102</v>
      </c>
      <c r="I70" s="91" t="s">
        <v>81</v>
      </c>
      <c r="J70" s="91" t="s">
        <v>82</v>
      </c>
      <c r="K70" s="91" t="s">
        <v>83</v>
      </c>
      <c r="L70" s="91" t="s">
        <v>103</v>
      </c>
      <c r="M70" s="91" t="s">
        <v>25</v>
      </c>
      <c r="N70" s="91" t="s">
        <v>40</v>
      </c>
      <c r="O70" s="91" t="s">
        <v>104</v>
      </c>
      <c r="P70" s="91" t="s">
        <v>96</v>
      </c>
      <c r="Q70" s="91" t="s">
        <v>106</v>
      </c>
      <c r="R70" s="91" t="s">
        <v>105</v>
      </c>
      <c r="T70" s="74" t="s">
        <v>35</v>
      </c>
      <c r="U70" s="75" t="s">
        <v>0</v>
      </c>
      <c r="V70" s="75" t="s">
        <v>98</v>
      </c>
      <c r="W70" s="75" t="s">
        <v>99</v>
      </c>
      <c r="X70" s="75" t="s">
        <v>100</v>
      </c>
      <c r="Y70" s="75" t="s">
        <v>101</v>
      </c>
      <c r="Z70" s="75" t="s">
        <v>102</v>
      </c>
      <c r="AA70" s="75" t="s">
        <v>81</v>
      </c>
      <c r="AB70" s="75" t="s">
        <v>82</v>
      </c>
      <c r="AC70" s="75" t="s">
        <v>83</v>
      </c>
      <c r="AD70" s="75" t="s">
        <v>103</v>
      </c>
      <c r="AE70" s="75" t="s">
        <v>25</v>
      </c>
      <c r="AF70" s="75" t="s">
        <v>40</v>
      </c>
      <c r="AG70" s="75" t="s">
        <v>104</v>
      </c>
      <c r="AH70" s="75" t="s">
        <v>96</v>
      </c>
      <c r="AI70" s="75" t="s">
        <v>106</v>
      </c>
      <c r="AJ70" s="76" t="s">
        <v>105</v>
      </c>
      <c r="AL70" s="155" t="s">
        <v>35</v>
      </c>
      <c r="AM70" s="155" t="s">
        <v>0</v>
      </c>
      <c r="AN70" s="155" t="s">
        <v>98</v>
      </c>
      <c r="AO70" s="155" t="s">
        <v>99</v>
      </c>
      <c r="AP70" s="155" t="s">
        <v>100</v>
      </c>
      <c r="AQ70" s="155" t="s">
        <v>101</v>
      </c>
      <c r="AR70" s="155" t="s">
        <v>102</v>
      </c>
      <c r="AS70" s="155" t="s">
        <v>81</v>
      </c>
      <c r="AT70" s="155" t="s">
        <v>82</v>
      </c>
      <c r="AU70" s="155" t="s">
        <v>83</v>
      </c>
      <c r="AV70" s="155" t="s">
        <v>103</v>
      </c>
      <c r="AW70" s="155" t="s">
        <v>25</v>
      </c>
      <c r="AX70" s="155" t="s">
        <v>40</v>
      </c>
      <c r="AY70" s="155" t="s">
        <v>104</v>
      </c>
      <c r="AZ70" s="155" t="s">
        <v>96</v>
      </c>
      <c r="BA70" s="155" t="s">
        <v>106</v>
      </c>
      <c r="BB70" s="155" t="s">
        <v>105</v>
      </c>
      <c r="BD70" s="185" t="str" cm="1">
        <f t="array" aca="1" ref="BD70" ca="1">_xll.d.TestUtils_IsTrue(_xll.d.Formatting_Equal(B70,AL70))</f>
        <v>OK</v>
      </c>
      <c r="BE70" s="185" t="str" cm="1">
        <f t="array" aca="1" ref="BE70" ca="1">_xll.d.TestUtils_IsTrue(_xll.d.Formatting_Equal(C70,AM70))</f>
        <v>OK</v>
      </c>
      <c r="BF70" s="185" t="str" cm="1">
        <f t="array" aca="1" ref="BF70" ca="1">_xll.d.TestUtils_IsTrue(_xll.d.Formatting_Equal(D70,AN70))</f>
        <v>OK</v>
      </c>
      <c r="BG70" s="185" t="str" cm="1">
        <f t="array" aca="1" ref="BG70" ca="1">_xll.d.TestUtils_IsTrue(_xll.d.Formatting_Equal(E70,AO70))</f>
        <v>OK</v>
      </c>
      <c r="BH70" s="185" t="str" cm="1">
        <f t="array" aca="1" ref="BH70" ca="1">_xll.d.TestUtils_IsTrue(_xll.d.Formatting_Equal(F70,AP70))</f>
        <v>OK</v>
      </c>
      <c r="BI70" s="185" t="str" cm="1">
        <f t="array" aca="1" ref="BI70" ca="1">_xll.d.TestUtils_IsTrue(_xll.d.Formatting_Equal(G70,AQ70))</f>
        <v>OK</v>
      </c>
      <c r="BJ70" s="185" t="str" cm="1">
        <f t="array" aca="1" ref="BJ70" ca="1">_xll.d.TestUtils_IsTrue(_xll.d.Formatting_Equal(H70,AR70))</f>
        <v>OK</v>
      </c>
      <c r="BK70" s="185" t="str" cm="1">
        <f t="array" aca="1" ref="BK70" ca="1">_xll.d.TestUtils_IsTrue(_xll.d.Formatting_Equal(I70,AS70))</f>
        <v>OK</v>
      </c>
      <c r="BL70" s="185" t="str" cm="1">
        <f t="array" aca="1" ref="BL70" ca="1">_xll.d.TestUtils_IsTrue(_xll.d.Formatting_Equal(J70,AT70))</f>
        <v>OK</v>
      </c>
      <c r="BM70" s="185" t="str" cm="1">
        <f t="array" aca="1" ref="BM70" ca="1">_xll.d.TestUtils_IsTrue(_xll.d.Formatting_Equal(K70,AU70))</f>
        <v>OK</v>
      </c>
      <c r="BN70" s="185" t="str" cm="1">
        <f t="array" aca="1" ref="BN70" ca="1">_xll.d.TestUtils_IsTrue(_xll.d.Formatting_Equal(L70,AV70))</f>
        <v>OK</v>
      </c>
      <c r="BO70" s="185" t="str" cm="1">
        <f t="array" aca="1" ref="BO70" ca="1">_xll.d.TestUtils_IsTrue(_xll.d.Formatting_Equal(M70,AW70))</f>
        <v>OK</v>
      </c>
      <c r="BP70" s="185" t="str" cm="1">
        <f t="array" aca="1" ref="BP70" ca="1">_xll.d.TestUtils_IsTrue(_xll.d.Formatting_Equal(N70,AX70))</f>
        <v>OK</v>
      </c>
      <c r="BQ70" s="185" t="str" cm="1">
        <f t="array" aca="1" ref="BQ70" ca="1">_xll.d.TestUtils_IsTrue(_xll.d.Formatting_Equal(O70,AY70))</f>
        <v>OK</v>
      </c>
      <c r="BR70" s="185" t="str" cm="1">
        <f t="array" aca="1" ref="BR70" ca="1">_xll.d.TestUtils_IsTrue(_xll.d.Formatting_Equal(P70,AZ70))</f>
        <v>OK</v>
      </c>
      <c r="BS70" s="185" t="str" cm="1">
        <f t="array" aca="1" ref="BS70" ca="1">_xll.d.TestUtils_IsTrue(_xll.d.Formatting_Equal(Q70,BA70))</f>
        <v>OK</v>
      </c>
      <c r="BT70" s="185" t="str" cm="1">
        <f t="array" aca="1" ref="BT70" ca="1">_xll.d.TestUtils_IsTrue(_xll.d.Formatting_Equal(R70,BB70))</f>
        <v>OK</v>
      </c>
    </row>
    <row r="71" spans="2:72" x14ac:dyDescent="0.25">
      <c r="B71" s="91">
        <v>44562</v>
      </c>
      <c r="C71" s="91">
        <v>44562</v>
      </c>
      <c r="D71" s="91">
        <v>1000</v>
      </c>
      <c r="E71" s="91">
        <v>1000</v>
      </c>
      <c r="F71" s="91">
        <v>1000</v>
      </c>
      <c r="G71" s="91">
        <v>1000</v>
      </c>
      <c r="H71" s="91">
        <v>0.3</v>
      </c>
      <c r="I71" s="91">
        <v>0.3</v>
      </c>
      <c r="J71" s="91">
        <v>0.3</v>
      </c>
      <c r="K71" s="91">
        <v>0.3</v>
      </c>
      <c r="L71" s="91">
        <v>0.3</v>
      </c>
      <c r="M71" s="91">
        <v>0.3</v>
      </c>
      <c r="N71" s="91">
        <v>0.3</v>
      </c>
      <c r="O71" s="91">
        <v>0.3</v>
      </c>
      <c r="P71" s="91">
        <v>0.3</v>
      </c>
      <c r="Q71" s="91">
        <v>0.3</v>
      </c>
      <c r="R71" s="91">
        <v>0.3</v>
      </c>
      <c r="T71" s="128">
        <v>44562</v>
      </c>
      <c r="U71" s="131">
        <v>44562</v>
      </c>
      <c r="V71" s="110">
        <v>1000</v>
      </c>
      <c r="W71" s="113">
        <v>1000</v>
      </c>
      <c r="X71" s="116">
        <v>1000</v>
      </c>
      <c r="Y71" s="119">
        <v>1000</v>
      </c>
      <c r="Z71" s="122">
        <v>0.3</v>
      </c>
      <c r="AA71" s="122">
        <v>0.3</v>
      </c>
      <c r="AB71" s="122">
        <v>0.3</v>
      </c>
      <c r="AC71" s="122">
        <v>0.3</v>
      </c>
      <c r="AD71" s="122">
        <v>0.3</v>
      </c>
      <c r="AE71" s="122">
        <v>0.3</v>
      </c>
      <c r="AF71" s="122">
        <v>0.3</v>
      </c>
      <c r="AG71" s="122">
        <v>0.3</v>
      </c>
      <c r="AH71" s="122">
        <v>0.3</v>
      </c>
      <c r="AI71" s="122">
        <v>0.3</v>
      </c>
      <c r="AJ71" s="125">
        <v>0.3</v>
      </c>
      <c r="AL71" s="155">
        <v>44562</v>
      </c>
      <c r="AM71" s="155">
        <v>44562</v>
      </c>
      <c r="AN71" s="156">
        <v>1000</v>
      </c>
      <c r="AO71" s="156">
        <v>1000</v>
      </c>
      <c r="AP71" s="156">
        <v>1000</v>
      </c>
      <c r="AQ71" s="156">
        <v>1000</v>
      </c>
      <c r="AR71" s="155">
        <v>0.3</v>
      </c>
      <c r="AS71" s="155">
        <v>0.3</v>
      </c>
      <c r="AT71" s="155">
        <v>0.3</v>
      </c>
      <c r="AU71" s="155">
        <v>0.3</v>
      </c>
      <c r="AV71" s="155">
        <v>0.3</v>
      </c>
      <c r="AW71" s="155">
        <v>0.3</v>
      </c>
      <c r="AX71" s="155">
        <v>0.3</v>
      </c>
      <c r="AY71" s="155">
        <v>0.3</v>
      </c>
      <c r="AZ71" s="155">
        <v>0.3</v>
      </c>
      <c r="BA71" s="155">
        <v>0.3</v>
      </c>
      <c r="BB71" s="155">
        <v>0.3</v>
      </c>
      <c r="BD71" s="185" t="str" cm="1">
        <f t="array" aca="1" ref="BD71" ca="1">_xll.d.TestUtils_IsTrue(_xll.d.Formatting_Equal(B71,AL71))</f>
        <v>OK</v>
      </c>
      <c r="BE71" s="185" t="str" cm="1">
        <f t="array" aca="1" ref="BE71" ca="1">_xll.d.TestUtils_IsTrue(_xll.d.Formatting_Equal(C71,AM71))</f>
        <v>OK</v>
      </c>
      <c r="BF71" s="185" t="str" cm="1">
        <f t="array" aca="1" ref="BF71" ca="1">_xll.d.TestUtils_IsTrue(_xll.d.Formatting_Equal(D71,AN71))</f>
        <v>OK</v>
      </c>
      <c r="BG71" s="185" t="str" cm="1">
        <f t="array" aca="1" ref="BG71" ca="1">_xll.d.TestUtils_IsTrue(_xll.d.Formatting_Equal(E71,AO71))</f>
        <v>OK</v>
      </c>
      <c r="BH71" s="185" t="str" cm="1">
        <f t="array" aca="1" ref="BH71" ca="1">_xll.d.TestUtils_IsTrue(_xll.d.Formatting_Equal(F71,AP71))</f>
        <v>OK</v>
      </c>
      <c r="BI71" s="185" t="str" cm="1">
        <f t="array" aca="1" ref="BI71" ca="1">_xll.d.TestUtils_IsTrue(_xll.d.Formatting_Equal(G71,AQ71))</f>
        <v>OK</v>
      </c>
      <c r="BJ71" s="185" t="str" cm="1">
        <f t="array" aca="1" ref="BJ71" ca="1">_xll.d.TestUtils_IsTrue(_xll.d.Formatting_Equal(H71,AR71))</f>
        <v>OK</v>
      </c>
      <c r="BK71" s="185" t="str" cm="1">
        <f t="array" aca="1" ref="BK71" ca="1">_xll.d.TestUtils_IsTrue(_xll.d.Formatting_Equal(I71,AS71))</f>
        <v>OK</v>
      </c>
      <c r="BL71" s="185" t="str" cm="1">
        <f t="array" aca="1" ref="BL71" ca="1">_xll.d.TestUtils_IsTrue(_xll.d.Formatting_Equal(J71,AT71))</f>
        <v>OK</v>
      </c>
      <c r="BM71" s="185" t="str" cm="1">
        <f t="array" aca="1" ref="BM71" ca="1">_xll.d.TestUtils_IsTrue(_xll.d.Formatting_Equal(K71,AU71))</f>
        <v>OK</v>
      </c>
      <c r="BN71" s="185" t="str" cm="1">
        <f t="array" aca="1" ref="BN71" ca="1">_xll.d.TestUtils_IsTrue(_xll.d.Formatting_Equal(L71,AV71))</f>
        <v>OK</v>
      </c>
      <c r="BO71" s="185" t="str" cm="1">
        <f t="array" aca="1" ref="BO71" ca="1">_xll.d.TestUtils_IsTrue(_xll.d.Formatting_Equal(M71,AW71))</f>
        <v>OK</v>
      </c>
      <c r="BP71" s="185" t="str" cm="1">
        <f t="array" aca="1" ref="BP71" ca="1">_xll.d.TestUtils_IsTrue(_xll.d.Formatting_Equal(N71,AX71))</f>
        <v>OK</v>
      </c>
      <c r="BQ71" s="185" t="str" cm="1">
        <f t="array" aca="1" ref="BQ71" ca="1">_xll.d.TestUtils_IsTrue(_xll.d.Formatting_Equal(O71,AY71))</f>
        <v>OK</v>
      </c>
      <c r="BR71" s="185" t="str" cm="1">
        <f t="array" aca="1" ref="BR71" ca="1">_xll.d.TestUtils_IsTrue(_xll.d.Formatting_Equal(P71,AZ71))</f>
        <v>OK</v>
      </c>
      <c r="BS71" s="185" t="str" cm="1">
        <f t="array" aca="1" ref="BS71" ca="1">_xll.d.TestUtils_IsTrue(_xll.d.Formatting_Equal(Q71,BA71))</f>
        <v>OK</v>
      </c>
      <c r="BT71" s="185" t="str" cm="1">
        <f t="array" aca="1" ref="BT71" ca="1">_xll.d.TestUtils_IsTrue(_xll.d.Formatting_Equal(R71,BB71))</f>
        <v>OK</v>
      </c>
    </row>
    <row r="72" spans="2:72" x14ac:dyDescent="0.25">
      <c r="B72" s="91">
        <v>44593</v>
      </c>
      <c r="C72" s="91">
        <v>44593</v>
      </c>
      <c r="D72" s="91">
        <v>2000</v>
      </c>
      <c r="E72" s="91">
        <v>2000</v>
      </c>
      <c r="F72" s="91">
        <v>2000</v>
      </c>
      <c r="G72" s="91">
        <v>2000</v>
      </c>
      <c r="H72" s="91">
        <v>0.4</v>
      </c>
      <c r="I72" s="91">
        <v>0.4</v>
      </c>
      <c r="J72" s="91">
        <v>0.4</v>
      </c>
      <c r="K72" s="91">
        <v>0.4</v>
      </c>
      <c r="L72" s="91">
        <v>0.4</v>
      </c>
      <c r="M72" s="91">
        <v>0.4</v>
      </c>
      <c r="N72" s="91">
        <v>0.4</v>
      </c>
      <c r="O72" s="91">
        <v>0.4</v>
      </c>
      <c r="P72" s="91">
        <v>0.4</v>
      </c>
      <c r="Q72" s="91">
        <v>0.4</v>
      </c>
      <c r="R72" s="91">
        <v>0.4</v>
      </c>
      <c r="T72" s="129">
        <v>44593</v>
      </c>
      <c r="U72" s="132">
        <v>44593</v>
      </c>
      <c r="V72" s="111">
        <v>2000</v>
      </c>
      <c r="W72" s="114">
        <v>2000</v>
      </c>
      <c r="X72" s="117">
        <v>2000</v>
      </c>
      <c r="Y72" s="120">
        <v>2000</v>
      </c>
      <c r="Z72" s="123">
        <v>0.4</v>
      </c>
      <c r="AA72" s="123">
        <v>0.4</v>
      </c>
      <c r="AB72" s="123">
        <v>0.4</v>
      </c>
      <c r="AC72" s="123">
        <v>0.4</v>
      </c>
      <c r="AD72" s="123">
        <v>0.4</v>
      </c>
      <c r="AE72" s="123">
        <v>0.4</v>
      </c>
      <c r="AF72" s="123">
        <v>0.4</v>
      </c>
      <c r="AG72" s="123">
        <v>0.4</v>
      </c>
      <c r="AH72" s="123">
        <v>0.4</v>
      </c>
      <c r="AI72" s="123">
        <v>0.4</v>
      </c>
      <c r="AJ72" s="126">
        <v>0.4</v>
      </c>
      <c r="AL72" s="155">
        <v>44593</v>
      </c>
      <c r="AM72" s="155">
        <v>44593</v>
      </c>
      <c r="AN72" s="156">
        <v>2000</v>
      </c>
      <c r="AO72" s="156">
        <v>2000</v>
      </c>
      <c r="AP72" s="156">
        <v>2000</v>
      </c>
      <c r="AQ72" s="156">
        <v>2000</v>
      </c>
      <c r="AR72" s="155">
        <v>0.4</v>
      </c>
      <c r="AS72" s="155">
        <v>0.4</v>
      </c>
      <c r="AT72" s="155">
        <v>0.4</v>
      </c>
      <c r="AU72" s="155">
        <v>0.4</v>
      </c>
      <c r="AV72" s="155">
        <v>0.4</v>
      </c>
      <c r="AW72" s="155">
        <v>0.4</v>
      </c>
      <c r="AX72" s="155">
        <v>0.4</v>
      </c>
      <c r="AY72" s="155">
        <v>0.4</v>
      </c>
      <c r="AZ72" s="155">
        <v>0.4</v>
      </c>
      <c r="BA72" s="155">
        <v>0.4</v>
      </c>
      <c r="BB72" s="155">
        <v>0.4</v>
      </c>
      <c r="BD72" s="185" t="str" cm="1">
        <f t="array" aca="1" ref="BD72" ca="1">_xll.d.TestUtils_IsTrue(_xll.d.Formatting_Equal(B72,AL72))</f>
        <v>OK</v>
      </c>
      <c r="BE72" s="185" t="str" cm="1">
        <f t="array" aca="1" ref="BE72" ca="1">_xll.d.TestUtils_IsTrue(_xll.d.Formatting_Equal(C72,AM72))</f>
        <v>OK</v>
      </c>
      <c r="BF72" s="185" t="str" cm="1">
        <f t="array" aca="1" ref="BF72" ca="1">_xll.d.TestUtils_IsTrue(_xll.d.Formatting_Equal(D72,AN72))</f>
        <v>OK</v>
      </c>
      <c r="BG72" s="185" t="str" cm="1">
        <f t="array" aca="1" ref="BG72" ca="1">_xll.d.TestUtils_IsTrue(_xll.d.Formatting_Equal(E72,AO72))</f>
        <v>OK</v>
      </c>
      <c r="BH72" s="185" t="str" cm="1">
        <f t="array" aca="1" ref="BH72" ca="1">_xll.d.TestUtils_IsTrue(_xll.d.Formatting_Equal(F72,AP72))</f>
        <v>OK</v>
      </c>
      <c r="BI72" s="185" t="str" cm="1">
        <f t="array" aca="1" ref="BI72" ca="1">_xll.d.TestUtils_IsTrue(_xll.d.Formatting_Equal(G72,AQ72))</f>
        <v>OK</v>
      </c>
      <c r="BJ72" s="185" t="str" cm="1">
        <f t="array" aca="1" ref="BJ72" ca="1">_xll.d.TestUtils_IsTrue(_xll.d.Formatting_Equal(H72,AR72))</f>
        <v>OK</v>
      </c>
      <c r="BK72" s="185" t="str" cm="1">
        <f t="array" aca="1" ref="BK72" ca="1">_xll.d.TestUtils_IsTrue(_xll.d.Formatting_Equal(I72,AS72))</f>
        <v>OK</v>
      </c>
      <c r="BL72" s="185" t="str" cm="1">
        <f t="array" aca="1" ref="BL72" ca="1">_xll.d.TestUtils_IsTrue(_xll.d.Formatting_Equal(J72,AT72))</f>
        <v>OK</v>
      </c>
      <c r="BM72" s="185" t="str" cm="1">
        <f t="array" aca="1" ref="BM72" ca="1">_xll.d.TestUtils_IsTrue(_xll.d.Formatting_Equal(K72,AU72))</f>
        <v>OK</v>
      </c>
      <c r="BN72" s="185" t="str" cm="1">
        <f t="array" aca="1" ref="BN72" ca="1">_xll.d.TestUtils_IsTrue(_xll.d.Formatting_Equal(L72,AV72))</f>
        <v>OK</v>
      </c>
      <c r="BO72" s="185" t="str" cm="1">
        <f t="array" aca="1" ref="BO72" ca="1">_xll.d.TestUtils_IsTrue(_xll.d.Formatting_Equal(M72,AW72))</f>
        <v>OK</v>
      </c>
      <c r="BP72" s="185" t="str" cm="1">
        <f t="array" aca="1" ref="BP72" ca="1">_xll.d.TestUtils_IsTrue(_xll.d.Formatting_Equal(N72,AX72))</f>
        <v>OK</v>
      </c>
      <c r="BQ72" s="185" t="str" cm="1">
        <f t="array" aca="1" ref="BQ72" ca="1">_xll.d.TestUtils_IsTrue(_xll.d.Formatting_Equal(O72,AY72))</f>
        <v>OK</v>
      </c>
      <c r="BR72" s="185" t="str" cm="1">
        <f t="array" aca="1" ref="BR72" ca="1">_xll.d.TestUtils_IsTrue(_xll.d.Formatting_Equal(P72,AZ72))</f>
        <v>OK</v>
      </c>
      <c r="BS72" s="185" t="str" cm="1">
        <f t="array" aca="1" ref="BS72" ca="1">_xll.d.TestUtils_IsTrue(_xll.d.Formatting_Equal(Q72,BA72))</f>
        <v>OK</v>
      </c>
      <c r="BT72" s="185" t="str" cm="1">
        <f t="array" aca="1" ref="BT72" ca="1">_xll.d.TestUtils_IsTrue(_xll.d.Formatting_Equal(R72,BB72))</f>
        <v>OK</v>
      </c>
    </row>
    <row r="73" spans="2:72" x14ac:dyDescent="0.25">
      <c r="B73" s="91">
        <v>44621</v>
      </c>
      <c r="C73" s="91">
        <v>44621</v>
      </c>
      <c r="D73" s="91">
        <v>3000</v>
      </c>
      <c r="E73" s="91">
        <v>3000</v>
      </c>
      <c r="F73" s="91">
        <v>3000</v>
      </c>
      <c r="G73" s="91">
        <v>3000</v>
      </c>
      <c r="H73" s="91">
        <v>0.5</v>
      </c>
      <c r="I73" s="91">
        <v>0.5</v>
      </c>
      <c r="J73" s="91">
        <v>0.5</v>
      </c>
      <c r="K73" s="91">
        <v>0.5</v>
      </c>
      <c r="L73" s="91">
        <v>0.5</v>
      </c>
      <c r="M73" s="91">
        <v>0.5</v>
      </c>
      <c r="N73" s="91">
        <v>0.5</v>
      </c>
      <c r="O73" s="91">
        <v>0.5</v>
      </c>
      <c r="P73" s="91">
        <v>0.5</v>
      </c>
      <c r="Q73" s="91">
        <v>0.5</v>
      </c>
      <c r="R73" s="91">
        <v>0.5</v>
      </c>
      <c r="T73" s="130">
        <v>44621</v>
      </c>
      <c r="U73" s="133">
        <v>44621</v>
      </c>
      <c r="V73" s="112">
        <v>3000</v>
      </c>
      <c r="W73" s="115">
        <v>3000</v>
      </c>
      <c r="X73" s="118">
        <v>3000</v>
      </c>
      <c r="Y73" s="121">
        <v>3000</v>
      </c>
      <c r="Z73" s="124">
        <v>0.5</v>
      </c>
      <c r="AA73" s="124">
        <v>0.5</v>
      </c>
      <c r="AB73" s="124">
        <v>0.5</v>
      </c>
      <c r="AC73" s="124">
        <v>0.5</v>
      </c>
      <c r="AD73" s="124">
        <v>0.5</v>
      </c>
      <c r="AE73" s="124">
        <v>0.5</v>
      </c>
      <c r="AF73" s="124">
        <v>0.5</v>
      </c>
      <c r="AG73" s="124">
        <v>0.5</v>
      </c>
      <c r="AH73" s="124">
        <v>0.5</v>
      </c>
      <c r="AI73" s="124">
        <v>0.5</v>
      </c>
      <c r="AJ73" s="127">
        <v>0.5</v>
      </c>
      <c r="AL73" s="155">
        <v>44621</v>
      </c>
      <c r="AM73" s="155">
        <v>44621</v>
      </c>
      <c r="AN73" s="156">
        <v>3000</v>
      </c>
      <c r="AO73" s="156">
        <v>3000</v>
      </c>
      <c r="AP73" s="156">
        <v>3000</v>
      </c>
      <c r="AQ73" s="156">
        <v>3000</v>
      </c>
      <c r="AR73" s="155">
        <v>0.5</v>
      </c>
      <c r="AS73" s="155">
        <v>0.5</v>
      </c>
      <c r="AT73" s="155">
        <v>0.5</v>
      </c>
      <c r="AU73" s="155">
        <v>0.5</v>
      </c>
      <c r="AV73" s="155">
        <v>0.5</v>
      </c>
      <c r="AW73" s="155">
        <v>0.5</v>
      </c>
      <c r="AX73" s="155">
        <v>0.5</v>
      </c>
      <c r="AY73" s="155">
        <v>0.5</v>
      </c>
      <c r="AZ73" s="155">
        <v>0.5</v>
      </c>
      <c r="BA73" s="155">
        <v>0.5</v>
      </c>
      <c r="BB73" s="155">
        <v>0.5</v>
      </c>
      <c r="BD73" s="185" t="str" cm="1">
        <f t="array" aca="1" ref="BD73" ca="1">_xll.d.TestUtils_IsTrue(_xll.d.Formatting_Equal(B73,AL73))</f>
        <v>OK</v>
      </c>
      <c r="BE73" s="185" t="str" cm="1">
        <f t="array" aca="1" ref="BE73" ca="1">_xll.d.TestUtils_IsTrue(_xll.d.Formatting_Equal(C73,AM73))</f>
        <v>OK</v>
      </c>
      <c r="BF73" s="185" t="str" cm="1">
        <f t="array" aca="1" ref="BF73" ca="1">_xll.d.TestUtils_IsTrue(_xll.d.Formatting_Equal(D73,AN73))</f>
        <v>OK</v>
      </c>
      <c r="BG73" s="185" t="str" cm="1">
        <f t="array" aca="1" ref="BG73" ca="1">_xll.d.TestUtils_IsTrue(_xll.d.Formatting_Equal(E73,AO73))</f>
        <v>OK</v>
      </c>
      <c r="BH73" s="185" t="str" cm="1">
        <f t="array" aca="1" ref="BH73" ca="1">_xll.d.TestUtils_IsTrue(_xll.d.Formatting_Equal(F73,AP73))</f>
        <v>OK</v>
      </c>
      <c r="BI73" s="185" t="str" cm="1">
        <f t="array" aca="1" ref="BI73" ca="1">_xll.d.TestUtils_IsTrue(_xll.d.Formatting_Equal(G73,AQ73))</f>
        <v>OK</v>
      </c>
      <c r="BJ73" s="185" t="str" cm="1">
        <f t="array" aca="1" ref="BJ73" ca="1">_xll.d.TestUtils_IsTrue(_xll.d.Formatting_Equal(H73,AR73))</f>
        <v>OK</v>
      </c>
      <c r="BK73" s="185" t="str" cm="1">
        <f t="array" aca="1" ref="BK73" ca="1">_xll.d.TestUtils_IsTrue(_xll.d.Formatting_Equal(I73,AS73))</f>
        <v>OK</v>
      </c>
      <c r="BL73" s="185" t="str" cm="1">
        <f t="array" aca="1" ref="BL73" ca="1">_xll.d.TestUtils_IsTrue(_xll.d.Formatting_Equal(J73,AT73))</f>
        <v>OK</v>
      </c>
      <c r="BM73" s="185" t="str" cm="1">
        <f t="array" aca="1" ref="BM73" ca="1">_xll.d.TestUtils_IsTrue(_xll.d.Formatting_Equal(K73,AU73))</f>
        <v>OK</v>
      </c>
      <c r="BN73" s="185" t="str" cm="1">
        <f t="array" aca="1" ref="BN73" ca="1">_xll.d.TestUtils_IsTrue(_xll.d.Formatting_Equal(L73,AV73))</f>
        <v>OK</v>
      </c>
      <c r="BO73" s="185" t="str" cm="1">
        <f t="array" aca="1" ref="BO73" ca="1">_xll.d.TestUtils_IsTrue(_xll.d.Formatting_Equal(M73,AW73))</f>
        <v>OK</v>
      </c>
      <c r="BP73" s="185" t="str" cm="1">
        <f t="array" aca="1" ref="BP73" ca="1">_xll.d.TestUtils_IsTrue(_xll.d.Formatting_Equal(N73,AX73))</f>
        <v>OK</v>
      </c>
      <c r="BQ73" s="185" t="str" cm="1">
        <f t="array" aca="1" ref="BQ73" ca="1">_xll.d.TestUtils_IsTrue(_xll.d.Formatting_Equal(O73,AY73))</f>
        <v>OK</v>
      </c>
      <c r="BR73" s="185" t="str" cm="1">
        <f t="array" aca="1" ref="BR73" ca="1">_xll.d.TestUtils_IsTrue(_xll.d.Formatting_Equal(P73,AZ73))</f>
        <v>OK</v>
      </c>
      <c r="BS73" s="185" t="str" cm="1">
        <f t="array" aca="1" ref="BS73" ca="1">_xll.d.TestUtils_IsTrue(_xll.d.Formatting_Equal(Q73,BA73))</f>
        <v>OK</v>
      </c>
      <c r="BT73" s="185" t="str" cm="1">
        <f t="array" aca="1" ref="BT73" ca="1">_xll.d.TestUtils_IsTrue(_xll.d.Formatting_Equal(R73,BB73))</f>
        <v>OK</v>
      </c>
    </row>
    <row r="74" spans="2:72" x14ac:dyDescent="0.25">
      <c r="B74" s="64"/>
      <c r="C74" s="64"/>
    </row>
    <row r="75" spans="2:72" x14ac:dyDescent="0.25">
      <c r="B75" s="64"/>
      <c r="C75" s="64"/>
    </row>
    <row r="76" spans="2:72" ht="18.75" x14ac:dyDescent="0.3">
      <c r="B76" s="3" t="s">
        <v>118</v>
      </c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</row>
    <row r="78" spans="2:72" x14ac:dyDescent="0.25">
      <c r="B78" s="59" t="s">
        <v>136</v>
      </c>
      <c r="C78" s="185" t="str" cm="1">
        <f t="array" aca="1" ref="C78" ca="1">_xll.d.TestUtils_And(T93:X109)</f>
        <v>OK</v>
      </c>
    </row>
    <row r="80" spans="2:72" x14ac:dyDescent="0.25">
      <c r="B80" s="59" t="s">
        <v>116</v>
      </c>
      <c r="C80" s="59" t="s">
        <v>33</v>
      </c>
    </row>
    <row r="81" spans="2:24" x14ac:dyDescent="0.25">
      <c r="B81" s="98" t="s">
        <v>111</v>
      </c>
      <c r="C81" s="99" t="s">
        <v>131</v>
      </c>
    </row>
    <row r="82" spans="2:24" x14ac:dyDescent="0.25">
      <c r="B82" s="92" t="s">
        <v>112</v>
      </c>
      <c r="C82" s="93" t="s">
        <v>0</v>
      </c>
    </row>
    <row r="83" spans="2:24" x14ac:dyDescent="0.25">
      <c r="B83" s="94"/>
      <c r="C83" s="95" t="s">
        <v>113</v>
      </c>
    </row>
    <row r="84" spans="2:24" x14ac:dyDescent="0.25">
      <c r="B84" s="96"/>
      <c r="C84" s="97" t="s">
        <v>114</v>
      </c>
    </row>
    <row r="85" spans="2:24" x14ac:dyDescent="0.25">
      <c r="B85" s="166" t="s">
        <v>130</v>
      </c>
      <c r="C85" s="172">
        <v>0</v>
      </c>
    </row>
    <row r="86" spans="2:24" x14ac:dyDescent="0.25">
      <c r="B86" s="166" t="s">
        <v>131</v>
      </c>
      <c r="C86" s="172">
        <v>2</v>
      </c>
    </row>
    <row r="87" spans="2:24" x14ac:dyDescent="0.25">
      <c r="B87" s="149" t="s">
        <v>119</v>
      </c>
      <c r="C87" s="148"/>
    </row>
    <row r="89" spans="2:24" x14ac:dyDescent="0.25">
      <c r="B89" t="s">
        <v>95</v>
      </c>
    </row>
    <row r="91" spans="2:24" x14ac:dyDescent="0.25">
      <c r="B91" s="70" t="s">
        <v>92</v>
      </c>
      <c r="H91" s="70" t="s">
        <v>109</v>
      </c>
      <c r="N91" s="70" t="s">
        <v>110</v>
      </c>
      <c r="T91" s="70" t="s">
        <v>137</v>
      </c>
    </row>
    <row r="93" spans="2:24" ht="15" customHeight="1" x14ac:dyDescent="0.25">
      <c r="B93" s="363" t="s">
        <v>97</v>
      </c>
      <c r="C93" s="187" t="s">
        <v>35</v>
      </c>
      <c r="D93" s="181">
        <v>44562</v>
      </c>
      <c r="E93" s="183">
        <v>44593</v>
      </c>
      <c r="F93" s="200">
        <v>44621</v>
      </c>
      <c r="H93" s="100" t="s">
        <v>97</v>
      </c>
      <c r="I93" s="100" t="s">
        <v>35</v>
      </c>
      <c r="J93" s="135">
        <v>44562</v>
      </c>
      <c r="K93" s="135">
        <v>44593</v>
      </c>
      <c r="L93" s="135">
        <v>44621</v>
      </c>
      <c r="N93" s="363" t="s">
        <v>97</v>
      </c>
      <c r="O93" s="187" t="s">
        <v>35</v>
      </c>
      <c r="P93" s="181">
        <v>44562</v>
      </c>
      <c r="Q93" s="183">
        <v>44593</v>
      </c>
      <c r="R93" s="200">
        <v>44621</v>
      </c>
      <c r="T93" s="185" t="str" cm="1">
        <f t="array" aca="1" ref="T93" ca="1">_xll.d.TestUtils_IsTrue(_xll.d.Formatting_Equal(B93,N93))</f>
        <v>OK</v>
      </c>
      <c r="U93" s="185" t="str" cm="1">
        <f t="array" aca="1" ref="U93" ca="1">_xll.d.TestUtils_IsTrue(_xll.d.Formatting_Equal(C93,O93))</f>
        <v>OK</v>
      </c>
      <c r="V93" s="185" t="str" cm="1">
        <f t="array" aca="1" ref="V93" ca="1">_xll.d.TestUtils_IsTrue(_xll.d.Formatting_Equal(D93,P93))</f>
        <v>OK</v>
      </c>
      <c r="W93" s="185" t="str" cm="1">
        <f t="array" aca="1" ref="W93" ca="1">_xll.d.TestUtils_IsTrue(_xll.d.Formatting_Equal(E93,Q93))</f>
        <v>OK</v>
      </c>
      <c r="X93" s="185" t="str" cm="1">
        <f t="array" aca="1" ref="X93" ca="1">_xll.d.TestUtils_IsTrue(_xll.d.Formatting_Equal(F93,R93))</f>
        <v>OK</v>
      </c>
    </row>
    <row r="94" spans="2:24" x14ac:dyDescent="0.25">
      <c r="B94" s="361"/>
      <c r="C94" s="188" t="s">
        <v>0</v>
      </c>
      <c r="D94" s="182">
        <v>44562</v>
      </c>
      <c r="E94" s="184">
        <v>44593</v>
      </c>
      <c r="F94" s="201">
        <v>44621</v>
      </c>
      <c r="H94" s="100"/>
      <c r="I94" s="100" t="s">
        <v>0</v>
      </c>
      <c r="J94" s="135">
        <v>44562</v>
      </c>
      <c r="K94" s="135">
        <v>44593</v>
      </c>
      <c r="L94" s="135">
        <v>44621</v>
      </c>
      <c r="N94" s="361"/>
      <c r="O94" s="188" t="s">
        <v>0</v>
      </c>
      <c r="P94" s="182">
        <v>44562</v>
      </c>
      <c r="Q94" s="184">
        <v>44593</v>
      </c>
      <c r="R94" s="201">
        <v>44621</v>
      </c>
      <c r="T94" s="185" t="str" cm="1">
        <f t="array" aca="1" ref="T94" ca="1">_xll.d.TestUtils_IsTrue(_xll.d.Formatting_Equal(B94,N94))</f>
        <v>OK</v>
      </c>
      <c r="U94" s="185" t="str" cm="1">
        <f t="array" aca="1" ref="U94" ca="1">_xll.d.TestUtils_IsTrue(_xll.d.Formatting_Equal(C94,O94))</f>
        <v>OK</v>
      </c>
      <c r="V94" s="185" t="str" cm="1">
        <f t="array" aca="1" ref="V94" ca="1">_xll.d.TestUtils_IsTrue(_xll.d.Formatting_Equal(D94,P94))</f>
        <v>OK</v>
      </c>
      <c r="W94" s="185" t="str" cm="1">
        <f t="array" aca="1" ref="W94" ca="1">_xll.d.TestUtils_IsTrue(_xll.d.Formatting_Equal(E94,Q94))</f>
        <v>OK</v>
      </c>
      <c r="X94" s="185" t="str" cm="1">
        <f t="array" aca="1" ref="X94" ca="1">_xll.d.TestUtils_IsTrue(_xll.d.Formatting_Equal(F94,R94))</f>
        <v>OK</v>
      </c>
    </row>
    <row r="95" spans="2:24" x14ac:dyDescent="0.25">
      <c r="B95" s="361"/>
      <c r="C95" s="188" t="s">
        <v>98</v>
      </c>
      <c r="D95" s="190">
        <v>1000</v>
      </c>
      <c r="E95" s="173">
        <v>2000</v>
      </c>
      <c r="F95" s="191">
        <v>3000</v>
      </c>
      <c r="H95" s="100"/>
      <c r="I95" s="100" t="s">
        <v>98</v>
      </c>
      <c r="J95" s="135">
        <v>1000</v>
      </c>
      <c r="K95" s="135">
        <v>2000</v>
      </c>
      <c r="L95" s="135">
        <v>3000</v>
      </c>
      <c r="N95" s="361"/>
      <c r="O95" s="188" t="s">
        <v>98</v>
      </c>
      <c r="P95" s="190">
        <v>1000</v>
      </c>
      <c r="Q95" s="173">
        <v>2000</v>
      </c>
      <c r="R95" s="191">
        <v>3000</v>
      </c>
      <c r="T95" s="185" t="str" cm="1">
        <f t="array" aca="1" ref="T95" ca="1">_xll.d.TestUtils_IsTrue(_xll.d.Formatting_Equal(B95,N95))</f>
        <v>OK</v>
      </c>
      <c r="U95" s="185" t="str" cm="1">
        <f t="array" aca="1" ref="U95" ca="1">_xll.d.TestUtils_IsTrue(_xll.d.Formatting_Equal(C95,O95))</f>
        <v>OK</v>
      </c>
      <c r="V95" s="185" t="str" cm="1">
        <f t="array" aca="1" ref="V95" ca="1">_xll.d.TestUtils_IsTrue(_xll.d.Formatting_Equal(D95,P95))</f>
        <v>OK</v>
      </c>
      <c r="W95" s="185" t="str" cm="1">
        <f t="array" aca="1" ref="W95" ca="1">_xll.d.TestUtils_IsTrue(_xll.d.Formatting_Equal(E95,Q95))</f>
        <v>OK</v>
      </c>
      <c r="X95" s="185" t="str" cm="1">
        <f t="array" aca="1" ref="X95" ca="1">_xll.d.TestUtils_IsTrue(_xll.d.Formatting_Equal(F95,R95))</f>
        <v>OK</v>
      </c>
    </row>
    <row r="96" spans="2:24" x14ac:dyDescent="0.25">
      <c r="B96" s="361"/>
      <c r="C96" s="188" t="s">
        <v>99</v>
      </c>
      <c r="D96" s="192">
        <v>1000</v>
      </c>
      <c r="E96" s="174">
        <v>2000</v>
      </c>
      <c r="F96" s="193">
        <v>3000</v>
      </c>
      <c r="H96" s="100"/>
      <c r="I96" s="100" t="s">
        <v>99</v>
      </c>
      <c r="J96" s="135">
        <v>1000</v>
      </c>
      <c r="K96" s="135">
        <v>2000</v>
      </c>
      <c r="L96" s="135">
        <v>3000</v>
      </c>
      <c r="N96" s="361"/>
      <c r="O96" s="188" t="s">
        <v>99</v>
      </c>
      <c r="P96" s="192">
        <v>1000</v>
      </c>
      <c r="Q96" s="174">
        <v>2000</v>
      </c>
      <c r="R96" s="193">
        <v>3000</v>
      </c>
      <c r="T96" s="185" t="str" cm="1">
        <f t="array" aca="1" ref="T96" ca="1">_xll.d.TestUtils_IsTrue(_xll.d.Formatting_Equal(B96,N96))</f>
        <v>OK</v>
      </c>
      <c r="U96" s="185" t="str" cm="1">
        <f t="array" aca="1" ref="U96" ca="1">_xll.d.TestUtils_IsTrue(_xll.d.Formatting_Equal(C96,O96))</f>
        <v>OK</v>
      </c>
      <c r="V96" s="185" t="str" cm="1">
        <f t="array" aca="1" ref="V96" ca="1">_xll.d.TestUtils_IsTrue(_xll.d.Formatting_Equal(D96,P96))</f>
        <v>OK</v>
      </c>
      <c r="W96" s="185" t="str" cm="1">
        <f t="array" aca="1" ref="W96" ca="1">_xll.d.TestUtils_IsTrue(_xll.d.Formatting_Equal(E96,Q96))</f>
        <v>OK</v>
      </c>
      <c r="X96" s="185" t="str" cm="1">
        <f t="array" aca="1" ref="X96" ca="1">_xll.d.TestUtils_IsTrue(_xll.d.Formatting_Equal(F96,R96))</f>
        <v>OK</v>
      </c>
    </row>
    <row r="97" spans="2:55" x14ac:dyDescent="0.25">
      <c r="B97" s="361"/>
      <c r="C97" s="188" t="s">
        <v>100</v>
      </c>
      <c r="D97" s="194">
        <v>1000</v>
      </c>
      <c r="E97" s="175">
        <v>2000</v>
      </c>
      <c r="F97" s="195">
        <v>3000</v>
      </c>
      <c r="H97" s="100"/>
      <c r="I97" s="100" t="s">
        <v>100</v>
      </c>
      <c r="J97" s="135">
        <v>1000</v>
      </c>
      <c r="K97" s="135">
        <v>2000</v>
      </c>
      <c r="L97" s="135">
        <v>3000</v>
      </c>
      <c r="N97" s="361"/>
      <c r="O97" s="188" t="s">
        <v>100</v>
      </c>
      <c r="P97" s="194">
        <v>1000</v>
      </c>
      <c r="Q97" s="175">
        <v>2000</v>
      </c>
      <c r="R97" s="195">
        <v>3000</v>
      </c>
      <c r="T97" s="185" t="str" cm="1">
        <f t="array" aca="1" ref="T97" ca="1">_xll.d.TestUtils_IsTrue(_xll.d.Formatting_Equal(B97,N97))</f>
        <v>OK</v>
      </c>
      <c r="U97" s="185" t="str" cm="1">
        <f t="array" aca="1" ref="U97" ca="1">_xll.d.TestUtils_IsTrue(_xll.d.Formatting_Equal(C97,O97))</f>
        <v>OK</v>
      </c>
      <c r="V97" s="185" t="str" cm="1">
        <f t="array" aca="1" ref="V97" ca="1">_xll.d.TestUtils_IsTrue(_xll.d.Formatting_Equal(D97,P97))</f>
        <v>OK</v>
      </c>
      <c r="W97" s="185" t="str" cm="1">
        <f t="array" aca="1" ref="W97" ca="1">_xll.d.TestUtils_IsTrue(_xll.d.Formatting_Equal(E97,Q97))</f>
        <v>OK</v>
      </c>
      <c r="X97" s="185" t="str" cm="1">
        <f t="array" aca="1" ref="X97" ca="1">_xll.d.TestUtils_IsTrue(_xll.d.Formatting_Equal(F97,R97))</f>
        <v>OK</v>
      </c>
    </row>
    <row r="98" spans="2:55" x14ac:dyDescent="0.25">
      <c r="B98" s="361"/>
      <c r="C98" s="188" t="s">
        <v>101</v>
      </c>
      <c r="D98" s="196">
        <v>1000</v>
      </c>
      <c r="E98" s="176">
        <v>2000</v>
      </c>
      <c r="F98" s="197">
        <v>3000</v>
      </c>
      <c r="H98" s="100"/>
      <c r="I98" s="100" t="s">
        <v>101</v>
      </c>
      <c r="J98" s="135">
        <v>1000</v>
      </c>
      <c r="K98" s="135">
        <v>2000</v>
      </c>
      <c r="L98" s="135">
        <v>3000</v>
      </c>
      <c r="N98" s="361"/>
      <c r="O98" s="188" t="s">
        <v>101</v>
      </c>
      <c r="P98" s="196">
        <v>1000</v>
      </c>
      <c r="Q98" s="176">
        <v>2000</v>
      </c>
      <c r="R98" s="197">
        <v>3000</v>
      </c>
      <c r="T98" s="185" t="str" cm="1">
        <f t="array" aca="1" ref="T98" ca="1">_xll.d.TestUtils_IsTrue(_xll.d.Formatting_Equal(B98,N98))</f>
        <v>OK</v>
      </c>
      <c r="U98" s="185" t="str" cm="1">
        <f t="array" aca="1" ref="U98" ca="1">_xll.d.TestUtils_IsTrue(_xll.d.Formatting_Equal(C98,O98))</f>
        <v>OK</v>
      </c>
      <c r="V98" s="185" t="str" cm="1">
        <f t="array" aca="1" ref="V98" ca="1">_xll.d.TestUtils_IsTrue(_xll.d.Formatting_Equal(D98,P98))</f>
        <v>OK</v>
      </c>
      <c r="W98" s="185" t="str" cm="1">
        <f t="array" aca="1" ref="W98" ca="1">_xll.d.TestUtils_IsTrue(_xll.d.Formatting_Equal(E98,Q98))</f>
        <v>OK</v>
      </c>
      <c r="X98" s="185" t="str" cm="1">
        <f t="array" aca="1" ref="X98" ca="1">_xll.d.TestUtils_IsTrue(_xll.d.Formatting_Equal(F98,R98))</f>
        <v>OK</v>
      </c>
    </row>
    <row r="99" spans="2:55" x14ac:dyDescent="0.25">
      <c r="B99" s="361"/>
      <c r="C99" s="188" t="s">
        <v>102</v>
      </c>
      <c r="D99" s="198">
        <v>0.3</v>
      </c>
      <c r="E99" s="177">
        <v>0.4</v>
      </c>
      <c r="F99" s="179">
        <v>0.5</v>
      </c>
      <c r="H99" s="100"/>
      <c r="I99" s="100" t="s">
        <v>102</v>
      </c>
      <c r="J99" s="134">
        <v>0.3</v>
      </c>
      <c r="K99" s="134">
        <v>0.4</v>
      </c>
      <c r="L99" s="134">
        <v>0.5</v>
      </c>
      <c r="N99" s="361"/>
      <c r="O99" s="188" t="s">
        <v>102</v>
      </c>
      <c r="P99" s="198">
        <v>0.3</v>
      </c>
      <c r="Q99" s="177">
        <v>0.4</v>
      </c>
      <c r="R99" s="179">
        <v>0.5</v>
      </c>
      <c r="T99" s="185" t="str" cm="1">
        <f t="array" aca="1" ref="T99" ca="1">_xll.d.TestUtils_IsTrue(_xll.d.Formatting_Equal(B99,N99))</f>
        <v>OK</v>
      </c>
      <c r="U99" s="185" t="str" cm="1">
        <f t="array" aca="1" ref="U99" ca="1">_xll.d.TestUtils_IsTrue(_xll.d.Formatting_Equal(C99,O99))</f>
        <v>OK</v>
      </c>
      <c r="V99" s="185" t="str" cm="1">
        <f t="array" aca="1" ref="V99" ca="1">_xll.d.TestUtils_IsTrue(_xll.d.Formatting_Equal(D99,P99))</f>
        <v>OK</v>
      </c>
      <c r="W99" s="185" t="str" cm="1">
        <f t="array" aca="1" ref="W99" ca="1">_xll.d.TestUtils_IsTrue(_xll.d.Formatting_Equal(E99,Q99))</f>
        <v>OK</v>
      </c>
      <c r="X99" s="185" t="str" cm="1">
        <f t="array" aca="1" ref="X99" ca="1">_xll.d.TestUtils_IsTrue(_xll.d.Formatting_Equal(F99,R99))</f>
        <v>OK</v>
      </c>
    </row>
    <row r="100" spans="2:55" x14ac:dyDescent="0.25">
      <c r="B100" s="361"/>
      <c r="C100" s="188" t="s">
        <v>81</v>
      </c>
      <c r="D100" s="198">
        <v>0.3</v>
      </c>
      <c r="E100" s="177">
        <v>0.4</v>
      </c>
      <c r="F100" s="179">
        <v>0.5</v>
      </c>
      <c r="H100" s="100"/>
      <c r="I100" s="100" t="s">
        <v>81</v>
      </c>
      <c r="J100" s="134">
        <v>0.3</v>
      </c>
      <c r="K100" s="134">
        <v>0.4</v>
      </c>
      <c r="L100" s="134">
        <v>0.5</v>
      </c>
      <c r="N100" s="361"/>
      <c r="O100" s="188" t="s">
        <v>81</v>
      </c>
      <c r="P100" s="198">
        <v>0.3</v>
      </c>
      <c r="Q100" s="177">
        <v>0.4</v>
      </c>
      <c r="R100" s="179">
        <v>0.5</v>
      </c>
      <c r="T100" s="185" t="str" cm="1">
        <f t="array" aca="1" ref="T100" ca="1">_xll.d.TestUtils_IsTrue(_xll.d.Formatting_Equal(B100,N100))</f>
        <v>OK</v>
      </c>
      <c r="U100" s="185" t="str" cm="1">
        <f t="array" aca="1" ref="U100" ca="1">_xll.d.TestUtils_IsTrue(_xll.d.Formatting_Equal(C100,O100))</f>
        <v>OK</v>
      </c>
      <c r="V100" s="185" t="str" cm="1">
        <f t="array" aca="1" ref="V100" ca="1">_xll.d.TestUtils_IsTrue(_xll.d.Formatting_Equal(D100,P100))</f>
        <v>OK</v>
      </c>
      <c r="W100" s="185" t="str" cm="1">
        <f t="array" aca="1" ref="W100" ca="1">_xll.d.TestUtils_IsTrue(_xll.d.Formatting_Equal(E100,Q100))</f>
        <v>OK</v>
      </c>
      <c r="X100" s="185" t="str" cm="1">
        <f t="array" aca="1" ref="X100" ca="1">_xll.d.TestUtils_IsTrue(_xll.d.Formatting_Equal(F100,R100))</f>
        <v>OK</v>
      </c>
    </row>
    <row r="101" spans="2:55" x14ac:dyDescent="0.25">
      <c r="B101" s="361"/>
      <c r="C101" s="188" t="s">
        <v>82</v>
      </c>
      <c r="D101" s="198">
        <v>0.3</v>
      </c>
      <c r="E101" s="177">
        <v>0.4</v>
      </c>
      <c r="F101" s="179">
        <v>0.5</v>
      </c>
      <c r="H101" s="100"/>
      <c r="I101" s="100" t="s">
        <v>82</v>
      </c>
      <c r="J101" s="134">
        <v>0.3</v>
      </c>
      <c r="K101" s="134">
        <v>0.4</v>
      </c>
      <c r="L101" s="134">
        <v>0.5</v>
      </c>
      <c r="N101" s="361"/>
      <c r="O101" s="188" t="s">
        <v>82</v>
      </c>
      <c r="P101" s="198">
        <v>0.3</v>
      </c>
      <c r="Q101" s="177">
        <v>0.4</v>
      </c>
      <c r="R101" s="179">
        <v>0.5</v>
      </c>
      <c r="T101" s="185" t="str" cm="1">
        <f t="array" aca="1" ref="T101" ca="1">_xll.d.TestUtils_IsTrue(_xll.d.Formatting_Equal(B101,N101))</f>
        <v>OK</v>
      </c>
      <c r="U101" s="185" t="str" cm="1">
        <f t="array" aca="1" ref="U101" ca="1">_xll.d.TestUtils_IsTrue(_xll.d.Formatting_Equal(C101,O101))</f>
        <v>OK</v>
      </c>
      <c r="V101" s="185" t="str" cm="1">
        <f t="array" aca="1" ref="V101" ca="1">_xll.d.TestUtils_IsTrue(_xll.d.Formatting_Equal(D101,P101))</f>
        <v>OK</v>
      </c>
      <c r="W101" s="185" t="str" cm="1">
        <f t="array" aca="1" ref="W101" ca="1">_xll.d.TestUtils_IsTrue(_xll.d.Formatting_Equal(E101,Q101))</f>
        <v>OK</v>
      </c>
      <c r="X101" s="185" t="str" cm="1">
        <f t="array" aca="1" ref="X101" ca="1">_xll.d.TestUtils_IsTrue(_xll.d.Formatting_Equal(F101,R101))</f>
        <v>OK</v>
      </c>
    </row>
    <row r="102" spans="2:55" x14ac:dyDescent="0.25">
      <c r="B102" s="361"/>
      <c r="C102" s="188" t="s">
        <v>83</v>
      </c>
      <c r="D102" s="198">
        <v>0.3</v>
      </c>
      <c r="E102" s="177">
        <v>0.4</v>
      </c>
      <c r="F102" s="179">
        <v>0.5</v>
      </c>
      <c r="H102" s="100"/>
      <c r="I102" s="100" t="s">
        <v>83</v>
      </c>
      <c r="J102" s="134">
        <v>0.3</v>
      </c>
      <c r="K102" s="134">
        <v>0.4</v>
      </c>
      <c r="L102" s="134">
        <v>0.5</v>
      </c>
      <c r="N102" s="361"/>
      <c r="O102" s="188" t="s">
        <v>83</v>
      </c>
      <c r="P102" s="198">
        <v>0.3</v>
      </c>
      <c r="Q102" s="177">
        <v>0.4</v>
      </c>
      <c r="R102" s="179">
        <v>0.5</v>
      </c>
      <c r="T102" s="185" t="str" cm="1">
        <f t="array" aca="1" ref="T102" ca="1">_xll.d.TestUtils_IsTrue(_xll.d.Formatting_Equal(B102,N102))</f>
        <v>OK</v>
      </c>
      <c r="U102" s="185" t="str" cm="1">
        <f t="array" aca="1" ref="U102" ca="1">_xll.d.TestUtils_IsTrue(_xll.d.Formatting_Equal(C102,O102))</f>
        <v>OK</v>
      </c>
      <c r="V102" s="185" t="str" cm="1">
        <f t="array" aca="1" ref="V102" ca="1">_xll.d.TestUtils_IsTrue(_xll.d.Formatting_Equal(D102,P102))</f>
        <v>OK</v>
      </c>
      <c r="W102" s="185" t="str" cm="1">
        <f t="array" aca="1" ref="W102" ca="1">_xll.d.TestUtils_IsTrue(_xll.d.Formatting_Equal(E102,Q102))</f>
        <v>OK</v>
      </c>
      <c r="X102" s="185" t="str" cm="1">
        <f t="array" aca="1" ref="X102" ca="1">_xll.d.TestUtils_IsTrue(_xll.d.Formatting_Equal(F102,R102))</f>
        <v>OK</v>
      </c>
    </row>
    <row r="103" spans="2:55" x14ac:dyDescent="0.25">
      <c r="B103" s="361"/>
      <c r="C103" s="188" t="s">
        <v>103</v>
      </c>
      <c r="D103" s="198">
        <v>0.3</v>
      </c>
      <c r="E103" s="177">
        <v>0.4</v>
      </c>
      <c r="F103" s="179">
        <v>0.5</v>
      </c>
      <c r="H103" s="100"/>
      <c r="I103" s="100" t="s">
        <v>103</v>
      </c>
      <c r="J103" s="134">
        <v>0.3</v>
      </c>
      <c r="K103" s="134">
        <v>0.4</v>
      </c>
      <c r="L103" s="134">
        <v>0.5</v>
      </c>
      <c r="N103" s="361"/>
      <c r="O103" s="188" t="s">
        <v>103</v>
      </c>
      <c r="P103" s="198">
        <v>0.3</v>
      </c>
      <c r="Q103" s="177">
        <v>0.4</v>
      </c>
      <c r="R103" s="179">
        <v>0.5</v>
      </c>
      <c r="T103" s="185" t="str" cm="1">
        <f t="array" aca="1" ref="T103" ca="1">_xll.d.TestUtils_IsTrue(_xll.d.Formatting_Equal(B103,N103))</f>
        <v>OK</v>
      </c>
      <c r="U103" s="185" t="str" cm="1">
        <f t="array" aca="1" ref="U103" ca="1">_xll.d.TestUtils_IsTrue(_xll.d.Formatting_Equal(C103,O103))</f>
        <v>OK</v>
      </c>
      <c r="V103" s="185" t="str" cm="1">
        <f t="array" aca="1" ref="V103" ca="1">_xll.d.TestUtils_IsTrue(_xll.d.Formatting_Equal(D103,P103))</f>
        <v>OK</v>
      </c>
      <c r="W103" s="185" t="str" cm="1">
        <f t="array" aca="1" ref="W103" ca="1">_xll.d.TestUtils_IsTrue(_xll.d.Formatting_Equal(E103,Q103))</f>
        <v>OK</v>
      </c>
      <c r="X103" s="185" t="str" cm="1">
        <f t="array" aca="1" ref="X103" ca="1">_xll.d.TestUtils_IsTrue(_xll.d.Formatting_Equal(F103,R103))</f>
        <v>OK</v>
      </c>
    </row>
    <row r="104" spans="2:55" x14ac:dyDescent="0.25">
      <c r="B104" s="361"/>
      <c r="C104" s="188" t="s">
        <v>25</v>
      </c>
      <c r="D104" s="198">
        <v>0.3</v>
      </c>
      <c r="E104" s="177">
        <v>0.4</v>
      </c>
      <c r="F104" s="179">
        <v>0.5</v>
      </c>
      <c r="H104" s="100"/>
      <c r="I104" s="100" t="s">
        <v>25</v>
      </c>
      <c r="J104" s="134">
        <v>0.3</v>
      </c>
      <c r="K104" s="134">
        <v>0.4</v>
      </c>
      <c r="L104" s="134">
        <v>0.5</v>
      </c>
      <c r="N104" s="361"/>
      <c r="O104" s="188" t="s">
        <v>25</v>
      </c>
      <c r="P104" s="198">
        <v>0.3</v>
      </c>
      <c r="Q104" s="177">
        <v>0.4</v>
      </c>
      <c r="R104" s="179">
        <v>0.5</v>
      </c>
      <c r="T104" s="185" t="str" cm="1">
        <f t="array" aca="1" ref="T104" ca="1">_xll.d.TestUtils_IsTrue(_xll.d.Formatting_Equal(B104,N104))</f>
        <v>OK</v>
      </c>
      <c r="U104" s="185" t="str" cm="1">
        <f t="array" aca="1" ref="U104" ca="1">_xll.d.TestUtils_IsTrue(_xll.d.Formatting_Equal(C104,O104))</f>
        <v>OK</v>
      </c>
      <c r="V104" s="185" t="str" cm="1">
        <f t="array" aca="1" ref="V104" ca="1">_xll.d.TestUtils_IsTrue(_xll.d.Formatting_Equal(D104,P104))</f>
        <v>OK</v>
      </c>
      <c r="W104" s="185" t="str" cm="1">
        <f t="array" aca="1" ref="W104" ca="1">_xll.d.TestUtils_IsTrue(_xll.d.Formatting_Equal(E104,Q104))</f>
        <v>OK</v>
      </c>
      <c r="X104" s="185" t="str" cm="1">
        <f t="array" aca="1" ref="X104" ca="1">_xll.d.TestUtils_IsTrue(_xll.d.Formatting_Equal(F104,R104))</f>
        <v>OK</v>
      </c>
    </row>
    <row r="105" spans="2:55" x14ac:dyDescent="0.25">
      <c r="B105" s="361"/>
      <c r="C105" s="188" t="s">
        <v>40</v>
      </c>
      <c r="D105" s="198">
        <v>0.3</v>
      </c>
      <c r="E105" s="177">
        <v>0.4</v>
      </c>
      <c r="F105" s="179">
        <v>0.5</v>
      </c>
      <c r="H105" s="100"/>
      <c r="I105" s="100" t="s">
        <v>40</v>
      </c>
      <c r="J105" s="134">
        <v>0.3</v>
      </c>
      <c r="K105" s="134">
        <v>0.4</v>
      </c>
      <c r="L105" s="134">
        <v>0.5</v>
      </c>
      <c r="N105" s="361"/>
      <c r="O105" s="188" t="s">
        <v>40</v>
      </c>
      <c r="P105" s="198">
        <v>0.3</v>
      </c>
      <c r="Q105" s="177">
        <v>0.4</v>
      </c>
      <c r="R105" s="179">
        <v>0.5</v>
      </c>
      <c r="T105" s="185" t="str" cm="1">
        <f t="array" aca="1" ref="T105" ca="1">_xll.d.TestUtils_IsTrue(_xll.d.Formatting_Equal(B105,N105))</f>
        <v>OK</v>
      </c>
      <c r="U105" s="185" t="str" cm="1">
        <f t="array" aca="1" ref="U105" ca="1">_xll.d.TestUtils_IsTrue(_xll.d.Formatting_Equal(C105,O105))</f>
        <v>OK</v>
      </c>
      <c r="V105" s="185" t="str" cm="1">
        <f t="array" aca="1" ref="V105" ca="1">_xll.d.TestUtils_IsTrue(_xll.d.Formatting_Equal(D105,P105))</f>
        <v>OK</v>
      </c>
      <c r="W105" s="185" t="str" cm="1">
        <f t="array" aca="1" ref="W105" ca="1">_xll.d.TestUtils_IsTrue(_xll.d.Formatting_Equal(E105,Q105))</f>
        <v>OK</v>
      </c>
      <c r="X105" s="185" t="str" cm="1">
        <f t="array" aca="1" ref="X105" ca="1">_xll.d.TestUtils_IsTrue(_xll.d.Formatting_Equal(F105,R105))</f>
        <v>OK</v>
      </c>
    </row>
    <row r="106" spans="2:55" x14ac:dyDescent="0.25">
      <c r="B106" s="361"/>
      <c r="C106" s="188" t="s">
        <v>104</v>
      </c>
      <c r="D106" s="198">
        <v>0.3</v>
      </c>
      <c r="E106" s="177">
        <v>0.4</v>
      </c>
      <c r="F106" s="179">
        <v>0.5</v>
      </c>
      <c r="H106" s="100"/>
      <c r="I106" s="100" t="s">
        <v>104</v>
      </c>
      <c r="J106" s="134">
        <v>0.3</v>
      </c>
      <c r="K106" s="134">
        <v>0.4</v>
      </c>
      <c r="L106" s="134">
        <v>0.5</v>
      </c>
      <c r="N106" s="361"/>
      <c r="O106" s="188" t="s">
        <v>104</v>
      </c>
      <c r="P106" s="198">
        <v>0.3</v>
      </c>
      <c r="Q106" s="177">
        <v>0.4</v>
      </c>
      <c r="R106" s="179">
        <v>0.5</v>
      </c>
      <c r="T106" s="185" t="str" cm="1">
        <f t="array" aca="1" ref="T106" ca="1">_xll.d.TestUtils_IsTrue(_xll.d.Formatting_Equal(B106,N106))</f>
        <v>OK</v>
      </c>
      <c r="U106" s="185" t="str" cm="1">
        <f t="array" aca="1" ref="U106" ca="1">_xll.d.TestUtils_IsTrue(_xll.d.Formatting_Equal(C106,O106))</f>
        <v>OK</v>
      </c>
      <c r="V106" s="185" t="str" cm="1">
        <f t="array" aca="1" ref="V106" ca="1">_xll.d.TestUtils_IsTrue(_xll.d.Formatting_Equal(D106,P106))</f>
        <v>OK</v>
      </c>
      <c r="W106" s="185" t="str" cm="1">
        <f t="array" aca="1" ref="W106" ca="1">_xll.d.TestUtils_IsTrue(_xll.d.Formatting_Equal(E106,Q106))</f>
        <v>OK</v>
      </c>
      <c r="X106" s="185" t="str" cm="1">
        <f t="array" aca="1" ref="X106" ca="1">_xll.d.TestUtils_IsTrue(_xll.d.Formatting_Equal(F106,R106))</f>
        <v>OK</v>
      </c>
    </row>
    <row r="107" spans="2:55" x14ac:dyDescent="0.25">
      <c r="B107" s="361"/>
      <c r="C107" s="188" t="s">
        <v>96</v>
      </c>
      <c r="D107" s="198">
        <v>0.3</v>
      </c>
      <c r="E107" s="177">
        <v>0.4</v>
      </c>
      <c r="F107" s="179">
        <v>0.5</v>
      </c>
      <c r="H107" s="100"/>
      <c r="I107" s="100" t="s">
        <v>96</v>
      </c>
      <c r="J107" s="134">
        <v>0.3</v>
      </c>
      <c r="K107" s="134">
        <v>0.4</v>
      </c>
      <c r="L107" s="134">
        <v>0.5</v>
      </c>
      <c r="N107" s="361"/>
      <c r="O107" s="188" t="s">
        <v>96</v>
      </c>
      <c r="P107" s="198">
        <v>0.3</v>
      </c>
      <c r="Q107" s="177">
        <v>0.4</v>
      </c>
      <c r="R107" s="179">
        <v>0.5</v>
      </c>
      <c r="T107" s="185" t="str" cm="1">
        <f t="array" aca="1" ref="T107" ca="1">_xll.d.TestUtils_IsTrue(_xll.d.Formatting_Equal(B107,N107))</f>
        <v>OK</v>
      </c>
      <c r="U107" s="185" t="str" cm="1">
        <f t="array" aca="1" ref="U107" ca="1">_xll.d.TestUtils_IsTrue(_xll.d.Formatting_Equal(C107,O107))</f>
        <v>OK</v>
      </c>
      <c r="V107" s="185" t="str" cm="1">
        <f t="array" aca="1" ref="V107" ca="1">_xll.d.TestUtils_IsTrue(_xll.d.Formatting_Equal(D107,P107))</f>
        <v>OK</v>
      </c>
      <c r="W107" s="185" t="str" cm="1">
        <f t="array" aca="1" ref="W107" ca="1">_xll.d.TestUtils_IsTrue(_xll.d.Formatting_Equal(E107,Q107))</f>
        <v>OK</v>
      </c>
      <c r="X107" s="185" t="str" cm="1">
        <f t="array" aca="1" ref="X107" ca="1">_xll.d.TestUtils_IsTrue(_xll.d.Formatting_Equal(F107,R107))</f>
        <v>OK</v>
      </c>
    </row>
    <row r="108" spans="2:55" x14ac:dyDescent="0.25">
      <c r="B108" s="361"/>
      <c r="C108" s="188" t="s">
        <v>106</v>
      </c>
      <c r="D108" s="198">
        <v>0.3</v>
      </c>
      <c r="E108" s="177">
        <v>0.4</v>
      </c>
      <c r="F108" s="179">
        <v>0.5</v>
      </c>
      <c r="H108" s="100"/>
      <c r="I108" s="100" t="s">
        <v>106</v>
      </c>
      <c r="J108" s="134">
        <v>0.3</v>
      </c>
      <c r="K108" s="134">
        <v>0.4</v>
      </c>
      <c r="L108" s="134">
        <v>0.5</v>
      </c>
      <c r="N108" s="361"/>
      <c r="O108" s="188" t="s">
        <v>106</v>
      </c>
      <c r="P108" s="198">
        <v>0.3</v>
      </c>
      <c r="Q108" s="177">
        <v>0.4</v>
      </c>
      <c r="R108" s="179">
        <v>0.5</v>
      </c>
      <c r="T108" s="185" t="str" cm="1">
        <f t="array" aca="1" ref="T108" ca="1">_xll.d.TestUtils_IsTrue(_xll.d.Formatting_Equal(B108,N108))</f>
        <v>OK</v>
      </c>
      <c r="U108" s="185" t="str" cm="1">
        <f t="array" aca="1" ref="U108" ca="1">_xll.d.TestUtils_IsTrue(_xll.d.Formatting_Equal(C108,O108))</f>
        <v>OK</v>
      </c>
      <c r="V108" s="185" t="str" cm="1">
        <f t="array" aca="1" ref="V108" ca="1">_xll.d.TestUtils_IsTrue(_xll.d.Formatting_Equal(D108,P108))</f>
        <v>OK</v>
      </c>
      <c r="W108" s="185" t="str" cm="1">
        <f t="array" aca="1" ref="W108" ca="1">_xll.d.TestUtils_IsTrue(_xll.d.Formatting_Equal(E108,Q108))</f>
        <v>OK</v>
      </c>
      <c r="X108" s="185" t="str" cm="1">
        <f t="array" aca="1" ref="X108" ca="1">_xll.d.TestUtils_IsTrue(_xll.d.Formatting_Equal(F108,R108))</f>
        <v>OK</v>
      </c>
    </row>
    <row r="109" spans="2:55" x14ac:dyDescent="0.25">
      <c r="B109" s="362"/>
      <c r="C109" s="189" t="s">
        <v>105</v>
      </c>
      <c r="D109" s="199">
        <v>0.3</v>
      </c>
      <c r="E109" s="178">
        <v>0.4</v>
      </c>
      <c r="F109" s="180">
        <v>0.5</v>
      </c>
      <c r="H109" s="100"/>
      <c r="I109" s="100" t="s">
        <v>105</v>
      </c>
      <c r="J109" s="134">
        <v>0.3</v>
      </c>
      <c r="K109" s="134">
        <v>0.4</v>
      </c>
      <c r="L109" s="134">
        <v>0.5</v>
      </c>
      <c r="N109" s="362"/>
      <c r="O109" s="189" t="s">
        <v>105</v>
      </c>
      <c r="P109" s="199">
        <v>0.3</v>
      </c>
      <c r="Q109" s="178">
        <v>0.4</v>
      </c>
      <c r="R109" s="180">
        <v>0.5</v>
      </c>
      <c r="T109" s="185" t="str" cm="1">
        <f t="array" aca="1" ref="T109" ca="1">_xll.d.TestUtils_IsTrue(_xll.d.Formatting_Equal(B109,N109))</f>
        <v>OK</v>
      </c>
      <c r="U109" s="185" t="str" cm="1">
        <f t="array" aca="1" ref="U109" ca="1">_xll.d.TestUtils_IsTrue(_xll.d.Formatting_Equal(C109,O109))</f>
        <v>OK</v>
      </c>
      <c r="V109" s="185" t="str" cm="1">
        <f t="array" aca="1" ref="V109" ca="1">_xll.d.TestUtils_IsTrue(_xll.d.Formatting_Equal(D109,P109))</f>
        <v>OK</v>
      </c>
      <c r="W109" s="185" t="str" cm="1">
        <f t="array" aca="1" ref="W109" ca="1">_xll.d.TestUtils_IsTrue(_xll.d.Formatting_Equal(E109,Q109))</f>
        <v>OK</v>
      </c>
      <c r="X109" s="185" t="str" cm="1">
        <f t="array" aca="1" ref="X109" ca="1">_xll.d.TestUtils_IsTrue(_xll.d.Formatting_Equal(F109,R109))</f>
        <v>OK</v>
      </c>
    </row>
    <row r="112" spans="2:55" ht="18.75" x14ac:dyDescent="0.3">
      <c r="B112" s="3" t="s">
        <v>121</v>
      </c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</row>
    <row r="114" spans="2:20" x14ac:dyDescent="0.25">
      <c r="B114" s="59" t="s">
        <v>136</v>
      </c>
      <c r="C114" s="185" t="str" cm="1">
        <f t="array" aca="1" ref="C114" ca="1">_xll.d.TestUtils_And(T129:X145)</f>
        <v>OK</v>
      </c>
    </row>
    <row r="116" spans="2:20" x14ac:dyDescent="0.25">
      <c r="B116" s="59" t="s">
        <v>116</v>
      </c>
      <c r="C116" s="59" t="s">
        <v>33</v>
      </c>
    </row>
    <row r="117" spans="2:20" x14ac:dyDescent="0.25">
      <c r="B117" s="98" t="s">
        <v>111</v>
      </c>
      <c r="C117" s="99" t="s">
        <v>130</v>
      </c>
    </row>
    <row r="118" spans="2:20" x14ac:dyDescent="0.25">
      <c r="B118" s="92" t="s">
        <v>112</v>
      </c>
      <c r="C118" s="93" t="s">
        <v>0</v>
      </c>
    </row>
    <row r="119" spans="2:20" x14ac:dyDescent="0.25">
      <c r="B119" s="94"/>
      <c r="C119" s="95" t="s">
        <v>113</v>
      </c>
    </row>
    <row r="120" spans="2:20" x14ac:dyDescent="0.25">
      <c r="B120" s="96"/>
      <c r="C120" s="97" t="s">
        <v>114</v>
      </c>
    </row>
    <row r="121" spans="2:20" x14ac:dyDescent="0.25">
      <c r="B121" s="166" t="s">
        <v>130</v>
      </c>
      <c r="C121" s="172">
        <v>0</v>
      </c>
    </row>
    <row r="122" spans="2:20" x14ac:dyDescent="0.25">
      <c r="B122" s="166" t="s">
        <v>131</v>
      </c>
      <c r="C122" s="172">
        <v>2</v>
      </c>
    </row>
    <row r="123" spans="2:20" x14ac:dyDescent="0.25">
      <c r="B123" s="149" t="s">
        <v>119</v>
      </c>
      <c r="C123" s="150"/>
    </row>
    <row r="125" spans="2:20" x14ac:dyDescent="0.25">
      <c r="B125" t="s">
        <v>120</v>
      </c>
    </row>
    <row r="127" spans="2:20" x14ac:dyDescent="0.25">
      <c r="B127" s="70" t="s">
        <v>92</v>
      </c>
      <c r="H127" s="70" t="s">
        <v>109</v>
      </c>
      <c r="N127" s="70" t="s">
        <v>110</v>
      </c>
      <c r="T127" s="70" t="s">
        <v>137</v>
      </c>
    </row>
    <row r="129" spans="2:24" ht="15" customHeight="1" x14ac:dyDescent="0.25">
      <c r="B129" s="155" t="s">
        <v>97</v>
      </c>
      <c r="C129" s="155" t="s">
        <v>35</v>
      </c>
      <c r="D129" s="155">
        <v>44562</v>
      </c>
      <c r="E129" s="155">
        <v>44593</v>
      </c>
      <c r="F129" s="155">
        <v>44621</v>
      </c>
      <c r="H129" s="364" t="s">
        <v>97</v>
      </c>
      <c r="I129" s="101" t="s">
        <v>35</v>
      </c>
      <c r="J129" s="82">
        <v>44562</v>
      </c>
      <c r="K129" s="86">
        <v>44593</v>
      </c>
      <c r="L129" s="104">
        <v>44621</v>
      </c>
      <c r="N129" s="155" t="s">
        <v>97</v>
      </c>
      <c r="O129" s="155" t="s">
        <v>35</v>
      </c>
      <c r="P129" s="155">
        <v>44562</v>
      </c>
      <c r="Q129" s="155">
        <v>44593</v>
      </c>
      <c r="R129" s="155">
        <v>44621</v>
      </c>
      <c r="T129" s="185" t="str" cm="1">
        <f t="array" aca="1" ref="T129" ca="1">_xll.d.TestUtils_IsTrue(_xll.d.Formatting_Equal(B129,N129))</f>
        <v>OK</v>
      </c>
      <c r="U129" s="185" t="str" cm="1">
        <f t="array" aca="1" ref="U129" ca="1">_xll.d.TestUtils_IsTrue(_xll.d.Formatting_Equal(C129,O129))</f>
        <v>OK</v>
      </c>
      <c r="V129" s="185" t="str" cm="1">
        <f t="array" aca="1" ref="V129" ca="1">_xll.d.TestUtils_IsTrue(_xll.d.Formatting_Equal(D129,P129))</f>
        <v>OK</v>
      </c>
      <c r="W129" s="185" t="str" cm="1">
        <f t="array" aca="1" ref="W129" ca="1">_xll.d.TestUtils_IsTrue(_xll.d.Formatting_Equal(E129,Q129))</f>
        <v>OK</v>
      </c>
      <c r="X129" s="185" t="str" cm="1">
        <f t="array" aca="1" ref="X129" ca="1">_xll.d.TestUtils_IsTrue(_xll.d.Formatting_Equal(F129,R129))</f>
        <v>OK</v>
      </c>
    </row>
    <row r="130" spans="2:24" x14ac:dyDescent="0.25">
      <c r="B130" s="156"/>
      <c r="C130" s="155" t="s">
        <v>0</v>
      </c>
      <c r="D130" s="155">
        <v>44562</v>
      </c>
      <c r="E130" s="155">
        <v>44593</v>
      </c>
      <c r="F130" s="155">
        <v>44621</v>
      </c>
      <c r="H130" s="365"/>
      <c r="I130" s="102" t="s">
        <v>0</v>
      </c>
      <c r="J130" s="83">
        <v>44562</v>
      </c>
      <c r="K130" s="87">
        <v>44593</v>
      </c>
      <c r="L130" s="105">
        <v>44621</v>
      </c>
      <c r="N130" s="156"/>
      <c r="O130" s="155" t="s">
        <v>0</v>
      </c>
      <c r="P130" s="155">
        <v>44562</v>
      </c>
      <c r="Q130" s="155">
        <v>44593</v>
      </c>
      <c r="R130" s="155">
        <v>44621</v>
      </c>
      <c r="T130" s="185" t="str" cm="1">
        <f t="array" aca="1" ref="T130" ca="1">_xll.d.TestUtils_IsTrue(_xll.d.Formatting_Equal(B130,N130))</f>
        <v>OK</v>
      </c>
      <c r="U130" s="185" t="str" cm="1">
        <f t="array" aca="1" ref="U130" ca="1">_xll.d.TestUtils_IsTrue(_xll.d.Formatting_Equal(C130,O130))</f>
        <v>OK</v>
      </c>
      <c r="V130" s="185" t="str" cm="1">
        <f t="array" aca="1" ref="V130" ca="1">_xll.d.TestUtils_IsTrue(_xll.d.Formatting_Equal(D130,P130))</f>
        <v>OK</v>
      </c>
      <c r="W130" s="185" t="str" cm="1">
        <f t="array" aca="1" ref="W130" ca="1">_xll.d.TestUtils_IsTrue(_xll.d.Formatting_Equal(E130,Q130))</f>
        <v>OK</v>
      </c>
      <c r="X130" s="185" t="str" cm="1">
        <f t="array" aca="1" ref="X130" ca="1">_xll.d.TestUtils_IsTrue(_xll.d.Formatting_Equal(F130,R130))</f>
        <v>OK</v>
      </c>
    </row>
    <row r="131" spans="2:24" x14ac:dyDescent="0.25">
      <c r="B131" s="156"/>
      <c r="C131" s="155" t="s">
        <v>98</v>
      </c>
      <c r="D131" s="156">
        <v>1000</v>
      </c>
      <c r="E131" s="156">
        <v>2000</v>
      </c>
      <c r="F131" s="156">
        <v>3000</v>
      </c>
      <c r="H131" s="365"/>
      <c r="I131" s="102" t="s">
        <v>98</v>
      </c>
      <c r="J131" s="106">
        <v>1000</v>
      </c>
      <c r="K131" s="88">
        <v>2000</v>
      </c>
      <c r="L131" s="107">
        <v>3000</v>
      </c>
      <c r="N131" s="156"/>
      <c r="O131" s="155" t="s">
        <v>98</v>
      </c>
      <c r="P131" s="156">
        <v>1000</v>
      </c>
      <c r="Q131" s="156">
        <v>2000</v>
      </c>
      <c r="R131" s="156">
        <v>3000</v>
      </c>
      <c r="T131" s="185" t="str" cm="1">
        <f t="array" aca="1" ref="T131" ca="1">_xll.d.TestUtils_IsTrue(_xll.d.Formatting_Equal(B131,N131))</f>
        <v>OK</v>
      </c>
      <c r="U131" s="185" t="str" cm="1">
        <f t="array" aca="1" ref="U131" ca="1">_xll.d.TestUtils_IsTrue(_xll.d.Formatting_Equal(C131,O131))</f>
        <v>OK</v>
      </c>
      <c r="V131" s="185" t="str" cm="1">
        <f t="array" aca="1" ref="V131" ca="1">_xll.d.TestUtils_IsTrue(_xll.d.Formatting_Equal(D131,P131))</f>
        <v>OK</v>
      </c>
      <c r="W131" s="185" t="str" cm="1">
        <f t="array" aca="1" ref="W131" ca="1">_xll.d.TestUtils_IsTrue(_xll.d.Formatting_Equal(E131,Q131))</f>
        <v>OK</v>
      </c>
      <c r="X131" s="185" t="str" cm="1">
        <f t="array" aca="1" ref="X131" ca="1">_xll.d.TestUtils_IsTrue(_xll.d.Formatting_Equal(F131,R131))</f>
        <v>OK</v>
      </c>
    </row>
    <row r="132" spans="2:24" x14ac:dyDescent="0.25">
      <c r="B132" s="156"/>
      <c r="C132" s="155" t="s">
        <v>99</v>
      </c>
      <c r="D132" s="156">
        <v>1000</v>
      </c>
      <c r="E132" s="156">
        <v>2000</v>
      </c>
      <c r="F132" s="156">
        <v>3000</v>
      </c>
      <c r="H132" s="365"/>
      <c r="I132" s="102" t="s">
        <v>99</v>
      </c>
      <c r="J132" s="106">
        <v>1000</v>
      </c>
      <c r="K132" s="88">
        <v>2000</v>
      </c>
      <c r="L132" s="107">
        <v>3000</v>
      </c>
      <c r="N132" s="156"/>
      <c r="O132" s="155" t="s">
        <v>99</v>
      </c>
      <c r="P132" s="156">
        <v>1000</v>
      </c>
      <c r="Q132" s="156">
        <v>2000</v>
      </c>
      <c r="R132" s="156">
        <v>3000</v>
      </c>
      <c r="T132" s="185" t="str" cm="1">
        <f t="array" aca="1" ref="T132" ca="1">_xll.d.TestUtils_IsTrue(_xll.d.Formatting_Equal(B132,N132))</f>
        <v>OK</v>
      </c>
      <c r="U132" s="185" t="str" cm="1">
        <f t="array" aca="1" ref="U132" ca="1">_xll.d.TestUtils_IsTrue(_xll.d.Formatting_Equal(C132,O132))</f>
        <v>OK</v>
      </c>
      <c r="V132" s="185" t="str" cm="1">
        <f t="array" aca="1" ref="V132" ca="1">_xll.d.TestUtils_IsTrue(_xll.d.Formatting_Equal(D132,P132))</f>
        <v>OK</v>
      </c>
      <c r="W132" s="185" t="str" cm="1">
        <f t="array" aca="1" ref="W132" ca="1">_xll.d.TestUtils_IsTrue(_xll.d.Formatting_Equal(E132,Q132))</f>
        <v>OK</v>
      </c>
      <c r="X132" s="185" t="str" cm="1">
        <f t="array" aca="1" ref="X132" ca="1">_xll.d.TestUtils_IsTrue(_xll.d.Formatting_Equal(F132,R132))</f>
        <v>OK</v>
      </c>
    </row>
    <row r="133" spans="2:24" x14ac:dyDescent="0.25">
      <c r="B133" s="156"/>
      <c r="C133" s="155" t="s">
        <v>100</v>
      </c>
      <c r="D133" s="156">
        <v>1000</v>
      </c>
      <c r="E133" s="156">
        <v>2000</v>
      </c>
      <c r="F133" s="156">
        <v>3000</v>
      </c>
      <c r="H133" s="365"/>
      <c r="I133" s="102" t="s">
        <v>100</v>
      </c>
      <c r="J133" s="106">
        <v>1000</v>
      </c>
      <c r="K133" s="88">
        <v>2000</v>
      </c>
      <c r="L133" s="107">
        <v>3000</v>
      </c>
      <c r="N133" s="156"/>
      <c r="O133" s="155" t="s">
        <v>100</v>
      </c>
      <c r="P133" s="156">
        <v>1000</v>
      </c>
      <c r="Q133" s="156">
        <v>2000</v>
      </c>
      <c r="R133" s="156">
        <v>3000</v>
      </c>
      <c r="T133" s="185" t="str" cm="1">
        <f t="array" aca="1" ref="T133" ca="1">_xll.d.TestUtils_IsTrue(_xll.d.Formatting_Equal(B133,N133))</f>
        <v>OK</v>
      </c>
      <c r="U133" s="185" t="str" cm="1">
        <f t="array" aca="1" ref="U133" ca="1">_xll.d.TestUtils_IsTrue(_xll.d.Formatting_Equal(C133,O133))</f>
        <v>OK</v>
      </c>
      <c r="V133" s="185" t="str" cm="1">
        <f t="array" aca="1" ref="V133" ca="1">_xll.d.TestUtils_IsTrue(_xll.d.Formatting_Equal(D133,P133))</f>
        <v>OK</v>
      </c>
      <c r="W133" s="185" t="str" cm="1">
        <f t="array" aca="1" ref="W133" ca="1">_xll.d.TestUtils_IsTrue(_xll.d.Formatting_Equal(E133,Q133))</f>
        <v>OK</v>
      </c>
      <c r="X133" s="185" t="str" cm="1">
        <f t="array" aca="1" ref="X133" ca="1">_xll.d.TestUtils_IsTrue(_xll.d.Formatting_Equal(F133,R133))</f>
        <v>OK</v>
      </c>
    </row>
    <row r="134" spans="2:24" x14ac:dyDescent="0.25">
      <c r="B134" s="156"/>
      <c r="C134" s="155" t="s">
        <v>101</v>
      </c>
      <c r="D134" s="156">
        <v>1000</v>
      </c>
      <c r="E134" s="156">
        <v>2000</v>
      </c>
      <c r="F134" s="156">
        <v>3000</v>
      </c>
      <c r="H134" s="365"/>
      <c r="I134" s="102" t="s">
        <v>101</v>
      </c>
      <c r="J134" s="106">
        <v>1000</v>
      </c>
      <c r="K134" s="88">
        <v>2000</v>
      </c>
      <c r="L134" s="107">
        <v>3000</v>
      </c>
      <c r="N134" s="156"/>
      <c r="O134" s="155" t="s">
        <v>101</v>
      </c>
      <c r="P134" s="156">
        <v>1000</v>
      </c>
      <c r="Q134" s="156">
        <v>2000</v>
      </c>
      <c r="R134" s="156">
        <v>3000</v>
      </c>
      <c r="T134" s="185" t="str" cm="1">
        <f t="array" aca="1" ref="T134" ca="1">_xll.d.TestUtils_IsTrue(_xll.d.Formatting_Equal(B134,N134))</f>
        <v>OK</v>
      </c>
      <c r="U134" s="185" t="str" cm="1">
        <f t="array" aca="1" ref="U134" ca="1">_xll.d.TestUtils_IsTrue(_xll.d.Formatting_Equal(C134,O134))</f>
        <v>OK</v>
      </c>
      <c r="V134" s="185" t="str" cm="1">
        <f t="array" aca="1" ref="V134" ca="1">_xll.d.TestUtils_IsTrue(_xll.d.Formatting_Equal(D134,P134))</f>
        <v>OK</v>
      </c>
      <c r="W134" s="185" t="str" cm="1">
        <f t="array" aca="1" ref="W134" ca="1">_xll.d.TestUtils_IsTrue(_xll.d.Formatting_Equal(E134,Q134))</f>
        <v>OK</v>
      </c>
      <c r="X134" s="185" t="str" cm="1">
        <f t="array" aca="1" ref="X134" ca="1">_xll.d.TestUtils_IsTrue(_xll.d.Formatting_Equal(F134,R134))</f>
        <v>OK</v>
      </c>
    </row>
    <row r="135" spans="2:24" x14ac:dyDescent="0.25">
      <c r="B135" s="156"/>
      <c r="C135" s="155" t="s">
        <v>102</v>
      </c>
      <c r="D135" s="155">
        <v>0.3</v>
      </c>
      <c r="E135" s="155">
        <v>0.4</v>
      </c>
      <c r="F135" s="155">
        <v>0.5</v>
      </c>
      <c r="H135" s="365"/>
      <c r="I135" s="102" t="s">
        <v>102</v>
      </c>
      <c r="J135" s="108">
        <v>0.3</v>
      </c>
      <c r="K135" s="89">
        <v>0.4</v>
      </c>
      <c r="L135" s="80">
        <v>0.5</v>
      </c>
      <c r="N135" s="156"/>
      <c r="O135" s="155" t="s">
        <v>102</v>
      </c>
      <c r="P135" s="155">
        <v>0.3</v>
      </c>
      <c r="Q135" s="155">
        <v>0.4</v>
      </c>
      <c r="R135" s="155">
        <v>0.5</v>
      </c>
      <c r="T135" s="185" t="str" cm="1">
        <f t="array" aca="1" ref="T135" ca="1">_xll.d.TestUtils_IsTrue(_xll.d.Formatting_Equal(B135,N135))</f>
        <v>OK</v>
      </c>
      <c r="U135" s="185" t="str" cm="1">
        <f t="array" aca="1" ref="U135" ca="1">_xll.d.TestUtils_IsTrue(_xll.d.Formatting_Equal(C135,O135))</f>
        <v>OK</v>
      </c>
      <c r="V135" s="185" t="str" cm="1">
        <f t="array" aca="1" ref="V135" ca="1">_xll.d.TestUtils_IsTrue(_xll.d.Formatting_Equal(D135,P135))</f>
        <v>OK</v>
      </c>
      <c r="W135" s="185" t="str" cm="1">
        <f t="array" aca="1" ref="W135" ca="1">_xll.d.TestUtils_IsTrue(_xll.d.Formatting_Equal(E135,Q135))</f>
        <v>OK</v>
      </c>
      <c r="X135" s="185" t="str" cm="1">
        <f t="array" aca="1" ref="X135" ca="1">_xll.d.TestUtils_IsTrue(_xll.d.Formatting_Equal(F135,R135))</f>
        <v>OK</v>
      </c>
    </row>
    <row r="136" spans="2:24" x14ac:dyDescent="0.25">
      <c r="B136" s="156"/>
      <c r="C136" s="155" t="s">
        <v>81</v>
      </c>
      <c r="D136" s="155">
        <v>0.3</v>
      </c>
      <c r="E136" s="155">
        <v>0.4</v>
      </c>
      <c r="F136" s="155">
        <v>0.5</v>
      </c>
      <c r="H136" s="365"/>
      <c r="I136" s="102" t="s">
        <v>81</v>
      </c>
      <c r="J136" s="108">
        <v>0.3</v>
      </c>
      <c r="K136" s="89">
        <v>0.4</v>
      </c>
      <c r="L136" s="80">
        <v>0.5</v>
      </c>
      <c r="N136" s="156"/>
      <c r="O136" s="155" t="s">
        <v>81</v>
      </c>
      <c r="P136" s="155">
        <v>0.3</v>
      </c>
      <c r="Q136" s="155">
        <v>0.4</v>
      </c>
      <c r="R136" s="155">
        <v>0.5</v>
      </c>
      <c r="T136" s="185" t="str" cm="1">
        <f t="array" aca="1" ref="T136" ca="1">_xll.d.TestUtils_IsTrue(_xll.d.Formatting_Equal(B136,N136))</f>
        <v>OK</v>
      </c>
      <c r="U136" s="185" t="str" cm="1">
        <f t="array" aca="1" ref="U136" ca="1">_xll.d.TestUtils_IsTrue(_xll.d.Formatting_Equal(C136,O136))</f>
        <v>OK</v>
      </c>
      <c r="V136" s="185" t="str" cm="1">
        <f t="array" aca="1" ref="V136" ca="1">_xll.d.TestUtils_IsTrue(_xll.d.Formatting_Equal(D136,P136))</f>
        <v>OK</v>
      </c>
      <c r="W136" s="185" t="str" cm="1">
        <f t="array" aca="1" ref="W136" ca="1">_xll.d.TestUtils_IsTrue(_xll.d.Formatting_Equal(E136,Q136))</f>
        <v>OK</v>
      </c>
      <c r="X136" s="185" t="str" cm="1">
        <f t="array" aca="1" ref="X136" ca="1">_xll.d.TestUtils_IsTrue(_xll.d.Formatting_Equal(F136,R136))</f>
        <v>OK</v>
      </c>
    </row>
    <row r="137" spans="2:24" x14ac:dyDescent="0.25">
      <c r="B137" s="156"/>
      <c r="C137" s="155" t="s">
        <v>82</v>
      </c>
      <c r="D137" s="155">
        <v>0.3</v>
      </c>
      <c r="E137" s="155">
        <v>0.4</v>
      </c>
      <c r="F137" s="155">
        <v>0.5</v>
      </c>
      <c r="H137" s="365"/>
      <c r="I137" s="102" t="s">
        <v>82</v>
      </c>
      <c r="J137" s="108">
        <v>0.3</v>
      </c>
      <c r="K137" s="89">
        <v>0.4</v>
      </c>
      <c r="L137" s="80">
        <v>0.5</v>
      </c>
      <c r="N137" s="156"/>
      <c r="O137" s="155" t="s">
        <v>82</v>
      </c>
      <c r="P137" s="155">
        <v>0.3</v>
      </c>
      <c r="Q137" s="155">
        <v>0.4</v>
      </c>
      <c r="R137" s="155">
        <v>0.5</v>
      </c>
      <c r="T137" s="185" t="str" cm="1">
        <f t="array" aca="1" ref="T137" ca="1">_xll.d.TestUtils_IsTrue(_xll.d.Formatting_Equal(B137,N137))</f>
        <v>OK</v>
      </c>
      <c r="U137" s="185" t="str" cm="1">
        <f t="array" aca="1" ref="U137" ca="1">_xll.d.TestUtils_IsTrue(_xll.d.Formatting_Equal(C137,O137))</f>
        <v>OK</v>
      </c>
      <c r="V137" s="185" t="str" cm="1">
        <f t="array" aca="1" ref="V137" ca="1">_xll.d.TestUtils_IsTrue(_xll.d.Formatting_Equal(D137,P137))</f>
        <v>OK</v>
      </c>
      <c r="W137" s="185" t="str" cm="1">
        <f t="array" aca="1" ref="W137" ca="1">_xll.d.TestUtils_IsTrue(_xll.d.Formatting_Equal(E137,Q137))</f>
        <v>OK</v>
      </c>
      <c r="X137" s="185" t="str" cm="1">
        <f t="array" aca="1" ref="X137" ca="1">_xll.d.TestUtils_IsTrue(_xll.d.Formatting_Equal(F137,R137))</f>
        <v>OK</v>
      </c>
    </row>
    <row r="138" spans="2:24" x14ac:dyDescent="0.25">
      <c r="B138" s="156"/>
      <c r="C138" s="155" t="s">
        <v>83</v>
      </c>
      <c r="D138" s="155">
        <v>0.3</v>
      </c>
      <c r="E138" s="155">
        <v>0.4</v>
      </c>
      <c r="F138" s="155">
        <v>0.5</v>
      </c>
      <c r="H138" s="365"/>
      <c r="I138" s="102" t="s">
        <v>83</v>
      </c>
      <c r="J138" s="108">
        <v>0.3</v>
      </c>
      <c r="K138" s="89">
        <v>0.4</v>
      </c>
      <c r="L138" s="80">
        <v>0.5</v>
      </c>
      <c r="N138" s="156"/>
      <c r="O138" s="155" t="s">
        <v>83</v>
      </c>
      <c r="P138" s="155">
        <v>0.3</v>
      </c>
      <c r="Q138" s="155">
        <v>0.4</v>
      </c>
      <c r="R138" s="155">
        <v>0.5</v>
      </c>
      <c r="T138" s="185" t="str" cm="1">
        <f t="array" aca="1" ref="T138" ca="1">_xll.d.TestUtils_IsTrue(_xll.d.Formatting_Equal(B138,N138))</f>
        <v>OK</v>
      </c>
      <c r="U138" s="185" t="str" cm="1">
        <f t="array" aca="1" ref="U138" ca="1">_xll.d.TestUtils_IsTrue(_xll.d.Formatting_Equal(C138,O138))</f>
        <v>OK</v>
      </c>
      <c r="V138" s="185" t="str" cm="1">
        <f t="array" aca="1" ref="V138" ca="1">_xll.d.TestUtils_IsTrue(_xll.d.Formatting_Equal(D138,P138))</f>
        <v>OK</v>
      </c>
      <c r="W138" s="185" t="str" cm="1">
        <f t="array" aca="1" ref="W138" ca="1">_xll.d.TestUtils_IsTrue(_xll.d.Formatting_Equal(E138,Q138))</f>
        <v>OK</v>
      </c>
      <c r="X138" s="185" t="str" cm="1">
        <f t="array" aca="1" ref="X138" ca="1">_xll.d.TestUtils_IsTrue(_xll.d.Formatting_Equal(F138,R138))</f>
        <v>OK</v>
      </c>
    </row>
    <row r="139" spans="2:24" x14ac:dyDescent="0.25">
      <c r="B139" s="156"/>
      <c r="C139" s="155" t="s">
        <v>103</v>
      </c>
      <c r="D139" s="155">
        <v>0.3</v>
      </c>
      <c r="E139" s="155">
        <v>0.4</v>
      </c>
      <c r="F139" s="155">
        <v>0.5</v>
      </c>
      <c r="H139" s="365"/>
      <c r="I139" s="102" t="s">
        <v>103</v>
      </c>
      <c r="J139" s="108">
        <v>0.3</v>
      </c>
      <c r="K139" s="89">
        <v>0.4</v>
      </c>
      <c r="L139" s="80">
        <v>0.5</v>
      </c>
      <c r="N139" s="156"/>
      <c r="O139" s="155" t="s">
        <v>103</v>
      </c>
      <c r="P139" s="155">
        <v>0.3</v>
      </c>
      <c r="Q139" s="155">
        <v>0.4</v>
      </c>
      <c r="R139" s="155">
        <v>0.5</v>
      </c>
      <c r="T139" s="185" t="str" cm="1">
        <f t="array" aca="1" ref="T139" ca="1">_xll.d.TestUtils_IsTrue(_xll.d.Formatting_Equal(B139,N139))</f>
        <v>OK</v>
      </c>
      <c r="U139" s="185" t="str" cm="1">
        <f t="array" aca="1" ref="U139" ca="1">_xll.d.TestUtils_IsTrue(_xll.d.Formatting_Equal(C139,O139))</f>
        <v>OK</v>
      </c>
      <c r="V139" s="185" t="str" cm="1">
        <f t="array" aca="1" ref="V139" ca="1">_xll.d.TestUtils_IsTrue(_xll.d.Formatting_Equal(D139,P139))</f>
        <v>OK</v>
      </c>
      <c r="W139" s="185" t="str" cm="1">
        <f t="array" aca="1" ref="W139" ca="1">_xll.d.TestUtils_IsTrue(_xll.d.Formatting_Equal(E139,Q139))</f>
        <v>OK</v>
      </c>
      <c r="X139" s="185" t="str" cm="1">
        <f t="array" aca="1" ref="X139" ca="1">_xll.d.TestUtils_IsTrue(_xll.d.Formatting_Equal(F139,R139))</f>
        <v>OK</v>
      </c>
    </row>
    <row r="140" spans="2:24" x14ac:dyDescent="0.25">
      <c r="B140" s="156"/>
      <c r="C140" s="155" t="s">
        <v>25</v>
      </c>
      <c r="D140" s="155">
        <v>0.3</v>
      </c>
      <c r="E140" s="155">
        <v>0.4</v>
      </c>
      <c r="F140" s="155">
        <v>0.5</v>
      </c>
      <c r="H140" s="365"/>
      <c r="I140" s="102" t="s">
        <v>25</v>
      </c>
      <c r="J140" s="108">
        <v>0.3</v>
      </c>
      <c r="K140" s="89">
        <v>0.4</v>
      </c>
      <c r="L140" s="80">
        <v>0.5</v>
      </c>
      <c r="N140" s="156"/>
      <c r="O140" s="155" t="s">
        <v>25</v>
      </c>
      <c r="P140" s="155">
        <v>0.3</v>
      </c>
      <c r="Q140" s="155">
        <v>0.4</v>
      </c>
      <c r="R140" s="155">
        <v>0.5</v>
      </c>
      <c r="T140" s="185" t="str" cm="1">
        <f t="array" aca="1" ref="T140" ca="1">_xll.d.TestUtils_IsTrue(_xll.d.Formatting_Equal(B140,N140))</f>
        <v>OK</v>
      </c>
      <c r="U140" s="185" t="str" cm="1">
        <f t="array" aca="1" ref="U140" ca="1">_xll.d.TestUtils_IsTrue(_xll.d.Formatting_Equal(C140,O140))</f>
        <v>OK</v>
      </c>
      <c r="V140" s="185" t="str" cm="1">
        <f t="array" aca="1" ref="V140" ca="1">_xll.d.TestUtils_IsTrue(_xll.d.Formatting_Equal(D140,P140))</f>
        <v>OK</v>
      </c>
      <c r="W140" s="185" t="str" cm="1">
        <f t="array" aca="1" ref="W140" ca="1">_xll.d.TestUtils_IsTrue(_xll.d.Formatting_Equal(E140,Q140))</f>
        <v>OK</v>
      </c>
      <c r="X140" s="185" t="str" cm="1">
        <f t="array" aca="1" ref="X140" ca="1">_xll.d.TestUtils_IsTrue(_xll.d.Formatting_Equal(F140,R140))</f>
        <v>OK</v>
      </c>
    </row>
    <row r="141" spans="2:24" x14ac:dyDescent="0.25">
      <c r="B141" s="156"/>
      <c r="C141" s="155" t="s">
        <v>40</v>
      </c>
      <c r="D141" s="155">
        <v>0.3</v>
      </c>
      <c r="E141" s="155">
        <v>0.4</v>
      </c>
      <c r="F141" s="155">
        <v>0.5</v>
      </c>
      <c r="H141" s="365"/>
      <c r="I141" s="102" t="s">
        <v>40</v>
      </c>
      <c r="J141" s="108">
        <v>0.3</v>
      </c>
      <c r="K141" s="89">
        <v>0.4</v>
      </c>
      <c r="L141" s="80">
        <v>0.5</v>
      </c>
      <c r="N141" s="156"/>
      <c r="O141" s="155" t="s">
        <v>40</v>
      </c>
      <c r="P141" s="155">
        <v>0.3</v>
      </c>
      <c r="Q141" s="155">
        <v>0.4</v>
      </c>
      <c r="R141" s="155">
        <v>0.5</v>
      </c>
      <c r="T141" s="185" t="str" cm="1">
        <f t="array" aca="1" ref="T141" ca="1">_xll.d.TestUtils_IsTrue(_xll.d.Formatting_Equal(B141,N141))</f>
        <v>OK</v>
      </c>
      <c r="U141" s="185" t="str" cm="1">
        <f t="array" aca="1" ref="U141" ca="1">_xll.d.TestUtils_IsTrue(_xll.d.Formatting_Equal(C141,O141))</f>
        <v>OK</v>
      </c>
      <c r="V141" s="185" t="str" cm="1">
        <f t="array" aca="1" ref="V141" ca="1">_xll.d.TestUtils_IsTrue(_xll.d.Formatting_Equal(D141,P141))</f>
        <v>OK</v>
      </c>
      <c r="W141" s="185" t="str" cm="1">
        <f t="array" aca="1" ref="W141" ca="1">_xll.d.TestUtils_IsTrue(_xll.d.Formatting_Equal(E141,Q141))</f>
        <v>OK</v>
      </c>
      <c r="X141" s="185" t="str" cm="1">
        <f t="array" aca="1" ref="X141" ca="1">_xll.d.TestUtils_IsTrue(_xll.d.Formatting_Equal(F141,R141))</f>
        <v>OK</v>
      </c>
    </row>
    <row r="142" spans="2:24" x14ac:dyDescent="0.25">
      <c r="B142" s="156"/>
      <c r="C142" s="155" t="s">
        <v>104</v>
      </c>
      <c r="D142" s="155">
        <v>0.3</v>
      </c>
      <c r="E142" s="155">
        <v>0.4</v>
      </c>
      <c r="F142" s="155">
        <v>0.5</v>
      </c>
      <c r="H142" s="365"/>
      <c r="I142" s="102" t="s">
        <v>104</v>
      </c>
      <c r="J142" s="108">
        <v>0.3</v>
      </c>
      <c r="K142" s="89">
        <v>0.4</v>
      </c>
      <c r="L142" s="80">
        <v>0.5</v>
      </c>
      <c r="N142" s="156"/>
      <c r="O142" s="155" t="s">
        <v>104</v>
      </c>
      <c r="P142" s="155">
        <v>0.3</v>
      </c>
      <c r="Q142" s="155">
        <v>0.4</v>
      </c>
      <c r="R142" s="155">
        <v>0.5</v>
      </c>
      <c r="T142" s="185" t="str" cm="1">
        <f t="array" aca="1" ref="T142" ca="1">_xll.d.TestUtils_IsTrue(_xll.d.Formatting_Equal(B142,N142))</f>
        <v>OK</v>
      </c>
      <c r="U142" s="185" t="str" cm="1">
        <f t="array" aca="1" ref="U142" ca="1">_xll.d.TestUtils_IsTrue(_xll.d.Formatting_Equal(C142,O142))</f>
        <v>OK</v>
      </c>
      <c r="V142" s="185" t="str" cm="1">
        <f t="array" aca="1" ref="V142" ca="1">_xll.d.TestUtils_IsTrue(_xll.d.Formatting_Equal(D142,P142))</f>
        <v>OK</v>
      </c>
      <c r="W142" s="185" t="str" cm="1">
        <f t="array" aca="1" ref="W142" ca="1">_xll.d.TestUtils_IsTrue(_xll.d.Formatting_Equal(E142,Q142))</f>
        <v>OK</v>
      </c>
      <c r="X142" s="185" t="str" cm="1">
        <f t="array" aca="1" ref="X142" ca="1">_xll.d.TestUtils_IsTrue(_xll.d.Formatting_Equal(F142,R142))</f>
        <v>OK</v>
      </c>
    </row>
    <row r="143" spans="2:24" x14ac:dyDescent="0.25">
      <c r="B143" s="156"/>
      <c r="C143" s="155" t="s">
        <v>96</v>
      </c>
      <c r="D143" s="155">
        <v>0.3</v>
      </c>
      <c r="E143" s="155">
        <v>0.4</v>
      </c>
      <c r="F143" s="155">
        <v>0.5</v>
      </c>
      <c r="H143" s="365"/>
      <c r="I143" s="102" t="s">
        <v>96</v>
      </c>
      <c r="J143" s="108">
        <v>0.3</v>
      </c>
      <c r="K143" s="89">
        <v>0.4</v>
      </c>
      <c r="L143" s="80">
        <v>0.5</v>
      </c>
      <c r="N143" s="156"/>
      <c r="O143" s="155" t="s">
        <v>96</v>
      </c>
      <c r="P143" s="155">
        <v>0.3</v>
      </c>
      <c r="Q143" s="155">
        <v>0.4</v>
      </c>
      <c r="R143" s="155">
        <v>0.5</v>
      </c>
      <c r="T143" s="185" t="str" cm="1">
        <f t="array" aca="1" ref="T143" ca="1">_xll.d.TestUtils_IsTrue(_xll.d.Formatting_Equal(B143,N143))</f>
        <v>OK</v>
      </c>
      <c r="U143" s="185" t="str" cm="1">
        <f t="array" aca="1" ref="U143" ca="1">_xll.d.TestUtils_IsTrue(_xll.d.Formatting_Equal(C143,O143))</f>
        <v>OK</v>
      </c>
      <c r="V143" s="185" t="str" cm="1">
        <f t="array" aca="1" ref="V143" ca="1">_xll.d.TestUtils_IsTrue(_xll.d.Formatting_Equal(D143,P143))</f>
        <v>OK</v>
      </c>
      <c r="W143" s="185" t="str" cm="1">
        <f t="array" aca="1" ref="W143" ca="1">_xll.d.TestUtils_IsTrue(_xll.d.Formatting_Equal(E143,Q143))</f>
        <v>OK</v>
      </c>
      <c r="X143" s="185" t="str" cm="1">
        <f t="array" aca="1" ref="X143" ca="1">_xll.d.TestUtils_IsTrue(_xll.d.Formatting_Equal(F143,R143))</f>
        <v>OK</v>
      </c>
    </row>
    <row r="144" spans="2:24" x14ac:dyDescent="0.25">
      <c r="B144" s="156"/>
      <c r="C144" s="155" t="s">
        <v>106</v>
      </c>
      <c r="D144" s="155">
        <v>0.3</v>
      </c>
      <c r="E144" s="155">
        <v>0.4</v>
      </c>
      <c r="F144" s="155">
        <v>0.5</v>
      </c>
      <c r="H144" s="365"/>
      <c r="I144" s="102" t="s">
        <v>106</v>
      </c>
      <c r="J144" s="108">
        <v>0.3</v>
      </c>
      <c r="K144" s="89">
        <v>0.4</v>
      </c>
      <c r="L144" s="80">
        <v>0.5</v>
      </c>
      <c r="N144" s="156"/>
      <c r="O144" s="155" t="s">
        <v>106</v>
      </c>
      <c r="P144" s="155">
        <v>0.3</v>
      </c>
      <c r="Q144" s="155">
        <v>0.4</v>
      </c>
      <c r="R144" s="155">
        <v>0.5</v>
      </c>
      <c r="T144" s="185" t="str" cm="1">
        <f t="array" aca="1" ref="T144" ca="1">_xll.d.TestUtils_IsTrue(_xll.d.Formatting_Equal(B144,N144))</f>
        <v>OK</v>
      </c>
      <c r="U144" s="185" t="str" cm="1">
        <f t="array" aca="1" ref="U144" ca="1">_xll.d.TestUtils_IsTrue(_xll.d.Formatting_Equal(C144,O144))</f>
        <v>OK</v>
      </c>
      <c r="V144" s="185" t="str" cm="1">
        <f t="array" aca="1" ref="V144" ca="1">_xll.d.TestUtils_IsTrue(_xll.d.Formatting_Equal(D144,P144))</f>
        <v>OK</v>
      </c>
      <c r="W144" s="185" t="str" cm="1">
        <f t="array" aca="1" ref="W144" ca="1">_xll.d.TestUtils_IsTrue(_xll.d.Formatting_Equal(E144,Q144))</f>
        <v>OK</v>
      </c>
      <c r="X144" s="185" t="str" cm="1">
        <f t="array" aca="1" ref="X144" ca="1">_xll.d.TestUtils_IsTrue(_xll.d.Formatting_Equal(F144,R144))</f>
        <v>OK</v>
      </c>
    </row>
    <row r="145" spans="2:55" x14ac:dyDescent="0.25">
      <c r="B145" s="156"/>
      <c r="C145" s="155" t="s">
        <v>105</v>
      </c>
      <c r="D145" s="155">
        <v>0.3</v>
      </c>
      <c r="E145" s="155">
        <v>0.4</v>
      </c>
      <c r="F145" s="155">
        <v>0.5</v>
      </c>
      <c r="H145" s="365"/>
      <c r="I145" s="103" t="s">
        <v>105</v>
      </c>
      <c r="J145" s="109">
        <v>0.3</v>
      </c>
      <c r="K145" s="90">
        <v>0.4</v>
      </c>
      <c r="L145" s="81">
        <v>0.5</v>
      </c>
      <c r="N145" s="156"/>
      <c r="O145" s="155" t="s">
        <v>105</v>
      </c>
      <c r="P145" s="155">
        <v>0.3</v>
      </c>
      <c r="Q145" s="155">
        <v>0.4</v>
      </c>
      <c r="R145" s="155">
        <v>0.5</v>
      </c>
      <c r="T145" s="185" t="str" cm="1">
        <f t="array" aca="1" ref="T145" ca="1">_xll.d.TestUtils_IsTrue(_xll.d.Formatting_Equal(B145,N145))</f>
        <v>OK</v>
      </c>
      <c r="U145" s="185" t="str" cm="1">
        <f t="array" aca="1" ref="U145" ca="1">_xll.d.TestUtils_IsTrue(_xll.d.Formatting_Equal(C145,O145))</f>
        <v>OK</v>
      </c>
      <c r="V145" s="185" t="str" cm="1">
        <f t="array" aca="1" ref="V145" ca="1">_xll.d.TestUtils_IsTrue(_xll.d.Formatting_Equal(D145,P145))</f>
        <v>OK</v>
      </c>
      <c r="W145" s="185" t="str" cm="1">
        <f t="array" aca="1" ref="W145" ca="1">_xll.d.TestUtils_IsTrue(_xll.d.Formatting_Equal(E145,Q145))</f>
        <v>OK</v>
      </c>
      <c r="X145" s="185" t="str" cm="1">
        <f t="array" aca="1" ref="X145" ca="1">_xll.d.TestUtils_IsTrue(_xll.d.Formatting_Equal(F145,R145))</f>
        <v>OK</v>
      </c>
    </row>
    <row r="148" spans="2:55" ht="18.75" x14ac:dyDescent="0.3">
      <c r="B148" s="3" t="s">
        <v>127</v>
      </c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</row>
    <row r="150" spans="2:55" x14ac:dyDescent="0.25">
      <c r="B150" s="59" t="s">
        <v>136</v>
      </c>
      <c r="C150" s="185" t="str" cm="1">
        <f t="array" aca="1" ref="C150" ca="1">_xll.d.TestUtils_And(K163:L166)</f>
        <v>OK</v>
      </c>
    </row>
    <row r="152" spans="2:55" x14ac:dyDescent="0.25">
      <c r="B152" s="59" t="s">
        <v>116</v>
      </c>
      <c r="C152" s="59" t="s">
        <v>33</v>
      </c>
    </row>
    <row r="153" spans="2:55" x14ac:dyDescent="0.25">
      <c r="B153" s="98" t="s">
        <v>111</v>
      </c>
      <c r="C153" s="99" t="s">
        <v>131</v>
      </c>
    </row>
    <row r="154" spans="2:55" x14ac:dyDescent="0.25">
      <c r="B154" s="92" t="s">
        <v>112</v>
      </c>
      <c r="C154" s="93" t="s">
        <v>128</v>
      </c>
    </row>
    <row r="155" spans="2:55" x14ac:dyDescent="0.25">
      <c r="B155" s="98" t="s">
        <v>130</v>
      </c>
      <c r="C155" s="171">
        <v>2</v>
      </c>
    </row>
    <row r="156" spans="2:55" x14ac:dyDescent="0.25">
      <c r="B156" s="166" t="s">
        <v>131</v>
      </c>
      <c r="C156" s="172">
        <v>0</v>
      </c>
    </row>
    <row r="157" spans="2:55" x14ac:dyDescent="0.25">
      <c r="B157" s="149" t="s">
        <v>119</v>
      </c>
      <c r="C157" s="150"/>
    </row>
    <row r="159" spans="2:55" x14ac:dyDescent="0.25">
      <c r="B159" t="s">
        <v>172</v>
      </c>
    </row>
    <row r="161" spans="2:55" x14ac:dyDescent="0.25">
      <c r="B161" s="70" t="s">
        <v>92</v>
      </c>
      <c r="E161" s="70" t="s">
        <v>109</v>
      </c>
      <c r="H161" s="70" t="s">
        <v>110</v>
      </c>
      <c r="K161" s="70" t="s">
        <v>137</v>
      </c>
    </row>
    <row r="163" spans="2:55" x14ac:dyDescent="0.25">
      <c r="B163" s="138" t="s">
        <v>58</v>
      </c>
      <c r="C163" s="139"/>
      <c r="E163" t="s">
        <v>58</v>
      </c>
      <c r="H163" s="138" t="s">
        <v>58</v>
      </c>
      <c r="I163" s="139"/>
      <c r="K163" s="185" t="str" cm="1">
        <f t="array" aca="1" ref="K163" ca="1">_xll.d.TestUtils_IsTrue(_xll.d.Formatting_Equal(B163,H163))</f>
        <v>OK</v>
      </c>
      <c r="L163" s="185" t="str" cm="1">
        <f t="array" aca="1" ref="L163" ca="1">_xll.d.TestUtils_IsTrue(_xll.d.Formatting_Equal(C163,I163))</f>
        <v>OK</v>
      </c>
    </row>
    <row r="164" spans="2:55" x14ac:dyDescent="0.25">
      <c r="B164" s="136" t="s">
        <v>32</v>
      </c>
      <c r="C164" s="137" t="s">
        <v>33</v>
      </c>
      <c r="E164" t="s">
        <v>32</v>
      </c>
      <c r="F164" t="s">
        <v>33</v>
      </c>
      <c r="H164" s="136" t="s">
        <v>32</v>
      </c>
      <c r="I164" s="137" t="s">
        <v>33</v>
      </c>
      <c r="K164" s="185" t="str" cm="1">
        <f t="array" aca="1" ref="K164" ca="1">_xll.d.TestUtils_IsTrue(_xll.d.Formatting_Equal(B164,H164))</f>
        <v>OK</v>
      </c>
      <c r="L164" s="185" t="str" cm="1">
        <f t="array" aca="1" ref="L164" ca="1">_xll.d.TestUtils_IsTrue(_xll.d.Formatting_Equal(C164,I164))</f>
        <v>OK</v>
      </c>
    </row>
    <row r="165" spans="2:55" x14ac:dyDescent="0.25">
      <c r="B165" s="140" t="s">
        <v>13</v>
      </c>
      <c r="C165" s="141" t="s">
        <v>47</v>
      </c>
      <c r="E165" t="s">
        <v>13</v>
      </c>
      <c r="F165" t="s">
        <v>47</v>
      </c>
      <c r="H165" s="140" t="s">
        <v>13</v>
      </c>
      <c r="I165" s="141" t="s">
        <v>47</v>
      </c>
      <c r="K165" s="185" t="str" cm="1">
        <f t="array" aca="1" ref="K165" ca="1">_xll.d.TestUtils_IsTrue(_xll.d.Formatting_Equal(B165,H165))</f>
        <v>OK</v>
      </c>
      <c r="L165" s="185" t="str" cm="1">
        <f t="array" aca="1" ref="L165" ca="1">_xll.d.TestUtils_IsTrue(_xll.d.Formatting_Equal(C165,I165))</f>
        <v>OK</v>
      </c>
    </row>
    <row r="166" spans="2:55" x14ac:dyDescent="0.25">
      <c r="B166" s="142" t="s">
        <v>36</v>
      </c>
      <c r="C166" s="143" t="s">
        <v>37</v>
      </c>
      <c r="E166" t="s">
        <v>36</v>
      </c>
      <c r="F166" t="s">
        <v>37</v>
      </c>
      <c r="H166" s="142" t="s">
        <v>36</v>
      </c>
      <c r="I166" s="143" t="s">
        <v>37</v>
      </c>
      <c r="K166" s="185" t="str" cm="1">
        <f t="array" aca="1" ref="K166" ca="1">_xll.d.TestUtils_IsTrue(_xll.d.Formatting_Equal(B166,H166))</f>
        <v>OK</v>
      </c>
      <c r="L166" s="185" t="str" cm="1">
        <f t="array" aca="1" ref="L166" ca="1">_xll.d.TestUtils_IsTrue(_xll.d.Formatting_Equal(C166,I166))</f>
        <v>OK</v>
      </c>
    </row>
    <row r="167" spans="2:55" x14ac:dyDescent="0.25">
      <c r="B167" s="144" t="s">
        <v>57</v>
      </c>
      <c r="C167" s="145" t="s">
        <v>26</v>
      </c>
      <c r="E167" t="s">
        <v>57</v>
      </c>
      <c r="F167" t="s">
        <v>26</v>
      </c>
      <c r="H167" s="144" t="s">
        <v>57</v>
      </c>
      <c r="I167" s="145" t="s">
        <v>26</v>
      </c>
      <c r="K167" s="185" t="str" cm="1">
        <f t="array" aca="1" ref="K167" ca="1">_xll.d.TestUtils_IsTrue(_xll.d.Formatting_Equal(B167,H167))</f>
        <v>OK</v>
      </c>
      <c r="L167" s="185" t="str" cm="1">
        <f t="array" aca="1" ref="L167" ca="1">_xll.d.TestUtils_IsTrue(_xll.d.Formatting_Equal(C167,I167))</f>
        <v>OK</v>
      </c>
    </row>
    <row r="170" spans="2:55" ht="18.75" x14ac:dyDescent="0.3">
      <c r="B170" s="3" t="s">
        <v>129</v>
      </c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</row>
    <row r="172" spans="2:55" x14ac:dyDescent="0.25">
      <c r="B172" s="59" t="s">
        <v>136</v>
      </c>
      <c r="C172" s="185" t="str" cm="1">
        <f t="array" aca="1" ref="C172" ca="1">_xll.d.TestUtils_And(K183:L187)</f>
        <v>OK</v>
      </c>
    </row>
    <row r="174" spans="2:55" x14ac:dyDescent="0.25">
      <c r="B174" s="59" t="s">
        <v>116</v>
      </c>
      <c r="C174" s="59" t="s">
        <v>33</v>
      </c>
    </row>
    <row r="175" spans="2:55" x14ac:dyDescent="0.25">
      <c r="B175" s="98" t="s">
        <v>111</v>
      </c>
      <c r="C175" s="99" t="s">
        <v>131</v>
      </c>
    </row>
    <row r="176" spans="2:55" x14ac:dyDescent="0.25">
      <c r="B176" s="92" t="s">
        <v>112</v>
      </c>
      <c r="C176" s="93" t="s">
        <v>128</v>
      </c>
    </row>
    <row r="177" spans="2:55" x14ac:dyDescent="0.25">
      <c r="B177" s="149" t="s">
        <v>119</v>
      </c>
      <c r="C177" s="150"/>
    </row>
    <row r="179" spans="2:55" x14ac:dyDescent="0.25">
      <c r="B179" t="s">
        <v>132</v>
      </c>
    </row>
    <row r="181" spans="2:55" x14ac:dyDescent="0.25">
      <c r="B181" s="70" t="s">
        <v>92</v>
      </c>
      <c r="E181" s="70" t="s">
        <v>109</v>
      </c>
      <c r="H181" s="70" t="s">
        <v>110</v>
      </c>
      <c r="K181" s="70" t="s">
        <v>137</v>
      </c>
    </row>
    <row r="183" spans="2:55" x14ac:dyDescent="0.25">
      <c r="B183" s="155" t="s">
        <v>58</v>
      </c>
      <c r="C183" s="155"/>
      <c r="E183" s="138" t="s">
        <v>58</v>
      </c>
      <c r="F183" s="139"/>
      <c r="H183" s="156" t="s">
        <v>58</v>
      </c>
      <c r="I183" s="156"/>
      <c r="K183" s="185" t="str" cm="1">
        <f t="array" aca="1" ref="K183" ca="1">_xll.d.TestUtils_IsTrue(_xll.d.Formatting_Equal(B183,H183))</f>
        <v>OK</v>
      </c>
      <c r="L183" s="185" t="str" cm="1">
        <f t="array" aca="1" ref="L183" ca="1">_xll.d.TestUtils_IsTrue(_xll.d.Formatting_Equal(C183,I183))</f>
        <v>OK</v>
      </c>
    </row>
    <row r="184" spans="2:55" x14ac:dyDescent="0.25">
      <c r="B184" s="155" t="s">
        <v>32</v>
      </c>
      <c r="C184" s="155" t="s">
        <v>33</v>
      </c>
      <c r="E184" s="136" t="s">
        <v>32</v>
      </c>
      <c r="F184" s="137" t="s">
        <v>33</v>
      </c>
      <c r="H184" s="156" t="s">
        <v>32</v>
      </c>
      <c r="I184" s="156" t="s">
        <v>33</v>
      </c>
      <c r="K184" s="185" t="str" cm="1">
        <f t="array" aca="1" ref="K184" ca="1">_xll.d.TestUtils_IsTrue(_xll.d.Formatting_Equal(B184,H184))</f>
        <v>OK</v>
      </c>
      <c r="L184" s="185" t="str" cm="1">
        <f t="array" aca="1" ref="L184" ca="1">_xll.d.TestUtils_IsTrue(_xll.d.Formatting_Equal(C184,I184))</f>
        <v>OK</v>
      </c>
    </row>
    <row r="185" spans="2:55" x14ac:dyDescent="0.25">
      <c r="B185" s="155" t="s">
        <v>13</v>
      </c>
      <c r="C185" s="155" t="s">
        <v>47</v>
      </c>
      <c r="E185" s="140" t="s">
        <v>13</v>
      </c>
      <c r="F185" s="141" t="s">
        <v>47</v>
      </c>
      <c r="H185" s="156" t="s">
        <v>13</v>
      </c>
      <c r="I185" s="156" t="s">
        <v>47</v>
      </c>
      <c r="K185" s="185" t="str" cm="1">
        <f t="array" aca="1" ref="K185" ca="1">_xll.d.TestUtils_IsTrue(_xll.d.Formatting_Equal(B185,H185))</f>
        <v>OK</v>
      </c>
      <c r="L185" s="185" t="str" cm="1">
        <f t="array" aca="1" ref="L185" ca="1">_xll.d.TestUtils_IsTrue(_xll.d.Formatting_Equal(C185,I185))</f>
        <v>OK</v>
      </c>
    </row>
    <row r="186" spans="2:55" x14ac:dyDescent="0.25">
      <c r="B186" s="155" t="s">
        <v>36</v>
      </c>
      <c r="C186" s="155" t="s">
        <v>37</v>
      </c>
      <c r="E186" s="142" t="s">
        <v>36</v>
      </c>
      <c r="F186" s="143" t="s">
        <v>37</v>
      </c>
      <c r="H186" s="156" t="s">
        <v>36</v>
      </c>
      <c r="I186" s="156" t="s">
        <v>37</v>
      </c>
      <c r="K186" s="185" t="str" cm="1">
        <f t="array" aca="1" ref="K186" ca="1">_xll.d.TestUtils_IsTrue(_xll.d.Formatting_Equal(B186,H186))</f>
        <v>OK</v>
      </c>
      <c r="L186" s="185" t="str" cm="1">
        <f t="array" aca="1" ref="L186" ca="1">_xll.d.TestUtils_IsTrue(_xll.d.Formatting_Equal(C186,I186))</f>
        <v>OK</v>
      </c>
    </row>
    <row r="187" spans="2:55" x14ac:dyDescent="0.25">
      <c r="B187" s="155" t="s">
        <v>57</v>
      </c>
      <c r="C187" s="155" t="s">
        <v>26</v>
      </c>
      <c r="E187" s="144" t="s">
        <v>57</v>
      </c>
      <c r="F187" s="145" t="s">
        <v>26</v>
      </c>
      <c r="H187" s="156" t="s">
        <v>57</v>
      </c>
      <c r="I187" s="156" t="s">
        <v>26</v>
      </c>
      <c r="K187" s="185" t="str" cm="1">
        <f t="array" aca="1" ref="K187" ca="1">_xll.d.TestUtils_IsTrue(_xll.d.Formatting_Equal(B187,H187))</f>
        <v>OK</v>
      </c>
      <c r="L187" s="185" t="str" cm="1">
        <f t="array" aca="1" ref="L187" ca="1">_xll.d.TestUtils_IsTrue(_xll.d.Formatting_Equal(C187,I187))</f>
        <v>OK</v>
      </c>
    </row>
    <row r="190" spans="2:55" ht="18.75" x14ac:dyDescent="0.3">
      <c r="B190" s="3" t="s">
        <v>175</v>
      </c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</row>
    <row r="192" spans="2:55" x14ac:dyDescent="0.25">
      <c r="B192" s="59" t="s">
        <v>136</v>
      </c>
      <c r="C192" s="185" t="str" cm="1">
        <f t="array" aca="1" ref="C192" ca="1">_xll.d.TestUtils_And(T203:X204)</f>
        <v>OK</v>
      </c>
    </row>
    <row r="194" spans="2:55" x14ac:dyDescent="0.25">
      <c r="B194" s="59" t="s">
        <v>116</v>
      </c>
      <c r="C194" s="59" t="s">
        <v>33</v>
      </c>
    </row>
    <row r="195" spans="2:55" x14ac:dyDescent="0.25">
      <c r="B195" s="98" t="s">
        <v>111</v>
      </c>
      <c r="C195" s="99" t="s">
        <v>130</v>
      </c>
    </row>
    <row r="196" spans="2:55" x14ac:dyDescent="0.25">
      <c r="B196" s="92" t="s">
        <v>112</v>
      </c>
      <c r="C196" s="93" t="s">
        <v>128</v>
      </c>
    </row>
    <row r="197" spans="2:55" x14ac:dyDescent="0.25">
      <c r="B197" s="149" t="s">
        <v>119</v>
      </c>
      <c r="C197" s="150"/>
    </row>
    <row r="199" spans="2:55" x14ac:dyDescent="0.25">
      <c r="B199" t="s">
        <v>132</v>
      </c>
    </row>
    <row r="201" spans="2:55" x14ac:dyDescent="0.25">
      <c r="B201" s="70" t="s">
        <v>92</v>
      </c>
      <c r="H201" s="70" t="s">
        <v>109</v>
      </c>
      <c r="N201" s="70" t="s">
        <v>110</v>
      </c>
      <c r="T201" s="70" t="s">
        <v>137</v>
      </c>
    </row>
    <row r="202" spans="2:55" x14ac:dyDescent="0.25">
      <c r="B202" s="155"/>
      <c r="C202" s="155"/>
      <c r="L202" s="156"/>
      <c r="M202" s="156"/>
    </row>
    <row r="203" spans="2:55" ht="15" customHeight="1" x14ac:dyDescent="0.25">
      <c r="B203" s="363" t="s">
        <v>58</v>
      </c>
      <c r="C203" s="187" t="s">
        <v>32</v>
      </c>
      <c r="D203" s="232" t="s">
        <v>13</v>
      </c>
      <c r="E203" s="233" t="s">
        <v>36</v>
      </c>
      <c r="F203" s="234" t="s">
        <v>57</v>
      </c>
      <c r="H203" s="156" t="s">
        <v>58</v>
      </c>
      <c r="I203" s="156" t="s">
        <v>32</v>
      </c>
      <c r="J203" s="156" t="s">
        <v>13</v>
      </c>
      <c r="K203" s="156" t="s">
        <v>36</v>
      </c>
      <c r="L203" s="156" t="s">
        <v>57</v>
      </c>
      <c r="N203" s="363" t="s">
        <v>58</v>
      </c>
      <c r="O203" s="187" t="s">
        <v>32</v>
      </c>
      <c r="P203" s="232" t="s">
        <v>13</v>
      </c>
      <c r="Q203" s="233" t="s">
        <v>36</v>
      </c>
      <c r="R203" s="234" t="s">
        <v>57</v>
      </c>
      <c r="T203" s="185" t="str" cm="1">
        <f t="array" aca="1" ref="T203" ca="1">_xll.d.TestUtils_IsTrue(_xll.d.Formatting_Equal(B203,N203))</f>
        <v>OK</v>
      </c>
      <c r="U203" s="185" t="str" cm="1">
        <f t="array" aca="1" ref="U203" ca="1">_xll.d.TestUtils_IsTrue(_xll.d.Formatting_Equal(C203,O203))</f>
        <v>OK</v>
      </c>
      <c r="V203" s="185" t="str" cm="1">
        <f t="array" aca="1" ref="V203" ca="1">_xll.d.TestUtils_IsTrue(_xll.d.Formatting_Equal(D203,P203))</f>
        <v>OK</v>
      </c>
      <c r="W203" s="185" t="str" cm="1">
        <f t="array" aca="1" ref="W203" ca="1">_xll.d.TestUtils_IsTrue(_xll.d.Formatting_Equal(E203,Q203))</f>
        <v>OK</v>
      </c>
      <c r="X203" s="185" t="str" cm="1">
        <f t="array" aca="1" ref="X203" ca="1">_xll.d.TestUtils_IsTrue(_xll.d.Formatting_Equal(F203,R203))</f>
        <v>OK</v>
      </c>
    </row>
    <row r="204" spans="2:55" x14ac:dyDescent="0.25">
      <c r="B204" s="362"/>
      <c r="C204" s="189" t="s">
        <v>33</v>
      </c>
      <c r="D204" s="235" t="s">
        <v>47</v>
      </c>
      <c r="E204" s="236" t="s">
        <v>37</v>
      </c>
      <c r="F204" s="237" t="s">
        <v>26</v>
      </c>
      <c r="H204" s="156"/>
      <c r="I204" s="156" t="s">
        <v>33</v>
      </c>
      <c r="J204" s="156" t="s">
        <v>47</v>
      </c>
      <c r="K204" s="156" t="s">
        <v>37</v>
      </c>
      <c r="L204" s="156" t="s">
        <v>26</v>
      </c>
      <c r="N204" s="362"/>
      <c r="O204" s="189" t="s">
        <v>33</v>
      </c>
      <c r="P204" s="235" t="s">
        <v>47</v>
      </c>
      <c r="Q204" s="236" t="s">
        <v>37</v>
      </c>
      <c r="R204" s="237" t="s">
        <v>26</v>
      </c>
      <c r="T204" s="185" t="str" cm="1">
        <f t="array" aca="1" ref="T204" ca="1">_xll.d.TestUtils_IsTrue(_xll.d.Formatting_Equal(B204,N204))</f>
        <v>OK</v>
      </c>
      <c r="U204" s="185" t="str" cm="1">
        <f t="array" aca="1" ref="U204" ca="1">_xll.d.TestUtils_IsTrue(_xll.d.Formatting_Equal(C204,O204))</f>
        <v>OK</v>
      </c>
      <c r="V204" s="185" t="str" cm="1">
        <f t="array" aca="1" ref="V204" ca="1">_xll.d.TestUtils_IsTrue(_xll.d.Formatting_Equal(D204,P204))</f>
        <v>OK</v>
      </c>
      <c r="W204" s="185" t="str" cm="1">
        <f t="array" aca="1" ref="W204" ca="1">_xll.d.TestUtils_IsTrue(_xll.d.Formatting_Equal(E204,Q204))</f>
        <v>OK</v>
      </c>
      <c r="X204" s="185" t="str" cm="1">
        <f t="array" aca="1" ref="X204" ca="1">_xll.d.TestUtils_IsTrue(_xll.d.Formatting_Equal(F204,R204))</f>
        <v>OK</v>
      </c>
    </row>
    <row r="207" spans="2:55" ht="18.75" x14ac:dyDescent="0.3">
      <c r="B207" s="3" t="s">
        <v>180</v>
      </c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</row>
    <row r="209" spans="2:24" x14ac:dyDescent="0.25">
      <c r="B209" s="59" t="s">
        <v>136</v>
      </c>
      <c r="C209" s="185" t="str" cm="1">
        <f t="array" aca="1" ref="C209" ca="1">_xll.d.TestUtils_And(T223:X229)</f>
        <v>OK</v>
      </c>
    </row>
    <row r="211" spans="2:24" x14ac:dyDescent="0.25">
      <c r="B211" s="59" t="s">
        <v>116</v>
      </c>
      <c r="C211" s="59" t="s">
        <v>33</v>
      </c>
    </row>
    <row r="212" spans="2:24" x14ac:dyDescent="0.25">
      <c r="B212" s="92" t="s">
        <v>111</v>
      </c>
      <c r="C212" s="93" t="s">
        <v>263</v>
      </c>
    </row>
    <row r="213" spans="2:24" x14ac:dyDescent="0.25">
      <c r="B213" s="94"/>
      <c r="C213" s="95" t="s">
        <v>130</v>
      </c>
    </row>
    <row r="214" spans="2:24" x14ac:dyDescent="0.25">
      <c r="B214" s="98" t="s">
        <v>112</v>
      </c>
      <c r="C214" s="99" t="s">
        <v>113</v>
      </c>
    </row>
    <row r="215" spans="2:24" x14ac:dyDescent="0.25">
      <c r="B215" s="166" t="s">
        <v>130</v>
      </c>
      <c r="C215" s="172">
        <v>2</v>
      </c>
    </row>
    <row r="216" spans="2:24" x14ac:dyDescent="0.25">
      <c r="B216" s="166" t="s">
        <v>131</v>
      </c>
      <c r="C216" s="172">
        <v>2</v>
      </c>
    </row>
    <row r="217" spans="2:24" x14ac:dyDescent="0.25">
      <c r="B217" s="149" t="s">
        <v>119</v>
      </c>
      <c r="C217" s="150"/>
    </row>
    <row r="219" spans="2:24" x14ac:dyDescent="0.25">
      <c r="B219" t="s">
        <v>264</v>
      </c>
    </row>
    <row r="221" spans="2:24" x14ac:dyDescent="0.25">
      <c r="B221" s="70" t="s">
        <v>92</v>
      </c>
      <c r="H221" s="70" t="s">
        <v>109</v>
      </c>
      <c r="N221" s="70" t="s">
        <v>110</v>
      </c>
      <c r="T221" s="70" t="s">
        <v>137</v>
      </c>
    </row>
    <row r="222" spans="2:24" x14ac:dyDescent="0.25">
      <c r="B222" s="155"/>
      <c r="C222" s="155"/>
      <c r="L222" s="156"/>
      <c r="M222" s="156"/>
    </row>
    <row r="223" spans="2:24" x14ac:dyDescent="0.25">
      <c r="B223" s="156" t="s">
        <v>261</v>
      </c>
      <c r="C223" s="156"/>
      <c r="D223" s="138" t="s">
        <v>262</v>
      </c>
      <c r="E223" s="231"/>
      <c r="F223" s="139"/>
      <c r="H223" s="156" t="s">
        <v>261</v>
      </c>
      <c r="I223" s="373" t="s">
        <v>265</v>
      </c>
      <c r="J223" s="156" t="s">
        <v>262</v>
      </c>
      <c r="K223" s="156"/>
      <c r="L223" s="156"/>
      <c r="M223" s="156"/>
      <c r="N223" s="156" t="s">
        <v>261</v>
      </c>
      <c r="O223" s="373" t="s">
        <v>265</v>
      </c>
      <c r="P223" s="374" t="s">
        <v>262</v>
      </c>
      <c r="Q223" s="375"/>
      <c r="R223" s="376"/>
      <c r="T223" s="185" t="str" cm="1">
        <f t="array" aca="1" ref="T223" ca="1">_xll.d.TestUtils_IsTrue(_xll.d.Formatting_Equal(B223,N223))</f>
        <v>OK</v>
      </c>
      <c r="U223" s="185" t="str" cm="1">
        <f t="array" aca="1" ref="U223" ca="1">_xll.d.TestUtils_IsTrue(_xll.d.Formatting_Equal(C223,O223))</f>
        <v>OK</v>
      </c>
      <c r="V223" s="185" t="str" cm="1">
        <f t="array" aca="1" ref="V223" ca="1">_xll.d.TestUtils_IsTrue(_xll.d.Formatting_Equal(D223,P223))</f>
        <v>OK</v>
      </c>
      <c r="W223" s="185" t="str" cm="1">
        <f t="array" aca="1" ref="W223" ca="1">_xll.d.TestUtils_IsTrue(_xll.d.Formatting_Equal(E223,Q223))</f>
        <v>OK</v>
      </c>
      <c r="X223" s="185" t="str" cm="1">
        <f t="array" aca="1" ref="X223" ca="1">_xll.d.TestUtils_IsTrue(_xll.d.Formatting_Equal(F223,R223))</f>
        <v>OK</v>
      </c>
    </row>
    <row r="224" spans="2:24" x14ac:dyDescent="0.25">
      <c r="B224" s="156"/>
      <c r="C224" s="156"/>
      <c r="D224" s="336">
        <v>0.75</v>
      </c>
      <c r="E224" s="337">
        <v>1</v>
      </c>
      <c r="F224" s="338">
        <v>1.25</v>
      </c>
      <c r="H224" s="373" t="s">
        <v>265</v>
      </c>
      <c r="I224" s="373" t="s">
        <v>265</v>
      </c>
      <c r="J224" s="156">
        <v>0.75</v>
      </c>
      <c r="K224" s="156">
        <v>1</v>
      </c>
      <c r="L224" s="156">
        <v>1.25</v>
      </c>
      <c r="M224" s="156"/>
      <c r="N224" s="373" t="s">
        <v>265</v>
      </c>
      <c r="O224" s="373" t="s">
        <v>265</v>
      </c>
      <c r="P224" s="377">
        <v>0.75</v>
      </c>
      <c r="Q224" s="378">
        <v>1</v>
      </c>
      <c r="R224" s="379">
        <v>1.25</v>
      </c>
      <c r="T224" s="185" t="str" cm="1">
        <f t="array" aca="1" ref="T224" ca="1">_xll.d.TestUtils_IsTrue(_xll.d.Formatting_Equal(B224,N224))</f>
        <v>OK</v>
      </c>
      <c r="U224" s="185" t="str" cm="1">
        <f t="array" aca="1" ref="U224" ca="1">_xll.d.TestUtils_IsTrue(_xll.d.Formatting_Equal(C224,O224))</f>
        <v>OK</v>
      </c>
      <c r="V224" s="185" t="str" cm="1">
        <f t="array" aca="1" ref="V224" ca="1">_xll.d.TestUtils_IsTrue(_xll.d.Formatting_Equal(D224,P224))</f>
        <v>OK</v>
      </c>
      <c r="W224" s="185" t="str" cm="1">
        <f t="array" aca="1" ref="W224" ca="1">_xll.d.TestUtils_IsTrue(_xll.d.Formatting_Equal(E224,Q224))</f>
        <v>OK</v>
      </c>
      <c r="X224" s="185" t="str" cm="1">
        <f t="array" aca="1" ref="X224" ca="1">_xll.d.TestUtils_IsTrue(_xll.d.Formatting_Equal(F224,R224))</f>
        <v>OK</v>
      </c>
    </row>
    <row r="225" spans="2:24" ht="15" customHeight="1" x14ac:dyDescent="0.25">
      <c r="B225" s="363" t="s">
        <v>39</v>
      </c>
      <c r="C225" s="342" t="s">
        <v>27</v>
      </c>
      <c r="D225" s="339">
        <v>0.25</v>
      </c>
      <c r="E225" s="334">
        <v>0.27</v>
      </c>
      <c r="F225" s="335">
        <v>0.28999999999999998</v>
      </c>
      <c r="H225" s="156" t="s">
        <v>39</v>
      </c>
      <c r="I225" s="156" t="s">
        <v>27</v>
      </c>
      <c r="J225" s="156">
        <v>0.25</v>
      </c>
      <c r="K225" s="156">
        <v>0.27</v>
      </c>
      <c r="L225" s="156">
        <v>0.28999999999999998</v>
      </c>
      <c r="M225" s="156"/>
      <c r="N225" s="363" t="s">
        <v>39</v>
      </c>
      <c r="O225" s="366" t="s">
        <v>27</v>
      </c>
      <c r="P225" s="380">
        <v>0.25</v>
      </c>
      <c r="Q225" s="369">
        <v>0.27</v>
      </c>
      <c r="R225" s="370">
        <v>0.28999999999999998</v>
      </c>
      <c r="T225" s="185" t="str" cm="1">
        <f t="array" aca="1" ref="T225" ca="1">_xll.d.TestUtils_IsTrue(_xll.d.Formatting_Equal(B225,N225))</f>
        <v>OK</v>
      </c>
      <c r="U225" s="185" t="str" cm="1">
        <f t="array" aca="1" ref="U225" ca="1">_xll.d.TestUtils_IsTrue(_xll.d.Formatting_Equal(C225,O225))</f>
        <v>OK</v>
      </c>
      <c r="V225" s="185" t="str" cm="1">
        <f t="array" aca="1" ref="V225" ca="1">_xll.d.TestUtils_IsTrue(_xll.d.Formatting_Equal(D225,P225))</f>
        <v>OK</v>
      </c>
      <c r="W225" s="185" t="str" cm="1">
        <f t="array" aca="1" ref="W225" ca="1">_xll.d.TestUtils_IsTrue(_xll.d.Formatting_Equal(E225,Q225))</f>
        <v>OK</v>
      </c>
      <c r="X225" s="185" t="str" cm="1">
        <f t="array" aca="1" ref="X225" ca="1">_xll.d.TestUtils_IsTrue(_xll.d.Formatting_Equal(F225,R225))</f>
        <v>OK</v>
      </c>
    </row>
    <row r="226" spans="2:24" x14ac:dyDescent="0.25">
      <c r="B226" s="361"/>
      <c r="C226" s="343" t="s">
        <v>28</v>
      </c>
      <c r="D226" s="340">
        <v>0.27</v>
      </c>
      <c r="E226" s="333">
        <v>0.28999999999999998</v>
      </c>
      <c r="F226" s="143">
        <v>0.31</v>
      </c>
      <c r="H226" s="156"/>
      <c r="I226" s="156" t="s">
        <v>28</v>
      </c>
      <c r="J226" s="156">
        <v>0.27</v>
      </c>
      <c r="K226" s="156">
        <v>0.28999999999999998</v>
      </c>
      <c r="L226" s="156">
        <v>0.31</v>
      </c>
      <c r="M226" s="156"/>
      <c r="N226" s="361"/>
      <c r="O226" s="367" t="s">
        <v>28</v>
      </c>
      <c r="P226" s="371">
        <v>0.27</v>
      </c>
      <c r="Q226" s="359">
        <v>0.28999999999999998</v>
      </c>
      <c r="R226" s="360">
        <v>0.31</v>
      </c>
      <c r="T226" s="185" t="str" cm="1">
        <f t="array" aca="1" ref="T226" ca="1">_xll.d.TestUtils_IsTrue(_xll.d.Formatting_Equal(B226,N226))</f>
        <v>OK</v>
      </c>
      <c r="U226" s="185" t="str" cm="1">
        <f t="array" aca="1" ref="U226" ca="1">_xll.d.TestUtils_IsTrue(_xll.d.Formatting_Equal(C226,O226))</f>
        <v>OK</v>
      </c>
      <c r="V226" s="185" t="str" cm="1">
        <f t="array" aca="1" ref="V226" ca="1">_xll.d.TestUtils_IsTrue(_xll.d.Formatting_Equal(D226,P226))</f>
        <v>OK</v>
      </c>
      <c r="W226" s="185" t="str" cm="1">
        <f t="array" aca="1" ref="W226" ca="1">_xll.d.TestUtils_IsTrue(_xll.d.Formatting_Equal(E226,Q226))</f>
        <v>OK</v>
      </c>
      <c r="X226" s="185" t="str" cm="1">
        <f t="array" aca="1" ref="X226" ca="1">_xll.d.TestUtils_IsTrue(_xll.d.Formatting_Equal(F226,R226))</f>
        <v>OK</v>
      </c>
    </row>
    <row r="227" spans="2:24" x14ac:dyDescent="0.25">
      <c r="B227" s="361"/>
      <c r="C227" s="343" t="s">
        <v>26</v>
      </c>
      <c r="D227" s="340">
        <v>0.28999999999999998</v>
      </c>
      <c r="E227" s="333">
        <v>0.31</v>
      </c>
      <c r="F227" s="143">
        <v>0.33</v>
      </c>
      <c r="H227" s="156"/>
      <c r="I227" s="156" t="s">
        <v>26</v>
      </c>
      <c r="J227" s="156">
        <v>0.28999999999999998</v>
      </c>
      <c r="K227" s="156">
        <v>0.31</v>
      </c>
      <c r="L227" s="156">
        <v>0.33</v>
      </c>
      <c r="M227" s="156"/>
      <c r="N227" s="361"/>
      <c r="O227" s="367" t="s">
        <v>26</v>
      </c>
      <c r="P227" s="371">
        <v>0.28999999999999998</v>
      </c>
      <c r="Q227" s="359">
        <v>0.31</v>
      </c>
      <c r="R227" s="360">
        <v>0.33</v>
      </c>
      <c r="T227" s="185" t="str" cm="1">
        <f t="array" aca="1" ref="T227" ca="1">_xll.d.TestUtils_IsTrue(_xll.d.Formatting_Equal(B227,N227))</f>
        <v>OK</v>
      </c>
      <c r="U227" s="185" t="str" cm="1">
        <f t="array" aca="1" ref="U227" ca="1">_xll.d.TestUtils_IsTrue(_xll.d.Formatting_Equal(C227,O227))</f>
        <v>OK</v>
      </c>
      <c r="V227" s="185" t="str" cm="1">
        <f t="array" aca="1" ref="V227" ca="1">_xll.d.TestUtils_IsTrue(_xll.d.Formatting_Equal(D227,P227))</f>
        <v>OK</v>
      </c>
      <c r="W227" s="185" t="str" cm="1">
        <f t="array" aca="1" ref="W227" ca="1">_xll.d.TestUtils_IsTrue(_xll.d.Formatting_Equal(E227,Q227))</f>
        <v>OK</v>
      </c>
      <c r="X227" s="185" t="str" cm="1">
        <f t="array" aca="1" ref="X227" ca="1">_xll.d.TestUtils_IsTrue(_xll.d.Formatting_Equal(F227,R227))</f>
        <v>OK</v>
      </c>
    </row>
    <row r="228" spans="2:24" x14ac:dyDescent="0.25">
      <c r="B228" s="361"/>
      <c r="C228" s="343" t="s">
        <v>29</v>
      </c>
      <c r="D228" s="340">
        <v>0.31</v>
      </c>
      <c r="E228" s="333">
        <v>0.33</v>
      </c>
      <c r="F228" s="143">
        <v>0.35</v>
      </c>
      <c r="H228" s="156"/>
      <c r="I228" s="156" t="s">
        <v>29</v>
      </c>
      <c r="J228" s="156">
        <v>0.31</v>
      </c>
      <c r="K228" s="156">
        <v>0.33</v>
      </c>
      <c r="L228" s="156">
        <v>0.35</v>
      </c>
      <c r="M228" s="156"/>
      <c r="N228" s="361"/>
      <c r="O228" s="367" t="s">
        <v>29</v>
      </c>
      <c r="P228" s="371">
        <v>0.31</v>
      </c>
      <c r="Q228" s="359">
        <v>0.33</v>
      </c>
      <c r="R228" s="360">
        <v>0.35</v>
      </c>
      <c r="T228" s="185" t="str" cm="1">
        <f t="array" aca="1" ref="T228" ca="1">_xll.d.TestUtils_IsTrue(_xll.d.Formatting_Equal(B228,N228))</f>
        <v>OK</v>
      </c>
      <c r="U228" s="185" t="str" cm="1">
        <f t="array" aca="1" ref="U228" ca="1">_xll.d.TestUtils_IsTrue(_xll.d.Formatting_Equal(C228,O228))</f>
        <v>OK</v>
      </c>
      <c r="V228" s="185" t="str" cm="1">
        <f t="array" aca="1" ref="V228" ca="1">_xll.d.TestUtils_IsTrue(_xll.d.Formatting_Equal(D228,P228))</f>
        <v>OK</v>
      </c>
      <c r="W228" s="185" t="str" cm="1">
        <f t="array" aca="1" ref="W228" ca="1">_xll.d.TestUtils_IsTrue(_xll.d.Formatting_Equal(E228,Q228))</f>
        <v>OK</v>
      </c>
      <c r="X228" s="185" t="str" cm="1">
        <f t="array" aca="1" ref="X228" ca="1">_xll.d.TestUtils_IsTrue(_xll.d.Formatting_Equal(F228,R228))</f>
        <v>OK</v>
      </c>
    </row>
    <row r="229" spans="2:24" x14ac:dyDescent="0.25">
      <c r="B229" s="362"/>
      <c r="C229" s="344" t="s">
        <v>62</v>
      </c>
      <c r="D229" s="341">
        <v>0.33</v>
      </c>
      <c r="E229" s="230">
        <v>0.35</v>
      </c>
      <c r="F229" s="145">
        <v>0.37</v>
      </c>
      <c r="H229" s="156"/>
      <c r="I229" s="156" t="s">
        <v>62</v>
      </c>
      <c r="J229" s="156">
        <v>0.33</v>
      </c>
      <c r="K229" s="156">
        <v>0.35</v>
      </c>
      <c r="L229" s="156">
        <v>0.37</v>
      </c>
      <c r="M229" s="156"/>
      <c r="N229" s="362"/>
      <c r="O229" s="368" t="s">
        <v>62</v>
      </c>
      <c r="P229" s="372">
        <v>0.33</v>
      </c>
      <c r="Q229" s="236">
        <v>0.35</v>
      </c>
      <c r="R229" s="237">
        <v>0.37</v>
      </c>
      <c r="T229" s="185" t="str" cm="1">
        <f t="array" aca="1" ref="T229" ca="1">_xll.d.TestUtils_IsTrue(_xll.d.Formatting_Equal(B229,N229))</f>
        <v>OK</v>
      </c>
      <c r="U229" s="185" t="str" cm="1">
        <f t="array" aca="1" ref="U229" ca="1">_xll.d.TestUtils_IsTrue(_xll.d.Formatting_Equal(C229,O229))</f>
        <v>OK</v>
      </c>
      <c r="V229" s="185" t="str" cm="1">
        <f t="array" aca="1" ref="V229" ca="1">_xll.d.TestUtils_IsTrue(_xll.d.Formatting_Equal(D229,P229))</f>
        <v>OK</v>
      </c>
      <c r="W229" s="185" t="str" cm="1">
        <f t="array" aca="1" ref="W229" ca="1">_xll.d.TestUtils_IsTrue(_xll.d.Formatting_Equal(E229,Q229))</f>
        <v>OK</v>
      </c>
      <c r="X229" s="185" t="str" cm="1">
        <f t="array" aca="1" ref="X229" ca="1">_xll.d.TestUtils_IsTrue(_xll.d.Formatting_Equal(F229,R229))</f>
        <v>OK</v>
      </c>
    </row>
    <row r="230" spans="2:24" x14ac:dyDescent="0.25">
      <c r="H230" s="156"/>
      <c r="I230" s="156"/>
      <c r="J230" s="156"/>
      <c r="K230" s="156"/>
      <c r="L230" s="156"/>
      <c r="M230" s="156"/>
      <c r="N230" s="156"/>
      <c r="O230" s="156"/>
      <c r="P230" s="156"/>
      <c r="Q230" s="156"/>
      <c r="R230" s="156"/>
    </row>
  </sheetData>
  <mergeCells count="7">
    <mergeCell ref="B225:B229"/>
    <mergeCell ref="B93:B109"/>
    <mergeCell ref="H129:H145"/>
    <mergeCell ref="N93:N109"/>
    <mergeCell ref="B203:B204"/>
    <mergeCell ref="N203:N204"/>
    <mergeCell ref="N225:N229"/>
  </mergeCells>
  <conditionalFormatting sqref="C4">
    <cfRule type="cellIs" dxfId="56" priority="16" stopIfTrue="1" operator="equal">
      <formula>"ERROR"</formula>
    </cfRule>
    <cfRule type="cellIs" dxfId="55" priority="17" stopIfTrue="1" operator="equal">
      <formula>"OK"</formula>
    </cfRule>
    <cfRule type="cellIs" dxfId="54" priority="18" stopIfTrue="1" operator="equal">
      <formula>"WARNING"</formula>
    </cfRule>
  </conditionalFormatting>
  <conditionalFormatting sqref="C7:C12">
    <cfRule type="cellIs" dxfId="53" priority="19" stopIfTrue="1" operator="equal">
      <formula>"ERROR"</formula>
    </cfRule>
    <cfRule type="cellIs" dxfId="52" priority="20" stopIfTrue="1" operator="equal">
      <formula>"OK"</formula>
    </cfRule>
    <cfRule type="cellIs" dxfId="51" priority="21" stopIfTrue="1" operator="equal">
      <formula>"WARNING"</formula>
    </cfRule>
  </conditionalFormatting>
  <conditionalFormatting sqref="C30">
    <cfRule type="cellIs" dxfId="50" priority="22" stopIfTrue="1" operator="equal">
      <formula>"ERROR"</formula>
    </cfRule>
    <cfRule type="cellIs" dxfId="49" priority="23" stopIfTrue="1" operator="equal">
      <formula>"OK"</formula>
    </cfRule>
    <cfRule type="cellIs" dxfId="48" priority="24" stopIfTrue="1" operator="equal">
      <formula>"WARNING"</formula>
    </cfRule>
  </conditionalFormatting>
  <conditionalFormatting sqref="BD45:BT49">
    <cfRule type="cellIs" dxfId="47" priority="25" stopIfTrue="1" operator="equal">
      <formula>"ERROR"</formula>
    </cfRule>
    <cfRule type="cellIs" dxfId="46" priority="26" stopIfTrue="1" operator="equal">
      <formula>"OK"</formula>
    </cfRule>
    <cfRule type="cellIs" dxfId="45" priority="27" stopIfTrue="1" operator="equal">
      <formula>"WARNING"</formula>
    </cfRule>
  </conditionalFormatting>
  <conditionalFormatting sqref="C54">
    <cfRule type="cellIs" dxfId="44" priority="28" stopIfTrue="1" operator="equal">
      <formula>"ERROR"</formula>
    </cfRule>
    <cfRule type="cellIs" dxfId="43" priority="29" stopIfTrue="1" operator="equal">
      <formula>"OK"</formula>
    </cfRule>
    <cfRule type="cellIs" dxfId="42" priority="30" stopIfTrue="1" operator="equal">
      <formula>"WARNING"</formula>
    </cfRule>
  </conditionalFormatting>
  <conditionalFormatting sqref="BD69:BT73">
    <cfRule type="cellIs" dxfId="41" priority="31" stopIfTrue="1" operator="equal">
      <formula>"ERROR"</formula>
    </cfRule>
    <cfRule type="cellIs" dxfId="40" priority="32" stopIfTrue="1" operator="equal">
      <formula>"OK"</formula>
    </cfRule>
    <cfRule type="cellIs" dxfId="39" priority="33" stopIfTrue="1" operator="equal">
      <formula>"WARNING"</formula>
    </cfRule>
  </conditionalFormatting>
  <conditionalFormatting sqref="C78">
    <cfRule type="cellIs" dxfId="38" priority="34" stopIfTrue="1" operator="equal">
      <formula>"ERROR"</formula>
    </cfRule>
    <cfRule type="cellIs" dxfId="37" priority="35" stopIfTrue="1" operator="equal">
      <formula>"OK"</formula>
    </cfRule>
    <cfRule type="cellIs" dxfId="36" priority="36" stopIfTrue="1" operator="equal">
      <formula>"WARNING"</formula>
    </cfRule>
  </conditionalFormatting>
  <conditionalFormatting sqref="T93:X109">
    <cfRule type="cellIs" dxfId="35" priority="37" stopIfTrue="1" operator="equal">
      <formula>"ERROR"</formula>
    </cfRule>
    <cfRule type="cellIs" dxfId="34" priority="38" stopIfTrue="1" operator="equal">
      <formula>"OK"</formula>
    </cfRule>
    <cfRule type="cellIs" dxfId="33" priority="39" stopIfTrue="1" operator="equal">
      <formula>"WARNING"</formula>
    </cfRule>
  </conditionalFormatting>
  <conditionalFormatting sqref="C114">
    <cfRule type="cellIs" dxfId="32" priority="40" stopIfTrue="1" operator="equal">
      <formula>"ERROR"</formula>
    </cfRule>
    <cfRule type="cellIs" dxfId="31" priority="41" stopIfTrue="1" operator="equal">
      <formula>"OK"</formula>
    </cfRule>
    <cfRule type="cellIs" dxfId="30" priority="42" stopIfTrue="1" operator="equal">
      <formula>"WARNING"</formula>
    </cfRule>
  </conditionalFormatting>
  <conditionalFormatting sqref="T129:X145">
    <cfRule type="cellIs" dxfId="29" priority="43" stopIfTrue="1" operator="equal">
      <formula>"ERROR"</formula>
    </cfRule>
    <cfRule type="cellIs" dxfId="28" priority="44" stopIfTrue="1" operator="equal">
      <formula>"OK"</formula>
    </cfRule>
    <cfRule type="cellIs" dxfId="27" priority="45" stopIfTrue="1" operator="equal">
      <formula>"WARNING"</formula>
    </cfRule>
  </conditionalFormatting>
  <conditionalFormatting sqref="C150">
    <cfRule type="cellIs" dxfId="26" priority="46" stopIfTrue="1" operator="equal">
      <formula>"ERROR"</formula>
    </cfRule>
    <cfRule type="cellIs" dxfId="25" priority="47" stopIfTrue="1" operator="equal">
      <formula>"OK"</formula>
    </cfRule>
    <cfRule type="cellIs" dxfId="24" priority="48" stopIfTrue="1" operator="equal">
      <formula>"WARNING"</formula>
    </cfRule>
  </conditionalFormatting>
  <conditionalFormatting sqref="K163:L167">
    <cfRule type="cellIs" dxfId="23" priority="49" stopIfTrue="1" operator="equal">
      <formula>"ERROR"</formula>
    </cfRule>
    <cfRule type="cellIs" dxfId="22" priority="50" stopIfTrue="1" operator="equal">
      <formula>"OK"</formula>
    </cfRule>
    <cfRule type="cellIs" dxfId="21" priority="51" stopIfTrue="1" operator="equal">
      <formula>"WARNING"</formula>
    </cfRule>
  </conditionalFormatting>
  <conditionalFormatting sqref="K183:L187">
    <cfRule type="cellIs" dxfId="20" priority="52" stopIfTrue="1" operator="equal">
      <formula>"ERROR"</formula>
    </cfRule>
    <cfRule type="cellIs" dxfId="19" priority="53" stopIfTrue="1" operator="equal">
      <formula>"OK"</formula>
    </cfRule>
    <cfRule type="cellIs" dxfId="18" priority="54" stopIfTrue="1" operator="equal">
      <formula>"WARNING"</formula>
    </cfRule>
  </conditionalFormatting>
  <conditionalFormatting sqref="C172">
    <cfRule type="cellIs" dxfId="17" priority="55" stopIfTrue="1" operator="equal">
      <formula>"ERROR"</formula>
    </cfRule>
    <cfRule type="cellIs" dxfId="16" priority="56" stopIfTrue="1" operator="equal">
      <formula>"OK"</formula>
    </cfRule>
    <cfRule type="cellIs" dxfId="15" priority="57" stopIfTrue="1" operator="equal">
      <formula>"WARNING"</formula>
    </cfRule>
  </conditionalFormatting>
  <conditionalFormatting sqref="C192">
    <cfRule type="cellIs" dxfId="14" priority="13" stopIfTrue="1" operator="equal">
      <formula>"ERROR"</formula>
    </cfRule>
    <cfRule type="cellIs" dxfId="13" priority="14" stopIfTrue="1" operator="equal">
      <formula>"OK"</formula>
    </cfRule>
    <cfRule type="cellIs" dxfId="12" priority="15" stopIfTrue="1" operator="equal">
      <formula>"WARNING"</formula>
    </cfRule>
  </conditionalFormatting>
  <conditionalFormatting sqref="T203:X204">
    <cfRule type="cellIs" dxfId="11" priority="58" stopIfTrue="1" operator="equal">
      <formula>"ERROR"</formula>
    </cfRule>
    <cfRule type="cellIs" dxfId="10" priority="59" stopIfTrue="1" operator="equal">
      <formula>"OK"</formula>
    </cfRule>
    <cfRule type="cellIs" dxfId="9" priority="60" stopIfTrue="1" operator="equal">
      <formula>"WARNING"</formula>
    </cfRule>
  </conditionalFormatting>
  <conditionalFormatting sqref="C13:C14">
    <cfRule type="cellIs" dxfId="8" priority="61" stopIfTrue="1" operator="equal">
      <formula>"ERROR"</formula>
    </cfRule>
    <cfRule type="cellIs" dxfId="7" priority="62" stopIfTrue="1" operator="equal">
      <formula>"OK"</formula>
    </cfRule>
    <cfRule type="cellIs" dxfId="6" priority="63" stopIfTrue="1" operator="equal">
      <formula>"WARNING"</formula>
    </cfRule>
  </conditionalFormatting>
  <conditionalFormatting sqref="C209">
    <cfRule type="cellIs" dxfId="5" priority="4" stopIfTrue="1" operator="equal">
      <formula>"ERROR"</formula>
    </cfRule>
    <cfRule type="cellIs" dxfId="4" priority="5" stopIfTrue="1" operator="equal">
      <formula>"OK"</formula>
    </cfRule>
    <cfRule type="cellIs" dxfId="3" priority="6" stopIfTrue="1" operator="equal">
      <formula>"WARNING"</formula>
    </cfRule>
  </conditionalFormatting>
  <conditionalFormatting sqref="T223:X229">
    <cfRule type="cellIs" dxfId="2" priority="1" stopIfTrue="1" operator="equal">
      <formula>"ERROR"</formula>
    </cfRule>
    <cfRule type="cellIs" dxfId="1" priority="2" stopIfTrue="1" operator="equal">
      <formula>"OK"</formula>
    </cfRule>
    <cfRule type="cellIs" dxfId="0" priority="3" stopIfTrue="1" operator="equal">
      <formula>"WARNING"</formula>
    </cfRule>
  </conditionalFormatting>
  <hyperlinks>
    <hyperlink ref="B39:C39" location="TableFormatting.Test1.ResetTest" display="Reset Test" xr:uid="{C6E968F6-A89C-442F-A0AC-BA7ABF55F044}"/>
    <hyperlink ref="B63:C63" location="TableFormatting.Test2.ResetTest" display="Reset Test" xr:uid="{7E746732-EBEF-49E4-BE94-F57093061195}"/>
    <hyperlink ref="B87:C87" location="TableFormatting.Test3.ResetTest" display="Reset Test" xr:uid="{D41723A6-7013-49D9-B59B-B09BB98748D2}"/>
    <hyperlink ref="B123" location="TableFormatting.Test4.ResetTest" display="Reset Test" xr:uid="{917E8DDA-4904-498B-A095-7B7F3681FFF7}"/>
    <hyperlink ref="B123:C123" location="TableFormatting.Test4.ResetTest" display="Reset Test" xr:uid="{57C3C3D0-4F4E-4CC0-A8D4-2B5013473CDD}"/>
    <hyperlink ref="E6:F6" location="TableFormatting.ResetAllSheetTests" display="Reset Alll Sheet Tests" xr:uid="{5D48F4D8-EEAB-400A-A8E6-D57EEBD4982F}"/>
    <hyperlink ref="E5:F5" location="TableFormatting.RunAllSheetTests" display="Run Alll Sheet Tests" xr:uid="{F438D9F0-443E-4BAE-A31E-9EC097AF6E43}"/>
    <hyperlink ref="B157" location="TableFormatting.Test4.ResetTest" display="Reset Test" xr:uid="{A346A7D6-BC13-45E1-A933-5844A359F14E}"/>
    <hyperlink ref="B157:C157" location="TableFormatting.Test5.ResetTest" display="Reset Test" xr:uid="{AE57B19C-0F52-459D-A81B-6B12F4B8A5E9}"/>
    <hyperlink ref="B177" location="TableFormatting.Test4.ResetTest" display="Reset Test" xr:uid="{3232C02B-4A1D-485A-87BF-BC3F4B1652B2}"/>
    <hyperlink ref="B177:C177" location="TableFormatting.Test6.ResetTest" display="Reset Test" xr:uid="{177CE5FE-0F70-4A71-B0F9-037779329A0C}"/>
    <hyperlink ref="B7" location="TableFormatting.Test1.Title" display="Test 1" xr:uid="{C9B0FFA5-234E-4E13-B31B-90FF5604EF58}"/>
    <hyperlink ref="B8" location="TableFormatting.Test2.Title" display="Test 2" xr:uid="{7D92ED21-7E19-49DF-9B5E-8CB8D17F98C0}"/>
    <hyperlink ref="B9" location="TableFormatting.Test3.Title" display="Test 3" xr:uid="{039BEB6F-1A99-444A-8E46-1C783891F604}"/>
    <hyperlink ref="B10" location="TableFormatting.Test4.Title" display="Test 4" xr:uid="{8A4EEDAA-379B-46CD-BDEF-10B17B57E744}"/>
    <hyperlink ref="B11" location="TableFormatting.Test5.Title" display="Test 5" xr:uid="{EF0CCE6C-FD69-40B6-9364-64BF3069DC7F}"/>
    <hyperlink ref="B12" location="TableFormatting.Test6.Title" display="Test 6" xr:uid="{A3A1FBD4-9A8F-4FCC-8305-F0AFFF3717AF}"/>
    <hyperlink ref="B197" location="TableFormatting.Test4.ResetTest" display="Reset Test" xr:uid="{E26FBFB9-A010-4C10-8036-2BC9DCEE3656}"/>
    <hyperlink ref="B197:C197" location="TableFormatting.Test7.ResetTest" display="Reset Test" xr:uid="{43399926-4CAA-44F5-BF67-C9E249613C8F}"/>
    <hyperlink ref="B13" location="TableFormatting.Test7.Title" display="Test 7" xr:uid="{F44D0772-A61F-42EC-9F2A-28C3142F91BD}"/>
    <hyperlink ref="B217" location="TableFormatting.Test4.ResetTest" display="Reset Test" xr:uid="{0687D9AA-52F5-4468-BEBB-53A2F7C0B3E3}"/>
    <hyperlink ref="B217:C217" location="TableFormatting.Test8.ResetTest" display="Reset Test" xr:uid="{4F397E9B-F98D-45B9-B2DC-E9242F71AE6A}"/>
    <hyperlink ref="B14" location="TableFormatting.Test8.Title" display="Test 8" xr:uid="{9309526C-C1DD-4F6F-9A89-5FFF93DA589B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46</vt:i4>
      </vt:variant>
    </vt:vector>
  </HeadingPairs>
  <TitlesOfParts>
    <vt:vector size="59" baseType="lpstr">
      <vt:lpstr>Summary</vt:lpstr>
      <vt:lpstr>Utilities</vt:lpstr>
      <vt:lpstr>Dates</vt:lpstr>
      <vt:lpstr>Interest Rate curves</vt:lpstr>
      <vt:lpstr>Curves</vt:lpstr>
      <vt:lpstr>SinlgeCurveBootstrapping</vt:lpstr>
      <vt:lpstr>MultiCurveBootstrapping</vt:lpstr>
      <vt:lpstr>HullWhite</vt:lpstr>
      <vt:lpstr>Fixed Income Instruments</vt:lpstr>
      <vt:lpstr>Interest Rate Swaps</vt:lpstr>
      <vt:lpstr>Other</vt:lpstr>
      <vt:lpstr>Test Utils</vt:lpstr>
      <vt:lpstr>Table Formatting</vt:lpstr>
      <vt:lpstr>Dates!Curves.Title</vt:lpstr>
      <vt:lpstr>Curves.Title</vt:lpstr>
      <vt:lpstr>Logic.Title</vt:lpstr>
      <vt:lpstr>Summary.ResetTestsInAllSheets</vt:lpstr>
      <vt:lpstr>Summary.RunTestsInAllSheets</vt:lpstr>
      <vt:lpstr>TableFormatting.ResetAllSheetTests</vt:lpstr>
      <vt:lpstr>TableFormatting.RunAllSheetTests</vt:lpstr>
      <vt:lpstr>TableFormatting.Test1.Input</vt:lpstr>
      <vt:lpstr>TableFormatting.Test1.Output</vt:lpstr>
      <vt:lpstr>TableFormatting.Test1.ResetTest</vt:lpstr>
      <vt:lpstr>TableFormatting.Test1.Title</vt:lpstr>
      <vt:lpstr>TableFormatting.Test2.Input</vt:lpstr>
      <vt:lpstr>TableFormatting.Test2.Output</vt:lpstr>
      <vt:lpstr>TableFormatting.Test2.ResetTest</vt:lpstr>
      <vt:lpstr>TableFormatting.Test2.Title</vt:lpstr>
      <vt:lpstr>TableFormatting.Test3.Expected.PrimaryHeader</vt:lpstr>
      <vt:lpstr>TableFormatting.Test3.Input</vt:lpstr>
      <vt:lpstr>TableFormatting.Test3.Output</vt:lpstr>
      <vt:lpstr>TableFormatting.Test3.Output.PrimaryHeader</vt:lpstr>
      <vt:lpstr>TableFormatting.Test3.ResetTest</vt:lpstr>
      <vt:lpstr>TableFormatting.Test3.Title</vt:lpstr>
      <vt:lpstr>TableFormatting.Test4.Input</vt:lpstr>
      <vt:lpstr>TableFormatting.Test4.Output</vt:lpstr>
      <vt:lpstr>TableFormatting.Test4.ResetTest</vt:lpstr>
      <vt:lpstr>TableFormatting.Test4.Title</vt:lpstr>
      <vt:lpstr>TableFormatting.Test5.Input</vt:lpstr>
      <vt:lpstr>TableFormatting.Test5.Output</vt:lpstr>
      <vt:lpstr>TableFormatting.Test5.ResetTest</vt:lpstr>
      <vt:lpstr>TableFormatting.Test5.Title</vt:lpstr>
      <vt:lpstr>TableFormatting.Test6.Input</vt:lpstr>
      <vt:lpstr>TableFormatting.Test6.Output</vt:lpstr>
      <vt:lpstr>TableFormatting.Test6.ResetTest</vt:lpstr>
      <vt:lpstr>TableFormatting.Test6.Title</vt:lpstr>
      <vt:lpstr>TableFormatting.Test7.Expected.PrimaryHeader</vt:lpstr>
      <vt:lpstr>TableFormatting.Test7.Input</vt:lpstr>
      <vt:lpstr>TableFormatting.Test7.Output</vt:lpstr>
      <vt:lpstr>TableFormatting.Test7.Output.PrimaryHeader</vt:lpstr>
      <vt:lpstr>TableFormatting.Test7.ResetTest</vt:lpstr>
      <vt:lpstr>TableFormatting.Test7.Title</vt:lpstr>
      <vt:lpstr>TableFormatting.Test8.Expected.PrimaryHeader</vt:lpstr>
      <vt:lpstr>TableFormatting.Test8.Input</vt:lpstr>
      <vt:lpstr>TableFormatting.Test8.Output</vt:lpstr>
      <vt:lpstr>TableFormatting.Test8.Output.PrimaryHeader</vt:lpstr>
      <vt:lpstr>TableFormatting.Test8.ResetTest</vt:lpstr>
      <vt:lpstr>TableFormatting.Test8.Title</vt:lpstr>
      <vt:lpstr>TableFormatting.Title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Storm Collins</dc:creator>
  <cp:lastModifiedBy>Storm Collins</cp:lastModifiedBy>
  <dcterms:created xsi:type="dcterms:W3CDTF">2022-05-06T13:34:18Z</dcterms:created>
  <dcterms:modified xsi:type="dcterms:W3CDTF">2022-11-14T16:17:55Z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a60d57e-af5b-4752-ac57-3e4f28ca11dc_Enabled">
    <vt:lpwstr>true</vt:lpwstr>
  </property>
  <property fmtid="{D5CDD505-2E9C-101B-9397-08002B2CF9AE}" pid="3" name="MSIP_Label_ea60d57e-af5b-4752-ac57-3e4f28ca11dc_SetDate">
    <vt:lpwstr>2022-05-06T13:34:21Z</vt:lpwstr>
  </property>
  <property fmtid="{D5CDD505-2E9C-101B-9397-08002B2CF9AE}" pid="4" name="MSIP_Label_ea60d57e-af5b-4752-ac57-3e4f28ca11dc_Method">
    <vt:lpwstr>Standard</vt:lpwstr>
  </property>
  <property fmtid="{D5CDD505-2E9C-101B-9397-08002B2CF9AE}" pid="5" name="MSIP_Label_ea60d57e-af5b-4752-ac57-3e4f28ca11dc_Name">
    <vt:lpwstr>ea60d57e-af5b-4752-ac57-3e4f28ca11dc</vt:lpwstr>
  </property>
  <property fmtid="{D5CDD505-2E9C-101B-9397-08002B2CF9AE}" pid="6" name="MSIP_Label_ea60d57e-af5b-4752-ac57-3e4f28ca11dc_SiteId">
    <vt:lpwstr>36da45f1-dd2c-4d1f-af13-5abe46b99921</vt:lpwstr>
  </property>
  <property fmtid="{D5CDD505-2E9C-101B-9397-08002B2CF9AE}" pid="7" name="MSIP_Label_ea60d57e-af5b-4752-ac57-3e4f28ca11dc_ActionId">
    <vt:lpwstr>b19f4d81-ae22-445b-b8a0-1f5dd5de2928</vt:lpwstr>
  </property>
  <property fmtid="{D5CDD505-2E9C-101B-9397-08002B2CF9AE}" pid="8" name="MSIP_Label_ea60d57e-af5b-4752-ac57-3e4f28ca11dc_ContentBits">
    <vt:lpwstr>0</vt:lpwstr>
  </property>
  <property fmtid="{D5CDD505-2E9C-101B-9397-08002B2CF9AE}" pid="9" name="dExcel Version">
    <vt:lpwstr>,,1,1,1,1,1.5,1.5,1.5),1.5),1.5),1.5),1.5),1.5</vt:lpwstr>
  </property>
</Properties>
</file>