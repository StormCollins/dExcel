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451F921F-876F-4A5F-8AFD-7DE1641B07A5}" xr6:coauthVersionLast="47" xr6:coauthVersionMax="47" xr10:uidLastSave="{00000000-0000-0000-0000-000000000000}"/>
  <bookViews>
    <workbookView xWindow="390" yWindow="390" windowWidth="18000" windowHeight="9360" tabRatio="485" firstSheet="4" activeTab="8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Logic" sheetId="9" r:id="rId8"/>
    <sheet name="Table Formatting" sheetId="5" r:id="rId9"/>
  </sheets>
  <definedNames>
    <definedName name="Curves.Title">Curves!$B$2</definedName>
    <definedName name="Logic.Title">Logic!$B$2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Formatting'!$T$55:$AJ$59</definedName>
    <definedName name="TableFormatting.Test1.Output">'Table Formatting'!$AL$55:$BB$59</definedName>
    <definedName name="TableFormatting.Test1.ResetTest">'Table Formatting'!$B$49:$C$49</definedName>
    <definedName name="TableFormatting.Test1.Title">'Table Formatting'!$B$38</definedName>
    <definedName name="TableFormatting.Test2.Input">'Table Formatting'!$T$79:$AJ$83</definedName>
    <definedName name="TableFormatting.Test2.Output">'Table Formatting'!$AL$79:$BB$83</definedName>
    <definedName name="TableFormatting.Test2.ResetTest">'Table Formatting'!$B$73:$C$73</definedName>
    <definedName name="TableFormatting.Test2.Title">'Table Formatting'!$B$62</definedName>
    <definedName name="TableFormatting.Test3.Input">'Table Formatting'!$H$103:$L$119</definedName>
    <definedName name="TableFormatting.Test3.Output">'Table Formatting'!$N$103:$R$119</definedName>
    <definedName name="TableFormatting.Test3.ResetTest">'Table Formatting'!$B$97:$C$97</definedName>
    <definedName name="TableFormatting.Test3.Title">'Table Formatting'!$B$86</definedName>
    <definedName name="TableFormatting.Test4.Input">'Table Formatting'!$H$139:$L$155</definedName>
    <definedName name="TableFormatting.Test4.Output">'Table Formatting'!$N$139:$R$155</definedName>
    <definedName name="TableFormatting.Test4.ResetTest">'Table Formatting'!$B$133:$C$133</definedName>
    <definedName name="TableFormatting.Test4.Title">'Table Formatting'!$B$122</definedName>
    <definedName name="TableFormatting.Test5.Input">'Table Formatting'!$E$173:$F$177</definedName>
    <definedName name="TableFormatting.Test5.Output">'Table Formatting'!$H$173:$I$177</definedName>
    <definedName name="TableFormatting.Test5.ResetTest">'Table Formatting'!$B$167:$C$167</definedName>
    <definedName name="TableFormatting.Test5.Title">'Table Formatting'!$B$158</definedName>
    <definedName name="TableFormatting.Test6.Input">'Table Formatting'!$E$193:$F$197</definedName>
    <definedName name="TableFormatting.Test6.Output">'Table Formatting'!$H$193:$I$197</definedName>
    <definedName name="TableFormatting.Test6.ResetTest">'Table Formatting'!$B$187:$C$187</definedName>
    <definedName name="TableFormatting.Test6.Title">'Table Formatting'!$B$180</definedName>
    <definedName name="TableFormatting.Title">'Table Formatting'!$B$2</definedName>
  </definedName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96" i="9" a="1"/>
  <c r="P48" i="9" a="1"/>
  <c r="K96" i="9" a="1"/>
  <c r="F96" i="9" a="1"/>
  <c r="C16" i="1" a="1"/>
  <c r="T105" i="5" a="1"/>
  <c r="W149" i="5" a="1"/>
  <c r="X155" i="5" a="1"/>
  <c r="V145" i="5" a="1"/>
  <c r="U139" i="5" a="1"/>
  <c r="T147" i="5" a="1"/>
  <c r="T153" i="5" a="1"/>
  <c r="W105" i="5" a="1"/>
  <c r="U150" i="5" a="1"/>
  <c r="U142" i="5" a="1"/>
  <c r="U141" i="5" a="1"/>
  <c r="L197" i="5" a="1"/>
  <c r="L175" i="5" a="1"/>
  <c r="T144" i="5" a="1"/>
  <c r="K196" i="5" a="1"/>
  <c r="U144" i="5" a="1"/>
  <c r="T139" i="5" a="1"/>
  <c r="V142" i="5" a="1"/>
  <c r="W139" i="5" a="1"/>
  <c r="W106" i="5" a="1"/>
  <c r="X153" i="5" a="1"/>
  <c r="X150" i="5" a="1"/>
  <c r="W146" i="5" a="1"/>
  <c r="T114" i="5" a="1"/>
  <c r="V140" i="5" a="1"/>
  <c r="T149" i="5" a="1"/>
  <c r="W152" i="5" a="1"/>
  <c r="K195" i="5" a="1"/>
  <c r="V108" i="5" a="1"/>
  <c r="U155" i="5" a="1"/>
  <c r="X145" i="5" a="1"/>
  <c r="T117" i="5" a="1"/>
  <c r="U149" i="5" a="1"/>
  <c r="W143" i="5" a="1"/>
  <c r="U152" i="5" a="1"/>
  <c r="V141" i="5" a="1"/>
  <c r="L194" i="5" a="1"/>
  <c r="U143" i="5" a="1"/>
  <c r="V147" i="5" a="1"/>
  <c r="T146" i="5" a="1"/>
  <c r="X139" i="5" a="1"/>
  <c r="V152" i="5" a="1"/>
  <c r="T108" i="5" a="1"/>
  <c r="U151" i="5" a="1"/>
  <c r="X140" i="5" a="1"/>
  <c r="V154" i="5" a="1"/>
  <c r="W154" i="5" a="1"/>
  <c r="W150" i="5" a="1"/>
  <c r="W108" i="5" a="1"/>
  <c r="W144" i="5" a="1"/>
  <c r="V146" i="5" a="1"/>
  <c r="L173" i="5" a="1"/>
  <c r="T116" i="5" a="1"/>
  <c r="W142" i="5" a="1"/>
  <c r="U146" i="5" a="1"/>
  <c r="X142" i="5" a="1"/>
  <c r="T151" i="5" a="1"/>
  <c r="T104" i="5" a="1"/>
  <c r="X152" i="5" a="1"/>
  <c r="W148" i="5" a="1"/>
  <c r="V143" i="5" a="1"/>
  <c r="T119" i="5" a="1"/>
  <c r="V150" i="5" a="1"/>
  <c r="K175" i="5" a="1"/>
  <c r="T141" i="5" a="1"/>
  <c r="U108" i="5" a="1"/>
  <c r="T109" i="5" a="1"/>
  <c r="W103" i="5" a="1"/>
  <c r="X151" i="5" a="1"/>
  <c r="T112" i="5" a="1"/>
  <c r="W141" i="5" a="1"/>
  <c r="T113" i="5" a="1"/>
  <c r="T110" i="5" a="1"/>
  <c r="T142" i="5" a="1"/>
  <c r="K177" i="5" a="1"/>
  <c r="X154" i="5" a="1"/>
  <c r="T140" i="5" a="1"/>
  <c r="L193" i="5" a="1"/>
  <c r="T143" i="5" a="1"/>
  <c r="U154" i="5" a="1"/>
  <c r="X146" i="5" a="1"/>
  <c r="X147" i="5" a="1"/>
  <c r="T107" i="5" a="1"/>
  <c r="T115" i="5" a="1"/>
  <c r="X141" i="5" a="1"/>
  <c r="K174" i="5" a="1"/>
  <c r="L176" i="5" a="1"/>
  <c r="W147" i="5" a="1"/>
  <c r="T152" i="5" a="1"/>
  <c r="T145" i="5" a="1"/>
  <c r="W145" i="5" a="1"/>
  <c r="K194" i="5" a="1"/>
  <c r="V148" i="5" a="1"/>
  <c r="W153" i="5" a="1"/>
  <c r="T103" i="5" a="1"/>
  <c r="K173" i="5" a="1"/>
  <c r="T106" i="5" a="1"/>
  <c r="V149" i="5" a="1"/>
  <c r="W151" i="5" a="1"/>
  <c r="V155" i="5" a="1"/>
  <c r="W155" i="5" a="1"/>
  <c r="T148" i="5" a="1"/>
  <c r="U140" i="5" a="1"/>
  <c r="X144" i="5" a="1"/>
  <c r="L195" i="5" a="1"/>
  <c r="T155" i="5" a="1"/>
  <c r="W140" i="5" a="1"/>
  <c r="T118" i="5" a="1"/>
  <c r="V139" i="5" a="1"/>
  <c r="L177" i="5" a="1"/>
  <c r="X149" i="5" a="1"/>
  <c r="U106" i="5" a="1"/>
  <c r="U148" i="5" a="1"/>
  <c r="K176" i="5" a="1"/>
  <c r="V144" i="5" a="1"/>
  <c r="U153" i="5" a="1"/>
  <c r="K197" i="5" a="1"/>
  <c r="L196" i="5" a="1"/>
  <c r="T111" i="5" a="1"/>
  <c r="X143" i="5" a="1"/>
  <c r="K193" i="5" a="1"/>
  <c r="U105" i="5" a="1"/>
  <c r="V151" i="5" a="1"/>
  <c r="X148" i="5" a="1"/>
  <c r="U147" i="5" a="1"/>
  <c r="U145" i="5" a="1"/>
  <c r="T154" i="5" a="1"/>
  <c r="L174" i="5" a="1"/>
  <c r="T150" i="5" a="1"/>
  <c r="V153" i="5" a="1"/>
  <c r="T109" i="5" l="1"/>
  <c r="T115" i="5"/>
  <c r="T110" i="5"/>
  <c r="T114" i="5"/>
  <c r="T104" i="5"/>
  <c r="T116" i="5"/>
  <c r="T108" i="5"/>
  <c r="T117" i="5"/>
  <c r="T105" i="5"/>
  <c r="T111" i="5"/>
  <c r="T118" i="5"/>
  <c r="T106" i="5"/>
  <c r="T112" i="5"/>
  <c r="T107" i="5"/>
  <c r="T113" i="5"/>
  <c r="T119" i="5"/>
  <c r="T140" i="5"/>
  <c r="T139" i="5"/>
  <c r="F96" i="9"/>
  <c r="K96" i="9"/>
  <c r="P48" i="9"/>
  <c r="C96" i="9"/>
  <c r="K196" i="5"/>
  <c r="L177" i="5"/>
  <c r="L196" i="5"/>
  <c r="L193" i="5"/>
  <c r="L195" i="5"/>
  <c r="K194" i="5"/>
  <c r="K177" i="5"/>
  <c r="K197" i="5"/>
  <c r="K195" i="5"/>
  <c r="L197" i="5"/>
  <c r="K193" i="5"/>
  <c r="L194" i="5"/>
  <c r="K174" i="5"/>
  <c r="L174" i="5"/>
  <c r="K175" i="5"/>
  <c r="L173" i="5"/>
  <c r="K173" i="5"/>
  <c r="L175" i="5"/>
  <c r="K176" i="5"/>
  <c r="L176" i="5"/>
  <c r="X142" i="5"/>
  <c r="T144" i="5"/>
  <c r="U145" i="5"/>
  <c r="V146" i="5"/>
  <c r="W147" i="5"/>
  <c r="X148" i="5"/>
  <c r="T150" i="5"/>
  <c r="U151" i="5"/>
  <c r="V152" i="5"/>
  <c r="W153" i="5"/>
  <c r="X154" i="5"/>
  <c r="V139" i="5"/>
  <c r="T149" i="5"/>
  <c r="T142" i="5"/>
  <c r="U143" i="5"/>
  <c r="W145" i="5"/>
  <c r="X146" i="5"/>
  <c r="T148" i="5"/>
  <c r="U149" i="5"/>
  <c r="W151" i="5"/>
  <c r="X152" i="5"/>
  <c r="T154" i="5"/>
  <c r="U155" i="5"/>
  <c r="U139" i="5"/>
  <c r="X141" i="5"/>
  <c r="X153" i="5"/>
  <c r="X140" i="5"/>
  <c r="V144" i="5"/>
  <c r="V150" i="5"/>
  <c r="V145" i="5"/>
  <c r="U150" i="5"/>
  <c r="X139" i="5"/>
  <c r="U142" i="5"/>
  <c r="W144" i="5"/>
  <c r="X145" i="5"/>
  <c r="T147" i="5"/>
  <c r="V149" i="5"/>
  <c r="W150" i="5"/>
  <c r="X151" i="5"/>
  <c r="T153" i="5"/>
  <c r="U154" i="5"/>
  <c r="V155" i="5"/>
  <c r="U144" i="5"/>
  <c r="W146" i="5"/>
  <c r="W139" i="5"/>
  <c r="T141" i="5"/>
  <c r="V143" i="5"/>
  <c r="U148" i="5"/>
  <c r="W140" i="5"/>
  <c r="X147" i="5"/>
  <c r="U141" i="5"/>
  <c r="W143" i="5"/>
  <c r="X144" i="5"/>
  <c r="T146" i="5"/>
  <c r="V148" i="5"/>
  <c r="W149" i="5"/>
  <c r="X150" i="5"/>
  <c r="T152" i="5"/>
  <c r="U153" i="5"/>
  <c r="V154" i="5"/>
  <c r="W155" i="5"/>
  <c r="V140" i="5"/>
  <c r="V151" i="5"/>
  <c r="V142" i="5"/>
  <c r="U147" i="5"/>
  <c r="W152" i="5"/>
  <c r="V141" i="5"/>
  <c r="W142" i="5"/>
  <c r="T145" i="5"/>
  <c r="U146" i="5"/>
  <c r="V147" i="5"/>
  <c r="X149" i="5"/>
  <c r="T151" i="5"/>
  <c r="U152" i="5"/>
  <c r="V153" i="5"/>
  <c r="W154" i="5"/>
  <c r="X155" i="5"/>
  <c r="W141" i="5"/>
  <c r="T143" i="5"/>
  <c r="T155" i="5"/>
  <c r="U140" i="5"/>
  <c r="X143" i="5"/>
  <c r="W148" i="5"/>
  <c r="C16" i="1"/>
  <c r="U105" i="5"/>
  <c r="U106" i="5"/>
  <c r="W106" i="5"/>
  <c r="V108" i="5"/>
  <c r="U108" i="5"/>
  <c r="W105" i="5"/>
  <c r="W108" i="5"/>
  <c r="T103" i="5"/>
  <c r="W103" i="5"/>
  <c r="G21" i="1"/>
  <c r="M21" i="1"/>
  <c r="J23" i="1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Y20" i="3"/>
  <c r="Y19" i="3"/>
  <c r="V20" i="3"/>
  <c r="V19" i="3"/>
  <c r="T22" i="3"/>
  <c r="R20" i="3"/>
  <c r="S13" i="3"/>
  <c r="S14" i="3"/>
  <c r="R15" i="3"/>
  <c r="S15" i="3"/>
  <c r="R16" i="3"/>
  <c r="S16" i="3"/>
  <c r="R17" i="3"/>
  <c r="S17" i="3"/>
  <c r="R18" i="3"/>
  <c r="R12" i="3"/>
  <c r="S23" i="3" s="1"/>
  <c r="S24" i="3" s="1"/>
  <c r="I10" i="4"/>
  <c r="I15" i="4" s="1"/>
  <c r="G12" i="3"/>
  <c r="G14" i="3" s="1"/>
  <c r="H14" i="3" s="1"/>
  <c r="C62" i="2"/>
  <c r="E64" i="2"/>
  <c r="C6" i="2" a="1"/>
  <c r="O6" i="3" a="1"/>
  <c r="D4" i="4" a="1"/>
  <c r="D5" i="4" a="1"/>
  <c r="D6" i="3" a="1"/>
  <c r="O85" i="9" a="1"/>
  <c r="C85" i="9" a="1"/>
  <c r="C101" i="9" a="1"/>
  <c r="J85" i="9" a="1"/>
  <c r="E85" i="9" a="1"/>
  <c r="O101" i="9" a="1"/>
  <c r="J101" i="9" a="1"/>
  <c r="E101" i="9" a="1"/>
  <c r="O37" i="9" a="1"/>
  <c r="O21" i="9" a="1"/>
  <c r="O53" i="9" a="1"/>
  <c r="O69" i="9" a="1"/>
  <c r="E37" i="9" a="1"/>
  <c r="C37" i="9" a="1"/>
  <c r="C21" i="9" a="1"/>
  <c r="E53" i="9" a="1"/>
  <c r="J53" i="9" a="1"/>
  <c r="E69" i="9" a="1"/>
  <c r="C53" i="9" a="1"/>
  <c r="J69" i="9" a="1"/>
  <c r="C69" i="9" a="1"/>
  <c r="E21" i="9" a="1"/>
  <c r="J37" i="9" a="1"/>
  <c r="J21" i="9" a="1"/>
  <c r="H34" i="1" a="1"/>
  <c r="H29" i="1" a="1"/>
  <c r="H32" i="1" a="1"/>
  <c r="H35" i="1" a="1"/>
  <c r="H36" i="1" a="1"/>
  <c r="H37" i="1" a="1"/>
  <c r="H30" i="1" a="1"/>
  <c r="H39" i="1" a="1"/>
  <c r="H33" i="1" a="1"/>
  <c r="H38" i="1" a="1"/>
  <c r="H31" i="1" a="1"/>
  <c r="T14" i="3" a="1"/>
  <c r="Z20" i="3" a="1"/>
  <c r="T17" i="3" a="1"/>
  <c r="T18" i="3" a="1"/>
  <c r="Z19" i="3" a="1"/>
  <c r="W20" i="3" a="1"/>
  <c r="W19" i="3" a="1"/>
  <c r="T12" i="3" a="1"/>
  <c r="T20" i="3" a="1"/>
  <c r="S20" i="3" a="1"/>
  <c r="T13" i="3" a="1"/>
  <c r="T19" i="3" a="1"/>
  <c r="T15" i="3" a="1"/>
  <c r="T16" i="3" a="1"/>
  <c r="X111" i="5" a="1"/>
  <c r="U110" i="5" a="1"/>
  <c r="W113" i="5" a="1"/>
  <c r="BT58" i="5" a="1"/>
  <c r="BT55" i="5" a="1"/>
  <c r="BL58" i="5" a="1"/>
  <c r="BL79" i="5" a="1"/>
  <c r="BM56" i="5" a="1"/>
  <c r="BD81" i="5" a="1"/>
  <c r="V114" i="5" a="1"/>
  <c r="BI80" i="5" a="1"/>
  <c r="W119" i="5" a="1"/>
  <c r="BS57" i="5" a="1"/>
  <c r="BQ57" i="5" a="1"/>
  <c r="BG79" i="5" a="1"/>
  <c r="BJ83" i="5" a="1"/>
  <c r="BH57" i="5" a="1"/>
  <c r="BH59" i="5" a="1"/>
  <c r="BQ55" i="5" a="1"/>
  <c r="BJ58" i="5" a="1"/>
  <c r="BI58" i="5" a="1"/>
  <c r="BG81" i="5" a="1"/>
  <c r="BM81" i="5" a="1"/>
  <c r="X114" i="5" a="1"/>
  <c r="BF83" i="5" a="1"/>
  <c r="BR57" i="5" a="1"/>
  <c r="BQ58" i="5" a="1"/>
  <c r="V110" i="5" a="1"/>
  <c r="W112" i="5" a="1"/>
  <c r="BK80" i="5" a="1"/>
  <c r="BO58" i="5" a="1"/>
  <c r="BT56" i="5" a="1"/>
  <c r="BG83" i="5" a="1"/>
  <c r="BQ82" i="5" a="1"/>
  <c r="BE83" i="5" a="1"/>
  <c r="BO79" i="5" a="1"/>
  <c r="BQ81" i="5" a="1"/>
  <c r="BD56" i="5" a="1"/>
  <c r="BG57" i="5" a="1"/>
  <c r="BD55" i="5" a="1"/>
  <c r="V103" i="5" a="1"/>
  <c r="V119" i="5" a="1"/>
  <c r="BP58" i="5" a="1"/>
  <c r="U107" i="5" a="1"/>
  <c r="W109" i="5" a="1"/>
  <c r="W110" i="5" a="1"/>
  <c r="BF79" i="5" a="1"/>
  <c r="BG59" i="5" a="1"/>
  <c r="BJ57" i="5" a="1"/>
  <c r="BR58" i="5" a="1"/>
  <c r="U112" i="5" a="1"/>
  <c r="BM57" i="5" a="1"/>
  <c r="BN59" i="5" a="1"/>
  <c r="BE82" i="5" a="1"/>
  <c r="V107" i="5" a="1"/>
  <c r="BN55" i="5" a="1"/>
  <c r="BR82" i="5" a="1"/>
  <c r="BR83" i="5" a="1"/>
  <c r="V117" i="5" a="1"/>
  <c r="X108" i="5" a="1"/>
  <c r="BH82" i="5" a="1"/>
  <c r="BD80" i="5" a="1"/>
  <c r="BS59" i="5" a="1"/>
  <c r="BO55" i="5" a="1"/>
  <c r="BR79" i="5" a="1"/>
  <c r="BH80" i="5" a="1"/>
  <c r="BP80" i="5" a="1"/>
  <c r="BT59" i="5" a="1"/>
  <c r="BF80" i="5" a="1"/>
  <c r="BI55" i="5" a="1"/>
  <c r="BH55" i="5" a="1"/>
  <c r="BH81" i="5" a="1"/>
  <c r="BI81" i="5" a="1"/>
  <c r="U104" i="5" a="1"/>
  <c r="W118" i="5" a="1"/>
  <c r="BM80" i="5" a="1"/>
  <c r="V106" i="5" a="1"/>
  <c r="BF81" i="5" a="1"/>
  <c r="BI56" i="5" a="1"/>
  <c r="BM82" i="5" a="1"/>
  <c r="BO80" i="5" a="1"/>
  <c r="BG55" i="5" a="1"/>
  <c r="U115" i="5" a="1"/>
  <c r="BI82" i="5" a="1"/>
  <c r="U118" i="5" a="1"/>
  <c r="BR59" i="5" a="1"/>
  <c r="BN57" i="5" a="1"/>
  <c r="BK79" i="5" a="1"/>
  <c r="BP55" i="5" a="1"/>
  <c r="BI83" i="5" a="1"/>
  <c r="V118" i="5" a="1"/>
  <c r="BT82" i="5" a="1"/>
  <c r="BT79" i="5" a="1"/>
  <c r="BD59" i="5" a="1"/>
  <c r="BN83" i="5" a="1"/>
  <c r="V105" i="5" a="1"/>
  <c r="X109" i="5" a="1"/>
  <c r="BE56" i="5" a="1"/>
  <c r="X115" i="5" a="1"/>
  <c r="BP59" i="5" a="1"/>
  <c r="X104" i="5" a="1"/>
  <c r="BH58" i="5" a="1"/>
  <c r="V112" i="5" a="1"/>
  <c r="BK82" i="5" a="1"/>
  <c r="BS80" i="5" a="1"/>
  <c r="BE79" i="5" a="1"/>
  <c r="BL80" i="5" a="1"/>
  <c r="U116" i="5" a="1"/>
  <c r="W115" i="5" a="1"/>
  <c r="BJ82" i="5" a="1"/>
  <c r="BG82" i="5" a="1"/>
  <c r="BO56" i="5" a="1"/>
  <c r="BG58" i="5" a="1"/>
  <c r="BQ56" i="5" a="1"/>
  <c r="U103" i="5" a="1"/>
  <c r="BL81" i="5" a="1"/>
  <c r="W114" i="5" a="1"/>
  <c r="BS56" i="5" a="1"/>
  <c r="BR80" i="5" a="1"/>
  <c r="BO59" i="5" a="1"/>
  <c r="X110" i="5" a="1"/>
  <c r="BD58" i="5" a="1"/>
  <c r="BT81" i="5" a="1"/>
  <c r="V113" i="5" a="1"/>
  <c r="BN81" i="5" a="1"/>
  <c r="W107" i="5" a="1"/>
  <c r="BJ80" i="5" a="1"/>
  <c r="BN58" i="5" a="1"/>
  <c r="W116" i="5" a="1"/>
  <c r="BO82" i="5" a="1"/>
  <c r="BF55" i="5" a="1"/>
  <c r="BD57" i="5" a="1"/>
  <c r="X106" i="5" a="1"/>
  <c r="BN56" i="5" a="1"/>
  <c r="U109" i="5" a="1"/>
  <c r="BI57" i="5" a="1"/>
  <c r="X113" i="5" a="1"/>
  <c r="BN80" i="5" a="1"/>
  <c r="BQ80" i="5" a="1"/>
  <c r="BS82" i="5" a="1"/>
  <c r="BO83" i="5" a="1"/>
  <c r="BM79" i="5" a="1"/>
  <c r="BT83" i="5" a="1"/>
  <c r="BF56" i="5" a="1"/>
  <c r="U114" i="5" a="1"/>
  <c r="C124" i="5" a="1"/>
  <c r="X107" i="5" a="1"/>
  <c r="BL55" i="5" a="1"/>
  <c r="BE59" i="5" a="1"/>
  <c r="BH83" i="5" a="1"/>
  <c r="BT80" i="5" a="1"/>
  <c r="BF59" i="5" a="1"/>
  <c r="BL83" i="5" a="1"/>
  <c r="W117" i="5" a="1"/>
  <c r="BM55" i="5" a="1"/>
  <c r="U113" i="5" a="1"/>
  <c r="BR81" i="5" a="1"/>
  <c r="BT57" i="5" a="1"/>
  <c r="BQ83" i="5" a="1"/>
  <c r="BG56" i="5" a="1"/>
  <c r="BK56" i="5" a="1"/>
  <c r="X112" i="5" a="1"/>
  <c r="BH79" i="5" a="1"/>
  <c r="BP82" i="5" a="1"/>
  <c r="BE57" i="5" a="1"/>
  <c r="BJ81" i="5" a="1"/>
  <c r="U119" i="5" a="1"/>
  <c r="BK57" i="5" a="1"/>
  <c r="BP56" i="5" a="1"/>
  <c r="BN79" i="5" a="1"/>
  <c r="BJ56" i="5" a="1"/>
  <c r="BS58" i="5" a="1"/>
  <c r="BP81" i="5" a="1"/>
  <c r="V116" i="5" a="1"/>
  <c r="BJ79" i="5" a="1"/>
  <c r="V115" i="5" a="1"/>
  <c r="X103" i="5" a="1"/>
  <c r="U117" i="5" a="1"/>
  <c r="BP57" i="5" a="1"/>
  <c r="BI79" i="5" a="1"/>
  <c r="BO81" i="5" a="1"/>
  <c r="BQ59" i="5" a="1"/>
  <c r="BE81" i="5" a="1"/>
  <c r="V111" i="5" a="1"/>
  <c r="BS55" i="5" a="1"/>
  <c r="BO57" i="5" a="1"/>
  <c r="C182" i="5" a="1"/>
  <c r="BF58" i="5" a="1"/>
  <c r="BK59" i="5" a="1"/>
  <c r="BQ79" i="5" a="1"/>
  <c r="X116" i="5" a="1"/>
  <c r="BF57" i="5" a="1"/>
  <c r="BE80" i="5" a="1"/>
  <c r="BD82" i="5" a="1"/>
  <c r="V104" i="5" a="1"/>
  <c r="X117" i="5" a="1"/>
  <c r="BK58" i="5" a="1"/>
  <c r="BS83" i="5" a="1"/>
  <c r="BJ55" i="5" a="1"/>
  <c r="V109" i="5" a="1"/>
  <c r="W111" i="5" a="1"/>
  <c r="W104" i="5" a="1"/>
  <c r="U111" i="5" a="1"/>
  <c r="BF82" i="5" a="1"/>
  <c r="BR55" i="5" a="1"/>
  <c r="X118" i="5" a="1"/>
  <c r="BP83" i="5" a="1"/>
  <c r="BP79" i="5" a="1"/>
  <c r="BD79" i="5" a="1"/>
  <c r="BL56" i="5" a="1"/>
  <c r="X105" i="5" a="1"/>
  <c r="BL59" i="5" a="1"/>
  <c r="BG80" i="5" a="1"/>
  <c r="BE58" i="5" a="1"/>
  <c r="BD83" i="5" a="1"/>
  <c r="X119" i="5" a="1"/>
  <c r="BL57" i="5" a="1"/>
  <c r="BK83" i="5" a="1"/>
  <c r="BI59" i="5" a="1"/>
  <c r="BS81" i="5" a="1"/>
  <c r="BL82" i="5" a="1"/>
  <c r="BR56" i="5" a="1"/>
  <c r="BM59" i="5" a="1"/>
  <c r="BM83" i="5" a="1"/>
  <c r="BK55" i="5" a="1"/>
  <c r="C160" i="5" a="1"/>
  <c r="BE55" i="5" a="1"/>
  <c r="BN82" i="5" a="1"/>
  <c r="BJ59" i="5" a="1"/>
  <c r="BK81" i="5" a="1"/>
  <c r="BH56" i="5" a="1"/>
  <c r="BM58" i="5" a="1"/>
  <c r="BS79" i="5" a="1"/>
  <c r="C182" i="5" l="1"/>
  <c r="C12" i="5" s="1"/>
  <c r="C160" i="5"/>
  <c r="C11" i="5" s="1"/>
  <c r="C124" i="5"/>
  <c r="C10" i="5" s="1"/>
  <c r="M25" i="1"/>
  <c r="H30" i="1"/>
  <c r="H37" i="1"/>
  <c r="H36" i="1"/>
  <c r="H35" i="1"/>
  <c r="H32" i="1"/>
  <c r="H29" i="1"/>
  <c r="H31" i="1"/>
  <c r="H34" i="1"/>
  <c r="H38" i="1"/>
  <c r="H33" i="1"/>
  <c r="H39" i="1"/>
  <c r="O85" i="9"/>
  <c r="E85" i="9"/>
  <c r="J85" i="9"/>
  <c r="C101" i="9"/>
  <c r="C85" i="9"/>
  <c r="J101" i="9"/>
  <c r="O101" i="9"/>
  <c r="E101" i="9"/>
  <c r="O69" i="9"/>
  <c r="O53" i="9"/>
  <c r="O21" i="9"/>
  <c r="O37" i="9"/>
  <c r="J69" i="9"/>
  <c r="E69" i="9"/>
  <c r="C69" i="9"/>
  <c r="J53" i="9"/>
  <c r="E53" i="9"/>
  <c r="C53" i="9"/>
  <c r="J37" i="9"/>
  <c r="E37" i="9"/>
  <c r="C37" i="9"/>
  <c r="BL79" i="5"/>
  <c r="BS79" i="5"/>
  <c r="BT79" i="5"/>
  <c r="BF79" i="5"/>
  <c r="BG79" i="5"/>
  <c r="BH79" i="5"/>
  <c r="BN79" i="5"/>
  <c r="BI79" i="5"/>
  <c r="BO79" i="5"/>
  <c r="BM79" i="5"/>
  <c r="BD79" i="5"/>
  <c r="BJ79" i="5"/>
  <c r="BP79" i="5"/>
  <c r="BD82" i="5"/>
  <c r="BD80" i="5"/>
  <c r="BR79" i="5"/>
  <c r="BE79" i="5"/>
  <c r="BK79" i="5"/>
  <c r="BQ79" i="5"/>
  <c r="BD81" i="5"/>
  <c r="J21" i="9"/>
  <c r="C21" i="9"/>
  <c r="E21" i="9"/>
  <c r="V103" i="5"/>
  <c r="U115" i="5"/>
  <c r="U116" i="5"/>
  <c r="U111" i="5"/>
  <c r="U109" i="5"/>
  <c r="U110" i="5"/>
  <c r="U112" i="5"/>
  <c r="U113" i="5"/>
  <c r="U114" i="5"/>
  <c r="V119" i="5"/>
  <c r="W114" i="5"/>
  <c r="V113" i="5"/>
  <c r="X109" i="5"/>
  <c r="V107" i="5"/>
  <c r="U118" i="5"/>
  <c r="W109" i="5"/>
  <c r="U107" i="5"/>
  <c r="X104" i="5"/>
  <c r="X110" i="5"/>
  <c r="X103" i="5"/>
  <c r="X117" i="5"/>
  <c r="W116" i="5"/>
  <c r="V115" i="5"/>
  <c r="X111" i="5"/>
  <c r="W110" i="5"/>
  <c r="V109" i="5"/>
  <c r="X105" i="5"/>
  <c r="W104" i="5"/>
  <c r="W115" i="5"/>
  <c r="X116" i="5"/>
  <c r="U103" i="5"/>
  <c r="X118" i="5"/>
  <c r="W117" i="5"/>
  <c r="V116" i="5"/>
  <c r="X112" i="5"/>
  <c r="W111" i="5"/>
  <c r="V110" i="5"/>
  <c r="X106" i="5"/>
  <c r="V104" i="5"/>
  <c r="U119" i="5"/>
  <c r="X119" i="5"/>
  <c r="W118" i="5"/>
  <c r="V117" i="5"/>
  <c r="X113" i="5"/>
  <c r="W112" i="5"/>
  <c r="V111" i="5"/>
  <c r="X107" i="5"/>
  <c r="V105" i="5"/>
  <c r="U104" i="5"/>
  <c r="X115" i="5"/>
  <c r="V114" i="5"/>
  <c r="W119" i="5"/>
  <c r="V118" i="5"/>
  <c r="U117" i="5"/>
  <c r="X114" i="5"/>
  <c r="W113" i="5"/>
  <c r="V112" i="5"/>
  <c r="X108" i="5"/>
  <c r="W107" i="5"/>
  <c r="V106" i="5"/>
  <c r="BK55" i="5"/>
  <c r="BP55" i="5"/>
  <c r="BQ55" i="5"/>
  <c r="BF55" i="5"/>
  <c r="BL55" i="5"/>
  <c r="BR55" i="5"/>
  <c r="BO55" i="5"/>
  <c r="BJ55" i="5"/>
  <c r="BE55" i="5"/>
  <c r="BM55" i="5"/>
  <c r="BS55" i="5"/>
  <c r="BG55" i="5"/>
  <c r="BD55" i="5"/>
  <c r="BN55" i="5"/>
  <c r="BT55" i="5"/>
  <c r="BI55" i="5"/>
  <c r="BH55" i="5"/>
  <c r="BE80" i="5"/>
  <c r="BG82" i="5"/>
  <c r="BH83" i="5"/>
  <c r="BT83" i="5"/>
  <c r="BF80" i="5"/>
  <c r="BR80" i="5"/>
  <c r="BM81" i="5"/>
  <c r="BG80" i="5"/>
  <c r="BM80" i="5"/>
  <c r="BS80" i="5"/>
  <c r="BH81" i="5"/>
  <c r="BN81" i="5"/>
  <c r="BT81" i="5"/>
  <c r="BI82" i="5"/>
  <c r="BO82" i="5"/>
  <c r="BD83" i="5"/>
  <c r="BJ83" i="5"/>
  <c r="BP83" i="5"/>
  <c r="BF81" i="5"/>
  <c r="BL81" i="5"/>
  <c r="BN80" i="5"/>
  <c r="BT80" i="5"/>
  <c r="BI81" i="5"/>
  <c r="BO81" i="5"/>
  <c r="BJ82" i="5"/>
  <c r="BP82" i="5"/>
  <c r="BE83" i="5"/>
  <c r="BK83" i="5"/>
  <c r="BQ83" i="5"/>
  <c r="BO80" i="5"/>
  <c r="BQ80" i="5"/>
  <c r="BM82" i="5"/>
  <c r="BH80" i="5"/>
  <c r="BI80" i="5"/>
  <c r="BJ81" i="5"/>
  <c r="BP81" i="5"/>
  <c r="BE82" i="5"/>
  <c r="BK82" i="5"/>
  <c r="BQ82" i="5"/>
  <c r="BF83" i="5"/>
  <c r="BL83" i="5"/>
  <c r="BR83" i="5"/>
  <c r="BJ80" i="5"/>
  <c r="BP80" i="5"/>
  <c r="BE81" i="5"/>
  <c r="BK81" i="5"/>
  <c r="BQ81" i="5"/>
  <c r="BF82" i="5"/>
  <c r="BL82" i="5"/>
  <c r="BR82" i="5"/>
  <c r="BG83" i="5"/>
  <c r="BM83" i="5"/>
  <c r="BS83" i="5"/>
  <c r="BK80" i="5"/>
  <c r="BR81" i="5"/>
  <c r="BS82" i="5"/>
  <c r="BN83" i="5"/>
  <c r="BL80" i="5"/>
  <c r="BG81" i="5"/>
  <c r="BS81" i="5"/>
  <c r="BH82" i="5"/>
  <c r="BN82" i="5"/>
  <c r="BT82" i="5"/>
  <c r="BI83" i="5"/>
  <c r="BO83" i="5"/>
  <c r="BD57" i="5"/>
  <c r="BD58" i="5"/>
  <c r="BD59" i="5"/>
  <c r="BT58" i="5"/>
  <c r="BT59" i="5"/>
  <c r="BD56" i="5"/>
  <c r="BK59" i="5"/>
  <c r="BE59" i="5"/>
  <c r="BO58" i="5"/>
  <c r="BI58" i="5"/>
  <c r="BS57" i="5"/>
  <c r="BM57" i="5"/>
  <c r="BG57" i="5"/>
  <c r="BQ56" i="5"/>
  <c r="BK56" i="5"/>
  <c r="BE56" i="5"/>
  <c r="BJ59" i="5"/>
  <c r="BL57" i="5"/>
  <c r="BF57" i="5"/>
  <c r="BP56" i="5"/>
  <c r="BJ56" i="5"/>
  <c r="BI59" i="5"/>
  <c r="BQ57" i="5"/>
  <c r="BE57" i="5"/>
  <c r="BI56" i="5"/>
  <c r="BQ59" i="5"/>
  <c r="BN58" i="5"/>
  <c r="BS58" i="5"/>
  <c r="BK57" i="5"/>
  <c r="BH59" i="5"/>
  <c r="BR58" i="5"/>
  <c r="BL58" i="5"/>
  <c r="BF58" i="5"/>
  <c r="BP57" i="5"/>
  <c r="BJ57" i="5"/>
  <c r="BT56" i="5"/>
  <c r="BN56" i="5"/>
  <c r="BH56" i="5"/>
  <c r="BH58" i="5"/>
  <c r="BO59" i="5"/>
  <c r="BM58" i="5"/>
  <c r="BO56" i="5"/>
  <c r="BN59" i="5"/>
  <c r="BR57" i="5"/>
  <c r="BG58" i="5"/>
  <c r="BS59" i="5"/>
  <c r="BM59" i="5"/>
  <c r="BG59" i="5"/>
  <c r="BQ58" i="5"/>
  <c r="BK58" i="5"/>
  <c r="BE58" i="5"/>
  <c r="BO57" i="5"/>
  <c r="BI57" i="5"/>
  <c r="BS56" i="5"/>
  <c r="BM56" i="5"/>
  <c r="BG56" i="5"/>
  <c r="BP59" i="5"/>
  <c r="BR59" i="5"/>
  <c r="BL59" i="5"/>
  <c r="BF59" i="5"/>
  <c r="BP58" i="5"/>
  <c r="BJ58" i="5"/>
  <c r="BT57" i="5"/>
  <c r="BN57" i="5"/>
  <c r="BH57" i="5"/>
  <c r="BR56" i="5"/>
  <c r="BL56" i="5"/>
  <c r="BF56" i="5"/>
  <c r="D6" i="3"/>
  <c r="C6" i="2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22" i="1"/>
  <c r="M24" i="1"/>
  <c r="M23" i="1"/>
  <c r="M22" i="1"/>
  <c r="J24" i="1"/>
  <c r="J25" i="1"/>
  <c r="G31" i="1"/>
  <c r="S18" i="3"/>
  <c r="I12" i="4"/>
  <c r="J12" i="4" s="1"/>
  <c r="I14" i="4"/>
  <c r="J14" i="4" s="1"/>
  <c r="J15" i="4" s="1"/>
  <c r="D5" i="4"/>
  <c r="D4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H17" i="2" a="1"/>
  <c r="P80" i="9" a="1"/>
  <c r="C80" i="9" a="1"/>
  <c r="F80" i="9" a="1"/>
  <c r="K80" i="9" a="1"/>
  <c r="P96" i="9" a="1"/>
  <c r="P64" i="9" a="1"/>
  <c r="P16" i="9" a="1"/>
  <c r="P32" i="9" a="1"/>
  <c r="C32" i="9" a="1"/>
  <c r="F64" i="9" a="1"/>
  <c r="K64" i="9" a="1"/>
  <c r="C64" i="9" a="1"/>
  <c r="C16" i="9" a="1"/>
  <c r="F48" i="9" a="1"/>
  <c r="C48" i="9" a="1"/>
  <c r="K16" i="9" a="1"/>
  <c r="K32" i="9" a="1"/>
  <c r="F32" i="9" a="1"/>
  <c r="F16" i="9" a="1"/>
  <c r="K48" i="9" a="1"/>
  <c r="I33" i="1" a="1"/>
  <c r="N22" i="1" a="1"/>
  <c r="N21" i="1" a="1"/>
  <c r="I36" i="1" a="1"/>
  <c r="K24" i="1" a="1"/>
  <c r="I39" i="1" a="1"/>
  <c r="H21" i="1" a="1"/>
  <c r="I35" i="1" a="1"/>
  <c r="Q19" i="1" a="1"/>
  <c r="I38" i="1" a="1"/>
  <c r="K23" i="1" a="1"/>
  <c r="I34" i="1" a="1"/>
  <c r="K25" i="1" a="1"/>
  <c r="I32" i="1" a="1"/>
  <c r="N25" i="1" a="1"/>
  <c r="I29" i="1" a="1"/>
  <c r="K22" i="1" a="1"/>
  <c r="I37" i="1" a="1"/>
  <c r="N23" i="1" a="1"/>
  <c r="I31" i="1" a="1"/>
  <c r="K21" i="1" a="1"/>
  <c r="I30" i="1" a="1"/>
  <c r="N24" i="1" a="1"/>
  <c r="I13" i="3" a="1"/>
  <c r="K12" i="4" a="1"/>
  <c r="I17" i="3" a="1"/>
  <c r="I15" i="3" a="1"/>
  <c r="K14" i="4" a="1"/>
  <c r="K13" i="4" a="1"/>
  <c r="D64" i="2" a="1"/>
  <c r="K15" i="4" a="1"/>
  <c r="K11" i="4" a="1"/>
  <c r="I14" i="3" a="1"/>
  <c r="D62" i="2" a="1"/>
  <c r="I16" i="3" a="1"/>
  <c r="I12" i="3" a="1"/>
  <c r="K10" i="4" a="1"/>
  <c r="C64" i="5" a="1"/>
  <c r="C40" i="5" a="1"/>
  <c r="C88" i="5" a="1"/>
  <c r="I30" i="1" l="1"/>
  <c r="I33" i="1"/>
  <c r="I31" i="1"/>
  <c r="I37" i="1"/>
  <c r="I34" i="1"/>
  <c r="I29" i="1"/>
  <c r="I32" i="1"/>
  <c r="I38" i="1"/>
  <c r="I35" i="1"/>
  <c r="I39" i="1"/>
  <c r="I36" i="1"/>
  <c r="P80" i="9"/>
  <c r="K80" i="9"/>
  <c r="F80" i="9"/>
  <c r="C80" i="9"/>
  <c r="P96" i="9"/>
  <c r="P32" i="9"/>
  <c r="P16" i="9"/>
  <c r="P64" i="9"/>
  <c r="K64" i="9"/>
  <c r="C64" i="9"/>
  <c r="F64" i="9"/>
  <c r="F48" i="9"/>
  <c r="K48" i="9"/>
  <c r="C48" i="9"/>
  <c r="C16" i="9"/>
  <c r="F16" i="9"/>
  <c r="K16" i="9"/>
  <c r="C32" i="9"/>
  <c r="K32" i="9"/>
  <c r="F32" i="9"/>
  <c r="C88" i="5"/>
  <c r="C9" i="5" s="1"/>
  <c r="C64" i="5"/>
  <c r="C8" i="5" s="1"/>
  <c r="C40" i="5"/>
  <c r="C7" i="5" s="1"/>
  <c r="H25" i="1"/>
  <c r="H21" i="1"/>
  <c r="H22" i="1"/>
  <c r="H23" i="1"/>
  <c r="H24" i="1"/>
  <c r="X20" i="3"/>
  <c r="Q19" i="1"/>
  <c r="U20" i="3"/>
  <c r="AA20" i="3"/>
  <c r="N25" i="1"/>
  <c r="N24" i="1"/>
  <c r="N23" i="1"/>
  <c r="N22" i="1"/>
  <c r="N21" i="1"/>
  <c r="K22" i="1"/>
  <c r="K23" i="1"/>
  <c r="K24" i="1"/>
  <c r="K25" i="1"/>
  <c r="K21" i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I17" i="3"/>
  <c r="I15" i="3"/>
  <c r="J15" i="3" s="1"/>
  <c r="K15" i="3" s="1"/>
  <c r="I16" i="3"/>
  <c r="J16" i="3" s="1"/>
  <c r="K16" i="3" s="1"/>
  <c r="I14" i="3"/>
  <c r="J14" i="3" s="1"/>
  <c r="K14" i="3" s="1"/>
  <c r="I12" i="3"/>
  <c r="J12" i="3" s="1"/>
  <c r="K12" i="3" s="1"/>
  <c r="I13" i="3"/>
  <c r="J13" i="3" s="1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G21" i="2" a="1"/>
  <c r="C10" i="9" a="1"/>
  <c r="C6" i="9" a="1"/>
  <c r="C9" i="9" a="1"/>
  <c r="C7" i="9" a="1"/>
  <c r="C11" i="9" a="1"/>
  <c r="C8" i="9" a="1"/>
  <c r="I21" i="1" a="1"/>
  <c r="I24" i="1" a="1"/>
  <c r="L22" i="1" a="1"/>
  <c r="I23" i="1" a="1"/>
  <c r="L23" i="1" a="1"/>
  <c r="S19" i="1" a="1"/>
  <c r="L25" i="1" a="1"/>
  <c r="L21" i="1" a="1"/>
  <c r="L24" i="1" a="1"/>
  <c r="I25" i="1" a="1"/>
  <c r="G16" i="1" a="1"/>
  <c r="I22" i="1" a="1"/>
  <c r="O22" i="1" a="1"/>
  <c r="O25" i="1" a="1"/>
  <c r="O21" i="1" a="1"/>
  <c r="O24" i="1" a="1"/>
  <c r="O23" i="1" a="1"/>
  <c r="F62" i="2" a="1"/>
  <c r="F64" i="2" a="1"/>
  <c r="C4" i="5" a="1"/>
  <c r="C4" i="5" l="1"/>
  <c r="C10" i="8" s="1"/>
  <c r="L22" i="1"/>
  <c r="G16" i="1"/>
  <c r="C12" i="1" s="1"/>
  <c r="O25" i="1"/>
  <c r="O23" i="1"/>
  <c r="L21" i="1"/>
  <c r="S19" i="1"/>
  <c r="O24" i="1"/>
  <c r="L25" i="1"/>
  <c r="L24" i="1"/>
  <c r="I24" i="1"/>
  <c r="L23" i="1"/>
  <c r="I23" i="1"/>
  <c r="O21" i="1"/>
  <c r="I21" i="1"/>
  <c r="I22" i="1"/>
  <c r="O22" i="1"/>
  <c r="I25" i="1"/>
  <c r="C10" i="9"/>
  <c r="C11" i="9"/>
  <c r="C7" i="9"/>
  <c r="C9" i="9"/>
  <c r="C6" i="9"/>
  <c r="C8" i="9"/>
  <c r="J17" i="3"/>
  <c r="K17" i="3" s="1"/>
  <c r="G21" i="2"/>
  <c r="F62" i="2"/>
  <c r="F64" i="2"/>
  <c r="C4" i="9" a="1"/>
  <c r="C58" i="2" a="1"/>
  <c r="C4" i="9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<sst xmlns="http://schemas.openxmlformats.org/spreadsheetml/2006/main" count="1095" uniqueCount="193">
  <si>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</si>
  <si>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</si>
  <si>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</si>
  <si>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</si>
  <si>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</si>
  <si>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</si>
  <si>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</si>
  <si>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</si>
  <si>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</si>
  <si>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</si>
  <si>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</si>
  <si>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</si>
  <si>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</si>
  <si>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</si>
  <si>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</si>
  <si>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</si>
  <si>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</si>
  <si>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</si>
  <si>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</si>
  <si>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</si>
  <si>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</si>
  <si>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</si>
  <si>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</si>
  <si>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</si>
  <si>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</si>
  <si>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</si>
  <si>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</si>
  <si>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</si>
  <si>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</si>
  <si>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</si>
  <si>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</si>
  <si>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</si>
  <si>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</si>
  <si>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</si>
  <si>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</si>
  <si>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</si>
  <si>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</si>
  <si>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</si>
  <si>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</si>
  <si>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</si>
  <si>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</si>
  <si>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</si>
  <si>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</si>
  <si>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</si>
  <si>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</si>
  <si>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</si>
  <si>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</si>
  <si>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</si>
  <si>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</si>
  <si>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</si>
  <si>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</si>
  <si>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</si>
  <si>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</si>
  <si>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</si>
  <si>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</si>
  <si>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</si>
  <si>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</si>
  <si>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</si>
  <si>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</si>
  <si>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</si>
  <si>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</si>
  <si>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</si>
  <si>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</si>
  <si>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</si>
  <si>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</si>
  <si>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</si>
  <si>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</si>
  <si>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</si>
  <si>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</si>
  <si>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</si>
  <si>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</si>
  <si>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</si>
  <si>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</si>
  <si>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</si>
  <si>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</si>
  <si>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</si>
  <si>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</si>
  <si>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</si>
  <si>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</si>
  <si>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</si>
  <si>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</si>
  <si>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</si>
  <si>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</si>
  <si>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</si>
  <si>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</si>
  <si>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</si>
  <si>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</si>
  <si>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</si>
  <si>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</si>
  <si>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</si>
  <si>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</si>
  <si>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</si>
  <si>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</si>
  <si>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</si>
  <si>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</si>
  <si>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</si>
  <si>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</si>
  <si>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</si>
  <si>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</si>
  <si>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</si>
  <si>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</si>
  <si>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</si>
  <si>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</si>
  <si>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</si>
  <si>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</si>
  <si>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</si>
  <si>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</si>
  <si>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</si>
  <si>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</si>
  <si>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</si>
  <si>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</si>
  <si>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Reset the sheet</t>
  </si>
  <si>
    <t>Run all the tests</t>
  </si>
  <si>
    <t>Test Input</t>
  </si>
  <si>
    <t>Test Output</t>
  </si>
  <si>
    <t>Alignment</t>
  </si>
  <si>
    <t>Vertical</t>
  </si>
  <si>
    <t>Content</t>
  </si>
  <si>
    <t>Numbers</t>
  </si>
  <si>
    <t>Percentages</t>
  </si>
  <si>
    <t>Test 1</t>
  </si>
  <si>
    <t>Format</t>
  </si>
  <si>
    <t>Test horizontally aligned table</t>
  </si>
  <si>
    <t>Remove numeric and date formatting with clear formatting function.</t>
  </si>
  <si>
    <t>Test 2</t>
  </si>
  <si>
    <t>Horizontal</t>
  </si>
  <si>
    <t>Right align non-text</t>
  </si>
  <si>
    <t>Left align text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</si>
  <si>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</si>
  <si>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</si>
  <si>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</si>
  <si>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</si>
  <si>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</si>
  <si>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</si>
  <si>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</si>
  <si>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</si>
  <si>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t>Add super tips to ribbon buttons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</si>
  <si>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</si>
  <si>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</si>
  <si>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</si>
  <si>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</si>
  <si>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</si>
  <si>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</si>
  <si>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</si>
  <si>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</si>
  <si>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</si>
  <si>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</si>
  <si>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</si>
  <si>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Primary header formatter</t>
  </si>
  <si>
    <t>Secondary header formatter</t>
  </si>
  <si>
    <t>Test Checks</t>
  </si>
  <si>
    <t>Delete conditional formatting</t>
  </si>
  <si>
    <t>Logic</t>
  </si>
  <si>
    <t>OK</t>
  </si>
  <si>
    <t>Test 1.a</t>
  </si>
  <si>
    <t>Test 1.b</t>
  </si>
  <si>
    <t>Test 1.c</t>
  </si>
  <si>
    <t>Input</t>
  </si>
  <si>
    <t>Output</t>
  </si>
  <si>
    <t>d.logic_and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</si>
  <si>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</si>
  <si>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</si>
  <si>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</si>
  <si>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</si>
  <si>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</si>
  <si>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</si>
  <si>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</si>
  <si>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</si>
  <si>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</si>
  <si>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</si>
  <si>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</si>
  <si>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</si>
  <si>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</si>
  <si>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</si>
  <si>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</si>
  <si>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</si>
  <si>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</si>
  <si>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</si>
  <si>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</si>
  <si>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</si>
  <si>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d.logic_or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</si>
  <si>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</si>
  <si>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</si>
  <si>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</si>
  <si>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</si>
  <si>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</si>
  <si>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</si>
  <si>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</si>
  <si>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</si>
  <si>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 xml:space="preserve">Fix d.logic_and </t>
  </si>
  <si>
    <t>Fix d.logic_or</t>
  </si>
  <si>
    <t>All Test Results</t>
  </si>
  <si>
    <t>Fix test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</si>
</sst>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[$€-2]#,##0.00"/>
    <numFmt numFmtId="174" formatCode="[$£-809]#,##0.00"/>
    <numFmt numFmtId="175" formatCode="[$₽-419]#,##0.00"/>
    <numFmt numFmtId="176" formatCode="[$R-1C09]#,##0.00"/>
  </numFmts>
  <fonts count="2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4"/>
      <name val="Calibri Light"/>
      <family val="2"/>
      <scheme val="minor"/>
    </font>
    <font>
      <b/>
      <sz val="12"/>
      <color theme="0" tint="-0.499984740745262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ashed">
        <color rgb="FF006100"/>
      </left>
      <right style="dashed">
        <color rgb="FF006100"/>
      </right>
      <top style="dashed">
        <color rgb="FF006100"/>
      </top>
      <bottom style="dashed">
        <color rgb="FF0061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23" fillId="0" borderId="0" applyNumberFormat="0" applyFill="0" applyBorder="0" applyAlignment="0" applyProtection="0"/>
  </cellStyleXfs>
  <cellXfs count="259">
    <xf numFmtId="0" fontId="0" fillId="0" borderId="0" xfId="0"/>
    <xf numFmtId="14" fontId="0" fillId="0" borderId="0" xfId="0" applyNumberFormat="1"/>
    <xf numFmtId="0" fontId="3" fillId="0" borderId="1" xfId="1"/>
    <xf numFmtId="0" fontId="4" fillId="0" borderId="2" xfId="2"/>
    <xf numFmtId="0" fontId="5" fillId="0" borderId="3" xfId="3"/>
    <xf numFmtId="164" fontId="0" fillId="0" borderId="0" xfId="0" applyNumberFormat="1"/>
    <xf numFmtId="165" fontId="0" fillId="0" borderId="0" xfId="0" applyNumberFormat="1"/>
    <xf numFmtId="0" fontId="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8" fillId="3" borderId="6" xfId="0" applyFont="1" applyFill="1" applyBorder="1" applyAlignment="1">
      <alignment horizontal="centerContinuous" vertical="center"/>
    </xf>
    <xf numFmtId="0" fontId="8" fillId="3" borderId="7" xfId="0" applyFont="1" applyFill="1" applyBorder="1" applyAlignment="1">
      <alignment horizontal="centerContinuous" vertical="center"/>
    </xf>
    <xf numFmtId="4" fontId="7" fillId="0" borderId="11" xfId="0" applyNumberFormat="1" applyFont="1" applyBorder="1" applyAlignment="1">
      <alignment horizontal="right" vertical="center"/>
    </xf>
    <xf numFmtId="4" fontId="7" fillId="0" borderId="13" xfId="0" applyNumberFormat="1" applyFont="1" applyBorder="1" applyAlignment="1">
      <alignment horizontal="right" vertical="center"/>
    </xf>
    <xf numFmtId="4" fontId="7" fillId="0" borderId="15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166" fontId="7" fillId="0" borderId="15" xfId="0" applyNumberFormat="1" applyFont="1" applyBorder="1" applyAlignment="1">
      <alignment horizontal="right" vertical="center"/>
    </xf>
    <xf numFmtId="167" fontId="7" fillId="0" borderId="12" xfId="0" applyNumberFormat="1" applyFont="1" applyBorder="1" applyAlignment="1">
      <alignment horizontal="right" vertical="center"/>
    </xf>
    <xf numFmtId="167" fontId="7" fillId="0" borderId="14" xfId="0" applyNumberFormat="1" applyFont="1" applyBorder="1" applyAlignment="1">
      <alignment horizontal="right" vertical="center"/>
    </xf>
    <xf numFmtId="167" fontId="7" fillId="0" borderId="16" xfId="0" applyNumberFormat="1" applyFont="1" applyBorder="1" applyAlignment="1">
      <alignment horizontal="right" vertical="center"/>
    </xf>
    <xf numFmtId="0" fontId="8" fillId="3" borderId="9" xfId="0" applyFont="1" applyFill="1" applyBorder="1" applyAlignment="1">
      <alignment horizontal="centerContinuous" vertical="center"/>
    </xf>
    <xf numFmtId="0" fontId="8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8" fillId="3" borderId="8" xfId="0" applyFont="1" applyFill="1" applyBorder="1" applyAlignment="1">
      <alignment horizontal="centerContinuous" vertical="center"/>
    </xf>
    <xf numFmtId="4" fontId="7" fillId="0" borderId="17" xfId="0" applyNumberFormat="1" applyFont="1" applyBorder="1" applyAlignment="1">
      <alignment horizontal="right" vertical="center"/>
    </xf>
    <xf numFmtId="4" fontId="7" fillId="0" borderId="18" xfId="0" applyNumberFormat="1" applyFont="1" applyBorder="1" applyAlignment="1">
      <alignment horizontal="right" vertical="center"/>
    </xf>
    <xf numFmtId="4" fontId="7" fillId="0" borderId="19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0" fontId="7" fillId="0" borderId="18" xfId="0" applyNumberFormat="1" applyFont="1" applyBorder="1" applyAlignment="1">
      <alignment horizontal="right" vertical="center"/>
    </xf>
    <xf numFmtId="10" fontId="7" fillId="0" borderId="19" xfId="0" applyNumberFormat="1" applyFont="1" applyBorder="1" applyAlignment="1">
      <alignment horizontal="right" vertical="center"/>
    </xf>
    <xf numFmtId="10" fontId="7" fillId="0" borderId="12" xfId="0" applyNumberFormat="1" applyFont="1" applyBorder="1" applyAlignment="1">
      <alignment horizontal="right" vertical="center"/>
    </xf>
    <xf numFmtId="10" fontId="7" fillId="0" borderId="14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0" fontId="8" fillId="3" borderId="20" xfId="0" applyFont="1" applyFill="1" applyBorder="1" applyAlignment="1">
      <alignment horizontal="centerContinuous" vertical="center"/>
    </xf>
    <xf numFmtId="0" fontId="8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0" fontId="8" fillId="3" borderId="0" xfId="0" applyFont="1" applyFill="1" applyBorder="1" applyAlignment="1">
      <alignment horizontal="centerContinuous" vertical="center"/>
    </xf>
    <xf numFmtId="0" fontId="7" fillId="0" borderId="0" xfId="0" applyFont="1"/>
    <xf numFmtId="0" fontId="8" fillId="4" borderId="22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166" fontId="7" fillId="0" borderId="0" xfId="0" applyNumberFormat="1" applyFont="1"/>
    <xf numFmtId="0" fontId="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7" fillId="0" borderId="0" xfId="0" applyNumberFormat="1" applyFont="1" applyAlignment="1">
      <alignment horizontal="right"/>
    </xf>
    <xf numFmtId="0" fontId="7" fillId="0" borderId="0" xfId="0" applyFont="1" applyFill="1" applyBorder="1"/>
    <xf numFmtId="167" fontId="7" fillId="0" borderId="17" xfId="0" applyNumberFormat="1" applyFont="1" applyBorder="1" applyAlignment="1">
      <alignment horizontal="right" vertical="center"/>
    </xf>
    <xf numFmtId="167" fontId="7" fillId="0" borderId="18" xfId="0" applyNumberFormat="1" applyFont="1" applyBorder="1" applyAlignment="1">
      <alignment horizontal="right" vertical="center"/>
    </xf>
    <xf numFmtId="167" fontId="7" fillId="0" borderId="19" xfId="0" applyNumberFormat="1" applyFont="1" applyBorder="1" applyAlignment="1">
      <alignment horizontal="right" vertical="center"/>
    </xf>
    <xf numFmtId="0" fontId="8" fillId="3" borderId="29" xfId="0" applyFont="1" applyFill="1" applyBorder="1" applyAlignment="1">
      <alignment horizontal="centerContinuous" vertical="center"/>
    </xf>
    <xf numFmtId="0" fontId="8" fillId="3" borderId="30" xfId="0" applyFont="1" applyFill="1" applyBorder="1" applyAlignment="1">
      <alignment horizontal="centerContinuous" vertical="center"/>
    </xf>
    <xf numFmtId="0" fontId="8" fillId="4" borderId="31" xfId="0" applyFont="1" applyFill="1" applyBorder="1" applyAlignment="1">
      <alignment horizontal="center" vertical="center"/>
    </xf>
    <xf numFmtId="0" fontId="8" fillId="4" borderId="32" xfId="0" applyFont="1" applyFill="1" applyBorder="1" applyAlignment="1">
      <alignment horizontal="center" vertical="center"/>
    </xf>
    <xf numFmtId="4" fontId="7" fillId="0" borderId="0" xfId="0" applyNumberFormat="1" applyFont="1"/>
    <xf numFmtId="169" fontId="7" fillId="0" borderId="12" xfId="0" applyNumberFormat="1" applyFont="1" applyBorder="1" applyAlignment="1">
      <alignment horizontal="right" vertical="center"/>
    </xf>
    <xf numFmtId="169" fontId="7" fillId="0" borderId="14" xfId="0" applyNumberFormat="1" applyFont="1" applyBorder="1" applyAlignment="1">
      <alignment horizontal="right" vertical="center"/>
    </xf>
    <xf numFmtId="169" fontId="7" fillId="0" borderId="16" xfId="0" applyNumberFormat="1" applyFont="1" applyBorder="1" applyAlignment="1">
      <alignment horizontal="right" vertical="center"/>
    </xf>
    <xf numFmtId="0" fontId="8" fillId="4" borderId="33" xfId="0" applyFont="1" applyFill="1" applyBorder="1" applyAlignment="1">
      <alignment horizontal="center" vertical="center"/>
    </xf>
    <xf numFmtId="0" fontId="0" fillId="0" borderId="0" xfId="0" applyBorder="1"/>
    <xf numFmtId="170" fontId="7" fillId="0" borderId="0" xfId="0" applyNumberFormat="1" applyFont="1"/>
    <xf numFmtId="0" fontId="10" fillId="0" borderId="5" xfId="0" applyFont="1" applyBorder="1" applyAlignment="1">
      <alignment horizontal="centerContinuous"/>
    </xf>
    <xf numFmtId="171" fontId="7" fillId="0" borderId="17" xfId="0" applyNumberFormat="1" applyFont="1" applyBorder="1" applyAlignment="1">
      <alignment horizontal="right" vertical="center"/>
    </xf>
    <xf numFmtId="171" fontId="7" fillId="0" borderId="18" xfId="0" applyNumberFormat="1" applyFont="1" applyBorder="1" applyAlignment="1">
      <alignment horizontal="right" vertical="center"/>
    </xf>
    <xf numFmtId="171" fontId="7" fillId="0" borderId="19" xfId="0" applyNumberFormat="1" applyFont="1" applyBorder="1" applyAlignment="1">
      <alignment horizontal="right" vertical="center"/>
    </xf>
    <xf numFmtId="171" fontId="7" fillId="0" borderId="0" xfId="0" applyNumberFormat="1" applyFont="1" applyFill="1" applyBorder="1" applyAlignment="1">
      <alignment horizontal="right" vertical="center"/>
    </xf>
    <xf numFmtId="171" fontId="7" fillId="0" borderId="34" xfId="0" applyNumberFormat="1" applyFont="1" applyFill="1" applyBorder="1" applyAlignment="1">
      <alignment horizontal="right" vertical="center"/>
    </xf>
    <xf numFmtId="167" fontId="7" fillId="0" borderId="35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9" fillId="2" borderId="0" xfId="0" applyFont="1" applyFill="1" applyAlignment="1">
      <alignment horizontal="centerContinuous" vertical="center"/>
    </xf>
    <xf numFmtId="0" fontId="11" fillId="0" borderId="36" xfId="2" applyFont="1" applyBorder="1"/>
    <xf numFmtId="0" fontId="4" fillId="0" borderId="36" xfId="2" applyBorder="1"/>
    <xf numFmtId="0" fontId="13" fillId="0" borderId="0" xfId="0" applyFont="1"/>
    <xf numFmtId="0" fontId="14" fillId="0" borderId="0" xfId="0" applyFont="1"/>
    <xf numFmtId="4" fontId="7" fillId="0" borderId="12" xfId="0" applyNumberFormat="1" applyFont="1" applyBorder="1" applyAlignment="1">
      <alignment horizontal="right" vertical="center"/>
    </xf>
    <xf numFmtId="4" fontId="7" fillId="0" borderId="14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right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0" fillId="0" borderId="27" xfId="0" applyBorder="1"/>
    <xf numFmtId="0" fontId="3" fillId="0" borderId="1" xfId="1" applyFont="1"/>
    <xf numFmtId="0" fontId="17" fillId="0" borderId="27" xfId="0" applyFont="1" applyBorder="1"/>
    <xf numFmtId="9" fontId="7" fillId="0" borderId="43" xfId="0" applyNumberFormat="1" applyFont="1" applyBorder="1" applyAlignment="1">
      <alignment horizontal="right"/>
    </xf>
    <xf numFmtId="9" fontId="7" fillId="0" borderId="45" xfId="0" applyNumberFormat="1" applyFont="1" applyBorder="1" applyAlignment="1">
      <alignment horizontal="right"/>
    </xf>
    <xf numFmtId="166" fontId="7" fillId="0" borderId="40" xfId="0" applyNumberFormat="1" applyFont="1" applyBorder="1"/>
    <xf numFmtId="166" fontId="7" fillId="0" borderId="42" xfId="0" applyNumberFormat="1" applyFont="1" applyBorder="1"/>
    <xf numFmtId="0" fontId="18" fillId="0" borderId="0" xfId="0" applyFont="1"/>
    <xf numFmtId="0" fontId="15" fillId="0" borderId="0" xfId="0" applyFont="1"/>
    <xf numFmtId="166" fontId="7" fillId="0" borderId="46" xfId="0" applyNumberFormat="1" applyFont="1" applyBorder="1"/>
    <xf numFmtId="166" fontId="7" fillId="0" borderId="47" xfId="0" applyNumberFormat="1" applyFont="1" applyBorder="1"/>
    <xf numFmtId="0" fontId="0" fillId="0" borderId="47" xfId="0" applyBorder="1"/>
    <xf numFmtId="9" fontId="7" fillId="0" borderId="47" xfId="0" applyNumberFormat="1" applyFont="1" applyBorder="1" applyAlignment="1">
      <alignment horizontal="right"/>
    </xf>
    <xf numFmtId="9" fontId="7" fillId="0" borderId="48" xfId="0" applyNumberFormat="1" applyFont="1" applyBorder="1" applyAlignment="1">
      <alignment horizontal="right"/>
    </xf>
    <xf numFmtId="0" fontId="19" fillId="5" borderId="0" xfId="0" applyFont="1" applyFill="1" applyBorder="1" applyAlignment="1">
      <alignment horizontal="left" vertical="center"/>
    </xf>
    <xf numFmtId="0" fontId="14" fillId="0" borderId="29" xfId="0" applyFont="1" applyBorder="1"/>
    <xf numFmtId="0" fontId="0" fillId="0" borderId="30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14" fillId="0" borderId="53" xfId="0" applyFont="1" applyBorder="1"/>
    <xf numFmtId="0" fontId="0" fillId="0" borderId="54" xfId="0" applyBorder="1"/>
    <xf numFmtId="4" fontId="19" fillId="5" borderId="0" xfId="0" applyNumberFormat="1" applyFont="1" applyFill="1" applyBorder="1" applyAlignment="1">
      <alignment horizontal="left" vertical="center"/>
    </xf>
    <xf numFmtId="0" fontId="8" fillId="4" borderId="55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57" xfId="0" applyFont="1" applyFill="1" applyBorder="1" applyAlignment="1">
      <alignment horizontal="center" vertical="center"/>
    </xf>
    <xf numFmtId="166" fontId="7" fillId="0" borderId="41" xfId="0" applyNumberFormat="1" applyFont="1" applyBorder="1"/>
    <xf numFmtId="166" fontId="7" fillId="0" borderId="43" xfId="0" applyNumberFormat="1" applyFont="1" applyBorder="1"/>
    <xf numFmtId="0" fontId="0" fillId="0" borderId="42" xfId="0" applyBorder="1"/>
    <xf numFmtId="0" fontId="0" fillId="0" borderId="43" xfId="0" applyBorder="1"/>
    <xf numFmtId="9" fontId="7" fillId="0" borderId="42" xfId="0" applyNumberFormat="1" applyFont="1" applyBorder="1" applyAlignment="1">
      <alignment horizontal="right"/>
    </xf>
    <xf numFmtId="9" fontId="7" fillId="0" borderId="44" xfId="0" applyNumberFormat="1" applyFont="1" applyBorder="1" applyAlignment="1">
      <alignment horizontal="right"/>
    </xf>
    <xf numFmtId="173" fontId="20" fillId="0" borderId="17" xfId="0" applyNumberFormat="1" applyFont="1" applyBorder="1" applyAlignment="1">
      <alignment horizontal="right" vertical="center"/>
    </xf>
    <xf numFmtId="173" fontId="20" fillId="0" borderId="18" xfId="0" applyNumberFormat="1" applyFont="1" applyBorder="1" applyAlignment="1">
      <alignment horizontal="right" vertical="center"/>
    </xf>
    <xf numFmtId="173" fontId="20" fillId="0" borderId="19" xfId="0" applyNumberFormat="1" applyFont="1" applyBorder="1" applyAlignment="1">
      <alignment horizontal="right" vertical="center"/>
    </xf>
    <xf numFmtId="174" fontId="20" fillId="0" borderId="17" xfId="0" applyNumberFormat="1" applyFont="1" applyBorder="1" applyAlignment="1">
      <alignment horizontal="right" vertical="center"/>
    </xf>
    <xf numFmtId="174" fontId="20" fillId="0" borderId="18" xfId="0" applyNumberFormat="1" applyFont="1" applyBorder="1" applyAlignment="1">
      <alignment horizontal="right" vertical="center"/>
    </xf>
    <xf numFmtId="174" fontId="20" fillId="0" borderId="19" xfId="0" applyNumberFormat="1" applyFont="1" applyBorder="1" applyAlignment="1">
      <alignment horizontal="right" vertical="center"/>
    </xf>
    <xf numFmtId="175" fontId="20" fillId="0" borderId="17" xfId="0" applyNumberFormat="1" applyFont="1" applyBorder="1" applyAlignment="1">
      <alignment horizontal="right" vertical="center"/>
    </xf>
    <xf numFmtId="175" fontId="20" fillId="0" borderId="18" xfId="0" applyNumberFormat="1" applyFont="1" applyBorder="1" applyAlignment="1">
      <alignment horizontal="right" vertical="center"/>
    </xf>
    <xf numFmtId="175" fontId="20" fillId="0" borderId="19" xfId="0" applyNumberFormat="1" applyFont="1" applyBorder="1" applyAlignment="1">
      <alignment horizontal="right" vertical="center"/>
    </xf>
    <xf numFmtId="176" fontId="20" fillId="0" borderId="17" xfId="0" applyNumberFormat="1" applyFont="1" applyBorder="1" applyAlignment="1">
      <alignment horizontal="right" vertical="center"/>
    </xf>
    <xf numFmtId="176" fontId="20" fillId="0" borderId="18" xfId="0" applyNumberFormat="1" applyFont="1" applyBorder="1" applyAlignment="1">
      <alignment horizontal="right" vertical="center"/>
    </xf>
    <xf numFmtId="176" fontId="20" fillId="0" borderId="19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0" fontId="2" fillId="0" borderId="18" xfId="0" applyNumberFormat="1" applyFont="1" applyBorder="1" applyAlignment="1">
      <alignment horizontal="right" vertical="center"/>
    </xf>
    <xf numFmtId="10" fontId="2" fillId="0" borderId="19" xfId="0" applyNumberFormat="1" applyFont="1" applyBorder="1" applyAlignment="1">
      <alignment horizontal="right" vertical="center"/>
    </xf>
    <xf numFmtId="10" fontId="2" fillId="0" borderId="12" xfId="0" applyNumberFormat="1" applyFont="1" applyBorder="1" applyAlignment="1">
      <alignment horizontal="right" vertical="center"/>
    </xf>
    <xf numFmtId="10" fontId="2" fillId="0" borderId="14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166" fontId="2" fillId="0" borderId="15" xfId="0" applyNumberFormat="1" applyFont="1" applyBorder="1" applyAlignment="1">
      <alignment horizontal="right" vertical="center"/>
    </xf>
    <xf numFmtId="166" fontId="2" fillId="0" borderId="17" xfId="0" applyNumberFormat="1" applyFont="1" applyBorder="1" applyAlignment="1">
      <alignment horizontal="right" vertical="center"/>
    </xf>
    <xf numFmtId="166" fontId="2" fillId="0" borderId="18" xfId="0" applyNumberFormat="1" applyFont="1" applyBorder="1" applyAlignment="1">
      <alignment horizontal="right" vertical="center"/>
    </xf>
    <xf numFmtId="166" fontId="2" fillId="0" borderId="19" xfId="0" applyNumberFormat="1" applyFont="1" applyBorder="1" applyAlignment="1">
      <alignment horizontal="right" vertical="center"/>
    </xf>
    <xf numFmtId="0" fontId="21" fillId="0" borderId="0" xfId="0" applyFont="1"/>
    <xf numFmtId="4" fontId="19" fillId="5" borderId="0" xfId="0" applyNumberFormat="1" applyFont="1" applyFill="1" applyBorder="1" applyAlignment="1">
      <alignment vertical="center"/>
    </xf>
    <xf numFmtId="3" fontId="19" fillId="5" borderId="0" xfId="0" applyNumberFormat="1" applyFont="1" applyFill="1" applyBorder="1" applyAlignment="1">
      <alignment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Continuous" vertical="center"/>
    </xf>
    <xf numFmtId="0" fontId="22" fillId="3" borderId="7" xfId="0" applyFont="1" applyFill="1" applyBorder="1" applyAlignment="1">
      <alignment horizontal="centerContinuous" vertical="center"/>
    </xf>
    <xf numFmtId="4" fontId="20" fillId="0" borderId="11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3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4" fontId="20" fillId="0" borderId="15" xfId="0" applyNumberFormat="1" applyFont="1" applyBorder="1" applyAlignment="1">
      <alignment horizontal="center" vertical="center"/>
    </xf>
    <xf numFmtId="4" fontId="20" fillId="0" borderId="16" xfId="0" applyNumberFormat="1" applyFont="1" applyBorder="1" applyAlignment="1">
      <alignment horizontal="center" vertical="center"/>
    </xf>
    <xf numFmtId="0" fontId="23" fillId="0" borderId="51" xfId="4" applyBorder="1" applyAlignment="1">
      <alignment horizontal="centerContinuous" vertical="center"/>
    </xf>
    <xf numFmtId="0" fontId="23" fillId="0" borderId="52" xfId="4" applyBorder="1" applyAlignment="1">
      <alignment horizontal="centerContinuous" vertical="center"/>
    </xf>
    <xf numFmtId="0" fontId="23" fillId="0" borderId="54" xfId="4" applyBorder="1" applyAlignment="1">
      <alignment horizontal="centerContinuous" vertical="center"/>
    </xf>
    <xf numFmtId="0" fontId="23" fillId="0" borderId="53" xfId="4" applyFill="1" applyBorder="1" applyAlignment="1">
      <alignment horizontal="centerContinuous"/>
    </xf>
    <xf numFmtId="0" fontId="23" fillId="0" borderId="54" xfId="4" applyFill="1" applyBorder="1" applyAlignment="1">
      <alignment horizontal="centerContinuous"/>
    </xf>
    <xf numFmtId="0" fontId="8" fillId="3" borderId="58" xfId="0" applyFont="1" applyFill="1" applyBorder="1" applyAlignment="1">
      <alignment horizontal="centerContinuous" vertical="center"/>
    </xf>
    <xf numFmtId="0" fontId="24" fillId="0" borderId="53" xfId="4" applyFont="1" applyFill="1" applyBorder="1" applyAlignment="1">
      <alignment horizontal="centerContinuous" vertical="center"/>
    </xf>
    <xf numFmtId="0" fontId="24" fillId="0" borderId="54" xfId="4" applyFont="1" applyFill="1" applyBorder="1" applyAlignment="1">
      <alignment horizontal="centerContinuous" vertical="center"/>
    </xf>
    <xf numFmtId="4" fontId="24" fillId="0" borderId="59" xfId="4" applyNumberFormat="1" applyFont="1" applyBorder="1" applyAlignment="1">
      <alignment horizontal="centerContinuous" vertical="center"/>
    </xf>
    <xf numFmtId="4" fontId="16" fillId="5" borderId="0" xfId="0" applyNumberFormat="1" applyFont="1" applyFill="1" applyBorder="1" applyAlignment="1">
      <alignment horizontal="left" vertical="center"/>
    </xf>
    <xf numFmtId="4" fontId="19" fillId="5" borderId="0" xfId="0" applyNumberFormat="1" applyFont="1" applyFill="1" applyBorder="1" applyAlignment="1">
      <alignment horizontal="left" vertical="center"/>
    </xf>
    <xf numFmtId="4" fontId="8" fillId="3" borderId="7" xfId="0" applyNumberFormat="1" applyFont="1" applyFill="1" applyBorder="1" applyAlignment="1">
      <alignment horizontal="centerContinuous" vertical="center"/>
    </xf>
    <xf numFmtId="4" fontId="8" fillId="4" borderId="39" xfId="0" applyNumberFormat="1" applyFont="1" applyFill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4" fontId="1" fillId="0" borderId="16" xfId="0" applyNumberFormat="1" applyFont="1" applyBorder="1" applyAlignment="1">
      <alignment horizontal="center" vertical="center"/>
    </xf>
    <xf numFmtId="15" fontId="0" fillId="0" borderId="0" xfId="0" applyNumberFormat="1"/>
    <xf numFmtId="0" fontId="14" fillId="0" borderId="51" xfId="0" applyFont="1" applyBorder="1"/>
    <xf numFmtId="0" fontId="0" fillId="0" borderId="54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54" xfId="0" applyBorder="1" applyAlignment="1">
      <alignment horizontal="right"/>
    </xf>
    <xf numFmtId="0" fontId="0" fillId="0" borderId="52" xfId="0" applyBorder="1" applyAlignment="1">
      <alignment horizontal="right"/>
    </xf>
    <xf numFmtId="173" fontId="19" fillId="5" borderId="17" xfId="0" applyNumberFormat="1" applyFont="1" applyFill="1" applyBorder="1" applyAlignment="1">
      <alignment horizontal="right" vertical="center"/>
    </xf>
    <xf numFmtId="173" fontId="19" fillId="5" borderId="18" xfId="0" applyNumberFormat="1" applyFont="1" applyFill="1" applyBorder="1" applyAlignment="1">
      <alignment horizontal="right" vertical="center"/>
    </xf>
    <xf numFmtId="173" fontId="19" fillId="5" borderId="19" xfId="0" applyNumberFormat="1" applyFont="1" applyFill="1" applyBorder="1" applyAlignment="1">
      <alignment horizontal="right" vertical="center"/>
    </xf>
    <xf numFmtId="174" fontId="19" fillId="5" borderId="17" xfId="0" applyNumberFormat="1" applyFont="1" applyFill="1" applyBorder="1" applyAlignment="1">
      <alignment horizontal="right" vertical="center"/>
    </xf>
    <xf numFmtId="174" fontId="19" fillId="5" borderId="18" xfId="0" applyNumberFormat="1" applyFont="1" applyFill="1" applyBorder="1" applyAlignment="1">
      <alignment horizontal="right" vertical="center"/>
    </xf>
    <xf numFmtId="174" fontId="19" fillId="5" borderId="19" xfId="0" applyNumberFormat="1" applyFont="1" applyFill="1" applyBorder="1" applyAlignment="1">
      <alignment horizontal="right" vertical="center"/>
    </xf>
    <xf numFmtId="175" fontId="19" fillId="5" borderId="17" xfId="0" applyNumberFormat="1" applyFont="1" applyFill="1" applyBorder="1" applyAlignment="1">
      <alignment horizontal="right" vertical="center"/>
    </xf>
    <xf numFmtId="175" fontId="19" fillId="5" borderId="18" xfId="0" applyNumberFormat="1" applyFont="1" applyFill="1" applyBorder="1" applyAlignment="1">
      <alignment horizontal="right" vertical="center"/>
    </xf>
    <xf numFmtId="175" fontId="19" fillId="5" borderId="19" xfId="0" applyNumberFormat="1" applyFont="1" applyFill="1" applyBorder="1" applyAlignment="1">
      <alignment horizontal="right" vertical="center"/>
    </xf>
    <xf numFmtId="176" fontId="19" fillId="5" borderId="17" xfId="0" applyNumberFormat="1" applyFont="1" applyFill="1" applyBorder="1" applyAlignment="1">
      <alignment horizontal="right" vertical="center"/>
    </xf>
    <xf numFmtId="176" fontId="19" fillId="5" borderId="18" xfId="0" applyNumberFormat="1" applyFont="1" applyFill="1" applyBorder="1" applyAlignment="1">
      <alignment horizontal="right" vertical="center"/>
    </xf>
    <xf numFmtId="176" fontId="19" fillId="5" borderId="19" xfId="0" applyNumberFormat="1" applyFont="1" applyFill="1" applyBorder="1" applyAlignment="1">
      <alignment horizontal="right" vertical="center"/>
    </xf>
    <xf numFmtId="10" fontId="19" fillId="5" borderId="17" xfId="0" applyNumberFormat="1" applyFont="1" applyFill="1" applyBorder="1" applyAlignment="1">
      <alignment horizontal="right" vertical="center"/>
    </xf>
    <xf numFmtId="10" fontId="19" fillId="5" borderId="18" xfId="0" applyNumberFormat="1" applyFont="1" applyFill="1" applyBorder="1" applyAlignment="1">
      <alignment horizontal="right" vertical="center"/>
    </xf>
    <xf numFmtId="10" fontId="19" fillId="5" borderId="19" xfId="0" applyNumberFormat="1" applyFont="1" applyFill="1" applyBorder="1" applyAlignment="1">
      <alignment horizontal="right" vertical="center"/>
    </xf>
    <xf numFmtId="10" fontId="19" fillId="5" borderId="12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0" fontId="19" fillId="5" borderId="16" xfId="0" applyNumberFormat="1" applyFont="1" applyFill="1" applyBorder="1" applyAlignment="1">
      <alignment horizontal="right" vertical="center"/>
    </xf>
    <xf numFmtId="166" fontId="19" fillId="5" borderId="11" xfId="0" applyNumberFormat="1" applyFont="1" applyFill="1" applyBorder="1" applyAlignment="1">
      <alignment horizontal="right" vertical="center"/>
    </xf>
    <xf numFmtId="166" fontId="19" fillId="5" borderId="13" xfId="0" applyNumberFormat="1" applyFont="1" applyFill="1" applyBorder="1" applyAlignment="1">
      <alignment horizontal="right" vertical="center"/>
    </xf>
    <xf numFmtId="166" fontId="19" fillId="5" borderId="15" xfId="0" applyNumberFormat="1" applyFont="1" applyFill="1" applyBorder="1" applyAlignment="1">
      <alignment horizontal="right" vertical="center"/>
    </xf>
    <xf numFmtId="166" fontId="19" fillId="5" borderId="17" xfId="0" applyNumberFormat="1" applyFont="1" applyFill="1" applyBorder="1" applyAlignment="1">
      <alignment horizontal="right" vertical="center"/>
    </xf>
    <xf numFmtId="166" fontId="19" fillId="5" borderId="18" xfId="0" applyNumberFormat="1" applyFont="1" applyFill="1" applyBorder="1" applyAlignment="1">
      <alignment horizontal="right" vertical="center"/>
    </xf>
    <xf numFmtId="166" fontId="19" fillId="5" borderId="19" xfId="0" applyNumberFormat="1" applyFont="1" applyFill="1" applyBorder="1" applyAlignment="1">
      <alignment horizontal="right" vertical="center"/>
    </xf>
    <xf numFmtId="0" fontId="14" fillId="0" borderId="6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2" fillId="4" borderId="62" xfId="0" applyNumberFormat="1" applyFont="1" applyFill="1" applyBorder="1" applyAlignment="1">
      <alignment horizontal="center" vertical="center"/>
    </xf>
    <xf numFmtId="4" fontId="22" fillId="4" borderId="63" xfId="0" applyNumberFormat="1" applyFont="1" applyFill="1" applyBorder="1" applyAlignment="1">
      <alignment horizontal="center" vertical="center"/>
    </xf>
    <xf numFmtId="4" fontId="22" fillId="4" borderId="64" xfId="0" applyNumberFormat="1" applyFont="1" applyFill="1" applyBorder="1" applyAlignment="1">
      <alignment horizontal="center" vertical="center"/>
    </xf>
    <xf numFmtId="173" fontId="19" fillId="5" borderId="13" xfId="0" applyNumberFormat="1" applyFont="1" applyFill="1" applyBorder="1" applyAlignment="1">
      <alignment horizontal="right" vertical="center"/>
    </xf>
    <xf numFmtId="173" fontId="19" fillId="5" borderId="14" xfId="0" applyNumberFormat="1" applyFont="1" applyFill="1" applyBorder="1" applyAlignment="1">
      <alignment horizontal="right" vertical="center"/>
    </xf>
    <xf numFmtId="174" fontId="19" fillId="5" borderId="13" xfId="0" applyNumberFormat="1" applyFont="1" applyFill="1" applyBorder="1" applyAlignment="1">
      <alignment horizontal="right" vertical="center"/>
    </xf>
    <xf numFmtId="174" fontId="19" fillId="5" borderId="14" xfId="0" applyNumberFormat="1" applyFont="1" applyFill="1" applyBorder="1" applyAlignment="1">
      <alignment horizontal="right" vertical="center"/>
    </xf>
    <xf numFmtId="175" fontId="19" fillId="5" borderId="13" xfId="0" applyNumberFormat="1" applyFont="1" applyFill="1" applyBorder="1" applyAlignment="1">
      <alignment horizontal="right" vertical="center"/>
    </xf>
    <xf numFmtId="175" fontId="19" fillId="5" borderId="14" xfId="0" applyNumberFormat="1" applyFont="1" applyFill="1" applyBorder="1" applyAlignment="1">
      <alignment horizontal="right" vertical="center"/>
    </xf>
    <xf numFmtId="176" fontId="19" fillId="5" borderId="13" xfId="0" applyNumberFormat="1" applyFont="1" applyFill="1" applyBorder="1" applyAlignment="1">
      <alignment horizontal="right" vertical="center"/>
    </xf>
    <xf numFmtId="176" fontId="19" fillId="5" borderId="14" xfId="0" applyNumberFormat="1" applyFont="1" applyFill="1" applyBorder="1" applyAlignment="1">
      <alignment horizontal="right" vertical="center"/>
    </xf>
    <xf numFmtId="10" fontId="19" fillId="5" borderId="13" xfId="0" applyNumberFormat="1" applyFont="1" applyFill="1" applyBorder="1" applyAlignment="1">
      <alignment horizontal="right" vertical="center"/>
    </xf>
    <xf numFmtId="10" fontId="19" fillId="5" borderId="15" xfId="0" applyNumberFormat="1" applyFont="1" applyFill="1" applyBorder="1" applyAlignment="1">
      <alignment horizontal="right" vertical="center"/>
    </xf>
    <xf numFmtId="166" fontId="19" fillId="5" borderId="12" xfId="0" applyNumberFormat="1" applyFont="1" applyFill="1" applyBorder="1" applyAlignment="1">
      <alignment horizontal="right" vertical="center"/>
    </xf>
    <xf numFmtId="166" fontId="19" fillId="5" borderId="14" xfId="0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166" fontId="7" fillId="6" borderId="13" xfId="0" applyNumberFormat="1" applyFont="1" applyFill="1" applyBorder="1" applyAlignment="1">
      <alignment horizontal="right" vertical="center"/>
    </xf>
    <xf numFmtId="167" fontId="7" fillId="6" borderId="18" xfId="0" applyNumberFormat="1" applyFont="1" applyFill="1" applyBorder="1" applyAlignment="1">
      <alignment horizontal="right" vertical="center"/>
    </xf>
    <xf numFmtId="167" fontId="7" fillId="0" borderId="17" xfId="0" applyNumberFormat="1" applyFont="1" applyBorder="1" applyAlignment="1">
      <alignment horizontal="center" vertical="center"/>
    </xf>
    <xf numFmtId="0" fontId="8" fillId="4" borderId="38" xfId="0" applyFont="1" applyFill="1" applyBorder="1" applyAlignment="1">
      <alignment horizontal="centerContinuous" vertical="center"/>
    </xf>
    <xf numFmtId="0" fontId="8" fillId="4" borderId="39" xfId="0" applyFont="1" applyFill="1" applyBorder="1" applyAlignment="1">
      <alignment horizontal="centerContinuous" vertical="center"/>
    </xf>
    <xf numFmtId="167" fontId="7" fillId="0" borderId="65" xfId="0" applyNumberFormat="1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Continuous" vertical="center"/>
    </xf>
    <xf numFmtId="0" fontId="8" fillId="4" borderId="6" xfId="0" applyFont="1" applyFill="1" applyBorder="1" applyAlignment="1">
      <alignment horizontal="center" vertical="center"/>
    </xf>
    <xf numFmtId="4" fontId="25" fillId="7" borderId="53" xfId="0" applyNumberFormat="1" applyFont="1" applyFill="1" applyBorder="1" applyAlignment="1">
      <alignment horizontal="center" vertical="center"/>
    </xf>
    <xf numFmtId="4" fontId="25" fillId="7" borderId="66" xfId="0" applyNumberFormat="1" applyFont="1" applyFill="1" applyBorder="1" applyAlignment="1">
      <alignment horizontal="center" vertical="center"/>
    </xf>
    <xf numFmtId="4" fontId="25" fillId="7" borderId="67" xfId="0" applyNumberFormat="1" applyFont="1" applyFill="1" applyBorder="1" applyAlignment="1">
      <alignment horizontal="center" vertical="center"/>
    </xf>
    <xf numFmtId="4" fontId="25" fillId="7" borderId="68" xfId="0" applyNumberFormat="1" applyFont="1" applyFill="1" applyBorder="1" applyAlignment="1">
      <alignment horizontal="center" vertical="center"/>
    </xf>
    <xf numFmtId="169" fontId="7" fillId="0" borderId="65" xfId="0" applyNumberFormat="1" applyFont="1" applyBorder="1" applyAlignment="1">
      <alignment horizontal="right" vertical="center"/>
    </xf>
    <xf numFmtId="169" fontId="7" fillId="0" borderId="18" xfId="0" applyNumberFormat="1" applyFont="1" applyBorder="1" applyAlignment="1">
      <alignment horizontal="right" vertical="center"/>
    </xf>
    <xf numFmtId="169" fontId="7" fillId="0" borderId="19" xfId="0" applyNumberFormat="1" applyFont="1" applyBorder="1" applyAlignment="1">
      <alignment horizontal="right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" fontId="8" fillId="4" borderId="22" xfId="0" applyNumberFormat="1" applyFont="1" applyFill="1" applyBorder="1" applyAlignment="1">
      <alignment horizontal="center" vertical="center"/>
    </xf>
    <xf numFmtId="4" fontId="8" fillId="4" borderId="23" xfId="0" applyNumberFormat="1" applyFont="1" applyFill="1" applyBorder="1" applyAlignment="1">
      <alignment horizontal="center" vertical="center"/>
    </xf>
    <xf numFmtId="4" fontId="8" fillId="4" borderId="24" xfId="0" applyNumberFormat="1" applyFont="1" applyFill="1" applyBorder="1" applyAlignment="1">
      <alignment horizontal="center" vertical="center"/>
    </xf>
    <xf numFmtId="0" fontId="23" fillId="0" borderId="0" xfId="4" applyAlignment="1">
      <alignment horizontal="center"/>
    </xf>
    <xf numFmtId="0" fontId="22" fillId="3" borderId="8" xfId="0" applyFont="1" applyFill="1" applyBorder="1" applyAlignment="1">
      <alignment horizontal="centerContinuous" vertical="center"/>
    </xf>
    <xf numFmtId="0" fontId="22" fillId="4" borderId="38" xfId="0" applyFont="1" applyFill="1" applyBorder="1" applyAlignment="1">
      <alignment horizontal="center" vertical="center"/>
    </xf>
    <xf numFmtId="0" fontId="23" fillId="8" borderId="0" xfId="4" applyFill="1" applyBorder="1" applyAlignment="1">
      <alignment horizontal="centerContinuous" vertical="center"/>
    </xf>
    <xf numFmtId="4" fontId="22" fillId="3" borderId="6" xfId="0" applyNumberFormat="1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61" xfId="0" applyBorder="1" applyAlignment="1">
      <alignment horizontal="center" vertical="center" textRotation="90"/>
    </xf>
    <xf numFmtId="0" fontId="8" fillId="3" borderId="30" xfId="0" applyFont="1" applyFill="1" applyBorder="1" applyAlignment="1">
      <alignment horizontal="center" vertical="distributed" textRotation="90"/>
    </xf>
    <xf numFmtId="0" fontId="0" fillId="0" borderId="50" xfId="0" applyBorder="1" applyAlignment="1">
      <alignment horizontal="center" vertical="distributed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10"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15"/>
  <sheetViews>
    <sheetView showGridLines="0" workbookViewId="0">
      <selection activeCell="C12" sqref="C12"/>
    </sheetView>
  </sheetViews>
  <sheetFormatPr defaultRowHeight="15" x14ac:dyDescent="0.25"/>
  <cols>
    <col min="2" max="2" width="16" bestFit="1" customWidth="1"/>
  </cols>
  <sheetData>
    <row r="2" spans="2:5" ht="18.75" x14ac:dyDescent="0.3">
      <c r="B2" s="3" t="s">
        <v>145</v>
      </c>
      <c r="C2" s="3"/>
      <c r="D2" s="3"/>
    </row>
    <row r="4" spans="2:5" x14ac:dyDescent="0.25">
      <c r="B4" s="12" t="s">
        <v>186</v>
      </c>
      <c r="C4" s="170"/>
    </row>
    <row r="5" spans="2:5" x14ac:dyDescent="0.25">
      <c r="B5" s="250" t="s">
        <v>1</v>
      </c>
    </row>
    <row r="8" spans="2:5" x14ac:dyDescent="0.25">
      <c r="B8" s="12" t="s">
        <v>146</v>
      </c>
      <c r="C8" s="170"/>
    </row>
    <row r="9" spans="2:5" x14ac:dyDescent="0.25">
      <c r="B9" s="250" t="s">
        <v>152</v>
      </c>
      <c r="C9" s="211" t="str">
        <f>Logic!C4</f>
        <v>OK</v>
      </c>
    </row>
    <row r="10" spans="2:5" x14ac:dyDescent="0.25">
      <c r="B10" s="250" t="s">
        <v>92</v>
      </c>
      <c r="C10" s="211" t="str">
        <f ca="1">'Table Formatting'!C4</f>
        <v>OK</v>
      </c>
    </row>
    <row r="15" spans="2:5" x14ac:dyDescent="0.25">
      <c r="E15" s="211"/>
    </row>
  </sheetData>
  <conditionalFormatting sqref="C9">
    <cfRule type="cellIs" dxfId="109" priority="1" stopIfTrue="1" operator="equal">
      <formula>"OK"</formula>
    </cfRule>
    <cfRule type="cellIs" dxfId="108" priority="2" stopIfTrue="1" operator="equal">
      <formula>"ERROR"</formula>
    </cfRule>
  </conditionalFormatting>
  <conditionalFormatting sqref="C10">
    <cfRule type="cellIs" dxfId="107" priority="3" stopIfTrue="1" operator="equal">
      <formula>"OK"</formula>
    </cfRule>
    <cfRule type="cellIs" dxfId="106" priority="4" stopIfTrue="1" operator="equal">
      <formula>"ERROR"</formula>
    </cfRule>
  </conditionalFormatting>
  <hyperlinks>
    <hyperlink ref="B5" location="Curves.Title" display="Curves" xr:uid="{55B00831-142E-4799-B620-B8B79F221D3E}"/>
    <hyperlink ref="B10" location="TableFormatting.Title" display="Table Formatting" xr:uid="{36F5A4C0-4058-4EAB-B9F0-3120B1D828EB}"/>
    <hyperlink ref="B9" location="Logic.Title" display="Logic" xr:uid="{4452807D-B6BF-4ED4-B910-965E05209AC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137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04" zoomScaleNormal="145" workbookViewId="0">
      <selection activeCell="B6" sqref="B6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60" t="s">
        <v>187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8" t="s">
        <v>120</v>
      </c>
      <c r="C12" s="211" t="str">
        <f>G16</f>
        <v>OK</v>
      </c>
    </row>
    <row r="14" spans="2:22" ht="18.75" x14ac:dyDescent="0.3">
      <c r="B14" s="79" t="s">
        <v>77</v>
      </c>
      <c r="C14" s="80"/>
      <c r="D14" s="80"/>
      <c r="F14" s="79" t="s">
        <v>120</v>
      </c>
      <c r="G14" s="80"/>
      <c r="H14" s="80"/>
      <c r="I14" s="80"/>
      <c r="J14" s="80"/>
      <c r="K14" s="80"/>
      <c r="L14" s="80"/>
      <c r="M14" s="80"/>
      <c r="N14" s="80"/>
      <c r="O14" s="80"/>
      <c r="Q14" s="79" t="s">
        <v>124</v>
      </c>
      <c r="R14" s="80"/>
      <c r="S14" s="80"/>
      <c r="T14" s="80"/>
      <c r="U14" s="80"/>
      <c r="V14" s="80"/>
    </row>
    <row r="16" spans="2:22" x14ac:dyDescent="0.25">
      <c r="B16" s="78" t="s">
        <v>3</v>
      </c>
      <c r="C16" s="70" t="str" cm="1">
        <f t="array" ref="C16">_xll.d.Curve_Create("ExampleCurve",B19:C22,B26:B31,C26:C31)</f>
        <v>@@ExampleCurve::17:25:12</v>
      </c>
      <c r="D16" s="26"/>
      <c r="F16" s="60" t="s">
        <v>147</v>
      </c>
      <c r="G16" s="211" t="str" cm="1">
        <f t="array" ref="G16">_xll.d.Logic_And(I29:I39)</f>
        <v>OK</v>
      </c>
    </row>
    <row r="17" spans="2:19" x14ac:dyDescent="0.25">
      <c r="Q17" s="27" t="s">
        <v>185</v>
      </c>
      <c r="R17" s="27"/>
      <c r="S17" s="27"/>
    </row>
    <row r="18" spans="2:19" x14ac:dyDescent="0.25">
      <c r="B18" s="12" t="s">
        <v>61</v>
      </c>
      <c r="C18" s="170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47" t="s">
        <v>88</v>
      </c>
      <c r="R18" s="248" t="s">
        <v>89</v>
      </c>
      <c r="S18" s="249" t="s">
        <v>90</v>
      </c>
    </row>
    <row r="19" spans="2:19" x14ac:dyDescent="0.25">
      <c r="B19" s="86" t="s">
        <v>32</v>
      </c>
      <c r="C19" s="171" t="s">
        <v>33</v>
      </c>
      <c r="F19" s="237"/>
      <c r="G19" s="236" t="s">
        <v>83</v>
      </c>
      <c r="H19" s="233"/>
      <c r="I19" s="234"/>
      <c r="J19" s="236" t="s">
        <v>84</v>
      </c>
      <c r="K19" s="233"/>
      <c r="L19" s="234"/>
      <c r="M19" s="236" t="s">
        <v>85</v>
      </c>
      <c r="N19" s="233"/>
      <c r="O19" s="234"/>
      <c r="Q19" s="245" t="str" cm="1">
        <f t="array" ref="Q19">_xll.d.Curve_GetZeroRates($C$16,$F21,"NACP")</f>
        <v>#ERROR: Invalid compounding convention 'NACP'.</v>
      </c>
      <c r="R19" s="246" t="s">
        <v>87</v>
      </c>
      <c r="S19" s="232" t="str" cm="1">
        <f t="array" ref="S19">_xll.d.Logic_Equal(Q19,R19)</f>
        <v>OK</v>
      </c>
    </row>
    <row r="20" spans="2:19" x14ac:dyDescent="0.25">
      <c r="B20" s="172" t="s">
        <v>76</v>
      </c>
      <c r="C20" s="173" t="s">
        <v>73</v>
      </c>
      <c r="F20" s="238" t="s">
        <v>35</v>
      </c>
      <c r="G20" s="239" t="s">
        <v>78</v>
      </c>
      <c r="H20" s="240" t="s">
        <v>79</v>
      </c>
      <c r="I20" s="241" t="s">
        <v>90</v>
      </c>
      <c r="J20" s="239" t="s">
        <v>78</v>
      </c>
      <c r="K20" s="240" t="s">
        <v>79</v>
      </c>
      <c r="L20" s="241" t="s">
        <v>90</v>
      </c>
      <c r="M20" s="239" t="s">
        <v>78</v>
      </c>
      <c r="N20" s="240" t="s">
        <v>79</v>
      </c>
      <c r="O20" s="241" t="s">
        <v>90</v>
      </c>
    </row>
    <row r="21" spans="2:19" x14ac:dyDescent="0.25">
      <c r="B21" s="174" t="s">
        <v>74</v>
      </c>
      <c r="C21" s="175" t="s">
        <v>75</v>
      </c>
      <c r="E21" s="178"/>
      <c r="F21" s="18">
        <f>B27</f>
        <v>44593</v>
      </c>
      <c r="G21" s="242">
        <f>-LN(C27)/YEARFRAC($B$26,F21,3)</f>
        <v>0.11833459956542031</v>
      </c>
      <c r="H21" s="242">
        <f t="array" ref="H21:H25">_xll.d.Curve_GetZeroRates($C$16,F21:F25)</f>
        <v>0.11833459956542096</v>
      </c>
      <c r="I21" s="235" t="str" cm="1">
        <f t="array" ref="I21">_xll.d.Logic_Equal(G21,H21)</f>
        <v>OK</v>
      </c>
      <c r="J21" s="242">
        <f>12*($C27^(-1/(12*YEARFRAC($B$26,$F21,3)))-1)</f>
        <v>0.11891998374379664</v>
      </c>
      <c r="K21" s="242" cm="1">
        <f t="array" ref="K21">_xll.d.Curve_GetZeroRates($C$16,$F21,"NACM")</f>
        <v>0.11891998374379664</v>
      </c>
      <c r="L21" s="235" t="str" cm="1">
        <f t="array" ref="L21">_xll.d.Logic_Equal(J21,K21)</f>
        <v>OK</v>
      </c>
      <c r="M21" s="242">
        <f>4*($C27^(-1/(4*YEARFRAC($B$26,$F21,3)))-1)</f>
        <v>0.12010237358908604</v>
      </c>
      <c r="N21" s="242" cm="1">
        <f t="array" ref="N21">_xll.d.Curve_GetZeroRates($C$16,$F21,"NACQ")</f>
        <v>0.12010237358908693</v>
      </c>
      <c r="O21" s="235" t="str" cm="1">
        <f t="array" ref="O21">_xll.d.Logic_Equal(M21,N21)</f>
        <v>OK</v>
      </c>
    </row>
    <row r="22" spans="2:19" x14ac:dyDescent="0.25">
      <c r="B22" s="176" t="s">
        <v>54</v>
      </c>
      <c r="C22" s="177" t="s">
        <v>91</v>
      </c>
      <c r="F22" s="18">
        <f>B28</f>
        <v>44621</v>
      </c>
      <c r="G22" s="243">
        <f>-LN(C28)/YEARFRAC($B$26,F22,3)</f>
        <v>0.12498285035414584</v>
      </c>
      <c r="H22" s="243">
        <v>0.12498285035414587</v>
      </c>
      <c r="I22" s="232" t="str" cm="1">
        <f t="array" ref="I22">_xll.d.Logic_Equal(G22,H22)</f>
        <v>OK</v>
      </c>
      <c r="J22" s="243">
        <f>12*($C28^(-1/(12*YEARFRAC($B$26,$F22,3)))-1)</f>
        <v>0.12563597891789247</v>
      </c>
      <c r="K22" s="243" cm="1">
        <f t="array" ref="K22">_xll.d.Curve_GetZeroRates($C$16,$F22,"NACM")</f>
        <v>0.1256359789178898</v>
      </c>
      <c r="L22" s="232" t="str" cm="1">
        <f t="array" ref="L22">_xll.d.Logic_Equal(J22,K22)</f>
        <v>OK</v>
      </c>
      <c r="M22" s="243">
        <f>4*($C28^(-1/(4*YEARFRAC($B$26,$F22,3)))-1)</f>
        <v>0.12695593600029031</v>
      </c>
      <c r="N22" s="243" cm="1">
        <f t="array" ref="N22">_xll.d.Curve_GetZeroRates($C$16,$F22,"NACQ")</f>
        <v>0.12695593600029031</v>
      </c>
      <c r="O22" s="232" t="str" cm="1">
        <f t="array" ref="O22">_xll.d.Logic_Equal(M22,N22)</f>
        <v>OK</v>
      </c>
    </row>
    <row r="23" spans="2:19" x14ac:dyDescent="0.25">
      <c r="F23" s="18">
        <f>B29</f>
        <v>44652</v>
      </c>
      <c r="G23" s="243">
        <f>-LN(C29)/YEARFRAC($B$26,F23,3)</f>
        <v>0.12352900813242923</v>
      </c>
      <c r="H23" s="243">
        <v>0.12352900813242955</v>
      </c>
      <c r="I23" s="232" t="str" cm="1">
        <f t="array" ref="I23">_xll.d.Logic_Equal(G23,H23)</f>
        <v>OK</v>
      </c>
      <c r="J23" s="243">
        <f>12*($C29^(-1/(12*YEARFRAC($B$26,$F23,3)))-1)</f>
        <v>0.12416700444279183</v>
      </c>
      <c r="K23" s="243" cm="1">
        <f t="array" ref="K23">_xll.d.Curve_GetZeroRates($C$16,$F23,"NACM")</f>
        <v>0.12416700444279183</v>
      </c>
      <c r="L23" s="232" t="str" cm="1">
        <f t="array" ref="L23">_xll.d.Logic_Equal(J23,K23)</f>
        <v>OK</v>
      </c>
      <c r="M23" s="243">
        <f>4*($C29^(-1/(4*YEARFRAC($B$26,$F23,3)))-1)</f>
        <v>0.12545622286335512</v>
      </c>
      <c r="N23" s="243" cm="1">
        <f t="array" ref="N23">_xll.d.Curve_GetZeroRates($C$16,$F23,"NACQ")</f>
        <v>0.12545622286335512</v>
      </c>
      <c r="O23" s="232" t="str" cm="1">
        <f t="array" ref="O23">_xll.d.Logic_Equal(M23,N23)</f>
        <v>OK</v>
      </c>
    </row>
    <row r="24" spans="2:19" x14ac:dyDescent="0.25">
      <c r="E24" s="10"/>
      <c r="F24" s="18">
        <f>B30</f>
        <v>44682</v>
      </c>
      <c r="G24" s="243">
        <f>-LN(C30)/YEARFRAC($B$26,F24,3)</f>
        <v>0.12416689999910947</v>
      </c>
      <c r="H24" s="243">
        <v>0.12416689999910957</v>
      </c>
      <c r="I24" s="232" t="str" cm="1">
        <f t="array" ref="I24">_xll.d.Logic_Equal(G24,H24)</f>
        <v>OK</v>
      </c>
      <c r="J24" s="243">
        <f>12*($C30^(-1/(12*YEARFRAC($B$26,$F24,3)))-1)</f>
        <v>0.12481151386647849</v>
      </c>
      <c r="K24" s="243" cm="1">
        <f t="array" ref="K24">_xll.d.Curve_GetZeroRates($C$16,$F24,"NACM")</f>
        <v>0.12481151386647849</v>
      </c>
      <c r="L24" s="232" t="str" cm="1">
        <f t="array" ref="L24">_xll.d.Logic_Equal(J24,K24)</f>
        <v>OK</v>
      </c>
      <c r="M24" s="243">
        <f>4*($C30^(-1/(4*YEARFRAC($B$26,$F24,3)))-1)</f>
        <v>0.12611417406740255</v>
      </c>
      <c r="N24" s="243" cm="1">
        <f t="array" ref="N24">_xll.d.Curve_GetZeroRates($C$16,$F24,"NACQ")</f>
        <v>0.12611417406740344</v>
      </c>
      <c r="O24" s="232" t="str" cm="1">
        <f t="array" ref="O24">_xll.d.Logic_Equal(M24,N24)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44">
        <f>-LN(C31)/YEARFRAC($B$26,F25,3)</f>
        <v>0.11950895023574995</v>
      </c>
      <c r="H25" s="244">
        <v>0.11950895023574998</v>
      </c>
      <c r="I25" s="232" t="str" cm="1">
        <f t="array" ref="I25">_xll.d.Logic_Equal(G25,H25)</f>
        <v>OK</v>
      </c>
      <c r="J25" s="244">
        <f>12*($C31^(-1/(12*YEARFRAC($B$26,$F25,3)))-1)</f>
        <v>0.12010603026150424</v>
      </c>
      <c r="K25" s="244" cm="1">
        <f t="array" ref="K25">_xll.d.Curve_GetZeroRates($C$16,$F25,"NACM")</f>
        <v>0.12010603026150424</v>
      </c>
      <c r="L25" s="232" t="str" cm="1">
        <f t="array" ref="L25">_xll.d.Logic_Equal(J25,K25)</f>
        <v>OK</v>
      </c>
      <c r="M25" s="244">
        <f>4*($C31^(-1/(4*YEARFRAC($B$26,$F25,3)))-1)</f>
        <v>0.1213121624159994</v>
      </c>
      <c r="N25" s="244" cm="1">
        <f t="array" ref="N25">_xll.d.Curve_GetZeroRates($C$16,$F25,"NACQ")</f>
        <v>0.1213121624159994</v>
      </c>
      <c r="O25" s="232" t="str" cm="1">
        <f t="array" ref="O25">_xll.d.Logic_Equal(M25,N25)</f>
        <v>OK</v>
      </c>
    </row>
    <row r="26" spans="2:19" x14ac:dyDescent="0.25">
      <c r="B26" s="17">
        <v>44562</v>
      </c>
      <c r="C26" s="83">
        <v>1</v>
      </c>
      <c r="E26" s="8"/>
    </row>
    <row r="27" spans="2:19" x14ac:dyDescent="0.25">
      <c r="B27" s="18">
        <v>44593</v>
      </c>
      <c r="C27" s="84">
        <v>0.99</v>
      </c>
      <c r="E27" s="8"/>
      <c r="F27" s="82" t="s">
        <v>2</v>
      </c>
      <c r="H27" s="81" t="s">
        <v>82</v>
      </c>
    </row>
    <row r="28" spans="2:19" x14ac:dyDescent="0.25">
      <c r="B28" s="18">
        <v>44621</v>
      </c>
      <c r="C28" s="84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84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32" t="str" cm="1">
        <f t="array" ref="I29">_xll.d.Logic_Equal(G29,H29)</f>
        <v>OK</v>
      </c>
    </row>
    <row r="30" spans="2:19" x14ac:dyDescent="0.25">
      <c r="B30" s="18">
        <v>44682</v>
      </c>
      <c r="C30" s="84">
        <v>0.96</v>
      </c>
      <c r="F30" s="230">
        <v>44576</v>
      </c>
      <c r="G30" s="231">
        <f>EXP((LN(C27)-LN(C26))/((B27-B26)/365)*((F30-B26)/365)+LN(C26))</f>
        <v>0.99547142371128639</v>
      </c>
      <c r="H30" s="231" cm="1">
        <f t="array" ref="H30">_xll.d.Curve_GetDiscountFactors($C$16,F30)</f>
        <v>0.99547142371128639</v>
      </c>
      <c r="I30" s="232" t="str" cm="1">
        <f t="array" ref="I30">_xll.d.Logic_Equal(G30,H30)</f>
        <v>OK</v>
      </c>
    </row>
    <row r="31" spans="2:19" x14ac:dyDescent="0.25">
      <c r="B31" s="19">
        <v>46022</v>
      </c>
      <c r="C31" s="85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32" t="str" cm="1">
        <f t="array" ref="I31">_xll.d.Logic_Equal(G31,H31)</f>
        <v>OK</v>
      </c>
    </row>
    <row r="32" spans="2:19" x14ac:dyDescent="0.25">
      <c r="F32" s="230">
        <v>44607</v>
      </c>
      <c r="G32" s="231">
        <f>EXP((LN(C28)-LN(C27))/((B28-B27)/365)*((F32-B27)/365)+LN(C27))</f>
        <v>0.98498730956292024</v>
      </c>
      <c r="H32" s="231" cm="1">
        <f t="array" ref="H32">_xll.d.Curve_GetDiscountFactors($C$16,F32)</f>
        <v>0.98498730956292024</v>
      </c>
      <c r="I32" s="232" t="str" cm="1">
        <f t="array" ref="I32">_xll.d.Logic_Equal(G32,H32)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32" t="str" cm="1">
        <f t="array" ref="I33">_xll.d.Logic_Equal(G33,H33)</f>
        <v>OK</v>
      </c>
    </row>
    <row r="34" spans="2:9" x14ac:dyDescent="0.25">
      <c r="F34" s="230">
        <v>44635</v>
      </c>
      <c r="G34" s="231">
        <f>EXP((LN(C29)-LN(C28))/((B29-B28)/365)*((F34-B28)/365)+LN(C28))</f>
        <v>0.97547116833738268</v>
      </c>
      <c r="H34" s="231" cm="1">
        <f t="array" ref="H34">_xll.d.Curve_GetDiscountFactors($C$16,F34)</f>
        <v>0.97547116833738268</v>
      </c>
      <c r="I34" s="232" t="str" cm="1">
        <f t="array" ref="I34">_xll.d.Logic_Equal(G34,H34)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32" t="str" cm="1">
        <f t="array" ref="I35">_xll.d.Logic_Equal(G35,H35)</f>
        <v>OK</v>
      </c>
    </row>
    <row r="36" spans="2:9" x14ac:dyDescent="0.25">
      <c r="F36" s="230">
        <v>44666</v>
      </c>
      <c r="G36" s="231">
        <f>EXP((LN(C30)-LN(C29))/((B30-B29)/365)*((F36-B29)/365)+LN(C29))</f>
        <v>0.96532043596444328</v>
      </c>
      <c r="H36" s="231" cm="1">
        <f t="array" ref="H36">_xll.d.Curve_GetDiscountFactors($C$16,F36)</f>
        <v>0.96532043596444328</v>
      </c>
      <c r="I36" s="232" t="str" cm="1">
        <f t="array" ref="I36">_xll.d.Logic_Equal(G36,H36)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32" t="str" cm="1">
        <f t="array" ref="I37">_xll.d.Logic_Equal(G37,H37)</f>
        <v>OK</v>
      </c>
    </row>
    <row r="38" spans="2:9" x14ac:dyDescent="0.25">
      <c r="E38" s="5"/>
      <c r="F38" s="230">
        <v>45107</v>
      </c>
      <c r="G38" s="231">
        <f>EXP((LN(C31)-LN(C30))/((B31-B30)/365)*((F38-B30)/365)+LN(C30))</f>
        <v>0.8356958461194135</v>
      </c>
      <c r="H38" s="231" cm="1">
        <f t="array" ref="H38">_xll.d.Curve_GetDiscountFactors($C$16,F38)</f>
        <v>0.8356958461194135</v>
      </c>
      <c r="I38" s="232" t="str" cm="1">
        <f t="array" ref="I38">_xll.d.Logic_Equal(G38,H38)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32" t="str" cm="1">
        <f t="array" ref="I39">_xll.d.Logic_Equal(G39,H39)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05" priority="11" stopIfTrue="1" operator="equal">
      <formula>"OK"</formula>
    </cfRule>
    <cfRule type="cellIs" dxfId="104" priority="12" stopIfTrue="1" operator="equal">
      <formula>"ERROR"</formula>
    </cfRule>
  </conditionalFormatting>
  <conditionalFormatting sqref="G16">
    <cfRule type="cellIs" dxfId="103" priority="9" stopIfTrue="1" operator="equal">
      <formula>"OK"</formula>
    </cfRule>
    <cfRule type="cellIs" dxfId="102" priority="10" stopIfTrue="1" operator="equal">
      <formula>"ERROR"</formula>
    </cfRule>
  </conditionalFormatting>
  <conditionalFormatting sqref="C12">
    <cfRule type="cellIs" dxfId="101" priority="13" stopIfTrue="1" operator="equal">
      <formula>"OK"</formula>
    </cfRule>
    <cfRule type="cellIs" dxfId="100" priority="14" stopIfTrue="1" operator="equal">
      <formula>"ERROR"</formula>
    </cfRule>
  </conditionalFormatting>
  <conditionalFormatting sqref="I21:I25">
    <cfRule type="cellIs" dxfId="99" priority="7" stopIfTrue="1" operator="equal">
      <formula>"OK"</formula>
    </cfRule>
    <cfRule type="cellIs" dxfId="98" priority="8" stopIfTrue="1" operator="equal">
      <formula>"ERROR"</formula>
    </cfRule>
  </conditionalFormatting>
  <conditionalFormatting sqref="L21:L25">
    <cfRule type="cellIs" dxfId="97" priority="5" stopIfTrue="1" operator="equal">
      <formula>"OK"</formula>
    </cfRule>
    <cfRule type="cellIs" dxfId="96" priority="6" stopIfTrue="1" operator="equal">
      <formula>"ERROR"</formula>
    </cfRule>
  </conditionalFormatting>
  <conditionalFormatting sqref="O21:O25">
    <cfRule type="cellIs" dxfId="95" priority="3" stopIfTrue="1" operator="equal">
      <formula>"OK"</formula>
    </cfRule>
    <cfRule type="cellIs" dxfId="94" priority="4" stopIfTrue="1" operator="equal">
      <formula>"ERROR"</formula>
    </cfRule>
  </conditionalFormatting>
  <conditionalFormatting sqref="S19">
    <cfRule type="cellIs" dxfId="93" priority="1" stopIfTrue="1" operator="equal">
      <formula>"OK"</formula>
    </cfRule>
    <cfRule type="cellIs" dxfId="92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48"/>
  <sheetViews>
    <sheetView showGridLines="0" zoomScale="114" workbookViewId="0">
      <selection activeCell="F18" sqref="F18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e" cm="1">
        <f t="array" ref="D6">_xll.d.Curve_SingleCurveBootstrap("ZARCurve",C12,B23:E28,B30:E33,B35:E38)</f>
        <v>#VALUE!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17">
        <f>C12</f>
        <v>44713</v>
      </c>
      <c r="H12" s="56">
        <v>1</v>
      </c>
      <c r="I12" s="56" t="e" cm="1">
        <f t="array" aca="1" ref="I12" ca="1">_xll.d.Curve_DF($D$6,G12)</f>
        <v>#NAME?</v>
      </c>
      <c r="J12" s="56" t="e">
        <f t="shared" ref="J12:J17" ca="1" si="0">H12-I12</f>
        <v>#NAME?</v>
      </c>
      <c r="K12" s="64" t="e">
        <f ca="1">J12/H12</f>
        <v>#NAME?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18">
        <f>EDATE(G12,1)</f>
        <v>44743</v>
      </c>
      <c r="H13" s="57">
        <f>EXP(-D25*YEARFRAC($C$12,G13,3))</f>
        <v>0.99181450701087914</v>
      </c>
      <c r="I13" s="57" t="e" cm="1">
        <f t="array" aca="1" ref="I13" ca="1">_xll.d.Curve_DF($D$6,G13)</f>
        <v>#NAME?</v>
      </c>
      <c r="J13" s="57" t="e">
        <f t="shared" ca="1" si="0"/>
        <v>#NAME?</v>
      </c>
      <c r="K13" s="65" t="e">
        <f t="shared" ref="K13:K14" ca="1" si="2">J13/H13</f>
        <v>#NAME?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18">
        <f>EDATE(G12,2)</f>
        <v>44774</v>
      </c>
      <c r="H14" s="57">
        <f>EXP(-D26*YEARFRAC($C$12,G14,3))</f>
        <v>0.98342654747456371</v>
      </c>
      <c r="I14" s="57" t="e" cm="1">
        <f t="array" aca="1" ref="I14" ca="1">_xll.d.Curve_DF($D$6,G14)</f>
        <v>#NAME?</v>
      </c>
      <c r="J14" s="57" t="e">
        <f t="shared" ca="1" si="0"/>
        <v>#NAME?</v>
      </c>
      <c r="K14" s="65" t="e">
        <f t="shared" ca="1" si="2"/>
        <v>#NAME?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18">
        <f>EDATE(G12,3)</f>
        <v>44805</v>
      </c>
      <c r="H15" s="57">
        <f>EXP(-D27*YEARFRAC($C$12,G15,3))</f>
        <v>0.97510952647028781</v>
      </c>
      <c r="I15" s="57" t="e" cm="1">
        <f t="array" aca="1" ref="I15" ca="1">_xll.d.Curve_DF($D$6,G15)</f>
        <v>#NAME?</v>
      </c>
      <c r="J15" s="57" t="e">
        <f t="shared" ca="1" si="0"/>
        <v>#NAME?</v>
      </c>
      <c r="K15" s="65" t="e">
        <f ca="1">J15/H15</f>
        <v>#NAME?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18">
        <f>EDATE(G12,6)</f>
        <v>44896</v>
      </c>
      <c r="H16" s="57">
        <f>EXP(-D28*YEARFRAC($C$12,G16,3))</f>
        <v>0.95109912802471741</v>
      </c>
      <c r="I16" s="57" t="e" cm="1">
        <f t="array" aca="1" ref="I16" ca="1">_xll.d.Curve_DF($D$6,G16)</f>
        <v>#NAME?</v>
      </c>
      <c r="J16" s="57" t="e">
        <f t="shared" ca="1" si="0"/>
        <v>#NAME?</v>
      </c>
      <c r="K16" s="65" t="e">
        <f ca="1">J16/H16</f>
        <v>#NAME?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19">
        <f>EDATE(G12,9)</f>
        <v>44986</v>
      </c>
      <c r="H17" s="58">
        <f>H16*EXP(-D32*YEARFRAC(G16,G17,3))</f>
        <v>0.92793413813861503</v>
      </c>
      <c r="I17" s="58" t="e" cm="1">
        <f t="array" aca="1" ref="I17" ca="1">_xll.d.Curve_DF($D$6,G17)</f>
        <v>#NAME?</v>
      </c>
      <c r="J17" s="58" t="e">
        <f t="shared" ca="1" si="0"/>
        <v>#NAME?</v>
      </c>
      <c r="K17" s="66" t="e">
        <f ca="1">J17/H17</f>
        <v>#NAME?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topLeftCell="A24" zoomScale="114" workbookViewId="0">
      <selection activeCell="D27" sqref="D27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1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107"/>
  <sheetViews>
    <sheetView showGridLines="0" topLeftCell="A13" workbookViewId="0">
      <selection activeCell="E102" sqref="E102"/>
    </sheetView>
  </sheetViews>
  <sheetFormatPr defaultRowHeight="15" x14ac:dyDescent="0.25"/>
  <cols>
    <col min="1" max="1" width="3.75" customWidth="1"/>
    <col min="2" max="2" width="10.75" bestFit="1" customWidth="1"/>
    <col min="3" max="3" width="9.5" bestFit="1" customWidth="1"/>
    <col min="5" max="5" width="9.625" bestFit="1" customWidth="1"/>
    <col min="10" max="10" width="9.375" bestFit="1" customWidth="1"/>
  </cols>
  <sheetData>
    <row r="2" spans="2:23" ht="26.25" x14ac:dyDescent="0.4">
      <c r="B2" s="90" t="s">
        <v>152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60" t="s">
        <v>187</v>
      </c>
      <c r="C4" s="211" t="str" cm="1">
        <f t="array" ref="C4">_xll.d.Logic_And(C6:C13)</f>
        <v>OK</v>
      </c>
    </row>
    <row r="6" spans="2:23" x14ac:dyDescent="0.25">
      <c r="B6" s="60" t="s">
        <v>120</v>
      </c>
      <c r="C6" s="211" t="str" cm="1">
        <f t="array" ref="C6">_xll.d.Logic_And(C16,F16,K16,P16)</f>
        <v>OK</v>
      </c>
    </row>
    <row r="7" spans="2:23" x14ac:dyDescent="0.25">
      <c r="B7" s="60" t="s">
        <v>124</v>
      </c>
      <c r="C7" s="211" t="str" cm="1">
        <f t="array" ref="C7">_xll.d.Logic_And(C32,F32,K32,P32)</f>
        <v>OK</v>
      </c>
    </row>
    <row r="8" spans="2:23" x14ac:dyDescent="0.25">
      <c r="B8" s="41" t="s">
        <v>128</v>
      </c>
      <c r="C8" s="211" t="str" cm="1">
        <f t="array" ref="C8">_xll.d.Logic_And(C48,F48,K48,P48)</f>
        <v>OK</v>
      </c>
    </row>
    <row r="9" spans="2:23" x14ac:dyDescent="0.25">
      <c r="B9" s="41" t="s">
        <v>131</v>
      </c>
      <c r="C9" s="211" t="str" cm="1">
        <f t="array" ref="C9">_xll.d.Logic_And(C64,F64,K64,P64)</f>
        <v>OK</v>
      </c>
    </row>
    <row r="10" spans="2:23" x14ac:dyDescent="0.25">
      <c r="B10" s="41" t="s">
        <v>138</v>
      </c>
      <c r="C10" s="211" t="str" cm="1">
        <f t="array" ref="C10">_xll.d.Logic_And(C80,F80,K80,P80)</f>
        <v>OK</v>
      </c>
    </row>
    <row r="11" spans="2:23" x14ac:dyDescent="0.25">
      <c r="B11" s="41" t="s">
        <v>140</v>
      </c>
      <c r="C11" s="211" t="str" cm="1">
        <f t="array" ref="C11">_xll.d.Logic_And(C96,F96,K96,P96)</f>
        <v>OK</v>
      </c>
    </row>
    <row r="14" spans="2:23" ht="18.75" x14ac:dyDescent="0.3">
      <c r="B14" s="91" t="s">
        <v>154</v>
      </c>
      <c r="C14" s="89"/>
      <c r="E14" s="91" t="s">
        <v>155</v>
      </c>
      <c r="F14" s="89"/>
      <c r="G14" s="89"/>
      <c r="H14" s="89"/>
      <c r="J14" s="91" t="s">
        <v>156</v>
      </c>
      <c r="K14" s="89"/>
      <c r="L14" s="89"/>
      <c r="M14" s="89"/>
      <c r="O14" s="91" t="s">
        <v>172</v>
      </c>
      <c r="P14" s="89"/>
      <c r="Q14" s="89"/>
      <c r="R14" s="89"/>
      <c r="S14" s="89"/>
      <c r="T14" s="89"/>
      <c r="U14" s="89"/>
      <c r="V14" s="89"/>
      <c r="W14" s="89"/>
    </row>
    <row r="16" spans="2:23" x14ac:dyDescent="0.25">
      <c r="B16" s="60" t="s">
        <v>147</v>
      </c>
      <c r="C16" s="211" t="str" cm="1">
        <f t="array" ref="C16">_xll.d.Logic_IsTrue(C21="OK")</f>
        <v>OK</v>
      </c>
      <c r="E16" s="60" t="s">
        <v>147</v>
      </c>
      <c r="F16" s="211" t="str" cm="1">
        <f t="array" ref="F16">_xll.d.Logic_IsTrue(E21="OK")</f>
        <v>OK</v>
      </c>
      <c r="J16" s="60" t="s">
        <v>147</v>
      </c>
      <c r="K16" s="211" t="str" cm="1">
        <f t="array" ref="K16">_xll.d.Logic_IsTrue(J21="OK")</f>
        <v>OK</v>
      </c>
      <c r="O16" s="60" t="s">
        <v>147</v>
      </c>
      <c r="P16" s="211" t="str" cm="1">
        <f t="array" ref="P16">_xll.d.Logic_IsTrue(O21="OK")</f>
        <v>OK</v>
      </c>
    </row>
    <row r="18" spans="2:23" x14ac:dyDescent="0.25">
      <c r="B18" s="228" t="s">
        <v>160</v>
      </c>
      <c r="C18" s="212" t="s">
        <v>159</v>
      </c>
      <c r="E18" s="228" t="s">
        <v>160</v>
      </c>
      <c r="F18" s="212" t="s">
        <v>159</v>
      </c>
      <c r="J18" s="228" t="s">
        <v>160</v>
      </c>
      <c r="K18" s="212" t="s">
        <v>159</v>
      </c>
      <c r="O18" s="228" t="s">
        <v>160</v>
      </c>
      <c r="P18" s="212" t="s">
        <v>159</v>
      </c>
    </row>
    <row r="19" spans="2:23" x14ac:dyDescent="0.25">
      <c r="B19" s="212"/>
    </row>
    <row r="20" spans="2:23" x14ac:dyDescent="0.25">
      <c r="B20" s="229" t="s">
        <v>157</v>
      </c>
      <c r="C20" s="229" t="s">
        <v>158</v>
      </c>
      <c r="E20" s="229" t="s">
        <v>158</v>
      </c>
      <c r="J20" s="229" t="s">
        <v>158</v>
      </c>
      <c r="O20" s="229" t="s">
        <v>158</v>
      </c>
    </row>
    <row r="21" spans="2:23" x14ac:dyDescent="0.25">
      <c r="B21" s="212" t="s">
        <v>153</v>
      </c>
      <c r="C21" s="212" t="str" cm="1">
        <f t="array" ref="C21">_xll.d.Logic_And(B21:B24)</f>
        <v>OK</v>
      </c>
      <c r="E21" s="212" t="str" cm="1">
        <f t="array" ref="E21">_xll.d.Logic_And(E24:H24)</f>
        <v>OK</v>
      </c>
      <c r="J21" s="212" t="str" cm="1">
        <f t="array" ref="J21">_xll.d.Logic_And(J24:M27)</f>
        <v>OK</v>
      </c>
      <c r="O21" s="212" t="str" cm="1">
        <f t="array" ref="O21">_xll.d.Logic_And(O24,O26:Q26,S24:S27,U24:W27)</f>
        <v>OK</v>
      </c>
    </row>
    <row r="22" spans="2:23" x14ac:dyDescent="0.25">
      <c r="B22" s="212" t="s">
        <v>153</v>
      </c>
    </row>
    <row r="23" spans="2:23" x14ac:dyDescent="0.25">
      <c r="B23" s="212" t="s">
        <v>153</v>
      </c>
      <c r="E23" s="229" t="s">
        <v>157</v>
      </c>
      <c r="J23" s="82" t="s">
        <v>157</v>
      </c>
      <c r="O23" s="82" t="s">
        <v>157</v>
      </c>
    </row>
    <row r="24" spans="2:23" x14ac:dyDescent="0.25">
      <c r="B24" s="212" t="s">
        <v>153</v>
      </c>
      <c r="E24" s="212" t="s">
        <v>153</v>
      </c>
      <c r="F24" s="212" t="s">
        <v>153</v>
      </c>
      <c r="G24" s="212" t="s">
        <v>153</v>
      </c>
      <c r="H24" s="212" t="s">
        <v>153</v>
      </c>
      <c r="J24" s="212" t="s">
        <v>153</v>
      </c>
      <c r="K24" s="212" t="s">
        <v>153</v>
      </c>
      <c r="L24" s="212" t="s">
        <v>153</v>
      </c>
      <c r="M24" s="212" t="s">
        <v>153</v>
      </c>
      <c r="O24" s="212" t="s">
        <v>153</v>
      </c>
      <c r="R24" s="212"/>
      <c r="S24" s="212" t="s">
        <v>153</v>
      </c>
      <c r="U24" s="212" t="s">
        <v>153</v>
      </c>
      <c r="V24" s="212" t="s">
        <v>153</v>
      </c>
      <c r="W24" s="212" t="s">
        <v>153</v>
      </c>
    </row>
    <row r="25" spans="2:23" x14ac:dyDescent="0.25">
      <c r="J25" s="212" t="s">
        <v>153</v>
      </c>
      <c r="K25" s="212" t="s">
        <v>153</v>
      </c>
      <c r="L25" s="212" t="s">
        <v>153</v>
      </c>
      <c r="M25" s="212" t="s">
        <v>153</v>
      </c>
      <c r="S25" s="212" t="s">
        <v>153</v>
      </c>
      <c r="U25" s="212" t="s">
        <v>153</v>
      </c>
      <c r="V25" s="212" t="s">
        <v>153</v>
      </c>
      <c r="W25" s="212" t="s">
        <v>153</v>
      </c>
    </row>
    <row r="26" spans="2:23" x14ac:dyDescent="0.25">
      <c r="J26" s="212" t="s">
        <v>153</v>
      </c>
      <c r="K26" s="212" t="s">
        <v>153</v>
      </c>
      <c r="L26" s="212" t="s">
        <v>153</v>
      </c>
      <c r="M26" s="212" t="s">
        <v>153</v>
      </c>
      <c r="O26" s="212" t="s">
        <v>153</v>
      </c>
      <c r="P26" s="212" t="s">
        <v>153</v>
      </c>
      <c r="Q26" s="212" t="s">
        <v>153</v>
      </c>
      <c r="S26" s="212" t="s">
        <v>153</v>
      </c>
      <c r="U26" s="212" t="s">
        <v>153</v>
      </c>
      <c r="V26" s="212" t="s">
        <v>153</v>
      </c>
      <c r="W26" s="212" t="s">
        <v>153</v>
      </c>
    </row>
    <row r="27" spans="2:23" x14ac:dyDescent="0.25">
      <c r="C27" s="211"/>
      <c r="J27" s="212" t="s">
        <v>153</v>
      </c>
      <c r="K27" s="212" t="s">
        <v>153</v>
      </c>
      <c r="L27" s="212" t="s">
        <v>153</v>
      </c>
      <c r="M27" s="212" t="s">
        <v>153</v>
      </c>
      <c r="S27" s="212" t="s">
        <v>153</v>
      </c>
      <c r="U27" s="212" t="s">
        <v>153</v>
      </c>
      <c r="V27" s="212" t="s">
        <v>153</v>
      </c>
      <c r="W27" s="212" t="s">
        <v>153</v>
      </c>
    </row>
    <row r="28" spans="2:23" x14ac:dyDescent="0.25">
      <c r="C28" s="211"/>
    </row>
    <row r="30" spans="2:23" ht="18.75" x14ac:dyDescent="0.3">
      <c r="B30" s="91" t="s">
        <v>161</v>
      </c>
      <c r="C30" s="89"/>
      <c r="E30" s="91" t="s">
        <v>162</v>
      </c>
      <c r="F30" s="89"/>
      <c r="G30" s="89"/>
      <c r="H30" s="89"/>
      <c r="J30" s="91" t="s">
        <v>163</v>
      </c>
      <c r="K30" s="89"/>
      <c r="L30" s="89"/>
      <c r="M30" s="89"/>
      <c r="O30" s="91" t="s">
        <v>173</v>
      </c>
      <c r="P30" s="89"/>
      <c r="Q30" s="89"/>
      <c r="R30" s="89"/>
      <c r="S30" s="89"/>
      <c r="T30" s="89"/>
      <c r="U30" s="89"/>
      <c r="V30" s="89"/>
      <c r="W30" s="89"/>
    </row>
    <row r="32" spans="2:23" x14ac:dyDescent="0.25">
      <c r="B32" s="60" t="s">
        <v>147</v>
      </c>
      <c r="C32" s="211" t="str" cm="1">
        <f t="array" ref="C32">_xll.d.Logic_IsTrue(C37="ERROR")</f>
        <v>OK</v>
      </c>
      <c r="E32" s="60" t="s">
        <v>147</v>
      </c>
      <c r="F32" s="211" t="str" cm="1">
        <f t="array" ref="F32">_xll.d.Logic_IsTrue(E37="ERROR")</f>
        <v>OK</v>
      </c>
      <c r="J32" s="60" t="s">
        <v>147</v>
      </c>
      <c r="K32" s="211" t="str" cm="1">
        <f t="array" ref="K32">_xll.d.Logic_IsTrue(J37="ERROR")</f>
        <v>OK</v>
      </c>
      <c r="O32" s="60" t="s">
        <v>147</v>
      </c>
      <c r="P32" s="211" t="str" cm="1">
        <f t="array" ref="P32">_xll.d.Logic_IsTrue(O37="ERROR")</f>
        <v>OK</v>
      </c>
    </row>
    <row r="34" spans="2:23" x14ac:dyDescent="0.25">
      <c r="B34" s="228" t="s">
        <v>160</v>
      </c>
      <c r="C34" s="212" t="s">
        <v>159</v>
      </c>
      <c r="E34" s="228" t="s">
        <v>160</v>
      </c>
      <c r="F34" s="212" t="s">
        <v>159</v>
      </c>
      <c r="J34" s="228" t="s">
        <v>160</v>
      </c>
      <c r="K34" s="212" t="s">
        <v>159</v>
      </c>
      <c r="O34" s="228" t="s">
        <v>160</v>
      </c>
      <c r="P34" s="212" t="s">
        <v>159</v>
      </c>
    </row>
    <row r="35" spans="2:23" x14ac:dyDescent="0.25">
      <c r="B35" s="212"/>
    </row>
    <row r="36" spans="2:23" x14ac:dyDescent="0.25">
      <c r="B36" s="229" t="s">
        <v>157</v>
      </c>
      <c r="C36" s="229" t="s">
        <v>158</v>
      </c>
      <c r="E36" s="229" t="s">
        <v>158</v>
      </c>
      <c r="J36" s="229" t="s">
        <v>158</v>
      </c>
      <c r="O36" s="229" t="s">
        <v>158</v>
      </c>
    </row>
    <row r="37" spans="2:23" x14ac:dyDescent="0.25">
      <c r="B37" s="212" t="s">
        <v>153</v>
      </c>
      <c r="C37" s="212" t="str" cm="1">
        <f t="array" ref="C37">_xll.d.Logic_And(B37:B40)</f>
        <v>ERROR</v>
      </c>
      <c r="E37" s="212" t="str" cm="1">
        <f t="array" ref="E37">_xll.d.Logic_And(E40:H40)</f>
        <v>ERROR</v>
      </c>
      <c r="J37" s="212" t="str" cm="1">
        <f t="array" ref="J37">_xll.d.Logic_And(J40:M43)</f>
        <v>ERROR</v>
      </c>
      <c r="O37" s="212" t="str" cm="1">
        <f t="array" ref="O37">_xll.d.Logic_And(O40,O42:Q42,S40:S43,U40:W43)</f>
        <v>ERROR</v>
      </c>
    </row>
    <row r="38" spans="2:23" x14ac:dyDescent="0.25">
      <c r="B38" s="212" t="s">
        <v>153</v>
      </c>
    </row>
    <row r="39" spans="2:23" x14ac:dyDescent="0.25">
      <c r="B39" s="212" t="s">
        <v>164</v>
      </c>
      <c r="E39" s="229" t="s">
        <v>157</v>
      </c>
      <c r="J39" s="82" t="s">
        <v>157</v>
      </c>
      <c r="O39" s="82" t="s">
        <v>157</v>
      </c>
    </row>
    <row r="40" spans="2:23" x14ac:dyDescent="0.25">
      <c r="B40" s="212" t="s">
        <v>153</v>
      </c>
      <c r="E40" s="212" t="s">
        <v>153</v>
      </c>
      <c r="F40" s="212" t="s">
        <v>164</v>
      </c>
      <c r="G40" s="212" t="s">
        <v>153</v>
      </c>
      <c r="H40" s="212" t="s">
        <v>153</v>
      </c>
      <c r="J40" s="212" t="s">
        <v>153</v>
      </c>
      <c r="K40" s="212" t="s">
        <v>153</v>
      </c>
      <c r="L40" s="212" t="s">
        <v>153</v>
      </c>
      <c r="M40" s="212" t="s">
        <v>153</v>
      </c>
      <c r="O40" s="212" t="s">
        <v>153</v>
      </c>
      <c r="R40" s="212"/>
      <c r="S40" s="212" t="s">
        <v>153</v>
      </c>
      <c r="U40" s="212" t="s">
        <v>153</v>
      </c>
      <c r="V40" s="212" t="s">
        <v>153</v>
      </c>
      <c r="W40" s="212" t="s">
        <v>153</v>
      </c>
    </row>
    <row r="41" spans="2:23" x14ac:dyDescent="0.25">
      <c r="J41" s="212" t="s">
        <v>153</v>
      </c>
      <c r="K41" s="212" t="s">
        <v>153</v>
      </c>
      <c r="L41" s="212" t="s">
        <v>153</v>
      </c>
      <c r="M41" s="212" t="s">
        <v>153</v>
      </c>
      <c r="S41" s="212" t="s">
        <v>153</v>
      </c>
      <c r="U41" s="212" t="s">
        <v>153</v>
      </c>
      <c r="V41" s="212" t="s">
        <v>153</v>
      </c>
      <c r="W41" s="212" t="s">
        <v>153</v>
      </c>
    </row>
    <row r="42" spans="2:23" x14ac:dyDescent="0.25">
      <c r="J42" s="212" t="s">
        <v>153</v>
      </c>
      <c r="K42" s="212" t="s">
        <v>153</v>
      </c>
      <c r="L42" s="212" t="s">
        <v>164</v>
      </c>
      <c r="M42" s="212" t="s">
        <v>153</v>
      </c>
      <c r="O42" s="212" t="s">
        <v>153</v>
      </c>
      <c r="P42" s="212" t="s">
        <v>164</v>
      </c>
      <c r="Q42" s="212" t="s">
        <v>153</v>
      </c>
      <c r="S42" s="212" t="s">
        <v>153</v>
      </c>
      <c r="U42" s="212" t="s">
        <v>153</v>
      </c>
      <c r="V42" s="212" t="s">
        <v>153</v>
      </c>
      <c r="W42" s="212" t="s">
        <v>153</v>
      </c>
    </row>
    <row r="43" spans="2:23" x14ac:dyDescent="0.25">
      <c r="C43" s="211"/>
      <c r="J43" s="212" t="s">
        <v>153</v>
      </c>
      <c r="K43" s="212" t="s">
        <v>153</v>
      </c>
      <c r="L43" s="212" t="s">
        <v>153</v>
      </c>
      <c r="M43" s="212" t="s">
        <v>153</v>
      </c>
      <c r="S43" s="212" t="s">
        <v>153</v>
      </c>
      <c r="U43" s="212" t="s">
        <v>153</v>
      </c>
      <c r="V43" s="212" t="s">
        <v>153</v>
      </c>
      <c r="W43" s="212" t="s">
        <v>153</v>
      </c>
    </row>
    <row r="46" spans="2:23" s="68" customFormat="1" ht="18.75" x14ac:dyDescent="0.3">
      <c r="B46" s="91" t="s">
        <v>165</v>
      </c>
      <c r="C46" s="89"/>
      <c r="E46" s="91" t="s">
        <v>166</v>
      </c>
      <c r="F46" s="89"/>
      <c r="G46" s="89"/>
      <c r="H46" s="89"/>
      <c r="J46" s="91" t="s">
        <v>167</v>
      </c>
      <c r="K46" s="89"/>
      <c r="L46" s="89"/>
      <c r="M46" s="89"/>
      <c r="O46" s="91" t="s">
        <v>174</v>
      </c>
      <c r="P46" s="89"/>
      <c r="Q46" s="89"/>
      <c r="R46" s="89"/>
      <c r="S46" s="89"/>
      <c r="T46" s="89"/>
      <c r="U46" s="89"/>
      <c r="V46" s="89"/>
      <c r="W46" s="89"/>
    </row>
    <row r="48" spans="2:23" x14ac:dyDescent="0.25">
      <c r="B48" s="60" t="s">
        <v>147</v>
      </c>
      <c r="C48" s="211" t="str" cm="1">
        <f t="array" ref="C48">_xll.d.Logic_IsTrue(C53="WARNING")</f>
        <v>OK</v>
      </c>
      <c r="E48" s="60" t="s">
        <v>147</v>
      </c>
      <c r="F48" s="211" t="str" cm="1">
        <f t="array" ref="F48">_xll.d.Logic_IsTrue(E53="WARNING")</f>
        <v>OK</v>
      </c>
      <c r="J48" s="60" t="s">
        <v>147</v>
      </c>
      <c r="K48" s="211" t="str" cm="1">
        <f t="array" ref="K48">_xll.d.Logic_IsTrue(J53="WARNING")</f>
        <v>OK</v>
      </c>
      <c r="O48" s="60" t="s">
        <v>147</v>
      </c>
      <c r="P48" s="211" t="str" cm="1">
        <f t="array" ref="P48">_xll.d.Logic_IsTrue(O53="WARNING")</f>
        <v>OK</v>
      </c>
    </row>
    <row r="50" spans="2:23" x14ac:dyDescent="0.25">
      <c r="B50" s="228" t="s">
        <v>160</v>
      </c>
      <c r="C50" s="212" t="s">
        <v>159</v>
      </c>
      <c r="E50" s="228" t="s">
        <v>160</v>
      </c>
      <c r="F50" s="212" t="s">
        <v>159</v>
      </c>
      <c r="J50" s="228" t="s">
        <v>160</v>
      </c>
      <c r="K50" s="212" t="s">
        <v>159</v>
      </c>
      <c r="O50" s="228" t="s">
        <v>160</v>
      </c>
      <c r="P50" s="212" t="s">
        <v>159</v>
      </c>
    </row>
    <row r="51" spans="2:23" x14ac:dyDescent="0.25">
      <c r="B51" s="212"/>
    </row>
    <row r="52" spans="2:23" x14ac:dyDescent="0.25">
      <c r="B52" s="229" t="s">
        <v>157</v>
      </c>
      <c r="C52" s="229" t="s">
        <v>158</v>
      </c>
      <c r="E52" s="229" t="s">
        <v>158</v>
      </c>
      <c r="J52" s="229" t="s">
        <v>158</v>
      </c>
      <c r="O52" s="229" t="s">
        <v>158</v>
      </c>
    </row>
    <row r="53" spans="2:23" x14ac:dyDescent="0.25">
      <c r="B53" s="212" t="s">
        <v>153</v>
      </c>
      <c r="C53" s="212" t="str" cm="1">
        <f t="array" ref="C53">_xll.d.Logic_And(B53:B56)</f>
        <v>WARNING</v>
      </c>
      <c r="E53" s="212" t="str" cm="1">
        <f t="array" ref="E53">_xll.d.Logic_And(E56:H56)</f>
        <v>WARNING</v>
      </c>
      <c r="J53" s="212" t="str" cm="1">
        <f t="array" ref="J53">_xll.d.Logic_And(J56:M59)</f>
        <v>WARNING</v>
      </c>
      <c r="O53" s="212" t="str" cm="1">
        <f t="array" ref="O53">_xll.d.Logic_And(O56,O58:Q58,S56:S59,U56:W59)</f>
        <v>WARNING</v>
      </c>
    </row>
    <row r="54" spans="2:23" x14ac:dyDescent="0.25">
      <c r="B54" s="212" t="s">
        <v>153</v>
      </c>
    </row>
    <row r="55" spans="2:23" x14ac:dyDescent="0.25">
      <c r="B55" s="212" t="s">
        <v>168</v>
      </c>
      <c r="E55" s="229" t="s">
        <v>157</v>
      </c>
      <c r="J55" s="82" t="s">
        <v>157</v>
      </c>
      <c r="O55" s="82" t="s">
        <v>157</v>
      </c>
    </row>
    <row r="56" spans="2:23" x14ac:dyDescent="0.25">
      <c r="B56" s="212" t="s">
        <v>153</v>
      </c>
      <c r="E56" s="212" t="s">
        <v>153</v>
      </c>
      <c r="F56" s="212" t="s">
        <v>168</v>
      </c>
      <c r="G56" s="212" t="s">
        <v>153</v>
      </c>
      <c r="H56" s="212" t="s">
        <v>153</v>
      </c>
      <c r="J56" s="212" t="s">
        <v>153</v>
      </c>
      <c r="K56" s="212" t="s">
        <v>153</v>
      </c>
      <c r="L56" s="212" t="s">
        <v>153</v>
      </c>
      <c r="M56" s="212" t="s">
        <v>153</v>
      </c>
      <c r="O56" s="212" t="s">
        <v>153</v>
      </c>
      <c r="R56" s="212"/>
      <c r="S56" s="212" t="s">
        <v>153</v>
      </c>
      <c r="U56" s="212" t="s">
        <v>153</v>
      </c>
      <c r="V56" s="212" t="s">
        <v>153</v>
      </c>
      <c r="W56" s="212" t="s">
        <v>153</v>
      </c>
    </row>
    <row r="57" spans="2:23" x14ac:dyDescent="0.25">
      <c r="J57" s="212" t="s">
        <v>153</v>
      </c>
      <c r="K57" s="212" t="s">
        <v>153</v>
      </c>
      <c r="L57" s="212" t="s">
        <v>153</v>
      </c>
      <c r="M57" s="212" t="s">
        <v>153</v>
      </c>
      <c r="S57" s="212" t="s">
        <v>153</v>
      </c>
      <c r="U57" s="212" t="s">
        <v>153</v>
      </c>
      <c r="V57" s="212" t="s">
        <v>153</v>
      </c>
      <c r="W57" s="212" t="s">
        <v>153</v>
      </c>
    </row>
    <row r="58" spans="2:23" x14ac:dyDescent="0.25">
      <c r="J58" s="212" t="s">
        <v>153</v>
      </c>
      <c r="K58" s="212" t="s">
        <v>153</v>
      </c>
      <c r="L58" s="212" t="s">
        <v>168</v>
      </c>
      <c r="M58" s="212" t="s">
        <v>153</v>
      </c>
      <c r="O58" s="212" t="s">
        <v>153</v>
      </c>
      <c r="P58" s="212" t="s">
        <v>168</v>
      </c>
      <c r="Q58" s="212" t="s">
        <v>153</v>
      </c>
      <c r="S58" s="212" t="s">
        <v>153</v>
      </c>
      <c r="U58" s="212" t="s">
        <v>153</v>
      </c>
      <c r="V58" s="212" t="s">
        <v>153</v>
      </c>
      <c r="W58" s="212" t="s">
        <v>153</v>
      </c>
    </row>
    <row r="59" spans="2:23" x14ac:dyDescent="0.25">
      <c r="C59" s="211"/>
      <c r="J59" s="212" t="s">
        <v>153</v>
      </c>
      <c r="K59" s="212" t="s">
        <v>153</v>
      </c>
      <c r="L59" s="212" t="s">
        <v>153</v>
      </c>
      <c r="M59" s="212" t="s">
        <v>153</v>
      </c>
      <c r="S59" s="212" t="s">
        <v>153</v>
      </c>
      <c r="U59" s="212" t="s">
        <v>153</v>
      </c>
      <c r="V59" s="212" t="s">
        <v>153</v>
      </c>
      <c r="W59" s="212" t="s">
        <v>153</v>
      </c>
    </row>
    <row r="62" spans="2:23" ht="18.75" x14ac:dyDescent="0.3">
      <c r="B62" s="91" t="s">
        <v>169</v>
      </c>
      <c r="C62" s="89"/>
      <c r="E62" s="91" t="s">
        <v>170</v>
      </c>
      <c r="F62" s="89"/>
      <c r="G62" s="89"/>
      <c r="H62" s="89"/>
      <c r="J62" s="91" t="s">
        <v>171</v>
      </c>
      <c r="K62" s="89"/>
      <c r="L62" s="89"/>
      <c r="M62" s="89"/>
      <c r="O62" s="91" t="s">
        <v>175</v>
      </c>
      <c r="P62" s="89"/>
      <c r="Q62" s="89"/>
      <c r="R62" s="89"/>
      <c r="S62" s="89"/>
      <c r="T62" s="89"/>
      <c r="U62" s="89"/>
      <c r="V62" s="89"/>
      <c r="W62" s="89"/>
    </row>
    <row r="64" spans="2:23" x14ac:dyDescent="0.25">
      <c r="B64" s="60" t="s">
        <v>147</v>
      </c>
      <c r="C64" s="211" t="str" cm="1">
        <f t="array" ref="C64">_xll.d.Logic_IsTrue(C69="ERROR")</f>
        <v>OK</v>
      </c>
      <c r="E64" s="60" t="s">
        <v>147</v>
      </c>
      <c r="F64" s="211" t="str" cm="1">
        <f t="array" ref="F64">_xll.d.Logic_IsTrue(E69="ERROR")</f>
        <v>OK</v>
      </c>
      <c r="J64" s="60" t="s">
        <v>147</v>
      </c>
      <c r="K64" s="211" t="str" cm="1">
        <f t="array" ref="K64">_xll.d.Logic_IsTrue(J69="ERROR")</f>
        <v>OK</v>
      </c>
      <c r="O64" s="60" t="s">
        <v>147</v>
      </c>
      <c r="P64" s="211" t="str" cm="1">
        <f t="array" ref="P64">_xll.d.Logic_IsTrue(O69="ERROR")</f>
        <v>OK</v>
      </c>
    </row>
    <row r="66" spans="2:23" x14ac:dyDescent="0.25">
      <c r="B66" s="228" t="s">
        <v>160</v>
      </c>
      <c r="C66" s="212" t="s">
        <v>159</v>
      </c>
      <c r="E66" s="228" t="s">
        <v>160</v>
      </c>
      <c r="F66" s="212" t="s">
        <v>159</v>
      </c>
      <c r="J66" s="228" t="s">
        <v>160</v>
      </c>
      <c r="K66" s="212" t="s">
        <v>159</v>
      </c>
      <c r="O66" s="228" t="s">
        <v>160</v>
      </c>
      <c r="P66" s="212" t="s">
        <v>159</v>
      </c>
    </row>
    <row r="67" spans="2:23" x14ac:dyDescent="0.25">
      <c r="B67" s="212"/>
    </row>
    <row r="68" spans="2:23" x14ac:dyDescent="0.25">
      <c r="B68" s="229" t="s">
        <v>157</v>
      </c>
      <c r="C68" s="229" t="s">
        <v>158</v>
      </c>
      <c r="E68" s="229" t="s">
        <v>158</v>
      </c>
      <c r="J68" s="229" t="s">
        <v>158</v>
      </c>
      <c r="O68" s="229" t="s">
        <v>158</v>
      </c>
    </row>
    <row r="69" spans="2:23" x14ac:dyDescent="0.25">
      <c r="B69" s="212" t="s">
        <v>153</v>
      </c>
      <c r="C69" s="212" t="str" cm="1">
        <f t="array" ref="C69">_xll.d.Logic_And(B69:B72)</f>
        <v>ERROR</v>
      </c>
      <c r="E69" s="212" t="str" cm="1">
        <f t="array" ref="E69">_xll.d.Logic_And(E72:H72)</f>
        <v>ERROR</v>
      </c>
      <c r="J69" s="212" t="str" cm="1">
        <f t="array" ref="J69">_xll.d.Logic_And(J72:M75)</f>
        <v>ERROR</v>
      </c>
      <c r="O69" s="212" t="str" cm="1">
        <f t="array" ref="O69">_xll.d.Logic_And(O72,O74:Q74,S72:S75,U72:W75)</f>
        <v>ERROR</v>
      </c>
    </row>
    <row r="70" spans="2:23" x14ac:dyDescent="0.25">
      <c r="B70" s="212" t="s">
        <v>164</v>
      </c>
    </row>
    <row r="71" spans="2:23" x14ac:dyDescent="0.25">
      <c r="B71" s="212" t="s">
        <v>168</v>
      </c>
      <c r="E71" s="229" t="s">
        <v>157</v>
      </c>
      <c r="J71" s="82" t="s">
        <v>157</v>
      </c>
      <c r="O71" s="82" t="s">
        <v>157</v>
      </c>
    </row>
    <row r="72" spans="2:23" x14ac:dyDescent="0.25">
      <c r="B72" s="212" t="s">
        <v>153</v>
      </c>
      <c r="E72" s="212" t="s">
        <v>153</v>
      </c>
      <c r="F72" s="212" t="s">
        <v>168</v>
      </c>
      <c r="G72" s="212" t="s">
        <v>153</v>
      </c>
      <c r="H72" s="212" t="s">
        <v>164</v>
      </c>
      <c r="J72" s="212" t="s">
        <v>153</v>
      </c>
      <c r="K72" s="212" t="s">
        <v>153</v>
      </c>
      <c r="L72" s="212" t="s">
        <v>153</v>
      </c>
      <c r="M72" s="212" t="s">
        <v>153</v>
      </c>
      <c r="O72" s="212" t="s">
        <v>153</v>
      </c>
      <c r="R72" s="212"/>
      <c r="S72" s="212" t="s">
        <v>153</v>
      </c>
      <c r="U72" s="212" t="s">
        <v>153</v>
      </c>
      <c r="V72" s="212" t="s">
        <v>153</v>
      </c>
      <c r="W72" s="212" t="s">
        <v>153</v>
      </c>
    </row>
    <row r="73" spans="2:23" x14ac:dyDescent="0.25">
      <c r="J73" s="212" t="s">
        <v>153</v>
      </c>
      <c r="K73" s="212" t="s">
        <v>153</v>
      </c>
      <c r="L73" s="212" t="s">
        <v>153</v>
      </c>
      <c r="M73" s="212" t="s">
        <v>153</v>
      </c>
      <c r="S73" s="212" t="s">
        <v>153</v>
      </c>
      <c r="U73" s="212" t="s">
        <v>153</v>
      </c>
      <c r="V73" s="212" t="s">
        <v>153</v>
      </c>
      <c r="W73" s="212" t="s">
        <v>153</v>
      </c>
    </row>
    <row r="74" spans="2:23" x14ac:dyDescent="0.25">
      <c r="J74" s="212" t="s">
        <v>153</v>
      </c>
      <c r="K74" s="212" t="s">
        <v>153</v>
      </c>
      <c r="L74" s="212" t="s">
        <v>168</v>
      </c>
      <c r="M74" s="212" t="s">
        <v>153</v>
      </c>
      <c r="O74" s="212" t="s">
        <v>153</v>
      </c>
      <c r="P74" s="212" t="s">
        <v>168</v>
      </c>
      <c r="Q74" s="212" t="s">
        <v>153</v>
      </c>
      <c r="S74" s="212" t="s">
        <v>153</v>
      </c>
      <c r="U74" s="212" t="s">
        <v>164</v>
      </c>
      <c r="V74" s="212" t="s">
        <v>153</v>
      </c>
      <c r="W74" s="212" t="s">
        <v>153</v>
      </c>
    </row>
    <row r="75" spans="2:23" x14ac:dyDescent="0.25">
      <c r="C75" s="211"/>
      <c r="J75" s="212" t="s">
        <v>153</v>
      </c>
      <c r="K75" s="212" t="s">
        <v>153</v>
      </c>
      <c r="L75" s="212" t="s">
        <v>153</v>
      </c>
      <c r="M75" s="212" t="s">
        <v>164</v>
      </c>
      <c r="S75" s="212" t="s">
        <v>153</v>
      </c>
      <c r="U75" s="212" t="s">
        <v>153</v>
      </c>
      <c r="V75" s="212" t="s">
        <v>153</v>
      </c>
      <c r="W75" s="212" t="s">
        <v>153</v>
      </c>
    </row>
    <row r="78" spans="2:23" ht="18.75" x14ac:dyDescent="0.3">
      <c r="B78" s="91" t="s">
        <v>176</v>
      </c>
      <c r="C78" s="89"/>
      <c r="E78" s="91" t="s">
        <v>177</v>
      </c>
      <c r="F78" s="89"/>
      <c r="G78" s="89"/>
      <c r="H78" s="89"/>
      <c r="J78" s="91" t="s">
        <v>178</v>
      </c>
      <c r="K78" s="89"/>
      <c r="L78" s="89"/>
      <c r="M78" s="89"/>
      <c r="O78" s="91" t="s">
        <v>179</v>
      </c>
      <c r="P78" s="89"/>
      <c r="Q78" s="89"/>
      <c r="R78" s="89"/>
      <c r="S78" s="89"/>
      <c r="T78" s="89"/>
      <c r="U78" s="89"/>
      <c r="V78" s="89"/>
      <c r="W78" s="89"/>
    </row>
    <row r="80" spans="2:23" x14ac:dyDescent="0.25">
      <c r="B80" s="60" t="s">
        <v>147</v>
      </c>
      <c r="C80" s="211" t="str" cm="1">
        <f t="array" ref="C80">_xll.d.Logic_IsTrue(C85="ERROR")</f>
        <v>OK</v>
      </c>
      <c r="E80" s="60" t="s">
        <v>147</v>
      </c>
      <c r="F80" s="211" t="str" cm="1">
        <f t="array" ref="F80">_xll.d.Logic_IsTrue(E85="ERROR")</f>
        <v>OK</v>
      </c>
      <c r="J80" s="60" t="s">
        <v>147</v>
      </c>
      <c r="K80" s="211" t="str" cm="1">
        <f t="array" ref="K80">_xll.d.Logic_IsTrue(J85="ERROR")</f>
        <v>OK</v>
      </c>
      <c r="O80" s="60" t="s">
        <v>147</v>
      </c>
      <c r="P80" s="211" t="str" cm="1">
        <f t="array" ref="P80">_xll.d.Logic_IsTrue(O85="ERROR")</f>
        <v>OK</v>
      </c>
    </row>
    <row r="82" spans="2:23" x14ac:dyDescent="0.25">
      <c r="B82" s="228" t="s">
        <v>160</v>
      </c>
      <c r="C82" s="212" t="s">
        <v>180</v>
      </c>
      <c r="E82" s="228" t="s">
        <v>160</v>
      </c>
      <c r="F82" s="212" t="s">
        <v>180</v>
      </c>
      <c r="J82" s="228" t="s">
        <v>160</v>
      </c>
      <c r="K82" s="212" t="s">
        <v>180</v>
      </c>
      <c r="O82" s="228" t="s">
        <v>160</v>
      </c>
      <c r="P82" s="212" t="s">
        <v>180</v>
      </c>
    </row>
    <row r="83" spans="2:23" x14ac:dyDescent="0.25">
      <c r="B83" s="212"/>
    </row>
    <row r="84" spans="2:23" x14ac:dyDescent="0.25">
      <c r="B84" s="229" t="s">
        <v>157</v>
      </c>
      <c r="C84" s="229" t="s">
        <v>158</v>
      </c>
      <c r="E84" s="229" t="s">
        <v>158</v>
      </c>
      <c r="J84" s="229" t="s">
        <v>158</v>
      </c>
      <c r="O84" s="229" t="s">
        <v>158</v>
      </c>
    </row>
    <row r="85" spans="2:23" x14ac:dyDescent="0.25">
      <c r="B85" s="212" t="s">
        <v>164</v>
      </c>
      <c r="C85" s="212" t="str" cm="1">
        <f t="array" ref="C85">_xll.d.Logic_Or(B85:B88)</f>
        <v>ERROR</v>
      </c>
      <c r="E85" s="212" t="str" cm="1">
        <f t="array" ref="E85">_xll.d.Logic_Or(E88:H88)</f>
        <v>ERROR</v>
      </c>
      <c r="J85" s="212" t="str" cm="1">
        <f t="array" ref="J85">_xll.d.Logic_Or(J88:M91)</f>
        <v>ERROR</v>
      </c>
      <c r="O85" s="212" t="str" cm="1">
        <f t="array" ref="O85">_xll.d.Logic_Or(O88,O90:Q90,S88:S91,U88:W91)</f>
        <v>ERROR</v>
      </c>
    </row>
    <row r="86" spans="2:23" x14ac:dyDescent="0.25">
      <c r="B86" s="212" t="s">
        <v>164</v>
      </c>
    </row>
    <row r="87" spans="2:23" x14ac:dyDescent="0.25">
      <c r="B87" s="212" t="s">
        <v>164</v>
      </c>
      <c r="E87" s="229" t="s">
        <v>157</v>
      </c>
      <c r="J87" s="82" t="s">
        <v>157</v>
      </c>
      <c r="O87" s="82" t="s">
        <v>157</v>
      </c>
    </row>
    <row r="88" spans="2:23" x14ac:dyDescent="0.25">
      <c r="B88" s="212" t="s">
        <v>164</v>
      </c>
      <c r="E88" s="212" t="s">
        <v>164</v>
      </c>
      <c r="F88" s="212" t="s">
        <v>164</v>
      </c>
      <c r="G88" s="212" t="s">
        <v>164</v>
      </c>
      <c r="H88" s="212" t="s">
        <v>164</v>
      </c>
      <c r="J88" s="212" t="s">
        <v>164</v>
      </c>
      <c r="K88" s="212" t="s">
        <v>164</v>
      </c>
      <c r="L88" s="212" t="s">
        <v>164</v>
      </c>
      <c r="M88" s="212" t="s">
        <v>164</v>
      </c>
      <c r="O88" s="212" t="s">
        <v>164</v>
      </c>
      <c r="R88" s="212"/>
      <c r="S88" s="212" t="s">
        <v>164</v>
      </c>
      <c r="U88" s="212" t="s">
        <v>164</v>
      </c>
      <c r="V88" s="212" t="s">
        <v>164</v>
      </c>
      <c r="W88" s="212" t="s">
        <v>164</v>
      </c>
    </row>
    <row r="89" spans="2:23" x14ac:dyDescent="0.25">
      <c r="J89" s="212" t="s">
        <v>164</v>
      </c>
      <c r="K89" s="212" t="s">
        <v>164</v>
      </c>
      <c r="L89" s="212" t="s">
        <v>164</v>
      </c>
      <c r="M89" s="212" t="s">
        <v>164</v>
      </c>
      <c r="S89" s="212" t="s">
        <v>164</v>
      </c>
      <c r="U89" s="212" t="s">
        <v>164</v>
      </c>
      <c r="V89" s="212" t="s">
        <v>164</v>
      </c>
      <c r="W89" s="212" t="s">
        <v>164</v>
      </c>
    </row>
    <row r="90" spans="2:23" x14ac:dyDescent="0.25">
      <c r="J90" s="212" t="s">
        <v>164</v>
      </c>
      <c r="K90" s="212" t="s">
        <v>164</v>
      </c>
      <c r="L90" s="212" t="s">
        <v>164</v>
      </c>
      <c r="M90" s="212" t="s">
        <v>164</v>
      </c>
      <c r="O90" s="212" t="s">
        <v>164</v>
      </c>
      <c r="P90" s="212" t="s">
        <v>164</v>
      </c>
      <c r="Q90" s="212" t="s">
        <v>164</v>
      </c>
      <c r="S90" s="212" t="s">
        <v>164</v>
      </c>
      <c r="U90" s="212" t="s">
        <v>164</v>
      </c>
      <c r="V90" s="212" t="s">
        <v>164</v>
      </c>
      <c r="W90" s="212" t="s">
        <v>164</v>
      </c>
    </row>
    <row r="91" spans="2:23" x14ac:dyDescent="0.25">
      <c r="C91" s="211"/>
      <c r="J91" s="212" t="s">
        <v>164</v>
      </c>
      <c r="K91" s="212" t="s">
        <v>164</v>
      </c>
      <c r="L91" s="212" t="s">
        <v>164</v>
      </c>
      <c r="M91" s="212" t="s">
        <v>164</v>
      </c>
      <c r="S91" s="212" t="s">
        <v>164</v>
      </c>
      <c r="U91" s="212" t="s">
        <v>164</v>
      </c>
      <c r="V91" s="212" t="s">
        <v>164</v>
      </c>
      <c r="W91" s="212" t="s">
        <v>164</v>
      </c>
    </row>
    <row r="94" spans="2:23" ht="18.75" x14ac:dyDescent="0.3">
      <c r="B94" s="91" t="s">
        <v>184</v>
      </c>
      <c r="C94" s="89"/>
      <c r="E94" s="91" t="s">
        <v>181</v>
      </c>
      <c r="F94" s="89"/>
      <c r="G94" s="89"/>
      <c r="H94" s="89"/>
      <c r="J94" s="91" t="s">
        <v>182</v>
      </c>
      <c r="K94" s="89"/>
      <c r="L94" s="89"/>
      <c r="M94" s="89"/>
      <c r="O94" s="91" t="s">
        <v>183</v>
      </c>
      <c r="P94" s="89"/>
      <c r="Q94" s="89"/>
      <c r="R94" s="89"/>
      <c r="S94" s="89"/>
      <c r="T94" s="89"/>
      <c r="U94" s="89"/>
      <c r="V94" s="89"/>
      <c r="W94" s="89"/>
    </row>
    <row r="96" spans="2:23" x14ac:dyDescent="0.25">
      <c r="B96" s="60" t="s">
        <v>147</v>
      </c>
      <c r="C96" s="211" t="str" cm="1">
        <f t="array" ref="C96">_xll.d.Logic_IsTrue(C101="OK")</f>
        <v>OK</v>
      </c>
      <c r="E96" s="60" t="s">
        <v>147</v>
      </c>
      <c r="F96" s="211" t="str" cm="1">
        <f t="array" ref="F96">_xll.d.Logic_IsTrue(E101="OK")</f>
        <v>OK</v>
      </c>
      <c r="J96" s="60" t="s">
        <v>147</v>
      </c>
      <c r="K96" s="211" t="str" cm="1">
        <f t="array" ref="K96">_xll.d.Logic_IsTrue(J101="OK")</f>
        <v>OK</v>
      </c>
      <c r="O96" s="60" t="s">
        <v>147</v>
      </c>
      <c r="P96" s="211" t="str" cm="1">
        <f t="array" ref="P96">_xll.d.Logic_IsTrue(O101="OK")</f>
        <v>OK</v>
      </c>
    </row>
    <row r="98" spans="2:23" x14ac:dyDescent="0.25">
      <c r="B98" s="228" t="s">
        <v>160</v>
      </c>
      <c r="C98" s="212" t="s">
        <v>180</v>
      </c>
      <c r="E98" s="228" t="s">
        <v>160</v>
      </c>
      <c r="F98" s="212" t="s">
        <v>180</v>
      </c>
      <c r="J98" s="228" t="s">
        <v>160</v>
      </c>
      <c r="K98" s="212" t="s">
        <v>180</v>
      </c>
      <c r="O98" s="228" t="s">
        <v>160</v>
      </c>
      <c r="P98" s="212" t="s">
        <v>180</v>
      </c>
    </row>
    <row r="99" spans="2:23" x14ac:dyDescent="0.25">
      <c r="B99" s="212"/>
    </row>
    <row r="100" spans="2:23" x14ac:dyDescent="0.25">
      <c r="B100" s="229" t="s">
        <v>157</v>
      </c>
      <c r="C100" s="229" t="s">
        <v>158</v>
      </c>
      <c r="E100" s="229" t="s">
        <v>158</v>
      </c>
      <c r="J100" s="229" t="s">
        <v>158</v>
      </c>
      <c r="O100" s="229" t="s">
        <v>158</v>
      </c>
    </row>
    <row r="101" spans="2:23" x14ac:dyDescent="0.25">
      <c r="B101" s="212" t="s">
        <v>164</v>
      </c>
      <c r="C101" s="212" t="str" cm="1">
        <f t="array" ref="C101">_xll.d.Logic_Or(B101:B104)</f>
        <v>OK</v>
      </c>
      <c r="E101" s="212" t="str" cm="1">
        <f t="array" ref="E101">_xll.d.Logic_Or(E104:H104)</f>
        <v>OK</v>
      </c>
      <c r="J101" s="212" t="str" cm="1">
        <f t="array" ref="J101">_xll.d.Logic_Or(J104:M107)</f>
        <v>OK</v>
      </c>
      <c r="O101" s="212" t="str" cm="1">
        <f t="array" ref="O101">_xll.d.Logic_Or(O104,O106:Q106,S104:S107,U104:W107)</f>
        <v>OK</v>
      </c>
    </row>
    <row r="102" spans="2:23" x14ac:dyDescent="0.25">
      <c r="B102" s="212" t="s">
        <v>164</v>
      </c>
    </row>
    <row r="103" spans="2:23" x14ac:dyDescent="0.25">
      <c r="B103" s="212" t="s">
        <v>153</v>
      </c>
      <c r="E103" s="229" t="s">
        <v>157</v>
      </c>
      <c r="J103" s="82" t="s">
        <v>157</v>
      </c>
      <c r="O103" s="82" t="s">
        <v>157</v>
      </c>
    </row>
    <row r="104" spans="2:23" x14ac:dyDescent="0.25">
      <c r="B104" s="212" t="s">
        <v>164</v>
      </c>
      <c r="E104" s="212" t="s">
        <v>164</v>
      </c>
      <c r="F104" s="212" t="s">
        <v>153</v>
      </c>
      <c r="G104" s="212" t="s">
        <v>164</v>
      </c>
      <c r="H104" s="212" t="s">
        <v>164</v>
      </c>
      <c r="J104" s="212" t="s">
        <v>164</v>
      </c>
      <c r="K104" s="212" t="s">
        <v>164</v>
      </c>
      <c r="L104" s="212" t="s">
        <v>164</v>
      </c>
      <c r="M104" s="212" t="s">
        <v>153</v>
      </c>
      <c r="O104" s="212" t="s">
        <v>164</v>
      </c>
      <c r="R104" s="212"/>
      <c r="S104" s="212" t="s">
        <v>164</v>
      </c>
      <c r="U104" s="212" t="s">
        <v>164</v>
      </c>
      <c r="V104" s="212" t="s">
        <v>164</v>
      </c>
      <c r="W104" s="212" t="s">
        <v>164</v>
      </c>
    </row>
    <row r="105" spans="2:23" x14ac:dyDescent="0.25">
      <c r="J105" s="212" t="s">
        <v>164</v>
      </c>
      <c r="K105" s="212" t="s">
        <v>164</v>
      </c>
      <c r="L105" s="212" t="s">
        <v>164</v>
      </c>
      <c r="M105" s="212" t="s">
        <v>164</v>
      </c>
      <c r="S105" s="212" t="s">
        <v>164</v>
      </c>
      <c r="U105" s="212" t="s">
        <v>164</v>
      </c>
      <c r="V105" s="212" t="s">
        <v>164</v>
      </c>
      <c r="W105" s="212" t="s">
        <v>164</v>
      </c>
    </row>
    <row r="106" spans="2:23" x14ac:dyDescent="0.25">
      <c r="J106" s="212" t="s">
        <v>164</v>
      </c>
      <c r="K106" s="212" t="s">
        <v>164</v>
      </c>
      <c r="L106" s="212" t="s">
        <v>164</v>
      </c>
      <c r="M106" s="212" t="s">
        <v>164</v>
      </c>
      <c r="O106" s="212" t="s">
        <v>164</v>
      </c>
      <c r="P106" s="212" t="s">
        <v>164</v>
      </c>
      <c r="Q106" s="212" t="s">
        <v>153</v>
      </c>
      <c r="S106" s="212" t="s">
        <v>164</v>
      </c>
      <c r="U106" s="212" t="s">
        <v>164</v>
      </c>
      <c r="V106" s="212" t="s">
        <v>164</v>
      </c>
      <c r="W106" s="212" t="s">
        <v>164</v>
      </c>
    </row>
    <row r="107" spans="2:23" x14ac:dyDescent="0.25">
      <c r="J107" s="212" t="s">
        <v>164</v>
      </c>
      <c r="K107" s="212" t="s">
        <v>164</v>
      </c>
      <c r="L107" s="212" t="s">
        <v>164</v>
      </c>
      <c r="M107" s="212" t="s">
        <v>164</v>
      </c>
      <c r="S107" s="212" t="s">
        <v>153</v>
      </c>
      <c r="U107" s="212" t="s">
        <v>164</v>
      </c>
      <c r="V107" s="212" t="s">
        <v>164</v>
      </c>
      <c r="W107" s="212" t="s">
        <v>164</v>
      </c>
    </row>
  </sheetData>
  <conditionalFormatting sqref="C27:C28 C16">
    <cfRule type="cellIs" dxfId="91" priority="59" stopIfTrue="1" operator="equal">
      <formula>"OK"</formula>
    </cfRule>
    <cfRule type="cellIs" dxfId="90" priority="60" stopIfTrue="1" operator="equal">
      <formula>"ERROR"</formula>
    </cfRule>
  </conditionalFormatting>
  <conditionalFormatting sqref="F16">
    <cfRule type="cellIs" dxfId="89" priority="57" stopIfTrue="1" operator="equal">
      <formula>"OK"</formula>
    </cfRule>
    <cfRule type="cellIs" dxfId="88" priority="58" stopIfTrue="1" operator="equal">
      <formula>"ERROR"</formula>
    </cfRule>
  </conditionalFormatting>
  <conditionalFormatting sqref="K16">
    <cfRule type="cellIs" dxfId="87" priority="55" stopIfTrue="1" operator="equal">
      <formula>"OK"</formula>
    </cfRule>
    <cfRule type="cellIs" dxfId="86" priority="56" stopIfTrue="1" operator="equal">
      <formula>"ERROR"</formula>
    </cfRule>
  </conditionalFormatting>
  <conditionalFormatting sqref="C6">
    <cfRule type="cellIs" dxfId="85" priority="53" stopIfTrue="1" operator="equal">
      <formula>"OK"</formula>
    </cfRule>
    <cfRule type="cellIs" dxfId="84" priority="54" stopIfTrue="1" operator="equal">
      <formula>"ERROR"</formula>
    </cfRule>
  </conditionalFormatting>
  <conditionalFormatting sqref="C4">
    <cfRule type="cellIs" dxfId="83" priority="51" stopIfTrue="1" operator="equal">
      <formula>"OK"</formula>
    </cfRule>
    <cfRule type="cellIs" dxfId="82" priority="52" stopIfTrue="1" operator="equal">
      <formula>"ERROR"</formula>
    </cfRule>
  </conditionalFormatting>
  <conditionalFormatting sqref="C43 C32">
    <cfRule type="cellIs" dxfId="81" priority="49" stopIfTrue="1" operator="equal">
      <formula>"OK"</formula>
    </cfRule>
    <cfRule type="cellIs" dxfId="80" priority="50" stopIfTrue="1" operator="equal">
      <formula>"ERROR"</formula>
    </cfRule>
  </conditionalFormatting>
  <conditionalFormatting sqref="F32">
    <cfRule type="cellIs" dxfId="79" priority="47" stopIfTrue="1" operator="equal">
      <formula>"OK"</formula>
    </cfRule>
    <cfRule type="cellIs" dxfId="78" priority="48" stopIfTrue="1" operator="equal">
      <formula>"ERROR"</formula>
    </cfRule>
  </conditionalFormatting>
  <conditionalFormatting sqref="K32">
    <cfRule type="cellIs" dxfId="77" priority="45" stopIfTrue="1" operator="equal">
      <formula>"OK"</formula>
    </cfRule>
    <cfRule type="cellIs" dxfId="76" priority="46" stopIfTrue="1" operator="equal">
      <formula>"ERROR"</formula>
    </cfRule>
  </conditionalFormatting>
  <conditionalFormatting sqref="C59 C48">
    <cfRule type="cellIs" dxfId="75" priority="43" stopIfTrue="1" operator="equal">
      <formula>"OK"</formula>
    </cfRule>
    <cfRule type="cellIs" dxfId="74" priority="44" stopIfTrue="1" operator="equal">
      <formula>"ERROR"</formula>
    </cfRule>
  </conditionalFormatting>
  <conditionalFormatting sqref="F48">
    <cfRule type="cellIs" dxfId="73" priority="41" stopIfTrue="1" operator="equal">
      <formula>"OK"</formula>
    </cfRule>
    <cfRule type="cellIs" dxfId="72" priority="42" stopIfTrue="1" operator="equal">
      <formula>"ERROR"</formula>
    </cfRule>
  </conditionalFormatting>
  <conditionalFormatting sqref="K48">
    <cfRule type="cellIs" dxfId="71" priority="39" stopIfTrue="1" operator="equal">
      <formula>"OK"</formula>
    </cfRule>
    <cfRule type="cellIs" dxfId="70" priority="40" stopIfTrue="1" operator="equal">
      <formula>"ERROR"</formula>
    </cfRule>
  </conditionalFormatting>
  <conditionalFormatting sqref="C7:C11">
    <cfRule type="cellIs" dxfId="69" priority="37" stopIfTrue="1" operator="equal">
      <formula>"OK"</formula>
    </cfRule>
    <cfRule type="cellIs" dxfId="68" priority="38" stopIfTrue="1" operator="equal">
      <formula>"ERROR"</formula>
    </cfRule>
  </conditionalFormatting>
  <conditionalFormatting sqref="C75 C64">
    <cfRule type="cellIs" dxfId="67" priority="35" stopIfTrue="1" operator="equal">
      <formula>"OK"</formula>
    </cfRule>
    <cfRule type="cellIs" dxfId="66" priority="36" stopIfTrue="1" operator="equal">
      <formula>"ERROR"</formula>
    </cfRule>
  </conditionalFormatting>
  <conditionalFormatting sqref="F64">
    <cfRule type="cellIs" dxfId="65" priority="33" stopIfTrue="1" operator="equal">
      <formula>"OK"</formula>
    </cfRule>
    <cfRule type="cellIs" dxfId="64" priority="34" stopIfTrue="1" operator="equal">
      <formula>"ERROR"</formula>
    </cfRule>
  </conditionalFormatting>
  <conditionalFormatting sqref="K64">
    <cfRule type="cellIs" dxfId="63" priority="31" stopIfTrue="1" operator="equal">
      <formula>"OK"</formula>
    </cfRule>
    <cfRule type="cellIs" dxfId="62" priority="32" stopIfTrue="1" operator="equal">
      <formula>"ERROR"</formula>
    </cfRule>
  </conditionalFormatting>
  <conditionalFormatting sqref="P16">
    <cfRule type="cellIs" dxfId="61" priority="29" stopIfTrue="1" operator="equal">
      <formula>"OK"</formula>
    </cfRule>
    <cfRule type="cellIs" dxfId="60" priority="30" stopIfTrue="1" operator="equal">
      <formula>"ERROR"</formula>
    </cfRule>
  </conditionalFormatting>
  <conditionalFormatting sqref="P32">
    <cfRule type="cellIs" dxfId="59" priority="27" stopIfTrue="1" operator="equal">
      <formula>"OK"</formula>
    </cfRule>
    <cfRule type="cellIs" dxfId="58" priority="28" stopIfTrue="1" operator="equal">
      <formula>"ERROR"</formula>
    </cfRule>
  </conditionalFormatting>
  <conditionalFormatting sqref="P48">
    <cfRule type="cellIs" dxfId="57" priority="25" stopIfTrue="1" operator="equal">
      <formula>"OK"</formula>
    </cfRule>
    <cfRule type="cellIs" dxfId="56" priority="26" stopIfTrue="1" operator="equal">
      <formula>"ERROR"</formula>
    </cfRule>
  </conditionalFormatting>
  <conditionalFormatting sqref="P64">
    <cfRule type="cellIs" dxfId="55" priority="23" stopIfTrue="1" operator="equal">
      <formula>"OK"</formula>
    </cfRule>
    <cfRule type="cellIs" dxfId="54" priority="24" stopIfTrue="1" operator="equal">
      <formula>"ERROR"</formula>
    </cfRule>
  </conditionalFormatting>
  <conditionalFormatting sqref="C91 C80">
    <cfRule type="cellIs" dxfId="53" priority="21" stopIfTrue="1" operator="equal">
      <formula>"OK"</formula>
    </cfRule>
    <cfRule type="cellIs" dxfId="52" priority="22" stopIfTrue="1" operator="equal">
      <formula>"ERROR"</formula>
    </cfRule>
  </conditionalFormatting>
  <conditionalFormatting sqref="F96">
    <cfRule type="cellIs" dxfId="51" priority="13" stopIfTrue="1" operator="equal">
      <formula>"OK"</formula>
    </cfRule>
    <cfRule type="cellIs" dxfId="50" priority="14" stopIfTrue="1" operator="equal">
      <formula>"ERROR"</formula>
    </cfRule>
  </conditionalFormatting>
  <conditionalFormatting sqref="K80">
    <cfRule type="cellIs" dxfId="49" priority="5" stopIfTrue="1" operator="equal">
      <formula>"OK"</formula>
    </cfRule>
    <cfRule type="cellIs" dxfId="48" priority="6" stopIfTrue="1" operator="equal">
      <formula>"ERROR"</formula>
    </cfRule>
  </conditionalFormatting>
  <conditionalFormatting sqref="K96">
    <cfRule type="cellIs" dxfId="47" priority="11" stopIfTrue="1" operator="equal">
      <formula>"OK"</formula>
    </cfRule>
    <cfRule type="cellIs" dxfId="46" priority="12" stopIfTrue="1" operator="equal">
      <formula>"ERROR"</formula>
    </cfRule>
  </conditionalFormatting>
  <conditionalFormatting sqref="P96">
    <cfRule type="cellIs" dxfId="45" priority="9" stopIfTrue="1" operator="equal">
      <formula>"OK"</formula>
    </cfRule>
    <cfRule type="cellIs" dxfId="44" priority="10" stopIfTrue="1" operator="equal">
      <formula>"ERROR"</formula>
    </cfRule>
  </conditionalFormatting>
  <conditionalFormatting sqref="F80">
    <cfRule type="cellIs" dxfId="43" priority="7" stopIfTrue="1" operator="equal">
      <formula>"OK"</formula>
    </cfRule>
    <cfRule type="cellIs" dxfId="42" priority="8" stopIfTrue="1" operator="equal">
      <formula>"ERROR"</formula>
    </cfRule>
  </conditionalFormatting>
  <conditionalFormatting sqref="P80">
    <cfRule type="cellIs" dxfId="41" priority="3" stopIfTrue="1" operator="equal">
      <formula>"OK"</formula>
    </cfRule>
    <cfRule type="cellIs" dxfId="40" priority="4" stopIfTrue="1" operator="equal">
      <formula>"ERROR"</formula>
    </cfRule>
  </conditionalFormatting>
  <conditionalFormatting sqref="C96">
    <cfRule type="cellIs" dxfId="39" priority="1" stopIfTrue="1" operator="equal">
      <formula>"OK"</formula>
    </cfRule>
    <cfRule type="cellIs" dxfId="38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197"/>
  <sheetViews>
    <sheetView showGridLines="0" tabSelected="1" topLeftCell="A13" zoomScaleNormal="100" workbookViewId="0">
      <selection activeCell="E21" sqref="E21"/>
    </sheetView>
  </sheetViews>
  <sheetFormatPr defaultRowHeight="15" x14ac:dyDescent="0.25"/>
  <cols>
    <col min="1" max="1" width="3.75" customWidth="1"/>
    <col min="2" max="2" width="15.375" customWidth="1"/>
    <col min="3" max="3" width="11.75" customWidth="1"/>
    <col min="5" max="5" width="12.75" bestFit="1" customWidth="1"/>
    <col min="6" max="6" width="9.625" bestFit="1" customWidth="1"/>
    <col min="8" max="8" width="13.75" customWidth="1"/>
    <col min="9" max="9" width="12.5" customWidth="1"/>
    <col min="10" max="10" width="9.875" customWidth="1"/>
    <col min="14" max="14" width="11.5" bestFit="1" customWidth="1"/>
  </cols>
  <sheetData>
    <row r="2" spans="2:56" ht="26.25" x14ac:dyDescent="0.4">
      <c r="B2" s="90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60" t="s">
        <v>191</v>
      </c>
      <c r="C4" s="211" t="str" cm="1">
        <f t="array" aca="1" ref="C4" ca="1">_xll.d.Logic_And(C7:C12)</f>
        <v>OK</v>
      </c>
      <c r="E4" s="164" t="s">
        <v>134</v>
      </c>
      <c r="F4" s="60"/>
    </row>
    <row r="5" spans="2:56" x14ac:dyDescent="0.25">
      <c r="E5" s="165" t="s">
        <v>133</v>
      </c>
      <c r="F5" s="166"/>
    </row>
    <row r="6" spans="2:56" x14ac:dyDescent="0.25">
      <c r="B6" s="60" t="s">
        <v>10</v>
      </c>
      <c r="C6" s="60" t="s">
        <v>11</v>
      </c>
      <c r="E6" s="167" t="s">
        <v>132</v>
      </c>
      <c r="F6" s="161"/>
    </row>
    <row r="7" spans="2:56" x14ac:dyDescent="0.25">
      <c r="B7" s="253" t="s">
        <v>120</v>
      </c>
      <c r="C7" s="211" t="str">
        <f ca="1">C40</f>
        <v>OK</v>
      </c>
    </row>
    <row r="8" spans="2:56" x14ac:dyDescent="0.25">
      <c r="B8" s="253" t="s">
        <v>124</v>
      </c>
      <c r="C8" s="211" t="str">
        <f ca="1">C64</f>
        <v>OK</v>
      </c>
    </row>
    <row r="9" spans="2:56" x14ac:dyDescent="0.25">
      <c r="B9" s="253" t="s">
        <v>128</v>
      </c>
      <c r="C9" s="211" t="str">
        <f ca="1">C88</f>
        <v>OK</v>
      </c>
    </row>
    <row r="10" spans="2:56" x14ac:dyDescent="0.25">
      <c r="B10" s="253" t="s">
        <v>131</v>
      </c>
      <c r="C10" s="211" t="str">
        <f ca="1">C124</f>
        <v>OK</v>
      </c>
    </row>
    <row r="11" spans="2:56" x14ac:dyDescent="0.25">
      <c r="B11" s="253" t="s">
        <v>138</v>
      </c>
      <c r="C11" s="211" t="str">
        <f ca="1">C160</f>
        <v>OK</v>
      </c>
    </row>
    <row r="12" spans="2:56" x14ac:dyDescent="0.25">
      <c r="B12" s="253" t="s">
        <v>140</v>
      </c>
      <c r="C12" s="211" t="str">
        <f ca="1">C182</f>
        <v>OK</v>
      </c>
    </row>
    <row r="15" spans="2:56" s="68" customFormat="1" x14ac:dyDescent="0.25">
      <c r="B15" s="68" t="s">
        <v>95</v>
      </c>
    </row>
    <row r="16" spans="2:56" x14ac:dyDescent="0.25">
      <c r="B16" t="s">
        <v>96</v>
      </c>
    </row>
    <row r="18" spans="2:9" x14ac:dyDescent="0.25">
      <c r="B18" t="s">
        <v>109</v>
      </c>
    </row>
    <row r="20" spans="2:9" x14ac:dyDescent="0.25">
      <c r="B20" s="96" t="s">
        <v>110</v>
      </c>
    </row>
    <row r="21" spans="2:9" x14ac:dyDescent="0.25">
      <c r="B21" s="146" t="s">
        <v>111</v>
      </c>
    </row>
    <row r="22" spans="2:9" x14ac:dyDescent="0.25">
      <c r="B22" s="146" t="s">
        <v>112</v>
      </c>
    </row>
    <row r="23" spans="2:9" x14ac:dyDescent="0.25">
      <c r="B23" s="146" t="s">
        <v>122</v>
      </c>
    </row>
    <row r="24" spans="2:9" x14ac:dyDescent="0.25">
      <c r="B24" s="146" t="s">
        <v>123</v>
      </c>
    </row>
    <row r="25" spans="2:9" x14ac:dyDescent="0.25">
      <c r="B25" s="146" t="s">
        <v>126</v>
      </c>
    </row>
    <row r="26" spans="2:9" x14ac:dyDescent="0.25">
      <c r="B26" s="146" t="s">
        <v>127</v>
      </c>
      <c r="H26" s="169"/>
      <c r="I26" s="169"/>
    </row>
    <row r="27" spans="2:9" x14ac:dyDescent="0.25">
      <c r="B27" s="97" t="s">
        <v>135</v>
      </c>
    </row>
    <row r="28" spans="2:9" x14ac:dyDescent="0.25">
      <c r="B28" s="146" t="s">
        <v>136</v>
      </c>
    </row>
    <row r="29" spans="2:9" x14ac:dyDescent="0.25">
      <c r="B29" s="97" t="s">
        <v>144</v>
      </c>
    </row>
    <row r="30" spans="2:9" x14ac:dyDescent="0.25">
      <c r="B30" s="146" t="s">
        <v>148</v>
      </c>
    </row>
    <row r="31" spans="2:9" x14ac:dyDescent="0.25">
      <c r="B31" s="146" t="s">
        <v>149</v>
      </c>
    </row>
    <row r="32" spans="2:9" x14ac:dyDescent="0.25">
      <c r="B32" s="146" t="s">
        <v>189</v>
      </c>
    </row>
    <row r="33" spans="2:72" x14ac:dyDescent="0.25">
      <c r="B33" s="146" t="s">
        <v>190</v>
      </c>
    </row>
    <row r="34" spans="2:72" x14ac:dyDescent="0.25">
      <c r="B34" s="146" t="s">
        <v>151</v>
      </c>
    </row>
    <row r="35" spans="2:72" x14ac:dyDescent="0.25">
      <c r="B35" s="97" t="s">
        <v>192</v>
      </c>
    </row>
    <row r="38" spans="2:72" ht="18.75" x14ac:dyDescent="0.3">
      <c r="B38" s="91" t="s">
        <v>120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</row>
    <row r="40" spans="2:72" x14ac:dyDescent="0.25">
      <c r="B40" s="60" t="s">
        <v>147</v>
      </c>
      <c r="C40" s="211" t="str" cm="1">
        <f t="array" aca="1" ref="C40" ca="1">_xll.d.Logic_And(BD55:BT59)</f>
        <v>OK</v>
      </c>
    </row>
    <row r="42" spans="2:72" x14ac:dyDescent="0.25">
      <c r="B42" s="60" t="s">
        <v>121</v>
      </c>
      <c r="C42" s="60" t="s">
        <v>33</v>
      </c>
    </row>
    <row r="43" spans="2:72" x14ac:dyDescent="0.25">
      <c r="B43" s="110" t="s">
        <v>115</v>
      </c>
      <c r="C43" s="180" t="s">
        <v>116</v>
      </c>
    </row>
    <row r="44" spans="2:72" x14ac:dyDescent="0.25">
      <c r="B44" s="104" t="s">
        <v>117</v>
      </c>
      <c r="C44" s="181" t="s">
        <v>0</v>
      </c>
    </row>
    <row r="45" spans="2:72" x14ac:dyDescent="0.25">
      <c r="B45" s="106"/>
      <c r="C45" s="182" t="s">
        <v>118</v>
      </c>
    </row>
    <row r="46" spans="2:72" x14ac:dyDescent="0.25">
      <c r="B46" s="108"/>
      <c r="C46" s="183" t="s">
        <v>119</v>
      </c>
    </row>
    <row r="47" spans="2:72" x14ac:dyDescent="0.25">
      <c r="B47" s="179" t="s">
        <v>141</v>
      </c>
      <c r="C47" s="185">
        <v>2</v>
      </c>
    </row>
    <row r="48" spans="2:72" x14ac:dyDescent="0.25">
      <c r="B48" s="179" t="s">
        <v>142</v>
      </c>
      <c r="C48" s="185">
        <v>0</v>
      </c>
    </row>
    <row r="49" spans="2:72" x14ac:dyDescent="0.25">
      <c r="B49" s="159" t="s">
        <v>129</v>
      </c>
      <c r="C49" s="160"/>
    </row>
    <row r="51" spans="2:72" x14ac:dyDescent="0.25">
      <c r="B51" t="s">
        <v>97</v>
      </c>
    </row>
    <row r="53" spans="2:72" x14ac:dyDescent="0.25">
      <c r="B53" s="82" t="s">
        <v>94</v>
      </c>
      <c r="T53" s="82" t="s">
        <v>113</v>
      </c>
      <c r="AL53" s="82" t="s">
        <v>114</v>
      </c>
      <c r="BD53" s="82" t="s">
        <v>150</v>
      </c>
    </row>
    <row r="55" spans="2:72" x14ac:dyDescent="0.25">
      <c r="B55" s="12" t="s">
        <v>99</v>
      </c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13"/>
      <c r="T55" s="103" t="s">
        <v>99</v>
      </c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L55" s="151" t="s">
        <v>99</v>
      </c>
      <c r="AM55" s="251"/>
      <c r="AN55" s="251"/>
      <c r="AO55" s="251"/>
      <c r="AP55" s="251"/>
      <c r="AQ55" s="251"/>
      <c r="AR55" s="251"/>
      <c r="AS55" s="251"/>
      <c r="AT55" s="251"/>
      <c r="AU55" s="251"/>
      <c r="AV55" s="251"/>
      <c r="AW55" s="251"/>
      <c r="AX55" s="251"/>
      <c r="AY55" s="251"/>
      <c r="AZ55" s="251"/>
      <c r="BA55" s="251"/>
      <c r="BB55" s="152"/>
      <c r="BD55" s="210" t="str" cm="1">
        <f t="array" aca="1" ref="BD55" ca="1">_xll.d.Logic_IsTrue(_xll.d.Formatting_Equal(B55,AL55))</f>
        <v>OK</v>
      </c>
      <c r="BE55" s="211" t="str" cm="1">
        <f t="array" aca="1" ref="BE55" ca="1">_xll.d.Logic_IsTrue(_xll.d.Formatting_Equal(C55,AM55))</f>
        <v>OK</v>
      </c>
      <c r="BF55" s="211" t="str" cm="1">
        <f t="array" aca="1" ref="BF55" ca="1">_xll.d.Logic_IsTrue(_xll.d.Formatting_Equal(D55,AN55))</f>
        <v>OK</v>
      </c>
      <c r="BG55" s="211" t="str" cm="1">
        <f t="array" aca="1" ref="BG55" ca="1">_xll.d.Logic_IsTrue(_xll.d.Formatting_Equal(E55,AO55))</f>
        <v>OK</v>
      </c>
      <c r="BH55" s="211" t="str" cm="1">
        <f t="array" aca="1" ref="BH55" ca="1">_xll.d.Logic_IsTrue(_xll.d.Formatting_Equal(F55,AP55))</f>
        <v>OK</v>
      </c>
      <c r="BI55" s="211" t="str" cm="1">
        <f t="array" aca="1" ref="BI55" ca="1">_xll.d.Logic_IsTrue(_xll.d.Formatting_Equal(G55,AQ55))</f>
        <v>OK</v>
      </c>
      <c r="BJ55" s="211" t="str" cm="1">
        <f t="array" aca="1" ref="BJ55" ca="1">_xll.d.Logic_IsTrue(_xll.d.Formatting_Equal(H55,AR55))</f>
        <v>OK</v>
      </c>
      <c r="BK55" s="211" t="str" cm="1">
        <f t="array" aca="1" ref="BK55" ca="1">_xll.d.Logic_IsTrue(_xll.d.Formatting_Equal(I55,AS55))</f>
        <v>OK</v>
      </c>
      <c r="BL55" s="211" t="str" cm="1">
        <f t="array" aca="1" ref="BL55" ca="1">_xll.d.Logic_IsTrue(_xll.d.Formatting_Equal(J55,AT55))</f>
        <v>OK</v>
      </c>
      <c r="BM55" s="211" t="str" cm="1">
        <f t="array" aca="1" ref="BM55" ca="1">_xll.d.Logic_IsTrue(_xll.d.Formatting_Equal(K55,AU55))</f>
        <v>OK</v>
      </c>
      <c r="BN55" s="211" t="str" cm="1">
        <f t="array" aca="1" ref="BN55" ca="1">_xll.d.Logic_IsTrue(_xll.d.Formatting_Equal(L55,AV55))</f>
        <v>OK</v>
      </c>
      <c r="BO55" s="211" t="str" cm="1">
        <f t="array" aca="1" ref="BO55" ca="1">_xll.d.Logic_IsTrue(_xll.d.Formatting_Equal(M55,AW55))</f>
        <v>OK</v>
      </c>
      <c r="BP55" s="211" t="str" cm="1">
        <f t="array" aca="1" ref="BP55" ca="1">_xll.d.Logic_IsTrue(_xll.d.Formatting_Equal(N55,AX55))</f>
        <v>OK</v>
      </c>
      <c r="BQ55" s="211" t="str" cm="1">
        <f t="array" aca="1" ref="BQ55" ca="1">_xll.d.Logic_IsTrue(_xll.d.Formatting_Equal(O55,AY55))</f>
        <v>OK</v>
      </c>
      <c r="BR55" s="211" t="str" cm="1">
        <f t="array" aca="1" ref="BR55" ca="1">_xll.d.Logic_IsTrue(_xll.d.Formatting_Equal(P55,AZ55))</f>
        <v>OK</v>
      </c>
      <c r="BS55" s="211" t="str" cm="1">
        <f t="array" aca="1" ref="BS55" ca="1">_xll.d.Logic_IsTrue(_xll.d.Formatting_Equal(Q55,BA55))</f>
        <v>OK</v>
      </c>
      <c r="BT55" s="211" t="str" cm="1">
        <f t="array" aca="1" ref="BT55" ca="1">_xll.d.Logic_IsTrue(_xll.d.Formatting_Equal(R55,BB55))</f>
        <v>OK</v>
      </c>
    </row>
    <row r="56" spans="2:72" x14ac:dyDescent="0.25">
      <c r="B56" s="86" t="s">
        <v>35</v>
      </c>
      <c r="C56" s="87" t="s">
        <v>0</v>
      </c>
      <c r="D56" s="87" t="s">
        <v>100</v>
      </c>
      <c r="E56" s="87" t="s">
        <v>101</v>
      </c>
      <c r="F56" s="87" t="s">
        <v>102</v>
      </c>
      <c r="G56" s="87" t="s">
        <v>103</v>
      </c>
      <c r="H56" s="87" t="s">
        <v>104</v>
      </c>
      <c r="I56" s="87" t="s">
        <v>83</v>
      </c>
      <c r="J56" s="87" t="s">
        <v>84</v>
      </c>
      <c r="K56" s="87" t="s">
        <v>85</v>
      </c>
      <c r="L56" s="87" t="s">
        <v>105</v>
      </c>
      <c r="M56" s="87" t="s">
        <v>25</v>
      </c>
      <c r="N56" s="87" t="s">
        <v>40</v>
      </c>
      <c r="O56" s="87" t="s">
        <v>106</v>
      </c>
      <c r="P56" s="87" t="s">
        <v>98</v>
      </c>
      <c r="Q56" s="87" t="s">
        <v>108</v>
      </c>
      <c r="R56" s="88" t="s">
        <v>107</v>
      </c>
      <c r="T56" s="103" t="s">
        <v>35</v>
      </c>
      <c r="U56" s="103" t="s">
        <v>0</v>
      </c>
      <c r="V56" s="103" t="s">
        <v>100</v>
      </c>
      <c r="W56" s="103" t="s">
        <v>101</v>
      </c>
      <c r="X56" s="103" t="s">
        <v>102</v>
      </c>
      <c r="Y56" s="103" t="s">
        <v>103</v>
      </c>
      <c r="Z56" s="103" t="s">
        <v>104</v>
      </c>
      <c r="AA56" s="103" t="s">
        <v>83</v>
      </c>
      <c r="AB56" s="103" t="s">
        <v>84</v>
      </c>
      <c r="AC56" s="103" t="s">
        <v>85</v>
      </c>
      <c r="AD56" s="103" t="s">
        <v>105</v>
      </c>
      <c r="AE56" s="103" t="s">
        <v>25</v>
      </c>
      <c r="AF56" s="103" t="s">
        <v>40</v>
      </c>
      <c r="AG56" s="103" t="s">
        <v>106</v>
      </c>
      <c r="AH56" s="103" t="s">
        <v>98</v>
      </c>
      <c r="AI56" s="103" t="s">
        <v>108</v>
      </c>
      <c r="AJ56" s="103" t="s">
        <v>107</v>
      </c>
      <c r="AL56" s="149" t="s">
        <v>35</v>
      </c>
      <c r="AM56" s="252" t="s">
        <v>0</v>
      </c>
      <c r="AN56" s="252" t="s">
        <v>100</v>
      </c>
      <c r="AO56" s="252" t="s">
        <v>101</v>
      </c>
      <c r="AP56" s="252" t="s">
        <v>102</v>
      </c>
      <c r="AQ56" s="252" t="s">
        <v>103</v>
      </c>
      <c r="AR56" s="252" t="s">
        <v>104</v>
      </c>
      <c r="AS56" s="252" t="s">
        <v>83</v>
      </c>
      <c r="AT56" s="252" t="s">
        <v>84</v>
      </c>
      <c r="AU56" s="252" t="s">
        <v>85</v>
      </c>
      <c r="AV56" s="252" t="s">
        <v>105</v>
      </c>
      <c r="AW56" s="252" t="s">
        <v>25</v>
      </c>
      <c r="AX56" s="252" t="s">
        <v>40</v>
      </c>
      <c r="AY56" s="252" t="s">
        <v>106</v>
      </c>
      <c r="AZ56" s="252" t="s">
        <v>98</v>
      </c>
      <c r="BA56" s="252" t="s">
        <v>108</v>
      </c>
      <c r="BB56" s="150" t="s">
        <v>107</v>
      </c>
      <c r="BD56" s="210" t="str" cm="1">
        <f t="array" aca="1" ref="BD56" ca="1">_xll.d.Logic_IsTrue(_xll.d.Formatting_Equal(B56,AL56))</f>
        <v>OK</v>
      </c>
      <c r="BE56" s="211" t="str" cm="1">
        <f t="array" aca="1" ref="BE56" ca="1">_xll.d.Logic_IsTrue(_xll.d.Formatting_Equal(C56,AM56))</f>
        <v>OK</v>
      </c>
      <c r="BF56" s="211" t="str" cm="1">
        <f t="array" aca="1" ref="BF56" ca="1">_xll.d.Logic_IsTrue(_xll.d.Formatting_Equal(D56,AN56))</f>
        <v>OK</v>
      </c>
      <c r="BG56" s="211" t="str" cm="1">
        <f t="array" aca="1" ref="BG56" ca="1">_xll.d.Logic_IsTrue(_xll.d.Formatting_Equal(E56,AO56))</f>
        <v>OK</v>
      </c>
      <c r="BH56" s="211" t="str" cm="1">
        <f t="array" aca="1" ref="BH56" ca="1">_xll.d.Logic_IsTrue(_xll.d.Formatting_Equal(F56,AP56))</f>
        <v>OK</v>
      </c>
      <c r="BI56" s="211" t="str" cm="1">
        <f t="array" aca="1" ref="BI56" ca="1">_xll.d.Logic_IsTrue(_xll.d.Formatting_Equal(G56,AQ56))</f>
        <v>OK</v>
      </c>
      <c r="BJ56" s="211" t="str" cm="1">
        <f t="array" aca="1" ref="BJ56" ca="1">_xll.d.Logic_IsTrue(_xll.d.Formatting_Equal(H56,AR56))</f>
        <v>OK</v>
      </c>
      <c r="BK56" s="211" t="str" cm="1">
        <f t="array" aca="1" ref="BK56" ca="1">_xll.d.Logic_IsTrue(_xll.d.Formatting_Equal(I56,AS56))</f>
        <v>OK</v>
      </c>
      <c r="BL56" s="211" t="str" cm="1">
        <f t="array" aca="1" ref="BL56" ca="1">_xll.d.Logic_IsTrue(_xll.d.Formatting_Equal(J56,AT56))</f>
        <v>OK</v>
      </c>
      <c r="BM56" s="211" t="str" cm="1">
        <f t="array" aca="1" ref="BM56" ca="1">_xll.d.Logic_IsTrue(_xll.d.Formatting_Equal(K56,AU56))</f>
        <v>OK</v>
      </c>
      <c r="BN56" s="211" t="str" cm="1">
        <f t="array" aca="1" ref="BN56" ca="1">_xll.d.Logic_IsTrue(_xll.d.Formatting_Equal(L56,AV56))</f>
        <v>OK</v>
      </c>
      <c r="BO56" s="211" t="str" cm="1">
        <f t="array" aca="1" ref="BO56" ca="1">_xll.d.Logic_IsTrue(_xll.d.Formatting_Equal(M56,AW56))</f>
        <v>OK</v>
      </c>
      <c r="BP56" s="211" t="str" cm="1">
        <f t="array" aca="1" ref="BP56" ca="1">_xll.d.Logic_IsTrue(_xll.d.Formatting_Equal(N56,AX56))</f>
        <v>OK</v>
      </c>
      <c r="BQ56" s="211" t="str" cm="1">
        <f t="array" aca="1" ref="BQ56" ca="1">_xll.d.Logic_IsTrue(_xll.d.Formatting_Equal(O56,AY56))</f>
        <v>OK</v>
      </c>
      <c r="BR56" s="211" t="str" cm="1">
        <f t="array" aca="1" ref="BR56" ca="1">_xll.d.Logic_IsTrue(_xll.d.Formatting_Equal(P56,AZ56))</f>
        <v>OK</v>
      </c>
      <c r="BS56" s="211" t="str" cm="1">
        <f t="array" aca="1" ref="BS56" ca="1">_xll.d.Logic_IsTrue(_xll.d.Formatting_Equal(Q56,BA56))</f>
        <v>OK</v>
      </c>
      <c r="BT56" s="211" t="str" cm="1">
        <f t="array" aca="1" ref="BT56" ca="1">_xll.d.Logic_IsTrue(_xll.d.Formatting_Equal(R56,BB56))</f>
        <v>OK</v>
      </c>
    </row>
    <row r="57" spans="2:72" x14ac:dyDescent="0.25">
      <c r="B57" s="140">
        <v>44562</v>
      </c>
      <c r="C57" s="143">
        <v>44562</v>
      </c>
      <c r="D57" s="122">
        <v>1000</v>
      </c>
      <c r="E57" s="125">
        <v>1000</v>
      </c>
      <c r="F57" s="128">
        <v>1000</v>
      </c>
      <c r="G57" s="131">
        <v>1000</v>
      </c>
      <c r="H57" s="134">
        <v>0.3</v>
      </c>
      <c r="I57" s="134">
        <v>0.3</v>
      </c>
      <c r="J57" s="134">
        <v>0.3</v>
      </c>
      <c r="K57" s="134">
        <v>0.3</v>
      </c>
      <c r="L57" s="134">
        <v>0.3</v>
      </c>
      <c r="M57" s="134">
        <v>0.3</v>
      </c>
      <c r="N57" s="134">
        <v>0.3</v>
      </c>
      <c r="O57" s="134">
        <v>0.3</v>
      </c>
      <c r="P57" s="134">
        <v>0.3</v>
      </c>
      <c r="Q57" s="134">
        <v>0.3</v>
      </c>
      <c r="R57" s="137">
        <v>0.3</v>
      </c>
      <c r="T57" s="103">
        <v>44562</v>
      </c>
      <c r="U57" s="103">
        <v>44562</v>
      </c>
      <c r="V57" s="103">
        <v>1000</v>
      </c>
      <c r="W57" s="103">
        <v>1000</v>
      </c>
      <c r="X57" s="103">
        <v>1000</v>
      </c>
      <c r="Y57" s="103">
        <v>1000</v>
      </c>
      <c r="Z57" s="103">
        <v>0.3</v>
      </c>
      <c r="AA57" s="103">
        <v>0.3</v>
      </c>
      <c r="AB57" s="103">
        <v>0.3</v>
      </c>
      <c r="AC57" s="103">
        <v>0.3</v>
      </c>
      <c r="AD57" s="103">
        <v>0.3</v>
      </c>
      <c r="AE57" s="103">
        <v>0.3</v>
      </c>
      <c r="AF57" s="103">
        <v>0.3</v>
      </c>
      <c r="AG57" s="103">
        <v>0.3</v>
      </c>
      <c r="AH57" s="103">
        <v>0.3</v>
      </c>
      <c r="AI57" s="103">
        <v>0.3</v>
      </c>
      <c r="AJ57" s="103">
        <v>0.3</v>
      </c>
      <c r="AL57" s="204">
        <v>44562</v>
      </c>
      <c r="AM57" s="207">
        <v>44562</v>
      </c>
      <c r="AN57" s="186">
        <v>1000</v>
      </c>
      <c r="AO57" s="189">
        <v>1000</v>
      </c>
      <c r="AP57" s="192">
        <v>1000</v>
      </c>
      <c r="AQ57" s="195">
        <v>1000</v>
      </c>
      <c r="AR57" s="198">
        <v>0.3</v>
      </c>
      <c r="AS57" s="198">
        <v>0.3</v>
      </c>
      <c r="AT57" s="198">
        <v>0.3</v>
      </c>
      <c r="AU57" s="198">
        <v>0.3</v>
      </c>
      <c r="AV57" s="198">
        <v>0.3</v>
      </c>
      <c r="AW57" s="198">
        <v>0.3</v>
      </c>
      <c r="AX57" s="198">
        <v>0.3</v>
      </c>
      <c r="AY57" s="198">
        <v>0.3</v>
      </c>
      <c r="AZ57" s="198">
        <v>0.3</v>
      </c>
      <c r="BA57" s="198">
        <v>0.3</v>
      </c>
      <c r="BB57" s="201">
        <v>0.3</v>
      </c>
      <c r="BD57" s="211" t="str" cm="1">
        <f t="array" aca="1" ref="BD57" ca="1">_xll.d.Logic_IsTrue(_xll.d.Formatting_Equal(B57,AL57))</f>
        <v>OK</v>
      </c>
      <c r="BE57" s="211" t="str" cm="1">
        <f t="array" aca="1" ref="BE57" ca="1">_xll.d.Logic_IsTrue(_xll.d.Formatting_Equal(C57,AM57))</f>
        <v>OK</v>
      </c>
      <c r="BF57" s="211" t="str" cm="1">
        <f t="array" aca="1" ref="BF57" ca="1">_xll.d.Logic_IsTrue(_xll.d.Formatting_Equal(D57,AN57))</f>
        <v>OK</v>
      </c>
      <c r="BG57" s="211" t="str" cm="1">
        <f t="array" aca="1" ref="BG57" ca="1">_xll.d.Logic_IsTrue(_xll.d.Formatting_Equal(E57,AO57))</f>
        <v>OK</v>
      </c>
      <c r="BH57" s="211" t="str" cm="1">
        <f t="array" aca="1" ref="BH57" ca="1">_xll.d.Logic_IsTrue(_xll.d.Formatting_Equal(F57,AP57))</f>
        <v>OK</v>
      </c>
      <c r="BI57" s="211" t="str" cm="1">
        <f t="array" aca="1" ref="BI57" ca="1">_xll.d.Logic_IsTrue(_xll.d.Formatting_Equal(G57,AQ57))</f>
        <v>OK</v>
      </c>
      <c r="BJ57" s="211" t="str" cm="1">
        <f t="array" aca="1" ref="BJ57" ca="1">_xll.d.Logic_IsTrue(_xll.d.Formatting_Equal(H57,AR57))</f>
        <v>OK</v>
      </c>
      <c r="BK57" s="211" t="str" cm="1">
        <f t="array" aca="1" ref="BK57" ca="1">_xll.d.Logic_IsTrue(_xll.d.Formatting_Equal(I57,AS57))</f>
        <v>OK</v>
      </c>
      <c r="BL57" s="211" t="str" cm="1">
        <f t="array" aca="1" ref="BL57" ca="1">_xll.d.Logic_IsTrue(_xll.d.Formatting_Equal(J57,AT57))</f>
        <v>OK</v>
      </c>
      <c r="BM57" s="211" t="str" cm="1">
        <f t="array" aca="1" ref="BM57" ca="1">_xll.d.Logic_IsTrue(_xll.d.Formatting_Equal(K57,AU57))</f>
        <v>OK</v>
      </c>
      <c r="BN57" s="211" t="str" cm="1">
        <f t="array" aca="1" ref="BN57" ca="1">_xll.d.Logic_IsTrue(_xll.d.Formatting_Equal(L57,AV57))</f>
        <v>OK</v>
      </c>
      <c r="BO57" s="211" t="str" cm="1">
        <f t="array" aca="1" ref="BO57" ca="1">_xll.d.Logic_IsTrue(_xll.d.Formatting_Equal(M57,AW57))</f>
        <v>OK</v>
      </c>
      <c r="BP57" s="211" t="str" cm="1">
        <f t="array" aca="1" ref="BP57" ca="1">_xll.d.Logic_IsTrue(_xll.d.Formatting_Equal(N57,AX57))</f>
        <v>OK</v>
      </c>
      <c r="BQ57" s="211" t="str" cm="1">
        <f t="array" aca="1" ref="BQ57" ca="1">_xll.d.Logic_IsTrue(_xll.d.Formatting_Equal(O57,AY57))</f>
        <v>OK</v>
      </c>
      <c r="BR57" s="211" t="str" cm="1">
        <f t="array" aca="1" ref="BR57" ca="1">_xll.d.Logic_IsTrue(_xll.d.Formatting_Equal(P57,AZ57))</f>
        <v>OK</v>
      </c>
      <c r="BS57" s="211" t="str" cm="1">
        <f t="array" aca="1" ref="BS57" ca="1">_xll.d.Logic_IsTrue(_xll.d.Formatting_Equal(Q57,BA57))</f>
        <v>OK</v>
      </c>
      <c r="BT57" s="211" t="str" cm="1">
        <f t="array" aca="1" ref="BT57" ca="1">_xll.d.Logic_IsTrue(_xll.d.Formatting_Equal(R57,BB57))</f>
        <v>OK</v>
      </c>
    </row>
    <row r="58" spans="2:72" x14ac:dyDescent="0.25">
      <c r="B58" s="141">
        <v>44593</v>
      </c>
      <c r="C58" s="144">
        <v>44593</v>
      </c>
      <c r="D58" s="123">
        <v>2000</v>
      </c>
      <c r="E58" s="126">
        <v>2000</v>
      </c>
      <c r="F58" s="129">
        <v>2000</v>
      </c>
      <c r="G58" s="132">
        <v>2000</v>
      </c>
      <c r="H58" s="135">
        <v>0.4</v>
      </c>
      <c r="I58" s="135">
        <v>0.4</v>
      </c>
      <c r="J58" s="135">
        <v>0.4</v>
      </c>
      <c r="K58" s="135">
        <v>0.4</v>
      </c>
      <c r="L58" s="135">
        <v>0.4</v>
      </c>
      <c r="M58" s="135">
        <v>0.4</v>
      </c>
      <c r="N58" s="135">
        <v>0.4</v>
      </c>
      <c r="O58" s="135">
        <v>0.4</v>
      </c>
      <c r="P58" s="135">
        <v>0.4</v>
      </c>
      <c r="Q58" s="135">
        <v>0.4</v>
      </c>
      <c r="R58" s="138">
        <v>0.4</v>
      </c>
      <c r="T58" s="103">
        <v>44593</v>
      </c>
      <c r="U58" s="103">
        <v>44593</v>
      </c>
      <c r="V58" s="103">
        <v>2000</v>
      </c>
      <c r="W58" s="103">
        <v>2000</v>
      </c>
      <c r="X58" s="103">
        <v>2000</v>
      </c>
      <c r="Y58" s="103">
        <v>2000</v>
      </c>
      <c r="Z58" s="103">
        <v>0.4</v>
      </c>
      <c r="AA58" s="103">
        <v>0.4</v>
      </c>
      <c r="AB58" s="103">
        <v>0.4</v>
      </c>
      <c r="AC58" s="103">
        <v>0.4</v>
      </c>
      <c r="AD58" s="103">
        <v>0.4</v>
      </c>
      <c r="AE58" s="103">
        <v>0.4</v>
      </c>
      <c r="AF58" s="103">
        <v>0.4</v>
      </c>
      <c r="AG58" s="103">
        <v>0.4</v>
      </c>
      <c r="AH58" s="103">
        <v>0.4</v>
      </c>
      <c r="AI58" s="103">
        <v>0.4</v>
      </c>
      <c r="AJ58" s="103">
        <v>0.4</v>
      </c>
      <c r="AL58" s="205">
        <v>44593</v>
      </c>
      <c r="AM58" s="208">
        <v>44593</v>
      </c>
      <c r="AN58" s="187">
        <v>2000</v>
      </c>
      <c r="AO58" s="190">
        <v>2000</v>
      </c>
      <c r="AP58" s="193">
        <v>2000</v>
      </c>
      <c r="AQ58" s="196">
        <v>2000</v>
      </c>
      <c r="AR58" s="199">
        <v>0.4</v>
      </c>
      <c r="AS58" s="199">
        <v>0.4</v>
      </c>
      <c r="AT58" s="199">
        <v>0.4</v>
      </c>
      <c r="AU58" s="199">
        <v>0.4</v>
      </c>
      <c r="AV58" s="199">
        <v>0.4</v>
      </c>
      <c r="AW58" s="199">
        <v>0.4</v>
      </c>
      <c r="AX58" s="199">
        <v>0.4</v>
      </c>
      <c r="AY58" s="199">
        <v>0.4</v>
      </c>
      <c r="AZ58" s="199">
        <v>0.4</v>
      </c>
      <c r="BA58" s="199">
        <v>0.4</v>
      </c>
      <c r="BB58" s="202">
        <v>0.4</v>
      </c>
      <c r="BD58" s="211" t="str" cm="1">
        <f t="array" aca="1" ref="BD58" ca="1">_xll.d.Logic_IsTrue(_xll.d.Formatting_Equal(B58,AL58))</f>
        <v>OK</v>
      </c>
      <c r="BE58" s="211" t="str" cm="1">
        <f t="array" aca="1" ref="BE58" ca="1">_xll.d.Logic_IsTrue(_xll.d.Formatting_Equal(C58,AM58))</f>
        <v>OK</v>
      </c>
      <c r="BF58" s="211" t="str" cm="1">
        <f t="array" aca="1" ref="BF58" ca="1">_xll.d.Logic_IsTrue(_xll.d.Formatting_Equal(D58,AN58))</f>
        <v>OK</v>
      </c>
      <c r="BG58" s="211" t="str" cm="1">
        <f t="array" aca="1" ref="BG58" ca="1">_xll.d.Logic_IsTrue(_xll.d.Formatting_Equal(E58,AO58))</f>
        <v>OK</v>
      </c>
      <c r="BH58" s="211" t="str" cm="1">
        <f t="array" aca="1" ref="BH58" ca="1">_xll.d.Logic_IsTrue(_xll.d.Formatting_Equal(F58,AP58))</f>
        <v>OK</v>
      </c>
      <c r="BI58" s="211" t="str" cm="1">
        <f t="array" aca="1" ref="BI58" ca="1">_xll.d.Logic_IsTrue(_xll.d.Formatting_Equal(G58,AQ58))</f>
        <v>OK</v>
      </c>
      <c r="BJ58" s="211" t="str" cm="1">
        <f t="array" aca="1" ref="BJ58" ca="1">_xll.d.Logic_IsTrue(_xll.d.Formatting_Equal(H58,AR58))</f>
        <v>OK</v>
      </c>
      <c r="BK58" s="211" t="str" cm="1">
        <f t="array" aca="1" ref="BK58" ca="1">_xll.d.Logic_IsTrue(_xll.d.Formatting_Equal(I58,AS58))</f>
        <v>OK</v>
      </c>
      <c r="BL58" s="211" t="str" cm="1">
        <f t="array" aca="1" ref="BL58" ca="1">_xll.d.Logic_IsTrue(_xll.d.Formatting_Equal(J58,AT58))</f>
        <v>OK</v>
      </c>
      <c r="BM58" s="211" t="str" cm="1">
        <f t="array" aca="1" ref="BM58" ca="1">_xll.d.Logic_IsTrue(_xll.d.Formatting_Equal(K58,AU58))</f>
        <v>OK</v>
      </c>
      <c r="BN58" s="211" t="str" cm="1">
        <f t="array" aca="1" ref="BN58" ca="1">_xll.d.Logic_IsTrue(_xll.d.Formatting_Equal(L58,AV58))</f>
        <v>OK</v>
      </c>
      <c r="BO58" s="211" t="str" cm="1">
        <f t="array" aca="1" ref="BO58" ca="1">_xll.d.Logic_IsTrue(_xll.d.Formatting_Equal(M58,AW58))</f>
        <v>OK</v>
      </c>
      <c r="BP58" s="211" t="str" cm="1">
        <f t="array" aca="1" ref="BP58" ca="1">_xll.d.Logic_IsTrue(_xll.d.Formatting_Equal(N58,AX58))</f>
        <v>OK</v>
      </c>
      <c r="BQ58" s="211" t="str" cm="1">
        <f t="array" aca="1" ref="BQ58" ca="1">_xll.d.Logic_IsTrue(_xll.d.Formatting_Equal(O58,AY58))</f>
        <v>OK</v>
      </c>
      <c r="BR58" s="211" t="str" cm="1">
        <f t="array" aca="1" ref="BR58" ca="1">_xll.d.Logic_IsTrue(_xll.d.Formatting_Equal(P58,AZ58))</f>
        <v>OK</v>
      </c>
      <c r="BS58" s="211" t="str" cm="1">
        <f t="array" aca="1" ref="BS58" ca="1">_xll.d.Logic_IsTrue(_xll.d.Formatting_Equal(Q58,BA58))</f>
        <v>OK</v>
      </c>
      <c r="BT58" s="211" t="str" cm="1">
        <f t="array" aca="1" ref="BT58" ca="1">_xll.d.Logic_IsTrue(_xll.d.Formatting_Equal(R58,BB58))</f>
        <v>OK</v>
      </c>
    </row>
    <row r="59" spans="2:72" x14ac:dyDescent="0.25">
      <c r="B59" s="142">
        <v>44621</v>
      </c>
      <c r="C59" s="145">
        <v>44621</v>
      </c>
      <c r="D59" s="124">
        <v>3000</v>
      </c>
      <c r="E59" s="127">
        <v>3000</v>
      </c>
      <c r="F59" s="130">
        <v>3000</v>
      </c>
      <c r="G59" s="133">
        <v>3000</v>
      </c>
      <c r="H59" s="136">
        <v>0.5</v>
      </c>
      <c r="I59" s="136">
        <v>0.5</v>
      </c>
      <c r="J59" s="136">
        <v>0.5</v>
      </c>
      <c r="K59" s="136">
        <v>0.5</v>
      </c>
      <c r="L59" s="136">
        <v>0.5</v>
      </c>
      <c r="M59" s="136">
        <v>0.5</v>
      </c>
      <c r="N59" s="136">
        <v>0.5</v>
      </c>
      <c r="O59" s="136">
        <v>0.5</v>
      </c>
      <c r="P59" s="136">
        <v>0.5</v>
      </c>
      <c r="Q59" s="136">
        <v>0.5</v>
      </c>
      <c r="R59" s="139">
        <v>0.5</v>
      </c>
      <c r="T59" s="103">
        <v>44621</v>
      </c>
      <c r="U59" s="103">
        <v>44621</v>
      </c>
      <c r="V59" s="103">
        <v>3000</v>
      </c>
      <c r="W59" s="103">
        <v>3000</v>
      </c>
      <c r="X59" s="103">
        <v>3000</v>
      </c>
      <c r="Y59" s="103">
        <v>3000</v>
      </c>
      <c r="Z59" s="103">
        <v>0.5</v>
      </c>
      <c r="AA59" s="103">
        <v>0.5</v>
      </c>
      <c r="AB59" s="103">
        <v>0.5</v>
      </c>
      <c r="AC59" s="103">
        <v>0.5</v>
      </c>
      <c r="AD59" s="103">
        <v>0.5</v>
      </c>
      <c r="AE59" s="103">
        <v>0.5</v>
      </c>
      <c r="AF59" s="103">
        <v>0.5</v>
      </c>
      <c r="AG59" s="103">
        <v>0.5</v>
      </c>
      <c r="AH59" s="103">
        <v>0.5</v>
      </c>
      <c r="AI59" s="103">
        <v>0.5</v>
      </c>
      <c r="AJ59" s="103">
        <v>0.5</v>
      </c>
      <c r="AL59" s="206">
        <v>44621</v>
      </c>
      <c r="AM59" s="209">
        <v>44621</v>
      </c>
      <c r="AN59" s="188">
        <v>3000</v>
      </c>
      <c r="AO59" s="191">
        <v>3000</v>
      </c>
      <c r="AP59" s="194">
        <v>3000</v>
      </c>
      <c r="AQ59" s="197">
        <v>3000</v>
      </c>
      <c r="AR59" s="200">
        <v>0.5</v>
      </c>
      <c r="AS59" s="200">
        <v>0.5</v>
      </c>
      <c r="AT59" s="200">
        <v>0.5</v>
      </c>
      <c r="AU59" s="200">
        <v>0.5</v>
      </c>
      <c r="AV59" s="200">
        <v>0.5</v>
      </c>
      <c r="AW59" s="200">
        <v>0.5</v>
      </c>
      <c r="AX59" s="200">
        <v>0.5</v>
      </c>
      <c r="AY59" s="200">
        <v>0.5</v>
      </c>
      <c r="AZ59" s="200">
        <v>0.5</v>
      </c>
      <c r="BA59" s="200">
        <v>0.5</v>
      </c>
      <c r="BB59" s="203">
        <v>0.5</v>
      </c>
      <c r="BD59" s="211" t="str" cm="1">
        <f t="array" aca="1" ref="BD59" ca="1">_xll.d.Logic_IsTrue(_xll.d.Formatting_Equal(B59,AL59))</f>
        <v>OK</v>
      </c>
      <c r="BE59" s="211" t="str" cm="1">
        <f t="array" aca="1" ref="BE59" ca="1">_xll.d.Logic_IsTrue(_xll.d.Formatting_Equal(C59,AM59))</f>
        <v>OK</v>
      </c>
      <c r="BF59" s="211" t="str" cm="1">
        <f t="array" aca="1" ref="BF59" ca="1">_xll.d.Logic_IsTrue(_xll.d.Formatting_Equal(D59,AN59))</f>
        <v>OK</v>
      </c>
      <c r="BG59" s="211" t="str" cm="1">
        <f t="array" aca="1" ref="BG59" ca="1">_xll.d.Logic_IsTrue(_xll.d.Formatting_Equal(E59,AO59))</f>
        <v>OK</v>
      </c>
      <c r="BH59" s="211" t="str" cm="1">
        <f t="array" aca="1" ref="BH59" ca="1">_xll.d.Logic_IsTrue(_xll.d.Formatting_Equal(F59,AP59))</f>
        <v>OK</v>
      </c>
      <c r="BI59" s="211" t="str" cm="1">
        <f t="array" aca="1" ref="BI59" ca="1">_xll.d.Logic_IsTrue(_xll.d.Formatting_Equal(G59,AQ59))</f>
        <v>OK</v>
      </c>
      <c r="BJ59" s="211" t="str" cm="1">
        <f t="array" aca="1" ref="BJ59" ca="1">_xll.d.Logic_IsTrue(_xll.d.Formatting_Equal(H59,AR59))</f>
        <v>OK</v>
      </c>
      <c r="BK59" s="211" t="str" cm="1">
        <f t="array" aca="1" ref="BK59" ca="1">_xll.d.Logic_IsTrue(_xll.d.Formatting_Equal(I59,AS59))</f>
        <v>OK</v>
      </c>
      <c r="BL59" s="211" t="str" cm="1">
        <f t="array" aca="1" ref="BL59" ca="1">_xll.d.Logic_IsTrue(_xll.d.Formatting_Equal(J59,AT59))</f>
        <v>OK</v>
      </c>
      <c r="BM59" s="211" t="str" cm="1">
        <f t="array" aca="1" ref="BM59" ca="1">_xll.d.Logic_IsTrue(_xll.d.Formatting_Equal(K59,AU59))</f>
        <v>OK</v>
      </c>
      <c r="BN59" s="211" t="str" cm="1">
        <f t="array" aca="1" ref="BN59" ca="1">_xll.d.Logic_IsTrue(_xll.d.Formatting_Equal(L59,AV59))</f>
        <v>OK</v>
      </c>
      <c r="BO59" s="211" t="str" cm="1">
        <f t="array" aca="1" ref="BO59" ca="1">_xll.d.Logic_IsTrue(_xll.d.Formatting_Equal(M59,AW59))</f>
        <v>OK</v>
      </c>
      <c r="BP59" s="211" t="str" cm="1">
        <f t="array" aca="1" ref="BP59" ca="1">_xll.d.Logic_IsTrue(_xll.d.Formatting_Equal(N59,AX59))</f>
        <v>OK</v>
      </c>
      <c r="BQ59" s="211" t="str" cm="1">
        <f t="array" aca="1" ref="BQ59" ca="1">_xll.d.Logic_IsTrue(_xll.d.Formatting_Equal(O59,AY59))</f>
        <v>OK</v>
      </c>
      <c r="BR59" s="211" t="str" cm="1">
        <f t="array" aca="1" ref="BR59" ca="1">_xll.d.Logic_IsTrue(_xll.d.Formatting_Equal(P59,AZ59))</f>
        <v>OK</v>
      </c>
      <c r="BS59" s="211" t="str" cm="1">
        <f t="array" aca="1" ref="BS59" ca="1">_xll.d.Logic_IsTrue(_xll.d.Formatting_Equal(Q59,BA59))</f>
        <v>OK</v>
      </c>
      <c r="BT59" s="211" t="str" cm="1">
        <f t="array" aca="1" ref="BT59" ca="1">_xll.d.Logic_IsTrue(_xll.d.Formatting_Equal(R59,BB59))</f>
        <v>OK</v>
      </c>
    </row>
    <row r="60" spans="2:72" x14ac:dyDescent="0.25">
      <c r="AL60" s="169"/>
      <c r="AM60" s="169"/>
      <c r="AN60" s="169"/>
      <c r="AO60" s="169"/>
      <c r="AP60" s="169"/>
      <c r="AQ60" s="169"/>
      <c r="AR60" s="169"/>
      <c r="AS60" s="169"/>
      <c r="AT60" s="169"/>
      <c r="AU60" s="169"/>
      <c r="AV60" s="169"/>
      <c r="AW60" s="169"/>
      <c r="AX60" s="169"/>
      <c r="AY60" s="169"/>
      <c r="AZ60" s="169"/>
      <c r="BA60" s="169"/>
      <c r="BB60" s="169"/>
    </row>
    <row r="62" spans="2:72" ht="18.75" x14ac:dyDescent="0.3">
      <c r="B62" s="91" t="s">
        <v>124</v>
      </c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  <c r="BT62" s="89"/>
    </row>
    <row r="64" spans="2:72" x14ac:dyDescent="0.25">
      <c r="B64" s="60" t="s">
        <v>147</v>
      </c>
      <c r="C64" s="211" t="str" cm="1">
        <f t="array" aca="1" ref="C64" ca="1">_xll.d.Logic_And(BD79:BT83)</f>
        <v>OK</v>
      </c>
    </row>
    <row r="66" spans="2:72" x14ac:dyDescent="0.25">
      <c r="B66" s="60" t="s">
        <v>121</v>
      </c>
      <c r="C66" s="60" t="s">
        <v>33</v>
      </c>
    </row>
    <row r="67" spans="2:72" x14ac:dyDescent="0.25">
      <c r="B67" s="110" t="s">
        <v>115</v>
      </c>
      <c r="C67" s="111" t="s">
        <v>116</v>
      </c>
    </row>
    <row r="68" spans="2:72" x14ac:dyDescent="0.25">
      <c r="B68" s="104" t="s">
        <v>117</v>
      </c>
      <c r="C68" s="105" t="s">
        <v>0</v>
      </c>
    </row>
    <row r="69" spans="2:72" x14ac:dyDescent="0.25">
      <c r="B69" s="106"/>
      <c r="C69" s="107" t="s">
        <v>118</v>
      </c>
    </row>
    <row r="70" spans="2:72" x14ac:dyDescent="0.25">
      <c r="B70" s="108"/>
      <c r="C70" s="109" t="s">
        <v>119</v>
      </c>
    </row>
    <row r="71" spans="2:72" x14ac:dyDescent="0.25">
      <c r="B71" s="179" t="s">
        <v>141</v>
      </c>
      <c r="C71" s="185">
        <v>2</v>
      </c>
    </row>
    <row r="72" spans="2:72" x14ac:dyDescent="0.25">
      <c r="B72" s="179" t="s">
        <v>142</v>
      </c>
      <c r="C72" s="185">
        <v>0</v>
      </c>
    </row>
    <row r="73" spans="2:72" x14ac:dyDescent="0.25">
      <c r="B73" s="159" t="s">
        <v>129</v>
      </c>
      <c r="C73" s="160"/>
    </row>
    <row r="74" spans="2:72" x14ac:dyDescent="0.25">
      <c r="B74" s="68"/>
      <c r="C74" s="68"/>
    </row>
    <row r="75" spans="2:72" x14ac:dyDescent="0.25">
      <c r="B75" t="s">
        <v>130</v>
      </c>
      <c r="C75" s="68"/>
    </row>
    <row r="76" spans="2:72" x14ac:dyDescent="0.25">
      <c r="B76" s="68"/>
      <c r="C76" s="68"/>
    </row>
    <row r="77" spans="2:72" x14ac:dyDescent="0.25">
      <c r="B77" s="82" t="s">
        <v>94</v>
      </c>
      <c r="T77" s="82" t="s">
        <v>113</v>
      </c>
      <c r="AL77" s="82" t="s">
        <v>114</v>
      </c>
      <c r="BD77" s="82" t="s">
        <v>150</v>
      </c>
    </row>
    <row r="79" spans="2:72" x14ac:dyDescent="0.25">
      <c r="B79" s="103" t="s">
        <v>99</v>
      </c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T79" s="12" t="s">
        <v>99</v>
      </c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13"/>
      <c r="AL79" s="168" t="s">
        <v>99</v>
      </c>
      <c r="AM79" s="168"/>
      <c r="AN79" s="168"/>
      <c r="AO79" s="168"/>
      <c r="AP79" s="168"/>
      <c r="AQ79" s="168"/>
      <c r="AR79" s="168"/>
      <c r="AS79" s="168"/>
      <c r="AT79" s="168"/>
      <c r="AU79" s="168"/>
      <c r="AV79" s="168"/>
      <c r="AW79" s="168"/>
      <c r="AX79" s="168"/>
      <c r="AY79" s="168"/>
      <c r="AZ79" s="168"/>
      <c r="BA79" s="168"/>
      <c r="BB79" s="168"/>
      <c r="BD79" s="210" t="str" cm="1">
        <f t="array" aca="1" ref="BD79" ca="1">_xll.d.Logic_IsTrue(_xll.d.Formatting_Equal(B79,AL79))</f>
        <v>OK</v>
      </c>
      <c r="BE79" s="211" t="str" cm="1">
        <f t="array" aca="1" ref="BE79" ca="1">_xll.d.Logic_IsTrue(_xll.d.Formatting_Equal(C79,AM79))</f>
        <v>OK</v>
      </c>
      <c r="BF79" s="211" t="str" cm="1">
        <f t="array" aca="1" ref="BF79" ca="1">_xll.d.Logic_IsTrue(_xll.d.Formatting_Equal(D79,AN79))</f>
        <v>OK</v>
      </c>
      <c r="BG79" s="211" t="str" cm="1">
        <f t="array" aca="1" ref="BG79" ca="1">_xll.d.Logic_IsTrue(_xll.d.Formatting_Equal(E79,AO79))</f>
        <v>OK</v>
      </c>
      <c r="BH79" s="211" t="str" cm="1">
        <f t="array" aca="1" ref="BH79" ca="1">_xll.d.Logic_IsTrue(_xll.d.Formatting_Equal(F79,AP79))</f>
        <v>OK</v>
      </c>
      <c r="BI79" s="211" t="str" cm="1">
        <f t="array" aca="1" ref="BI79" ca="1">_xll.d.Logic_IsTrue(_xll.d.Formatting_Equal(G79,AQ79))</f>
        <v>OK</v>
      </c>
      <c r="BJ79" s="211" t="str" cm="1">
        <f t="array" aca="1" ref="BJ79" ca="1">_xll.d.Logic_IsTrue(_xll.d.Formatting_Equal(H79,AR79))</f>
        <v>OK</v>
      </c>
      <c r="BK79" s="211" t="str" cm="1">
        <f t="array" aca="1" ref="BK79" ca="1">_xll.d.Logic_IsTrue(_xll.d.Formatting_Equal(I79,AS79))</f>
        <v>OK</v>
      </c>
      <c r="BL79" s="211" t="str" cm="1">
        <f t="array" aca="1" ref="BL79" ca="1">_xll.d.Logic_IsTrue(_xll.d.Formatting_Equal(J79,AT79))</f>
        <v>OK</v>
      </c>
      <c r="BM79" s="211" t="str" cm="1">
        <f t="array" aca="1" ref="BM79" ca="1">_xll.d.Logic_IsTrue(_xll.d.Formatting_Equal(K79,AU79))</f>
        <v>OK</v>
      </c>
      <c r="BN79" s="211" t="str" cm="1">
        <f t="array" aca="1" ref="BN79" ca="1">_xll.d.Logic_IsTrue(_xll.d.Formatting_Equal(L79,AV79))</f>
        <v>OK</v>
      </c>
      <c r="BO79" s="211" t="str" cm="1">
        <f t="array" aca="1" ref="BO79" ca="1">_xll.d.Logic_IsTrue(_xll.d.Formatting_Equal(M79,AW79))</f>
        <v>OK</v>
      </c>
      <c r="BP79" s="211" t="str" cm="1">
        <f t="array" aca="1" ref="BP79" ca="1">_xll.d.Logic_IsTrue(_xll.d.Formatting_Equal(N79,AX79))</f>
        <v>OK</v>
      </c>
      <c r="BQ79" s="211" t="str" cm="1">
        <f t="array" aca="1" ref="BQ79" ca="1">_xll.d.Logic_IsTrue(_xll.d.Formatting_Equal(O79,AY79))</f>
        <v>OK</v>
      </c>
      <c r="BR79" s="211" t="str" cm="1">
        <f t="array" aca="1" ref="BR79" ca="1">_xll.d.Logic_IsTrue(_xll.d.Formatting_Equal(P79,AZ79))</f>
        <v>OK</v>
      </c>
      <c r="BS79" s="211" t="str" cm="1">
        <f t="array" aca="1" ref="BS79" ca="1">_xll.d.Logic_IsTrue(_xll.d.Formatting_Equal(Q79,BA79))</f>
        <v>OK</v>
      </c>
      <c r="BT79" s="211" t="str" cm="1">
        <f t="array" aca="1" ref="BT79" ca="1">_xll.d.Logic_IsTrue(_xll.d.Formatting_Equal(R79,BB79))</f>
        <v>OK</v>
      </c>
    </row>
    <row r="80" spans="2:72" x14ac:dyDescent="0.25">
      <c r="B80" s="103" t="s">
        <v>35</v>
      </c>
      <c r="C80" s="103" t="s">
        <v>0</v>
      </c>
      <c r="D80" s="103" t="s">
        <v>100</v>
      </c>
      <c r="E80" s="103" t="s">
        <v>101</v>
      </c>
      <c r="F80" s="103" t="s">
        <v>102</v>
      </c>
      <c r="G80" s="103" t="s">
        <v>103</v>
      </c>
      <c r="H80" s="103" t="s">
        <v>104</v>
      </c>
      <c r="I80" s="103" t="s">
        <v>83</v>
      </c>
      <c r="J80" s="103" t="s">
        <v>84</v>
      </c>
      <c r="K80" s="103" t="s">
        <v>85</v>
      </c>
      <c r="L80" s="103" t="s">
        <v>105</v>
      </c>
      <c r="M80" s="103" t="s">
        <v>25</v>
      </c>
      <c r="N80" s="103" t="s">
        <v>40</v>
      </c>
      <c r="O80" s="103" t="s">
        <v>106</v>
      </c>
      <c r="P80" s="103" t="s">
        <v>98</v>
      </c>
      <c r="Q80" s="103" t="s">
        <v>108</v>
      </c>
      <c r="R80" s="103" t="s">
        <v>107</v>
      </c>
      <c r="T80" s="86" t="s">
        <v>35</v>
      </c>
      <c r="U80" s="87" t="s">
        <v>0</v>
      </c>
      <c r="V80" s="87" t="s">
        <v>100</v>
      </c>
      <c r="W80" s="87" t="s">
        <v>101</v>
      </c>
      <c r="X80" s="87" t="s">
        <v>102</v>
      </c>
      <c r="Y80" s="87" t="s">
        <v>103</v>
      </c>
      <c r="Z80" s="87" t="s">
        <v>104</v>
      </c>
      <c r="AA80" s="87" t="s">
        <v>83</v>
      </c>
      <c r="AB80" s="87" t="s">
        <v>84</v>
      </c>
      <c r="AC80" s="87" t="s">
        <v>85</v>
      </c>
      <c r="AD80" s="87" t="s">
        <v>105</v>
      </c>
      <c r="AE80" s="87" t="s">
        <v>25</v>
      </c>
      <c r="AF80" s="87" t="s">
        <v>40</v>
      </c>
      <c r="AG80" s="87" t="s">
        <v>106</v>
      </c>
      <c r="AH80" s="87" t="s">
        <v>98</v>
      </c>
      <c r="AI80" s="87" t="s">
        <v>108</v>
      </c>
      <c r="AJ80" s="88" t="s">
        <v>107</v>
      </c>
      <c r="AL80" s="168" t="s">
        <v>35</v>
      </c>
      <c r="AM80" s="168" t="s">
        <v>0</v>
      </c>
      <c r="AN80" s="168" t="s">
        <v>100</v>
      </c>
      <c r="AO80" s="168" t="s">
        <v>101</v>
      </c>
      <c r="AP80" s="168" t="s">
        <v>102</v>
      </c>
      <c r="AQ80" s="168" t="s">
        <v>103</v>
      </c>
      <c r="AR80" s="168" t="s">
        <v>104</v>
      </c>
      <c r="AS80" s="168" t="s">
        <v>83</v>
      </c>
      <c r="AT80" s="168" t="s">
        <v>84</v>
      </c>
      <c r="AU80" s="168" t="s">
        <v>85</v>
      </c>
      <c r="AV80" s="168" t="s">
        <v>105</v>
      </c>
      <c r="AW80" s="168" t="s">
        <v>25</v>
      </c>
      <c r="AX80" s="168" t="s">
        <v>40</v>
      </c>
      <c r="AY80" s="168" t="s">
        <v>106</v>
      </c>
      <c r="AZ80" s="168" t="s">
        <v>98</v>
      </c>
      <c r="BA80" s="168" t="s">
        <v>108</v>
      </c>
      <c r="BB80" s="168" t="s">
        <v>107</v>
      </c>
      <c r="BD80" s="210" t="str" cm="1">
        <f t="array" aca="1" ref="BD80" ca="1">_xll.d.Logic_IsTrue(_xll.d.Formatting_Equal(B80,AL80))</f>
        <v>OK</v>
      </c>
      <c r="BE80" s="211" t="str" cm="1">
        <f t="array" aca="1" ref="BE80" ca="1">_xll.d.Logic_IsTrue(_xll.d.Formatting_Equal(C80,AM80))</f>
        <v>OK</v>
      </c>
      <c r="BF80" s="211" t="str" cm="1">
        <f t="array" aca="1" ref="BF80" ca="1">_xll.d.Logic_IsTrue(_xll.d.Formatting_Equal(D80,AN80))</f>
        <v>OK</v>
      </c>
      <c r="BG80" s="211" t="str" cm="1">
        <f t="array" aca="1" ref="BG80" ca="1">_xll.d.Logic_IsTrue(_xll.d.Formatting_Equal(E80,AO80))</f>
        <v>OK</v>
      </c>
      <c r="BH80" s="211" t="str" cm="1">
        <f t="array" aca="1" ref="BH80" ca="1">_xll.d.Logic_IsTrue(_xll.d.Formatting_Equal(F80,AP80))</f>
        <v>OK</v>
      </c>
      <c r="BI80" s="211" t="str" cm="1">
        <f t="array" aca="1" ref="BI80" ca="1">_xll.d.Logic_IsTrue(_xll.d.Formatting_Equal(G80,AQ80))</f>
        <v>OK</v>
      </c>
      <c r="BJ80" s="211" t="str" cm="1">
        <f t="array" aca="1" ref="BJ80" ca="1">_xll.d.Logic_IsTrue(_xll.d.Formatting_Equal(H80,AR80))</f>
        <v>OK</v>
      </c>
      <c r="BK80" s="211" t="str" cm="1">
        <f t="array" aca="1" ref="BK80" ca="1">_xll.d.Logic_IsTrue(_xll.d.Formatting_Equal(I80,AS80))</f>
        <v>OK</v>
      </c>
      <c r="BL80" s="211" t="str" cm="1">
        <f t="array" aca="1" ref="BL80" ca="1">_xll.d.Logic_IsTrue(_xll.d.Formatting_Equal(J80,AT80))</f>
        <v>OK</v>
      </c>
      <c r="BM80" s="211" t="str" cm="1">
        <f t="array" aca="1" ref="BM80" ca="1">_xll.d.Logic_IsTrue(_xll.d.Formatting_Equal(K80,AU80))</f>
        <v>OK</v>
      </c>
      <c r="BN80" s="211" t="str" cm="1">
        <f t="array" aca="1" ref="BN80" ca="1">_xll.d.Logic_IsTrue(_xll.d.Formatting_Equal(L80,AV80))</f>
        <v>OK</v>
      </c>
      <c r="BO80" s="211" t="str" cm="1">
        <f t="array" aca="1" ref="BO80" ca="1">_xll.d.Logic_IsTrue(_xll.d.Formatting_Equal(M80,AW80))</f>
        <v>OK</v>
      </c>
      <c r="BP80" s="211" t="str" cm="1">
        <f t="array" aca="1" ref="BP80" ca="1">_xll.d.Logic_IsTrue(_xll.d.Formatting_Equal(N80,AX80))</f>
        <v>OK</v>
      </c>
      <c r="BQ80" s="211" t="str" cm="1">
        <f t="array" aca="1" ref="BQ80" ca="1">_xll.d.Logic_IsTrue(_xll.d.Formatting_Equal(O80,AY80))</f>
        <v>OK</v>
      </c>
      <c r="BR80" s="211" t="str" cm="1">
        <f t="array" aca="1" ref="BR80" ca="1">_xll.d.Logic_IsTrue(_xll.d.Formatting_Equal(P80,AZ80))</f>
        <v>OK</v>
      </c>
      <c r="BS80" s="211" t="str" cm="1">
        <f t="array" aca="1" ref="BS80" ca="1">_xll.d.Logic_IsTrue(_xll.d.Formatting_Equal(Q80,BA80))</f>
        <v>OK</v>
      </c>
      <c r="BT80" s="211" t="str" cm="1">
        <f t="array" aca="1" ref="BT80" ca="1">_xll.d.Logic_IsTrue(_xll.d.Formatting_Equal(R80,BB80))</f>
        <v>OK</v>
      </c>
    </row>
    <row r="81" spans="2:72" x14ac:dyDescent="0.25">
      <c r="B81" s="103">
        <v>44562</v>
      </c>
      <c r="C81" s="103">
        <v>44562</v>
      </c>
      <c r="D81" s="103">
        <v>1000</v>
      </c>
      <c r="E81" s="103">
        <v>1000</v>
      </c>
      <c r="F81" s="103">
        <v>1000</v>
      </c>
      <c r="G81" s="103">
        <v>1000</v>
      </c>
      <c r="H81" s="103">
        <v>0.3</v>
      </c>
      <c r="I81" s="103">
        <v>0.3</v>
      </c>
      <c r="J81" s="103">
        <v>0.3</v>
      </c>
      <c r="K81" s="103">
        <v>0.3</v>
      </c>
      <c r="L81" s="103">
        <v>0.3</v>
      </c>
      <c r="M81" s="103">
        <v>0.3</v>
      </c>
      <c r="N81" s="103">
        <v>0.3</v>
      </c>
      <c r="O81" s="103">
        <v>0.3</v>
      </c>
      <c r="P81" s="103">
        <v>0.3</v>
      </c>
      <c r="Q81" s="103">
        <v>0.3</v>
      </c>
      <c r="R81" s="103">
        <v>0.3</v>
      </c>
      <c r="T81" s="140">
        <v>44562</v>
      </c>
      <c r="U81" s="143">
        <v>44562</v>
      </c>
      <c r="V81" s="122">
        <v>1000</v>
      </c>
      <c r="W81" s="125">
        <v>1000</v>
      </c>
      <c r="X81" s="128">
        <v>1000</v>
      </c>
      <c r="Y81" s="131">
        <v>1000</v>
      </c>
      <c r="Z81" s="134">
        <v>0.3</v>
      </c>
      <c r="AA81" s="134">
        <v>0.3</v>
      </c>
      <c r="AB81" s="134">
        <v>0.3</v>
      </c>
      <c r="AC81" s="134">
        <v>0.3</v>
      </c>
      <c r="AD81" s="134">
        <v>0.3</v>
      </c>
      <c r="AE81" s="134">
        <v>0.3</v>
      </c>
      <c r="AF81" s="134">
        <v>0.3</v>
      </c>
      <c r="AG81" s="134">
        <v>0.3</v>
      </c>
      <c r="AH81" s="134">
        <v>0.3</v>
      </c>
      <c r="AI81" s="134">
        <v>0.3</v>
      </c>
      <c r="AJ81" s="137">
        <v>0.3</v>
      </c>
      <c r="AL81" s="168">
        <v>44562</v>
      </c>
      <c r="AM81" s="168">
        <v>44562</v>
      </c>
      <c r="AN81" s="169">
        <v>1000</v>
      </c>
      <c r="AO81" s="169">
        <v>1000</v>
      </c>
      <c r="AP81" s="169">
        <v>1000</v>
      </c>
      <c r="AQ81" s="169">
        <v>1000</v>
      </c>
      <c r="AR81" s="168">
        <v>0.3</v>
      </c>
      <c r="AS81" s="168">
        <v>0.3</v>
      </c>
      <c r="AT81" s="168">
        <v>0.3</v>
      </c>
      <c r="AU81" s="168">
        <v>0.3</v>
      </c>
      <c r="AV81" s="168">
        <v>0.3</v>
      </c>
      <c r="AW81" s="168">
        <v>0.3</v>
      </c>
      <c r="AX81" s="168">
        <v>0.3</v>
      </c>
      <c r="AY81" s="168">
        <v>0.3</v>
      </c>
      <c r="AZ81" s="168">
        <v>0.3</v>
      </c>
      <c r="BA81" s="168">
        <v>0.3</v>
      </c>
      <c r="BB81" s="168">
        <v>0.3</v>
      </c>
      <c r="BD81" s="211" t="str" cm="1">
        <f t="array" aca="1" ref="BD81" ca="1">_xll.d.Logic_IsTrue(_xll.d.Formatting_Equal(B81,AL81))</f>
        <v>OK</v>
      </c>
      <c r="BE81" s="211" t="str" cm="1">
        <f t="array" aca="1" ref="BE81" ca="1">_xll.d.Logic_IsTrue(_xll.d.Formatting_Equal(C81,AM81))</f>
        <v>OK</v>
      </c>
      <c r="BF81" s="211" t="str" cm="1">
        <f t="array" aca="1" ref="BF81" ca="1">_xll.d.Logic_IsTrue(_xll.d.Formatting_Equal(D81,AN81))</f>
        <v>OK</v>
      </c>
      <c r="BG81" s="211" t="str" cm="1">
        <f t="array" aca="1" ref="BG81" ca="1">_xll.d.Logic_IsTrue(_xll.d.Formatting_Equal(E81,AO81))</f>
        <v>OK</v>
      </c>
      <c r="BH81" s="211" t="str" cm="1">
        <f t="array" aca="1" ref="BH81" ca="1">_xll.d.Logic_IsTrue(_xll.d.Formatting_Equal(F81,AP81))</f>
        <v>OK</v>
      </c>
      <c r="BI81" s="211" t="str" cm="1">
        <f t="array" aca="1" ref="BI81" ca="1">_xll.d.Logic_IsTrue(_xll.d.Formatting_Equal(G81,AQ81))</f>
        <v>OK</v>
      </c>
      <c r="BJ81" s="211" t="str" cm="1">
        <f t="array" aca="1" ref="BJ81" ca="1">_xll.d.Logic_IsTrue(_xll.d.Formatting_Equal(H81,AR81))</f>
        <v>OK</v>
      </c>
      <c r="BK81" s="211" t="str" cm="1">
        <f t="array" aca="1" ref="BK81" ca="1">_xll.d.Logic_IsTrue(_xll.d.Formatting_Equal(I81,AS81))</f>
        <v>OK</v>
      </c>
      <c r="BL81" s="211" t="str" cm="1">
        <f t="array" aca="1" ref="BL81" ca="1">_xll.d.Logic_IsTrue(_xll.d.Formatting_Equal(J81,AT81))</f>
        <v>OK</v>
      </c>
      <c r="BM81" s="211" t="str" cm="1">
        <f t="array" aca="1" ref="BM81" ca="1">_xll.d.Logic_IsTrue(_xll.d.Formatting_Equal(K81,AU81))</f>
        <v>OK</v>
      </c>
      <c r="BN81" s="211" t="str" cm="1">
        <f t="array" aca="1" ref="BN81" ca="1">_xll.d.Logic_IsTrue(_xll.d.Formatting_Equal(L81,AV81))</f>
        <v>OK</v>
      </c>
      <c r="BO81" s="211" t="str" cm="1">
        <f t="array" aca="1" ref="BO81" ca="1">_xll.d.Logic_IsTrue(_xll.d.Formatting_Equal(M81,AW81))</f>
        <v>OK</v>
      </c>
      <c r="BP81" s="211" t="str" cm="1">
        <f t="array" aca="1" ref="BP81" ca="1">_xll.d.Logic_IsTrue(_xll.d.Formatting_Equal(N81,AX81))</f>
        <v>OK</v>
      </c>
      <c r="BQ81" s="211" t="str" cm="1">
        <f t="array" aca="1" ref="BQ81" ca="1">_xll.d.Logic_IsTrue(_xll.d.Formatting_Equal(O81,AY81))</f>
        <v>OK</v>
      </c>
      <c r="BR81" s="211" t="str" cm="1">
        <f t="array" aca="1" ref="BR81" ca="1">_xll.d.Logic_IsTrue(_xll.d.Formatting_Equal(P81,AZ81))</f>
        <v>OK</v>
      </c>
      <c r="BS81" s="211" t="str" cm="1">
        <f t="array" aca="1" ref="BS81" ca="1">_xll.d.Logic_IsTrue(_xll.d.Formatting_Equal(Q81,BA81))</f>
        <v>OK</v>
      </c>
      <c r="BT81" s="211" t="str" cm="1">
        <f t="array" aca="1" ref="BT81" ca="1">_xll.d.Logic_IsTrue(_xll.d.Formatting_Equal(R81,BB81))</f>
        <v>OK</v>
      </c>
    </row>
    <row r="82" spans="2:72" x14ac:dyDescent="0.25">
      <c r="B82" s="103">
        <v>44593</v>
      </c>
      <c r="C82" s="103">
        <v>44593</v>
      </c>
      <c r="D82" s="103">
        <v>2000</v>
      </c>
      <c r="E82" s="103">
        <v>2000</v>
      </c>
      <c r="F82" s="103">
        <v>2000</v>
      </c>
      <c r="G82" s="103">
        <v>2000</v>
      </c>
      <c r="H82" s="103">
        <v>0.4</v>
      </c>
      <c r="I82" s="103">
        <v>0.4</v>
      </c>
      <c r="J82" s="103">
        <v>0.4</v>
      </c>
      <c r="K82" s="103">
        <v>0.4</v>
      </c>
      <c r="L82" s="103">
        <v>0.4</v>
      </c>
      <c r="M82" s="103">
        <v>0.4</v>
      </c>
      <c r="N82" s="103">
        <v>0.4</v>
      </c>
      <c r="O82" s="103">
        <v>0.4</v>
      </c>
      <c r="P82" s="103">
        <v>0.4</v>
      </c>
      <c r="Q82" s="103">
        <v>0.4</v>
      </c>
      <c r="R82" s="103">
        <v>0.4</v>
      </c>
      <c r="T82" s="141">
        <v>44593</v>
      </c>
      <c r="U82" s="144">
        <v>44593</v>
      </c>
      <c r="V82" s="123">
        <v>2000</v>
      </c>
      <c r="W82" s="126">
        <v>2000</v>
      </c>
      <c r="X82" s="129">
        <v>2000</v>
      </c>
      <c r="Y82" s="132">
        <v>2000</v>
      </c>
      <c r="Z82" s="135">
        <v>0.4</v>
      </c>
      <c r="AA82" s="135">
        <v>0.4</v>
      </c>
      <c r="AB82" s="135">
        <v>0.4</v>
      </c>
      <c r="AC82" s="135">
        <v>0.4</v>
      </c>
      <c r="AD82" s="135">
        <v>0.4</v>
      </c>
      <c r="AE82" s="135">
        <v>0.4</v>
      </c>
      <c r="AF82" s="135">
        <v>0.4</v>
      </c>
      <c r="AG82" s="135">
        <v>0.4</v>
      </c>
      <c r="AH82" s="135">
        <v>0.4</v>
      </c>
      <c r="AI82" s="135">
        <v>0.4</v>
      </c>
      <c r="AJ82" s="138">
        <v>0.4</v>
      </c>
      <c r="AL82" s="168">
        <v>44593</v>
      </c>
      <c r="AM82" s="168">
        <v>44593</v>
      </c>
      <c r="AN82" s="169">
        <v>2000</v>
      </c>
      <c r="AO82" s="169">
        <v>2000</v>
      </c>
      <c r="AP82" s="169">
        <v>2000</v>
      </c>
      <c r="AQ82" s="169">
        <v>2000</v>
      </c>
      <c r="AR82" s="168">
        <v>0.4</v>
      </c>
      <c r="AS82" s="168">
        <v>0.4</v>
      </c>
      <c r="AT82" s="168">
        <v>0.4</v>
      </c>
      <c r="AU82" s="168">
        <v>0.4</v>
      </c>
      <c r="AV82" s="168">
        <v>0.4</v>
      </c>
      <c r="AW82" s="168">
        <v>0.4</v>
      </c>
      <c r="AX82" s="168">
        <v>0.4</v>
      </c>
      <c r="AY82" s="168">
        <v>0.4</v>
      </c>
      <c r="AZ82" s="168">
        <v>0.4</v>
      </c>
      <c r="BA82" s="168">
        <v>0.4</v>
      </c>
      <c r="BB82" s="168">
        <v>0.4</v>
      </c>
      <c r="BD82" s="211" t="str" cm="1">
        <f t="array" aca="1" ref="BD82" ca="1">_xll.d.Logic_IsTrue(_xll.d.Formatting_Equal(B82,AL82))</f>
        <v>OK</v>
      </c>
      <c r="BE82" s="211" t="str" cm="1">
        <f t="array" aca="1" ref="BE82" ca="1">_xll.d.Logic_IsTrue(_xll.d.Formatting_Equal(C82,AM82))</f>
        <v>OK</v>
      </c>
      <c r="BF82" s="211" t="str" cm="1">
        <f t="array" aca="1" ref="BF82" ca="1">_xll.d.Logic_IsTrue(_xll.d.Formatting_Equal(D82,AN82))</f>
        <v>OK</v>
      </c>
      <c r="BG82" s="211" t="str" cm="1">
        <f t="array" aca="1" ref="BG82" ca="1">_xll.d.Logic_IsTrue(_xll.d.Formatting_Equal(E82,AO82))</f>
        <v>OK</v>
      </c>
      <c r="BH82" s="211" t="str" cm="1">
        <f t="array" aca="1" ref="BH82" ca="1">_xll.d.Logic_IsTrue(_xll.d.Formatting_Equal(F82,AP82))</f>
        <v>OK</v>
      </c>
      <c r="BI82" s="211" t="str" cm="1">
        <f t="array" aca="1" ref="BI82" ca="1">_xll.d.Logic_IsTrue(_xll.d.Formatting_Equal(G82,AQ82))</f>
        <v>OK</v>
      </c>
      <c r="BJ82" s="211" t="str" cm="1">
        <f t="array" aca="1" ref="BJ82" ca="1">_xll.d.Logic_IsTrue(_xll.d.Formatting_Equal(H82,AR82))</f>
        <v>OK</v>
      </c>
      <c r="BK82" s="211" t="str" cm="1">
        <f t="array" aca="1" ref="BK82" ca="1">_xll.d.Logic_IsTrue(_xll.d.Formatting_Equal(I82,AS82))</f>
        <v>OK</v>
      </c>
      <c r="BL82" s="211" t="str" cm="1">
        <f t="array" aca="1" ref="BL82" ca="1">_xll.d.Logic_IsTrue(_xll.d.Formatting_Equal(J82,AT82))</f>
        <v>OK</v>
      </c>
      <c r="BM82" s="211" t="str" cm="1">
        <f t="array" aca="1" ref="BM82" ca="1">_xll.d.Logic_IsTrue(_xll.d.Formatting_Equal(K82,AU82))</f>
        <v>OK</v>
      </c>
      <c r="BN82" s="211" t="str" cm="1">
        <f t="array" aca="1" ref="BN82" ca="1">_xll.d.Logic_IsTrue(_xll.d.Formatting_Equal(L82,AV82))</f>
        <v>OK</v>
      </c>
      <c r="BO82" s="211" t="str" cm="1">
        <f t="array" aca="1" ref="BO82" ca="1">_xll.d.Logic_IsTrue(_xll.d.Formatting_Equal(M82,AW82))</f>
        <v>OK</v>
      </c>
      <c r="BP82" s="211" t="str" cm="1">
        <f t="array" aca="1" ref="BP82" ca="1">_xll.d.Logic_IsTrue(_xll.d.Formatting_Equal(N82,AX82))</f>
        <v>OK</v>
      </c>
      <c r="BQ82" s="211" t="str" cm="1">
        <f t="array" aca="1" ref="BQ82" ca="1">_xll.d.Logic_IsTrue(_xll.d.Formatting_Equal(O82,AY82))</f>
        <v>OK</v>
      </c>
      <c r="BR82" s="211" t="str" cm="1">
        <f t="array" aca="1" ref="BR82" ca="1">_xll.d.Logic_IsTrue(_xll.d.Formatting_Equal(P82,AZ82))</f>
        <v>OK</v>
      </c>
      <c r="BS82" s="211" t="str" cm="1">
        <f t="array" aca="1" ref="BS82" ca="1">_xll.d.Logic_IsTrue(_xll.d.Formatting_Equal(Q82,BA82))</f>
        <v>OK</v>
      </c>
      <c r="BT82" s="211" t="str" cm="1">
        <f t="array" aca="1" ref="BT82" ca="1">_xll.d.Logic_IsTrue(_xll.d.Formatting_Equal(R82,BB82))</f>
        <v>OK</v>
      </c>
    </row>
    <row r="83" spans="2:72" x14ac:dyDescent="0.25">
      <c r="B83" s="103">
        <v>44621</v>
      </c>
      <c r="C83" s="103">
        <v>44621</v>
      </c>
      <c r="D83" s="103">
        <v>3000</v>
      </c>
      <c r="E83" s="103">
        <v>3000</v>
      </c>
      <c r="F83" s="103">
        <v>3000</v>
      </c>
      <c r="G83" s="103">
        <v>3000</v>
      </c>
      <c r="H83" s="103">
        <v>0.5</v>
      </c>
      <c r="I83" s="103">
        <v>0.5</v>
      </c>
      <c r="J83" s="103">
        <v>0.5</v>
      </c>
      <c r="K83" s="103">
        <v>0.5</v>
      </c>
      <c r="L83" s="103">
        <v>0.5</v>
      </c>
      <c r="M83" s="103">
        <v>0.5</v>
      </c>
      <c r="N83" s="103">
        <v>0.5</v>
      </c>
      <c r="O83" s="103">
        <v>0.5</v>
      </c>
      <c r="P83" s="103">
        <v>0.5</v>
      </c>
      <c r="Q83" s="103">
        <v>0.5</v>
      </c>
      <c r="R83" s="103">
        <v>0.5</v>
      </c>
      <c r="T83" s="142">
        <v>44621</v>
      </c>
      <c r="U83" s="145">
        <v>44621</v>
      </c>
      <c r="V83" s="124">
        <v>3000</v>
      </c>
      <c r="W83" s="127">
        <v>3000</v>
      </c>
      <c r="X83" s="130">
        <v>3000</v>
      </c>
      <c r="Y83" s="133">
        <v>3000</v>
      </c>
      <c r="Z83" s="136">
        <v>0.5</v>
      </c>
      <c r="AA83" s="136">
        <v>0.5</v>
      </c>
      <c r="AB83" s="136">
        <v>0.5</v>
      </c>
      <c r="AC83" s="136">
        <v>0.5</v>
      </c>
      <c r="AD83" s="136">
        <v>0.5</v>
      </c>
      <c r="AE83" s="136">
        <v>0.5</v>
      </c>
      <c r="AF83" s="136">
        <v>0.5</v>
      </c>
      <c r="AG83" s="136">
        <v>0.5</v>
      </c>
      <c r="AH83" s="136">
        <v>0.5</v>
      </c>
      <c r="AI83" s="136">
        <v>0.5</v>
      </c>
      <c r="AJ83" s="139">
        <v>0.5</v>
      </c>
      <c r="AL83" s="168">
        <v>44621</v>
      </c>
      <c r="AM83" s="168">
        <v>44621</v>
      </c>
      <c r="AN83" s="169">
        <v>3000</v>
      </c>
      <c r="AO83" s="169">
        <v>3000</v>
      </c>
      <c r="AP83" s="169">
        <v>3000</v>
      </c>
      <c r="AQ83" s="169">
        <v>3000</v>
      </c>
      <c r="AR83" s="168">
        <v>0.5</v>
      </c>
      <c r="AS83" s="168">
        <v>0.5</v>
      </c>
      <c r="AT83" s="168">
        <v>0.5</v>
      </c>
      <c r="AU83" s="168">
        <v>0.5</v>
      </c>
      <c r="AV83" s="168">
        <v>0.5</v>
      </c>
      <c r="AW83" s="168">
        <v>0.5</v>
      </c>
      <c r="AX83" s="168">
        <v>0.5</v>
      </c>
      <c r="AY83" s="168">
        <v>0.5</v>
      </c>
      <c r="AZ83" s="168">
        <v>0.5</v>
      </c>
      <c r="BA83" s="168">
        <v>0.5</v>
      </c>
      <c r="BB83" s="168">
        <v>0.5</v>
      </c>
      <c r="BD83" s="211" t="str" cm="1">
        <f t="array" aca="1" ref="BD83" ca="1">_xll.d.Logic_IsTrue(_xll.d.Formatting_Equal(B83,AL83))</f>
        <v>OK</v>
      </c>
      <c r="BE83" s="211" t="str" cm="1">
        <f t="array" aca="1" ref="BE83" ca="1">_xll.d.Logic_IsTrue(_xll.d.Formatting_Equal(C83,AM83))</f>
        <v>OK</v>
      </c>
      <c r="BF83" s="211" t="str" cm="1">
        <f t="array" aca="1" ref="BF83" ca="1">_xll.d.Logic_IsTrue(_xll.d.Formatting_Equal(D83,AN83))</f>
        <v>OK</v>
      </c>
      <c r="BG83" s="211" t="str" cm="1">
        <f t="array" aca="1" ref="BG83" ca="1">_xll.d.Logic_IsTrue(_xll.d.Formatting_Equal(E83,AO83))</f>
        <v>OK</v>
      </c>
      <c r="BH83" s="211" t="str" cm="1">
        <f t="array" aca="1" ref="BH83" ca="1">_xll.d.Logic_IsTrue(_xll.d.Formatting_Equal(F83,AP83))</f>
        <v>OK</v>
      </c>
      <c r="BI83" s="211" t="str" cm="1">
        <f t="array" aca="1" ref="BI83" ca="1">_xll.d.Logic_IsTrue(_xll.d.Formatting_Equal(G83,AQ83))</f>
        <v>OK</v>
      </c>
      <c r="BJ83" s="211" t="str" cm="1">
        <f t="array" aca="1" ref="BJ83" ca="1">_xll.d.Logic_IsTrue(_xll.d.Formatting_Equal(H83,AR83))</f>
        <v>OK</v>
      </c>
      <c r="BK83" s="211" t="str" cm="1">
        <f t="array" aca="1" ref="BK83" ca="1">_xll.d.Logic_IsTrue(_xll.d.Formatting_Equal(I83,AS83))</f>
        <v>OK</v>
      </c>
      <c r="BL83" s="211" t="str" cm="1">
        <f t="array" aca="1" ref="BL83" ca="1">_xll.d.Logic_IsTrue(_xll.d.Formatting_Equal(J83,AT83))</f>
        <v>OK</v>
      </c>
      <c r="BM83" s="211" t="str" cm="1">
        <f t="array" aca="1" ref="BM83" ca="1">_xll.d.Logic_IsTrue(_xll.d.Formatting_Equal(K83,AU83))</f>
        <v>OK</v>
      </c>
      <c r="BN83" s="211" t="str" cm="1">
        <f t="array" aca="1" ref="BN83" ca="1">_xll.d.Logic_IsTrue(_xll.d.Formatting_Equal(L83,AV83))</f>
        <v>OK</v>
      </c>
      <c r="BO83" s="211" t="str" cm="1">
        <f t="array" aca="1" ref="BO83" ca="1">_xll.d.Logic_IsTrue(_xll.d.Formatting_Equal(M83,AW83))</f>
        <v>OK</v>
      </c>
      <c r="BP83" s="211" t="str" cm="1">
        <f t="array" aca="1" ref="BP83" ca="1">_xll.d.Logic_IsTrue(_xll.d.Formatting_Equal(N83,AX83))</f>
        <v>OK</v>
      </c>
      <c r="BQ83" s="211" t="str" cm="1">
        <f t="array" aca="1" ref="BQ83" ca="1">_xll.d.Logic_IsTrue(_xll.d.Formatting_Equal(O83,AY83))</f>
        <v>OK</v>
      </c>
      <c r="BR83" s="211" t="str" cm="1">
        <f t="array" aca="1" ref="BR83" ca="1">_xll.d.Logic_IsTrue(_xll.d.Formatting_Equal(P83,AZ83))</f>
        <v>OK</v>
      </c>
      <c r="BS83" s="211" t="str" cm="1">
        <f t="array" aca="1" ref="BS83" ca="1">_xll.d.Logic_IsTrue(_xll.d.Formatting_Equal(Q83,BA83))</f>
        <v>OK</v>
      </c>
      <c r="BT83" s="211" t="str" cm="1">
        <f t="array" aca="1" ref="BT83" ca="1">_xll.d.Logic_IsTrue(_xll.d.Formatting_Equal(R83,BB83))</f>
        <v>OK</v>
      </c>
    </row>
    <row r="84" spans="2:72" x14ac:dyDescent="0.25">
      <c r="B84" s="68"/>
      <c r="C84" s="68"/>
    </row>
    <row r="85" spans="2:72" x14ac:dyDescent="0.25">
      <c r="B85" s="68"/>
      <c r="C85" s="68"/>
    </row>
    <row r="86" spans="2:72" ht="18.75" x14ac:dyDescent="0.3">
      <c r="B86" s="91" t="s">
        <v>128</v>
      </c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  <c r="BC86" s="89"/>
    </row>
    <row r="88" spans="2:72" x14ac:dyDescent="0.25">
      <c r="B88" s="60" t="s">
        <v>147</v>
      </c>
      <c r="C88" s="211" t="str" cm="1">
        <f t="array" aca="1" ref="C88" ca="1">_xll.d.Logic_And(T103:X119)</f>
        <v>OK</v>
      </c>
    </row>
    <row r="90" spans="2:72" x14ac:dyDescent="0.25">
      <c r="B90" s="60" t="s">
        <v>121</v>
      </c>
      <c r="C90" s="60" t="s">
        <v>33</v>
      </c>
    </row>
    <row r="91" spans="2:72" x14ac:dyDescent="0.25">
      <c r="B91" s="110" t="s">
        <v>115</v>
      </c>
      <c r="C91" s="111" t="s">
        <v>125</v>
      </c>
    </row>
    <row r="92" spans="2:72" x14ac:dyDescent="0.25">
      <c r="B92" s="104" t="s">
        <v>117</v>
      </c>
      <c r="C92" s="105" t="s">
        <v>0</v>
      </c>
    </row>
    <row r="93" spans="2:72" x14ac:dyDescent="0.25">
      <c r="B93" s="106"/>
      <c r="C93" s="107" t="s">
        <v>118</v>
      </c>
    </row>
    <row r="94" spans="2:72" x14ac:dyDescent="0.25">
      <c r="B94" s="108"/>
      <c r="C94" s="109" t="s">
        <v>119</v>
      </c>
    </row>
    <row r="95" spans="2:72" x14ac:dyDescent="0.25">
      <c r="B95" s="179" t="s">
        <v>141</v>
      </c>
      <c r="C95" s="185">
        <v>0</v>
      </c>
    </row>
    <row r="96" spans="2:72" x14ac:dyDescent="0.25">
      <c r="B96" s="179" t="s">
        <v>142</v>
      </c>
      <c r="C96" s="185">
        <v>2</v>
      </c>
    </row>
    <row r="97" spans="2:24" x14ac:dyDescent="0.25">
      <c r="B97" s="162" t="s">
        <v>129</v>
      </c>
      <c r="C97" s="161"/>
    </row>
    <row r="99" spans="2:24" x14ac:dyDescent="0.25">
      <c r="B99" t="s">
        <v>97</v>
      </c>
    </row>
    <row r="101" spans="2:24" x14ac:dyDescent="0.25">
      <c r="B101" s="82" t="s">
        <v>94</v>
      </c>
      <c r="H101" s="82" t="s">
        <v>113</v>
      </c>
      <c r="N101" s="82" t="s">
        <v>114</v>
      </c>
      <c r="T101" s="82" t="s">
        <v>150</v>
      </c>
    </row>
    <row r="103" spans="2:24" ht="15" customHeight="1" x14ac:dyDescent="0.25">
      <c r="B103" s="254" t="s">
        <v>99</v>
      </c>
      <c r="C103" s="213" t="s">
        <v>35</v>
      </c>
      <c r="D103" s="204">
        <v>44562</v>
      </c>
      <c r="E103" s="207">
        <v>44593</v>
      </c>
      <c r="F103" s="226">
        <v>44621</v>
      </c>
      <c r="H103" s="112" t="s">
        <v>99</v>
      </c>
      <c r="I103" s="112" t="s">
        <v>35</v>
      </c>
      <c r="J103" s="148">
        <v>44562</v>
      </c>
      <c r="K103" s="148">
        <v>44593</v>
      </c>
      <c r="L103" s="148">
        <v>44621</v>
      </c>
      <c r="N103" s="254" t="s">
        <v>99</v>
      </c>
      <c r="O103" s="213" t="s">
        <v>35</v>
      </c>
      <c r="P103" s="204">
        <v>44562</v>
      </c>
      <c r="Q103" s="207">
        <v>44593</v>
      </c>
      <c r="R103" s="226">
        <v>44621</v>
      </c>
      <c r="T103" s="211" t="str" cm="1">
        <f t="array" aca="1" ref="T103" ca="1">_xll.d.Logic_IsTrue(_xll.d.Formatting_Equal(B103,N103))</f>
        <v>OK</v>
      </c>
      <c r="U103" s="211" t="str" cm="1">
        <f t="array" aca="1" ref="U103" ca="1">_xll.d.Logic_IsTrue(_xll.d.Formatting_Equal(C103,O103))</f>
        <v>OK</v>
      </c>
      <c r="V103" s="211" t="str" cm="1">
        <f t="array" aca="1" ref="V103" ca="1">_xll.d.Logic_IsTrue(_xll.d.Formatting_Equal(D103,P103))</f>
        <v>OK</v>
      </c>
      <c r="W103" s="211" t="str" cm="1">
        <f t="array" aca="1" ref="W103" ca="1">_xll.d.Logic_IsTrue(_xll.d.Formatting_Equal(E103,Q103))</f>
        <v>OK</v>
      </c>
      <c r="X103" s="211" t="str" cm="1">
        <f t="array" aca="1" ref="X103" ca="1">_xll.d.Logic_IsTrue(_xll.d.Formatting_Equal(F103,R103))</f>
        <v>OK</v>
      </c>
    </row>
    <row r="104" spans="2:24" x14ac:dyDescent="0.25">
      <c r="B104" s="255"/>
      <c r="C104" s="214" t="s">
        <v>0</v>
      </c>
      <c r="D104" s="205">
        <v>44562</v>
      </c>
      <c r="E104" s="208">
        <v>44593</v>
      </c>
      <c r="F104" s="227">
        <v>44621</v>
      </c>
      <c r="H104" s="112"/>
      <c r="I104" s="112" t="s">
        <v>0</v>
      </c>
      <c r="J104" s="148">
        <v>44562</v>
      </c>
      <c r="K104" s="148">
        <v>44593</v>
      </c>
      <c r="L104" s="148">
        <v>44621</v>
      </c>
      <c r="N104" s="255"/>
      <c r="O104" s="214" t="s">
        <v>0</v>
      </c>
      <c r="P104" s="205">
        <v>44562</v>
      </c>
      <c r="Q104" s="208">
        <v>44593</v>
      </c>
      <c r="R104" s="227">
        <v>44621</v>
      </c>
      <c r="T104" s="211" t="str" cm="1">
        <f t="array" aca="1" ref="T104" ca="1">_xll.d.Logic_IsTrue(_xll.d.Formatting_Equal(B104,N104))</f>
        <v>OK</v>
      </c>
      <c r="U104" s="211" t="str" cm="1">
        <f t="array" aca="1" ref="U104" ca="1">_xll.d.Logic_IsTrue(_xll.d.Formatting_Equal(C104,O104))</f>
        <v>OK</v>
      </c>
      <c r="V104" s="211" t="str" cm="1">
        <f t="array" aca="1" ref="V104" ca="1">_xll.d.Logic_IsTrue(_xll.d.Formatting_Equal(D104,P104))</f>
        <v>OK</v>
      </c>
      <c r="W104" s="211" t="str" cm="1">
        <f t="array" aca="1" ref="W104" ca="1">_xll.d.Logic_IsTrue(_xll.d.Formatting_Equal(E104,Q104))</f>
        <v>OK</v>
      </c>
      <c r="X104" s="211" t="str" cm="1">
        <f t="array" aca="1" ref="X104" ca="1">_xll.d.Logic_IsTrue(_xll.d.Formatting_Equal(F104,R104))</f>
        <v>OK</v>
      </c>
    </row>
    <row r="105" spans="2:24" x14ac:dyDescent="0.25">
      <c r="B105" s="255"/>
      <c r="C105" s="214" t="s">
        <v>100</v>
      </c>
      <c r="D105" s="216">
        <v>1000</v>
      </c>
      <c r="E105" s="187">
        <v>2000</v>
      </c>
      <c r="F105" s="217">
        <v>3000</v>
      </c>
      <c r="H105" s="112"/>
      <c r="I105" s="112" t="s">
        <v>100</v>
      </c>
      <c r="J105" s="148">
        <v>1000</v>
      </c>
      <c r="K105" s="148">
        <v>2000</v>
      </c>
      <c r="L105" s="148">
        <v>3000</v>
      </c>
      <c r="N105" s="255"/>
      <c r="O105" s="214" t="s">
        <v>100</v>
      </c>
      <c r="P105" s="216">
        <v>1000</v>
      </c>
      <c r="Q105" s="187">
        <v>2000</v>
      </c>
      <c r="R105" s="217">
        <v>3000</v>
      </c>
      <c r="T105" s="211" t="str" cm="1">
        <f t="array" aca="1" ref="T105" ca="1">_xll.d.Logic_IsTrue(_xll.d.Formatting_Equal(B105,N105))</f>
        <v>OK</v>
      </c>
      <c r="U105" s="211" t="str" cm="1">
        <f t="array" aca="1" ref="U105" ca="1">_xll.d.Logic_IsTrue(_xll.d.Formatting_Equal(C105,O105))</f>
        <v>OK</v>
      </c>
      <c r="V105" s="211" t="str" cm="1">
        <f t="array" aca="1" ref="V105" ca="1">_xll.d.Logic_IsTrue(_xll.d.Formatting_Equal(D105,P105))</f>
        <v>OK</v>
      </c>
      <c r="W105" s="211" t="str" cm="1">
        <f t="array" aca="1" ref="W105" ca="1">_xll.d.Logic_IsTrue(_xll.d.Formatting_Equal(E105,Q105))</f>
        <v>OK</v>
      </c>
      <c r="X105" s="211" t="str" cm="1">
        <f t="array" aca="1" ref="X105" ca="1">_xll.d.Logic_IsTrue(_xll.d.Formatting_Equal(F105,R105))</f>
        <v>OK</v>
      </c>
    </row>
    <row r="106" spans="2:24" x14ac:dyDescent="0.25">
      <c r="B106" s="255"/>
      <c r="C106" s="214" t="s">
        <v>101</v>
      </c>
      <c r="D106" s="218">
        <v>1000</v>
      </c>
      <c r="E106" s="190">
        <v>2000</v>
      </c>
      <c r="F106" s="219">
        <v>3000</v>
      </c>
      <c r="H106" s="112"/>
      <c r="I106" s="112" t="s">
        <v>101</v>
      </c>
      <c r="J106" s="148">
        <v>1000</v>
      </c>
      <c r="K106" s="148">
        <v>2000</v>
      </c>
      <c r="L106" s="148">
        <v>3000</v>
      </c>
      <c r="N106" s="255"/>
      <c r="O106" s="214" t="s">
        <v>101</v>
      </c>
      <c r="P106" s="218">
        <v>1000</v>
      </c>
      <c r="Q106" s="190">
        <v>2000</v>
      </c>
      <c r="R106" s="219">
        <v>3000</v>
      </c>
      <c r="T106" s="211" t="str" cm="1">
        <f t="array" aca="1" ref="T106" ca="1">_xll.d.Logic_IsTrue(_xll.d.Formatting_Equal(B106,N106))</f>
        <v>OK</v>
      </c>
      <c r="U106" s="211" t="str" cm="1">
        <f t="array" aca="1" ref="U106" ca="1">_xll.d.Logic_IsTrue(_xll.d.Formatting_Equal(C106,O106))</f>
        <v>OK</v>
      </c>
      <c r="V106" s="211" t="str" cm="1">
        <f t="array" aca="1" ref="V106" ca="1">_xll.d.Logic_IsTrue(_xll.d.Formatting_Equal(D106,P106))</f>
        <v>OK</v>
      </c>
      <c r="W106" s="211" t="str" cm="1">
        <f t="array" aca="1" ref="W106" ca="1">_xll.d.Logic_IsTrue(_xll.d.Formatting_Equal(E106,Q106))</f>
        <v>OK</v>
      </c>
      <c r="X106" s="211" t="str" cm="1">
        <f t="array" aca="1" ref="X106" ca="1">_xll.d.Logic_IsTrue(_xll.d.Formatting_Equal(F106,R106))</f>
        <v>OK</v>
      </c>
    </row>
    <row r="107" spans="2:24" x14ac:dyDescent="0.25">
      <c r="B107" s="255"/>
      <c r="C107" s="214" t="s">
        <v>102</v>
      </c>
      <c r="D107" s="220">
        <v>1000</v>
      </c>
      <c r="E107" s="193">
        <v>2000</v>
      </c>
      <c r="F107" s="221">
        <v>3000</v>
      </c>
      <c r="H107" s="112"/>
      <c r="I107" s="112" t="s">
        <v>102</v>
      </c>
      <c r="J107" s="148">
        <v>1000</v>
      </c>
      <c r="K107" s="148">
        <v>2000</v>
      </c>
      <c r="L107" s="148">
        <v>3000</v>
      </c>
      <c r="N107" s="255"/>
      <c r="O107" s="214" t="s">
        <v>102</v>
      </c>
      <c r="P107" s="220">
        <v>1000</v>
      </c>
      <c r="Q107" s="193">
        <v>2000</v>
      </c>
      <c r="R107" s="221">
        <v>3000</v>
      </c>
      <c r="T107" s="211" t="str" cm="1">
        <f t="array" aca="1" ref="T107" ca="1">_xll.d.Logic_IsTrue(_xll.d.Formatting_Equal(B107,N107))</f>
        <v>OK</v>
      </c>
      <c r="U107" s="211" t="str" cm="1">
        <f t="array" aca="1" ref="U107" ca="1">_xll.d.Logic_IsTrue(_xll.d.Formatting_Equal(C107,O107))</f>
        <v>OK</v>
      </c>
      <c r="V107" s="211" t="str" cm="1">
        <f t="array" aca="1" ref="V107" ca="1">_xll.d.Logic_IsTrue(_xll.d.Formatting_Equal(D107,P107))</f>
        <v>OK</v>
      </c>
      <c r="W107" s="211" t="str" cm="1">
        <f t="array" aca="1" ref="W107" ca="1">_xll.d.Logic_IsTrue(_xll.d.Formatting_Equal(E107,Q107))</f>
        <v>OK</v>
      </c>
      <c r="X107" s="211" t="str" cm="1">
        <f t="array" aca="1" ref="X107" ca="1">_xll.d.Logic_IsTrue(_xll.d.Formatting_Equal(F107,R107))</f>
        <v>OK</v>
      </c>
    </row>
    <row r="108" spans="2:24" x14ac:dyDescent="0.25">
      <c r="B108" s="255"/>
      <c r="C108" s="214" t="s">
        <v>103</v>
      </c>
      <c r="D108" s="222">
        <v>1000</v>
      </c>
      <c r="E108" s="196">
        <v>2000</v>
      </c>
      <c r="F108" s="223">
        <v>3000</v>
      </c>
      <c r="H108" s="112"/>
      <c r="I108" s="112" t="s">
        <v>103</v>
      </c>
      <c r="J108" s="148">
        <v>1000</v>
      </c>
      <c r="K108" s="148">
        <v>2000</v>
      </c>
      <c r="L108" s="148">
        <v>3000</v>
      </c>
      <c r="N108" s="255"/>
      <c r="O108" s="214" t="s">
        <v>103</v>
      </c>
      <c r="P108" s="222">
        <v>1000</v>
      </c>
      <c r="Q108" s="196">
        <v>2000</v>
      </c>
      <c r="R108" s="223">
        <v>3000</v>
      </c>
      <c r="T108" s="211" t="str" cm="1">
        <f t="array" aca="1" ref="T108" ca="1">_xll.d.Logic_IsTrue(_xll.d.Formatting_Equal(B108,N108))</f>
        <v>OK</v>
      </c>
      <c r="U108" s="211" t="str" cm="1">
        <f t="array" aca="1" ref="U108" ca="1">_xll.d.Logic_IsTrue(_xll.d.Formatting_Equal(C108,O108))</f>
        <v>OK</v>
      </c>
      <c r="V108" s="211" t="str" cm="1">
        <f t="array" aca="1" ref="V108" ca="1">_xll.d.Logic_IsTrue(_xll.d.Formatting_Equal(D108,P108))</f>
        <v>OK</v>
      </c>
      <c r="W108" s="211" t="str" cm="1">
        <f t="array" aca="1" ref="W108" ca="1">_xll.d.Logic_IsTrue(_xll.d.Formatting_Equal(E108,Q108))</f>
        <v>OK</v>
      </c>
      <c r="X108" s="211" t="str" cm="1">
        <f t="array" aca="1" ref="X108" ca="1">_xll.d.Logic_IsTrue(_xll.d.Formatting_Equal(F108,R108))</f>
        <v>OK</v>
      </c>
    </row>
    <row r="109" spans="2:24" x14ac:dyDescent="0.25">
      <c r="B109" s="255"/>
      <c r="C109" s="214" t="s">
        <v>104</v>
      </c>
      <c r="D109" s="224">
        <v>0.3</v>
      </c>
      <c r="E109" s="199">
        <v>0.4</v>
      </c>
      <c r="F109" s="202">
        <v>0.5</v>
      </c>
      <c r="H109" s="112"/>
      <c r="I109" s="112" t="s">
        <v>104</v>
      </c>
      <c r="J109" s="147">
        <v>0.3</v>
      </c>
      <c r="K109" s="147">
        <v>0.4</v>
      </c>
      <c r="L109" s="147">
        <v>0.5</v>
      </c>
      <c r="N109" s="255"/>
      <c r="O109" s="214" t="s">
        <v>104</v>
      </c>
      <c r="P109" s="224">
        <v>0.3</v>
      </c>
      <c r="Q109" s="199">
        <v>0.4</v>
      </c>
      <c r="R109" s="202">
        <v>0.5</v>
      </c>
      <c r="T109" s="211" t="str" cm="1">
        <f t="array" aca="1" ref="T109" ca="1">_xll.d.Logic_IsTrue(_xll.d.Formatting_Equal(B109,N109))</f>
        <v>OK</v>
      </c>
      <c r="U109" s="211" t="str" cm="1">
        <f t="array" aca="1" ref="U109" ca="1">_xll.d.Logic_IsTrue(_xll.d.Formatting_Equal(C109,O109))</f>
        <v>OK</v>
      </c>
      <c r="V109" s="211" t="str" cm="1">
        <f t="array" aca="1" ref="V109" ca="1">_xll.d.Logic_IsTrue(_xll.d.Formatting_Equal(D109,P109))</f>
        <v>OK</v>
      </c>
      <c r="W109" s="211" t="str" cm="1">
        <f t="array" aca="1" ref="W109" ca="1">_xll.d.Logic_IsTrue(_xll.d.Formatting_Equal(E109,Q109))</f>
        <v>OK</v>
      </c>
      <c r="X109" s="211" t="str" cm="1">
        <f t="array" aca="1" ref="X109" ca="1">_xll.d.Logic_IsTrue(_xll.d.Formatting_Equal(F109,R109))</f>
        <v>OK</v>
      </c>
    </row>
    <row r="110" spans="2:24" x14ac:dyDescent="0.25">
      <c r="B110" s="255"/>
      <c r="C110" s="214" t="s">
        <v>83</v>
      </c>
      <c r="D110" s="224">
        <v>0.3</v>
      </c>
      <c r="E110" s="199">
        <v>0.4</v>
      </c>
      <c r="F110" s="202">
        <v>0.5</v>
      </c>
      <c r="H110" s="112"/>
      <c r="I110" s="112" t="s">
        <v>83</v>
      </c>
      <c r="J110" s="147">
        <v>0.3</v>
      </c>
      <c r="K110" s="147">
        <v>0.4</v>
      </c>
      <c r="L110" s="147">
        <v>0.5</v>
      </c>
      <c r="N110" s="255"/>
      <c r="O110" s="214" t="s">
        <v>83</v>
      </c>
      <c r="P110" s="224">
        <v>0.3</v>
      </c>
      <c r="Q110" s="199">
        <v>0.4</v>
      </c>
      <c r="R110" s="202">
        <v>0.5</v>
      </c>
      <c r="T110" s="211" t="str" cm="1">
        <f t="array" aca="1" ref="T110" ca="1">_xll.d.Logic_IsTrue(_xll.d.Formatting_Equal(B110,N110))</f>
        <v>OK</v>
      </c>
      <c r="U110" s="211" t="str" cm="1">
        <f t="array" aca="1" ref="U110" ca="1">_xll.d.Logic_IsTrue(_xll.d.Formatting_Equal(C110,O110))</f>
        <v>OK</v>
      </c>
      <c r="V110" s="211" t="str" cm="1">
        <f t="array" aca="1" ref="V110" ca="1">_xll.d.Logic_IsTrue(_xll.d.Formatting_Equal(D110,P110))</f>
        <v>OK</v>
      </c>
      <c r="W110" s="211" t="str" cm="1">
        <f t="array" aca="1" ref="W110" ca="1">_xll.d.Logic_IsTrue(_xll.d.Formatting_Equal(E110,Q110))</f>
        <v>OK</v>
      </c>
      <c r="X110" s="211" t="str" cm="1">
        <f t="array" aca="1" ref="X110" ca="1">_xll.d.Logic_IsTrue(_xll.d.Formatting_Equal(F110,R110))</f>
        <v>OK</v>
      </c>
    </row>
    <row r="111" spans="2:24" x14ac:dyDescent="0.25">
      <c r="B111" s="255"/>
      <c r="C111" s="214" t="s">
        <v>84</v>
      </c>
      <c r="D111" s="224">
        <v>0.3</v>
      </c>
      <c r="E111" s="199">
        <v>0.4</v>
      </c>
      <c r="F111" s="202">
        <v>0.5</v>
      </c>
      <c r="H111" s="112"/>
      <c r="I111" s="112" t="s">
        <v>84</v>
      </c>
      <c r="J111" s="147">
        <v>0.3</v>
      </c>
      <c r="K111" s="147">
        <v>0.4</v>
      </c>
      <c r="L111" s="147">
        <v>0.5</v>
      </c>
      <c r="N111" s="255"/>
      <c r="O111" s="214" t="s">
        <v>84</v>
      </c>
      <c r="P111" s="224">
        <v>0.3</v>
      </c>
      <c r="Q111" s="199">
        <v>0.4</v>
      </c>
      <c r="R111" s="202">
        <v>0.5</v>
      </c>
      <c r="T111" s="211" t="str" cm="1">
        <f t="array" aca="1" ref="T111" ca="1">_xll.d.Logic_IsTrue(_xll.d.Formatting_Equal(B111,N111))</f>
        <v>OK</v>
      </c>
      <c r="U111" s="211" t="str" cm="1">
        <f t="array" aca="1" ref="U111" ca="1">_xll.d.Logic_IsTrue(_xll.d.Formatting_Equal(C111,O111))</f>
        <v>OK</v>
      </c>
      <c r="V111" s="211" t="str" cm="1">
        <f t="array" aca="1" ref="V111" ca="1">_xll.d.Logic_IsTrue(_xll.d.Formatting_Equal(D111,P111))</f>
        <v>OK</v>
      </c>
      <c r="W111" s="211" t="str" cm="1">
        <f t="array" aca="1" ref="W111" ca="1">_xll.d.Logic_IsTrue(_xll.d.Formatting_Equal(E111,Q111))</f>
        <v>OK</v>
      </c>
      <c r="X111" s="211" t="str" cm="1">
        <f t="array" aca="1" ref="X111" ca="1">_xll.d.Logic_IsTrue(_xll.d.Formatting_Equal(F111,R111))</f>
        <v>OK</v>
      </c>
    </row>
    <row r="112" spans="2:24" x14ac:dyDescent="0.25">
      <c r="B112" s="255"/>
      <c r="C112" s="214" t="s">
        <v>85</v>
      </c>
      <c r="D112" s="224">
        <v>0.3</v>
      </c>
      <c r="E112" s="199">
        <v>0.4</v>
      </c>
      <c r="F112" s="202">
        <v>0.5</v>
      </c>
      <c r="H112" s="112"/>
      <c r="I112" s="112" t="s">
        <v>85</v>
      </c>
      <c r="J112" s="147">
        <v>0.3</v>
      </c>
      <c r="K112" s="147">
        <v>0.4</v>
      </c>
      <c r="L112" s="147">
        <v>0.5</v>
      </c>
      <c r="N112" s="255"/>
      <c r="O112" s="214" t="s">
        <v>85</v>
      </c>
      <c r="P112" s="224">
        <v>0.3</v>
      </c>
      <c r="Q112" s="199">
        <v>0.4</v>
      </c>
      <c r="R112" s="202">
        <v>0.5</v>
      </c>
      <c r="T112" s="211" t="str" cm="1">
        <f t="array" aca="1" ref="T112" ca="1">_xll.d.Logic_IsTrue(_xll.d.Formatting_Equal(B112,N112))</f>
        <v>OK</v>
      </c>
      <c r="U112" s="211" t="str" cm="1">
        <f t="array" aca="1" ref="U112" ca="1">_xll.d.Logic_IsTrue(_xll.d.Formatting_Equal(C112,O112))</f>
        <v>OK</v>
      </c>
      <c r="V112" s="211" t="str" cm="1">
        <f t="array" aca="1" ref="V112" ca="1">_xll.d.Logic_IsTrue(_xll.d.Formatting_Equal(D112,P112))</f>
        <v>OK</v>
      </c>
      <c r="W112" s="211" t="str" cm="1">
        <f t="array" aca="1" ref="W112" ca="1">_xll.d.Logic_IsTrue(_xll.d.Formatting_Equal(E112,Q112))</f>
        <v>OK</v>
      </c>
      <c r="X112" s="211" t="str" cm="1">
        <f t="array" aca="1" ref="X112" ca="1">_xll.d.Logic_IsTrue(_xll.d.Formatting_Equal(F112,R112))</f>
        <v>OK</v>
      </c>
    </row>
    <row r="113" spans="2:55" x14ac:dyDescent="0.25">
      <c r="B113" s="255"/>
      <c r="C113" s="214" t="s">
        <v>105</v>
      </c>
      <c r="D113" s="224">
        <v>0.3</v>
      </c>
      <c r="E113" s="199">
        <v>0.4</v>
      </c>
      <c r="F113" s="202">
        <v>0.5</v>
      </c>
      <c r="H113" s="112"/>
      <c r="I113" s="112" t="s">
        <v>105</v>
      </c>
      <c r="J113" s="147">
        <v>0.3</v>
      </c>
      <c r="K113" s="147">
        <v>0.4</v>
      </c>
      <c r="L113" s="147">
        <v>0.5</v>
      </c>
      <c r="N113" s="255"/>
      <c r="O113" s="214" t="s">
        <v>105</v>
      </c>
      <c r="P113" s="224">
        <v>0.3</v>
      </c>
      <c r="Q113" s="199">
        <v>0.4</v>
      </c>
      <c r="R113" s="202">
        <v>0.5</v>
      </c>
      <c r="T113" s="211" t="str" cm="1">
        <f t="array" aca="1" ref="T113" ca="1">_xll.d.Logic_IsTrue(_xll.d.Formatting_Equal(B113,N113))</f>
        <v>OK</v>
      </c>
      <c r="U113" s="211" t="str" cm="1">
        <f t="array" aca="1" ref="U113" ca="1">_xll.d.Logic_IsTrue(_xll.d.Formatting_Equal(C113,O113))</f>
        <v>OK</v>
      </c>
      <c r="V113" s="211" t="str" cm="1">
        <f t="array" aca="1" ref="V113" ca="1">_xll.d.Logic_IsTrue(_xll.d.Formatting_Equal(D113,P113))</f>
        <v>OK</v>
      </c>
      <c r="W113" s="211" t="str" cm="1">
        <f t="array" aca="1" ref="W113" ca="1">_xll.d.Logic_IsTrue(_xll.d.Formatting_Equal(E113,Q113))</f>
        <v>OK</v>
      </c>
      <c r="X113" s="211" t="str" cm="1">
        <f t="array" aca="1" ref="X113" ca="1">_xll.d.Logic_IsTrue(_xll.d.Formatting_Equal(F113,R113))</f>
        <v>OK</v>
      </c>
    </row>
    <row r="114" spans="2:55" x14ac:dyDescent="0.25">
      <c r="B114" s="255"/>
      <c r="C114" s="214" t="s">
        <v>25</v>
      </c>
      <c r="D114" s="224">
        <v>0.3</v>
      </c>
      <c r="E114" s="199">
        <v>0.4</v>
      </c>
      <c r="F114" s="202">
        <v>0.5</v>
      </c>
      <c r="H114" s="112"/>
      <c r="I114" s="112" t="s">
        <v>25</v>
      </c>
      <c r="J114" s="147">
        <v>0.3</v>
      </c>
      <c r="K114" s="147">
        <v>0.4</v>
      </c>
      <c r="L114" s="147">
        <v>0.5</v>
      </c>
      <c r="N114" s="255"/>
      <c r="O114" s="214" t="s">
        <v>25</v>
      </c>
      <c r="P114" s="224">
        <v>0.3</v>
      </c>
      <c r="Q114" s="199">
        <v>0.4</v>
      </c>
      <c r="R114" s="202">
        <v>0.5</v>
      </c>
      <c r="T114" s="211" t="str" cm="1">
        <f t="array" aca="1" ref="T114" ca="1">_xll.d.Logic_IsTrue(_xll.d.Formatting_Equal(B114,N114))</f>
        <v>OK</v>
      </c>
      <c r="U114" s="211" t="str" cm="1">
        <f t="array" aca="1" ref="U114" ca="1">_xll.d.Logic_IsTrue(_xll.d.Formatting_Equal(C114,O114))</f>
        <v>OK</v>
      </c>
      <c r="V114" s="211" t="str" cm="1">
        <f t="array" aca="1" ref="V114" ca="1">_xll.d.Logic_IsTrue(_xll.d.Formatting_Equal(D114,P114))</f>
        <v>OK</v>
      </c>
      <c r="W114" s="211" t="str" cm="1">
        <f t="array" aca="1" ref="W114" ca="1">_xll.d.Logic_IsTrue(_xll.d.Formatting_Equal(E114,Q114))</f>
        <v>OK</v>
      </c>
      <c r="X114" s="211" t="str" cm="1">
        <f t="array" aca="1" ref="X114" ca="1">_xll.d.Logic_IsTrue(_xll.d.Formatting_Equal(F114,R114))</f>
        <v>OK</v>
      </c>
    </row>
    <row r="115" spans="2:55" x14ac:dyDescent="0.25">
      <c r="B115" s="255"/>
      <c r="C115" s="214" t="s">
        <v>40</v>
      </c>
      <c r="D115" s="224">
        <v>0.3</v>
      </c>
      <c r="E115" s="199">
        <v>0.4</v>
      </c>
      <c r="F115" s="202">
        <v>0.5</v>
      </c>
      <c r="H115" s="112"/>
      <c r="I115" s="112" t="s">
        <v>40</v>
      </c>
      <c r="J115" s="147">
        <v>0.3</v>
      </c>
      <c r="K115" s="147">
        <v>0.4</v>
      </c>
      <c r="L115" s="147">
        <v>0.5</v>
      </c>
      <c r="N115" s="255"/>
      <c r="O115" s="214" t="s">
        <v>40</v>
      </c>
      <c r="P115" s="224">
        <v>0.3</v>
      </c>
      <c r="Q115" s="199">
        <v>0.4</v>
      </c>
      <c r="R115" s="202">
        <v>0.5</v>
      </c>
      <c r="T115" s="211" t="str" cm="1">
        <f t="array" aca="1" ref="T115" ca="1">_xll.d.Logic_IsTrue(_xll.d.Formatting_Equal(B115,N115))</f>
        <v>OK</v>
      </c>
      <c r="U115" s="211" t="str" cm="1">
        <f t="array" aca="1" ref="U115" ca="1">_xll.d.Logic_IsTrue(_xll.d.Formatting_Equal(C115,O115))</f>
        <v>OK</v>
      </c>
      <c r="V115" s="211" t="str" cm="1">
        <f t="array" aca="1" ref="V115" ca="1">_xll.d.Logic_IsTrue(_xll.d.Formatting_Equal(D115,P115))</f>
        <v>OK</v>
      </c>
      <c r="W115" s="211" t="str" cm="1">
        <f t="array" aca="1" ref="W115" ca="1">_xll.d.Logic_IsTrue(_xll.d.Formatting_Equal(E115,Q115))</f>
        <v>OK</v>
      </c>
      <c r="X115" s="211" t="str" cm="1">
        <f t="array" aca="1" ref="X115" ca="1">_xll.d.Logic_IsTrue(_xll.d.Formatting_Equal(F115,R115))</f>
        <v>OK</v>
      </c>
    </row>
    <row r="116" spans="2:55" x14ac:dyDescent="0.25">
      <c r="B116" s="255"/>
      <c r="C116" s="214" t="s">
        <v>106</v>
      </c>
      <c r="D116" s="224">
        <v>0.3</v>
      </c>
      <c r="E116" s="199">
        <v>0.4</v>
      </c>
      <c r="F116" s="202">
        <v>0.5</v>
      </c>
      <c r="H116" s="112"/>
      <c r="I116" s="112" t="s">
        <v>106</v>
      </c>
      <c r="J116" s="147">
        <v>0.3</v>
      </c>
      <c r="K116" s="147">
        <v>0.4</v>
      </c>
      <c r="L116" s="147">
        <v>0.5</v>
      </c>
      <c r="N116" s="255"/>
      <c r="O116" s="214" t="s">
        <v>106</v>
      </c>
      <c r="P116" s="224">
        <v>0.3</v>
      </c>
      <c r="Q116" s="199">
        <v>0.4</v>
      </c>
      <c r="R116" s="202">
        <v>0.5</v>
      </c>
      <c r="T116" s="211" t="str" cm="1">
        <f t="array" aca="1" ref="T116" ca="1">_xll.d.Logic_IsTrue(_xll.d.Formatting_Equal(B116,N116))</f>
        <v>OK</v>
      </c>
      <c r="U116" s="211" t="str" cm="1">
        <f t="array" aca="1" ref="U116" ca="1">_xll.d.Logic_IsTrue(_xll.d.Formatting_Equal(C116,O116))</f>
        <v>OK</v>
      </c>
      <c r="V116" s="211" t="str" cm="1">
        <f t="array" aca="1" ref="V116" ca="1">_xll.d.Logic_IsTrue(_xll.d.Formatting_Equal(D116,P116))</f>
        <v>OK</v>
      </c>
      <c r="W116" s="211" t="str" cm="1">
        <f t="array" aca="1" ref="W116" ca="1">_xll.d.Logic_IsTrue(_xll.d.Formatting_Equal(E116,Q116))</f>
        <v>OK</v>
      </c>
      <c r="X116" s="211" t="str" cm="1">
        <f t="array" aca="1" ref="X116" ca="1">_xll.d.Logic_IsTrue(_xll.d.Formatting_Equal(F116,R116))</f>
        <v>OK</v>
      </c>
    </row>
    <row r="117" spans="2:55" x14ac:dyDescent="0.25">
      <c r="B117" s="255"/>
      <c r="C117" s="214" t="s">
        <v>98</v>
      </c>
      <c r="D117" s="224">
        <v>0.3</v>
      </c>
      <c r="E117" s="199">
        <v>0.4</v>
      </c>
      <c r="F117" s="202">
        <v>0.5</v>
      </c>
      <c r="H117" s="112"/>
      <c r="I117" s="112" t="s">
        <v>98</v>
      </c>
      <c r="J117" s="147">
        <v>0.3</v>
      </c>
      <c r="K117" s="147">
        <v>0.4</v>
      </c>
      <c r="L117" s="147">
        <v>0.5</v>
      </c>
      <c r="N117" s="255"/>
      <c r="O117" s="214" t="s">
        <v>98</v>
      </c>
      <c r="P117" s="224">
        <v>0.3</v>
      </c>
      <c r="Q117" s="199">
        <v>0.4</v>
      </c>
      <c r="R117" s="202">
        <v>0.5</v>
      </c>
      <c r="T117" s="211" t="str" cm="1">
        <f t="array" aca="1" ref="T117" ca="1">_xll.d.Logic_IsTrue(_xll.d.Formatting_Equal(B117,N117))</f>
        <v>OK</v>
      </c>
      <c r="U117" s="211" t="str" cm="1">
        <f t="array" aca="1" ref="U117" ca="1">_xll.d.Logic_IsTrue(_xll.d.Formatting_Equal(C117,O117))</f>
        <v>OK</v>
      </c>
      <c r="V117" s="211" t="str" cm="1">
        <f t="array" aca="1" ref="V117" ca="1">_xll.d.Logic_IsTrue(_xll.d.Formatting_Equal(D117,P117))</f>
        <v>OK</v>
      </c>
      <c r="W117" s="211" t="str" cm="1">
        <f t="array" aca="1" ref="W117" ca="1">_xll.d.Logic_IsTrue(_xll.d.Formatting_Equal(E117,Q117))</f>
        <v>OK</v>
      </c>
      <c r="X117" s="211" t="str" cm="1">
        <f t="array" aca="1" ref="X117" ca="1">_xll.d.Logic_IsTrue(_xll.d.Formatting_Equal(F117,R117))</f>
        <v>OK</v>
      </c>
    </row>
    <row r="118" spans="2:55" x14ac:dyDescent="0.25">
      <c r="B118" s="255"/>
      <c r="C118" s="214" t="s">
        <v>108</v>
      </c>
      <c r="D118" s="224">
        <v>0.3</v>
      </c>
      <c r="E118" s="199">
        <v>0.4</v>
      </c>
      <c r="F118" s="202">
        <v>0.5</v>
      </c>
      <c r="H118" s="112"/>
      <c r="I118" s="112" t="s">
        <v>108</v>
      </c>
      <c r="J118" s="147">
        <v>0.3</v>
      </c>
      <c r="K118" s="147">
        <v>0.4</v>
      </c>
      <c r="L118" s="147">
        <v>0.5</v>
      </c>
      <c r="N118" s="255"/>
      <c r="O118" s="214" t="s">
        <v>108</v>
      </c>
      <c r="P118" s="224">
        <v>0.3</v>
      </c>
      <c r="Q118" s="199">
        <v>0.4</v>
      </c>
      <c r="R118" s="202">
        <v>0.5</v>
      </c>
      <c r="T118" s="211" t="str" cm="1">
        <f t="array" aca="1" ref="T118" ca="1">_xll.d.Logic_IsTrue(_xll.d.Formatting_Equal(B118,N118))</f>
        <v>OK</v>
      </c>
      <c r="U118" s="211" t="str" cm="1">
        <f t="array" aca="1" ref="U118" ca="1">_xll.d.Logic_IsTrue(_xll.d.Formatting_Equal(C118,O118))</f>
        <v>OK</v>
      </c>
      <c r="V118" s="211" t="str" cm="1">
        <f t="array" aca="1" ref="V118" ca="1">_xll.d.Logic_IsTrue(_xll.d.Formatting_Equal(D118,P118))</f>
        <v>OK</v>
      </c>
      <c r="W118" s="211" t="str" cm="1">
        <f t="array" aca="1" ref="W118" ca="1">_xll.d.Logic_IsTrue(_xll.d.Formatting_Equal(E118,Q118))</f>
        <v>OK</v>
      </c>
      <c r="X118" s="211" t="str" cm="1">
        <f t="array" aca="1" ref="X118" ca="1">_xll.d.Logic_IsTrue(_xll.d.Formatting_Equal(F118,R118))</f>
        <v>OK</v>
      </c>
    </row>
    <row r="119" spans="2:55" x14ac:dyDescent="0.25">
      <c r="B119" s="256"/>
      <c r="C119" s="215" t="s">
        <v>107</v>
      </c>
      <c r="D119" s="225">
        <v>0.3</v>
      </c>
      <c r="E119" s="200">
        <v>0.4</v>
      </c>
      <c r="F119" s="203">
        <v>0.5</v>
      </c>
      <c r="H119" s="112"/>
      <c r="I119" s="112" t="s">
        <v>107</v>
      </c>
      <c r="J119" s="147">
        <v>0.3</v>
      </c>
      <c r="K119" s="147">
        <v>0.4</v>
      </c>
      <c r="L119" s="147">
        <v>0.5</v>
      </c>
      <c r="N119" s="256"/>
      <c r="O119" s="215" t="s">
        <v>107</v>
      </c>
      <c r="P119" s="225">
        <v>0.3</v>
      </c>
      <c r="Q119" s="200">
        <v>0.4</v>
      </c>
      <c r="R119" s="203">
        <v>0.5</v>
      </c>
      <c r="T119" s="211" t="str" cm="1">
        <f t="array" aca="1" ref="T119" ca="1">_xll.d.Logic_IsTrue(_xll.d.Formatting_Equal(B119,N119))</f>
        <v>OK</v>
      </c>
      <c r="U119" s="211" t="str" cm="1">
        <f t="array" aca="1" ref="U119" ca="1">_xll.d.Logic_IsTrue(_xll.d.Formatting_Equal(C119,O119))</f>
        <v>OK</v>
      </c>
      <c r="V119" s="211" t="str" cm="1">
        <f t="array" aca="1" ref="V119" ca="1">_xll.d.Logic_IsTrue(_xll.d.Formatting_Equal(D119,P119))</f>
        <v>OK</v>
      </c>
      <c r="W119" s="211" t="str" cm="1">
        <f t="array" aca="1" ref="W119" ca="1">_xll.d.Logic_IsTrue(_xll.d.Formatting_Equal(E119,Q119))</f>
        <v>OK</v>
      </c>
      <c r="X119" s="211" t="str" cm="1">
        <f t="array" aca="1" ref="X119" ca="1">_xll.d.Logic_IsTrue(_xll.d.Formatting_Equal(F119,R119))</f>
        <v>OK</v>
      </c>
    </row>
    <row r="122" spans="2:55" ht="18.75" x14ac:dyDescent="0.3">
      <c r="B122" s="91" t="s">
        <v>131</v>
      </c>
      <c r="C122" s="89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</row>
    <row r="124" spans="2:55" x14ac:dyDescent="0.25">
      <c r="B124" s="60" t="s">
        <v>147</v>
      </c>
      <c r="C124" s="211" t="str" cm="1">
        <f t="array" aca="1" ref="C124" ca="1">_xll.d.Logic_And(T139:X155)</f>
        <v>OK</v>
      </c>
    </row>
    <row r="126" spans="2:55" x14ac:dyDescent="0.25">
      <c r="B126" s="60" t="s">
        <v>121</v>
      </c>
      <c r="C126" s="60" t="s">
        <v>33</v>
      </c>
    </row>
    <row r="127" spans="2:55" x14ac:dyDescent="0.25">
      <c r="B127" s="110" t="s">
        <v>115</v>
      </c>
      <c r="C127" s="111" t="s">
        <v>125</v>
      </c>
    </row>
    <row r="128" spans="2:55" x14ac:dyDescent="0.25">
      <c r="B128" s="104" t="s">
        <v>117</v>
      </c>
      <c r="C128" s="105" t="s">
        <v>0</v>
      </c>
    </row>
    <row r="129" spans="2:24" x14ac:dyDescent="0.25">
      <c r="B129" s="106"/>
      <c r="C129" s="107" t="s">
        <v>118</v>
      </c>
    </row>
    <row r="130" spans="2:24" x14ac:dyDescent="0.25">
      <c r="B130" s="108"/>
      <c r="C130" s="109" t="s">
        <v>119</v>
      </c>
    </row>
    <row r="131" spans="2:24" x14ac:dyDescent="0.25">
      <c r="B131" s="179" t="s">
        <v>141</v>
      </c>
      <c r="C131" s="185">
        <v>0</v>
      </c>
    </row>
    <row r="132" spans="2:24" x14ac:dyDescent="0.25">
      <c r="B132" s="179" t="s">
        <v>142</v>
      </c>
      <c r="C132" s="185">
        <v>2</v>
      </c>
    </row>
    <row r="133" spans="2:24" x14ac:dyDescent="0.25">
      <c r="B133" s="162" t="s">
        <v>129</v>
      </c>
      <c r="C133" s="163"/>
    </row>
    <row r="135" spans="2:24" x14ac:dyDescent="0.25">
      <c r="B135" t="s">
        <v>130</v>
      </c>
    </row>
    <row r="137" spans="2:24" x14ac:dyDescent="0.25">
      <c r="B137" s="82" t="s">
        <v>94</v>
      </c>
      <c r="H137" s="82" t="s">
        <v>113</v>
      </c>
      <c r="N137" s="82" t="s">
        <v>114</v>
      </c>
      <c r="T137" s="82" t="s">
        <v>150</v>
      </c>
    </row>
    <row r="139" spans="2:24" ht="15" customHeight="1" x14ac:dyDescent="0.25">
      <c r="B139" s="168" t="s">
        <v>99</v>
      </c>
      <c r="C139" s="168" t="s">
        <v>35</v>
      </c>
      <c r="D139" s="168">
        <v>44562</v>
      </c>
      <c r="E139" s="168">
        <v>44593</v>
      </c>
      <c r="F139" s="168">
        <v>44621</v>
      </c>
      <c r="H139" s="257" t="s">
        <v>99</v>
      </c>
      <c r="I139" s="113" t="s">
        <v>35</v>
      </c>
      <c r="J139" s="94">
        <v>44562</v>
      </c>
      <c r="K139" s="98">
        <v>44593</v>
      </c>
      <c r="L139" s="116">
        <v>44621</v>
      </c>
      <c r="N139" s="168" t="s">
        <v>99</v>
      </c>
      <c r="O139" s="168" t="s">
        <v>35</v>
      </c>
      <c r="P139" s="168">
        <v>44562</v>
      </c>
      <c r="Q139" s="168">
        <v>44593</v>
      </c>
      <c r="R139" s="168">
        <v>44621</v>
      </c>
      <c r="T139" s="211" t="str" cm="1">
        <f t="array" aca="1" ref="T139" ca="1">_xll.d.Logic_IsTrue(_xll.d.Formatting_Equal(B139,N139))</f>
        <v>OK</v>
      </c>
      <c r="U139" s="211" t="str" cm="1">
        <f t="array" aca="1" ref="U139" ca="1">_xll.d.Logic_IsTrue(_xll.d.Formatting_Equal(C139,O139))</f>
        <v>OK</v>
      </c>
      <c r="V139" s="211" t="str" cm="1">
        <f t="array" aca="1" ref="V139" ca="1">_xll.d.Logic_IsTrue(_xll.d.Formatting_Equal(D139,P139))</f>
        <v>OK</v>
      </c>
      <c r="W139" s="211" t="str" cm="1">
        <f t="array" aca="1" ref="W139" ca="1">_xll.d.Logic_IsTrue(_xll.d.Formatting_Equal(E139,Q139))</f>
        <v>OK</v>
      </c>
      <c r="X139" s="211" t="str" cm="1">
        <f t="array" aca="1" ref="X139" ca="1">_xll.d.Logic_IsTrue(_xll.d.Formatting_Equal(F139,R139))</f>
        <v>OK</v>
      </c>
    </row>
    <row r="140" spans="2:24" x14ac:dyDescent="0.25">
      <c r="B140" s="169"/>
      <c r="C140" s="168" t="s">
        <v>0</v>
      </c>
      <c r="D140" s="168">
        <v>44562</v>
      </c>
      <c r="E140" s="168">
        <v>44593</v>
      </c>
      <c r="F140" s="168">
        <v>44621</v>
      </c>
      <c r="H140" s="258"/>
      <c r="I140" s="114" t="s">
        <v>0</v>
      </c>
      <c r="J140" s="95">
        <v>44562</v>
      </c>
      <c r="K140" s="99">
        <v>44593</v>
      </c>
      <c r="L140" s="117">
        <v>44621</v>
      </c>
      <c r="N140" s="169"/>
      <c r="O140" s="168" t="s">
        <v>0</v>
      </c>
      <c r="P140" s="168">
        <v>44562</v>
      </c>
      <c r="Q140" s="168">
        <v>44593</v>
      </c>
      <c r="R140" s="168">
        <v>44621</v>
      </c>
      <c r="T140" s="211" t="str" cm="1">
        <f t="array" aca="1" ref="T140" ca="1">_xll.d.Logic_IsTrue(_xll.d.Formatting_Equal(B140,N140))</f>
        <v>OK</v>
      </c>
      <c r="U140" s="211" t="str" cm="1">
        <f t="array" aca="1" ref="U140" ca="1">_xll.d.Logic_IsTrue(_xll.d.Formatting_Equal(C140,O140))</f>
        <v>OK</v>
      </c>
      <c r="V140" s="211" t="str" cm="1">
        <f t="array" aca="1" ref="V140" ca="1">_xll.d.Logic_IsTrue(_xll.d.Formatting_Equal(D140,P140))</f>
        <v>OK</v>
      </c>
      <c r="W140" s="211" t="str" cm="1">
        <f t="array" aca="1" ref="W140" ca="1">_xll.d.Logic_IsTrue(_xll.d.Formatting_Equal(E140,Q140))</f>
        <v>OK</v>
      </c>
      <c r="X140" s="211" t="str" cm="1">
        <f t="array" aca="1" ref="X140" ca="1">_xll.d.Logic_IsTrue(_xll.d.Formatting_Equal(F140,R140))</f>
        <v>OK</v>
      </c>
    </row>
    <row r="141" spans="2:24" x14ac:dyDescent="0.25">
      <c r="B141" s="169"/>
      <c r="C141" s="168" t="s">
        <v>100</v>
      </c>
      <c r="D141" s="169">
        <v>1000</v>
      </c>
      <c r="E141" s="169">
        <v>2000</v>
      </c>
      <c r="F141" s="169">
        <v>3000</v>
      </c>
      <c r="H141" s="258"/>
      <c r="I141" s="114" t="s">
        <v>100</v>
      </c>
      <c r="J141" s="118">
        <v>1000</v>
      </c>
      <c r="K141" s="100">
        <v>2000</v>
      </c>
      <c r="L141" s="119">
        <v>3000</v>
      </c>
      <c r="N141" s="169"/>
      <c r="O141" s="168" t="s">
        <v>100</v>
      </c>
      <c r="P141" s="169">
        <v>1000</v>
      </c>
      <c r="Q141" s="169">
        <v>2000</v>
      </c>
      <c r="R141" s="169">
        <v>3000</v>
      </c>
      <c r="T141" s="211" t="str" cm="1">
        <f t="array" aca="1" ref="T141" ca="1">_xll.d.Logic_IsTrue(_xll.d.Formatting_Equal(B141,N141))</f>
        <v>OK</v>
      </c>
      <c r="U141" s="211" t="str" cm="1">
        <f t="array" aca="1" ref="U141" ca="1">_xll.d.Logic_IsTrue(_xll.d.Formatting_Equal(C141,O141))</f>
        <v>OK</v>
      </c>
      <c r="V141" s="211" t="str" cm="1">
        <f t="array" aca="1" ref="V141" ca="1">_xll.d.Logic_IsTrue(_xll.d.Formatting_Equal(D141,P141))</f>
        <v>OK</v>
      </c>
      <c r="W141" s="211" t="str" cm="1">
        <f t="array" aca="1" ref="W141" ca="1">_xll.d.Logic_IsTrue(_xll.d.Formatting_Equal(E141,Q141))</f>
        <v>OK</v>
      </c>
      <c r="X141" s="211" t="str" cm="1">
        <f t="array" aca="1" ref="X141" ca="1">_xll.d.Logic_IsTrue(_xll.d.Formatting_Equal(F141,R141))</f>
        <v>OK</v>
      </c>
    </row>
    <row r="142" spans="2:24" x14ac:dyDescent="0.25">
      <c r="B142" s="169"/>
      <c r="C142" s="168" t="s">
        <v>101</v>
      </c>
      <c r="D142" s="169">
        <v>1000</v>
      </c>
      <c r="E142" s="169">
        <v>2000</v>
      </c>
      <c r="F142" s="169">
        <v>3000</v>
      </c>
      <c r="H142" s="258"/>
      <c r="I142" s="114" t="s">
        <v>101</v>
      </c>
      <c r="J142" s="118">
        <v>1000</v>
      </c>
      <c r="K142" s="100">
        <v>2000</v>
      </c>
      <c r="L142" s="119">
        <v>3000</v>
      </c>
      <c r="N142" s="169"/>
      <c r="O142" s="168" t="s">
        <v>101</v>
      </c>
      <c r="P142" s="169">
        <v>1000</v>
      </c>
      <c r="Q142" s="169">
        <v>2000</v>
      </c>
      <c r="R142" s="169">
        <v>3000</v>
      </c>
      <c r="T142" s="211" t="str" cm="1">
        <f t="array" aca="1" ref="T142" ca="1">_xll.d.Logic_IsTrue(_xll.d.Formatting_Equal(B142,N142))</f>
        <v>OK</v>
      </c>
      <c r="U142" s="211" t="str" cm="1">
        <f t="array" aca="1" ref="U142" ca="1">_xll.d.Logic_IsTrue(_xll.d.Formatting_Equal(C142,O142))</f>
        <v>OK</v>
      </c>
      <c r="V142" s="211" t="str" cm="1">
        <f t="array" aca="1" ref="V142" ca="1">_xll.d.Logic_IsTrue(_xll.d.Formatting_Equal(D142,P142))</f>
        <v>OK</v>
      </c>
      <c r="W142" s="211" t="str" cm="1">
        <f t="array" aca="1" ref="W142" ca="1">_xll.d.Logic_IsTrue(_xll.d.Formatting_Equal(E142,Q142))</f>
        <v>OK</v>
      </c>
      <c r="X142" s="211" t="str" cm="1">
        <f t="array" aca="1" ref="X142" ca="1">_xll.d.Logic_IsTrue(_xll.d.Formatting_Equal(F142,R142))</f>
        <v>OK</v>
      </c>
    </row>
    <row r="143" spans="2:24" x14ac:dyDescent="0.25">
      <c r="B143" s="169"/>
      <c r="C143" s="168" t="s">
        <v>102</v>
      </c>
      <c r="D143" s="169">
        <v>1000</v>
      </c>
      <c r="E143" s="169">
        <v>2000</v>
      </c>
      <c r="F143" s="169">
        <v>3000</v>
      </c>
      <c r="H143" s="258"/>
      <c r="I143" s="114" t="s">
        <v>102</v>
      </c>
      <c r="J143" s="118">
        <v>1000</v>
      </c>
      <c r="K143" s="100">
        <v>2000</v>
      </c>
      <c r="L143" s="119">
        <v>3000</v>
      </c>
      <c r="N143" s="169"/>
      <c r="O143" s="168" t="s">
        <v>102</v>
      </c>
      <c r="P143" s="169">
        <v>1000</v>
      </c>
      <c r="Q143" s="169">
        <v>2000</v>
      </c>
      <c r="R143" s="169">
        <v>3000</v>
      </c>
      <c r="T143" s="211" t="str" cm="1">
        <f t="array" aca="1" ref="T143" ca="1">_xll.d.Logic_IsTrue(_xll.d.Formatting_Equal(B143,N143))</f>
        <v>OK</v>
      </c>
      <c r="U143" s="211" t="str" cm="1">
        <f t="array" aca="1" ref="U143" ca="1">_xll.d.Logic_IsTrue(_xll.d.Formatting_Equal(C143,O143))</f>
        <v>OK</v>
      </c>
      <c r="V143" s="211" t="str" cm="1">
        <f t="array" aca="1" ref="V143" ca="1">_xll.d.Logic_IsTrue(_xll.d.Formatting_Equal(D143,P143))</f>
        <v>OK</v>
      </c>
      <c r="W143" s="211" t="str" cm="1">
        <f t="array" aca="1" ref="W143" ca="1">_xll.d.Logic_IsTrue(_xll.d.Formatting_Equal(E143,Q143))</f>
        <v>OK</v>
      </c>
      <c r="X143" s="211" t="str" cm="1">
        <f t="array" aca="1" ref="X143" ca="1">_xll.d.Logic_IsTrue(_xll.d.Formatting_Equal(F143,R143))</f>
        <v>OK</v>
      </c>
    </row>
    <row r="144" spans="2:24" x14ac:dyDescent="0.25">
      <c r="B144" s="169"/>
      <c r="C144" s="168" t="s">
        <v>103</v>
      </c>
      <c r="D144" s="169">
        <v>1000</v>
      </c>
      <c r="E144" s="169">
        <v>2000</v>
      </c>
      <c r="F144" s="169">
        <v>3000</v>
      </c>
      <c r="H144" s="258"/>
      <c r="I144" s="114" t="s">
        <v>103</v>
      </c>
      <c r="J144" s="118">
        <v>1000</v>
      </c>
      <c r="K144" s="100">
        <v>2000</v>
      </c>
      <c r="L144" s="119">
        <v>3000</v>
      </c>
      <c r="N144" s="169"/>
      <c r="O144" s="168" t="s">
        <v>103</v>
      </c>
      <c r="P144" s="169">
        <v>1000</v>
      </c>
      <c r="Q144" s="169">
        <v>2000</v>
      </c>
      <c r="R144" s="169">
        <v>3000</v>
      </c>
      <c r="T144" s="211" t="str" cm="1">
        <f t="array" aca="1" ref="T144" ca="1">_xll.d.Logic_IsTrue(_xll.d.Formatting_Equal(B144,N144))</f>
        <v>OK</v>
      </c>
      <c r="U144" s="211" t="str" cm="1">
        <f t="array" aca="1" ref="U144" ca="1">_xll.d.Logic_IsTrue(_xll.d.Formatting_Equal(C144,O144))</f>
        <v>OK</v>
      </c>
      <c r="V144" s="211" t="str" cm="1">
        <f t="array" aca="1" ref="V144" ca="1">_xll.d.Logic_IsTrue(_xll.d.Formatting_Equal(D144,P144))</f>
        <v>OK</v>
      </c>
      <c r="W144" s="211" t="str" cm="1">
        <f t="array" aca="1" ref="W144" ca="1">_xll.d.Logic_IsTrue(_xll.d.Formatting_Equal(E144,Q144))</f>
        <v>OK</v>
      </c>
      <c r="X144" s="211" t="str" cm="1">
        <f t="array" aca="1" ref="X144" ca="1">_xll.d.Logic_IsTrue(_xll.d.Formatting_Equal(F144,R144))</f>
        <v>OK</v>
      </c>
    </row>
    <row r="145" spans="2:55" x14ac:dyDescent="0.25">
      <c r="B145" s="169"/>
      <c r="C145" s="168" t="s">
        <v>104</v>
      </c>
      <c r="D145" s="168">
        <v>0.3</v>
      </c>
      <c r="E145" s="168">
        <v>0.4</v>
      </c>
      <c r="F145" s="168">
        <v>0.5</v>
      </c>
      <c r="H145" s="258"/>
      <c r="I145" s="114" t="s">
        <v>104</v>
      </c>
      <c r="J145" s="120">
        <v>0.3</v>
      </c>
      <c r="K145" s="101">
        <v>0.4</v>
      </c>
      <c r="L145" s="92">
        <v>0.5</v>
      </c>
      <c r="N145" s="169"/>
      <c r="O145" s="168" t="s">
        <v>104</v>
      </c>
      <c r="P145" s="168">
        <v>0.3</v>
      </c>
      <c r="Q145" s="168">
        <v>0.4</v>
      </c>
      <c r="R145" s="168">
        <v>0.5</v>
      </c>
      <c r="T145" s="211" t="str" cm="1">
        <f t="array" aca="1" ref="T145" ca="1">_xll.d.Logic_IsTrue(_xll.d.Formatting_Equal(B145,N145))</f>
        <v>OK</v>
      </c>
      <c r="U145" s="211" t="str" cm="1">
        <f t="array" aca="1" ref="U145" ca="1">_xll.d.Logic_IsTrue(_xll.d.Formatting_Equal(C145,O145))</f>
        <v>OK</v>
      </c>
      <c r="V145" s="211" t="str" cm="1">
        <f t="array" aca="1" ref="V145" ca="1">_xll.d.Logic_IsTrue(_xll.d.Formatting_Equal(D145,P145))</f>
        <v>OK</v>
      </c>
      <c r="W145" s="211" t="str" cm="1">
        <f t="array" aca="1" ref="W145" ca="1">_xll.d.Logic_IsTrue(_xll.d.Formatting_Equal(E145,Q145))</f>
        <v>OK</v>
      </c>
      <c r="X145" s="211" t="str" cm="1">
        <f t="array" aca="1" ref="X145" ca="1">_xll.d.Logic_IsTrue(_xll.d.Formatting_Equal(F145,R145))</f>
        <v>OK</v>
      </c>
    </row>
    <row r="146" spans="2:55" x14ac:dyDescent="0.25">
      <c r="B146" s="169"/>
      <c r="C146" s="168" t="s">
        <v>83</v>
      </c>
      <c r="D146" s="168">
        <v>0.3</v>
      </c>
      <c r="E146" s="168">
        <v>0.4</v>
      </c>
      <c r="F146" s="168">
        <v>0.5</v>
      </c>
      <c r="H146" s="258"/>
      <c r="I146" s="114" t="s">
        <v>83</v>
      </c>
      <c r="J146" s="120">
        <v>0.3</v>
      </c>
      <c r="K146" s="101">
        <v>0.4</v>
      </c>
      <c r="L146" s="92">
        <v>0.5</v>
      </c>
      <c r="N146" s="169"/>
      <c r="O146" s="168" t="s">
        <v>83</v>
      </c>
      <c r="P146" s="168">
        <v>0.3</v>
      </c>
      <c r="Q146" s="168">
        <v>0.4</v>
      </c>
      <c r="R146" s="168">
        <v>0.5</v>
      </c>
      <c r="T146" s="211" t="str" cm="1">
        <f t="array" aca="1" ref="T146" ca="1">_xll.d.Logic_IsTrue(_xll.d.Formatting_Equal(B146,N146))</f>
        <v>OK</v>
      </c>
      <c r="U146" s="211" t="str" cm="1">
        <f t="array" aca="1" ref="U146" ca="1">_xll.d.Logic_IsTrue(_xll.d.Formatting_Equal(C146,O146))</f>
        <v>OK</v>
      </c>
      <c r="V146" s="211" t="str" cm="1">
        <f t="array" aca="1" ref="V146" ca="1">_xll.d.Logic_IsTrue(_xll.d.Formatting_Equal(D146,P146))</f>
        <v>OK</v>
      </c>
      <c r="W146" s="211" t="str" cm="1">
        <f t="array" aca="1" ref="W146" ca="1">_xll.d.Logic_IsTrue(_xll.d.Formatting_Equal(E146,Q146))</f>
        <v>OK</v>
      </c>
      <c r="X146" s="211" t="str" cm="1">
        <f t="array" aca="1" ref="X146" ca="1">_xll.d.Logic_IsTrue(_xll.d.Formatting_Equal(F146,R146))</f>
        <v>OK</v>
      </c>
    </row>
    <row r="147" spans="2:55" x14ac:dyDescent="0.25">
      <c r="B147" s="169"/>
      <c r="C147" s="168" t="s">
        <v>84</v>
      </c>
      <c r="D147" s="168">
        <v>0.3</v>
      </c>
      <c r="E147" s="168">
        <v>0.4</v>
      </c>
      <c r="F147" s="168">
        <v>0.5</v>
      </c>
      <c r="H147" s="258"/>
      <c r="I147" s="114" t="s">
        <v>84</v>
      </c>
      <c r="J147" s="120">
        <v>0.3</v>
      </c>
      <c r="K147" s="101">
        <v>0.4</v>
      </c>
      <c r="L147" s="92">
        <v>0.5</v>
      </c>
      <c r="N147" s="169"/>
      <c r="O147" s="168" t="s">
        <v>84</v>
      </c>
      <c r="P147" s="168">
        <v>0.3</v>
      </c>
      <c r="Q147" s="168">
        <v>0.4</v>
      </c>
      <c r="R147" s="168">
        <v>0.5</v>
      </c>
      <c r="T147" s="211" t="str" cm="1">
        <f t="array" aca="1" ref="T147" ca="1">_xll.d.Logic_IsTrue(_xll.d.Formatting_Equal(B147,N147))</f>
        <v>OK</v>
      </c>
      <c r="U147" s="211" t="str" cm="1">
        <f t="array" aca="1" ref="U147" ca="1">_xll.d.Logic_IsTrue(_xll.d.Formatting_Equal(C147,O147))</f>
        <v>OK</v>
      </c>
      <c r="V147" s="211" t="str" cm="1">
        <f t="array" aca="1" ref="V147" ca="1">_xll.d.Logic_IsTrue(_xll.d.Formatting_Equal(D147,P147))</f>
        <v>OK</v>
      </c>
      <c r="W147" s="211" t="str" cm="1">
        <f t="array" aca="1" ref="W147" ca="1">_xll.d.Logic_IsTrue(_xll.d.Formatting_Equal(E147,Q147))</f>
        <v>OK</v>
      </c>
      <c r="X147" s="211" t="str" cm="1">
        <f t="array" aca="1" ref="X147" ca="1">_xll.d.Logic_IsTrue(_xll.d.Formatting_Equal(F147,R147))</f>
        <v>OK</v>
      </c>
    </row>
    <row r="148" spans="2:55" x14ac:dyDescent="0.25">
      <c r="B148" s="169"/>
      <c r="C148" s="168" t="s">
        <v>85</v>
      </c>
      <c r="D148" s="168">
        <v>0.3</v>
      </c>
      <c r="E148" s="168">
        <v>0.4</v>
      </c>
      <c r="F148" s="168">
        <v>0.5</v>
      </c>
      <c r="H148" s="258"/>
      <c r="I148" s="114" t="s">
        <v>85</v>
      </c>
      <c r="J148" s="120">
        <v>0.3</v>
      </c>
      <c r="K148" s="101">
        <v>0.4</v>
      </c>
      <c r="L148" s="92">
        <v>0.5</v>
      </c>
      <c r="N148" s="169"/>
      <c r="O148" s="168" t="s">
        <v>85</v>
      </c>
      <c r="P148" s="168">
        <v>0.3</v>
      </c>
      <c r="Q148" s="168">
        <v>0.4</v>
      </c>
      <c r="R148" s="168">
        <v>0.5</v>
      </c>
      <c r="T148" s="211" t="str" cm="1">
        <f t="array" aca="1" ref="T148" ca="1">_xll.d.Logic_IsTrue(_xll.d.Formatting_Equal(B148,N148))</f>
        <v>OK</v>
      </c>
      <c r="U148" s="211" t="str" cm="1">
        <f t="array" aca="1" ref="U148" ca="1">_xll.d.Logic_IsTrue(_xll.d.Formatting_Equal(C148,O148))</f>
        <v>OK</v>
      </c>
      <c r="V148" s="211" t="str" cm="1">
        <f t="array" aca="1" ref="V148" ca="1">_xll.d.Logic_IsTrue(_xll.d.Formatting_Equal(D148,P148))</f>
        <v>OK</v>
      </c>
      <c r="W148" s="211" t="str" cm="1">
        <f t="array" aca="1" ref="W148" ca="1">_xll.d.Logic_IsTrue(_xll.d.Formatting_Equal(E148,Q148))</f>
        <v>OK</v>
      </c>
      <c r="X148" s="211" t="str" cm="1">
        <f t="array" aca="1" ref="X148" ca="1">_xll.d.Logic_IsTrue(_xll.d.Formatting_Equal(F148,R148))</f>
        <v>OK</v>
      </c>
    </row>
    <row r="149" spans="2:55" x14ac:dyDescent="0.25">
      <c r="B149" s="169"/>
      <c r="C149" s="168" t="s">
        <v>105</v>
      </c>
      <c r="D149" s="168">
        <v>0.3</v>
      </c>
      <c r="E149" s="168">
        <v>0.4</v>
      </c>
      <c r="F149" s="168">
        <v>0.5</v>
      </c>
      <c r="H149" s="258"/>
      <c r="I149" s="114" t="s">
        <v>105</v>
      </c>
      <c r="J149" s="120">
        <v>0.3</v>
      </c>
      <c r="K149" s="101">
        <v>0.4</v>
      </c>
      <c r="L149" s="92">
        <v>0.5</v>
      </c>
      <c r="N149" s="169"/>
      <c r="O149" s="168" t="s">
        <v>105</v>
      </c>
      <c r="P149" s="168">
        <v>0.3</v>
      </c>
      <c r="Q149" s="168">
        <v>0.4</v>
      </c>
      <c r="R149" s="168">
        <v>0.5</v>
      </c>
      <c r="T149" s="211" t="str" cm="1">
        <f t="array" aca="1" ref="T149" ca="1">_xll.d.Logic_IsTrue(_xll.d.Formatting_Equal(B149,N149))</f>
        <v>OK</v>
      </c>
      <c r="U149" s="211" t="str" cm="1">
        <f t="array" aca="1" ref="U149" ca="1">_xll.d.Logic_IsTrue(_xll.d.Formatting_Equal(C149,O149))</f>
        <v>OK</v>
      </c>
      <c r="V149" s="211" t="str" cm="1">
        <f t="array" aca="1" ref="V149" ca="1">_xll.d.Logic_IsTrue(_xll.d.Formatting_Equal(D149,P149))</f>
        <v>OK</v>
      </c>
      <c r="W149" s="211" t="str" cm="1">
        <f t="array" aca="1" ref="W149" ca="1">_xll.d.Logic_IsTrue(_xll.d.Formatting_Equal(E149,Q149))</f>
        <v>OK</v>
      </c>
      <c r="X149" s="211" t="str" cm="1">
        <f t="array" aca="1" ref="X149" ca="1">_xll.d.Logic_IsTrue(_xll.d.Formatting_Equal(F149,R149))</f>
        <v>OK</v>
      </c>
    </row>
    <row r="150" spans="2:55" x14ac:dyDescent="0.25">
      <c r="B150" s="169"/>
      <c r="C150" s="168" t="s">
        <v>25</v>
      </c>
      <c r="D150" s="168">
        <v>0.3</v>
      </c>
      <c r="E150" s="168">
        <v>0.4</v>
      </c>
      <c r="F150" s="168">
        <v>0.5</v>
      </c>
      <c r="H150" s="258"/>
      <c r="I150" s="114" t="s">
        <v>25</v>
      </c>
      <c r="J150" s="120">
        <v>0.3</v>
      </c>
      <c r="K150" s="101">
        <v>0.4</v>
      </c>
      <c r="L150" s="92">
        <v>0.5</v>
      </c>
      <c r="N150" s="169"/>
      <c r="O150" s="168" t="s">
        <v>25</v>
      </c>
      <c r="P150" s="168">
        <v>0.3</v>
      </c>
      <c r="Q150" s="168">
        <v>0.4</v>
      </c>
      <c r="R150" s="168">
        <v>0.5</v>
      </c>
      <c r="T150" s="211" t="str" cm="1">
        <f t="array" aca="1" ref="T150" ca="1">_xll.d.Logic_IsTrue(_xll.d.Formatting_Equal(B150,N150))</f>
        <v>OK</v>
      </c>
      <c r="U150" s="211" t="str" cm="1">
        <f t="array" aca="1" ref="U150" ca="1">_xll.d.Logic_IsTrue(_xll.d.Formatting_Equal(C150,O150))</f>
        <v>OK</v>
      </c>
      <c r="V150" s="211" t="str" cm="1">
        <f t="array" aca="1" ref="V150" ca="1">_xll.d.Logic_IsTrue(_xll.d.Formatting_Equal(D150,P150))</f>
        <v>OK</v>
      </c>
      <c r="W150" s="211" t="str" cm="1">
        <f t="array" aca="1" ref="W150" ca="1">_xll.d.Logic_IsTrue(_xll.d.Formatting_Equal(E150,Q150))</f>
        <v>OK</v>
      </c>
      <c r="X150" s="211" t="str" cm="1">
        <f t="array" aca="1" ref="X150" ca="1">_xll.d.Logic_IsTrue(_xll.d.Formatting_Equal(F150,R150))</f>
        <v>OK</v>
      </c>
    </row>
    <row r="151" spans="2:55" x14ac:dyDescent="0.25">
      <c r="B151" s="169"/>
      <c r="C151" s="168" t="s">
        <v>40</v>
      </c>
      <c r="D151" s="168">
        <v>0.3</v>
      </c>
      <c r="E151" s="168">
        <v>0.4</v>
      </c>
      <c r="F151" s="168">
        <v>0.5</v>
      </c>
      <c r="H151" s="258"/>
      <c r="I151" s="114" t="s">
        <v>40</v>
      </c>
      <c r="J151" s="120">
        <v>0.3</v>
      </c>
      <c r="K151" s="101">
        <v>0.4</v>
      </c>
      <c r="L151" s="92">
        <v>0.5</v>
      </c>
      <c r="N151" s="169"/>
      <c r="O151" s="168" t="s">
        <v>40</v>
      </c>
      <c r="P151" s="168">
        <v>0.3</v>
      </c>
      <c r="Q151" s="168">
        <v>0.4</v>
      </c>
      <c r="R151" s="168">
        <v>0.5</v>
      </c>
      <c r="T151" s="211" t="str" cm="1">
        <f t="array" aca="1" ref="T151" ca="1">_xll.d.Logic_IsTrue(_xll.d.Formatting_Equal(B151,N151))</f>
        <v>OK</v>
      </c>
      <c r="U151" s="211" t="str" cm="1">
        <f t="array" aca="1" ref="U151" ca="1">_xll.d.Logic_IsTrue(_xll.d.Formatting_Equal(C151,O151))</f>
        <v>OK</v>
      </c>
      <c r="V151" s="211" t="str" cm="1">
        <f t="array" aca="1" ref="V151" ca="1">_xll.d.Logic_IsTrue(_xll.d.Formatting_Equal(D151,P151))</f>
        <v>OK</v>
      </c>
      <c r="W151" s="211" t="str" cm="1">
        <f t="array" aca="1" ref="W151" ca="1">_xll.d.Logic_IsTrue(_xll.d.Formatting_Equal(E151,Q151))</f>
        <v>OK</v>
      </c>
      <c r="X151" s="211" t="str" cm="1">
        <f t="array" aca="1" ref="X151" ca="1">_xll.d.Logic_IsTrue(_xll.d.Formatting_Equal(F151,R151))</f>
        <v>OK</v>
      </c>
    </row>
    <row r="152" spans="2:55" x14ac:dyDescent="0.25">
      <c r="B152" s="169"/>
      <c r="C152" s="168" t="s">
        <v>106</v>
      </c>
      <c r="D152" s="168">
        <v>0.3</v>
      </c>
      <c r="E152" s="168">
        <v>0.4</v>
      </c>
      <c r="F152" s="168">
        <v>0.5</v>
      </c>
      <c r="H152" s="258"/>
      <c r="I152" s="114" t="s">
        <v>106</v>
      </c>
      <c r="J152" s="120">
        <v>0.3</v>
      </c>
      <c r="K152" s="101">
        <v>0.4</v>
      </c>
      <c r="L152" s="92">
        <v>0.5</v>
      </c>
      <c r="N152" s="169"/>
      <c r="O152" s="168" t="s">
        <v>106</v>
      </c>
      <c r="P152" s="168">
        <v>0.3</v>
      </c>
      <c r="Q152" s="168">
        <v>0.4</v>
      </c>
      <c r="R152" s="168">
        <v>0.5</v>
      </c>
      <c r="T152" s="211" t="str" cm="1">
        <f t="array" aca="1" ref="T152" ca="1">_xll.d.Logic_IsTrue(_xll.d.Formatting_Equal(B152,N152))</f>
        <v>OK</v>
      </c>
      <c r="U152" s="211" t="str" cm="1">
        <f t="array" aca="1" ref="U152" ca="1">_xll.d.Logic_IsTrue(_xll.d.Formatting_Equal(C152,O152))</f>
        <v>OK</v>
      </c>
      <c r="V152" s="211" t="str" cm="1">
        <f t="array" aca="1" ref="V152" ca="1">_xll.d.Logic_IsTrue(_xll.d.Formatting_Equal(D152,P152))</f>
        <v>OK</v>
      </c>
      <c r="W152" s="211" t="str" cm="1">
        <f t="array" aca="1" ref="W152" ca="1">_xll.d.Logic_IsTrue(_xll.d.Formatting_Equal(E152,Q152))</f>
        <v>OK</v>
      </c>
      <c r="X152" s="211" t="str" cm="1">
        <f t="array" aca="1" ref="X152" ca="1">_xll.d.Logic_IsTrue(_xll.d.Formatting_Equal(F152,R152))</f>
        <v>OK</v>
      </c>
    </row>
    <row r="153" spans="2:55" x14ac:dyDescent="0.25">
      <c r="B153" s="169"/>
      <c r="C153" s="168" t="s">
        <v>98</v>
      </c>
      <c r="D153" s="168">
        <v>0.3</v>
      </c>
      <c r="E153" s="168">
        <v>0.4</v>
      </c>
      <c r="F153" s="168">
        <v>0.5</v>
      </c>
      <c r="H153" s="258"/>
      <c r="I153" s="114" t="s">
        <v>98</v>
      </c>
      <c r="J153" s="120">
        <v>0.3</v>
      </c>
      <c r="K153" s="101">
        <v>0.4</v>
      </c>
      <c r="L153" s="92">
        <v>0.5</v>
      </c>
      <c r="N153" s="169"/>
      <c r="O153" s="168" t="s">
        <v>98</v>
      </c>
      <c r="P153" s="168">
        <v>0.3</v>
      </c>
      <c r="Q153" s="168">
        <v>0.4</v>
      </c>
      <c r="R153" s="168">
        <v>0.5</v>
      </c>
      <c r="T153" s="211" t="str" cm="1">
        <f t="array" aca="1" ref="T153" ca="1">_xll.d.Logic_IsTrue(_xll.d.Formatting_Equal(B153,N153))</f>
        <v>OK</v>
      </c>
      <c r="U153" s="211" t="str" cm="1">
        <f t="array" aca="1" ref="U153" ca="1">_xll.d.Logic_IsTrue(_xll.d.Formatting_Equal(C153,O153))</f>
        <v>OK</v>
      </c>
      <c r="V153" s="211" t="str" cm="1">
        <f t="array" aca="1" ref="V153" ca="1">_xll.d.Logic_IsTrue(_xll.d.Formatting_Equal(D153,P153))</f>
        <v>OK</v>
      </c>
      <c r="W153" s="211" t="str" cm="1">
        <f t="array" aca="1" ref="W153" ca="1">_xll.d.Logic_IsTrue(_xll.d.Formatting_Equal(E153,Q153))</f>
        <v>OK</v>
      </c>
      <c r="X153" s="211" t="str" cm="1">
        <f t="array" aca="1" ref="X153" ca="1">_xll.d.Logic_IsTrue(_xll.d.Formatting_Equal(F153,R153))</f>
        <v>OK</v>
      </c>
    </row>
    <row r="154" spans="2:55" x14ac:dyDescent="0.25">
      <c r="B154" s="169"/>
      <c r="C154" s="168" t="s">
        <v>108</v>
      </c>
      <c r="D154" s="168">
        <v>0.3</v>
      </c>
      <c r="E154" s="168">
        <v>0.4</v>
      </c>
      <c r="F154" s="168">
        <v>0.5</v>
      </c>
      <c r="H154" s="258"/>
      <c r="I154" s="114" t="s">
        <v>108</v>
      </c>
      <c r="J154" s="120">
        <v>0.3</v>
      </c>
      <c r="K154" s="101">
        <v>0.4</v>
      </c>
      <c r="L154" s="92">
        <v>0.5</v>
      </c>
      <c r="N154" s="169"/>
      <c r="O154" s="168" t="s">
        <v>108</v>
      </c>
      <c r="P154" s="168">
        <v>0.3</v>
      </c>
      <c r="Q154" s="168">
        <v>0.4</v>
      </c>
      <c r="R154" s="168">
        <v>0.5</v>
      </c>
      <c r="T154" s="211" t="str" cm="1">
        <f t="array" aca="1" ref="T154" ca="1">_xll.d.Logic_IsTrue(_xll.d.Formatting_Equal(B154,N154))</f>
        <v>OK</v>
      </c>
      <c r="U154" s="211" t="str" cm="1">
        <f t="array" aca="1" ref="U154" ca="1">_xll.d.Logic_IsTrue(_xll.d.Formatting_Equal(C154,O154))</f>
        <v>OK</v>
      </c>
      <c r="V154" s="211" t="str" cm="1">
        <f t="array" aca="1" ref="V154" ca="1">_xll.d.Logic_IsTrue(_xll.d.Formatting_Equal(D154,P154))</f>
        <v>OK</v>
      </c>
      <c r="W154" s="211" t="str" cm="1">
        <f t="array" aca="1" ref="W154" ca="1">_xll.d.Logic_IsTrue(_xll.d.Formatting_Equal(E154,Q154))</f>
        <v>OK</v>
      </c>
      <c r="X154" s="211" t="str" cm="1">
        <f t="array" aca="1" ref="X154" ca="1">_xll.d.Logic_IsTrue(_xll.d.Formatting_Equal(F154,R154))</f>
        <v>OK</v>
      </c>
    </row>
    <row r="155" spans="2:55" x14ac:dyDescent="0.25">
      <c r="B155" s="169"/>
      <c r="C155" s="168" t="s">
        <v>107</v>
      </c>
      <c r="D155" s="168">
        <v>0.3</v>
      </c>
      <c r="E155" s="168">
        <v>0.4</v>
      </c>
      <c r="F155" s="168">
        <v>0.5</v>
      </c>
      <c r="H155" s="258"/>
      <c r="I155" s="115" t="s">
        <v>107</v>
      </c>
      <c r="J155" s="121">
        <v>0.3</v>
      </c>
      <c r="K155" s="102">
        <v>0.4</v>
      </c>
      <c r="L155" s="93">
        <v>0.5</v>
      </c>
      <c r="N155" s="169"/>
      <c r="O155" s="168" t="s">
        <v>107</v>
      </c>
      <c r="P155" s="168">
        <v>0.3</v>
      </c>
      <c r="Q155" s="168">
        <v>0.4</v>
      </c>
      <c r="R155" s="168">
        <v>0.5</v>
      </c>
      <c r="T155" s="211" t="str" cm="1">
        <f t="array" aca="1" ref="T155" ca="1">_xll.d.Logic_IsTrue(_xll.d.Formatting_Equal(B155,N155))</f>
        <v>OK</v>
      </c>
      <c r="U155" s="211" t="str" cm="1">
        <f t="array" aca="1" ref="U155" ca="1">_xll.d.Logic_IsTrue(_xll.d.Formatting_Equal(C155,O155))</f>
        <v>OK</v>
      </c>
      <c r="V155" s="211" t="str" cm="1">
        <f t="array" aca="1" ref="V155" ca="1">_xll.d.Logic_IsTrue(_xll.d.Formatting_Equal(D155,P155))</f>
        <v>OK</v>
      </c>
      <c r="W155" s="211" t="str" cm="1">
        <f t="array" aca="1" ref="W155" ca="1">_xll.d.Logic_IsTrue(_xll.d.Formatting_Equal(E155,Q155))</f>
        <v>OK</v>
      </c>
      <c r="X155" s="211" t="str" cm="1">
        <f t="array" aca="1" ref="X155" ca="1">_xll.d.Logic_IsTrue(_xll.d.Formatting_Equal(F155,R155))</f>
        <v>OK</v>
      </c>
    </row>
    <row r="158" spans="2:55" ht="18.75" x14ac:dyDescent="0.3">
      <c r="B158" s="91" t="s">
        <v>138</v>
      </c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  <c r="BC158" s="89"/>
    </row>
    <row r="160" spans="2:55" x14ac:dyDescent="0.25">
      <c r="B160" s="60" t="s">
        <v>147</v>
      </c>
      <c r="C160" s="211" t="str" cm="1">
        <f t="array" aca="1" ref="C160" ca="1">_xll.d.Logic_And(K173:L176)</f>
        <v>OK</v>
      </c>
    </row>
    <row r="162" spans="2:12" x14ac:dyDescent="0.25">
      <c r="B162" s="60" t="s">
        <v>121</v>
      </c>
      <c r="C162" s="60" t="s">
        <v>33</v>
      </c>
    </row>
    <row r="163" spans="2:12" x14ac:dyDescent="0.25">
      <c r="B163" s="110" t="s">
        <v>115</v>
      </c>
      <c r="C163" s="111" t="s">
        <v>125</v>
      </c>
    </row>
    <row r="164" spans="2:12" x14ac:dyDescent="0.25">
      <c r="B164" s="104" t="s">
        <v>117</v>
      </c>
      <c r="C164" s="105" t="s">
        <v>139</v>
      </c>
    </row>
    <row r="165" spans="2:12" x14ac:dyDescent="0.25">
      <c r="B165" s="110" t="s">
        <v>141</v>
      </c>
      <c r="C165" s="184">
        <v>2</v>
      </c>
    </row>
    <row r="166" spans="2:12" x14ac:dyDescent="0.25">
      <c r="B166" s="179" t="s">
        <v>142</v>
      </c>
      <c r="C166" s="185">
        <v>0</v>
      </c>
    </row>
    <row r="167" spans="2:12" x14ac:dyDescent="0.25">
      <c r="B167" s="162" t="s">
        <v>129</v>
      </c>
      <c r="C167" s="163"/>
    </row>
    <row r="169" spans="2:12" x14ac:dyDescent="0.25">
      <c r="B169" t="s">
        <v>188</v>
      </c>
    </row>
    <row r="171" spans="2:12" x14ac:dyDescent="0.25">
      <c r="B171" s="82" t="s">
        <v>94</v>
      </c>
      <c r="E171" s="82" t="s">
        <v>113</v>
      </c>
      <c r="H171" s="82" t="s">
        <v>114</v>
      </c>
      <c r="K171" s="82" t="s">
        <v>150</v>
      </c>
    </row>
    <row r="173" spans="2:12" x14ac:dyDescent="0.25">
      <c r="B173" s="151" t="s">
        <v>58</v>
      </c>
      <c r="C173" s="152"/>
      <c r="E173" t="s">
        <v>58</v>
      </c>
      <c r="H173" s="151" t="s">
        <v>58</v>
      </c>
      <c r="I173" s="152"/>
      <c r="K173" s="211" t="str" cm="1">
        <f t="array" aca="1" ref="K173" ca="1">_xll.d.Logic_IsTrue(_xll.d.Formatting_Equal(B173,H173))</f>
        <v>OK</v>
      </c>
      <c r="L173" s="211" t="str" cm="1">
        <f t="array" aca="1" ref="L173" ca="1">_xll.d.Logic_IsTrue(_xll.d.Formatting_Equal(C173,I173))</f>
        <v>OK</v>
      </c>
    </row>
    <row r="174" spans="2:12" x14ac:dyDescent="0.25">
      <c r="B174" s="149" t="s">
        <v>32</v>
      </c>
      <c r="C174" s="150" t="s">
        <v>33</v>
      </c>
      <c r="E174" t="s">
        <v>32</v>
      </c>
      <c r="F174" t="s">
        <v>33</v>
      </c>
      <c r="H174" s="149" t="s">
        <v>32</v>
      </c>
      <c r="I174" s="150" t="s">
        <v>33</v>
      </c>
      <c r="K174" s="211" t="str" cm="1">
        <f t="array" aca="1" ref="K174" ca="1">_xll.d.Logic_IsTrue(_xll.d.Formatting_Equal(B174,H174))</f>
        <v>OK</v>
      </c>
      <c r="L174" s="211" t="str" cm="1">
        <f t="array" aca="1" ref="L174" ca="1">_xll.d.Logic_IsTrue(_xll.d.Formatting_Equal(C174,I174))</f>
        <v>OK</v>
      </c>
    </row>
    <row r="175" spans="2:12" x14ac:dyDescent="0.25">
      <c r="B175" s="153" t="s">
        <v>13</v>
      </c>
      <c r="C175" s="154" t="s">
        <v>47</v>
      </c>
      <c r="E175" t="s">
        <v>13</v>
      </c>
      <c r="F175" t="s">
        <v>47</v>
      </c>
      <c r="H175" s="153" t="s">
        <v>13</v>
      </c>
      <c r="I175" s="154" t="s">
        <v>47</v>
      </c>
      <c r="K175" s="211" t="str" cm="1">
        <f t="array" aca="1" ref="K175" ca="1">_xll.d.Logic_IsTrue(_xll.d.Formatting_Equal(B175,H175))</f>
        <v>OK</v>
      </c>
      <c r="L175" s="211" t="str" cm="1">
        <f t="array" aca="1" ref="L175" ca="1">_xll.d.Logic_IsTrue(_xll.d.Formatting_Equal(C175,I175))</f>
        <v>OK</v>
      </c>
    </row>
    <row r="176" spans="2:12" x14ac:dyDescent="0.25">
      <c r="B176" s="155" t="s">
        <v>36</v>
      </c>
      <c r="C176" s="156" t="s">
        <v>37</v>
      </c>
      <c r="E176" t="s">
        <v>36</v>
      </c>
      <c r="F176" t="s">
        <v>37</v>
      </c>
      <c r="H176" s="155" t="s">
        <v>36</v>
      </c>
      <c r="I176" s="156" t="s">
        <v>37</v>
      </c>
      <c r="K176" s="211" t="str" cm="1">
        <f t="array" aca="1" ref="K176" ca="1">_xll.d.Logic_IsTrue(_xll.d.Formatting_Equal(B176,H176))</f>
        <v>OK</v>
      </c>
      <c r="L176" s="211" t="str" cm="1">
        <f t="array" aca="1" ref="L176" ca="1">_xll.d.Logic_IsTrue(_xll.d.Formatting_Equal(C176,I176))</f>
        <v>OK</v>
      </c>
    </row>
    <row r="177" spans="2:55" x14ac:dyDescent="0.25">
      <c r="B177" s="157" t="s">
        <v>57</v>
      </c>
      <c r="C177" s="158" t="s">
        <v>26</v>
      </c>
      <c r="E177" t="s">
        <v>57</v>
      </c>
      <c r="F177" t="s">
        <v>26</v>
      </c>
      <c r="H177" s="157" t="s">
        <v>57</v>
      </c>
      <c r="I177" s="158" t="s">
        <v>26</v>
      </c>
      <c r="K177" s="211" t="str" cm="1">
        <f t="array" aca="1" ref="K177" ca="1">_xll.d.Logic_IsTrue(_xll.d.Formatting_Equal(B177,H177))</f>
        <v>OK</v>
      </c>
      <c r="L177" s="211" t="str" cm="1">
        <f t="array" aca="1" ref="L177" ca="1">_xll.d.Logic_IsTrue(_xll.d.Formatting_Equal(C177,I177))</f>
        <v>OK</v>
      </c>
    </row>
    <row r="180" spans="2:55" ht="18.75" x14ac:dyDescent="0.3">
      <c r="B180" s="91" t="s">
        <v>140</v>
      </c>
      <c r="C180" s="89"/>
      <c r="D180" s="89"/>
      <c r="E180" s="89"/>
      <c r="F180" s="89"/>
      <c r="G180" s="89"/>
      <c r="H180" s="89"/>
      <c r="I180" s="89"/>
      <c r="J180" s="89"/>
      <c r="K180" s="89"/>
      <c r="L180" s="89"/>
      <c r="M180" s="89"/>
      <c r="N180" s="89"/>
      <c r="O180" s="89"/>
      <c r="P180" s="89"/>
      <c r="Q180" s="89"/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  <c r="AE180" s="89"/>
      <c r="AF180" s="89"/>
      <c r="AG180" s="89"/>
      <c r="AH180" s="89"/>
      <c r="AI180" s="89"/>
      <c r="AJ180" s="89"/>
      <c r="AK180" s="89"/>
      <c r="AL180" s="89"/>
      <c r="AM180" s="89"/>
      <c r="AN180" s="89"/>
      <c r="AO180" s="89"/>
      <c r="AP180" s="89"/>
      <c r="AQ180" s="89"/>
      <c r="AR180" s="89"/>
      <c r="AS180" s="89"/>
      <c r="AT180" s="89"/>
      <c r="AU180" s="89"/>
      <c r="AV180" s="89"/>
      <c r="AW180" s="89"/>
      <c r="AX180" s="89"/>
      <c r="AY180" s="89"/>
      <c r="AZ180" s="89"/>
      <c r="BA180" s="89"/>
      <c r="BB180" s="89"/>
      <c r="BC180" s="89"/>
    </row>
    <row r="182" spans="2:55" x14ac:dyDescent="0.25">
      <c r="B182" s="60" t="s">
        <v>147</v>
      </c>
      <c r="C182" s="211" t="str" cm="1">
        <f t="array" aca="1" ref="C182" ca="1">_xll.d.Logic_And(K193:L197)</f>
        <v>OK</v>
      </c>
    </row>
    <row r="184" spans="2:55" x14ac:dyDescent="0.25">
      <c r="B184" s="60" t="s">
        <v>121</v>
      </c>
      <c r="C184" s="60" t="s">
        <v>33</v>
      </c>
    </row>
    <row r="185" spans="2:55" x14ac:dyDescent="0.25">
      <c r="B185" s="110" t="s">
        <v>115</v>
      </c>
      <c r="C185" s="111" t="s">
        <v>125</v>
      </c>
    </row>
    <row r="186" spans="2:55" x14ac:dyDescent="0.25">
      <c r="B186" s="104" t="s">
        <v>117</v>
      </c>
      <c r="C186" s="105" t="s">
        <v>139</v>
      </c>
    </row>
    <row r="187" spans="2:55" x14ac:dyDescent="0.25">
      <c r="B187" s="162" t="s">
        <v>129</v>
      </c>
      <c r="C187" s="163"/>
    </row>
    <row r="189" spans="2:55" x14ac:dyDescent="0.25">
      <c r="B189" t="s">
        <v>143</v>
      </c>
    </row>
    <row r="191" spans="2:55" x14ac:dyDescent="0.25">
      <c r="B191" s="82" t="s">
        <v>94</v>
      </c>
      <c r="E191" s="82" t="s">
        <v>113</v>
      </c>
      <c r="H191" s="82" t="s">
        <v>114</v>
      </c>
      <c r="K191" s="82" t="s">
        <v>150</v>
      </c>
    </row>
    <row r="193" spans="2:12" x14ac:dyDescent="0.25">
      <c r="B193" s="168" t="s">
        <v>58</v>
      </c>
      <c r="C193" s="168"/>
      <c r="E193" s="151" t="s">
        <v>58</v>
      </c>
      <c r="F193" s="152"/>
      <c r="H193" s="169" t="s">
        <v>58</v>
      </c>
      <c r="I193" s="169"/>
      <c r="K193" s="211" t="str" cm="1">
        <f t="array" aca="1" ref="K193" ca="1">_xll.d.Logic_IsTrue(_xll.d.Formatting_Equal(B193,H193))</f>
        <v>OK</v>
      </c>
      <c r="L193" s="211" t="str" cm="1">
        <f t="array" aca="1" ref="L193" ca="1">_xll.d.Logic_IsTrue(_xll.d.Formatting_Equal(C193,I193))</f>
        <v>OK</v>
      </c>
    </row>
    <row r="194" spans="2:12" x14ac:dyDescent="0.25">
      <c r="B194" s="168" t="s">
        <v>32</v>
      </c>
      <c r="C194" s="168" t="s">
        <v>33</v>
      </c>
      <c r="E194" s="149" t="s">
        <v>32</v>
      </c>
      <c r="F194" s="150" t="s">
        <v>33</v>
      </c>
      <c r="H194" s="169" t="s">
        <v>32</v>
      </c>
      <c r="I194" s="169" t="s">
        <v>33</v>
      </c>
      <c r="K194" s="211" t="str" cm="1">
        <f t="array" aca="1" ref="K194" ca="1">_xll.d.Logic_IsTrue(_xll.d.Formatting_Equal(B194,H194))</f>
        <v>OK</v>
      </c>
      <c r="L194" s="211" t="str" cm="1">
        <f t="array" aca="1" ref="L194" ca="1">_xll.d.Logic_IsTrue(_xll.d.Formatting_Equal(C194,I194))</f>
        <v>OK</v>
      </c>
    </row>
    <row r="195" spans="2:12" x14ac:dyDescent="0.25">
      <c r="B195" s="168" t="s">
        <v>13</v>
      </c>
      <c r="C195" s="168" t="s">
        <v>47</v>
      </c>
      <c r="E195" s="153" t="s">
        <v>13</v>
      </c>
      <c r="F195" s="154" t="s">
        <v>47</v>
      </c>
      <c r="H195" s="169" t="s">
        <v>13</v>
      </c>
      <c r="I195" s="169" t="s">
        <v>47</v>
      </c>
      <c r="K195" s="211" t="str" cm="1">
        <f t="array" aca="1" ref="K195" ca="1">_xll.d.Logic_IsTrue(_xll.d.Formatting_Equal(B195,H195))</f>
        <v>OK</v>
      </c>
      <c r="L195" s="211" t="str" cm="1">
        <f t="array" aca="1" ref="L195" ca="1">_xll.d.Logic_IsTrue(_xll.d.Formatting_Equal(C195,I195))</f>
        <v>OK</v>
      </c>
    </row>
    <row r="196" spans="2:12" x14ac:dyDescent="0.25">
      <c r="B196" s="168" t="s">
        <v>36</v>
      </c>
      <c r="C196" s="168" t="s">
        <v>37</v>
      </c>
      <c r="E196" s="155" t="s">
        <v>36</v>
      </c>
      <c r="F196" s="156" t="s">
        <v>37</v>
      </c>
      <c r="H196" s="169" t="s">
        <v>36</v>
      </c>
      <c r="I196" s="169" t="s">
        <v>37</v>
      </c>
      <c r="K196" s="211" t="str" cm="1">
        <f t="array" aca="1" ref="K196" ca="1">_xll.d.Logic_IsTrue(_xll.d.Formatting_Equal(B196,H196))</f>
        <v>OK</v>
      </c>
      <c r="L196" s="211" t="str" cm="1">
        <f t="array" aca="1" ref="L196" ca="1">_xll.d.Logic_IsTrue(_xll.d.Formatting_Equal(C196,I196))</f>
        <v>OK</v>
      </c>
    </row>
    <row r="197" spans="2:12" x14ac:dyDescent="0.25">
      <c r="B197" s="168" t="s">
        <v>57</v>
      </c>
      <c r="C197" s="168" t="s">
        <v>26</v>
      </c>
      <c r="E197" s="157" t="s">
        <v>57</v>
      </c>
      <c r="F197" s="158" t="s">
        <v>26</v>
      </c>
      <c r="H197" s="169" t="s">
        <v>57</v>
      </c>
      <c r="I197" s="169" t="s">
        <v>26</v>
      </c>
      <c r="K197" s="211" t="str" cm="1">
        <f t="array" aca="1" ref="K197" ca="1">_xll.d.Logic_IsTrue(_xll.d.Formatting_Equal(B197,H197))</f>
        <v>OK</v>
      </c>
      <c r="L197" s="211" t="str" cm="1">
        <f t="array" aca="1" ref="L197" ca="1">_xll.d.Logic_IsTrue(_xll.d.Formatting_Equal(C197,I197))</f>
        <v>OK</v>
      </c>
    </row>
  </sheetData>
  <mergeCells count="3">
    <mergeCell ref="B103:B119"/>
    <mergeCell ref="H139:H155"/>
    <mergeCell ref="N103:N119"/>
  </mergeCells>
  <conditionalFormatting sqref="BD56:BT59">
    <cfRule type="cellIs" dxfId="37" priority="15" stopIfTrue="1" operator="equal">
      <formula>"OK"</formula>
    </cfRule>
    <cfRule type="cellIs" dxfId="36" priority="16" stopIfTrue="1" operator="equal">
      <formula>"ERROR"</formula>
    </cfRule>
  </conditionalFormatting>
  <conditionalFormatting sqref="C40">
    <cfRule type="cellIs" dxfId="35" priority="17" stopIfTrue="1" operator="equal">
      <formula>"OK"</formula>
    </cfRule>
    <cfRule type="cellIs" dxfId="34" priority="18" stopIfTrue="1" operator="equal">
      <formula>"ERROR"</formula>
    </cfRule>
  </conditionalFormatting>
  <conditionalFormatting sqref="C4">
    <cfRule type="cellIs" dxfId="33" priority="19" stopIfTrue="1" operator="equal">
      <formula>"OK"</formula>
    </cfRule>
    <cfRule type="cellIs" dxfId="32" priority="20" stopIfTrue="1" operator="equal">
      <formula>"ERROR"</formula>
    </cfRule>
  </conditionalFormatting>
  <conditionalFormatting sqref="BD80:BT83">
    <cfRule type="cellIs" dxfId="31" priority="13" stopIfTrue="1" operator="equal">
      <formula>"OK"</formula>
    </cfRule>
    <cfRule type="cellIs" dxfId="30" priority="14" stopIfTrue="1" operator="equal">
      <formula>"ERROR"</formula>
    </cfRule>
  </conditionalFormatting>
  <conditionalFormatting sqref="BD55:BT55">
    <cfRule type="cellIs" dxfId="29" priority="11" stopIfTrue="1" operator="equal">
      <formula>"OK"</formula>
    </cfRule>
    <cfRule type="cellIs" dxfId="28" priority="12" stopIfTrue="1" operator="equal">
      <formula>"ERROR"</formula>
    </cfRule>
  </conditionalFormatting>
  <conditionalFormatting sqref="C64">
    <cfRule type="cellIs" dxfId="27" priority="21" stopIfTrue="1" operator="equal">
      <formula>"OK"</formula>
    </cfRule>
    <cfRule type="cellIs" dxfId="26" priority="22" stopIfTrue="1" operator="equal">
      <formula>"ERROR"</formula>
    </cfRule>
  </conditionalFormatting>
  <conditionalFormatting sqref="C7:C8">
    <cfRule type="cellIs" dxfId="25" priority="23" stopIfTrue="1" operator="equal">
      <formula>"OK"</formula>
    </cfRule>
    <cfRule type="cellIs" dxfId="24" priority="24" stopIfTrue="1" operator="equal">
      <formula>"ERROR"</formula>
    </cfRule>
  </conditionalFormatting>
  <conditionalFormatting sqref="T103:X119">
    <cfRule type="cellIs" dxfId="23" priority="25" stopIfTrue="1" operator="equal">
      <formula>"OK"</formula>
    </cfRule>
    <cfRule type="cellIs" dxfId="22" priority="26" stopIfTrue="1" operator="equal">
      <formula>"ERROR"</formula>
    </cfRule>
  </conditionalFormatting>
  <conditionalFormatting sqref="C88">
    <cfRule type="cellIs" dxfId="21" priority="27" stopIfTrue="1" operator="equal">
      <formula>"OK"</formula>
    </cfRule>
    <cfRule type="cellIs" dxfId="20" priority="28" stopIfTrue="1" operator="equal">
      <formula>"ERROR"</formula>
    </cfRule>
  </conditionalFormatting>
  <conditionalFormatting sqref="C9">
    <cfRule type="cellIs" dxfId="19" priority="29" stopIfTrue="1" operator="equal">
      <formula>"OK"</formula>
    </cfRule>
    <cfRule type="cellIs" dxfId="18" priority="30" stopIfTrue="1" operator="equal">
      <formula>"ERROR"</formula>
    </cfRule>
  </conditionalFormatting>
  <conditionalFormatting sqref="BD79:BT79">
    <cfRule type="cellIs" dxfId="17" priority="9" stopIfTrue="1" operator="equal">
      <formula>"OK"</formula>
    </cfRule>
    <cfRule type="cellIs" dxfId="16" priority="10" stopIfTrue="1" operator="equal">
      <formula>"ERROR"</formula>
    </cfRule>
  </conditionalFormatting>
  <conditionalFormatting sqref="T139:X155">
    <cfRule type="cellIs" dxfId="15" priority="7" stopIfTrue="1" operator="equal">
      <formula>"OK"</formula>
    </cfRule>
    <cfRule type="cellIs" dxfId="14" priority="8" stopIfTrue="1" operator="equal">
      <formula>"ERROR"</formula>
    </cfRule>
  </conditionalFormatting>
  <conditionalFormatting sqref="C124">
    <cfRule type="cellIs" dxfId="13" priority="5" stopIfTrue="1" operator="equal">
      <formula>"OK"</formula>
    </cfRule>
    <cfRule type="cellIs" dxfId="12" priority="6" stopIfTrue="1" operator="equal">
      <formula>"ERROR"</formula>
    </cfRule>
  </conditionalFormatting>
  <conditionalFormatting sqref="K173:L177">
    <cfRule type="cellIs" dxfId="11" priority="3" stopIfTrue="1" operator="equal">
      <formula>"OK"</formula>
    </cfRule>
    <cfRule type="cellIs" dxfId="10" priority="4" stopIfTrue="1" operator="equal">
      <formula>"ERROR"</formula>
    </cfRule>
  </conditionalFormatting>
  <conditionalFormatting sqref="C160">
    <cfRule type="cellIs" dxfId="9" priority="31" stopIfTrue="1" operator="equal">
      <formula>"OK"</formula>
    </cfRule>
    <cfRule type="cellIs" dxfId="8" priority="32" stopIfTrue="1" operator="equal">
      <formula>"ERROR"</formula>
    </cfRule>
  </conditionalFormatting>
  <conditionalFormatting sqref="K193:L197">
    <cfRule type="cellIs" dxfId="7" priority="1" stopIfTrue="1" operator="equal">
      <formula>"OK"</formula>
    </cfRule>
    <cfRule type="cellIs" dxfId="6" priority="2" stopIfTrue="1" operator="equal">
      <formula>"ERROR"</formula>
    </cfRule>
  </conditionalFormatting>
  <conditionalFormatting sqref="C182">
    <cfRule type="cellIs" dxfId="5" priority="33" stopIfTrue="1" operator="equal">
      <formula>"OK"</formula>
    </cfRule>
    <cfRule type="cellIs" dxfId="4" priority="34" stopIfTrue="1" operator="equal">
      <formula>"ERROR"</formula>
    </cfRule>
  </conditionalFormatting>
  <conditionalFormatting sqref="C10:C11">
    <cfRule type="cellIs" dxfId="3" priority="35" stopIfTrue="1" operator="equal">
      <formula>"OK"</formula>
    </cfRule>
    <cfRule type="cellIs" dxfId="2" priority="36" stopIfTrue="1" operator="equal">
      <formula>"ERROR"</formula>
    </cfRule>
  </conditionalFormatting>
  <conditionalFormatting sqref="C12">
    <cfRule type="cellIs" dxfId="1" priority="37" stopIfTrue="1" operator="equal">
      <formula>"OK"</formula>
    </cfRule>
    <cfRule type="cellIs" dxfId="0" priority="38" stopIfTrue="1" operator="equal">
      <formula>"ERROR"</formula>
    </cfRule>
  </conditionalFormatting>
  <hyperlinks>
    <hyperlink ref="B49:C49" location="TableFormatting.Test1.ResetTest" display="Reset Test" xr:uid="{C6E968F6-A89C-442F-A0AC-BA7ABF55F044}"/>
    <hyperlink ref="B73:C73" location="TableFormatting.Test2.ResetTest" display="Reset Test" xr:uid="{7E746732-EBEF-49E4-BE94-F57093061195}"/>
    <hyperlink ref="B97:C97" location="TableFormatting.Test3.ResetTest" display="Reset Test" xr:uid="{D41723A6-7013-49D9-B59B-B09BB98748D2}"/>
    <hyperlink ref="B133" location="TableFormatting.Test4.ResetTest" display="Reset Test" xr:uid="{917E8DDA-4904-498B-A095-7B7F3681FFF7}"/>
    <hyperlink ref="B133:C13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67" location="TableFormatting.Test4.ResetTest" display="Reset Test" xr:uid="{A346A7D6-BC13-45E1-A933-5844A359F14E}"/>
    <hyperlink ref="B167:C167" location="TableFormatting.Test5.ResetTest" display="Reset Test" xr:uid="{AE57B19C-0F52-459D-A81B-6B12F4B8A5E9}"/>
    <hyperlink ref="B187" location="TableFormatting.Test4.ResetTest" display="Reset Test" xr:uid="{3232C02B-4A1D-485A-87BF-BC3F4B1652B2}"/>
    <hyperlink ref="B187:C18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29</vt:i4>
      </vt:variant>
    </vt:vector>
  </HeadingPairs>
  <TitlesOfParts>
    <vt:vector size="38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Logic</vt:lpstr>
      <vt:lpstr>Table Formatting</vt:lpstr>
      <vt:lpstr>Curves.Title</vt:lpstr>
      <vt:lpstr>Logic.Title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2022-07-19T07:53:08Z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