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D2EE9BBC-75F5-4F3C-B1B9-C19BCFC6796F}" xr6:coauthVersionLast="47" xr6:coauthVersionMax="47" xr10:uidLastSave="{00000000-0000-0000-0000-000000000000}"/>
  <bookViews>
    <workbookView xWindow="-120" yWindow="-120" windowWidth="24240" windowHeight="13140" tabRatio="721" activeTab="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13" l="1"/>
  <c r="F41" i="13" s="1"/>
  <c r="C30" i="13"/>
  <c r="F29" i="13" s="1"/>
  <c r="C54" i="13"/>
  <c r="F53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AE100" i="15" a="1"/>
  <c r="AV20" i="17" a="1"/>
  <c r="O24" i="3" a="1"/>
  <c r="U22" i="17" a="1"/>
  <c r="P26" i="17" a="1"/>
  <c r="AJ20" i="17" a="1"/>
  <c r="E196" i="13" a="1"/>
  <c r="U24" i="17" a="1"/>
  <c r="E110" i="13" a="1"/>
  <c r="Q21" i="17" a="1"/>
  <c r="C242" i="13" a="1"/>
  <c r="E29" i="13" a="1"/>
  <c r="C247" i="13" a="1"/>
  <c r="X50" i="15" a="1"/>
  <c r="R24" i="17" a="1"/>
  <c r="C244" i="13" a="1"/>
  <c r="T25" i="17" a="1"/>
  <c r="C245" i="13" a="1"/>
  <c r="D245" i="13" a="1"/>
  <c r="D247" i="13" a="1"/>
  <c r="T21" i="17" a="1"/>
  <c r="D246" i="13" a="1"/>
  <c r="C19" i="1" a="1"/>
  <c r="Q23" i="17" a="1"/>
  <c r="P25" i="17" a="1"/>
  <c r="C243" i="13" a="1"/>
  <c r="F43" i="17" a="1"/>
  <c r="P24" i="17" a="1"/>
  <c r="U23" i="17" a="1"/>
  <c r="T24" i="17" a="1"/>
  <c r="F40" i="17" a="1"/>
  <c r="F41" i="17" a="1"/>
  <c r="S26" i="17" a="1"/>
  <c r="C24" i="13" a="1"/>
  <c r="S21" i="17" a="1"/>
  <c r="L65" i="13" a="1"/>
  <c r="C246" i="13" a="1"/>
  <c r="Q24" i="17" a="1"/>
  <c r="M38" i="17" a="1"/>
  <c r="D5" i="8" a="1"/>
  <c r="D50" i="15" a="1"/>
  <c r="S25" i="17" a="1"/>
  <c r="P21" i="17" a="1"/>
  <c r="E53" i="13" a="1"/>
  <c r="R21" i="17" a="1"/>
  <c r="R23" i="17" a="1"/>
  <c r="BG40" i="5" a="1"/>
  <c r="D243" i="13" a="1"/>
  <c r="Q25" i="17" a="1"/>
  <c r="D241" i="13" a="1"/>
  <c r="E100" i="15" a="1"/>
  <c r="R22" i="17" a="1"/>
  <c r="S65" i="13" a="1"/>
  <c r="D242" i="13" a="1"/>
  <c r="U26" i="17" a="1"/>
  <c r="E169" i="13" a="1"/>
  <c r="S24" i="17" a="1"/>
  <c r="R26" i="17" a="1"/>
  <c r="S22" i="17" a="1"/>
  <c r="BD63" i="5" a="1"/>
  <c r="T22" i="17" a="1"/>
  <c r="C36" i="13" a="1"/>
  <c r="BA18" i="14" a="1"/>
  <c r="T26" i="17" a="1"/>
  <c r="C241" i="13" a="1"/>
  <c r="T23" i="17" a="1"/>
  <c r="Q26" i="17" a="1"/>
  <c r="F38" i="17" a="1"/>
  <c r="F39" i="17" a="1"/>
  <c r="U25" i="17" a="1"/>
  <c r="F42" i="17" a="1"/>
  <c r="P23" i="17" a="1"/>
  <c r="BO18" i="14" a="1"/>
  <c r="S23" i="17" a="1"/>
  <c r="AI65" i="13" a="1"/>
  <c r="D24" i="3" a="1"/>
  <c r="E41" i="13" a="1"/>
  <c r="D244" i="13" a="1"/>
  <c r="R100" i="15" a="1"/>
  <c r="Q22" i="17" a="1"/>
  <c r="P22" i="17" a="1"/>
  <c r="U21" i="17" a="1"/>
  <c r="Z65" i="13" a="1"/>
  <c r="R25" i="17" a="1"/>
  <c r="E65" i="13" a="1"/>
  <c r="R100" i="15" l="1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65" i="13"/>
  <c r="E65" i="13"/>
  <c r="BG40" i="5"/>
  <c r="BD63" i="5"/>
  <c r="Z65" i="13"/>
  <c r="C36" i="13"/>
  <c r="D8" i="13" s="1"/>
  <c r="E29" i="13"/>
  <c r="E41" i="13"/>
  <c r="C24" i="13"/>
  <c r="D7" i="13" s="1"/>
  <c r="G24" i="17"/>
  <c r="E53" i="13"/>
  <c r="C19" i="1"/>
  <c r="D246" i="13"/>
  <c r="G25" i="17"/>
  <c r="D244" i="13"/>
  <c r="D243" i="13"/>
  <c r="D245" i="13"/>
  <c r="D247" i="13"/>
  <c r="D241" i="13"/>
  <c r="D242" i="13"/>
  <c r="G22" i="17"/>
  <c r="G23" i="17"/>
  <c r="G26" i="17"/>
  <c r="C244" i="13"/>
  <c r="C242" i="13"/>
  <c r="C243" i="13"/>
  <c r="C241" i="13"/>
  <c r="C247" i="13"/>
  <c r="C246" i="13"/>
  <c r="C245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65" i="13"/>
  <c r="O24" i="3"/>
  <c r="AI65" i="13"/>
  <c r="E110" i="13"/>
  <c r="D24" i="3"/>
  <c r="E169" i="13"/>
  <c r="E199" i="13"/>
  <c r="E196" i="13"/>
  <c r="E197" i="13"/>
  <c r="E198" i="13"/>
  <c r="E200" i="13"/>
  <c r="M38" i="17"/>
  <c r="F38" i="17"/>
  <c r="F39" i="17"/>
  <c r="F40" i="17"/>
  <c r="F41" i="17"/>
  <c r="F42" i="17"/>
  <c r="F43" i="17"/>
  <c r="U100" i="15" a="1"/>
  <c r="AD21" i="17" a="1"/>
  <c r="BI18" i="14" a="1"/>
  <c r="AA21" i="17" a="1"/>
  <c r="Z22" i="17" a="1"/>
  <c r="Z23" i="17" a="1"/>
  <c r="Z21" i="17" a="1"/>
  <c r="AC25" i="17" a="1"/>
  <c r="AA25" i="17" a="1"/>
  <c r="D6" i="8" a="1"/>
  <c r="D86" i="1" a="1"/>
  <c r="AA22" i="17" a="1"/>
  <c r="J100" i="15" a="1"/>
  <c r="AJ100" i="15" a="1"/>
  <c r="Y24" i="17" a="1"/>
  <c r="AC23" i="17" a="1"/>
  <c r="AD23" i="17" a="1"/>
  <c r="H42" i="17" a="1"/>
  <c r="D50" i="1" a="1"/>
  <c r="AB23" i="17" a="1"/>
  <c r="AB21" i="17" a="1"/>
  <c r="AA26" i="17" a="1"/>
  <c r="AB26" i="17" a="1"/>
  <c r="AD25" i="17" a="1"/>
  <c r="G29" i="13" a="1"/>
  <c r="AA23" i="17" a="1"/>
  <c r="AC24" i="17" a="1"/>
  <c r="AA24" i="17" a="1"/>
  <c r="Z25" i="17" a="1"/>
  <c r="H43" i="17" a="1"/>
  <c r="Z24" i="17" a="1"/>
  <c r="H41" i="17" a="1"/>
  <c r="H39" i="17" a="1"/>
  <c r="Y22" i="17" a="1"/>
  <c r="BW18" i="14" a="1"/>
  <c r="Y26" i="17" a="1"/>
  <c r="H40" i="17" a="1"/>
  <c r="AD24" i="17" a="1"/>
  <c r="G53" i="13" a="1"/>
  <c r="E86" i="1" a="1"/>
  <c r="AC21" i="17" a="1"/>
  <c r="AD22" i="17" a="1"/>
  <c r="AP20" i="17" a="1"/>
  <c r="BB20" i="17" a="1"/>
  <c r="AB24" i="17" a="1"/>
  <c r="G41" i="13" a="1"/>
  <c r="S38" i="17" a="1"/>
  <c r="Z26" i="17" a="1"/>
  <c r="Y21" i="17" a="1"/>
  <c r="AB22" i="17" a="1"/>
  <c r="Y23" i="17" a="1"/>
  <c r="H38" i="17" a="1"/>
  <c r="D48" i="1" a="1"/>
  <c r="N65" i="13" a="1"/>
  <c r="AB25" i="17" a="1"/>
  <c r="AQ65" i="13" a="1"/>
  <c r="AC22" i="17" a="1"/>
  <c r="AC26" i="17" a="1"/>
  <c r="Y25" i="17" a="1"/>
  <c r="AD26" i="17" a="1"/>
  <c r="U100" i="15" l="1"/>
  <c r="AJ100" i="15"/>
  <c r="J100" i="15"/>
  <c r="J50" i="15"/>
  <c r="AD50" i="15"/>
  <c r="AE50" i="15"/>
  <c r="BW18" i="14"/>
  <c r="N65" i="13"/>
  <c r="BI18" i="14"/>
  <c r="G53" i="13"/>
  <c r="G41" i="13"/>
  <c r="G29" i="13"/>
  <c r="AQ65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42" i="13" a="1"/>
  <c r="F86" i="1" a="1"/>
  <c r="R86" i="1" a="1"/>
  <c r="U86" i="1" a="1"/>
  <c r="C95" i="15" a="1"/>
  <c r="E243" i="13" a="1"/>
  <c r="E244" i="13" a="1"/>
  <c r="O86" i="1" a="1"/>
  <c r="E245" i="13" a="1"/>
  <c r="L86" i="1" a="1"/>
  <c r="AD53" i="15" a="1"/>
  <c r="E247" i="13" a="1"/>
  <c r="C35" i="17" a="1"/>
  <c r="I86" i="1" a="1"/>
  <c r="E246" i="13" a="1"/>
  <c r="E241" i="13" a="1"/>
  <c r="C48" i="13" a="1"/>
  <c r="AE53" i="15" a="1"/>
  <c r="C95" i="15" l="1"/>
  <c r="E10" i="15" s="1"/>
  <c r="AE53" i="15"/>
  <c r="AD53" i="15"/>
  <c r="C48" i="13"/>
  <c r="D9" i="13" s="1"/>
  <c r="E243" i="13"/>
  <c r="E246" i="13"/>
  <c r="E245" i="13"/>
  <c r="E244" i="13"/>
  <c r="E242" i="13"/>
  <c r="E241" i="13"/>
  <c r="E247" i="13"/>
  <c r="U86" i="1"/>
  <c r="O86" i="1"/>
  <c r="L86" i="1"/>
  <c r="I86" i="1"/>
  <c r="R86" i="1"/>
  <c r="F86" i="1"/>
  <c r="C35" i="17"/>
  <c r="C31" i="17" a="1"/>
  <c r="C236" i="13" a="1"/>
  <c r="C236" i="13" l="1"/>
  <c r="D19" i="13" s="1"/>
  <c r="C31" i="17"/>
  <c r="D8" i="17" s="1"/>
  <c r="F18" i="19" l="1"/>
  <c r="C37" i="19"/>
  <c r="G35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W222" i="5" a="1"/>
  <c r="W219" i="5" a="1"/>
  <c r="L95" i="13" a="1"/>
  <c r="V220" i="5" a="1"/>
  <c r="W221" i="5" a="1"/>
  <c r="W218" i="5" a="1"/>
  <c r="X221" i="5" a="1"/>
  <c r="E35" i="9" a="1"/>
  <c r="T20" i="15" a="1"/>
  <c r="L80" i="13" a="1"/>
  <c r="W217" i="5" a="1"/>
  <c r="V221" i="5" a="1"/>
  <c r="T88" i="5" a="1"/>
  <c r="T92" i="5" a="1"/>
  <c r="S95" i="13" a="1"/>
  <c r="J30" i="14" a="1"/>
  <c r="T102" i="5" a="1"/>
  <c r="G176" i="13" a="1"/>
  <c r="T219" i="5" a="1"/>
  <c r="AR20" i="15" a="1"/>
  <c r="W223" i="5" a="1"/>
  <c r="S196" i="13" a="1"/>
  <c r="U222" i="5" a="1"/>
  <c r="M110" i="13" a="1"/>
  <c r="L196" i="13" a="1"/>
  <c r="AF20" i="15" a="1"/>
  <c r="AM18" i="14" a="1"/>
  <c r="T100" i="5" a="1"/>
  <c r="CC18" i="14" a="1"/>
  <c r="T94" i="5" a="1"/>
  <c r="B227" i="13" a="1"/>
  <c r="T99" i="5" a="1"/>
  <c r="O230" i="13" a="1"/>
  <c r="U221" i="5" a="1"/>
  <c r="BM30" i="14" a="1"/>
  <c r="E80" i="13" a="1"/>
  <c r="F20" i="15" a="1"/>
  <c r="N230" i="13" a="1"/>
  <c r="L228" i="13" a="1"/>
  <c r="T96" i="5" a="1"/>
  <c r="G175" i="13" a="1"/>
  <c r="T218" i="5" a="1"/>
  <c r="T91" i="5" a="1"/>
  <c r="V18" i="19" a="1"/>
  <c r="T222" i="5" a="1"/>
  <c r="M228" i="13" a="1"/>
  <c r="AU30" i="14" a="1"/>
  <c r="U223" i="5" a="1"/>
  <c r="AA196" i="13" a="1"/>
  <c r="M229" i="13" a="1"/>
  <c r="X220" i="5" a="1"/>
  <c r="X217" i="5" a="1"/>
  <c r="F18" i="14" a="1"/>
  <c r="S169" i="13" a="1"/>
  <c r="U220" i="5" a="1"/>
  <c r="T97" i="5" a="1"/>
  <c r="O228" i="13" a="1"/>
  <c r="T98" i="5" a="1"/>
  <c r="T223" i="5" a="1"/>
  <c r="B212" i="13" a="1"/>
  <c r="H213" i="13" a="1"/>
  <c r="U219" i="5" a="1"/>
  <c r="AE18" i="14" a="1"/>
  <c r="AI110" i="13" a="1"/>
  <c r="I213" i="13" a="1"/>
  <c r="B124" i="13" a="1"/>
  <c r="U217" i="5" a="1"/>
  <c r="L130" i="13" a="1"/>
  <c r="M152" i="13" a="1"/>
  <c r="AI30" i="14" a="1"/>
  <c r="F34" i="15" a="1"/>
  <c r="G174" i="13" a="1"/>
  <c r="L230" i="13" a="1"/>
  <c r="G177" i="13" a="1"/>
  <c r="T103" i="5" a="1"/>
  <c r="T101" i="5" a="1"/>
  <c r="W220" i="5" a="1"/>
  <c r="X219" i="5" a="1"/>
  <c r="M127" i="13" a="1"/>
  <c r="T220" i="5" a="1"/>
  <c r="L142" i="13" a="1"/>
  <c r="L169" i="13" a="1"/>
  <c r="O227" i="13" a="1"/>
  <c r="O136" i="13" a="1"/>
  <c r="S80" i="13" a="1"/>
  <c r="X223" i="5" a="1"/>
  <c r="T93" i="5" a="1"/>
  <c r="T34" i="15" a="1"/>
  <c r="T90" i="5" a="1"/>
  <c r="E95" i="13" a="1"/>
  <c r="X218" i="5" a="1"/>
  <c r="V219" i="5" a="1"/>
  <c r="M231" i="13" a="1"/>
  <c r="X222" i="5" a="1"/>
  <c r="M137" i="13" a="1"/>
  <c r="T221" i="5" a="1"/>
  <c r="N152" i="13" a="1"/>
  <c r="O138" i="13" a="1"/>
  <c r="L155" i="13" a="1"/>
  <c r="O156" i="13" a="1"/>
  <c r="M145" i="13" a="1"/>
  <c r="N136" i="13" a="1"/>
  <c r="T87" i="5" a="1"/>
  <c r="N133" i="13" a="1"/>
  <c r="O149" i="13" a="1"/>
  <c r="L147" i="13" a="1"/>
  <c r="N156" i="13" a="1"/>
  <c r="N132" i="13" a="1"/>
  <c r="N18" i="14" a="1"/>
  <c r="G173" i="13" a="1"/>
  <c r="T89" i="5" a="1"/>
  <c r="V223" i="5" a="1"/>
  <c r="L231" i="13" a="1"/>
  <c r="G171" i="13" a="1"/>
  <c r="AB80" i="13" a="1"/>
  <c r="E35" i="19" a="1"/>
  <c r="AD36" i="15" a="1"/>
  <c r="H18" i="19" a="1"/>
  <c r="O148" i="13" a="1"/>
  <c r="W30" i="14" a="1"/>
  <c r="N231" i="13" a="1"/>
  <c r="M140" i="13" a="1"/>
  <c r="M147" i="13" a="1"/>
  <c r="M132" i="13" a="1"/>
  <c r="N147" i="13" a="1"/>
  <c r="O153" i="13" a="1"/>
  <c r="M131" i="13" a="1"/>
  <c r="L131" i="13" a="1"/>
  <c r="N148" i="13" a="1"/>
  <c r="M125" i="13" a="1"/>
  <c r="I214" i="13" a="1"/>
  <c r="M153" i="13" a="1"/>
  <c r="T217" i="5" a="1"/>
  <c r="G170" i="13" a="1"/>
  <c r="T95" i="5" a="1"/>
  <c r="O18" i="19" a="1"/>
  <c r="AB95" i="13" a="1"/>
  <c r="M50" i="15" a="1"/>
  <c r="M135" i="13" a="1"/>
  <c r="U218" i="5" a="1"/>
  <c r="O125" i="13" a="1"/>
  <c r="V222" i="5" a="1"/>
  <c r="U110" i="13" a="1"/>
  <c r="V217" i="5" a="1"/>
  <c r="N227" i="13" a="1"/>
  <c r="L154" i="13" a="1"/>
  <c r="O132" i="13" a="1"/>
  <c r="M150" i="13" a="1"/>
  <c r="O155" i="13" a="1"/>
  <c r="O135" i="13" a="1"/>
  <c r="N141" i="13" a="1"/>
  <c r="M142" i="13" a="1"/>
  <c r="L148" i="13" a="1"/>
  <c r="L152" i="13" a="1"/>
  <c r="V218" i="5" a="1"/>
  <c r="N229" i="13" a="1"/>
  <c r="W18" i="14" a="1"/>
  <c r="M155" i="13" a="1"/>
  <c r="M227" i="13" a="1"/>
  <c r="N228" i="13" a="1"/>
  <c r="L229" i="13" a="1"/>
  <c r="O229" i="13" a="1"/>
  <c r="M230" i="13" a="1"/>
  <c r="O231" i="13" a="1"/>
  <c r="H215" i="13" a="1"/>
  <c r="I215" i="13" a="1"/>
  <c r="I216" i="13" a="1"/>
  <c r="L151" i="13" a="1"/>
  <c r="L156" i="13" a="1"/>
  <c r="M154" i="13" a="1"/>
  <c r="O137" i="13" a="1"/>
  <c r="L153" i="13" a="1"/>
  <c r="N157" i="13" a="1"/>
  <c r="L146" i="13" a="1"/>
  <c r="L135" i="13" a="1"/>
  <c r="N125" i="13" a="1"/>
  <c r="N124" i="13" a="1"/>
  <c r="N144" i="13" a="1"/>
  <c r="M141" i="13" a="1"/>
  <c r="L136" i="13" a="1"/>
  <c r="O130" i="13" a="1"/>
  <c r="N129" i="13" a="1"/>
  <c r="N127" i="13" a="1"/>
  <c r="O139" i="13" a="1"/>
  <c r="M129" i="13" a="1"/>
  <c r="N142" i="13" a="1"/>
  <c r="L128" i="13" a="1"/>
  <c r="N151" i="13" a="1"/>
  <c r="O126" i="13" a="1"/>
  <c r="N137" i="13" a="1"/>
  <c r="M139" i="13" a="1"/>
  <c r="N158" i="13" a="1"/>
  <c r="O157" i="13" a="1"/>
  <c r="M133" i="13" a="1"/>
  <c r="L157" i="13" a="1"/>
  <c r="O141" i="13" a="1"/>
  <c r="L132" i="13" a="1"/>
  <c r="M134" i="13" a="1"/>
  <c r="M128" i="13" a="1"/>
  <c r="N145" i="13" a="1"/>
  <c r="N128" i="13" a="1"/>
  <c r="N126" i="13" a="1"/>
  <c r="O146" i="13" a="1"/>
  <c r="L127" i="13" a="1"/>
  <c r="L149" i="13" a="1"/>
  <c r="O144" i="13" a="1"/>
  <c r="M126" i="13" a="1"/>
  <c r="L138" i="13" a="1"/>
  <c r="M124" i="13" a="1"/>
  <c r="L134" i="13" a="1"/>
  <c r="M148" i="13" a="1"/>
  <c r="L150" i="13" a="1"/>
  <c r="L141" i="13" a="1"/>
  <c r="O151" i="13" a="1"/>
  <c r="L137" i="13" a="1"/>
  <c r="N138" i="13" a="1"/>
  <c r="M151" i="13" a="1"/>
  <c r="N150" i="13" a="1"/>
  <c r="N140" i="13" a="1"/>
  <c r="L133" i="13" a="1"/>
  <c r="L158" i="13" a="1"/>
  <c r="N130" i="13" a="1"/>
  <c r="O147" i="13" a="1"/>
  <c r="O140" i="13" a="1"/>
  <c r="M158" i="13" a="1"/>
  <c r="M130" i="13" a="1"/>
  <c r="O154" i="13" a="1"/>
  <c r="O158" i="13" a="1"/>
  <c r="N155" i="13" a="1"/>
  <c r="O124" i="13" a="1"/>
  <c r="O131" i="13" a="1"/>
  <c r="O142" i="13" a="1"/>
  <c r="O143" i="13" a="1"/>
  <c r="M136" i="13" a="1"/>
  <c r="L144" i="13" a="1"/>
  <c r="N143" i="13" a="1"/>
  <c r="M149" i="13" a="1"/>
  <c r="M144" i="13" a="1"/>
  <c r="M138" i="13" a="1"/>
  <c r="N149" i="13" a="1"/>
  <c r="O128" i="13" a="1"/>
  <c r="L129" i="13" a="1"/>
  <c r="N153" i="13" a="1"/>
  <c r="O129" i="13" a="1"/>
  <c r="N139" i="13" a="1"/>
  <c r="O145" i="13" a="1"/>
  <c r="O133" i="13" a="1"/>
  <c r="L145" i="13" a="1"/>
  <c r="N135" i="13" a="1"/>
  <c r="N146" i="13" a="1"/>
  <c r="L125" i="13" a="1"/>
  <c r="L143" i="13" a="1"/>
  <c r="L140" i="13" a="1"/>
  <c r="N131" i="13" a="1"/>
  <c r="M146" i="13" a="1"/>
  <c r="O134" i="13" a="1"/>
  <c r="O127" i="13" a="1"/>
  <c r="M157" i="13" a="1"/>
  <c r="N154" i="13" a="1"/>
  <c r="N134" i="13" a="1"/>
  <c r="O150" i="13" a="1"/>
  <c r="M156" i="13" a="1"/>
  <c r="L139" i="13" a="1"/>
  <c r="O152" i="13" a="1"/>
  <c r="L126" i="13" a="1"/>
  <c r="M143" i="13" a="1"/>
  <c r="AD35" i="15" a="1"/>
  <c r="AC35" i="15" a="1"/>
  <c r="AB35" i="15" a="1"/>
  <c r="AD34" i="15" a="1"/>
  <c r="AC34" i="15" a="1"/>
  <c r="L158" i="13" l="1"/>
  <c r="M158" i="13"/>
  <c r="O158" i="13"/>
  <c r="N158" i="13"/>
  <c r="O18" i="19"/>
  <c r="V18" i="19"/>
  <c r="O37" i="19"/>
  <c r="V37" i="19"/>
  <c r="H18" i="19"/>
  <c r="E35" i="19"/>
  <c r="F19" i="19"/>
  <c r="I18" i="19" s="1"/>
  <c r="W30" i="14"/>
  <c r="E95" i="13"/>
  <c r="L95" i="13"/>
  <c r="AI110" i="13"/>
  <c r="E80" i="13"/>
  <c r="S95" i="13"/>
  <c r="B124" i="13"/>
  <c r="S198" i="13"/>
  <c r="S196" i="13"/>
  <c r="S199" i="13"/>
  <c r="S200" i="13"/>
  <c r="S197" i="13"/>
  <c r="U110" i="13"/>
  <c r="AB95" i="13"/>
  <c r="AA196" i="13"/>
  <c r="S80" i="13"/>
  <c r="L169" i="13"/>
  <c r="B212" i="13"/>
  <c r="L80" i="13"/>
  <c r="AB80" i="13"/>
  <c r="M110" i="13"/>
  <c r="S169" i="13"/>
  <c r="L196" i="13"/>
  <c r="L199" i="13"/>
  <c r="L197" i="13"/>
  <c r="L198" i="13"/>
  <c r="L200" i="13"/>
  <c r="B227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5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30" i="13"/>
  <c r="L229" i="13"/>
  <c r="L228" i="13"/>
  <c r="O229" i="13"/>
  <c r="O231" i="13"/>
  <c r="M227" i="13"/>
  <c r="O230" i="13"/>
  <c r="M228" i="13"/>
  <c r="M230" i="13"/>
  <c r="N227" i="13"/>
  <c r="M125" i="13"/>
  <c r="M127" i="13"/>
  <c r="M129" i="13"/>
  <c r="M131" i="13"/>
  <c r="M133" i="13"/>
  <c r="M135" i="13"/>
  <c r="M137" i="13"/>
  <c r="M139" i="13"/>
  <c r="M143" i="13"/>
  <c r="M147" i="13"/>
  <c r="M149" i="13"/>
  <c r="M153" i="13"/>
  <c r="M157" i="13"/>
  <c r="L140" i="13"/>
  <c r="N125" i="13"/>
  <c r="N127" i="13"/>
  <c r="N129" i="13"/>
  <c r="N131" i="13"/>
  <c r="N133" i="13"/>
  <c r="N135" i="13"/>
  <c r="N137" i="13"/>
  <c r="N139" i="13"/>
  <c r="N141" i="13"/>
  <c r="N143" i="13"/>
  <c r="N145" i="13"/>
  <c r="N147" i="13"/>
  <c r="N149" i="13"/>
  <c r="N151" i="13"/>
  <c r="N153" i="13"/>
  <c r="N155" i="13"/>
  <c r="N157" i="13"/>
  <c r="L129" i="13"/>
  <c r="L135" i="13"/>
  <c r="L141" i="13"/>
  <c r="L147" i="13"/>
  <c r="L153" i="13"/>
  <c r="N231" i="13"/>
  <c r="L146" i="13"/>
  <c r="L134" i="13"/>
  <c r="M155" i="13"/>
  <c r="M141" i="13"/>
  <c r="H215" i="13"/>
  <c r="M229" i="13"/>
  <c r="L157" i="13"/>
  <c r="L145" i="13"/>
  <c r="L133" i="13"/>
  <c r="O154" i="13"/>
  <c r="O150" i="13"/>
  <c r="O148" i="13"/>
  <c r="O146" i="13"/>
  <c r="O142" i="13"/>
  <c r="O140" i="13"/>
  <c r="O138" i="13"/>
  <c r="O136" i="13"/>
  <c r="O134" i="13"/>
  <c r="O132" i="13"/>
  <c r="O130" i="13"/>
  <c r="O128" i="13"/>
  <c r="O126" i="13"/>
  <c r="O124" i="13"/>
  <c r="I214" i="13"/>
  <c r="N229" i="13"/>
  <c r="L152" i="13"/>
  <c r="L128" i="13"/>
  <c r="M151" i="13"/>
  <c r="M145" i="13"/>
  <c r="I213" i="13"/>
  <c r="M231" i="13"/>
  <c r="L151" i="13"/>
  <c r="L139" i="13"/>
  <c r="L127" i="13"/>
  <c r="O156" i="13"/>
  <c r="O152" i="13"/>
  <c r="O144" i="13"/>
  <c r="L231" i="13"/>
  <c r="L150" i="13"/>
  <c r="L156" i="13"/>
  <c r="L138" i="13"/>
  <c r="L126" i="13"/>
  <c r="N154" i="13"/>
  <c r="N148" i="13"/>
  <c r="N144" i="13"/>
  <c r="N140" i="13"/>
  <c r="N138" i="13"/>
  <c r="N134" i="13"/>
  <c r="N132" i="13"/>
  <c r="N130" i="13"/>
  <c r="N126" i="13"/>
  <c r="N124" i="13"/>
  <c r="O228" i="13"/>
  <c r="L144" i="13"/>
  <c r="L132" i="13"/>
  <c r="N156" i="13"/>
  <c r="N152" i="13"/>
  <c r="N150" i="13"/>
  <c r="N146" i="13"/>
  <c r="N142" i="13"/>
  <c r="N136" i="13"/>
  <c r="N128" i="13"/>
  <c r="H213" i="13"/>
  <c r="O227" i="13"/>
  <c r="N230" i="13"/>
  <c r="N228" i="13"/>
  <c r="L155" i="13"/>
  <c r="L149" i="13"/>
  <c r="L143" i="13"/>
  <c r="L137" i="13"/>
  <c r="L131" i="13"/>
  <c r="L125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I216" i="13"/>
  <c r="L154" i="13"/>
  <c r="L148" i="13"/>
  <c r="L142" i="13"/>
  <c r="L136" i="13"/>
  <c r="L130" i="13"/>
  <c r="O157" i="13"/>
  <c r="O155" i="13"/>
  <c r="O153" i="13"/>
  <c r="O151" i="13"/>
  <c r="O149" i="13"/>
  <c r="O147" i="13"/>
  <c r="O145" i="13"/>
  <c r="O143" i="13"/>
  <c r="O141" i="13"/>
  <c r="O139" i="13"/>
  <c r="O137" i="13"/>
  <c r="O135" i="13"/>
  <c r="O133" i="13"/>
  <c r="O131" i="13"/>
  <c r="O129" i="13"/>
  <c r="O127" i="13"/>
  <c r="O125" i="13"/>
  <c r="I215" i="13"/>
  <c r="G177" i="13"/>
  <c r="G171" i="13"/>
  <c r="G176" i="13"/>
  <c r="G170" i="13"/>
  <c r="G175" i="13"/>
  <c r="G174" i="13"/>
  <c r="G17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W80" i="13" a="1"/>
  <c r="M21" i="15" a="1"/>
  <c r="U197" i="13" a="1"/>
  <c r="N20" i="15" a="1"/>
  <c r="AJ95" i="13" a="1"/>
  <c r="N199" i="13" a="1"/>
  <c r="N178" i="13" a="1"/>
  <c r="N180" i="13" a="1"/>
  <c r="N22" i="15" a="1"/>
  <c r="J18" i="19" a="1"/>
  <c r="U199" i="13" a="1"/>
  <c r="C203" i="5" a="1"/>
  <c r="L34" i="15" a="1"/>
  <c r="BC30" i="14" a="1"/>
  <c r="N200" i="13" a="1"/>
  <c r="N184" i="13" a="1"/>
  <c r="U198" i="13" a="1"/>
  <c r="H216" i="13" a="1"/>
  <c r="U200" i="13" a="1"/>
  <c r="N198" i="13" a="1"/>
  <c r="G80" i="13" a="1"/>
  <c r="U65" i="13" a="1"/>
  <c r="AD65" i="13" a="1"/>
  <c r="N169" i="13" a="1"/>
  <c r="G110" i="13" a="1"/>
  <c r="H212" i="13" a="1"/>
  <c r="Q18" i="19" a="1"/>
  <c r="G199" i="13" a="1"/>
  <c r="N175" i="13" a="1"/>
  <c r="O110" i="13" a="1"/>
  <c r="N177" i="13" a="1"/>
  <c r="L227" i="13" a="1"/>
  <c r="M34" i="15" a="1"/>
  <c r="AC110" i="13" a="1"/>
  <c r="M20" i="15" a="1"/>
  <c r="M35" i="15" a="1"/>
  <c r="L21" i="15" a="1"/>
  <c r="X35" i="19" a="1"/>
  <c r="AB34" i="15" a="1"/>
  <c r="G95" i="13" a="1"/>
  <c r="L20" i="15" a="1"/>
  <c r="N80" i="13" a="1"/>
  <c r="AX20" i="15" a="1"/>
  <c r="N196" i="13" a="1"/>
  <c r="AC36" i="15" a="1"/>
  <c r="AS110" i="13" a="1"/>
  <c r="N174" i="13" a="1"/>
  <c r="X18" i="19" a="1"/>
  <c r="N173" i="13" a="1"/>
  <c r="Y30" i="14" a="1"/>
  <c r="G169" i="13" a="1"/>
  <c r="N21" i="15" a="1"/>
  <c r="N170" i="13" a="1"/>
  <c r="AU18" i="14" a="1"/>
  <c r="G65" i="13" a="1"/>
  <c r="N181" i="13" a="1"/>
  <c r="H214" i="13" a="1"/>
  <c r="N176" i="13" a="1"/>
  <c r="W95" i="13" a="1"/>
  <c r="N172" i="13" a="1"/>
  <c r="M22" i="15" a="1"/>
  <c r="U196" i="13" a="1"/>
  <c r="Q35" i="19" a="1"/>
  <c r="AL20" i="15" a="1"/>
  <c r="Z20" i="15" a="1"/>
  <c r="L30" i="14" a="1"/>
  <c r="N197" i="13" a="1"/>
  <c r="N171" i="13" a="1"/>
  <c r="G198" i="13" a="1"/>
  <c r="Y18" i="14" a="1"/>
  <c r="G196" i="13" a="1"/>
  <c r="N183" i="13" a="1"/>
  <c r="L35" i="15" a="1"/>
  <c r="N182" i="13" a="1"/>
  <c r="G197" i="13" a="1"/>
  <c r="CI18" i="14" a="1"/>
  <c r="AG18" i="14" a="1"/>
  <c r="BU30" i="14" a="1"/>
  <c r="AJ80" i="13" a="1"/>
  <c r="L124" i="13" a="1"/>
  <c r="AA169" i="13" a="1"/>
  <c r="N186" i="13" a="1"/>
  <c r="H18" i="14" a="1"/>
  <c r="G172" i="13" a="1"/>
  <c r="AB36" i="15" a="1"/>
  <c r="I212" i="13" a="1"/>
  <c r="N95" i="13" a="1"/>
  <c r="L22" i="15" a="1"/>
  <c r="AK30" i="14" a="1"/>
  <c r="AI196" i="13" a="1"/>
  <c r="N179" i="13" a="1"/>
  <c r="G200" i="13" a="1"/>
  <c r="P18" i="14" a="1"/>
  <c r="N185" i="13" a="1"/>
  <c r="H35" i="19" a="1"/>
  <c r="I212" i="13" l="1"/>
  <c r="AB36" i="15"/>
  <c r="M35" i="15"/>
  <c r="BU30" i="14"/>
  <c r="Z20" i="15"/>
  <c r="AX20" i="15"/>
  <c r="AL20" i="15"/>
  <c r="AC110" i="13"/>
  <c r="AA169" i="13"/>
  <c r="M34" i="15"/>
  <c r="X18" i="19"/>
  <c r="H214" i="13"/>
  <c r="L35" i="15"/>
  <c r="AC36" i="15"/>
  <c r="Q18" i="19"/>
  <c r="B3" i="8"/>
  <c r="X35" i="19"/>
  <c r="Q35" i="19"/>
  <c r="H35" i="19"/>
  <c r="J18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196" i="13"/>
  <c r="H216" i="13"/>
  <c r="N200" i="13"/>
  <c r="U200" i="13"/>
  <c r="N196" i="13"/>
  <c r="N198" i="13"/>
  <c r="U199" i="13"/>
  <c r="N197" i="13"/>
  <c r="U198" i="13"/>
  <c r="U197" i="13"/>
  <c r="G198" i="13"/>
  <c r="U196" i="13"/>
  <c r="G197" i="13"/>
  <c r="G196" i="13"/>
  <c r="G200" i="13"/>
  <c r="L124" i="13"/>
  <c r="G199" i="13"/>
  <c r="L227" i="13"/>
  <c r="N199" i="13"/>
  <c r="O110" i="13"/>
  <c r="H212" i="13"/>
  <c r="AS110" i="13"/>
  <c r="G172" i="13"/>
  <c r="G110" i="13"/>
  <c r="G95" i="13"/>
  <c r="N80" i="13"/>
  <c r="N95" i="13"/>
  <c r="W80" i="13"/>
  <c r="AJ95" i="13"/>
  <c r="AJ80" i="13"/>
  <c r="W95" i="13"/>
  <c r="G80" i="13"/>
  <c r="N180" i="13"/>
  <c r="N175" i="13"/>
  <c r="N183" i="13"/>
  <c r="G169" i="13"/>
  <c r="N177" i="13"/>
  <c r="N181" i="13"/>
  <c r="N182" i="13"/>
  <c r="N185" i="13"/>
  <c r="N179" i="13"/>
  <c r="N169" i="13"/>
  <c r="N184" i="13"/>
  <c r="N173" i="13"/>
  <c r="N178" i="13"/>
  <c r="N172" i="13"/>
  <c r="N186" i="13"/>
  <c r="N171" i="13"/>
  <c r="N176" i="13"/>
  <c r="N170" i="13"/>
  <c r="N174" i="13"/>
  <c r="U65" i="13"/>
  <c r="G65" i="13"/>
  <c r="AD6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119" i="13" a="1"/>
  <c r="C75" i="13" a="1"/>
  <c r="T39" i="3" a="1"/>
  <c r="T26" i="3" a="1"/>
  <c r="J53" i="15" a="1"/>
  <c r="C105" i="13" a="1"/>
  <c r="C13" i="19" a="1"/>
  <c r="C28" i="15" a="1"/>
  <c r="T33" i="3" a="1"/>
  <c r="S53" i="15" a="1"/>
  <c r="T23" i="3" a="1"/>
  <c r="C222" i="13" a="1"/>
  <c r="T29" i="3" a="1"/>
  <c r="C60" i="13" a="1"/>
  <c r="C13" i="14" a="1"/>
  <c r="T30" i="3" a="1"/>
  <c r="T25" i="3" a="1"/>
  <c r="C17" i="17" a="1"/>
  <c r="T37" i="3" a="1"/>
  <c r="S35" i="19" a="1"/>
  <c r="C191" i="13" a="1"/>
  <c r="T24" i="3" a="1"/>
  <c r="C15" i="15" a="1"/>
  <c r="T35" i="3" a="1"/>
  <c r="C25" i="14" a="1"/>
  <c r="T31" i="3" a="1"/>
  <c r="Z35" i="19" a="1"/>
  <c r="C164" i="13" a="1"/>
  <c r="T32" i="3" a="1"/>
  <c r="T36" i="3" a="1"/>
  <c r="C207" i="13" a="1"/>
  <c r="T38" i="3" a="1"/>
  <c r="T34" i="3" a="1"/>
  <c r="T28" i="3" a="1"/>
  <c r="T27" i="3" a="1"/>
  <c r="C90" i="13" a="1"/>
  <c r="K53" i="15" a="1"/>
  <c r="T53" i="15" a="1"/>
  <c r="C13" i="14" l="1"/>
  <c r="D7" i="14" s="1"/>
  <c r="C25" i="14"/>
  <c r="D8" i="14" s="1"/>
  <c r="C60" i="13"/>
  <c r="D10" i="13" s="1"/>
  <c r="C119" i="13"/>
  <c r="D14" i="13" s="1"/>
  <c r="C13" i="19"/>
  <c r="D7" i="19" s="1"/>
  <c r="C17" i="17"/>
  <c r="S35" i="19"/>
  <c r="Z35" i="19"/>
  <c r="K53" i="15"/>
  <c r="T53" i="15"/>
  <c r="J53" i="15"/>
  <c r="S53" i="15"/>
  <c r="C28" i="15"/>
  <c r="E8" i="15" s="1"/>
  <c r="C15" i="15"/>
  <c r="E7" i="15" s="1"/>
  <c r="C191" i="13"/>
  <c r="D16" i="13" s="1"/>
  <c r="C222" i="13"/>
  <c r="D18" i="13" s="1"/>
  <c r="C207" i="13"/>
  <c r="D17" i="13" s="1"/>
  <c r="C164" i="13"/>
  <c r="D15" i="13" s="1"/>
  <c r="C105" i="13"/>
  <c r="D13" i="13" s="1"/>
  <c r="C90" i="13"/>
  <c r="D12" i="13" s="1"/>
  <c r="C75" i="13"/>
  <c r="D11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30" i="19" a="1"/>
  <c r="U25" i="3" a="1"/>
  <c r="C13" i="17" a="1"/>
  <c r="U39" i="3" a="1"/>
  <c r="U37" i="3" a="1"/>
  <c r="C4" i="14" a="1"/>
  <c r="U31" i="3" a="1"/>
  <c r="U36" i="3" a="1"/>
  <c r="U34" i="3" a="1"/>
  <c r="U24" i="3" a="1"/>
  <c r="C4" i="13" a="1"/>
  <c r="U33" i="3" a="1"/>
  <c r="C44" i="15" a="1"/>
  <c r="U35" i="3" a="1"/>
  <c r="U38" i="3" a="1"/>
  <c r="U32" i="3" a="1"/>
  <c r="U30" i="3" a="1"/>
  <c r="C44" i="15" l="1"/>
  <c r="E9" i="15" s="1"/>
  <c r="C4" i="13"/>
  <c r="C19" i="8" s="1"/>
  <c r="C13" i="17"/>
  <c r="D7" i="17" s="1"/>
  <c r="C30" i="19"/>
  <c r="D8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BQ63" i="5" a="1"/>
  <c r="U89" i="5" a="1"/>
  <c r="I27" i="11" a="1"/>
  <c r="X92" i="5" a="1"/>
  <c r="BG65" i="5" a="1"/>
  <c r="BE63" i="5" a="1"/>
  <c r="BM42" i="5" a="1"/>
  <c r="W125" i="5" a="1"/>
  <c r="V132" i="5" a="1"/>
  <c r="BM41" i="5" a="1"/>
  <c r="X138" i="5" a="1"/>
  <c r="U92" i="5" a="1"/>
  <c r="X102" i="5" a="1"/>
  <c r="U127" i="5" a="1"/>
  <c r="BG66" i="5" a="1"/>
  <c r="D51" i="1" a="1"/>
  <c r="W131" i="5" a="1"/>
  <c r="BT39" i="5" a="1"/>
  <c r="BL43" i="5" a="1"/>
  <c r="U197" i="5" a="1"/>
  <c r="G72" i="1" a="1"/>
  <c r="BJ64" i="5" a="1"/>
  <c r="U125" i="5" a="1"/>
  <c r="BM43" i="5" a="1"/>
  <c r="K161" i="5" a="1"/>
  <c r="V133" i="5" a="1"/>
  <c r="BF63" i="5" a="1"/>
  <c r="X131" i="5" a="1"/>
  <c r="C230" i="9" a="1"/>
  <c r="BQ43" i="5" a="1"/>
  <c r="U94" i="5" a="1"/>
  <c r="BJ63" i="5" a="1"/>
  <c r="X132" i="5" a="1"/>
  <c r="BN66" i="5" a="1"/>
  <c r="U135" i="5" a="1"/>
  <c r="X123" i="5" a="1"/>
  <c r="BP42" i="5" a="1"/>
  <c r="V126" i="5" a="1"/>
  <c r="BF42" i="5" a="1"/>
  <c r="V134" i="5" a="1"/>
  <c r="X94" i="5" a="1"/>
  <c r="G68" i="1" a="1"/>
  <c r="S69" i="1" a="1"/>
  <c r="W93" i="5" a="1"/>
  <c r="L177" i="5" a="1"/>
  <c r="J164" i="9" a="1"/>
  <c r="BH65" i="5" a="1"/>
  <c r="BR67" i="5" a="1"/>
  <c r="V97" i="5" a="1"/>
  <c r="BK39" i="5" a="1"/>
  <c r="U132" i="5" a="1"/>
  <c r="BN63" i="5" a="1"/>
  <c r="BK66" i="5" a="1"/>
  <c r="X90" i="5" a="1"/>
  <c r="BG64" i="5" a="1"/>
  <c r="X97" i="5" a="1"/>
  <c r="X135" i="5" a="1"/>
  <c r="G71" i="1" a="1"/>
  <c r="BD40" i="5" a="1"/>
  <c r="BO40" i="5" a="1"/>
  <c r="D49" i="1" a="1"/>
  <c r="BP65" i="5" a="1"/>
  <c r="BG63" i="5" a="1"/>
  <c r="BP63" i="5" a="1"/>
  <c r="BL42" i="5" a="1"/>
  <c r="BP41" i="5" a="1"/>
  <c r="L230" i="9" a="1"/>
  <c r="BM67" i="5" a="1"/>
  <c r="U198" i="5" a="1"/>
  <c r="U130" i="5" a="1"/>
  <c r="BN43" i="5" a="1"/>
  <c r="BS66" i="5" a="1"/>
  <c r="S68" i="1" a="1"/>
  <c r="V130" i="5" a="1"/>
  <c r="BG39" i="5" a="1"/>
  <c r="BM63" i="5" a="1"/>
  <c r="BN65" i="5" a="1"/>
  <c r="BJ39" i="5" a="1"/>
  <c r="K179" i="5" a="1"/>
  <c r="I230" i="9" a="1"/>
  <c r="W124" i="5" a="1"/>
  <c r="X139" i="5" a="1"/>
  <c r="V137" i="5" a="1"/>
  <c r="BS63" i="5" a="1"/>
  <c r="V125" i="5" a="1"/>
  <c r="BJ43" i="5" a="1"/>
  <c r="BJ40" i="5" a="1"/>
  <c r="BM64" i="5" a="1"/>
  <c r="W89" i="5" a="1"/>
  <c r="BO43" i="5" a="1"/>
  <c r="BL63" i="5" a="1"/>
  <c r="BJ66" i="5" a="1"/>
  <c r="AU21" i="3" a="1"/>
  <c r="K157" i="5" a="1"/>
  <c r="G69" i="1" a="1"/>
  <c r="X128" i="5" a="1"/>
  <c r="U102" i="5" a="1"/>
  <c r="BL67" i="5" a="1"/>
  <c r="L157" i="5" a="1"/>
  <c r="J71" i="1" a="1"/>
  <c r="L160" i="5" a="1"/>
  <c r="K177" i="5" a="1"/>
  <c r="J98" i="9" a="1"/>
  <c r="BD39" i="5" a="1"/>
  <c r="BO65" i="5" a="1"/>
  <c r="T137" i="5" a="1"/>
  <c r="BH66" i="5" a="1"/>
  <c r="BI64" i="5" a="1"/>
  <c r="BT67" i="5" a="1"/>
  <c r="V124" i="5" a="1"/>
  <c r="J76" i="9" a="1"/>
  <c r="BD43" i="5" a="1"/>
  <c r="BE67" i="5" a="1"/>
  <c r="W94" i="5" a="1"/>
  <c r="C76" i="9" a="1"/>
  <c r="BN39" i="5" a="1"/>
  <c r="BH40" i="5" a="1"/>
  <c r="BI40" i="5" a="1"/>
  <c r="BH42" i="5" a="1"/>
  <c r="BI67" i="5" a="1"/>
  <c r="W95" i="5" a="1"/>
  <c r="BF64" i="5" a="1"/>
  <c r="T128" i="5" a="1"/>
  <c r="T135" i="5" a="1"/>
  <c r="D47" i="1" a="1"/>
  <c r="J68" i="1" a="1"/>
  <c r="BE64" i="5" a="1"/>
  <c r="BL41" i="5" a="1"/>
  <c r="BM39" i="5" a="1"/>
  <c r="X124" i="5" a="1"/>
  <c r="W139" i="5" a="1"/>
  <c r="V129" i="5" a="1"/>
  <c r="V131" i="5" a="1"/>
  <c r="F230" i="9" a="1"/>
  <c r="BP40" i="5" a="1"/>
  <c r="W102" i="5" a="1"/>
  <c r="BK40" i="5" a="1"/>
  <c r="L181" i="5" a="1"/>
  <c r="BT65" i="5" a="1"/>
  <c r="T139" i="5" a="1"/>
  <c r="X136" i="5" a="1"/>
  <c r="BP67" i="5" a="1"/>
  <c r="K160" i="5" a="1"/>
  <c r="V92" i="5" a="1"/>
  <c r="T133" i="5" a="1"/>
  <c r="S70" i="1" a="1"/>
  <c r="BQ39" i="5" a="1"/>
  <c r="BJ42" i="5" a="1"/>
  <c r="V89" i="5" a="1"/>
  <c r="X96" i="5" a="1"/>
  <c r="V138" i="5" a="1"/>
  <c r="W90" i="5" a="1"/>
  <c r="T126" i="5" a="1"/>
  <c r="J54" i="9" a="1"/>
  <c r="T198" i="5" a="1"/>
  <c r="T127" i="5" a="1"/>
  <c r="U97" i="5" a="1"/>
  <c r="BS64" i="5" a="1"/>
  <c r="V100" i="5" a="1"/>
  <c r="U99" i="5" a="1"/>
  <c r="O32" i="9" a="1"/>
  <c r="BE65" i="5" a="1"/>
  <c r="W100" i="5" a="1"/>
  <c r="W135" i="5" a="1"/>
  <c r="BO39" i="5" a="1"/>
  <c r="BI65" i="5" a="1"/>
  <c r="U230" i="9" a="1"/>
  <c r="V102" i="5" a="1"/>
  <c r="BO66" i="5" a="1"/>
  <c r="U129" i="5" a="1"/>
  <c r="W88" i="5" a="1"/>
  <c r="BT64" i="5" a="1"/>
  <c r="BN40" i="5" a="1"/>
  <c r="T129" i="5" a="1"/>
  <c r="BR42" i="5" a="1"/>
  <c r="X101" i="5" a="1"/>
  <c r="V136" i="5" a="1"/>
  <c r="O54" i="9" a="1"/>
  <c r="BT66" i="5" a="1"/>
  <c r="V103" i="5" a="1"/>
  <c r="D5" i="4" a="1"/>
  <c r="BT42" i="5" a="1"/>
  <c r="C120" i="9" a="1"/>
  <c r="O76" i="9" a="1"/>
  <c r="J186" i="9" a="1"/>
  <c r="V93" i="5" a="1"/>
  <c r="X137" i="5" a="1"/>
  <c r="C208" i="9" a="1"/>
  <c r="E54" i="9" a="1"/>
  <c r="J142" i="9" a="1"/>
  <c r="W103" i="5" a="1"/>
  <c r="U139" i="5" a="1"/>
  <c r="BQ66" i="5" a="1"/>
  <c r="BM65" i="5" a="1"/>
  <c r="W99" i="5" a="1"/>
  <c r="U137" i="5" a="1"/>
  <c r="BK67" i="5" a="1"/>
  <c r="X134" i="5" a="1"/>
  <c r="J120" i="9" a="1"/>
  <c r="T136" i="5" a="1"/>
  <c r="X100" i="5" a="1"/>
  <c r="BT40" i="5" a="1"/>
  <c r="BT43" i="5" a="1"/>
  <c r="V99" i="5" a="1"/>
  <c r="BT41" i="5" a="1"/>
  <c r="W101" i="5" a="1"/>
  <c r="C142" i="9" a="1"/>
  <c r="V88" i="5" a="1"/>
  <c r="U133" i="5" a="1"/>
  <c r="BE42" i="5" a="1"/>
  <c r="X99" i="5" a="1"/>
  <c r="BH64" i="5" a="1"/>
  <c r="W98" i="5" a="1"/>
  <c r="V96" i="5" a="1"/>
  <c r="U23" i="3" a="1"/>
  <c r="D4" i="4" a="1"/>
  <c r="BR66" i="5" a="1"/>
  <c r="BN42" i="5" a="1"/>
  <c r="C32" i="9" a="1"/>
  <c r="O142" i="9" a="1"/>
  <c r="O186" i="9" a="1"/>
  <c r="R230" i="9" a="1"/>
  <c r="W96" i="5" a="1"/>
  <c r="W132" i="5" a="1"/>
  <c r="T125" i="5" a="1"/>
  <c r="W87" i="5" a="1"/>
  <c r="T130" i="5" a="1"/>
  <c r="L158" i="5" a="1"/>
  <c r="BG43" i="5" a="1"/>
  <c r="BT63" i="5" a="1"/>
  <c r="BD66" i="5" a="1"/>
  <c r="BS39" i="5" a="1"/>
  <c r="BI43" i="5" a="1"/>
  <c r="BP64" i="5" a="1"/>
  <c r="BK65" i="5" a="1"/>
  <c r="O208" i="9" a="1"/>
  <c r="K178" i="5" a="1"/>
  <c r="V90" i="5" a="1"/>
  <c r="BK63" i="5" a="1"/>
  <c r="X130" i="5" a="1"/>
  <c r="V198" i="5" a="1"/>
  <c r="BF43" i="5" a="1"/>
  <c r="W123" i="5" a="1"/>
  <c r="W91" i="5" a="1"/>
  <c r="J69" i="1" a="1"/>
  <c r="S71" i="1" a="1"/>
  <c r="V98" i="5" a="1"/>
  <c r="J72" i="1" a="1"/>
  <c r="L159" i="5" a="1"/>
  <c r="E208" i="9" a="1"/>
  <c r="BD41" i="5" a="1"/>
  <c r="T124" i="5" a="1"/>
  <c r="V135" i="5" a="1"/>
  <c r="BL65" i="5" a="1"/>
  <c r="BS40" i="5" a="1"/>
  <c r="BJ41" i="5" a="1"/>
  <c r="BR64" i="5" a="1"/>
  <c r="O230" i="9" a="1"/>
  <c r="C164" i="9" a="1"/>
  <c r="BQ64" i="5" a="1"/>
  <c r="BE39" i="5" a="1"/>
  <c r="BL64" i="5" a="1"/>
  <c r="W137" i="5" a="1"/>
  <c r="X197" i="5" a="1"/>
  <c r="BQ65" i="5" a="1"/>
  <c r="U101" i="5" a="1"/>
  <c r="S72" i="1" a="1"/>
  <c r="W136" i="5" a="1"/>
  <c r="BJ65" i="5" a="1"/>
  <c r="T197" i="5" a="1"/>
  <c r="BS43" i="5" a="1"/>
  <c r="BF39" i="5" a="1"/>
  <c r="W134" i="5" a="1"/>
  <c r="BM66" i="5" a="1"/>
  <c r="O120" i="9" a="1"/>
  <c r="E76" i="9" a="1"/>
  <c r="BL66" i="5" a="1"/>
  <c r="T131" i="5" a="1"/>
  <c r="W138" i="5" a="1"/>
  <c r="BS67" i="5" a="1"/>
  <c r="BK42" i="5" a="1"/>
  <c r="BQ41" i="5" a="1"/>
  <c r="G70" i="1" a="1"/>
  <c r="X133" i="5" a="1"/>
  <c r="U128" i="5" a="1"/>
  <c r="U98" i="5" a="1"/>
  <c r="U136" i="5" a="1"/>
  <c r="U100" i="5" a="1"/>
  <c r="V123" i="5" a="1"/>
  <c r="BE43" i="5" a="1"/>
  <c r="BR43" i="5" a="1"/>
  <c r="BO42" i="5" a="1"/>
  <c r="BG42" i="5" a="1"/>
  <c r="BO64" i="5" a="1"/>
  <c r="C186" i="9" a="1"/>
  <c r="X91" i="5" a="1"/>
  <c r="G47" i="1" a="1"/>
  <c r="V91" i="5" a="1"/>
  <c r="V94" i="5" a="1"/>
  <c r="BH41" i="5" a="1"/>
  <c r="Z21" i="3" a="1"/>
  <c r="BO67" i="5" a="1"/>
  <c r="E120" i="9" a="1"/>
  <c r="U138" i="5" a="1"/>
  <c r="V87" i="5" a="1"/>
  <c r="U96" i="5" a="1"/>
  <c r="X198" i="5" a="1"/>
  <c r="V127" i="5" a="1"/>
  <c r="BL39" i="5" a="1"/>
  <c r="BF65" i="5" a="1"/>
  <c r="U91" i="5" a="1"/>
  <c r="BK43" i="5" a="1"/>
  <c r="BS65" i="5" a="1"/>
  <c r="BQ40" i="5" a="1"/>
  <c r="W130" i="5" a="1"/>
  <c r="BF66" i="5" a="1"/>
  <c r="U88" i="5" a="1"/>
  <c r="BN67" i="5" a="1"/>
  <c r="E98" i="9" a="1"/>
  <c r="BP39" i="5" a="1"/>
  <c r="BK64" i="5" a="1"/>
  <c r="BR63" i="5" a="1"/>
  <c r="BR39" i="5" a="1"/>
  <c r="BK41" i="5" a="1"/>
  <c r="U131" i="5" a="1"/>
  <c r="O164" i="9" a="1"/>
  <c r="E186" i="9" a="1"/>
  <c r="BN64" i="5" a="1"/>
  <c r="T134" i="5" a="1"/>
  <c r="O98" i="9" a="1"/>
  <c r="BG67" i="5" a="1"/>
  <c r="BS42" i="5" a="1"/>
  <c r="BH67" i="5" a="1"/>
  <c r="C54" i="9" a="1"/>
  <c r="BE66" i="5" a="1"/>
  <c r="U124" i="5" a="1"/>
  <c r="X103" i="5" a="1"/>
  <c r="BH63" i="5" a="1"/>
  <c r="E164" i="9" a="1"/>
  <c r="K180" i="5" a="1"/>
  <c r="V101" i="5" a="1"/>
  <c r="K159" i="5" a="1"/>
  <c r="W129" i="5" a="1"/>
  <c r="X127" i="5" a="1"/>
  <c r="BS41" i="5" a="1"/>
  <c r="T123" i="5" a="1"/>
  <c r="L179" i="5" a="1"/>
  <c r="BI66" i="5" a="1"/>
  <c r="J208" i="9" a="1"/>
  <c r="V139" i="5" a="1"/>
  <c r="BI63" i="5" a="1"/>
  <c r="BO41" i="5" a="1"/>
  <c r="W198" i="5" a="1"/>
  <c r="U90" i="5" a="1"/>
  <c r="T132" i="5" a="1"/>
  <c r="W97" i="5" a="1"/>
  <c r="BI39" i="5" a="1"/>
  <c r="X125" i="5" a="1"/>
  <c r="J70" i="1" a="1"/>
  <c r="BD65" i="5" a="1"/>
  <c r="BD42" i="5" a="1"/>
  <c r="L178" i="5" a="1"/>
  <c r="C98" i="9" a="1"/>
  <c r="U123" i="5" a="1"/>
  <c r="BH43" i="5" a="1"/>
  <c r="BO63" i="5" a="1"/>
  <c r="W127" i="5" a="1"/>
  <c r="X89" i="5" a="1"/>
  <c r="L161" i="5" a="1"/>
  <c r="BI41" i="5" a="1"/>
  <c r="W133" i="5" a="1"/>
  <c r="U126" i="5" a="1"/>
  <c r="BF41" i="5" a="1"/>
  <c r="W128" i="5" a="1"/>
  <c r="X129" i="5" a="1"/>
  <c r="X98" i="5" a="1"/>
  <c r="BR40" i="5" a="1"/>
  <c r="BM40" i="5" a="1"/>
  <c r="W126" i="5" a="1"/>
  <c r="BI42" i="5" a="1"/>
  <c r="V128" i="5" a="1"/>
  <c r="U103" i="5" a="1"/>
  <c r="BJ67" i="5" a="1"/>
  <c r="BD64" i="5" a="1"/>
  <c r="X126" i="5" a="1"/>
  <c r="V197" i="5" a="1"/>
  <c r="BH39" i="5" a="1"/>
  <c r="U95" i="5" a="1"/>
  <c r="W197" i="5" a="1"/>
  <c r="T138" i="5" a="1"/>
  <c r="BP43" i="5" a="1"/>
  <c r="BD67" i="5" a="1"/>
  <c r="BN41" i="5" a="1"/>
  <c r="BF67" i="5" a="1"/>
  <c r="BQ67" i="5" a="1"/>
  <c r="V95" i="5" a="1"/>
  <c r="BP66" i="5" a="1"/>
  <c r="U134" i="5" a="1"/>
  <c r="AJ21" i="3" a="1"/>
  <c r="BR65" i="5" a="1"/>
  <c r="I22" i="11" a="1"/>
  <c r="E142" i="9" a="1"/>
  <c r="BF40" i="5" a="1"/>
  <c r="BQ42" i="5" a="1"/>
  <c r="X95" i="5" a="1"/>
  <c r="BE41" i="5" a="1"/>
  <c r="K181" i="5" a="1"/>
  <c r="L180" i="5" a="1"/>
  <c r="BR41" i="5" a="1"/>
  <c r="U87" i="5" a="1"/>
  <c r="U93" i="5" a="1"/>
  <c r="C6" i="2" a="1"/>
  <c r="K158" i="5" a="1"/>
  <c r="BL40" i="5" a="1"/>
  <c r="BE40" i="5" a="1"/>
  <c r="X87" i="5" a="1"/>
  <c r="J32" i="9" a="1"/>
  <c r="X93" i="5" a="1"/>
  <c r="BG41" i="5" a="1"/>
  <c r="X88" i="5" a="1"/>
  <c r="W92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C203" i="9" a="1"/>
  <c r="K115" i="9" a="1"/>
  <c r="C24" i="5" a="1"/>
  <c r="C166" i="5" a="1"/>
  <c r="D85" i="1" a="1"/>
  <c r="P68" i="1" a="1"/>
  <c r="P71" i="9" a="1"/>
  <c r="C137" i="9" a="1"/>
  <c r="D83" i="1" a="1"/>
  <c r="I25" i="11" a="1"/>
  <c r="O225" i="9" a="1"/>
  <c r="P72" i="1" a="1"/>
  <c r="H69" i="1" a="1"/>
  <c r="C93" i="9" a="1"/>
  <c r="M68" i="1" a="1"/>
  <c r="F93" i="9" a="1"/>
  <c r="M70" i="1" a="1"/>
  <c r="K71" i="9" a="1"/>
  <c r="P115" i="9" a="1"/>
  <c r="P27" i="9" a="1"/>
  <c r="C48" i="5" a="1"/>
  <c r="D53" i="1" a="1"/>
  <c r="P137" i="9" a="1"/>
  <c r="I24" i="11" a="1"/>
  <c r="I26" i="11" a="1"/>
  <c r="I25" i="3" a="1"/>
  <c r="F115" i="9" a="1"/>
  <c r="K70" i="1" a="1"/>
  <c r="C49" i="9" a="1"/>
  <c r="P49" i="9" a="1"/>
  <c r="C108" i="5" a="1"/>
  <c r="K203" i="9" a="1"/>
  <c r="P181" i="9" a="1"/>
  <c r="C115" i="9" a="1"/>
  <c r="H70" i="1" a="1"/>
  <c r="C186" i="5" a="1"/>
  <c r="I24" i="3" a="1"/>
  <c r="C159" i="9" a="1"/>
  <c r="H17" i="2" a="1"/>
  <c r="D52" i="1" a="1"/>
  <c r="K68" i="1" a="1"/>
  <c r="I23" i="11" a="1"/>
  <c r="K181" i="9" a="1"/>
  <c r="F159" i="9" a="1"/>
  <c r="P70" i="1" a="1"/>
  <c r="F27" i="9" a="1"/>
  <c r="I225" i="9" a="1"/>
  <c r="K27" i="9" a="1"/>
  <c r="I23" i="3" a="1"/>
  <c r="K72" i="1" a="1"/>
  <c r="I26" i="3" a="1"/>
  <c r="F49" i="9" a="1"/>
  <c r="M71" i="1" a="1"/>
  <c r="P69" i="1" a="1"/>
  <c r="U225" i="9" a="1"/>
  <c r="C144" i="5" a="1"/>
  <c r="P159" i="9" a="1"/>
  <c r="D84" i="1" a="1"/>
  <c r="I28" i="3" a="1"/>
  <c r="F137" i="9" a="1"/>
  <c r="T72" i="1" a="1"/>
  <c r="T69" i="1" a="1"/>
  <c r="K69" i="1" a="1"/>
  <c r="T68" i="1" a="1"/>
  <c r="M69" i="1" a="1"/>
  <c r="C27" i="9" a="1"/>
  <c r="T71" i="1" a="1"/>
  <c r="H71" i="1" a="1"/>
  <c r="P71" i="1" a="1"/>
  <c r="J22" i="11" a="1"/>
  <c r="K93" i="9" a="1"/>
  <c r="K71" i="1" a="1"/>
  <c r="F71" i="9" a="1"/>
  <c r="K137" i="9" a="1"/>
  <c r="P203" i="9" a="1"/>
  <c r="M72" i="1" a="1"/>
  <c r="P93" i="9" a="1"/>
  <c r="D82" i="1" a="1"/>
  <c r="I27" i="3" a="1"/>
  <c r="R225" i="9" a="1"/>
  <c r="H72" i="1" a="1"/>
  <c r="D54" i="1" a="1"/>
  <c r="F181" i="9" a="1"/>
  <c r="L225" i="9" a="1"/>
  <c r="D55" i="1" a="1"/>
  <c r="C181" i="9" a="1"/>
  <c r="D56" i="1" a="1"/>
  <c r="T70" i="1" a="1"/>
  <c r="D57" i="1" a="1"/>
  <c r="H68" i="1" a="1"/>
  <c r="K47" i="1" a="1"/>
  <c r="C72" i="5" a="1"/>
  <c r="K49" i="9" a="1"/>
  <c r="C225" i="9" a="1"/>
  <c r="K159" i="9" a="1"/>
  <c r="F225" i="9" a="1"/>
  <c r="F203" i="9" a="1"/>
  <c r="C71" i="9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5" i="11" a="1"/>
  <c r="U27" i="3" a="1"/>
  <c r="C175" i="9" a="1"/>
  <c r="G21" i="2" a="1"/>
  <c r="E85" i="1" a="1"/>
  <c r="E56" i="1" a="1"/>
  <c r="J26" i="3" a="1"/>
  <c r="E51" i="1" a="1"/>
  <c r="J23" i="11" a="1"/>
  <c r="U28" i="3" a="1"/>
  <c r="C219" i="9" a="1"/>
  <c r="J23" i="3" a="1"/>
  <c r="U29" i="3" a="1"/>
  <c r="Q70" i="1" a="1"/>
  <c r="E84" i="1" a="1"/>
  <c r="G82" i="1" a="1"/>
  <c r="J26" i="11" a="1"/>
  <c r="E55" i="1" a="1"/>
  <c r="E54" i="1" a="1"/>
  <c r="C197" i="9" a="1"/>
  <c r="C43" i="9" a="1"/>
  <c r="J24" i="11" a="1"/>
  <c r="N71" i="1" a="1"/>
  <c r="E50" i="1" a="1"/>
  <c r="J25" i="3" a="1"/>
  <c r="P82" i="1" a="1"/>
  <c r="C65" i="9" a="1"/>
  <c r="C87" i="9" a="1"/>
  <c r="C131" i="9" a="1"/>
  <c r="N70" i="1" a="1"/>
  <c r="Q71" i="1" a="1"/>
  <c r="Q69" i="1" a="1"/>
  <c r="J24" i="3" a="1"/>
  <c r="E47" i="1" a="1"/>
  <c r="C153" i="9" a="1"/>
  <c r="C4" i="5" a="1"/>
  <c r="E83" i="1" a="1"/>
  <c r="E57" i="1" a="1"/>
  <c r="C21" i="9" a="1"/>
  <c r="Q72" i="1" a="1"/>
  <c r="V82" i="1" a="1"/>
  <c r="N72" i="1" a="1"/>
  <c r="S82" i="1" a="1"/>
  <c r="E52" i="1" a="1"/>
  <c r="E48" i="1" a="1"/>
  <c r="M82" i="1" a="1"/>
  <c r="Q68" i="1" a="1"/>
  <c r="E49" i="1" a="1"/>
  <c r="J82" i="1" a="1"/>
  <c r="J28" i="3" a="1"/>
  <c r="N69" i="1" a="1"/>
  <c r="N68" i="1" a="1"/>
  <c r="E82" i="1" a="1"/>
  <c r="C109" i="9" a="1"/>
  <c r="U26" i="3" a="1"/>
  <c r="J27" i="3" a="1"/>
  <c r="E53" i="1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I83" i="1" a="1"/>
  <c r="C43" i="1" a="1"/>
  <c r="U82" i="1" a="1"/>
  <c r="Q86" i="1" a="1"/>
  <c r="I82" i="1" a="1"/>
  <c r="O83" i="1" a="1"/>
  <c r="O82" i="1" a="1"/>
  <c r="I84" i="1" a="1"/>
  <c r="H86" i="1" a="1"/>
  <c r="R84" i="1" a="1"/>
  <c r="C21" i="3" a="1"/>
  <c r="R85" i="1" a="1"/>
  <c r="C4" i="9" a="1"/>
  <c r="L82" i="1" a="1"/>
  <c r="U84" i="1" a="1"/>
  <c r="W86" i="1" a="1"/>
  <c r="R82" i="1" a="1"/>
  <c r="F82" i="1" a="1"/>
  <c r="K86" i="1" a="1"/>
  <c r="L83" i="1" a="1"/>
  <c r="O85" i="1" a="1"/>
  <c r="U85" i="1" a="1"/>
  <c r="F85" i="1" a="1"/>
  <c r="U83" i="1" a="1"/>
  <c r="N86" i="1" a="1"/>
  <c r="J27" i="11" a="1"/>
  <c r="L85" i="1" a="1"/>
  <c r="N21" i="3" a="1"/>
  <c r="R83" i="1" a="1"/>
  <c r="L84" i="1" a="1"/>
  <c r="O84" i="1" a="1"/>
  <c r="F83" i="1" a="1"/>
  <c r="F84" i="1" a="1"/>
  <c r="I85" i="1" a="1"/>
  <c r="T86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4" i="8" s="1"/>
  <c r="C58" i="2"/>
  <c r="C15" i="1" a="1"/>
  <c r="N84" i="1" a="1"/>
  <c r="K82" i="1" a="1"/>
  <c r="T84" i="1" a="1"/>
  <c r="K85" i="1" a="1"/>
  <c r="Q85" i="1" a="1"/>
  <c r="W85" i="1" a="1"/>
  <c r="N82" i="1" a="1"/>
  <c r="W82" i="1" a="1"/>
  <c r="Q84" i="1" a="1"/>
  <c r="K83" i="1" a="1"/>
  <c r="K84" i="1" a="1"/>
  <c r="T85" i="1" a="1"/>
  <c r="Q83" i="1" a="1"/>
  <c r="Q82" i="1" a="1"/>
  <c r="W84" i="1" a="1"/>
  <c r="H83" i="1" a="1"/>
  <c r="N85" i="1" a="1"/>
  <c r="C39" i="1" a="1"/>
  <c r="C20" i="11" a="1"/>
  <c r="T82" i="1" a="1"/>
  <c r="H82" i="1" a="1"/>
  <c r="W83" i="1" a="1"/>
  <c r="N83" i="1" a="1"/>
  <c r="H84" i="1" a="1"/>
  <c r="T83" i="1" a="1"/>
  <c r="H85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11" a="1"/>
  <c r="C6" i="3" a="1"/>
  <c r="C77" i="1" a="1"/>
  <c r="C77" i="1" l="1"/>
  <c r="C10" i="1" s="1"/>
  <c r="C6" i="3"/>
  <c r="C29" i="8" s="1"/>
  <c r="C6" i="11"/>
  <c r="D68" i="1" a="1"/>
  <c r="D70" i="1" l="1"/>
  <c r="D68" i="1"/>
  <c r="D69" i="1"/>
  <c r="D71" i="1"/>
  <c r="D72" i="1"/>
  <c r="E72" i="1" a="1"/>
  <c r="E71" i="1" a="1"/>
  <c r="E69" i="1" a="1"/>
  <c r="E70" i="1" a="1"/>
  <c r="E68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<sst xmlns="http://schemas.openxmlformats.org/spreadsheetml/2006/main" count="3854" uniqueCount="536">
  <si>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</si>
  <si>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</si>
  <si>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</si>
  <si>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</si>
  <si>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</si>
  <si>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</si>
  <si>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</si>
  <si>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</si>
  <si>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</si>
  <si>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</si>
  <si>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</si>
  <si>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</si>
  <si>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</si>
  <si>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</si>
  <si>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</si>
  <si>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</si>
  <si>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</si>
  <si>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</si>
  <si>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</si>
  <si>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</si>
  <si>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</si>
  <si>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</si>
  <si>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</si>
  <si>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</si>
  <si>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</si>
  <si>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</si>
  <si>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</si>
  <si>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</si>
  <si>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</si>
  <si>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</si>
  <si>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</si>
  <si>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</si>
  <si>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</si>
  <si>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</si>
  <si>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</si>
  <si>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</si>
  <si>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</si>
  <si>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</si>
  <si>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</si>
  <si>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</si>
  <si>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</si>
  <si>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</si>
  <si>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</si>
  <si>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</si>
  <si>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</si>
  <si>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</si>
  <si>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</si>
  <si>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</si>
  <si>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</si>
  <si>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</si>
  <si>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</si>
  <si>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</si>
  <si>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</si>
  <si>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</si>
  <si>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</si>
  <si>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</si>
  <si>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</si>
  <si>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</si>
  <si>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</si>
  <si>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</si>
  <si>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</si>
  <si>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</si>
  <si>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</si>
  <si>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</si>
  <si>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</si>
  <si>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</si>
  <si>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</si>
  <si>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</si>
  <si>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</si>
  <si>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</si>
  <si>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</si>
  <si>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</si>
  <si>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</si>
  <si>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</si>
  <si>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</si>
  <si>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</si>
  <si>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</si>
  <si>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</si>
  <si>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</si>
  <si>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</si>
  <si>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</si>
  <si>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</si>
  <si>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</si>
  <si>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</si>
  <si>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</si>
  <si>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</si>
  <si>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</si>
  <si>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</si>
  <si>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</si>
  <si>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</si>
  <si>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</si>
  <si>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</si>
  <si>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</si>
  <si>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</si>
  <si>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</si>
  <si>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</si>
  <si>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</si>
  <si>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</si>
  <si>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</si>
  <si>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</si>
  <si>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</si>
  <si>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</si>
  <si>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</si>
  <si>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</si>
  <si>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</si>
  <si>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</si>
  <si>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</si>
  <si>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</si>
  <si>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</si>
  <si>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</si>
  <si>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</si>
  <si>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</si>
  <si>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</si>
  <si>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</si>
  <si>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</si>
  <si>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</si>
  <si>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</si>
  <si>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</si>
  <si>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</si>
  <si>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</si>
  <si>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</si>
  <si>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</si>
  <si>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</si>
  <si>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</si>
  <si>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</si>
  <si>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</si>
  <si>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</si>
  <si>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</si>
  <si>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</si>
  <si>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</si>
  <si>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</si>
  <si>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</si>
  <si>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</si>
  <si>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</si>
  <si>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</si>
  <si>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</si>
  <si>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</si>
  <si>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</si>
  <si>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</si>
  <si>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</si>
  <si>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</si>
  <si>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</si>
  <si>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</si>
  <si>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</si>
  <si>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</si>
  <si>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</si>
  <si>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</si>
  <si>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</si>
  <si>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</si>
  <si>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</si>
  <si>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</si>
  <si>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</si>
  <si>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</si>
  <si>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</si>
  <si>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</si>
  <si>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</si>
  <si>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</si>
  <si>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</si>
  <si>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</si>
  <si>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</si>
  <si>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</si>
  <si>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</si>
  <si>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</si>
  <si>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</si>
  <si>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</si>
  <si>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</si>
  <si>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</si>
  <si>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</si>
  <si>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</si>
  <si>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</si>
  <si>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</si>
  <si>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</si>
  <si>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</si>
  <si>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</si>
  <si>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</si>
  <si>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</si>
  <si>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</si>
  <si>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</si>
  <si>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</si>
  <si>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</si>
  <si>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</si>
  <si>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</si>
  <si>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</si>
  <si>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</si>
  <si>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</si>
  <si>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</si>
  <si>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</si>
  <si>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</si>
  <si>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</si>
  <si>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</si>
  <si>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</si>
  <si>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</si>
  <si>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</si>
  <si>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</si>
  <si>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</si>
  <si>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</si>
  <si>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</si>
  <si>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</si>
  <si>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</si>
  <si>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</si>
  <si>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</si>
  <si>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</si>
  <si>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</si>
  <si>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</si>
  <si>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</si>
  <si>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</si>
  <si>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</si>
  <si>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</si>
  <si>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</si>
  <si>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</si>
  <si>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</si>
  <si>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</si>
  <si>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</si>
  <si>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</si>
  <si>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</si>
  <si>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</si>
  <si>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</si>
  <si>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</si>
  <si>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</si>
  <si>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</si>
  <si>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</si>
  <si>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</si>
  <si>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</si>
  <si>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</si>
  <si>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</si>
  <si>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</si>
  <si>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</si>
  <si>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</si>
  <si>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</si>
  <si>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</si>
  <si>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</si>
  <si>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</si>
  <si>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</si>
  <si>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</si>
  <si>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</si>
  <si>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</si>
  <si>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</si>
  <si>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</si>
  <si>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</si>
  <si>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</si>
  <si>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</si>
  <si>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</si>
  <si>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</si>
  <si>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</si>
  <si>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</si>
  <si>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</si>
  <si>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</si>
  <si>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</si>
  <si>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</si>
  <si>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</si>
  <si>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</si>
  <si>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</si>
  <si>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</si>
  <si>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</si>
  <si>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</si>
  <si>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</si>
  <si>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</si>
  <si>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</si>
  <si>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</si>
  <si>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</si>
  <si>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</si>
  <si>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</si>
  <si>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</si>
  <si>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</si>
  <si>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</si>
  <si>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</si>
  <si>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</si>
  <si>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</si>
  <si>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</si>
  <si>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</si>
  <si>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</si>
  <si>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</si>
  <si>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</si>
  <si>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</si>
  <si>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</si>
  <si>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</si>
  <si>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</si>
  <si>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</si>
  <si>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</si>
  <si>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</si>
  <si>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</si>
  <si>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</si>
  <si>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</si>
  <si>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</si>
  <si>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</si>
  <si>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</si>
  <si>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</si>
  <si>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</si>
  <si>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</si>
  <si>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</si>
  <si>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</si>
  <si>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</si>
  <si>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</si>
  <si>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</si>
  <si>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</si>
  <si>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</si>
  <si>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</si>
  <si>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</si>
  <si>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</si>
  <si>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</si>
  <si>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</si>
  <si>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</si>
  <si>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</si>
  <si>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</si>
  <si>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</si>
  <si>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</si>
  <si>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</si>
  <si>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</si>
  <si>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</si>
  <si>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</si>
  <si>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</si>
  <si>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</si>
  <si>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</si>
  <si>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</si>
  <si>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</si>
  <si>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</si>
  <si>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</si>
  <si>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</si>
  <si>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</si>
  <si>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</si>
  <si>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</si>
  <si>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</si>
  <si>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</si>
  <si>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</si>
  <si>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</si>
  <si>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</si>
  <si>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</si>
  <si>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</si>
  <si>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</si>
  <si>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</si>
  <si>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</si>
  <si>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</si>
  <si>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</si>
  <si>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</si>
  <si>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</si>
  <si>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</si>
  <si>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</si>
  <si>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</si>
  <si>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</si>
  <si>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</si>
  <si>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</si>
  <si>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</si>
  <si>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</si>
  <si>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</si>
  <si>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</si>
  <si>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</si>
  <si>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</si>
  <si>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</si>
  <si>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</si>
  <si>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</si>
  <si>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</si>
  <si>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</si>
  <si>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</si>
  <si>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</si>
  <si>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</si>
  <si>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</si>
  <si>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</si>
  <si>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</si>
  <si>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</si>
  <si>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</si>
  <si>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</si>
  <si>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</si>
  <si>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</si>
  <si>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</si>
  <si>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</si>
  <si>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</si>
  <si>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</si>
  <si>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</si>
  <si>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</si>
  <si>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</si>
  <si>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</si>
  <si>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</si>
  <si>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</si>
  <si>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</si>
  <si>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</si>
  <si>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</si>
  <si>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</si>
  <si>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</si>
  <si>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</si>
  <si>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</si>
  <si>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</si>
  <si>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</si>
  <si>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</si>
  <si>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</si>
  <si>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</si>
  <si>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</si>
  <si>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</si>
  <si>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</si>
  <si>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</si>
  <si>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</si>
  <si>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</si>
  <si>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</si>
  <si>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</si>
  <si>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</si>
  <si>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</si>
  <si>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</si>
  <si>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</si>
  <si>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</si>
  <si>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</si>
  <si>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</si>
  <si>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</si>
  <si>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</si>
  <si>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</si>
  <si>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</si>
  <si>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</si>
  <si>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</si>
  <si>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</si>
  <si>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</si>
  <si>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</si>
  <si>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</si>
  <si>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</si>
  <si>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</si>
  <si>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</si>
  <si>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</si>
  <si>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</si>
  <si>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</si>
  <si>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</si>
  <si>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</si>
  <si>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</si>
  <si>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</si>
  <si>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</si>
  <si>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</si>
  <si>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</si>
  <si>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</si>
  <si>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</si>
  <si>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</si>
  <si>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</si>
  <si>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</si>
  <si>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</si>
  <si>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</si>
  <si>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</si>
  <si>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</si>
  <si>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</si>
  <si>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</si>
  <si>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</si>
  <si>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</si>
  <si>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</si>
  <si>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</si>
  <si>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</si>
  <si>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</si>
  <si>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</si>
  <si>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</si>
  <si>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</si>
  <si>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</si>
  <si>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</si>
  <si>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</si>
  <si>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</si>
  <si>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</si>
  <si>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</si>
  <si>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</si>
  <si>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</si>
  <si>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</si>
  <si>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</si>
  <si>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</si>
  <si>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</si>
  <si>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</si>
  <si>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</si>
  <si>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</si>
  <si>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</si>
  <si>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</si>
  <si>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</si>
  <si>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</si>
  <si>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</si>
  <si>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</si>
  <si>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</si>
  <si>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</si>
  <si>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</si>
  <si>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</si>
  <si>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</si>
  <si>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</si>
  <si>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</si>
  <si>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</si>
  <si>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</si>
  <si>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</si>
  <si>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</si>
  <si>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</si>
  <si>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</si>
  <si>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</si>
  <si>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</si>
  <si>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</si>
  <si>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</si>
  <si>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</si>
  <si>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</si>
  <si>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</si>
  <si>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</si>
  <si>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</si>
  <si>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</si>
  <si>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</si>
  <si>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</si>
  <si>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</si>
  <si>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</si>
  <si>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</si>
  <si>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</si>
  <si>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</si>
  <si>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</si>
  <si>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</si>
  <si>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</si>
  <si>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</si>
  <si>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</si>
  <si>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</si>
  <si>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</si>
  <si>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</si>
  <si>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</si>
  <si>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</si>
  <si>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</si>
  <si>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</si>
  <si>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</si>
  <si>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#∂Excel Error: Matrix is not positive-definite.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</si>
  <si>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</si>
  <si>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</si>
  <si>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</si>
  <si>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</si>
  <si>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</si>
  <si>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</si>
  <si>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</si>
  <si>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</si>
  <si>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</si>
  <si>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</si>
  <si>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</si>
  <si>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</si>
  <si>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</si>
  <si>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</si>
  <si>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</si>
  <si>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</si>
  <si>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</si>
  <si>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</si>
  <si>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</si>
  <si>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</si>
  <si>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</si>
  <si>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</si>
  <si>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</si>
  <si>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</si>
  <si>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</si>
  <si>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d.Stats_CorrellatedNormalRandomNumbers</t>
  </si>
  <si>
    <t>#∂Excel Error: Diagonal elements of the correlation matrix must be 1.</t>
  </si>
  <si>
    <t>Test 3: Correlation Matrix Diagonals Are Not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</si>
</sst>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6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46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1" fillId="0" borderId="153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Continuous"/>
    </xf>
    <xf numFmtId="2" fontId="31" fillId="0" borderId="86" xfId="0" applyNumberFormat="1" applyFont="1" applyBorder="1" applyAlignment="1">
      <alignment horizontal="centerContinuous"/>
    </xf>
    <xf numFmtId="0" fontId="32" fillId="4" borderId="54" xfId="0" applyFont="1" applyFill="1" applyBorder="1" applyAlignment="1">
      <alignment horizontal="centerContinuous" vertical="center"/>
    </xf>
    <xf numFmtId="0" fontId="32" fillId="4" borderId="154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1" fillId="0" borderId="155" xfId="0" applyNumberFormat="1" applyFont="1" applyBorder="1" applyAlignment="1">
      <alignment horizontal="centerContinuous" vertical="center"/>
    </xf>
    <xf numFmtId="4" fontId="31" fillId="0" borderId="66" xfId="0" applyNumberFormat="1" applyFont="1" applyBorder="1" applyAlignment="1">
      <alignment horizontal="centerContinuous" vertic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7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topLeftCell="A10" workbookViewId="0">
      <selection activeCell="B21" sqref="B21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436</v>
      </c>
      <c r="C4" s="490"/>
      <c r="D4" s="487" t="s">
        <v>496</v>
      </c>
      <c r="I4" s="495"/>
    </row>
    <row r="5" spans="2:9" s="467" customFormat="1" x14ac:dyDescent="0.25">
      <c r="B5" s="491" t="s">
        <v>437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438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479</v>
      </c>
      <c r="C9" s="214"/>
    </row>
    <row r="10" spans="2:9" s="495" customFormat="1" ht="18.75" customHeight="1" x14ac:dyDescent="0.25">
      <c r="B10" s="638" t="str" cm="1">
        <f t="array" aca="1" ref="B10" ca="1">_xll.d.TestUtils_And(C19:C21,C24,C27:C29,C34:C35)</f>
        <v>Error</v>
      </c>
      <c r="C10" s="638"/>
    </row>
    <row r="11" spans="2:9" s="495" customFormat="1" ht="15" customHeight="1" x14ac:dyDescent="0.25">
      <c r="B11" s="639"/>
      <c r="C11" s="639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387</v>
      </c>
      <c r="C21" s="141" t="str">
        <f ca="1">Stats!C4</f>
        <v>Error</v>
      </c>
      <c r="I21" s="495"/>
    </row>
    <row r="22" spans="2:9" x14ac:dyDescent="0.25">
      <c r="I22" s="495"/>
    </row>
    <row r="23" spans="2:9" x14ac:dyDescent="0.25">
      <c r="B23" s="478" t="s">
        <v>417</v>
      </c>
      <c r="C23" s="479"/>
    </row>
    <row r="24" spans="2:9" x14ac:dyDescent="0.25">
      <c r="B24" s="464" t="s">
        <v>418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>Curves!C4</f>
        <v>Ok</v>
      </c>
      <c r="D27" s="495"/>
    </row>
    <row r="28" spans="2:9" x14ac:dyDescent="0.25">
      <c r="B28" s="463" t="s">
        <v>414</v>
      </c>
      <c r="C28" s="306" t="str">
        <f>'Rate Utils'!C4</f>
        <v>Ok</v>
      </c>
      <c r="D28" s="495"/>
    </row>
    <row r="29" spans="2:9" x14ac:dyDescent="0.25">
      <c r="B29" s="546" t="s">
        <v>21</v>
      </c>
      <c r="C29" s="306" t="str">
        <f>'Sinlge Curve Bootstrapping'!C6</f>
        <v>Error</v>
      </c>
      <c r="D29" s="545" t="s">
        <v>482</v>
      </c>
    </row>
    <row r="30" spans="2:9" x14ac:dyDescent="0.25">
      <c r="B30" s="546" t="s">
        <v>58</v>
      </c>
      <c r="C30" s="306" t="s">
        <v>249</v>
      </c>
      <c r="D30" s="545" t="s">
        <v>482</v>
      </c>
    </row>
    <row r="31" spans="2:9" x14ac:dyDescent="0.25">
      <c r="B31" s="547" t="s">
        <v>11</v>
      </c>
      <c r="C31" s="205" t="s">
        <v>249</v>
      </c>
      <c r="D31" s="545" t="s">
        <v>482</v>
      </c>
    </row>
    <row r="32" spans="2:9" x14ac:dyDescent="0.25">
      <c r="D32" s="495"/>
    </row>
    <row r="33" spans="2:5" x14ac:dyDescent="0.25">
      <c r="B33" s="134" t="s">
        <v>125</v>
      </c>
      <c r="C33" s="135"/>
      <c r="D33" s="495"/>
    </row>
    <row r="34" spans="2:5" x14ac:dyDescent="0.25">
      <c r="B34" s="462" t="s">
        <v>175</v>
      </c>
      <c r="C34" s="137" t="str">
        <f>'Test Utils'!C4</f>
        <v>Ok</v>
      </c>
    </row>
    <row r="35" spans="2:5" x14ac:dyDescent="0.25">
      <c r="B35" s="464" t="s">
        <v>85</v>
      </c>
      <c r="C35" s="141" t="str">
        <f ca="1">'Table Formatting'!C4</f>
        <v>Error</v>
      </c>
      <c r="D35" s="545" t="s">
        <v>510</v>
      </c>
    </row>
    <row r="40" spans="2:5" x14ac:dyDescent="0.25">
      <c r="E40" s="177"/>
    </row>
  </sheetData>
  <mergeCells count="1">
    <mergeCell ref="B10:C11"/>
  </mergeCells>
  <conditionalFormatting sqref="C34">
    <cfRule type="cellIs" dxfId="573" priority="22" stopIfTrue="1" operator="equal">
      <formula>"OK"</formula>
    </cfRule>
    <cfRule type="cellIs" dxfId="572" priority="23" stopIfTrue="1" operator="equal">
      <formula>"ERROR"</formula>
    </cfRule>
  </conditionalFormatting>
  <conditionalFormatting sqref="C35">
    <cfRule type="cellIs" dxfId="571" priority="24" stopIfTrue="1" operator="equal">
      <formula>"OK"</formula>
    </cfRule>
    <cfRule type="cellIs" dxfId="570" priority="25" stopIfTrue="1" operator="equal">
      <formula>"ERROR"</formula>
    </cfRule>
  </conditionalFormatting>
  <conditionalFormatting sqref="C19">
    <cfRule type="cellIs" dxfId="569" priority="26" stopIfTrue="1" operator="equal">
      <formula>"ERROR"</formula>
    </cfRule>
    <cfRule type="cellIs" dxfId="568" priority="27" stopIfTrue="1" operator="equal">
      <formula>"OK"</formula>
    </cfRule>
    <cfRule type="cellIs" dxfId="567" priority="28" stopIfTrue="1" operator="equal">
      <formula>"WARNING"</formula>
    </cfRule>
  </conditionalFormatting>
  <conditionalFormatting sqref="C20">
    <cfRule type="cellIs" dxfId="566" priority="19" stopIfTrue="1" operator="equal">
      <formula>"ERROR"</formula>
    </cfRule>
    <cfRule type="cellIs" dxfId="565" priority="20" stopIfTrue="1" operator="equal">
      <formula>"OK"</formula>
    </cfRule>
    <cfRule type="cellIs" dxfId="564" priority="21" stopIfTrue="1" operator="equal">
      <formula>"WARNING"</formula>
    </cfRule>
  </conditionalFormatting>
  <conditionalFormatting sqref="C21">
    <cfRule type="cellIs" dxfId="563" priority="16" stopIfTrue="1" operator="equal">
      <formula>"ERROR"</formula>
    </cfRule>
    <cfRule type="cellIs" dxfId="562" priority="17" stopIfTrue="1" operator="equal">
      <formula>"OK"</formula>
    </cfRule>
    <cfRule type="cellIs" dxfId="561" priority="18" stopIfTrue="1" operator="equal">
      <formula>"WARNING"</formula>
    </cfRule>
  </conditionalFormatting>
  <conditionalFormatting sqref="C24">
    <cfRule type="cellIs" dxfId="560" priority="29" stopIfTrue="1" operator="equal">
      <formula>"ERROR"</formula>
    </cfRule>
    <cfRule type="cellIs" dxfId="559" priority="30" stopIfTrue="1" operator="equal">
      <formula>"OK"</formula>
    </cfRule>
    <cfRule type="cellIs" dxfId="558" priority="31" stopIfTrue="1" operator="equal">
      <formula>"WARNING"</formula>
    </cfRule>
  </conditionalFormatting>
  <conditionalFormatting sqref="D6">
    <cfRule type="cellIs" dxfId="557" priority="32" stopIfTrue="1" operator="equal">
      <formula>"ERROR"</formula>
    </cfRule>
    <cfRule type="cellIs" dxfId="556" priority="33" stopIfTrue="1" operator="equal">
      <formula>"OK"</formula>
    </cfRule>
    <cfRule type="cellIs" dxfId="555" priority="34" stopIfTrue="1" operator="equal">
      <formula>"WARNING"</formula>
    </cfRule>
  </conditionalFormatting>
  <conditionalFormatting sqref="C28">
    <cfRule type="cellIs" dxfId="554" priority="13" stopIfTrue="1" operator="equal">
      <formula>"ERROR"</formula>
    </cfRule>
    <cfRule type="cellIs" dxfId="553" priority="14" stopIfTrue="1" operator="equal">
      <formula>"OK"</formula>
    </cfRule>
    <cfRule type="cellIs" dxfId="552" priority="15" stopIfTrue="1" operator="equal">
      <formula>"WARNING"</formula>
    </cfRule>
  </conditionalFormatting>
  <conditionalFormatting sqref="B10:C11">
    <cfRule type="cellIs" dxfId="551" priority="10" stopIfTrue="1" operator="equal">
      <formula>"ERROR"</formula>
    </cfRule>
    <cfRule type="cellIs" dxfId="550" priority="11" stopIfTrue="1" operator="equal">
      <formula>"OK"</formula>
    </cfRule>
    <cfRule type="cellIs" dxfId="549" priority="12" stopIfTrue="1" operator="equal">
      <formula>"WARNING"</formula>
    </cfRule>
  </conditionalFormatting>
  <conditionalFormatting sqref="C27">
    <cfRule type="cellIs" dxfId="548" priority="35" stopIfTrue="1" operator="equal">
      <formula>"ERROR"</formula>
    </cfRule>
    <cfRule type="cellIs" dxfId="547" priority="36" stopIfTrue="1" operator="equal">
      <formula>"OK"</formula>
    </cfRule>
    <cfRule type="cellIs" dxfId="546" priority="37" stopIfTrue="1" operator="equal">
      <formula>"WARNING"</formula>
    </cfRule>
  </conditionalFormatting>
  <conditionalFormatting sqref="C29">
    <cfRule type="cellIs" dxfId="545" priority="38" stopIfTrue="1" operator="equal">
      <formula>"ERROR"</formula>
    </cfRule>
    <cfRule type="cellIs" dxfId="544" priority="39" stopIfTrue="1" operator="equal">
      <formula>"OK"</formula>
    </cfRule>
    <cfRule type="cellIs" dxfId="543" priority="40" stopIfTrue="1" operator="equal">
      <formula>"WARNING"</formula>
    </cfRule>
  </conditionalFormatting>
  <conditionalFormatting sqref="C30">
    <cfRule type="cellIs" dxfId="542" priority="1" stopIfTrue="1" operator="equal">
      <formula>"ERROR"</formula>
    </cfRule>
    <cfRule type="cellIs" dxfId="541" priority="2" stopIfTrue="1" operator="equal">
      <formula>"OK"</formula>
    </cfRule>
    <cfRule type="cellIs" dxfId="540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47"/>
  <sheetViews>
    <sheetView showGridLines="0" zoomScaleNormal="100" workbookViewId="0">
      <selection activeCell="J68" sqref="J68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413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_xll.d.TestUtils_And(D7:D19)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499</v>
      </c>
      <c r="C7" s="465"/>
      <c r="D7" s="350" t="str">
        <f>C24</f>
        <v>Ok</v>
      </c>
    </row>
    <row r="8" spans="2:43" x14ac:dyDescent="0.2">
      <c r="B8" s="465" t="s">
        <v>503</v>
      </c>
      <c r="C8" s="465"/>
      <c r="D8" s="350" t="str">
        <f>C36</f>
        <v>Ok</v>
      </c>
    </row>
    <row r="9" spans="2:43" x14ac:dyDescent="0.2">
      <c r="B9" s="465" t="s">
        <v>497</v>
      </c>
      <c r="C9" s="465"/>
      <c r="D9" s="350" t="str">
        <f>C48</f>
        <v>Ok</v>
      </c>
    </row>
    <row r="10" spans="2:43" x14ac:dyDescent="0.2">
      <c r="B10" s="465" t="s">
        <v>404</v>
      </c>
      <c r="C10" s="465"/>
      <c r="D10" s="350" t="str">
        <f>C60</f>
        <v>Ok</v>
      </c>
    </row>
    <row r="11" spans="2:43" x14ac:dyDescent="0.2">
      <c r="B11" s="465" t="s">
        <v>405</v>
      </c>
      <c r="C11" s="465"/>
      <c r="D11" s="350" t="str">
        <f>C75</f>
        <v>Ok</v>
      </c>
    </row>
    <row r="12" spans="2:43" x14ac:dyDescent="0.2">
      <c r="B12" s="465" t="s">
        <v>406</v>
      </c>
      <c r="C12" s="465"/>
      <c r="D12" s="350" t="str">
        <f>C90</f>
        <v>Ok</v>
      </c>
    </row>
    <row r="13" spans="2:43" x14ac:dyDescent="0.2">
      <c r="B13" s="465" t="s">
        <v>407</v>
      </c>
      <c r="C13" s="465"/>
      <c r="D13" s="350" t="str">
        <f>C105</f>
        <v>Ok</v>
      </c>
    </row>
    <row r="14" spans="2:43" x14ac:dyDescent="0.2">
      <c r="B14" s="465" t="s">
        <v>408</v>
      </c>
      <c r="C14" s="465"/>
      <c r="D14" s="350" t="str">
        <f>C119</f>
        <v>Ok</v>
      </c>
    </row>
    <row r="15" spans="2:43" x14ac:dyDescent="0.2">
      <c r="B15" s="465" t="s">
        <v>409</v>
      </c>
      <c r="C15" s="465"/>
      <c r="D15" s="350" t="str">
        <f>C164</f>
        <v>Ok</v>
      </c>
    </row>
    <row r="16" spans="2:43" x14ac:dyDescent="0.2">
      <c r="B16" s="465" t="s">
        <v>410</v>
      </c>
      <c r="C16" s="465"/>
      <c r="D16" s="350" t="str">
        <f>C191</f>
        <v>Ok</v>
      </c>
    </row>
    <row r="17" spans="2:7" x14ac:dyDescent="0.2">
      <c r="B17" s="465" t="s">
        <v>411</v>
      </c>
      <c r="C17" s="465"/>
      <c r="D17" s="350" t="str">
        <f>C207</f>
        <v>Ok</v>
      </c>
    </row>
    <row r="18" spans="2:7" x14ac:dyDescent="0.2">
      <c r="B18" s="465" t="s">
        <v>412</v>
      </c>
      <c r="C18" s="465"/>
      <c r="D18" s="350" t="str">
        <f>C222</f>
        <v>Ok</v>
      </c>
    </row>
    <row r="19" spans="2:7" x14ac:dyDescent="0.2">
      <c r="B19" s="465" t="s">
        <v>489</v>
      </c>
      <c r="C19" s="465"/>
      <c r="D19" s="350" t="str">
        <f>C236</f>
        <v>Ok</v>
      </c>
    </row>
    <row r="22" spans="2:7" ht="18.75" x14ac:dyDescent="0.3">
      <c r="B22" s="3" t="s">
        <v>499</v>
      </c>
      <c r="C22" s="356"/>
      <c r="D22" s="356"/>
      <c r="E22" s="356"/>
      <c r="F22" s="356"/>
      <c r="G22" s="356"/>
    </row>
    <row r="24" spans="2:7" x14ac:dyDescent="0.2">
      <c r="B24" s="59" t="s">
        <v>159</v>
      </c>
      <c r="C24" s="350" t="str" cm="1">
        <f t="array" ref="C24">_xll.d.TestUtils_And(G32,N32,U32,AB32)</f>
        <v>Ok</v>
      </c>
    </row>
    <row r="25" spans="2:7" x14ac:dyDescent="0.2">
      <c r="G25" s="349"/>
    </row>
    <row r="26" spans="2:7" ht="15.75" x14ac:dyDescent="0.25">
      <c r="B26" s="4" t="s">
        <v>109</v>
      </c>
      <c r="C26" s="357"/>
      <c r="D26" s="357"/>
      <c r="E26" s="357"/>
      <c r="F26" s="357"/>
      <c r="G26" s="357"/>
    </row>
    <row r="28" spans="2:7" x14ac:dyDescent="0.2">
      <c r="B28" s="134" t="s">
        <v>251</v>
      </c>
      <c r="C28" s="135"/>
      <c r="E28" s="134" t="s">
        <v>133</v>
      </c>
      <c r="F28" s="134" t="s">
        <v>253</v>
      </c>
      <c r="G28" s="134" t="s">
        <v>84</v>
      </c>
    </row>
    <row r="29" spans="2:7" x14ac:dyDescent="0.2">
      <c r="B29" s="136" t="s">
        <v>257</v>
      </c>
      <c r="C29" s="351">
        <v>44742</v>
      </c>
      <c r="E29" s="600" cm="1">
        <f t="array" ref="E29">_xll.d.Dates_Act360(C29,C30)</f>
        <v>0.25555555555555554</v>
      </c>
      <c r="F29" s="601">
        <f>(C30-C29)/360</f>
        <v>0.25555555555555554</v>
      </c>
      <c r="G29" s="360" t="str" cm="1">
        <f t="array" ref="G29">_xll.d.TestUtils_Equal(E29,F29)</f>
        <v>Ok</v>
      </c>
    </row>
    <row r="30" spans="2:7" x14ac:dyDescent="0.2">
      <c r="B30" s="140" t="s">
        <v>258</v>
      </c>
      <c r="C30" s="371">
        <f>EDATE(C29,3)</f>
        <v>44834</v>
      </c>
    </row>
    <row r="34" spans="2:7" ht="18.75" x14ac:dyDescent="0.3">
      <c r="B34" s="3" t="s">
        <v>503</v>
      </c>
      <c r="C34" s="356"/>
      <c r="D34" s="356"/>
      <c r="E34" s="356"/>
      <c r="F34" s="356"/>
      <c r="G34" s="356"/>
    </row>
    <row r="36" spans="2:7" x14ac:dyDescent="0.2">
      <c r="B36" s="59" t="s">
        <v>159</v>
      </c>
      <c r="C36" s="350" t="str" cm="1">
        <f t="array" ref="C36">_xll.d.TestUtils_And(G44,N44,U44,AB44)</f>
        <v>Ok</v>
      </c>
    </row>
    <row r="37" spans="2:7" x14ac:dyDescent="0.2">
      <c r="G37" s="349"/>
    </row>
    <row r="38" spans="2:7" ht="15.75" x14ac:dyDescent="0.25">
      <c r="B38" s="4" t="s">
        <v>109</v>
      </c>
      <c r="C38" s="357"/>
      <c r="D38" s="357"/>
      <c r="E38" s="357"/>
      <c r="F38" s="357"/>
      <c r="G38" s="357"/>
    </row>
    <row r="40" spans="2:7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</row>
    <row r="41" spans="2:7" x14ac:dyDescent="0.2">
      <c r="B41" s="136" t="s">
        <v>257</v>
      </c>
      <c r="C41" s="351">
        <v>44742</v>
      </c>
      <c r="E41" s="600" cm="1">
        <f t="array" ref="E41">_xll.d.Dates_Act364(C41,C42)</f>
        <v>0.25274725274725274</v>
      </c>
      <c r="F41" s="601">
        <f>(C42-C41)/364</f>
        <v>0.25274725274725274</v>
      </c>
      <c r="G41" s="360" t="str" cm="1">
        <f t="array" ref="G41">_xll.d.TestUtils_Equal(E41,F41)</f>
        <v>Ok</v>
      </c>
    </row>
    <row r="42" spans="2:7" x14ac:dyDescent="0.2">
      <c r="B42" s="140" t="s">
        <v>258</v>
      </c>
      <c r="C42" s="371">
        <f>EDATE(C41,3)</f>
        <v>44834</v>
      </c>
    </row>
    <row r="46" spans="2:7" ht="18.75" x14ac:dyDescent="0.3">
      <c r="B46" s="3" t="s">
        <v>497</v>
      </c>
      <c r="C46" s="356"/>
      <c r="D46" s="356"/>
      <c r="E46" s="356"/>
      <c r="F46" s="356"/>
      <c r="G46" s="356"/>
    </row>
    <row r="48" spans="2:7" x14ac:dyDescent="0.2">
      <c r="B48" s="59" t="s">
        <v>159</v>
      </c>
      <c r="C48" s="350" t="str" cm="1">
        <f t="array" ref="C48">_xll.d.TestUtils_And(G53,N53,U53,AB53)</f>
        <v>Ok</v>
      </c>
    </row>
    <row r="49" spans="2:43" x14ac:dyDescent="0.2">
      <c r="G49" s="349"/>
    </row>
    <row r="50" spans="2:43" ht="15.75" x14ac:dyDescent="0.25">
      <c r="B50" s="4" t="s">
        <v>109</v>
      </c>
      <c r="C50" s="357"/>
      <c r="D50" s="357"/>
      <c r="E50" s="357"/>
      <c r="F50" s="357"/>
      <c r="G50" s="357"/>
    </row>
    <row r="52" spans="2:43" x14ac:dyDescent="0.2">
      <c r="B52" s="134" t="s">
        <v>251</v>
      </c>
      <c r="C52" s="135"/>
      <c r="E52" s="134" t="s">
        <v>133</v>
      </c>
      <c r="F52" s="134" t="s">
        <v>253</v>
      </c>
      <c r="G52" s="134" t="s">
        <v>84</v>
      </c>
    </row>
    <row r="53" spans="2:43" x14ac:dyDescent="0.2">
      <c r="B53" s="136" t="s">
        <v>257</v>
      </c>
      <c r="C53" s="351">
        <v>44742</v>
      </c>
      <c r="E53" s="600" cm="1">
        <f t="array" ref="E53">_xll.d.Dates_Act365(C53,C54)</f>
        <v>0.25205479452054796</v>
      </c>
      <c r="F53" s="601">
        <f>(C54-C53)/365</f>
        <v>0.25205479452054796</v>
      </c>
      <c r="G53" s="360" t="str" cm="1">
        <f t="array" ref="G53">_xll.d.TestUtils_Equal(E53,F53)</f>
        <v>Ok</v>
      </c>
    </row>
    <row r="54" spans="2:43" x14ac:dyDescent="0.2">
      <c r="B54" s="140" t="s">
        <v>258</v>
      </c>
      <c r="C54" s="371">
        <f>EDATE(C53,3)</f>
        <v>44834</v>
      </c>
    </row>
    <row r="58" spans="2:43" ht="18.75" x14ac:dyDescent="0.3">
      <c r="B58" s="3" t="s">
        <v>404</v>
      </c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</row>
    <row r="60" spans="2:43" x14ac:dyDescent="0.2">
      <c r="B60" s="59" t="s">
        <v>159</v>
      </c>
      <c r="C60" s="350" t="str" cm="1">
        <f t="array" ref="C60">_xll.d.TestUtils_And(G65,N65,U65,AD65,AQ65)</f>
        <v>Ok</v>
      </c>
    </row>
    <row r="61" spans="2:43" x14ac:dyDescent="0.2">
      <c r="G61" s="349"/>
    </row>
    <row r="62" spans="2:43" ht="15.75" x14ac:dyDescent="0.25">
      <c r="B62" s="4" t="s">
        <v>252</v>
      </c>
      <c r="C62" s="357"/>
      <c r="D62" s="357"/>
      <c r="E62" s="357"/>
      <c r="F62" s="357"/>
      <c r="G62" s="357"/>
      <c r="I62" s="4" t="s">
        <v>514</v>
      </c>
      <c r="J62" s="357"/>
      <c r="K62" s="357"/>
      <c r="L62" s="357"/>
      <c r="M62" s="357"/>
      <c r="N62" s="357"/>
      <c r="P62" s="4" t="s">
        <v>512</v>
      </c>
      <c r="Q62" s="4"/>
      <c r="R62" s="357"/>
      <c r="S62" s="357"/>
      <c r="T62" s="357"/>
      <c r="U62" s="357"/>
      <c r="W62" s="4" t="s">
        <v>513</v>
      </c>
      <c r="X62" s="357"/>
      <c r="Y62" s="357"/>
      <c r="Z62" s="357"/>
      <c r="AA62" s="357"/>
      <c r="AB62" s="357"/>
      <c r="AC62" s="357"/>
      <c r="AD62" s="357"/>
      <c r="AF62" s="4" t="s">
        <v>511</v>
      </c>
      <c r="AG62" s="357"/>
      <c r="AH62" s="357"/>
      <c r="AI62" s="357"/>
      <c r="AJ62" s="357"/>
      <c r="AK62" s="357"/>
      <c r="AL62" s="357"/>
      <c r="AM62" s="357"/>
      <c r="AN62" s="357"/>
      <c r="AO62" s="357"/>
      <c r="AP62" s="357"/>
      <c r="AQ62" s="357"/>
    </row>
    <row r="63" spans="2:43" x14ac:dyDescent="0.2">
      <c r="G63" s="349"/>
    </row>
    <row r="64" spans="2:43" x14ac:dyDescent="0.2">
      <c r="B64" s="134" t="s">
        <v>251</v>
      </c>
      <c r="C64" s="135"/>
      <c r="E64" s="134" t="s">
        <v>133</v>
      </c>
      <c r="F64" s="134" t="s">
        <v>253</v>
      </c>
      <c r="G64" s="134" t="s">
        <v>84</v>
      </c>
      <c r="I64" s="134" t="s">
        <v>251</v>
      </c>
      <c r="J64" s="135"/>
      <c r="L64" s="134" t="s">
        <v>133</v>
      </c>
      <c r="M64" s="134" t="s">
        <v>253</v>
      </c>
      <c r="N64" s="134" t="s">
        <v>84</v>
      </c>
      <c r="P64" s="134" t="s">
        <v>251</v>
      </c>
      <c r="Q64" s="135"/>
      <c r="S64" s="134" t="s">
        <v>133</v>
      </c>
      <c r="T64" s="134" t="s">
        <v>253</v>
      </c>
      <c r="U64" s="134" t="s">
        <v>84</v>
      </c>
      <c r="W64" s="134" t="s">
        <v>251</v>
      </c>
      <c r="X64" s="135"/>
      <c r="Z64" s="134" t="s">
        <v>133</v>
      </c>
      <c r="AA64" s="134"/>
      <c r="AB64" s="134" t="s">
        <v>253</v>
      </c>
      <c r="AC64" s="134"/>
      <c r="AD64" s="134" t="s">
        <v>84</v>
      </c>
      <c r="AF64" s="134" t="s">
        <v>251</v>
      </c>
      <c r="AG64" s="135"/>
      <c r="AI64" s="134" t="s">
        <v>133</v>
      </c>
      <c r="AJ64" s="134"/>
      <c r="AK64" s="134"/>
      <c r="AL64" s="134"/>
      <c r="AM64" s="134" t="s">
        <v>253</v>
      </c>
      <c r="AN64" s="134"/>
      <c r="AO64" s="134"/>
      <c r="AP64" s="134"/>
      <c r="AQ64" s="134" t="s">
        <v>84</v>
      </c>
    </row>
    <row r="65" spans="2:43" x14ac:dyDescent="0.2">
      <c r="B65" s="353" t="s">
        <v>34</v>
      </c>
      <c r="C65" s="354">
        <v>44742</v>
      </c>
      <c r="E65" s="358" cm="1">
        <f t="array" ref="E65">_xll.d.Dates_FolDay(C65,B67:B69)</f>
        <v>44743</v>
      </c>
      <c r="F65" s="359">
        <v>44743</v>
      </c>
      <c r="G65" s="360" t="str" cm="1">
        <f t="array" ref="G65">_xll.d.TestUtils_Equal(E65,F65)</f>
        <v>Ok</v>
      </c>
      <c r="I65" s="353" t="s">
        <v>34</v>
      </c>
      <c r="J65" s="354">
        <v>44742</v>
      </c>
      <c r="L65" s="358" cm="1">
        <f t="array" ref="L65">_xll.d.Dates_FolDay(J65,I67:J69)</f>
        <v>44746</v>
      </c>
      <c r="M65" s="359">
        <v>44746</v>
      </c>
      <c r="N65" s="360" t="str" cm="1">
        <f t="array" ref="N65">_xll.d.TestUtils_Equal(L65,M65)</f>
        <v>Ok</v>
      </c>
      <c r="P65" s="136" t="s">
        <v>34</v>
      </c>
      <c r="Q65" s="351">
        <v>44728</v>
      </c>
      <c r="S65" s="358" cm="1">
        <f t="array" ref="S65">_xll.d.Dates_FolDay(Q65,Q66)</f>
        <v>44729</v>
      </c>
      <c r="T65" s="359">
        <v>44729</v>
      </c>
      <c r="U65" s="360" t="str" cm="1">
        <f t="array" ref="U65">_xll.d.TestUtils_Equal(S65,T65)</f>
        <v>Ok</v>
      </c>
      <c r="W65" s="136" t="s">
        <v>34</v>
      </c>
      <c r="X65" s="351">
        <v>44746</v>
      </c>
      <c r="Z65" s="602" cm="1">
        <f t="array" ref="Z65">_xll.d.Dates_FolDay(X65,X66)</f>
        <v>44747</v>
      </c>
      <c r="AA65" s="603"/>
      <c r="AB65" s="603">
        <v>44747</v>
      </c>
      <c r="AC65" s="603"/>
      <c r="AD65" s="360" t="str" cm="1">
        <f t="array" ref="AD65">_xll.d.TestUtils_Equal(Z65,AB65)</f>
        <v>Ok</v>
      </c>
      <c r="AF65" s="136" t="s">
        <v>34</v>
      </c>
      <c r="AG65" s="351">
        <v>44746</v>
      </c>
      <c r="AI65" s="602" t="str" cm="1">
        <f t="array" ref="AI65">_xll.d.Dates_FolDay(AG65,AG66)</f>
        <v>#∂Excel Error: Unsupported calendar: 'WRE'</v>
      </c>
      <c r="AJ65" s="603"/>
      <c r="AK65" s="603"/>
      <c r="AL65" s="603"/>
      <c r="AM65" s="603" t="s">
        <v>500</v>
      </c>
      <c r="AN65" s="603"/>
      <c r="AO65" s="603"/>
      <c r="AP65" s="603"/>
      <c r="AQ65" s="360" t="str" cm="1">
        <f t="array" ref="AQ65">_xll.d.TestUtils_Equal(AI65,AM65)</f>
        <v>Ok</v>
      </c>
    </row>
    <row r="66" spans="2:43" x14ac:dyDescent="0.2">
      <c r="G66" s="349"/>
      <c r="I66" s="506" t="s">
        <v>515</v>
      </c>
      <c r="P66" s="140" t="s">
        <v>240</v>
      </c>
      <c r="Q66" s="141" t="s">
        <v>70</v>
      </c>
      <c r="W66" s="140" t="s">
        <v>240</v>
      </c>
      <c r="X66" s="141" t="s">
        <v>256</v>
      </c>
      <c r="AF66" s="140" t="s">
        <v>240</v>
      </c>
      <c r="AG66" s="141" t="s">
        <v>262</v>
      </c>
    </row>
    <row r="67" spans="2:43" x14ac:dyDescent="0.2">
      <c r="B67" s="352" t="s">
        <v>250</v>
      </c>
      <c r="G67" s="349"/>
      <c r="I67" s="623" t="s">
        <v>508</v>
      </c>
      <c r="J67" s="624" t="s">
        <v>509</v>
      </c>
    </row>
    <row r="68" spans="2:43" x14ac:dyDescent="0.2">
      <c r="B68" s="361">
        <v>44742</v>
      </c>
      <c r="I68" s="619">
        <v>44742</v>
      </c>
      <c r="J68" s="620">
        <v>44743</v>
      </c>
    </row>
    <row r="69" spans="2:43" x14ac:dyDescent="0.2">
      <c r="B69" s="362">
        <v>44920</v>
      </c>
      <c r="G69" s="349"/>
      <c r="I69" s="621">
        <v>44920</v>
      </c>
      <c r="J69" s="622"/>
      <c r="AA69" s="618"/>
    </row>
    <row r="70" spans="2:43" x14ac:dyDescent="0.2">
      <c r="G70" s="349"/>
      <c r="S70" s="618"/>
      <c r="T70" s="618"/>
      <c r="U70" s="618"/>
      <c r="W70" s="618"/>
      <c r="X70" s="618"/>
    </row>
    <row r="71" spans="2:43" x14ac:dyDescent="0.2">
      <c r="G71" s="349"/>
      <c r="S71" s="618"/>
      <c r="T71" s="618"/>
      <c r="U71" s="618"/>
      <c r="W71" s="618"/>
      <c r="X71" s="618"/>
    </row>
    <row r="72" spans="2:43" x14ac:dyDescent="0.2">
      <c r="G72" s="349"/>
      <c r="U72" s="618"/>
    </row>
    <row r="73" spans="2:43" ht="18.75" x14ac:dyDescent="0.3">
      <c r="B73" s="3" t="s">
        <v>405</v>
      </c>
      <c r="C73" s="356"/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</row>
    <row r="75" spans="2:43" x14ac:dyDescent="0.2">
      <c r="B75" s="59" t="s">
        <v>159</v>
      </c>
      <c r="C75" s="350" t="str" cm="1">
        <f t="array" ref="C75">_xll.d.TestUtils_And(G80,N80,W80,AJ80)</f>
        <v>Ok</v>
      </c>
    </row>
    <row r="77" spans="2:43" ht="15.75" x14ac:dyDescent="0.25">
      <c r="B77" s="4" t="s">
        <v>252</v>
      </c>
      <c r="C77" s="357"/>
      <c r="D77" s="357"/>
      <c r="E77" s="357"/>
      <c r="F77" s="357"/>
      <c r="G77" s="357"/>
      <c r="I77" s="4" t="s">
        <v>254</v>
      </c>
      <c r="J77" s="4"/>
      <c r="K77" s="357"/>
      <c r="L77" s="357"/>
      <c r="M77" s="357"/>
      <c r="N77" s="357"/>
      <c r="P77" s="4" t="s">
        <v>255</v>
      </c>
      <c r="Q77" s="357"/>
      <c r="R77" s="357"/>
      <c r="S77" s="357"/>
      <c r="T77" s="357"/>
      <c r="U77" s="357"/>
      <c r="V77" s="357"/>
      <c r="W77" s="357"/>
      <c r="Y77" s="4" t="s">
        <v>261</v>
      </c>
      <c r="Z77" s="357"/>
      <c r="AA77" s="357"/>
      <c r="AB77" s="357"/>
      <c r="AC77" s="357"/>
      <c r="AD77" s="357"/>
      <c r="AE77" s="357"/>
      <c r="AF77" s="357"/>
      <c r="AG77" s="357"/>
      <c r="AH77" s="357"/>
      <c r="AI77" s="357"/>
      <c r="AJ77" s="357"/>
    </row>
    <row r="78" spans="2:43" x14ac:dyDescent="0.2">
      <c r="G78" s="349"/>
    </row>
    <row r="79" spans="2:43" x14ac:dyDescent="0.2">
      <c r="B79" s="134" t="s">
        <v>251</v>
      </c>
      <c r="C79" s="135"/>
      <c r="E79" s="134" t="s">
        <v>133</v>
      </c>
      <c r="F79" s="134" t="s">
        <v>253</v>
      </c>
      <c r="G79" s="134" t="s">
        <v>84</v>
      </c>
      <c r="I79" s="134" t="s">
        <v>251</v>
      </c>
      <c r="J79" s="135"/>
      <c r="L79" s="134" t="s">
        <v>133</v>
      </c>
      <c r="M79" s="134" t="s">
        <v>253</v>
      </c>
      <c r="N79" s="134" t="s">
        <v>84</v>
      </c>
      <c r="P79" s="134" t="s">
        <v>251</v>
      </c>
      <c r="Q79" s="135"/>
      <c r="S79" s="134" t="s">
        <v>133</v>
      </c>
      <c r="T79" s="134"/>
      <c r="U79" s="134" t="s">
        <v>253</v>
      </c>
      <c r="V79" s="134"/>
      <c r="W79" s="134" t="s">
        <v>84</v>
      </c>
      <c r="Y79" s="134" t="s">
        <v>251</v>
      </c>
      <c r="Z79" s="135"/>
      <c r="AB79" s="134" t="s">
        <v>133</v>
      </c>
      <c r="AC79" s="134"/>
      <c r="AD79" s="134"/>
      <c r="AE79" s="134"/>
      <c r="AF79" s="134" t="s">
        <v>253</v>
      </c>
      <c r="AG79" s="134"/>
      <c r="AH79" s="134"/>
      <c r="AI79" s="134"/>
      <c r="AJ79" s="134" t="s">
        <v>84</v>
      </c>
    </row>
    <row r="80" spans="2:43" x14ac:dyDescent="0.2">
      <c r="B80" s="353" t="s">
        <v>34</v>
      </c>
      <c r="C80" s="354">
        <v>44742</v>
      </c>
      <c r="E80" s="358" cm="1">
        <f t="array" ref="E80">_xll.d.Dates_ModFolDay(C80,B82:B84)</f>
        <v>44741</v>
      </c>
      <c r="F80" s="359">
        <v>44741</v>
      </c>
      <c r="G80" s="360" t="str" cm="1">
        <f t="array" ref="G80">_xll.d.TestUtils_Equal(E80,F80)</f>
        <v>Ok</v>
      </c>
      <c r="I80" s="136" t="s">
        <v>34</v>
      </c>
      <c r="J80" s="351">
        <v>44728</v>
      </c>
      <c r="L80" s="358" cm="1">
        <f t="array" ref="L80">_xll.d.Dates_ModFolDay(J80,J81)</f>
        <v>44729</v>
      </c>
      <c r="M80" s="359">
        <v>44729</v>
      </c>
      <c r="N80" s="360" t="str" cm="1">
        <f t="array" ref="N80">_xll.d.TestUtils_Equal(L80,M80)</f>
        <v>Ok</v>
      </c>
      <c r="P80" s="136" t="s">
        <v>34</v>
      </c>
      <c r="Q80" s="351">
        <v>44746</v>
      </c>
      <c r="S80" s="602" cm="1">
        <f t="array" ref="S80">_xll.d.Dates_ModFolDay(Q80,Q81)</f>
        <v>44747</v>
      </c>
      <c r="T80" s="603"/>
      <c r="U80" s="603">
        <v>44747</v>
      </c>
      <c r="V80" s="603"/>
      <c r="W80" s="360" t="str" cm="1">
        <f t="array" ref="W80">_xll.d.TestUtils_Equal(S80,U80)</f>
        <v>Ok</v>
      </c>
      <c r="Y80" s="136" t="s">
        <v>34</v>
      </c>
      <c r="Z80" s="351">
        <v>44746</v>
      </c>
      <c r="AB80" s="602" t="str" cm="1">
        <f t="array" ref="AB80">_xll.d.Dates_ModFolDay(Z80,Z81)</f>
        <v>#∂Excel Error: Unsupported calendar: 'WRE'</v>
      </c>
      <c r="AC80" s="603"/>
      <c r="AD80" s="603"/>
      <c r="AE80" s="603"/>
      <c r="AF80" s="603" t="s">
        <v>500</v>
      </c>
      <c r="AG80" s="603"/>
      <c r="AH80" s="603"/>
      <c r="AI80" s="603"/>
      <c r="AJ80" s="360" t="str" cm="1">
        <f t="array" ref="AJ80">_xll.d.TestUtils_Equal(AB80,AF80)</f>
        <v>Ok</v>
      </c>
    </row>
    <row r="81" spans="2:36" x14ac:dyDescent="0.2">
      <c r="G81" s="349"/>
      <c r="I81" s="140" t="s">
        <v>240</v>
      </c>
      <c r="J81" s="141" t="s">
        <v>70</v>
      </c>
      <c r="P81" s="140" t="s">
        <v>240</v>
      </c>
      <c r="Q81" s="141" t="s">
        <v>256</v>
      </c>
      <c r="Y81" s="140" t="s">
        <v>240</v>
      </c>
      <c r="Z81" s="141" t="s">
        <v>262</v>
      </c>
    </row>
    <row r="82" spans="2:36" x14ac:dyDescent="0.2">
      <c r="B82" s="352" t="s">
        <v>250</v>
      </c>
      <c r="G82" s="349"/>
    </row>
    <row r="83" spans="2:36" x14ac:dyDescent="0.2">
      <c r="B83" s="361">
        <v>44742</v>
      </c>
    </row>
    <row r="84" spans="2:36" x14ac:dyDescent="0.2">
      <c r="B84" s="362">
        <v>44920</v>
      </c>
      <c r="G84" s="349"/>
    </row>
    <row r="85" spans="2:36" x14ac:dyDescent="0.2">
      <c r="G85" s="349"/>
    </row>
    <row r="86" spans="2:36" x14ac:dyDescent="0.2">
      <c r="G86" s="349"/>
    </row>
    <row r="87" spans="2:36" x14ac:dyDescent="0.2">
      <c r="G87" s="349"/>
    </row>
    <row r="88" spans="2:36" ht="18.75" x14ac:dyDescent="0.3">
      <c r="B88" s="3" t="s">
        <v>406</v>
      </c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</row>
    <row r="90" spans="2:36" x14ac:dyDescent="0.2">
      <c r="B90" s="59" t="s">
        <v>159</v>
      </c>
      <c r="C90" s="350" t="str" cm="1">
        <f t="array" ref="C90">_xll.d.TestUtils_And(G95,N95,W95,AJ95)</f>
        <v>Ok</v>
      </c>
    </row>
    <row r="91" spans="2:36" x14ac:dyDescent="0.2">
      <c r="G91" s="349"/>
    </row>
    <row r="92" spans="2:36" ht="15.75" x14ac:dyDescent="0.25">
      <c r="B92" s="4" t="s">
        <v>252</v>
      </c>
      <c r="C92" s="357"/>
      <c r="D92" s="357"/>
      <c r="E92" s="357"/>
      <c r="F92" s="357"/>
      <c r="G92" s="357"/>
      <c r="I92" s="4" t="s">
        <v>254</v>
      </c>
      <c r="J92" s="4"/>
      <c r="K92" s="357"/>
      <c r="L92" s="357"/>
      <c r="M92" s="357"/>
      <c r="N92" s="357"/>
      <c r="P92" s="4" t="s">
        <v>255</v>
      </c>
      <c r="Q92" s="357"/>
      <c r="R92" s="357"/>
      <c r="S92" s="357"/>
      <c r="T92" s="357"/>
      <c r="U92" s="357"/>
      <c r="V92" s="357"/>
      <c r="W92" s="357"/>
      <c r="Y92" s="4" t="s">
        <v>261</v>
      </c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</row>
    <row r="93" spans="2:36" x14ac:dyDescent="0.2">
      <c r="G93" s="349"/>
    </row>
    <row r="94" spans="2:36" x14ac:dyDescent="0.2">
      <c r="B94" s="134" t="s">
        <v>251</v>
      </c>
      <c r="C94" s="135"/>
      <c r="E94" s="134" t="s">
        <v>133</v>
      </c>
      <c r="F94" s="134" t="s">
        <v>253</v>
      </c>
      <c r="G94" s="134" t="s">
        <v>84</v>
      </c>
      <c r="I94" s="134" t="s">
        <v>251</v>
      </c>
      <c r="J94" s="135"/>
      <c r="L94" s="134" t="s">
        <v>133</v>
      </c>
      <c r="M94" s="134" t="s">
        <v>253</v>
      </c>
      <c r="N94" s="134" t="s">
        <v>84</v>
      </c>
      <c r="P94" s="134" t="s">
        <v>251</v>
      </c>
      <c r="Q94" s="135"/>
      <c r="S94" s="134" t="s">
        <v>133</v>
      </c>
      <c r="T94" s="134"/>
      <c r="U94" s="134" t="s">
        <v>253</v>
      </c>
      <c r="V94" s="134"/>
      <c r="W94" s="134" t="s">
        <v>84</v>
      </c>
      <c r="Y94" s="134" t="s">
        <v>251</v>
      </c>
      <c r="Z94" s="135"/>
      <c r="AB94" s="134" t="s">
        <v>133</v>
      </c>
      <c r="AC94" s="134"/>
      <c r="AD94" s="134"/>
      <c r="AE94" s="134"/>
      <c r="AF94" s="134" t="s">
        <v>253</v>
      </c>
      <c r="AG94" s="134"/>
      <c r="AH94" s="134"/>
      <c r="AI94" s="134"/>
      <c r="AJ94" s="134" t="s">
        <v>84</v>
      </c>
    </row>
    <row r="95" spans="2:36" x14ac:dyDescent="0.2">
      <c r="B95" s="353" t="s">
        <v>34</v>
      </c>
      <c r="C95" s="354">
        <v>44742</v>
      </c>
      <c r="E95" s="358" cm="1">
        <f t="array" ref="E95">_xll.d.Dates_PrevDay(C95,B97:B99)</f>
        <v>44741</v>
      </c>
      <c r="F95" s="359">
        <v>44741</v>
      </c>
      <c r="G95" s="360" t="str" cm="1">
        <f t="array" ref="G95">_xll.d.TestUtils_Equal(E95,F95)</f>
        <v>Ok</v>
      </c>
      <c r="I95" s="136" t="s">
        <v>34</v>
      </c>
      <c r="J95" s="351">
        <v>44728</v>
      </c>
      <c r="L95" s="358" cm="1">
        <f t="array" ref="L95">_xll.d.Dates_PrevDay(J95,J96)</f>
        <v>44727</v>
      </c>
      <c r="M95" s="359">
        <v>44727</v>
      </c>
      <c r="N95" s="360" t="str" cm="1">
        <f t="array" ref="N95">_xll.d.TestUtils_Equal(L95,M95)</f>
        <v>Ok</v>
      </c>
      <c r="P95" s="136" t="s">
        <v>34</v>
      </c>
      <c r="Q95" s="351">
        <v>44746</v>
      </c>
      <c r="S95" s="602" cm="1">
        <f t="array" ref="S95">_xll.d.Dates_PrevDay(Q95,Q96)</f>
        <v>44743</v>
      </c>
      <c r="T95" s="603"/>
      <c r="U95" s="603">
        <v>44743</v>
      </c>
      <c r="V95" s="603"/>
      <c r="W95" s="360" t="str" cm="1">
        <f t="array" ref="W95">_xll.d.TestUtils_Equal(S95,U95)</f>
        <v>Ok</v>
      </c>
      <c r="Y95" s="136" t="s">
        <v>34</v>
      </c>
      <c r="Z95" s="351">
        <v>44746</v>
      </c>
      <c r="AB95" s="602" t="str" cm="1">
        <f t="array" ref="AB95">_xll.d.Dates_PrevDay(Z95,Z96)</f>
        <v>#∂Excel Error: Unsupported calendar: 'WRE'</v>
      </c>
      <c r="AC95" s="603"/>
      <c r="AD95" s="603"/>
      <c r="AE95" s="603"/>
      <c r="AF95" s="603" t="s">
        <v>500</v>
      </c>
      <c r="AG95" s="603"/>
      <c r="AH95" s="603"/>
      <c r="AI95" s="603"/>
      <c r="AJ95" s="360" t="str" cm="1">
        <f t="array" ref="AJ95">_xll.d.TestUtils_Equal(AB95,AF95)</f>
        <v>Ok</v>
      </c>
    </row>
    <row r="96" spans="2:36" x14ac:dyDescent="0.2">
      <c r="G96" s="349"/>
      <c r="I96" s="140" t="s">
        <v>240</v>
      </c>
      <c r="J96" s="141" t="s">
        <v>70</v>
      </c>
      <c r="P96" s="140" t="s">
        <v>240</v>
      </c>
      <c r="Q96" s="141" t="s">
        <v>256</v>
      </c>
      <c r="Y96" s="140" t="s">
        <v>240</v>
      </c>
      <c r="Z96" s="141" t="s">
        <v>262</v>
      </c>
    </row>
    <row r="97" spans="2:45" x14ac:dyDescent="0.2">
      <c r="B97" s="352" t="s">
        <v>250</v>
      </c>
      <c r="G97" s="349"/>
    </row>
    <row r="98" spans="2:45" x14ac:dyDescent="0.2">
      <c r="B98" s="361">
        <v>44742</v>
      </c>
    </row>
    <row r="99" spans="2:45" x14ac:dyDescent="0.2">
      <c r="B99" s="362">
        <v>44920</v>
      </c>
      <c r="G99" s="349"/>
    </row>
    <row r="100" spans="2:45" x14ac:dyDescent="0.2">
      <c r="G100" s="349"/>
    </row>
    <row r="101" spans="2:45" x14ac:dyDescent="0.2">
      <c r="G101" s="349"/>
    </row>
    <row r="102" spans="2:45" x14ac:dyDescent="0.2">
      <c r="G102" s="349"/>
    </row>
    <row r="103" spans="2:45" ht="18.75" x14ac:dyDescent="0.3">
      <c r="B103" s="3" t="s">
        <v>407</v>
      </c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</row>
    <row r="105" spans="2:45" x14ac:dyDescent="0.2">
      <c r="B105" s="59" t="s">
        <v>159</v>
      </c>
      <c r="C105" s="350" t="str" cm="1">
        <f t="array" ref="C105">_xll.d.TestUtils_And(G110,O110,AC110,AS110)</f>
        <v>Ok</v>
      </c>
    </row>
    <row r="107" spans="2:45" ht="15.75" x14ac:dyDescent="0.25">
      <c r="B107" s="4" t="s">
        <v>259</v>
      </c>
      <c r="C107" s="357"/>
      <c r="D107" s="357"/>
      <c r="E107" s="357"/>
      <c r="F107" s="357"/>
      <c r="G107" s="357"/>
      <c r="I107" s="4" t="s">
        <v>260</v>
      </c>
      <c r="J107" s="4"/>
      <c r="K107" s="357"/>
      <c r="L107" s="357"/>
      <c r="M107" s="357"/>
      <c r="N107" s="357"/>
      <c r="O107" s="357"/>
      <c r="Q107" s="4" t="s">
        <v>264</v>
      </c>
      <c r="R107" s="4"/>
      <c r="S107" s="357"/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E107" s="4" t="s">
        <v>265</v>
      </c>
      <c r="AF107" s="4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</row>
    <row r="109" spans="2:45" x14ac:dyDescent="0.2">
      <c r="B109" s="134" t="s">
        <v>251</v>
      </c>
      <c r="C109" s="135"/>
      <c r="E109" s="12" t="s">
        <v>133</v>
      </c>
      <c r="F109" s="27" t="s">
        <v>253</v>
      </c>
      <c r="G109" s="135" t="s">
        <v>84</v>
      </c>
      <c r="I109" s="134" t="s">
        <v>251</v>
      </c>
      <c r="J109" s="206"/>
      <c r="K109" s="135"/>
      <c r="M109" s="12" t="s">
        <v>133</v>
      </c>
      <c r="N109" s="27" t="s">
        <v>253</v>
      </c>
      <c r="O109" s="135" t="s">
        <v>84</v>
      </c>
      <c r="Q109" s="134" t="s">
        <v>251</v>
      </c>
      <c r="R109" s="206"/>
      <c r="S109" s="135"/>
      <c r="U109" s="12" t="s">
        <v>133</v>
      </c>
      <c r="V109" s="27"/>
      <c r="W109" s="27"/>
      <c r="X109" s="27"/>
      <c r="Y109" s="27" t="s">
        <v>253</v>
      </c>
      <c r="Z109" s="27"/>
      <c r="AA109" s="27"/>
      <c r="AB109" s="27"/>
      <c r="AC109" s="135" t="s">
        <v>84</v>
      </c>
      <c r="AE109" s="134" t="s">
        <v>251</v>
      </c>
      <c r="AF109" s="206"/>
      <c r="AG109" s="135"/>
      <c r="AI109" s="12" t="s">
        <v>133</v>
      </c>
      <c r="AJ109" s="27"/>
      <c r="AK109" s="27"/>
      <c r="AL109" s="27"/>
      <c r="AM109" s="27"/>
      <c r="AN109" s="27" t="s">
        <v>253</v>
      </c>
      <c r="AO109" s="27"/>
      <c r="AP109" s="27"/>
      <c r="AQ109" s="27"/>
      <c r="AR109" s="27"/>
      <c r="AS109" s="135" t="s">
        <v>84</v>
      </c>
    </row>
    <row r="110" spans="2:45" x14ac:dyDescent="0.2">
      <c r="B110" s="136" t="s">
        <v>34</v>
      </c>
      <c r="C110" s="351">
        <v>44562</v>
      </c>
      <c r="E110" s="358" cm="1">
        <f t="array" ref="E110">_xll.d.Dates_AddTenorToDate(C110,C111,C112,C113)</f>
        <v>44652</v>
      </c>
      <c r="F110" s="359">
        <v>44652</v>
      </c>
      <c r="G110" s="360" t="str" cm="1">
        <f t="array" ref="G110">_xll.d.TestUtils_Equal(E110,F110)</f>
        <v>Ok</v>
      </c>
      <c r="I110" s="520" t="s">
        <v>34</v>
      </c>
      <c r="J110" s="604"/>
      <c r="K110" s="351">
        <v>44562</v>
      </c>
      <c r="M110" s="358" cm="1">
        <f t="array" ref="M110">_xll.d.Dates_AddTenorToDate(K110,K111,K112,K113)</f>
        <v>44652</v>
      </c>
      <c r="N110" s="359">
        <v>44652</v>
      </c>
      <c r="O110" s="360" t="str" cm="1">
        <f t="array" ref="O110">_xll.d.TestUtils_Equal(M110,N110)</f>
        <v>Ok</v>
      </c>
      <c r="Q110" s="520" t="s">
        <v>34</v>
      </c>
      <c r="R110" s="604"/>
      <c r="S110" s="351">
        <v>44562</v>
      </c>
      <c r="U110" s="602" t="str" cm="1">
        <f t="array" ref="U110">_xll.d.Dates_AddTenorToDate(S110,S111,S112,S113)</f>
        <v>#∂Excel Error: Unsupported calendar: 'WRE'</v>
      </c>
      <c r="V110" s="603"/>
      <c r="W110" s="603"/>
      <c r="X110" s="603"/>
      <c r="Y110" s="603" t="s">
        <v>500</v>
      </c>
      <c r="Z110" s="603"/>
      <c r="AA110" s="603"/>
      <c r="AB110" s="603"/>
      <c r="AC110" s="360" t="str" cm="1">
        <f t="array" ref="AC110">_xll.d.TestUtils_Equal(U110,Y110)</f>
        <v>Ok</v>
      </c>
      <c r="AE110" s="520" t="s">
        <v>34</v>
      </c>
      <c r="AF110" s="604"/>
      <c r="AG110" s="351">
        <v>44562</v>
      </c>
      <c r="AI110" s="602" t="str" cm="1">
        <f t="array" ref="AI110">_xll.d.Dates_AddTenorToDate(AG110,AG111,AG112,AG113)</f>
        <v>#∂Excel Error: Unsupported business day convention: 'ASD'</v>
      </c>
      <c r="AJ110" s="603"/>
      <c r="AK110" s="603"/>
      <c r="AL110" s="603"/>
      <c r="AM110" s="603"/>
      <c r="AN110" s="603" t="s">
        <v>501</v>
      </c>
      <c r="AO110" s="603"/>
      <c r="AP110" s="603"/>
      <c r="AQ110" s="603"/>
      <c r="AR110" s="603"/>
      <c r="AS110" s="360" t="str" cm="1">
        <f t="array" ref="AS110">_xll.d.TestUtils_Equal(AI110,AN110)</f>
        <v>Ok</v>
      </c>
    </row>
    <row r="111" spans="2:45" x14ac:dyDescent="0.2">
      <c r="B111" s="138" t="s">
        <v>23</v>
      </c>
      <c r="C111" s="363" t="s">
        <v>25</v>
      </c>
      <c r="I111" s="521" t="s">
        <v>23</v>
      </c>
      <c r="J111" s="605"/>
      <c r="K111" s="363" t="s">
        <v>25</v>
      </c>
      <c r="Q111" s="521" t="s">
        <v>23</v>
      </c>
      <c r="R111" s="605"/>
      <c r="S111" s="363" t="s">
        <v>25</v>
      </c>
      <c r="AE111" s="521" t="s">
        <v>23</v>
      </c>
      <c r="AF111" s="605"/>
      <c r="AG111" s="363" t="s">
        <v>25</v>
      </c>
    </row>
    <row r="112" spans="2:45" x14ac:dyDescent="0.2">
      <c r="B112" s="138" t="s">
        <v>240</v>
      </c>
      <c r="C112" s="363" t="s">
        <v>70</v>
      </c>
      <c r="I112" s="521" t="s">
        <v>240</v>
      </c>
      <c r="J112" s="605"/>
      <c r="K112" s="363" t="s">
        <v>256</v>
      </c>
      <c r="Q112" s="521" t="s">
        <v>240</v>
      </c>
      <c r="R112" s="605"/>
      <c r="S112" s="363" t="s">
        <v>262</v>
      </c>
      <c r="AE112" s="521" t="s">
        <v>240</v>
      </c>
      <c r="AF112" s="605"/>
      <c r="AG112" s="363" t="s">
        <v>256</v>
      </c>
    </row>
    <row r="113" spans="2:33" x14ac:dyDescent="0.2">
      <c r="B113" s="140" t="s">
        <v>241</v>
      </c>
      <c r="C113" s="141" t="s">
        <v>242</v>
      </c>
      <c r="I113" s="522" t="s">
        <v>241</v>
      </c>
      <c r="J113" s="606"/>
      <c r="K113" s="141" t="s">
        <v>242</v>
      </c>
      <c r="Q113" s="522" t="s">
        <v>241</v>
      </c>
      <c r="R113" s="606"/>
      <c r="S113" s="141" t="s">
        <v>242</v>
      </c>
      <c r="AE113" s="522" t="s">
        <v>241</v>
      </c>
      <c r="AF113" s="606"/>
      <c r="AG113" s="141" t="s">
        <v>266</v>
      </c>
    </row>
    <row r="114" spans="2:33" x14ac:dyDescent="0.2">
      <c r="B114" s="213"/>
    </row>
    <row r="115" spans="2:33" x14ac:dyDescent="0.2">
      <c r="B115" s="213"/>
    </row>
    <row r="117" spans="2:33" ht="18.75" x14ac:dyDescent="0.3">
      <c r="B117" s="3" t="s">
        <v>408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</row>
    <row r="119" spans="2:33" x14ac:dyDescent="0.2">
      <c r="B119" s="59" t="s">
        <v>159</v>
      </c>
      <c r="C119" s="350" t="str" cm="1">
        <f t="array" ref="C119">_xll.d.TestUtils_And(L124:O158)</f>
        <v>Ok</v>
      </c>
    </row>
    <row r="121" spans="2:33" ht="15.75" x14ac:dyDescent="0.25">
      <c r="B121" s="4" t="s">
        <v>109</v>
      </c>
      <c r="C121" s="357"/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</row>
    <row r="123" spans="2:33" x14ac:dyDescent="0.2">
      <c r="B123" s="134" t="s">
        <v>133</v>
      </c>
      <c r="C123" s="206"/>
      <c r="D123" s="206"/>
      <c r="E123" s="135"/>
      <c r="G123" s="134" t="s">
        <v>253</v>
      </c>
      <c r="H123" s="206"/>
      <c r="I123" s="206"/>
      <c r="J123" s="135"/>
      <c r="L123" s="134" t="s">
        <v>212</v>
      </c>
      <c r="M123" s="206"/>
      <c r="N123" s="206"/>
      <c r="O123" s="135"/>
    </row>
    <row r="124" spans="2:33" x14ac:dyDescent="0.2">
      <c r="B124" s="132" t="str" cm="1">
        <f t="array" ref="B124:E158">_xll.d.Dates_GetListOfCalendars()</f>
        <v>Variant 1</v>
      </c>
      <c r="C124" s="318" t="str">
        <v>Variant 2</v>
      </c>
      <c r="D124" s="318" t="str">
        <v>Variant 3</v>
      </c>
      <c r="E124" s="133" t="str">
        <v>Variant 4</v>
      </c>
      <c r="G124" s="132" t="s">
        <v>269</v>
      </c>
      <c r="H124" s="318" t="s">
        <v>270</v>
      </c>
      <c r="I124" s="318" t="s">
        <v>279</v>
      </c>
      <c r="J124" s="133" t="s">
        <v>280</v>
      </c>
      <c r="L124" s="350" t="str" cm="1">
        <f t="array" ref="L124">_xll.d.TestUtils_Equal(B124,G124)</f>
        <v>Ok</v>
      </c>
      <c r="M124" s="350" t="str" cm="1">
        <f t="array" ref="M124">_xll.d.TestUtils_Equal(C124,H124)</f>
        <v>Ok</v>
      </c>
      <c r="N124" s="350" t="str" cm="1">
        <f t="array" ref="N124">_xll.d.TestUtils_Equal(D124,I124)</f>
        <v>Ok</v>
      </c>
      <c r="O124" s="350" t="str" cm="1">
        <f t="array" ref="O124">_xll.d.TestUtils_Equal(E124,J124)</f>
        <v>Ok</v>
      </c>
    </row>
    <row r="125" spans="2:33" x14ac:dyDescent="0.2">
      <c r="B125" s="136" t="str">
        <v>ARS</v>
      </c>
      <c r="C125" s="370" t="str">
        <v>Argentina</v>
      </c>
      <c r="D125" s="370" t="str">
        <v/>
      </c>
      <c r="E125" s="137" t="str">
        <v/>
      </c>
      <c r="G125" s="136" t="s">
        <v>291</v>
      </c>
      <c r="H125" s="370" t="s">
        <v>292</v>
      </c>
      <c r="I125" s="370" t="s">
        <v>283</v>
      </c>
      <c r="J125" s="137" t="s">
        <v>283</v>
      </c>
      <c r="L125" s="350" t="str" cm="1">
        <f t="array" ref="L125">_xll.d.TestUtils_Equal(B125,G125)</f>
        <v>Ok</v>
      </c>
      <c r="M125" s="350" t="str" cm="1">
        <f t="array" ref="M125">_xll.d.TestUtils_Equal(C125,H125)</f>
        <v>Ok</v>
      </c>
      <c r="N125" s="350" t="str" cm="1">
        <f t="array" ref="N125">_xll.d.TestUtils_Equal(D125,I125)</f>
        <v>Ok</v>
      </c>
      <c r="O125" s="350" t="str" cm="1">
        <f t="array" ref="O125">_xll.d.TestUtils_Equal(E125,J125)</f>
        <v>Ok</v>
      </c>
    </row>
    <row r="126" spans="2:33" x14ac:dyDescent="0.2">
      <c r="B126" s="138" t="str">
        <v>AUD</v>
      </c>
      <c r="C126" s="306" t="str">
        <v>Australia</v>
      </c>
      <c r="D126" s="306" t="str">
        <v/>
      </c>
      <c r="E126" s="139" t="str">
        <v/>
      </c>
      <c r="G126" s="138" t="s">
        <v>293</v>
      </c>
      <c r="H126" s="306" t="s">
        <v>294</v>
      </c>
      <c r="I126" s="306" t="s">
        <v>283</v>
      </c>
      <c r="J126" s="139" t="s">
        <v>283</v>
      </c>
      <c r="L126" s="350" t="str" cm="1">
        <f t="array" ref="L126">_xll.d.TestUtils_Equal(B126,G126)</f>
        <v>Ok</v>
      </c>
      <c r="M126" s="350" t="str" cm="1">
        <f t="array" ref="M126">_xll.d.TestUtils_Equal(C126,H126)</f>
        <v>Ok</v>
      </c>
      <c r="N126" s="350" t="str" cm="1">
        <f t="array" ref="N126">_xll.d.TestUtils_Equal(D126,I126)</f>
        <v>Ok</v>
      </c>
      <c r="O126" s="350" t="str" cm="1">
        <f t="array" ref="O126">_xll.d.TestUtils_Equal(E126,J126)</f>
        <v>Ok</v>
      </c>
    </row>
    <row r="127" spans="2:33" x14ac:dyDescent="0.2">
      <c r="B127" s="138" t="str">
        <v>BWP</v>
      </c>
      <c r="C127" s="306" t="str">
        <v>Botswana</v>
      </c>
      <c r="D127" s="306" t="str">
        <v/>
      </c>
      <c r="E127" s="139" t="str">
        <v/>
      </c>
      <c r="G127" s="138" t="s">
        <v>295</v>
      </c>
      <c r="H127" s="306" t="s">
        <v>296</v>
      </c>
      <c r="I127" s="306" t="s">
        <v>283</v>
      </c>
      <c r="J127" s="139" t="s">
        <v>283</v>
      </c>
      <c r="L127" s="350" t="str" cm="1">
        <f t="array" ref="L127">_xll.d.TestUtils_Equal(B127,G127)</f>
        <v>Ok</v>
      </c>
      <c r="M127" s="350" t="str" cm="1">
        <f t="array" ref="M127">_xll.d.TestUtils_Equal(C127,H127)</f>
        <v>Ok</v>
      </c>
      <c r="N127" s="350" t="str" cm="1">
        <f t="array" ref="N127">_xll.d.TestUtils_Equal(D127,I127)</f>
        <v>Ok</v>
      </c>
      <c r="O127" s="350" t="str" cm="1">
        <f t="array" ref="O127">_xll.d.TestUtils_Equal(E127,J127)</f>
        <v>Ok</v>
      </c>
    </row>
    <row r="128" spans="2:33" x14ac:dyDescent="0.2">
      <c r="B128" s="138" t="str">
        <v>BRL</v>
      </c>
      <c r="C128" s="306" t="str">
        <v>Brazil</v>
      </c>
      <c r="D128" s="306" t="str">
        <v/>
      </c>
      <c r="E128" s="139" t="str">
        <v/>
      </c>
      <c r="G128" s="138" t="s">
        <v>297</v>
      </c>
      <c r="H128" s="306" t="s">
        <v>298</v>
      </c>
      <c r="I128" s="306" t="s">
        <v>283</v>
      </c>
      <c r="J128" s="139" t="s">
        <v>283</v>
      </c>
      <c r="L128" s="350" t="str" cm="1">
        <f t="array" ref="L128">_xll.d.TestUtils_Equal(B128,G128)</f>
        <v>Ok</v>
      </c>
      <c r="M128" s="350" t="str" cm="1">
        <f t="array" ref="M128">_xll.d.TestUtils_Equal(C128,H128)</f>
        <v>Ok</v>
      </c>
      <c r="N128" s="350" t="str" cm="1">
        <f t="array" ref="N128">_xll.d.TestUtils_Equal(D128,I128)</f>
        <v>Ok</v>
      </c>
      <c r="O128" s="350" t="str" cm="1">
        <f t="array" ref="O128">_xll.d.TestUtils_Equal(E128,J128)</f>
        <v>Ok</v>
      </c>
    </row>
    <row r="129" spans="2:15" x14ac:dyDescent="0.2">
      <c r="B129" s="138" t="str">
        <v>CAD</v>
      </c>
      <c r="C129" s="306" t="str">
        <v>Canada</v>
      </c>
      <c r="D129" s="306" t="str">
        <v/>
      </c>
      <c r="E129" s="139" t="str">
        <v/>
      </c>
      <c r="G129" s="138" t="s">
        <v>299</v>
      </c>
      <c r="H129" s="306" t="s">
        <v>300</v>
      </c>
      <c r="I129" s="306" t="s">
        <v>283</v>
      </c>
      <c r="J129" s="139" t="s">
        <v>283</v>
      </c>
      <c r="L129" s="350" t="str" cm="1">
        <f t="array" ref="L129">_xll.d.TestUtils_Equal(B129,G129)</f>
        <v>Ok</v>
      </c>
      <c r="M129" s="350" t="str" cm="1">
        <f t="array" ref="M129">_xll.d.TestUtils_Equal(C129,H129)</f>
        <v>Ok</v>
      </c>
      <c r="N129" s="350" t="str" cm="1">
        <f t="array" ref="N129">_xll.d.TestUtils_Equal(D129,I129)</f>
        <v>Ok</v>
      </c>
      <c r="O129" s="350" t="str" cm="1">
        <f t="array" ref="O129">_xll.d.TestUtils_Equal(E129,J129)</f>
        <v>Ok</v>
      </c>
    </row>
    <row r="130" spans="2:15" x14ac:dyDescent="0.2">
      <c r="B130" s="138" t="str">
        <v>CHF</v>
      </c>
      <c r="C130" s="306" t="str">
        <v>Switzerland</v>
      </c>
      <c r="D130" s="306" t="str">
        <v/>
      </c>
      <c r="E130" s="139" t="str">
        <v/>
      </c>
      <c r="G130" s="138" t="s">
        <v>301</v>
      </c>
      <c r="H130" s="306" t="s">
        <v>302</v>
      </c>
      <c r="I130" s="306" t="s">
        <v>283</v>
      </c>
      <c r="J130" s="139" t="s">
        <v>283</v>
      </c>
      <c r="L130" s="350" t="str" cm="1">
        <f t="array" ref="L130">_xll.d.TestUtils_Equal(B130,G130)</f>
        <v>Ok</v>
      </c>
      <c r="M130" s="350" t="str" cm="1">
        <f t="array" ref="M130">_xll.d.TestUtils_Equal(C130,H130)</f>
        <v>Ok</v>
      </c>
      <c r="N130" s="350" t="str" cm="1">
        <f t="array" ref="N130">_xll.d.TestUtils_Equal(D130,I130)</f>
        <v>Ok</v>
      </c>
      <c r="O130" s="350" t="str" cm="1">
        <f t="array" ref="O130">_xll.d.TestUtils_Equal(E130,J130)</f>
        <v>Ok</v>
      </c>
    </row>
    <row r="131" spans="2:15" x14ac:dyDescent="0.2">
      <c r="B131" s="138" t="str">
        <v>CNH</v>
      </c>
      <c r="C131" s="306" t="str">
        <v>China</v>
      </c>
      <c r="D131" s="306" t="str">
        <v/>
      </c>
      <c r="E131" s="139" t="str">
        <v/>
      </c>
      <c r="G131" s="138" t="s">
        <v>303</v>
      </c>
      <c r="H131" s="306" t="s">
        <v>304</v>
      </c>
      <c r="I131" s="306" t="s">
        <v>283</v>
      </c>
      <c r="J131" s="139" t="s">
        <v>283</v>
      </c>
      <c r="L131" s="350" t="str" cm="1">
        <f t="array" ref="L131">_xll.d.TestUtils_Equal(B131,G131)</f>
        <v>Ok</v>
      </c>
      <c r="M131" s="350" t="str" cm="1">
        <f t="array" ref="M131">_xll.d.TestUtils_Equal(C131,H131)</f>
        <v>Ok</v>
      </c>
      <c r="N131" s="350" t="str" cm="1">
        <f t="array" ref="N131">_xll.d.TestUtils_Equal(D131,I131)</f>
        <v>Ok</v>
      </c>
      <c r="O131" s="350" t="str" cm="1">
        <f t="array" ref="O131">_xll.d.TestUtils_Equal(E131,J131)</f>
        <v>Ok</v>
      </c>
    </row>
    <row r="132" spans="2:15" x14ac:dyDescent="0.2">
      <c r="B132" s="138" t="str">
        <v>CZK</v>
      </c>
      <c r="C132" s="306" t="str">
        <v>Czech Republic</v>
      </c>
      <c r="D132" s="306" t="str">
        <v/>
      </c>
      <c r="E132" s="139" t="str">
        <v/>
      </c>
      <c r="G132" s="138" t="s">
        <v>305</v>
      </c>
      <c r="H132" s="306" t="s">
        <v>306</v>
      </c>
      <c r="I132" s="306" t="s">
        <v>283</v>
      </c>
      <c r="J132" s="139" t="s">
        <v>283</v>
      </c>
      <c r="L132" s="350" t="str" cm="1">
        <f t="array" ref="L132">_xll.d.TestUtils_Equal(B132,G132)</f>
        <v>Ok</v>
      </c>
      <c r="M132" s="350" t="str" cm="1">
        <f t="array" ref="M132">_xll.d.TestUtils_Equal(C132,H132)</f>
        <v>Ok</v>
      </c>
      <c r="N132" s="350" t="str" cm="1">
        <f t="array" ref="N132">_xll.d.TestUtils_Equal(D132,I132)</f>
        <v>Ok</v>
      </c>
      <c r="O132" s="350" t="str" cm="1">
        <f t="array" ref="O132">_xll.d.TestUtils_Equal(E132,J132)</f>
        <v>Ok</v>
      </c>
    </row>
    <row r="133" spans="2:15" x14ac:dyDescent="0.2">
      <c r="B133" s="138" t="str">
        <v>DKK</v>
      </c>
      <c r="C133" s="306" t="str">
        <v>Denmark</v>
      </c>
      <c r="D133" s="306" t="str">
        <v/>
      </c>
      <c r="E133" s="139" t="str">
        <v/>
      </c>
      <c r="G133" s="138" t="s">
        <v>307</v>
      </c>
      <c r="H133" s="306" t="s">
        <v>308</v>
      </c>
      <c r="I133" s="306" t="s">
        <v>283</v>
      </c>
      <c r="J133" s="139" t="s">
        <v>283</v>
      </c>
      <c r="L133" s="350" t="str" cm="1">
        <f t="array" ref="L133">_xll.d.TestUtils_Equal(B133,G133)</f>
        <v>Ok</v>
      </c>
      <c r="M133" s="350" t="str" cm="1">
        <f t="array" ref="M133">_xll.d.TestUtils_Equal(C133,H133)</f>
        <v>Ok</v>
      </c>
      <c r="N133" s="350" t="str" cm="1">
        <f t="array" ref="N133">_xll.d.TestUtils_Equal(D133,I133)</f>
        <v>Ok</v>
      </c>
      <c r="O133" s="350" t="str" cm="1">
        <f t="array" ref="O133">_xll.d.TestUtils_Equal(E133,J133)</f>
        <v>Ok</v>
      </c>
    </row>
    <row r="134" spans="2:15" x14ac:dyDescent="0.2">
      <c r="B134" s="138" t="str">
        <v>EUR</v>
      </c>
      <c r="C134" s="306" t="str">
        <v>Euro</v>
      </c>
      <c r="D134" s="306" t="str">
        <v/>
      </c>
      <c r="E134" s="139" t="str">
        <v/>
      </c>
      <c r="G134" s="138" t="s">
        <v>309</v>
      </c>
      <c r="H134" s="306" t="s">
        <v>310</v>
      </c>
      <c r="I134" s="306" t="s">
        <v>283</v>
      </c>
      <c r="J134" s="139" t="s">
        <v>283</v>
      </c>
      <c r="L134" s="350" t="str" cm="1">
        <f t="array" ref="L134">_xll.d.TestUtils_Equal(B134,G134)</f>
        <v>Ok</v>
      </c>
      <c r="M134" s="350" t="str" cm="1">
        <f t="array" ref="M134">_xll.d.TestUtils_Equal(C134,H134)</f>
        <v>Ok</v>
      </c>
      <c r="N134" s="350" t="str" cm="1">
        <f t="array" ref="N134">_xll.d.TestUtils_Equal(D134,I134)</f>
        <v>Ok</v>
      </c>
      <c r="O134" s="350" t="str" cm="1">
        <f t="array" ref="O134">_xll.d.TestUtils_Equal(E134,J134)</f>
        <v>Ok</v>
      </c>
    </row>
    <row r="135" spans="2:15" x14ac:dyDescent="0.2">
      <c r="B135" s="138" t="str">
        <v>GBP</v>
      </c>
      <c r="C135" s="306" t="str">
        <v>Great Britain</v>
      </c>
      <c r="D135" s="306" t="str">
        <v/>
      </c>
      <c r="E135" s="139" t="str">
        <v/>
      </c>
      <c r="G135" s="138" t="s">
        <v>311</v>
      </c>
      <c r="H135" s="306" t="s">
        <v>312</v>
      </c>
      <c r="I135" s="306" t="s">
        <v>283</v>
      </c>
      <c r="J135" s="139" t="s">
        <v>283</v>
      </c>
      <c r="L135" s="350" t="str" cm="1">
        <f t="array" ref="L135">_xll.d.TestUtils_Equal(B135,G135)</f>
        <v>Ok</v>
      </c>
      <c r="M135" s="350" t="str" cm="1">
        <f t="array" ref="M135">_xll.d.TestUtils_Equal(C135,H135)</f>
        <v>Ok</v>
      </c>
      <c r="N135" s="350" t="str" cm="1">
        <f t="array" ref="N135">_xll.d.TestUtils_Equal(D135,I135)</f>
        <v>Ok</v>
      </c>
      <c r="O135" s="350" t="str" cm="1">
        <f t="array" ref="O135">_xll.d.TestUtils_Equal(E135,J135)</f>
        <v>Ok</v>
      </c>
    </row>
    <row r="136" spans="2:15" x14ac:dyDescent="0.2">
      <c r="B136" s="138" t="str">
        <v>Germany</v>
      </c>
      <c r="C136" s="306" t="str">
        <v/>
      </c>
      <c r="D136" s="306" t="str">
        <v/>
      </c>
      <c r="E136" s="139" t="str">
        <v/>
      </c>
      <c r="G136" s="138" t="s">
        <v>313</v>
      </c>
      <c r="H136" s="306" t="s">
        <v>283</v>
      </c>
      <c r="I136" s="306" t="s">
        <v>283</v>
      </c>
      <c r="J136" s="139" t="s">
        <v>283</v>
      </c>
      <c r="L136" s="350" t="str" cm="1">
        <f t="array" ref="L136">_xll.d.TestUtils_Equal(B136,G136)</f>
        <v>Ok</v>
      </c>
      <c r="M136" s="350" t="str" cm="1">
        <f t="array" ref="M136">_xll.d.TestUtils_Equal(C136,H136)</f>
        <v>Ok</v>
      </c>
      <c r="N136" s="350" t="str" cm="1">
        <f t="array" ref="N136">_xll.d.TestUtils_Equal(D136,I136)</f>
        <v>Ok</v>
      </c>
      <c r="O136" s="350" t="str" cm="1">
        <f t="array" ref="O136">_xll.d.TestUtils_Equal(E136,J136)</f>
        <v>Ok</v>
      </c>
    </row>
    <row r="137" spans="2:15" x14ac:dyDescent="0.2">
      <c r="B137" s="138" t="str">
        <v>HUF</v>
      </c>
      <c r="C137" s="306" t="str">
        <v>Hungary</v>
      </c>
      <c r="D137" s="306" t="str">
        <v/>
      </c>
      <c r="E137" s="139" t="str">
        <v/>
      </c>
      <c r="G137" s="138" t="s">
        <v>314</v>
      </c>
      <c r="H137" s="306" t="s">
        <v>315</v>
      </c>
      <c r="I137" s="306" t="s">
        <v>283</v>
      </c>
      <c r="J137" s="139" t="s">
        <v>283</v>
      </c>
      <c r="L137" s="350" t="str" cm="1">
        <f t="array" ref="L137">_xll.d.TestUtils_Equal(B137,G137)</f>
        <v>Ok</v>
      </c>
      <c r="M137" s="350" t="str" cm="1">
        <f t="array" ref="M137">_xll.d.TestUtils_Equal(C137,H137)</f>
        <v>Ok</v>
      </c>
      <c r="N137" s="350" t="str" cm="1">
        <f t="array" ref="N137">_xll.d.TestUtils_Equal(D137,I137)</f>
        <v>Ok</v>
      </c>
      <c r="O137" s="350" t="str" cm="1">
        <f t="array" ref="O137">_xll.d.TestUtils_Equal(E137,J137)</f>
        <v>Ok</v>
      </c>
    </row>
    <row r="138" spans="2:15" x14ac:dyDescent="0.2">
      <c r="B138" s="138" t="str">
        <v>INR</v>
      </c>
      <c r="C138" s="306" t="str">
        <v>India</v>
      </c>
      <c r="D138" s="306" t="str">
        <v/>
      </c>
      <c r="E138" s="139" t="str">
        <v/>
      </c>
      <c r="G138" s="138" t="s">
        <v>316</v>
      </c>
      <c r="H138" s="306" t="s">
        <v>317</v>
      </c>
      <c r="I138" s="306" t="s">
        <v>283</v>
      </c>
      <c r="J138" s="139" t="s">
        <v>283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15" x14ac:dyDescent="0.2">
      <c r="B139" s="138" t="str">
        <v>ILS</v>
      </c>
      <c r="C139" s="306" t="str">
        <v>Israel</v>
      </c>
      <c r="D139" s="306" t="str">
        <v/>
      </c>
      <c r="E139" s="139" t="str">
        <v/>
      </c>
      <c r="G139" s="138" t="s">
        <v>318</v>
      </c>
      <c r="H139" s="306" t="s">
        <v>319</v>
      </c>
      <c r="I139" s="306" t="s">
        <v>283</v>
      </c>
      <c r="J139" s="139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15" x14ac:dyDescent="0.2">
      <c r="B140" s="138" t="str">
        <v>Italy</v>
      </c>
      <c r="C140" s="306" t="str">
        <v/>
      </c>
      <c r="D140" s="306" t="str">
        <v/>
      </c>
      <c r="E140" s="139" t="str">
        <v/>
      </c>
      <c r="G140" s="138" t="s">
        <v>320</v>
      </c>
      <c r="H140" s="306" t="s">
        <v>283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15" x14ac:dyDescent="0.2">
      <c r="B141" s="138" t="str">
        <v>JPY</v>
      </c>
      <c r="C141" s="306" t="str">
        <v>Japan</v>
      </c>
      <c r="D141" s="306" t="str">
        <v/>
      </c>
      <c r="E141" s="139" t="str">
        <v/>
      </c>
      <c r="G141" s="138" t="s">
        <v>321</v>
      </c>
      <c r="H141" s="306" t="s">
        <v>322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15" x14ac:dyDescent="0.2">
      <c r="B142" s="138" t="str">
        <v>KRW</v>
      </c>
      <c r="C142" s="306" t="str">
        <v>South Korea</v>
      </c>
      <c r="D142" s="306" t="str">
        <v/>
      </c>
      <c r="E142" s="139" t="str">
        <v/>
      </c>
      <c r="G142" s="138" t="s">
        <v>323</v>
      </c>
      <c r="H142" s="306" t="s">
        <v>324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15" x14ac:dyDescent="0.2">
      <c r="B143" s="138" t="str">
        <v>MXN</v>
      </c>
      <c r="C143" s="306" t="str">
        <v>Mexico</v>
      </c>
      <c r="D143" s="306" t="str">
        <v/>
      </c>
      <c r="E143" s="139" t="str">
        <v/>
      </c>
      <c r="G143" s="138" t="s">
        <v>325</v>
      </c>
      <c r="H143" s="306" t="s">
        <v>326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15" x14ac:dyDescent="0.2">
      <c r="B144" s="138" t="str">
        <v>NOK</v>
      </c>
      <c r="C144" s="306" t="str">
        <v>Norway</v>
      </c>
      <c r="D144" s="306" t="str">
        <v/>
      </c>
      <c r="E144" s="139" t="str">
        <v/>
      </c>
      <c r="G144" s="138" t="s">
        <v>327</v>
      </c>
      <c r="H144" s="306" t="s">
        <v>328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NZD</v>
      </c>
      <c r="C145" s="306" t="str">
        <v>New Zealand</v>
      </c>
      <c r="D145" s="306" t="str">
        <v/>
      </c>
      <c r="E145" s="139" t="str">
        <v/>
      </c>
      <c r="G145" s="138" t="s">
        <v>329</v>
      </c>
      <c r="H145" s="306" t="s">
        <v>330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PLN</v>
      </c>
      <c r="C146" s="306" t="str">
        <v>Poland</v>
      </c>
      <c r="D146" s="306" t="str">
        <v/>
      </c>
      <c r="E146" s="139" t="str">
        <v/>
      </c>
      <c r="G146" s="138" t="s">
        <v>331</v>
      </c>
      <c r="H146" s="306" t="s">
        <v>332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RON</v>
      </c>
      <c r="C147" s="306" t="str">
        <v>Romania</v>
      </c>
      <c r="D147" s="306" t="str">
        <v/>
      </c>
      <c r="E147" s="139" t="str">
        <v/>
      </c>
      <c r="G147" s="138" t="s">
        <v>333</v>
      </c>
      <c r="H147" s="306" t="s">
        <v>334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RUB</v>
      </c>
      <c r="C148" s="306" t="str">
        <v>Russia</v>
      </c>
      <c r="D148" s="306" t="str">
        <v/>
      </c>
      <c r="E148" s="139" t="str">
        <v/>
      </c>
      <c r="G148" s="138" t="s">
        <v>335</v>
      </c>
      <c r="H148" s="306" t="s">
        <v>336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SGD</v>
      </c>
      <c r="C149" s="306" t="str">
        <v>Singapore</v>
      </c>
      <c r="D149" s="306" t="str">
        <v/>
      </c>
      <c r="E149" s="139" t="str">
        <v/>
      </c>
      <c r="G149" s="138" t="s">
        <v>337</v>
      </c>
      <c r="H149" s="306" t="s">
        <v>338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SKK</v>
      </c>
      <c r="C150" s="306" t="str">
        <v>Sweden</v>
      </c>
      <c r="D150" s="306" t="str">
        <v/>
      </c>
      <c r="E150" s="139" t="str">
        <v/>
      </c>
      <c r="G150" s="138" t="s">
        <v>339</v>
      </c>
      <c r="H150" s="306" t="s">
        <v>340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SLOVAKIA</v>
      </c>
      <c r="C151" s="306" t="str">
        <v/>
      </c>
      <c r="D151" s="306" t="str">
        <v/>
      </c>
      <c r="E151" s="139" t="str">
        <v/>
      </c>
      <c r="G151" s="138" t="s">
        <v>341</v>
      </c>
      <c r="H151" s="306" t="s">
        <v>283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THB</v>
      </c>
      <c r="C152" s="306" t="str">
        <v>Thailand</v>
      </c>
      <c r="D152" s="306" t="str">
        <v/>
      </c>
      <c r="E152" s="139" t="str">
        <v/>
      </c>
      <c r="G152" s="138" t="s">
        <v>342</v>
      </c>
      <c r="H152" s="306" t="s">
        <v>343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TRY</v>
      </c>
      <c r="C153" s="306" t="str">
        <v>Turkey</v>
      </c>
      <c r="D153" s="306" t="str">
        <v/>
      </c>
      <c r="E153" s="139" t="str">
        <v/>
      </c>
      <c r="G153" s="138" t="s">
        <v>344</v>
      </c>
      <c r="H153" s="306" t="s">
        <v>345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TWD</v>
      </c>
      <c r="C154" s="306" t="str">
        <v>Taiwan</v>
      </c>
      <c r="D154" s="306" t="str">
        <v/>
      </c>
      <c r="E154" s="139" t="str">
        <v/>
      </c>
      <c r="G154" s="138" t="s">
        <v>346</v>
      </c>
      <c r="H154" s="306" t="s">
        <v>347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UAH</v>
      </c>
      <c r="C155" s="306" t="str">
        <v>Ukraine</v>
      </c>
      <c r="D155" s="306" t="str">
        <v/>
      </c>
      <c r="E155" s="139" t="str">
        <v/>
      </c>
      <c r="G155" s="138" t="s">
        <v>348</v>
      </c>
      <c r="H155" s="306" t="s">
        <v>349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USD</v>
      </c>
      <c r="C156" s="306" t="str">
        <v>USA</v>
      </c>
      <c r="D156" s="306" t="str">
        <v>United States</v>
      </c>
      <c r="E156" s="139" t="str">
        <v>United States of America</v>
      </c>
      <c r="G156" s="138" t="s">
        <v>350</v>
      </c>
      <c r="H156" s="306" t="s">
        <v>351</v>
      </c>
      <c r="I156" s="306" t="s">
        <v>352</v>
      </c>
      <c r="J156" s="139" t="s">
        <v>353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WEEKENDSONLY</v>
      </c>
      <c r="C157" s="306" t="str">
        <v/>
      </c>
      <c r="D157" s="306" t="str">
        <v/>
      </c>
      <c r="E157" s="139" t="str">
        <v/>
      </c>
      <c r="G157" s="138" t="s">
        <v>502</v>
      </c>
      <c r="H157" s="306" t="s">
        <v>283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40" t="str">
        <v>ZAR</v>
      </c>
      <c r="C158" s="205" t="str">
        <v>South Africa</v>
      </c>
      <c r="D158" s="205" t="str">
        <v/>
      </c>
      <c r="E158" s="141" t="str">
        <v/>
      </c>
      <c r="G158" s="140" t="s">
        <v>70</v>
      </c>
      <c r="H158" s="205" t="s">
        <v>354</v>
      </c>
      <c r="I158" s="205" t="s">
        <v>283</v>
      </c>
      <c r="J158" s="141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62" spans="2:27" ht="18.75" x14ac:dyDescent="0.3">
      <c r="B162" s="3" t="s">
        <v>409</v>
      </c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</row>
    <row r="164" spans="2:27" x14ac:dyDescent="0.2">
      <c r="B164" s="59" t="s">
        <v>159</v>
      </c>
      <c r="C164" s="350" t="str" cm="1">
        <f t="array" ref="C164">_xll.d.TestUtils_And(G169:G177,N169:N186,AA169)</f>
        <v>Ok</v>
      </c>
    </row>
    <row r="166" spans="2:27" ht="15.75" x14ac:dyDescent="0.25">
      <c r="B166" s="4" t="s">
        <v>259</v>
      </c>
      <c r="C166" s="357"/>
      <c r="D166" s="357"/>
      <c r="E166" s="357"/>
      <c r="F166" s="357"/>
      <c r="G166" s="357"/>
      <c r="I166" s="4" t="s">
        <v>260</v>
      </c>
      <c r="J166" s="357"/>
      <c r="K166" s="357"/>
      <c r="L166" s="357"/>
      <c r="M166" s="357"/>
      <c r="N166" s="357"/>
      <c r="P166" s="4" t="s">
        <v>264</v>
      </c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</row>
    <row r="167" spans="2:27" x14ac:dyDescent="0.2">
      <c r="G167" s="349"/>
      <c r="N167" s="349"/>
    </row>
    <row r="168" spans="2:27" x14ac:dyDescent="0.2">
      <c r="B168" s="134" t="s">
        <v>251</v>
      </c>
      <c r="C168" s="135"/>
      <c r="E168" s="12" t="s">
        <v>133</v>
      </c>
      <c r="F168" s="27" t="s">
        <v>253</v>
      </c>
      <c r="G168" s="135" t="s">
        <v>84</v>
      </c>
      <c r="I168" s="134" t="s">
        <v>251</v>
      </c>
      <c r="J168" s="135"/>
      <c r="L168" s="12" t="s">
        <v>133</v>
      </c>
      <c r="M168" s="27" t="s">
        <v>253</v>
      </c>
      <c r="N168" s="135" t="s">
        <v>84</v>
      </c>
      <c r="P168" s="134" t="s">
        <v>251</v>
      </c>
      <c r="Q168" s="135"/>
      <c r="S168" s="12" t="s">
        <v>133</v>
      </c>
      <c r="T168" s="27"/>
      <c r="U168" s="27"/>
      <c r="V168" s="27"/>
      <c r="W168" s="27" t="s">
        <v>253</v>
      </c>
      <c r="X168" s="27"/>
      <c r="Y168" s="27"/>
      <c r="Z168" s="27"/>
      <c r="AA168" s="135" t="s">
        <v>84</v>
      </c>
    </row>
    <row r="169" spans="2:27" x14ac:dyDescent="0.2">
      <c r="B169" s="136" t="s">
        <v>257</v>
      </c>
      <c r="C169" s="351">
        <v>44562</v>
      </c>
      <c r="E169" s="364" cm="1">
        <f t="array" ref="E169:E177">_xll.d.Dates_GetListOfHolidays(C169,C170,C171)</f>
        <v>44641</v>
      </c>
      <c r="F169" s="365">
        <v>44641</v>
      </c>
      <c r="G169" s="137" t="str" cm="1">
        <f t="array" ref="G169">_xll.d.TestUtils_Equal(E169,F169)</f>
        <v>Ok</v>
      </c>
      <c r="I169" s="136" t="s">
        <v>257</v>
      </c>
      <c r="J169" s="351">
        <v>44562</v>
      </c>
      <c r="L169" s="364" cm="1">
        <f t="array" ref="L169:L186">_xll.d.Dates_GetListOfHolidays(J169,J170,J171)</f>
        <v>44578</v>
      </c>
      <c r="M169" s="365">
        <v>44578</v>
      </c>
      <c r="N169" s="137" t="str" cm="1">
        <f t="array" ref="N169">_xll.d.TestUtils_Equal(L169,M169)</f>
        <v>Ok</v>
      </c>
      <c r="P169" s="136" t="s">
        <v>257</v>
      </c>
      <c r="Q169" s="351">
        <v>44562</v>
      </c>
      <c r="S169" s="602" t="str" cm="1">
        <f t="array" ref="S169">_xll.d.Dates_GetListOfHolidays(Q169,Q170,Q171)</f>
        <v>#∂Excel Error: Unsupported calendar: 'WRE'</v>
      </c>
      <c r="T169" s="603"/>
      <c r="U169" s="603"/>
      <c r="V169" s="603"/>
      <c r="W169" s="603" t="s">
        <v>500</v>
      </c>
      <c r="X169" s="603"/>
      <c r="Y169" s="603"/>
      <c r="Z169" s="603"/>
      <c r="AA169" s="360" t="str" cm="1">
        <f t="array" ref="AA169">_xll.d.TestUtils_Equal(S169,W169)</f>
        <v>Ok</v>
      </c>
    </row>
    <row r="170" spans="2:27" x14ac:dyDescent="0.2">
      <c r="B170" s="138" t="s">
        <v>258</v>
      </c>
      <c r="C170" s="363">
        <v>44926</v>
      </c>
      <c r="E170" s="366">
        <v>44666</v>
      </c>
      <c r="F170" s="367">
        <v>44666</v>
      </c>
      <c r="G170" s="139" t="str" cm="1">
        <f t="array" ref="G170">_xll.d.TestUtils_Equal(E170,F170)</f>
        <v>Ok</v>
      </c>
      <c r="I170" s="138" t="s">
        <v>258</v>
      </c>
      <c r="J170" s="363">
        <v>44926</v>
      </c>
      <c r="L170" s="366">
        <v>44613</v>
      </c>
      <c r="M170" s="367">
        <v>44613</v>
      </c>
      <c r="N170" s="139" t="str" cm="1">
        <f t="array" ref="N170">_xll.d.TestUtils_Equal(L170,M170)</f>
        <v>Ok</v>
      </c>
      <c r="P170" s="138" t="s">
        <v>258</v>
      </c>
      <c r="Q170" s="363">
        <v>44926</v>
      </c>
    </row>
    <row r="171" spans="2:27" x14ac:dyDescent="0.2">
      <c r="B171" s="140" t="s">
        <v>240</v>
      </c>
      <c r="C171" s="141" t="s">
        <v>70</v>
      </c>
      <c r="E171" s="366">
        <v>44669</v>
      </c>
      <c r="F171" s="367">
        <v>44669</v>
      </c>
      <c r="G171" s="139" t="str" cm="1">
        <f t="array" ref="G171">_xll.d.TestUtils_Equal(E171,F171)</f>
        <v>Ok</v>
      </c>
      <c r="I171" s="140" t="s">
        <v>240</v>
      </c>
      <c r="J171" s="141" t="s">
        <v>256</v>
      </c>
      <c r="L171" s="366">
        <v>44641</v>
      </c>
      <c r="M171" s="367">
        <v>44641</v>
      </c>
      <c r="N171" s="139" t="str" cm="1">
        <f t="array" ref="N171">_xll.d.TestUtils_Equal(L171,M171)</f>
        <v>Ok</v>
      </c>
      <c r="P171" s="140" t="s">
        <v>240</v>
      </c>
      <c r="Q171" s="141" t="s">
        <v>262</v>
      </c>
    </row>
    <row r="172" spans="2:27" x14ac:dyDescent="0.2">
      <c r="E172" s="366">
        <v>44678</v>
      </c>
      <c r="F172" s="367">
        <v>44678</v>
      </c>
      <c r="G172" s="139" t="str" cm="1">
        <f t="array" ref="G172">_xll.d.TestUtils_Equal(E172,F172)</f>
        <v>Ok</v>
      </c>
      <c r="L172" s="366">
        <v>44666</v>
      </c>
      <c r="M172" s="367">
        <v>44666</v>
      </c>
      <c r="N172" s="139" t="str" cm="1">
        <f t="array" ref="N172">_xll.d.TestUtils_Equal(L172,M172)</f>
        <v>Ok</v>
      </c>
    </row>
    <row r="173" spans="2:27" x14ac:dyDescent="0.2">
      <c r="E173" s="366">
        <v>44683</v>
      </c>
      <c r="F173" s="367">
        <v>44683</v>
      </c>
      <c r="G173" s="139" t="str" cm="1">
        <f t="array" ref="G173">_xll.d.TestUtils_Equal(E173,F173)</f>
        <v>Ok</v>
      </c>
      <c r="L173" s="366">
        <v>44669</v>
      </c>
      <c r="M173" s="367">
        <v>44669</v>
      </c>
      <c r="N173" s="139" t="str" cm="1">
        <f t="array" ref="N173">_xll.d.TestUtils_Equal(L173,M173)</f>
        <v>Ok</v>
      </c>
    </row>
    <row r="174" spans="2:27" x14ac:dyDescent="0.2">
      <c r="E174" s="366">
        <v>44728</v>
      </c>
      <c r="F174" s="367">
        <v>44728</v>
      </c>
      <c r="G174" s="139" t="str" cm="1">
        <f t="array" ref="G174">_xll.d.TestUtils_Equal(E174,F174)</f>
        <v>Ok</v>
      </c>
      <c r="L174" s="366">
        <v>44678</v>
      </c>
      <c r="M174" s="367">
        <v>44678</v>
      </c>
      <c r="N174" s="139" t="str" cm="1">
        <f t="array" ref="N174">_xll.d.TestUtils_Equal(L174,M174)</f>
        <v>Ok</v>
      </c>
    </row>
    <row r="175" spans="2:27" x14ac:dyDescent="0.2">
      <c r="E175" s="366">
        <v>44782</v>
      </c>
      <c r="F175" s="367">
        <v>44782</v>
      </c>
      <c r="G175" s="139" t="str" cm="1">
        <f t="array" ref="G175">_xll.d.TestUtils_Equal(E175,F175)</f>
        <v>Ok</v>
      </c>
      <c r="L175" s="366">
        <v>44683</v>
      </c>
      <c r="M175" s="367">
        <v>44683</v>
      </c>
      <c r="N175" s="139" t="str" cm="1">
        <f t="array" ref="N175">_xll.d.TestUtils_Equal(L175,M175)</f>
        <v>Ok</v>
      </c>
    </row>
    <row r="176" spans="2:27" x14ac:dyDescent="0.2">
      <c r="E176" s="366">
        <v>44911</v>
      </c>
      <c r="F176" s="367">
        <v>44911</v>
      </c>
      <c r="G176" s="139" t="str" cm="1">
        <f t="array" ref="G176">_xll.d.TestUtils_Equal(E176,F176)</f>
        <v>Ok</v>
      </c>
      <c r="L176" s="366">
        <v>44711</v>
      </c>
      <c r="M176" s="367">
        <v>44711</v>
      </c>
      <c r="N176" s="139" t="str" cm="1">
        <f t="array" ref="N176">_xll.d.TestUtils_Equal(L176,M176)</f>
        <v>Ok</v>
      </c>
    </row>
    <row r="177" spans="2:35" x14ac:dyDescent="0.2">
      <c r="E177" s="368">
        <v>44921</v>
      </c>
      <c r="F177" s="369">
        <v>44921</v>
      </c>
      <c r="G177" s="141" t="str" cm="1">
        <f t="array" ref="G177">_xll.d.TestUtils_Equal(E177,F177)</f>
        <v>Ok</v>
      </c>
      <c r="L177" s="366">
        <v>44728</v>
      </c>
      <c r="M177" s="367">
        <v>44728</v>
      </c>
      <c r="N177" s="139" t="str" cm="1">
        <f t="array" ref="N177">_xll.d.TestUtils_Equal(L177,M177)</f>
        <v>Ok</v>
      </c>
    </row>
    <row r="178" spans="2:35" x14ac:dyDescent="0.2">
      <c r="G178" s="349"/>
      <c r="L178" s="366">
        <v>44732</v>
      </c>
      <c r="M178" s="367">
        <v>44732</v>
      </c>
      <c r="N178" s="139" t="str" cm="1">
        <f t="array" ref="N178">_xll.d.TestUtils_Equal(L178,M178)</f>
        <v>Ok</v>
      </c>
    </row>
    <row r="179" spans="2:35" x14ac:dyDescent="0.2">
      <c r="G179" s="349"/>
      <c r="L179" s="366">
        <v>44746</v>
      </c>
      <c r="M179" s="367">
        <v>44746</v>
      </c>
      <c r="N179" s="139" t="str" cm="1">
        <f t="array" ref="N179">_xll.d.TestUtils_Equal(L179,M179)</f>
        <v>Ok</v>
      </c>
    </row>
    <row r="180" spans="2:35" x14ac:dyDescent="0.2">
      <c r="G180" s="349"/>
      <c r="L180" s="366">
        <v>44782</v>
      </c>
      <c r="M180" s="367">
        <v>44782</v>
      </c>
      <c r="N180" s="139" t="str" cm="1">
        <f t="array" ref="N180">_xll.d.TestUtils_Equal(L180,M180)</f>
        <v>Ok</v>
      </c>
    </row>
    <row r="181" spans="2:35" x14ac:dyDescent="0.2">
      <c r="G181" s="349"/>
      <c r="L181" s="366">
        <v>44809</v>
      </c>
      <c r="M181" s="367">
        <v>44809</v>
      </c>
      <c r="N181" s="139" t="str" cm="1">
        <f t="array" ref="N181">_xll.d.TestUtils_Equal(L181,M181)</f>
        <v>Ok</v>
      </c>
    </row>
    <row r="182" spans="2:35" x14ac:dyDescent="0.2">
      <c r="G182" s="349"/>
      <c r="L182" s="366">
        <v>44844</v>
      </c>
      <c r="M182" s="367">
        <v>44844</v>
      </c>
      <c r="N182" s="139" t="str" cm="1">
        <f t="array" ref="N182">_xll.d.TestUtils_Equal(L182,M182)</f>
        <v>Ok</v>
      </c>
    </row>
    <row r="183" spans="2:35" x14ac:dyDescent="0.2">
      <c r="G183" s="349"/>
      <c r="L183" s="366">
        <v>44876</v>
      </c>
      <c r="M183" s="367">
        <v>44876</v>
      </c>
      <c r="N183" s="139" t="str" cm="1">
        <f t="array" ref="N183">_xll.d.TestUtils_Equal(L183,M183)</f>
        <v>Ok</v>
      </c>
    </row>
    <row r="184" spans="2:35" x14ac:dyDescent="0.2">
      <c r="G184" s="349"/>
      <c r="L184" s="366">
        <v>44889</v>
      </c>
      <c r="M184" s="367">
        <v>44889</v>
      </c>
      <c r="N184" s="139" t="str" cm="1">
        <f t="array" ref="N184">_xll.d.TestUtils_Equal(L184,M184)</f>
        <v>Ok</v>
      </c>
    </row>
    <row r="185" spans="2:35" x14ac:dyDescent="0.2">
      <c r="G185" s="349"/>
      <c r="L185" s="366">
        <v>44911</v>
      </c>
      <c r="M185" s="367">
        <v>44911</v>
      </c>
      <c r="N185" s="139" t="str" cm="1">
        <f t="array" ref="N185">_xll.d.TestUtils_Equal(L185,M185)</f>
        <v>Ok</v>
      </c>
    </row>
    <row r="186" spans="2:35" x14ac:dyDescent="0.2">
      <c r="G186" s="349"/>
      <c r="L186" s="368">
        <v>44921</v>
      </c>
      <c r="M186" s="369">
        <v>44921</v>
      </c>
      <c r="N186" s="141" t="str" cm="1">
        <f t="array" ref="N186">_xll.d.TestUtils_Equal(L186,M186)</f>
        <v>Ok</v>
      </c>
    </row>
    <row r="189" spans="2:35" ht="18.75" x14ac:dyDescent="0.3">
      <c r="B189" s="3" t="s">
        <v>410</v>
      </c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</row>
    <row r="191" spans="2:35" x14ac:dyDescent="0.2">
      <c r="B191" s="59" t="s">
        <v>159</v>
      </c>
      <c r="C191" s="350" t="str" cm="1">
        <f t="array" ref="C191">_xll.d.TestUtils_And(G196:G200,N196:N200,U196:U200)</f>
        <v>Ok</v>
      </c>
    </row>
    <row r="193" spans="2:35" ht="15.75" x14ac:dyDescent="0.25">
      <c r="B193" s="4" t="s">
        <v>359</v>
      </c>
      <c r="C193" s="357"/>
      <c r="D193" s="357"/>
      <c r="E193" s="357"/>
      <c r="F193" s="357"/>
      <c r="G193" s="357"/>
      <c r="I193" s="4" t="s">
        <v>361</v>
      </c>
      <c r="J193" s="357"/>
      <c r="K193" s="357"/>
      <c r="L193" s="357"/>
      <c r="M193" s="357"/>
      <c r="N193" s="357"/>
      <c r="P193" s="4" t="s">
        <v>362</v>
      </c>
      <c r="Q193" s="357"/>
      <c r="R193" s="357"/>
      <c r="S193" s="357"/>
      <c r="T193" s="357"/>
      <c r="U193" s="357"/>
      <c r="W193" s="4" t="s">
        <v>264</v>
      </c>
      <c r="X193" s="4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</row>
    <row r="195" spans="2:35" x14ac:dyDescent="0.2">
      <c r="B195" s="134" t="s">
        <v>251</v>
      </c>
      <c r="C195" s="135"/>
      <c r="E195" s="134" t="s">
        <v>133</v>
      </c>
      <c r="F195" s="135" t="s">
        <v>253</v>
      </c>
      <c r="G195" s="135" t="s">
        <v>84</v>
      </c>
      <c r="I195" s="134" t="s">
        <v>251</v>
      </c>
      <c r="J195" s="135"/>
      <c r="L195" s="134" t="s">
        <v>133</v>
      </c>
      <c r="M195" s="135" t="s">
        <v>253</v>
      </c>
      <c r="N195" s="135" t="s">
        <v>84</v>
      </c>
      <c r="P195" s="134" t="s">
        <v>251</v>
      </c>
      <c r="Q195" s="135"/>
      <c r="S195" s="134" t="s">
        <v>133</v>
      </c>
      <c r="T195" s="135" t="s">
        <v>253</v>
      </c>
      <c r="U195" s="135" t="s">
        <v>84</v>
      </c>
      <c r="W195" s="134" t="s">
        <v>251</v>
      </c>
      <c r="X195" s="206"/>
      <c r="Y195" s="135"/>
      <c r="AA195" s="134" t="s">
        <v>133</v>
      </c>
      <c r="AB195" s="206"/>
      <c r="AC195" s="206"/>
      <c r="AD195" s="206"/>
      <c r="AE195" s="135" t="s">
        <v>253</v>
      </c>
      <c r="AF195" s="135"/>
      <c r="AG195" s="135"/>
      <c r="AH195" s="135"/>
      <c r="AI195" s="135" t="s">
        <v>84</v>
      </c>
    </row>
    <row r="196" spans="2:35" x14ac:dyDescent="0.2">
      <c r="B196" s="136" t="s">
        <v>257</v>
      </c>
      <c r="C196" s="351">
        <v>44743</v>
      </c>
      <c r="E196" s="364">
        <f t="array" ref="E196:E200">_xll.d.Dates_GenerateSchedule(C196,C197,C198,C199,C200,C201)</f>
        <v>44743</v>
      </c>
      <c r="F196" s="351">
        <v>44743</v>
      </c>
      <c r="G196" s="350" t="str" cm="1">
        <f t="array" ref="G196">_xll.d.TestUtils_Equal(E196,F196)</f>
        <v>Ok</v>
      </c>
      <c r="I196" s="136" t="s">
        <v>257</v>
      </c>
      <c r="J196" s="351">
        <v>44743</v>
      </c>
      <c r="L196" s="364">
        <f t="array" ref="L196:L200">_xll.d.Dates_GenerateSchedule(J196,J197,J198,J199,J200,J201)</f>
        <v>44743</v>
      </c>
      <c r="M196" s="351">
        <v>44743</v>
      </c>
      <c r="N196" s="350" t="str" cm="1">
        <f t="array" ref="N196">_xll.d.TestUtils_Equal(L196,M196)</f>
        <v>Ok</v>
      </c>
      <c r="P196" s="136" t="s">
        <v>257</v>
      </c>
      <c r="Q196" s="351">
        <v>44743</v>
      </c>
      <c r="S196" s="364">
        <f t="array" ref="S196:S200">_xll.d.Dates_GenerateSchedule(Q196,Q197,Q198,Q199,Q200,Q201)</f>
        <v>44743</v>
      </c>
      <c r="T196" s="351">
        <v>44743</v>
      </c>
      <c r="U196" s="350" t="str" cm="1">
        <f t="array" ref="U196">_xll.d.TestUtils_Equal(S196,T196)</f>
        <v>Ok</v>
      </c>
      <c r="W196" s="520" t="s">
        <v>257</v>
      </c>
      <c r="X196" s="604"/>
      <c r="Y196" s="351">
        <v>44743</v>
      </c>
      <c r="AA196" s="607" t="str" cm="1">
        <f t="array" ref="AA196">_xll.d.Dates_GenerateSchedule(Y196,Y197,Y198,Y199,Y200,Y201)</f>
        <v>#∂Excel Error: Unsupported calendar: 'WRE'</v>
      </c>
      <c r="AB196" s="608"/>
      <c r="AC196" s="608"/>
      <c r="AD196" s="608"/>
      <c r="AE196" s="609" t="s">
        <v>263</v>
      </c>
      <c r="AF196" s="608"/>
      <c r="AG196" s="608"/>
      <c r="AH196" s="610"/>
      <c r="AI196" s="350" t="str" cm="1">
        <f t="array" ref="AI196">_xll.d.TestUtils_Equal(AA196,AE196)</f>
        <v>Error</v>
      </c>
    </row>
    <row r="197" spans="2:35" x14ac:dyDescent="0.2">
      <c r="B197" s="138" t="s">
        <v>258</v>
      </c>
      <c r="C197" s="363">
        <v>45474</v>
      </c>
      <c r="E197" s="366">
        <v>44837</v>
      </c>
      <c r="F197" s="363">
        <v>44837</v>
      </c>
      <c r="G197" s="350" t="str" cm="1">
        <f t="array" ref="G197">_xll.d.TestUtils_Equal(E197,F197)</f>
        <v>Ok</v>
      </c>
      <c r="I197" s="138" t="s">
        <v>258</v>
      </c>
      <c r="J197" s="363">
        <v>45108</v>
      </c>
      <c r="L197" s="366">
        <v>44837</v>
      </c>
      <c r="M197" s="363">
        <v>44837</v>
      </c>
      <c r="N197" s="350" t="str" cm="1">
        <f t="array" ref="N197">_xll.d.TestUtils_Equal(L197,M197)</f>
        <v>Ok</v>
      </c>
      <c r="P197" s="138" t="s">
        <v>258</v>
      </c>
      <c r="Q197" s="363">
        <v>45108</v>
      </c>
      <c r="S197" s="366">
        <v>44824</v>
      </c>
      <c r="T197" s="363">
        <v>44824</v>
      </c>
      <c r="U197" s="350" t="str" cm="1">
        <f t="array" ref="U197">_xll.d.TestUtils_Equal(S197,T197)</f>
        <v>Ok</v>
      </c>
      <c r="W197" s="521" t="s">
        <v>258</v>
      </c>
      <c r="X197" s="605"/>
      <c r="Y197" s="363">
        <v>45108</v>
      </c>
    </row>
    <row r="198" spans="2:35" x14ac:dyDescent="0.2">
      <c r="B198" s="138" t="s">
        <v>355</v>
      </c>
      <c r="C198" s="139" t="s">
        <v>25</v>
      </c>
      <c r="E198" s="366">
        <v>44929</v>
      </c>
      <c r="F198" s="363">
        <v>44929</v>
      </c>
      <c r="G198" s="350" t="str" cm="1">
        <f t="array" ref="G198">_xll.d.TestUtils_Equal(E198,F198)</f>
        <v>Ok</v>
      </c>
      <c r="I198" s="138" t="s">
        <v>355</v>
      </c>
      <c r="J198" s="139" t="s">
        <v>25</v>
      </c>
      <c r="L198" s="366">
        <v>44929</v>
      </c>
      <c r="M198" s="363">
        <v>44929</v>
      </c>
      <c r="N198" s="350" t="str" cm="1">
        <f t="array" ref="N198">_xll.d.TestUtils_Equal(L198,M198)</f>
        <v>Ok</v>
      </c>
      <c r="P198" s="138" t="s">
        <v>355</v>
      </c>
      <c r="Q198" s="139" t="s">
        <v>25</v>
      </c>
      <c r="S198" s="366">
        <v>44915</v>
      </c>
      <c r="T198" s="363">
        <v>44915</v>
      </c>
      <c r="U198" s="350" t="str" cm="1">
        <f t="array" ref="U198">_xll.d.TestUtils_Equal(S198,T198)</f>
        <v>Ok</v>
      </c>
      <c r="W198" s="521" t="s">
        <v>355</v>
      </c>
      <c r="X198" s="605"/>
      <c r="Y198" s="139" t="s">
        <v>25</v>
      </c>
    </row>
    <row r="199" spans="2:35" x14ac:dyDescent="0.2">
      <c r="B199" s="138" t="s">
        <v>356</v>
      </c>
      <c r="C199" s="139" t="s">
        <v>256</v>
      </c>
      <c r="E199" s="366">
        <v>45019</v>
      </c>
      <c r="F199" s="363">
        <v>45019</v>
      </c>
      <c r="G199" s="350" t="str" cm="1">
        <f t="array" ref="G199">_xll.d.TestUtils_Equal(E199,F199)</f>
        <v>Ok</v>
      </c>
      <c r="I199" s="138" t="s">
        <v>356</v>
      </c>
      <c r="J199" s="139" t="s">
        <v>256</v>
      </c>
      <c r="L199" s="366">
        <v>45019</v>
      </c>
      <c r="M199" s="363">
        <v>45019</v>
      </c>
      <c r="N199" s="350" t="str" cm="1">
        <f t="array" ref="N199">_xll.d.TestUtils_Equal(L199,M199)</f>
        <v>Ok</v>
      </c>
      <c r="P199" s="138" t="s">
        <v>356</v>
      </c>
      <c r="Q199" s="139" t="s">
        <v>256</v>
      </c>
      <c r="S199" s="366">
        <v>45005</v>
      </c>
      <c r="T199" s="363">
        <v>45005</v>
      </c>
      <c r="U199" s="350" t="str" cm="1">
        <f t="array" ref="U199">_xll.d.TestUtils_Equal(S199,T199)</f>
        <v>Ok</v>
      </c>
      <c r="W199" s="521" t="s">
        <v>356</v>
      </c>
      <c r="X199" s="605"/>
      <c r="Y199" s="139" t="s">
        <v>262</v>
      </c>
    </row>
    <row r="200" spans="2:35" x14ac:dyDescent="0.2">
      <c r="B200" s="138" t="s">
        <v>241</v>
      </c>
      <c r="C200" s="139" t="s">
        <v>242</v>
      </c>
      <c r="E200" s="368">
        <v>45110</v>
      </c>
      <c r="F200" s="371">
        <v>45110</v>
      </c>
      <c r="G200" s="350" t="str" cm="1">
        <f t="array" ref="G200">_xll.d.TestUtils_Equal(E200,F200)</f>
        <v>Ok</v>
      </c>
      <c r="I200" s="138" t="s">
        <v>241</v>
      </c>
      <c r="J200" s="139" t="s">
        <v>242</v>
      </c>
      <c r="L200" s="368">
        <v>45110</v>
      </c>
      <c r="M200" s="371">
        <v>45110</v>
      </c>
      <c r="N200" s="350" t="str" cm="1">
        <f t="array" ref="N200">_xll.d.TestUtils_Equal(L200,M200)</f>
        <v>Ok</v>
      </c>
      <c r="P200" s="138" t="s">
        <v>241</v>
      </c>
      <c r="Q200" s="139" t="s">
        <v>242</v>
      </c>
      <c r="S200" s="368">
        <v>45097</v>
      </c>
      <c r="T200" s="371">
        <v>45097</v>
      </c>
      <c r="U200" s="350" t="str" cm="1">
        <f t="array" ref="U200">_xll.d.TestUtils_Equal(S200,T200)</f>
        <v>Ok</v>
      </c>
      <c r="W200" s="521" t="s">
        <v>241</v>
      </c>
      <c r="X200" s="605"/>
      <c r="Y200" s="139" t="s">
        <v>242</v>
      </c>
    </row>
    <row r="201" spans="2:35" x14ac:dyDescent="0.2">
      <c r="B201" s="140" t="s">
        <v>357</v>
      </c>
      <c r="C201" s="141" t="s">
        <v>358</v>
      </c>
      <c r="I201" s="140" t="s">
        <v>357</v>
      </c>
      <c r="J201" s="141" t="s">
        <v>360</v>
      </c>
      <c r="P201" s="140" t="s">
        <v>357</v>
      </c>
      <c r="Q201" s="141" t="s">
        <v>363</v>
      </c>
      <c r="W201" s="522" t="s">
        <v>357</v>
      </c>
      <c r="X201" s="606"/>
      <c r="Y201" s="141" t="s">
        <v>363</v>
      </c>
    </row>
    <row r="205" spans="2:35" ht="18.75" x14ac:dyDescent="0.3">
      <c r="B205" s="3" t="s">
        <v>411</v>
      </c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</row>
    <row r="207" spans="2:35" x14ac:dyDescent="0.2">
      <c r="B207" s="59" t="s">
        <v>159</v>
      </c>
      <c r="C207" s="350" t="str" cm="1">
        <f t="array" ref="C207">_xll.d.TestUtils_And(H212:I216)</f>
        <v>Ok</v>
      </c>
    </row>
    <row r="209" spans="2:21" ht="15.75" x14ac:dyDescent="0.25">
      <c r="B209" s="4" t="s">
        <v>109</v>
      </c>
      <c r="C209" s="357"/>
      <c r="D209" s="357"/>
      <c r="E209" s="357"/>
      <c r="F209" s="357"/>
      <c r="G209" s="357"/>
      <c r="H209" s="357"/>
      <c r="I209" s="357"/>
    </row>
    <row r="211" spans="2:21" x14ac:dyDescent="0.2">
      <c r="B211" s="134" t="s">
        <v>133</v>
      </c>
      <c r="C211" s="135"/>
      <c r="E211" s="134" t="s">
        <v>253</v>
      </c>
      <c r="F211" s="135"/>
      <c r="H211" s="134" t="s">
        <v>84</v>
      </c>
      <c r="I211" s="135"/>
    </row>
    <row r="212" spans="2:21" x14ac:dyDescent="0.2">
      <c r="B212" s="132" t="str" cm="1">
        <f t="array" ref="B212:C216">_xll.d.Dates_GetAvailableBusinessDayConventions()</f>
        <v>Variant 1</v>
      </c>
      <c r="C212" s="133" t="str">
        <v>Variant 2</v>
      </c>
      <c r="E212" s="132" t="s">
        <v>269</v>
      </c>
      <c r="F212" s="133" t="s">
        <v>270</v>
      </c>
      <c r="H212" s="350" t="str" cm="1">
        <f t="array" ref="H212">_xll.d.TestUtils_Equal(B212,E212)</f>
        <v>Ok</v>
      </c>
      <c r="I212" s="350" t="str" cm="1">
        <f t="array" ref="I212">_xll.d.TestUtils_Equal(C212,F212)</f>
        <v>Ok</v>
      </c>
    </row>
    <row r="213" spans="2:21" x14ac:dyDescent="0.2">
      <c r="B213" s="136" t="str">
        <v>Fol</v>
      </c>
      <c r="C213" s="137" t="str">
        <v>Following</v>
      </c>
      <c r="E213" s="136" t="s">
        <v>271</v>
      </c>
      <c r="F213" s="137" t="s">
        <v>272</v>
      </c>
      <c r="H213" s="350" t="str" cm="1">
        <f t="array" ref="H213">_xll.d.TestUtils_Equal(B213,E213)</f>
        <v>Ok</v>
      </c>
      <c r="I213" s="350" t="str" cm="1">
        <f t="array" ref="I213">_xll.d.TestUtils_Equal(C213,F213)</f>
        <v>Ok</v>
      </c>
    </row>
    <row r="214" spans="2:21" x14ac:dyDescent="0.2">
      <c r="B214" s="138" t="str">
        <v>ModFol</v>
      </c>
      <c r="C214" s="139" t="str">
        <v>ModifiedFollowing</v>
      </c>
      <c r="E214" s="138" t="s">
        <v>273</v>
      </c>
      <c r="F214" s="139" t="s">
        <v>274</v>
      </c>
      <c r="H214" s="350" t="str" cm="1">
        <f t="array" ref="H214">_xll.d.TestUtils_Equal(B214,E214)</f>
        <v>Ok</v>
      </c>
      <c r="I214" s="350" t="str" cm="1">
        <f t="array" ref="I214">_xll.d.TestUtils_Equal(C214,F214)</f>
        <v>Ok</v>
      </c>
    </row>
    <row r="215" spans="2:21" x14ac:dyDescent="0.2">
      <c r="B215" s="138" t="str">
        <v>ModPrec</v>
      </c>
      <c r="C215" s="139" t="str">
        <v>ModPreceding</v>
      </c>
      <c r="E215" s="138" t="s">
        <v>275</v>
      </c>
      <c r="F215" s="139" t="s">
        <v>276</v>
      </c>
      <c r="H215" s="350" t="str" cm="1">
        <f t="array" ref="H215">_xll.d.TestUtils_Equal(B215,E215)</f>
        <v>Ok</v>
      </c>
      <c r="I215" s="350" t="str" cm="1">
        <f t="array" ref="I215">_xll.d.TestUtils_Equal(C215,F215)</f>
        <v>Ok</v>
      </c>
    </row>
    <row r="216" spans="2:21" x14ac:dyDescent="0.2">
      <c r="B216" s="140" t="str">
        <v>Prec</v>
      </c>
      <c r="C216" s="141" t="str">
        <v>Preceding</v>
      </c>
      <c r="E216" s="140" t="s">
        <v>277</v>
      </c>
      <c r="F216" s="141" t="s">
        <v>278</v>
      </c>
      <c r="H216" s="350" t="str" cm="1">
        <f t="array" ref="H216">_xll.d.TestUtils_Equal(B216,E216)</f>
        <v>Ok</v>
      </c>
      <c r="I216" s="350" t="str" cm="1">
        <f t="array" ref="I216">_xll.d.TestUtils_Equal(C216,F216)</f>
        <v>Ok</v>
      </c>
    </row>
    <row r="220" spans="2:21" ht="18.75" x14ac:dyDescent="0.3">
      <c r="B220" s="3" t="s">
        <v>412</v>
      </c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</row>
    <row r="222" spans="2:21" x14ac:dyDescent="0.2">
      <c r="B222" s="59" t="s">
        <v>159</v>
      </c>
      <c r="C222" s="350" t="str" cm="1">
        <f t="array" ref="C222">_xll.d.TestUtils_And(L227:O231)</f>
        <v>Ok</v>
      </c>
    </row>
    <row r="224" spans="2:21" ht="15.75" x14ac:dyDescent="0.25">
      <c r="B224" s="4" t="s">
        <v>109</v>
      </c>
      <c r="C224" s="357"/>
      <c r="D224" s="357"/>
      <c r="E224" s="357"/>
      <c r="F224" s="357"/>
      <c r="G224" s="357"/>
      <c r="H224" s="357"/>
      <c r="I224" s="357"/>
    </row>
    <row r="226" spans="2:15" x14ac:dyDescent="0.2">
      <c r="B226" s="134" t="s">
        <v>133</v>
      </c>
      <c r="C226" s="206"/>
      <c r="D226" s="206"/>
      <c r="E226" s="135"/>
      <c r="G226" s="134" t="s">
        <v>133</v>
      </c>
      <c r="H226" s="206"/>
      <c r="I226" s="206"/>
      <c r="J226" s="135"/>
      <c r="L226" s="134" t="s">
        <v>84</v>
      </c>
      <c r="M226" s="135"/>
      <c r="N226" s="135"/>
      <c r="O226" s="135"/>
    </row>
    <row r="227" spans="2:15" x14ac:dyDescent="0.2">
      <c r="B227" s="132" t="str" cm="1">
        <f t="array" ref="B227:E231">_xll.d.Dates_GetAvailableDayCountConventions()</f>
        <v>Variant 1</v>
      </c>
      <c r="C227" s="318" t="str">
        <v>Variant 2</v>
      </c>
      <c r="D227" s="318" t="str">
        <v>Variant 3</v>
      </c>
      <c r="E227" s="133" t="str">
        <v>Variant 4</v>
      </c>
      <c r="G227" s="132" t="s">
        <v>269</v>
      </c>
      <c r="H227" s="318" t="s">
        <v>270</v>
      </c>
      <c r="I227" s="318" t="s">
        <v>279</v>
      </c>
      <c r="J227" s="133" t="s">
        <v>280</v>
      </c>
      <c r="L227" s="350" t="str" cm="1">
        <f t="array" ref="L227">_xll.d.TestUtils_Equal(B227,G227)</f>
        <v>Ok</v>
      </c>
      <c r="M227" s="350" t="str" cm="1">
        <f t="array" ref="M227">_xll.d.TestUtils_Equal(C227,H227)</f>
        <v>Ok</v>
      </c>
      <c r="N227" s="350" t="str" cm="1">
        <f t="array" ref="N227">_xll.d.TestUtils_Equal(D227,I227)</f>
        <v>Ok</v>
      </c>
      <c r="O227" s="350" t="str" cm="1">
        <f t="array" ref="O227">_xll.d.TestUtils_Equal(E227,J227)</f>
        <v>Ok</v>
      </c>
    </row>
    <row r="228" spans="2:15" x14ac:dyDescent="0.2">
      <c r="B228" s="136" t="str">
        <v>Act360</v>
      </c>
      <c r="C228" s="370" t="str">
        <v>Actual360</v>
      </c>
      <c r="D228" s="370" t="str">
        <v/>
      </c>
      <c r="E228" s="137" t="str">
        <v/>
      </c>
      <c r="G228" s="136" t="s">
        <v>281</v>
      </c>
      <c r="H228" s="370" t="s">
        <v>282</v>
      </c>
      <c r="I228" s="370" t="s">
        <v>283</v>
      </c>
      <c r="J228" s="137" t="s">
        <v>283</v>
      </c>
      <c r="L228" s="350" t="str" cm="1">
        <f t="array" ref="L228">_xll.d.TestUtils_Equal(B228,G228)</f>
        <v>Ok</v>
      </c>
      <c r="M228" s="350" t="str" cm="1">
        <f t="array" ref="M228">_xll.d.TestUtils_Equal(C228,H228)</f>
        <v>Ok</v>
      </c>
      <c r="N228" s="350" t="str" cm="1">
        <f t="array" ref="N228">_xll.d.TestUtils_Equal(D228,I228)</f>
        <v>Ok</v>
      </c>
      <c r="O228" s="350" t="str" cm="1">
        <f t="array" ref="O228">_xll.d.TestUtils_Equal(E228,J228)</f>
        <v>Ok</v>
      </c>
    </row>
    <row r="229" spans="2:15" x14ac:dyDescent="0.2">
      <c r="B229" s="138" t="str">
        <v>Act365</v>
      </c>
      <c r="C229" s="306" t="str">
        <v>Act365F</v>
      </c>
      <c r="D229" s="306" t="str">
        <v>Actual365</v>
      </c>
      <c r="E229" s="139" t="str">
        <v>Actual365F</v>
      </c>
      <c r="G229" s="138" t="s">
        <v>284</v>
      </c>
      <c r="H229" s="306" t="s">
        <v>285</v>
      </c>
      <c r="I229" s="306" t="s">
        <v>72</v>
      </c>
      <c r="J229" s="139" t="s">
        <v>286</v>
      </c>
      <c r="L229" s="350" t="str" cm="1">
        <f t="array" ref="L229">_xll.d.TestUtils_Equal(B229,G229)</f>
        <v>Ok</v>
      </c>
      <c r="M229" s="350" t="str" cm="1">
        <f t="array" ref="M229">_xll.d.TestUtils_Equal(C229,H229)</f>
        <v>Ok</v>
      </c>
      <c r="N229" s="350" t="str" cm="1">
        <f t="array" ref="N229">_xll.d.TestUtils_Equal(D229,I229)</f>
        <v>Ok</v>
      </c>
      <c r="O229" s="350" t="str" cm="1">
        <f t="array" ref="O229">_xll.d.TestUtils_Equal(E229,J229)</f>
        <v>Ok</v>
      </c>
    </row>
    <row r="230" spans="2:15" x14ac:dyDescent="0.2">
      <c r="B230" s="138" t="str">
        <v>ActAct</v>
      </c>
      <c r="C230" s="306" t="str">
        <v>ActualActual</v>
      </c>
      <c r="D230" s="306" t="str">
        <v/>
      </c>
      <c r="E230" s="139" t="str">
        <v/>
      </c>
      <c r="G230" s="138" t="s">
        <v>287</v>
      </c>
      <c r="H230" s="306" t="s">
        <v>288</v>
      </c>
      <c r="I230" s="306" t="s">
        <v>283</v>
      </c>
      <c r="J230" s="139" t="s">
        <v>283</v>
      </c>
      <c r="L230" s="350" t="str" cm="1">
        <f t="array" ref="L230">_xll.d.TestUtils_Equal(B230,G230)</f>
        <v>Ok</v>
      </c>
      <c r="M230" s="350" t="str" cm="1">
        <f t="array" ref="M230">_xll.d.TestUtils_Equal(C230,H230)</f>
        <v>Ok</v>
      </c>
      <c r="N230" s="350" t="str" cm="1">
        <f t="array" ref="N230">_xll.d.TestUtils_Equal(D230,I230)</f>
        <v>Ok</v>
      </c>
      <c r="O230" s="350" t="str" cm="1">
        <f t="array" ref="O230">_xll.d.TestUtils_Equal(E230,J230)</f>
        <v>Ok</v>
      </c>
    </row>
    <row r="231" spans="2:15" x14ac:dyDescent="0.2">
      <c r="B231" s="140" t="str">
        <v>Bus252</v>
      </c>
      <c r="C231" s="205" t="str">
        <v>Business252</v>
      </c>
      <c r="D231" s="205" t="str">
        <v/>
      </c>
      <c r="E231" s="141" t="str">
        <v/>
      </c>
      <c r="G231" s="140" t="s">
        <v>289</v>
      </c>
      <c r="H231" s="205" t="s">
        <v>290</v>
      </c>
      <c r="I231" s="205" t="s">
        <v>283</v>
      </c>
      <c r="J231" s="141" t="s">
        <v>283</v>
      </c>
      <c r="L231" s="350" t="str" cm="1">
        <f t="array" ref="L231">_xll.d.TestUtils_Equal(B231,G231)</f>
        <v>Ok</v>
      </c>
      <c r="M231" s="350" t="str" cm="1">
        <f t="array" ref="M231">_xll.d.TestUtils_Equal(C231,H231)</f>
        <v>Ok</v>
      </c>
      <c r="N231" s="350" t="str" cm="1">
        <f t="array" ref="N231">_xll.d.TestUtils_Equal(D231,I231)</f>
        <v>Ok</v>
      </c>
      <c r="O231" s="350" t="str" cm="1">
        <f t="array" ref="O231">_xll.d.TestUtils_Equal(E231,J231)</f>
        <v>Ok</v>
      </c>
    </row>
    <row r="234" spans="2:15" ht="18.75" x14ac:dyDescent="0.3">
      <c r="B234" s="3" t="s">
        <v>489</v>
      </c>
      <c r="C234" s="356"/>
      <c r="D234" s="356"/>
      <c r="E234" s="356"/>
    </row>
    <row r="236" spans="2:15" x14ac:dyDescent="0.2">
      <c r="B236" s="59" t="s">
        <v>159</v>
      </c>
      <c r="C236" s="350" t="str" cm="1">
        <f t="array" ref="C236">_xll.d.TestUtils_And(E241:E247)</f>
        <v>Ok</v>
      </c>
    </row>
    <row r="238" spans="2:15" ht="15.75" x14ac:dyDescent="0.25">
      <c r="B238" s="4" t="s">
        <v>109</v>
      </c>
      <c r="C238" s="357"/>
      <c r="D238" s="357"/>
      <c r="E238" s="357"/>
    </row>
    <row r="240" spans="2:15" x14ac:dyDescent="0.2">
      <c r="B240" s="134" t="s">
        <v>34</v>
      </c>
      <c r="C240" s="206" t="s">
        <v>133</v>
      </c>
      <c r="D240" s="206" t="s">
        <v>253</v>
      </c>
      <c r="E240" s="135" t="s">
        <v>84</v>
      </c>
    </row>
    <row r="241" spans="2:5" x14ac:dyDescent="0.2">
      <c r="B241" s="364">
        <v>44893</v>
      </c>
      <c r="C241" s="370" t="str" cm="1">
        <f t="array" ref="C241">_xll.d.Dates_GetWeekday(B241)</f>
        <v>Monday</v>
      </c>
      <c r="D241" s="370" t="str" cm="1">
        <f t="array" ref="D241">_xll.d.Dates_GetWeekday(B241)</f>
        <v>Monday</v>
      </c>
      <c r="E241" s="137" t="str" cm="1">
        <f t="array" ref="E241">_xll.d.TestUtils_Equal(C241,D241)</f>
        <v>Ok</v>
      </c>
    </row>
    <row r="242" spans="2:5" x14ac:dyDescent="0.2">
      <c r="B242" s="366">
        <v>44894</v>
      </c>
      <c r="C242" s="306" t="str" cm="1">
        <f t="array" ref="C242">_xll.d.Dates_GetWeekday(B242)</f>
        <v>Tuesday</v>
      </c>
      <c r="D242" s="306" t="str" cm="1">
        <f t="array" ref="D242">_xll.d.Dates_GetWeekday(B242)</f>
        <v>Tuesday</v>
      </c>
      <c r="E242" s="139" t="str" cm="1">
        <f t="array" ref="E242">_xll.d.TestUtils_Equal(C242,D242)</f>
        <v>Ok</v>
      </c>
    </row>
    <row r="243" spans="2:5" x14ac:dyDescent="0.2">
      <c r="B243" s="366">
        <v>44895</v>
      </c>
      <c r="C243" s="306" t="str" cm="1">
        <f t="array" ref="C243">_xll.d.Dates_GetWeekday(B243)</f>
        <v>Wednesday</v>
      </c>
      <c r="D243" s="306" t="str" cm="1">
        <f t="array" ref="D243">_xll.d.Dates_GetWeekday(B243)</f>
        <v>Wednesday</v>
      </c>
      <c r="E243" s="139" t="str" cm="1">
        <f t="array" ref="E243">_xll.d.TestUtils_Equal(C243,D243)</f>
        <v>Ok</v>
      </c>
    </row>
    <row r="244" spans="2:5" x14ac:dyDescent="0.2">
      <c r="B244" s="366">
        <v>44896</v>
      </c>
      <c r="C244" s="306" t="str" cm="1">
        <f t="array" ref="C244">_xll.d.Dates_GetWeekday(B244)</f>
        <v>Thursday</v>
      </c>
      <c r="D244" s="306" t="str" cm="1">
        <f t="array" ref="D244">_xll.d.Dates_GetWeekday(B244)</f>
        <v>Thursday</v>
      </c>
      <c r="E244" s="139" t="str" cm="1">
        <f t="array" ref="E244">_xll.d.TestUtils_Equal(C244,D244)</f>
        <v>Ok</v>
      </c>
    </row>
    <row r="245" spans="2:5" x14ac:dyDescent="0.2">
      <c r="B245" s="366">
        <v>44897</v>
      </c>
      <c r="C245" s="306" t="str" cm="1">
        <f t="array" ref="C245">_xll.d.Dates_GetWeekday(B245)</f>
        <v>Friday</v>
      </c>
      <c r="D245" s="306" t="str" cm="1">
        <f t="array" ref="D245">_xll.d.Dates_GetWeekday(B245)</f>
        <v>Friday</v>
      </c>
      <c r="E245" s="139" t="str" cm="1">
        <f t="array" ref="E245">_xll.d.TestUtils_Equal(C245,D245)</f>
        <v>Ok</v>
      </c>
    </row>
    <row r="246" spans="2:5" x14ac:dyDescent="0.2">
      <c r="B246" s="366">
        <v>44898</v>
      </c>
      <c r="C246" s="306" t="str" cm="1">
        <f t="array" ref="C246">_xll.d.Dates_GetWeekday(B246)</f>
        <v>Saturday</v>
      </c>
      <c r="D246" s="306" t="str" cm="1">
        <f t="array" ref="D246">_xll.d.Dates_GetWeekday(B246)</f>
        <v>Saturday</v>
      </c>
      <c r="E246" s="139" t="str" cm="1">
        <f t="array" ref="E246">_xll.d.TestUtils_Equal(C246,D246)</f>
        <v>Ok</v>
      </c>
    </row>
    <row r="247" spans="2:5" x14ac:dyDescent="0.2">
      <c r="B247" s="368">
        <v>44899</v>
      </c>
      <c r="C247" s="205" t="str" cm="1">
        <f t="array" ref="C247">_xll.d.Dates_GetWeekday(B247)</f>
        <v>Sunday</v>
      </c>
      <c r="D247" s="205" t="str" cm="1">
        <f t="array" ref="D247">_xll.d.Dates_GetWeekday(B247)</f>
        <v>Sunday</v>
      </c>
      <c r="E247" s="141" t="str" cm="1">
        <f t="array" ref="E247">_xll.d.TestUtils_Equal(C247,D247)</f>
        <v>Ok</v>
      </c>
    </row>
  </sheetData>
  <conditionalFormatting sqref="D10:D16">
    <cfRule type="cellIs" dxfId="539" priority="153" stopIfTrue="1" operator="equal">
      <formula>"ERROR"</formula>
    </cfRule>
    <cfRule type="cellIs" dxfId="538" priority="154" stopIfTrue="1" operator="equal">
      <formula>"OK"</formula>
    </cfRule>
    <cfRule type="cellIs" dxfId="537" priority="155" stopIfTrue="1" operator="equal">
      <formula>"WARNING"</formula>
    </cfRule>
  </conditionalFormatting>
  <conditionalFormatting sqref="C4">
    <cfRule type="cellIs" dxfId="536" priority="127" stopIfTrue="1" operator="equal">
      <formula>"ERROR"</formula>
    </cfRule>
    <cfRule type="cellIs" dxfId="535" priority="128" stopIfTrue="1" operator="equal">
      <formula>"OK"</formula>
    </cfRule>
    <cfRule type="cellIs" dxfId="534" priority="129" stopIfTrue="1" operator="equal">
      <formula>"WARNING"</formula>
    </cfRule>
  </conditionalFormatting>
  <conditionalFormatting sqref="C60">
    <cfRule type="cellIs" dxfId="533" priority="121" stopIfTrue="1" operator="equal">
      <formula>"ERROR"</formula>
    </cfRule>
  </conditionalFormatting>
  <conditionalFormatting sqref="C60">
    <cfRule type="cellIs" dxfId="532" priority="122" stopIfTrue="1" operator="equal">
      <formula>"OK"</formula>
    </cfRule>
  </conditionalFormatting>
  <conditionalFormatting sqref="C60">
    <cfRule type="cellIs" dxfId="531" priority="123" stopIfTrue="1" operator="equal">
      <formula>"WARNING"</formula>
    </cfRule>
  </conditionalFormatting>
  <conditionalFormatting sqref="G65">
    <cfRule type="cellIs" dxfId="530" priority="156" stopIfTrue="1" operator="equal">
      <formula>"ERROR"</formula>
    </cfRule>
    <cfRule type="cellIs" dxfId="529" priority="157" stopIfTrue="1" operator="equal">
      <formula>"OK"</formula>
    </cfRule>
    <cfRule type="cellIs" dxfId="528" priority="158" stopIfTrue="1" operator="equal">
      <formula>"WARNING"</formula>
    </cfRule>
  </conditionalFormatting>
  <conditionalFormatting sqref="U65">
    <cfRule type="cellIs" dxfId="527" priority="118" stopIfTrue="1" operator="equal">
      <formula>"ERROR"</formula>
    </cfRule>
    <cfRule type="cellIs" dxfId="526" priority="119" stopIfTrue="1" operator="equal">
      <formula>"OK"</formula>
    </cfRule>
    <cfRule type="cellIs" dxfId="525" priority="120" stopIfTrue="1" operator="equal">
      <formula>"WARNING"</formula>
    </cfRule>
  </conditionalFormatting>
  <conditionalFormatting sqref="AD65">
    <cfRule type="cellIs" dxfId="524" priority="115" stopIfTrue="1" operator="equal">
      <formula>"ERROR"</formula>
    </cfRule>
    <cfRule type="cellIs" dxfId="523" priority="116" stopIfTrue="1" operator="equal">
      <formula>"OK"</formula>
    </cfRule>
    <cfRule type="cellIs" dxfId="522" priority="117" stopIfTrue="1" operator="equal">
      <formula>"WARNING"</formula>
    </cfRule>
  </conditionalFormatting>
  <conditionalFormatting sqref="G169:G177">
    <cfRule type="cellIs" dxfId="521" priority="159" stopIfTrue="1" operator="equal">
      <formula>"ERROR"</formula>
    </cfRule>
    <cfRule type="cellIs" dxfId="520" priority="160" stopIfTrue="1" operator="equal">
      <formula>"OK"</formula>
    </cfRule>
    <cfRule type="cellIs" dxfId="519" priority="161" stopIfTrue="1" operator="equal">
      <formula>"WARNING"</formula>
    </cfRule>
  </conditionalFormatting>
  <conditionalFormatting sqref="C164">
    <cfRule type="cellIs" dxfId="518" priority="112" stopIfTrue="1" operator="equal">
      <formula>"ERROR"</formula>
    </cfRule>
  </conditionalFormatting>
  <conditionalFormatting sqref="C164">
    <cfRule type="cellIs" dxfId="517" priority="113" stopIfTrue="1" operator="equal">
      <formula>"OK"</formula>
    </cfRule>
  </conditionalFormatting>
  <conditionalFormatting sqref="C164">
    <cfRule type="cellIs" dxfId="516" priority="114" stopIfTrue="1" operator="equal">
      <formula>"WARNING"</formula>
    </cfRule>
  </conditionalFormatting>
  <conditionalFormatting sqref="N169:N186">
    <cfRule type="cellIs" dxfId="515" priority="109" stopIfTrue="1" operator="equal">
      <formula>"ERROR"</formula>
    </cfRule>
    <cfRule type="cellIs" dxfId="514" priority="110" stopIfTrue="1" operator="equal">
      <formula>"OK"</formula>
    </cfRule>
    <cfRule type="cellIs" dxfId="513" priority="111" stopIfTrue="1" operator="equal">
      <formula>"WARNING"</formula>
    </cfRule>
  </conditionalFormatting>
  <conditionalFormatting sqref="AQ65">
    <cfRule type="cellIs" dxfId="512" priority="106" stopIfTrue="1" operator="equal">
      <formula>"ERROR"</formula>
    </cfRule>
    <cfRule type="cellIs" dxfId="511" priority="107" stopIfTrue="1" operator="equal">
      <formula>"OK"</formula>
    </cfRule>
    <cfRule type="cellIs" dxfId="510" priority="108" stopIfTrue="1" operator="equal">
      <formula>"WARNING"</formula>
    </cfRule>
  </conditionalFormatting>
  <conditionalFormatting sqref="C75">
    <cfRule type="cellIs" dxfId="509" priority="100" stopIfTrue="1" operator="equal">
      <formula>"ERROR"</formula>
    </cfRule>
  </conditionalFormatting>
  <conditionalFormatting sqref="C75">
    <cfRule type="cellIs" dxfId="508" priority="101" stopIfTrue="1" operator="equal">
      <formula>"OK"</formula>
    </cfRule>
  </conditionalFormatting>
  <conditionalFormatting sqref="C75">
    <cfRule type="cellIs" dxfId="507" priority="102" stopIfTrue="1" operator="equal">
      <formula>"WARNING"</formula>
    </cfRule>
  </conditionalFormatting>
  <conditionalFormatting sqref="G80">
    <cfRule type="cellIs" dxfId="506" priority="103" stopIfTrue="1" operator="equal">
      <formula>"ERROR"</formula>
    </cfRule>
    <cfRule type="cellIs" dxfId="505" priority="104" stopIfTrue="1" operator="equal">
      <formula>"OK"</formula>
    </cfRule>
    <cfRule type="cellIs" dxfId="504" priority="105" stopIfTrue="1" operator="equal">
      <formula>"WARNING"</formula>
    </cfRule>
  </conditionalFormatting>
  <conditionalFormatting sqref="N80">
    <cfRule type="cellIs" dxfId="503" priority="97" stopIfTrue="1" operator="equal">
      <formula>"ERROR"</formula>
    </cfRule>
    <cfRule type="cellIs" dxfId="502" priority="98" stopIfTrue="1" operator="equal">
      <formula>"OK"</formula>
    </cfRule>
    <cfRule type="cellIs" dxfId="501" priority="99" stopIfTrue="1" operator="equal">
      <formula>"WARNING"</formula>
    </cfRule>
  </conditionalFormatting>
  <conditionalFormatting sqref="W80">
    <cfRule type="cellIs" dxfId="500" priority="94" stopIfTrue="1" operator="equal">
      <formula>"ERROR"</formula>
    </cfRule>
    <cfRule type="cellIs" dxfId="499" priority="95" stopIfTrue="1" operator="equal">
      <formula>"OK"</formula>
    </cfRule>
    <cfRule type="cellIs" dxfId="498" priority="96" stopIfTrue="1" operator="equal">
      <formula>"WARNING"</formula>
    </cfRule>
  </conditionalFormatting>
  <conditionalFormatting sqref="AJ80">
    <cfRule type="cellIs" dxfId="497" priority="91" stopIfTrue="1" operator="equal">
      <formula>"ERROR"</formula>
    </cfRule>
    <cfRule type="cellIs" dxfId="496" priority="92" stopIfTrue="1" operator="equal">
      <formula>"OK"</formula>
    </cfRule>
    <cfRule type="cellIs" dxfId="495" priority="93" stopIfTrue="1" operator="equal">
      <formula>"WARNING"</formula>
    </cfRule>
  </conditionalFormatting>
  <conditionalFormatting sqref="C90">
    <cfRule type="cellIs" dxfId="494" priority="85" stopIfTrue="1" operator="equal">
      <formula>"ERROR"</formula>
    </cfRule>
  </conditionalFormatting>
  <conditionalFormatting sqref="C90">
    <cfRule type="cellIs" dxfId="493" priority="86" stopIfTrue="1" operator="equal">
      <formula>"OK"</formula>
    </cfRule>
  </conditionalFormatting>
  <conditionalFormatting sqref="C90">
    <cfRule type="cellIs" dxfId="492" priority="87" stopIfTrue="1" operator="equal">
      <formula>"WARNING"</formula>
    </cfRule>
  </conditionalFormatting>
  <conditionalFormatting sqref="G95">
    <cfRule type="cellIs" dxfId="491" priority="88" stopIfTrue="1" operator="equal">
      <formula>"ERROR"</formula>
    </cfRule>
    <cfRule type="cellIs" dxfId="490" priority="89" stopIfTrue="1" operator="equal">
      <formula>"OK"</formula>
    </cfRule>
    <cfRule type="cellIs" dxfId="489" priority="90" stopIfTrue="1" operator="equal">
      <formula>"WARNING"</formula>
    </cfRule>
  </conditionalFormatting>
  <conditionalFormatting sqref="N95">
    <cfRule type="cellIs" dxfId="488" priority="82" stopIfTrue="1" operator="equal">
      <formula>"ERROR"</formula>
    </cfRule>
    <cfRule type="cellIs" dxfId="487" priority="83" stopIfTrue="1" operator="equal">
      <formula>"OK"</formula>
    </cfRule>
    <cfRule type="cellIs" dxfId="486" priority="84" stopIfTrue="1" operator="equal">
      <formula>"WARNING"</formula>
    </cfRule>
  </conditionalFormatting>
  <conditionalFormatting sqref="W95">
    <cfRule type="cellIs" dxfId="485" priority="79" stopIfTrue="1" operator="equal">
      <formula>"ERROR"</formula>
    </cfRule>
    <cfRule type="cellIs" dxfId="484" priority="80" stopIfTrue="1" operator="equal">
      <formula>"OK"</formula>
    </cfRule>
    <cfRule type="cellIs" dxfId="483" priority="81" stopIfTrue="1" operator="equal">
      <formula>"WARNING"</formula>
    </cfRule>
  </conditionalFormatting>
  <conditionalFormatting sqref="AJ95">
    <cfRule type="cellIs" dxfId="482" priority="76" stopIfTrue="1" operator="equal">
      <formula>"ERROR"</formula>
    </cfRule>
    <cfRule type="cellIs" dxfId="481" priority="77" stopIfTrue="1" operator="equal">
      <formula>"OK"</formula>
    </cfRule>
    <cfRule type="cellIs" dxfId="480" priority="78" stopIfTrue="1" operator="equal">
      <formula>"WARNING"</formula>
    </cfRule>
  </conditionalFormatting>
  <conditionalFormatting sqref="G110">
    <cfRule type="cellIs" dxfId="479" priority="70" stopIfTrue="1" operator="equal">
      <formula>"ERROR"</formula>
    </cfRule>
    <cfRule type="cellIs" dxfId="478" priority="71" stopIfTrue="1" operator="equal">
      <formula>"OK"</formula>
    </cfRule>
    <cfRule type="cellIs" dxfId="477" priority="72" stopIfTrue="1" operator="equal">
      <formula>"WARNING"</formula>
    </cfRule>
  </conditionalFormatting>
  <conditionalFormatting sqref="C105">
    <cfRule type="cellIs" dxfId="476" priority="67" stopIfTrue="1" operator="equal">
      <formula>"ERROR"</formula>
    </cfRule>
  </conditionalFormatting>
  <conditionalFormatting sqref="C105">
    <cfRule type="cellIs" dxfId="475" priority="68" stopIfTrue="1" operator="equal">
      <formula>"OK"</formula>
    </cfRule>
  </conditionalFormatting>
  <conditionalFormatting sqref="C105">
    <cfRule type="cellIs" dxfId="474" priority="69" stopIfTrue="1" operator="equal">
      <formula>"WARNING"</formula>
    </cfRule>
  </conditionalFormatting>
  <conditionalFormatting sqref="O110">
    <cfRule type="cellIs" dxfId="473" priority="64" stopIfTrue="1" operator="equal">
      <formula>"ERROR"</formula>
    </cfRule>
    <cfRule type="cellIs" dxfId="472" priority="65" stopIfTrue="1" operator="equal">
      <formula>"OK"</formula>
    </cfRule>
    <cfRule type="cellIs" dxfId="471" priority="66" stopIfTrue="1" operator="equal">
      <formula>"WARNING"</formula>
    </cfRule>
  </conditionalFormatting>
  <conditionalFormatting sqref="AC110">
    <cfRule type="cellIs" dxfId="470" priority="61" stopIfTrue="1" operator="equal">
      <formula>"ERROR"</formula>
    </cfRule>
    <cfRule type="cellIs" dxfId="469" priority="62" stopIfTrue="1" operator="equal">
      <formula>"OK"</formula>
    </cfRule>
    <cfRule type="cellIs" dxfId="468" priority="63" stopIfTrue="1" operator="equal">
      <formula>"WARNING"</formula>
    </cfRule>
  </conditionalFormatting>
  <conditionalFormatting sqref="AS110">
    <cfRule type="cellIs" dxfId="467" priority="58" stopIfTrue="1" operator="equal">
      <formula>"ERROR"</formula>
    </cfRule>
    <cfRule type="cellIs" dxfId="466" priority="59" stopIfTrue="1" operator="equal">
      <formula>"OK"</formula>
    </cfRule>
    <cfRule type="cellIs" dxfId="465" priority="60" stopIfTrue="1" operator="equal">
      <formula>"WARNING"</formula>
    </cfRule>
  </conditionalFormatting>
  <conditionalFormatting sqref="AA169">
    <cfRule type="cellIs" dxfId="464" priority="55" stopIfTrue="1" operator="equal">
      <formula>"ERROR"</formula>
    </cfRule>
    <cfRule type="cellIs" dxfId="463" priority="56" stopIfTrue="1" operator="equal">
      <formula>"OK"</formula>
    </cfRule>
    <cfRule type="cellIs" dxfId="462" priority="57" stopIfTrue="1" operator="equal">
      <formula>"WARNING"</formula>
    </cfRule>
  </conditionalFormatting>
  <conditionalFormatting sqref="C207">
    <cfRule type="cellIs" dxfId="461" priority="52" stopIfTrue="1" operator="equal">
      <formula>"ERROR"</formula>
    </cfRule>
  </conditionalFormatting>
  <conditionalFormatting sqref="C207">
    <cfRule type="cellIs" dxfId="460" priority="53" stopIfTrue="1" operator="equal">
      <formula>"OK"</formula>
    </cfRule>
  </conditionalFormatting>
  <conditionalFormatting sqref="C207">
    <cfRule type="cellIs" dxfId="459" priority="54" stopIfTrue="1" operator="equal">
      <formula>"WARNING"</formula>
    </cfRule>
  </conditionalFormatting>
  <conditionalFormatting sqref="H212:I216">
    <cfRule type="cellIs" dxfId="458" priority="162" stopIfTrue="1" operator="equal">
      <formula>"ERROR"</formula>
    </cfRule>
  </conditionalFormatting>
  <conditionalFormatting sqref="H212:I216">
    <cfRule type="cellIs" dxfId="457" priority="163" stopIfTrue="1" operator="equal">
      <formula>"OK"</formula>
    </cfRule>
  </conditionalFormatting>
  <conditionalFormatting sqref="H212:I216">
    <cfRule type="cellIs" dxfId="456" priority="164" stopIfTrue="1" operator="equal">
      <formula>"WARNING"</formula>
    </cfRule>
  </conditionalFormatting>
  <conditionalFormatting sqref="D15:D16">
    <cfRule type="cellIs" dxfId="455" priority="165" stopIfTrue="1" operator="equal">
      <formula>"ERROR"</formula>
    </cfRule>
    <cfRule type="cellIs" dxfId="454" priority="166" stopIfTrue="1" operator="equal">
      <formula>"OK"</formula>
    </cfRule>
    <cfRule type="cellIs" dxfId="453" priority="167" stopIfTrue="1" operator="equal">
      <formula>"WARNING"</formula>
    </cfRule>
  </conditionalFormatting>
  <conditionalFormatting sqref="D17:D18">
    <cfRule type="cellIs" dxfId="452" priority="168" stopIfTrue="1" operator="equal">
      <formula>"ERROR"</formula>
    </cfRule>
    <cfRule type="cellIs" dxfId="451" priority="169" stopIfTrue="1" operator="equal">
      <formula>"OK"</formula>
    </cfRule>
    <cfRule type="cellIs" dxfId="450" priority="170" stopIfTrue="1" operator="equal">
      <formula>"WARNING"</formula>
    </cfRule>
  </conditionalFormatting>
  <conditionalFormatting sqref="C222">
    <cfRule type="cellIs" dxfId="449" priority="46" stopIfTrue="1" operator="equal">
      <formula>"ERROR"</formula>
    </cfRule>
  </conditionalFormatting>
  <conditionalFormatting sqref="C222">
    <cfRule type="cellIs" dxfId="448" priority="47" stopIfTrue="1" operator="equal">
      <formula>"OK"</formula>
    </cfRule>
  </conditionalFormatting>
  <conditionalFormatting sqref="C222">
    <cfRule type="cellIs" dxfId="447" priority="48" stopIfTrue="1" operator="equal">
      <formula>"WARNING"</formula>
    </cfRule>
  </conditionalFormatting>
  <conditionalFormatting sqref="L227:O231">
    <cfRule type="cellIs" dxfId="446" priority="49" stopIfTrue="1" operator="equal">
      <formula>"ERROR"</formula>
    </cfRule>
  </conditionalFormatting>
  <conditionalFormatting sqref="L227:O231">
    <cfRule type="cellIs" dxfId="445" priority="50" stopIfTrue="1" operator="equal">
      <formula>"OK"</formula>
    </cfRule>
  </conditionalFormatting>
  <conditionalFormatting sqref="L227:O231">
    <cfRule type="cellIs" dxfId="444" priority="51" stopIfTrue="1" operator="equal">
      <formula>"WARNING"</formula>
    </cfRule>
  </conditionalFormatting>
  <conditionalFormatting sqref="C119">
    <cfRule type="cellIs" dxfId="443" priority="43" stopIfTrue="1" operator="equal">
      <formula>"ERROR"</formula>
    </cfRule>
  </conditionalFormatting>
  <conditionalFormatting sqref="C119">
    <cfRule type="cellIs" dxfId="442" priority="44" stopIfTrue="1" operator="equal">
      <formula>"OK"</formula>
    </cfRule>
  </conditionalFormatting>
  <conditionalFormatting sqref="C119">
    <cfRule type="cellIs" dxfId="441" priority="45" stopIfTrue="1" operator="equal">
      <formula>"WARNING"</formula>
    </cfRule>
  </conditionalFormatting>
  <conditionalFormatting sqref="L124:O158">
    <cfRule type="cellIs" dxfId="440" priority="171" stopIfTrue="1" operator="equal">
      <formula>"ERROR"</formula>
    </cfRule>
  </conditionalFormatting>
  <conditionalFormatting sqref="L124:O158">
    <cfRule type="cellIs" dxfId="439" priority="172" stopIfTrue="1" operator="equal">
      <formula>"OK"</formula>
    </cfRule>
  </conditionalFormatting>
  <conditionalFormatting sqref="L124:O158">
    <cfRule type="cellIs" dxfId="438" priority="173" stopIfTrue="1" operator="equal">
      <formula>"WARNING"</formula>
    </cfRule>
  </conditionalFormatting>
  <conditionalFormatting sqref="C191">
    <cfRule type="cellIs" dxfId="437" priority="40" stopIfTrue="1" operator="equal">
      <formula>"ERROR"</formula>
    </cfRule>
  </conditionalFormatting>
  <conditionalFormatting sqref="C191">
    <cfRule type="cellIs" dxfId="436" priority="41" stopIfTrue="1" operator="equal">
      <formula>"OK"</formula>
    </cfRule>
  </conditionalFormatting>
  <conditionalFormatting sqref="C191">
    <cfRule type="cellIs" dxfId="435" priority="42" stopIfTrue="1" operator="equal">
      <formula>"WARNING"</formula>
    </cfRule>
  </conditionalFormatting>
  <conditionalFormatting sqref="G196:G200">
    <cfRule type="cellIs" dxfId="434" priority="174" stopIfTrue="1" operator="equal">
      <formula>"ERROR"</formula>
    </cfRule>
  </conditionalFormatting>
  <conditionalFormatting sqref="G196:G200">
    <cfRule type="cellIs" dxfId="433" priority="175" stopIfTrue="1" operator="equal">
      <formula>"OK"</formula>
    </cfRule>
  </conditionalFormatting>
  <conditionalFormatting sqref="G196:G200">
    <cfRule type="cellIs" dxfId="432" priority="176" stopIfTrue="1" operator="equal">
      <formula>"WARNING"</formula>
    </cfRule>
  </conditionalFormatting>
  <conditionalFormatting sqref="N196:N200">
    <cfRule type="cellIs" dxfId="431" priority="37" stopIfTrue="1" operator="equal">
      <formula>"ERROR"</formula>
    </cfRule>
  </conditionalFormatting>
  <conditionalFormatting sqref="N196:N200">
    <cfRule type="cellIs" dxfId="430" priority="38" stopIfTrue="1" operator="equal">
      <formula>"OK"</formula>
    </cfRule>
  </conditionalFormatting>
  <conditionalFormatting sqref="N196:N200">
    <cfRule type="cellIs" dxfId="429" priority="39" stopIfTrue="1" operator="equal">
      <formula>"WARNING"</formula>
    </cfRule>
  </conditionalFormatting>
  <conditionalFormatting sqref="U196:U200">
    <cfRule type="cellIs" dxfId="428" priority="34" stopIfTrue="1" operator="equal">
      <formula>"ERROR"</formula>
    </cfRule>
  </conditionalFormatting>
  <conditionalFormatting sqref="U196:U200">
    <cfRule type="cellIs" dxfId="427" priority="35" stopIfTrue="1" operator="equal">
      <formula>"OK"</formula>
    </cfRule>
  </conditionalFormatting>
  <conditionalFormatting sqref="U196:U200">
    <cfRule type="cellIs" dxfId="426" priority="36" stopIfTrue="1" operator="equal">
      <formula>"WARNING"</formula>
    </cfRule>
  </conditionalFormatting>
  <conditionalFormatting sqref="AI196">
    <cfRule type="cellIs" dxfId="425" priority="31" stopIfTrue="1" operator="equal">
      <formula>"ERROR"</formula>
    </cfRule>
  </conditionalFormatting>
  <conditionalFormatting sqref="AI196">
    <cfRule type="cellIs" dxfId="424" priority="32" stopIfTrue="1" operator="equal">
      <formula>"OK"</formula>
    </cfRule>
  </conditionalFormatting>
  <conditionalFormatting sqref="AI196">
    <cfRule type="cellIs" dxfId="423" priority="33" stopIfTrue="1" operator="equal">
      <formula>"WARNING"</formula>
    </cfRule>
  </conditionalFormatting>
  <conditionalFormatting sqref="C236">
    <cfRule type="cellIs" dxfId="422" priority="28" stopIfTrue="1" operator="equal">
      <formula>"ERROR"</formula>
    </cfRule>
  </conditionalFormatting>
  <conditionalFormatting sqref="C236">
    <cfRule type="cellIs" dxfId="421" priority="29" stopIfTrue="1" operator="equal">
      <formula>"OK"</formula>
    </cfRule>
  </conditionalFormatting>
  <conditionalFormatting sqref="C236">
    <cfRule type="cellIs" dxfId="420" priority="30" stopIfTrue="1" operator="equal">
      <formula>"WARNING"</formula>
    </cfRule>
  </conditionalFormatting>
  <conditionalFormatting sqref="E241:E247">
    <cfRule type="cellIs" dxfId="419" priority="177" stopIfTrue="1" operator="equal">
      <formula>"ERROR"</formula>
    </cfRule>
  </conditionalFormatting>
  <conditionalFormatting sqref="E241:E247">
    <cfRule type="cellIs" dxfId="418" priority="178" stopIfTrue="1" operator="equal">
      <formula>"OK"</formula>
    </cfRule>
  </conditionalFormatting>
  <conditionalFormatting sqref="E241:E247">
    <cfRule type="cellIs" dxfId="417" priority="179" stopIfTrue="1" operator="equal">
      <formula>"WARNING"</formula>
    </cfRule>
  </conditionalFormatting>
  <conditionalFormatting sqref="D19">
    <cfRule type="cellIs" dxfId="416" priority="25" stopIfTrue="1" operator="equal">
      <formula>"ERROR"</formula>
    </cfRule>
    <cfRule type="cellIs" dxfId="415" priority="26" stopIfTrue="1" operator="equal">
      <formula>"OK"</formula>
    </cfRule>
    <cfRule type="cellIs" dxfId="414" priority="27" stopIfTrue="1" operator="equal">
      <formula>"WARNING"</formula>
    </cfRule>
  </conditionalFormatting>
  <conditionalFormatting sqref="C48">
    <cfRule type="cellIs" dxfId="413" priority="22" stopIfTrue="1" operator="equal">
      <formula>"ERROR"</formula>
    </cfRule>
  </conditionalFormatting>
  <conditionalFormatting sqref="C48">
    <cfRule type="cellIs" dxfId="412" priority="23" stopIfTrue="1" operator="equal">
      <formula>"OK"</formula>
    </cfRule>
  </conditionalFormatting>
  <conditionalFormatting sqref="C48">
    <cfRule type="cellIs" dxfId="411" priority="24" stopIfTrue="1" operator="equal">
      <formula>"WARNING"</formula>
    </cfRule>
  </conditionalFormatting>
  <conditionalFormatting sqref="G53">
    <cfRule type="cellIs" dxfId="410" priority="19" stopIfTrue="1" operator="equal">
      <formula>"ERROR"</formula>
    </cfRule>
    <cfRule type="cellIs" dxfId="409" priority="20" stopIfTrue="1" operator="equal">
      <formula>"OK"</formula>
    </cfRule>
    <cfRule type="cellIs" dxfId="408" priority="21" stopIfTrue="1" operator="equal">
      <formula>"WARNING"</formula>
    </cfRule>
  </conditionalFormatting>
  <conditionalFormatting sqref="C24">
    <cfRule type="cellIs" dxfId="407" priority="16" stopIfTrue="1" operator="equal">
      <formula>"ERROR"</formula>
    </cfRule>
  </conditionalFormatting>
  <conditionalFormatting sqref="C24">
    <cfRule type="cellIs" dxfId="406" priority="17" stopIfTrue="1" operator="equal">
      <formula>"OK"</formula>
    </cfRule>
  </conditionalFormatting>
  <conditionalFormatting sqref="C24">
    <cfRule type="cellIs" dxfId="405" priority="18" stopIfTrue="1" operator="equal">
      <formula>"WARNING"</formula>
    </cfRule>
  </conditionalFormatting>
  <conditionalFormatting sqref="G29">
    <cfRule type="cellIs" dxfId="404" priority="13" stopIfTrue="1" operator="equal">
      <formula>"ERROR"</formula>
    </cfRule>
    <cfRule type="cellIs" dxfId="403" priority="14" stopIfTrue="1" operator="equal">
      <formula>"OK"</formula>
    </cfRule>
    <cfRule type="cellIs" dxfId="402" priority="15" stopIfTrue="1" operator="equal">
      <formula>"WARNING"</formula>
    </cfRule>
  </conditionalFormatting>
  <conditionalFormatting sqref="D7:D9">
    <cfRule type="cellIs" dxfId="401" priority="10" stopIfTrue="1" operator="equal">
      <formula>"ERROR"</formula>
    </cfRule>
    <cfRule type="cellIs" dxfId="400" priority="11" stopIfTrue="1" operator="equal">
      <formula>"OK"</formula>
    </cfRule>
    <cfRule type="cellIs" dxfId="399" priority="12" stopIfTrue="1" operator="equal">
      <formula>"WARNING"</formula>
    </cfRule>
  </conditionalFormatting>
  <conditionalFormatting sqref="C36">
    <cfRule type="cellIs" dxfId="398" priority="7" stopIfTrue="1" operator="equal">
      <formula>"ERROR"</formula>
    </cfRule>
  </conditionalFormatting>
  <conditionalFormatting sqref="C36">
    <cfRule type="cellIs" dxfId="397" priority="8" stopIfTrue="1" operator="equal">
      <formula>"OK"</formula>
    </cfRule>
  </conditionalFormatting>
  <conditionalFormatting sqref="C36">
    <cfRule type="cellIs" dxfId="396" priority="9" stopIfTrue="1" operator="equal">
      <formula>"WARNING"</formula>
    </cfRule>
  </conditionalFormatting>
  <conditionalFormatting sqref="G41">
    <cfRule type="cellIs" dxfId="395" priority="4" stopIfTrue="1" operator="equal">
      <formula>"ERROR"</formula>
    </cfRule>
    <cfRule type="cellIs" dxfId="394" priority="5" stopIfTrue="1" operator="equal">
      <formula>"OK"</formula>
    </cfRule>
    <cfRule type="cellIs" dxfId="393" priority="6" stopIfTrue="1" operator="equal">
      <formula>"WARNING"</formula>
    </cfRule>
  </conditionalFormatting>
  <conditionalFormatting sqref="N65">
    <cfRule type="cellIs" dxfId="392" priority="1" stopIfTrue="1" operator="equal">
      <formula>"ERROR"</formula>
    </cfRule>
    <cfRule type="cellIs" dxfId="391" priority="2" stopIfTrue="1" operator="equal">
      <formula>"OK"</formula>
    </cfRule>
    <cfRule type="cellIs" dxfId="390" priority="3" stopIfTrue="1" operator="equal">
      <formula>"WARNING"</formula>
    </cfRule>
  </conditionalFormatting>
  <hyperlinks>
    <hyperlink ref="B1" location="Summary!A1" display="Summary!A1" xr:uid="{97A6595A-52BD-4B05-998A-59178C5B1926}"/>
    <hyperlink ref="B7:C7" location="$B$22" display="$B$22" xr:uid="{7E60A779-C7AF-4D12-BA48-7FBFFB42E92A}"/>
    <hyperlink ref="B8:C8" location="$B$34" display="$B$34" xr:uid="{D29C6D4F-A537-46E3-B4DE-66EE265BD3C2}"/>
    <hyperlink ref="B9:C9" location="$B$46" display="$B$46" xr:uid="{7DD1676C-C5FE-4C04-8221-AA4EE6B60695}"/>
    <hyperlink ref="B10:C10" location="$B$58" display="$B$58" xr:uid="{5F99DEB3-24B0-4854-96C1-01AA7C5B2BE8}"/>
    <hyperlink ref="B11:C11" location="$B$73" display="$B$73" xr:uid="{4B223BF7-A331-4F7B-8194-206424ADCE4B}"/>
    <hyperlink ref="B12:C12" location="$B$88" display="$B$88" xr:uid="{95AF6793-357B-4AAC-80EF-3F197ED56FBE}"/>
    <hyperlink ref="B13:C13" location="$B$103" display="$B$103" xr:uid="{87FDE201-7F24-4BA3-8719-4967E563D1A1}"/>
    <hyperlink ref="B14:C14" location="$B$117" display="$B$117" xr:uid="{93F17E57-F4F9-419B-8BD1-71CE439E9C00}"/>
    <hyperlink ref="B15:C15" location="$B$162" display="$B$162" xr:uid="{5522C20B-98EA-44EB-94B4-5EED0AE5A4B1}"/>
    <hyperlink ref="B16:C16" location="$B$189" display="$B$189" xr:uid="{D9F56F97-2BB7-4627-80DF-E364E0568A62}"/>
    <hyperlink ref="B17:C17" location="$B$205" display="$B$205" xr:uid="{0B994848-E9D7-43B2-BA6C-0D54A82C0122}"/>
    <hyperlink ref="B18:C18" location="$B$220" display="$B$220" xr:uid="{AE78EFAB-66A3-478B-8F58-B942838FEAA5}"/>
    <hyperlink ref="B19:C19" location="$B$234" display="$B$234" xr:uid="{6F649B84-4998-4EFD-9192-6BFF898F76BE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CI43"/>
  <sheetViews>
    <sheetView showGridLines="0" topLeftCell="A32" zoomScale="85" zoomScaleNormal="85" workbookViewId="0">
      <selection activeCell="B11" sqref="B11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58" t="s">
        <v>413</v>
      </c>
    </row>
    <row r="2" spans="1:87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5"/>
      <c r="CC2" s="355"/>
      <c r="CD2" s="355"/>
      <c r="CE2" s="355"/>
      <c r="CF2" s="355"/>
      <c r="CG2" s="355"/>
      <c r="CH2" s="355"/>
      <c r="CI2" s="355"/>
    </row>
    <row r="3" spans="1:87" x14ac:dyDescent="0.25">
      <c r="BR3" s="495"/>
      <c r="BS3" s="495"/>
      <c r="BT3" s="495"/>
      <c r="BU3" s="495"/>
      <c r="BV3" s="495"/>
      <c r="BW3" s="495"/>
    </row>
    <row r="4" spans="1:87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BR4" s="495"/>
      <c r="BS4" s="495"/>
      <c r="BT4" s="495"/>
      <c r="BU4" s="495"/>
      <c r="BV4" s="495"/>
      <c r="BW4" s="495"/>
    </row>
    <row r="5" spans="1:87" x14ac:dyDescent="0.25">
      <c r="BR5" s="495"/>
      <c r="BS5" s="495"/>
      <c r="BT5" s="495"/>
      <c r="BU5" s="495"/>
      <c r="BV5" s="495"/>
      <c r="BW5" s="495"/>
    </row>
    <row r="6" spans="1:87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BR6" s="495"/>
      <c r="BS6" s="495"/>
      <c r="BT6" s="495"/>
      <c r="BU6" s="495"/>
      <c r="BV6" s="495"/>
      <c r="BW6" s="495"/>
    </row>
    <row r="7" spans="1:87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BR7" s="495"/>
      <c r="BS7" s="495"/>
      <c r="BT7" s="495"/>
      <c r="BU7" s="495"/>
      <c r="BV7" s="495"/>
      <c r="BW7" s="495"/>
    </row>
    <row r="8" spans="1:87" x14ac:dyDescent="0.25">
      <c r="B8" s="457" t="s">
        <v>381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BR8" s="495"/>
      <c r="BS8" s="495"/>
      <c r="BT8" s="495"/>
      <c r="BU8" s="495"/>
      <c r="BV8" s="495"/>
      <c r="BW8" s="495"/>
    </row>
    <row r="9" spans="1:87" x14ac:dyDescent="0.25">
      <c r="BR9" s="495"/>
      <c r="BS9" s="495"/>
      <c r="BT9" s="495"/>
      <c r="BU9" s="495"/>
      <c r="BV9" s="495"/>
      <c r="BW9" s="495"/>
    </row>
    <row r="10" spans="1:87" x14ac:dyDescent="0.25">
      <c r="BR10" s="495"/>
      <c r="BS10" s="495"/>
      <c r="BT10" s="495"/>
      <c r="BU10" s="495"/>
      <c r="BV10" s="495"/>
      <c r="BW10" s="495"/>
    </row>
    <row r="11" spans="1:87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</row>
    <row r="12" spans="1:87" x14ac:dyDescent="0.25">
      <c r="BR12" s="495"/>
      <c r="BS12" s="495"/>
      <c r="BT12" s="495"/>
      <c r="BU12" s="495"/>
      <c r="BV12" s="495"/>
      <c r="BW12" s="495"/>
    </row>
    <row r="13" spans="1:87" x14ac:dyDescent="0.25">
      <c r="B13" s="59" t="s">
        <v>159</v>
      </c>
      <c r="C13" s="350" t="str" cm="1">
        <f t="array" ref="C13">_xll.d.TestUtils_And(H18,P18,Y18,AG18,AU18,BI18,BW18,CI18)</f>
        <v>Ok</v>
      </c>
      <c r="D13" s="348"/>
      <c r="E13" s="348"/>
      <c r="F13" s="348"/>
      <c r="G13" s="348"/>
      <c r="AN13" s="495"/>
      <c r="AO13" s="495"/>
      <c r="AP13" s="495"/>
      <c r="AR13" s="495"/>
      <c r="AS13" s="495"/>
      <c r="AT13" s="495"/>
      <c r="BD13" s="495"/>
      <c r="BH13" s="495"/>
      <c r="BR13" s="495"/>
      <c r="BS13" s="495"/>
      <c r="BT13" s="495"/>
      <c r="BU13" s="495"/>
      <c r="BV13" s="495"/>
      <c r="BW13" s="495"/>
      <c r="BX13" s="495"/>
      <c r="BY13" s="495"/>
      <c r="BZ13" s="495"/>
      <c r="CA13" s="495"/>
      <c r="CB13" s="495"/>
      <c r="CC13" s="495"/>
      <c r="CD13" s="495"/>
    </row>
    <row r="14" spans="1:87" x14ac:dyDescent="0.25">
      <c r="B14" s="348"/>
      <c r="C14" s="348"/>
      <c r="D14" s="348"/>
      <c r="E14" s="348"/>
      <c r="F14" s="348"/>
      <c r="G14" s="349"/>
      <c r="AN14" s="495"/>
      <c r="AO14" s="495"/>
      <c r="AP14" s="495"/>
      <c r="AR14" s="495"/>
      <c r="AS14" s="495"/>
      <c r="AT14" s="495"/>
      <c r="BB14" s="495"/>
      <c r="BC14" s="495"/>
      <c r="BD14" s="495"/>
      <c r="BF14" s="495"/>
      <c r="BG14" s="495"/>
      <c r="BH14" s="495"/>
      <c r="BK14" s="495"/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/>
      <c r="CD14" s="495"/>
      <c r="CE14" s="495"/>
      <c r="CF14" s="495"/>
      <c r="CG14" s="495"/>
      <c r="CH14" s="495"/>
      <c r="CI14" s="495"/>
    </row>
    <row r="15" spans="1:87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374</v>
      </c>
      <c r="AJ15" s="357"/>
      <c r="AK15" s="357"/>
      <c r="AL15" s="357"/>
      <c r="AM15" s="357"/>
      <c r="AN15" s="357"/>
      <c r="AO15" s="357"/>
      <c r="AP15" s="357"/>
      <c r="AQ15" s="357"/>
      <c r="AR15" s="357"/>
      <c r="AS15" s="357"/>
      <c r="AT15" s="357"/>
      <c r="AU15" s="357"/>
      <c r="AW15" s="4" t="s">
        <v>518</v>
      </c>
      <c r="AX15" s="357"/>
      <c r="AY15" s="357"/>
      <c r="AZ15" s="357"/>
      <c r="BA15" s="357"/>
      <c r="BB15" s="357"/>
      <c r="BC15" s="357"/>
      <c r="BD15" s="357"/>
      <c r="BE15" s="357"/>
      <c r="BF15" s="357"/>
      <c r="BG15" s="357"/>
      <c r="BH15" s="357"/>
      <c r="BI15" s="357"/>
      <c r="BK15" s="4" t="s">
        <v>519</v>
      </c>
      <c r="BL15" s="357"/>
      <c r="BM15" s="357"/>
      <c r="BN15" s="357"/>
      <c r="BO15" s="357"/>
      <c r="BP15" s="357"/>
      <c r="BQ15" s="357"/>
      <c r="BR15" s="357"/>
      <c r="BS15" s="357"/>
      <c r="BT15" s="357"/>
      <c r="BU15" s="357"/>
      <c r="BV15" s="357"/>
      <c r="BW15" s="357"/>
      <c r="BX15" s="495"/>
      <c r="BY15" s="4" t="s">
        <v>522</v>
      </c>
      <c r="BZ15" s="357"/>
      <c r="CA15" s="357"/>
      <c r="CB15" s="357"/>
      <c r="CC15" s="357"/>
      <c r="CD15" s="357"/>
      <c r="CE15" s="357"/>
      <c r="CF15" s="357"/>
      <c r="CG15" s="357"/>
      <c r="CH15" s="357"/>
      <c r="CI15" s="357"/>
    </row>
    <row r="16" spans="1:87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8"/>
      <c r="AO16" s="348"/>
      <c r="AP16" s="348"/>
      <c r="AQ16" s="349"/>
      <c r="AR16" s="349"/>
      <c r="AS16" s="349"/>
      <c r="AT16" s="349"/>
      <c r="AW16" s="348"/>
      <c r="AX16" s="348"/>
      <c r="AY16" s="348"/>
      <c r="AZ16" s="348"/>
      <c r="BA16" s="348"/>
      <c r="BB16" s="348"/>
      <c r="BC16" s="348"/>
      <c r="BD16" s="348"/>
      <c r="BE16" s="349"/>
      <c r="BF16" s="349"/>
      <c r="BG16" s="349"/>
      <c r="BH16" s="349"/>
      <c r="BK16" s="348"/>
      <c r="BL16" s="348"/>
      <c r="BM16" s="348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348"/>
      <c r="BZ16" s="348"/>
      <c r="CA16" s="348"/>
      <c r="CB16" s="348"/>
      <c r="CC16" s="348"/>
      <c r="CD16" s="348"/>
      <c r="CE16" s="348"/>
      <c r="CF16" s="349"/>
      <c r="CG16" s="349"/>
      <c r="CH16" s="349"/>
    </row>
    <row r="17" spans="1:87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/>
      <c r="AO17" s="134"/>
      <c r="AP17" s="134"/>
      <c r="AQ17" s="134" t="s">
        <v>253</v>
      </c>
      <c r="AR17" s="134"/>
      <c r="AS17" s="134"/>
      <c r="AT17" s="134"/>
      <c r="AU17" s="134" t="s">
        <v>84</v>
      </c>
      <c r="AW17" s="134" t="s">
        <v>251</v>
      </c>
      <c r="AX17" s="206"/>
      <c r="AY17" s="135"/>
      <c r="BA17" s="134" t="s">
        <v>133</v>
      </c>
      <c r="BB17" s="134"/>
      <c r="BC17" s="134"/>
      <c r="BD17" s="134"/>
      <c r="BE17" s="134" t="s">
        <v>253</v>
      </c>
      <c r="BF17" s="134"/>
      <c r="BG17" s="134"/>
      <c r="BH17" s="134"/>
      <c r="BI17" s="134" t="s">
        <v>84</v>
      </c>
      <c r="BK17" s="134" t="s">
        <v>251</v>
      </c>
      <c r="BL17" s="206"/>
      <c r="BM17" s="135"/>
      <c r="BN17" s="495"/>
      <c r="BO17" s="134" t="s">
        <v>133</v>
      </c>
      <c r="BP17" s="134"/>
      <c r="BQ17" s="134"/>
      <c r="BR17" s="134"/>
      <c r="BS17" s="134" t="s">
        <v>253</v>
      </c>
      <c r="BT17" s="134"/>
      <c r="BU17" s="134"/>
      <c r="BV17" s="134"/>
      <c r="BW17" s="134" t="s">
        <v>84</v>
      </c>
      <c r="BX17" s="495"/>
      <c r="BY17" s="134" t="s">
        <v>251</v>
      </c>
      <c r="BZ17" s="206"/>
      <c r="CA17" s="135"/>
      <c r="CC17" s="134" t="s">
        <v>133</v>
      </c>
      <c r="CD17" s="134"/>
      <c r="CE17" s="134"/>
      <c r="CF17" s="134" t="s">
        <v>253</v>
      </c>
      <c r="CG17" s="134"/>
      <c r="CH17" s="134"/>
      <c r="CI17" s="134" t="s">
        <v>84</v>
      </c>
    </row>
    <row r="18" spans="1:87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626" t="str" cm="1">
        <f t="array" ref="AM18">_xll.d.Math_Interpolate(AI19,AJ19:AJ20,AK19,"linear")</f>
        <v>#∂Excel Error: Dimensions of x and y ranges don't match.</v>
      </c>
      <c r="AN18" s="627"/>
      <c r="AO18" s="627"/>
      <c r="AP18" s="627"/>
      <c r="AQ18" s="627" t="s">
        <v>516</v>
      </c>
      <c r="AR18" s="627"/>
      <c r="AS18" s="627"/>
      <c r="AT18" s="627"/>
      <c r="AU18" s="360" t="str" cm="1">
        <f t="array" ref="AU18">_xll.d.TestUtils_Equal(AM18,AQ18)</f>
        <v>Ok</v>
      </c>
      <c r="AW18" s="372" t="s">
        <v>367</v>
      </c>
      <c r="AX18" s="373" t="s">
        <v>368</v>
      </c>
      <c r="AY18" s="133" t="s">
        <v>369</v>
      </c>
      <c r="BA18" s="626" t="str" cm="1">
        <f t="array" ref="BA18">_xll.d.Math_Interpolate(AW19:AX20,AX19:AX20,AY19,"linear")</f>
        <v>#∂Excel Error: x-value range has too many dimensions.</v>
      </c>
      <c r="BB18" s="627"/>
      <c r="BC18" s="627"/>
      <c r="BD18" s="627"/>
      <c r="BE18" s="627" t="s">
        <v>517</v>
      </c>
      <c r="BF18" s="627"/>
      <c r="BG18" s="627"/>
      <c r="BH18" s="627"/>
      <c r="BI18" s="360" t="str" cm="1">
        <f t="array" ref="BI18">_xll.d.TestUtils_Equal(BA18,BE18)</f>
        <v>Ok</v>
      </c>
      <c r="BK18" s="372" t="s">
        <v>367</v>
      </c>
      <c r="BL18" s="373" t="s">
        <v>368</v>
      </c>
      <c r="BM18" s="133" t="s">
        <v>369</v>
      </c>
      <c r="BN18" s="495"/>
      <c r="BO18" s="626" t="str" cm="1">
        <f t="array" ref="BO18">_xll.d.Math_Interpolate(BK19:BK21,BL19:BL21,BM19,"magic")</f>
        <v>#∂Excel Error: Duplicate values in x-values range.</v>
      </c>
      <c r="BP18" s="627"/>
      <c r="BQ18" s="627"/>
      <c r="BR18" s="627"/>
      <c r="BS18" s="627" t="s">
        <v>520</v>
      </c>
      <c r="BT18" s="627"/>
      <c r="BU18" s="627"/>
      <c r="BV18" s="627"/>
      <c r="BW18" s="360" t="str" cm="1">
        <f t="array" ref="BW18">_xll.d.TestUtils_Equal(BO18,BS18)</f>
        <v>Ok</v>
      </c>
      <c r="BX18" s="495"/>
      <c r="BY18" s="372" t="s">
        <v>367</v>
      </c>
      <c r="BZ18" s="373" t="s">
        <v>368</v>
      </c>
      <c r="CA18" s="133" t="s">
        <v>369</v>
      </c>
      <c r="CC18" s="626" t="str" cm="1">
        <f t="array" ref="CC18">_xll.d.Math_Interpolate(BY19:BY20,BZ19:BZ20,CA19,"magic")</f>
        <v>#∂Excel Error: Unsupported interpolation: 'magic'</v>
      </c>
      <c r="CD18" s="627"/>
      <c r="CE18" s="627"/>
      <c r="CF18" s="627" t="s">
        <v>504</v>
      </c>
      <c r="CG18" s="627"/>
      <c r="CH18" s="627"/>
      <c r="CI18" s="360" t="str" cm="1">
        <f t="array" ref="CI18">_xll.d.TestUtils_Equal(CC18,CF18)</f>
        <v>Ok</v>
      </c>
    </row>
    <row r="19" spans="1:87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455">
        <v>1</v>
      </c>
      <c r="AJ19" s="370">
        <v>0.05</v>
      </c>
      <c r="AK19" s="374">
        <v>1.5</v>
      </c>
      <c r="AL19" s="348"/>
      <c r="AM19" s="348"/>
      <c r="AN19" s="348"/>
      <c r="AO19" s="348"/>
      <c r="AP19" s="348"/>
      <c r="AQ19" s="349"/>
      <c r="AR19" s="349"/>
      <c r="AS19" s="349"/>
      <c r="AT19" s="349"/>
      <c r="AW19" s="136">
        <v>1</v>
      </c>
      <c r="AX19" s="370">
        <v>0.05</v>
      </c>
      <c r="AY19" s="374">
        <v>1.5</v>
      </c>
      <c r="AZ19" s="348"/>
      <c r="BA19" s="348"/>
      <c r="BB19" s="348"/>
      <c r="BC19" s="348"/>
      <c r="BD19" s="348"/>
      <c r="BE19" s="349"/>
      <c r="BF19" s="349"/>
      <c r="BG19" s="349"/>
      <c r="BH19" s="349"/>
      <c r="BK19" s="136">
        <v>1</v>
      </c>
      <c r="BL19" s="370">
        <v>0.05</v>
      </c>
      <c r="BM19" s="374">
        <v>1.5</v>
      </c>
      <c r="BN19" s="495"/>
      <c r="BO19" s="495"/>
      <c r="BP19" s="495"/>
      <c r="BQ19" s="495"/>
      <c r="BR19" s="495"/>
      <c r="BS19" s="495"/>
      <c r="BT19" s="495"/>
      <c r="BU19" s="495"/>
      <c r="BV19" s="495"/>
      <c r="BW19" s="495"/>
      <c r="BX19" s="495"/>
      <c r="BY19" s="136">
        <v>1</v>
      </c>
      <c r="BZ19" s="370">
        <v>0.05</v>
      </c>
      <c r="CA19" s="374">
        <v>1.5</v>
      </c>
      <c r="CB19" s="348"/>
      <c r="CC19" s="348"/>
      <c r="CD19" s="348"/>
      <c r="CE19" s="348"/>
      <c r="CF19" s="349"/>
      <c r="CG19" s="349"/>
      <c r="CH19" s="349"/>
    </row>
    <row r="20" spans="1:87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495"/>
      <c r="AJ20" s="625">
        <v>0.1</v>
      </c>
      <c r="AL20" s="348"/>
      <c r="AM20" s="348"/>
      <c r="AN20" s="348"/>
      <c r="AO20" s="348"/>
      <c r="AP20" s="348"/>
      <c r="AQ20" s="349"/>
      <c r="AR20" s="349"/>
      <c r="AS20" s="349"/>
      <c r="AT20" s="349"/>
      <c r="AW20" s="377">
        <v>2</v>
      </c>
      <c r="AX20" s="378">
        <v>0.1</v>
      </c>
      <c r="AZ20" s="348"/>
      <c r="BA20" s="348"/>
      <c r="BB20" s="348"/>
      <c r="BC20" s="348"/>
      <c r="BD20" s="348"/>
      <c r="BE20" s="349"/>
      <c r="BF20" s="349"/>
      <c r="BG20" s="349"/>
      <c r="BH20" s="349"/>
      <c r="BK20" s="138">
        <v>1</v>
      </c>
      <c r="BL20" s="139">
        <v>0.1</v>
      </c>
      <c r="BM20" s="495"/>
      <c r="BN20" s="495"/>
      <c r="BO20" s="495"/>
      <c r="BP20" s="495"/>
      <c r="BQ20" s="495"/>
      <c r="BR20" s="495"/>
      <c r="BS20" s="495"/>
      <c r="BT20" s="495"/>
      <c r="BU20" s="495"/>
      <c r="BV20" s="495"/>
      <c r="BW20" s="495"/>
      <c r="BX20" s="495"/>
      <c r="BY20" s="377">
        <v>2</v>
      </c>
      <c r="BZ20" s="378">
        <v>0.1</v>
      </c>
      <c r="CB20" s="348"/>
      <c r="CC20" s="348"/>
      <c r="CD20" s="348"/>
      <c r="CE20" s="348"/>
      <c r="CF20" s="349"/>
      <c r="CG20" s="349"/>
      <c r="CH20" s="349"/>
    </row>
    <row r="21" spans="1:87" x14ac:dyDescent="0.25">
      <c r="B21" s="348"/>
      <c r="C21" s="348"/>
      <c r="D21" s="348"/>
      <c r="E21" s="348"/>
      <c r="F21" s="348"/>
      <c r="G21" s="349"/>
      <c r="AN21" s="495"/>
      <c r="AO21" s="495"/>
      <c r="AP21" s="495"/>
      <c r="AR21" s="495"/>
      <c r="AS21" s="495"/>
      <c r="AT21" s="495"/>
      <c r="BB21" s="495"/>
      <c r="BC21" s="495"/>
      <c r="BD21" s="495"/>
      <c r="BF21" s="495"/>
      <c r="BG21" s="495"/>
      <c r="BH21" s="495"/>
      <c r="BK21" s="377">
        <v>2</v>
      </c>
      <c r="BL21" s="378">
        <v>0.15</v>
      </c>
      <c r="BM21" s="495"/>
      <c r="BN21" s="495"/>
      <c r="BO21" s="495"/>
      <c r="BP21" s="495"/>
      <c r="BQ21" s="495"/>
      <c r="BR21" s="495"/>
      <c r="BS21" s="495"/>
      <c r="BT21" s="495"/>
      <c r="BU21" s="495"/>
      <c r="BV21" s="495"/>
      <c r="BW21" s="495"/>
      <c r="BX21" s="495"/>
      <c r="CD21" s="495"/>
      <c r="CE21" s="495"/>
    </row>
    <row r="22" spans="1:87" x14ac:dyDescent="0.25">
      <c r="B22" s="348"/>
      <c r="C22" s="348"/>
      <c r="D22" s="348"/>
      <c r="E22" s="348"/>
      <c r="F22" s="348"/>
      <c r="G22" s="349"/>
      <c r="AN22" s="495"/>
      <c r="AO22" s="495"/>
      <c r="AP22" s="495"/>
      <c r="AR22" s="495"/>
      <c r="AS22" s="495"/>
      <c r="AT22" s="495"/>
      <c r="BB22" s="495"/>
      <c r="BC22" s="495"/>
      <c r="BD22" s="495"/>
      <c r="BF22" s="495"/>
      <c r="BG22" s="495"/>
      <c r="BH22" s="495"/>
      <c r="BK22" s="495"/>
      <c r="BL22" s="495"/>
      <c r="BM22" s="495"/>
      <c r="BN22" s="495"/>
      <c r="BO22" s="495"/>
      <c r="BP22" s="495"/>
      <c r="BQ22" s="495"/>
      <c r="BR22" s="495"/>
      <c r="BS22" s="495"/>
      <c r="BT22" s="495"/>
      <c r="BU22" s="495"/>
      <c r="BV22" s="495"/>
      <c r="BW22" s="495"/>
      <c r="BX22" s="495"/>
      <c r="CD22" s="495"/>
      <c r="CE22" s="495"/>
    </row>
    <row r="23" spans="1:87" s="348" customFormat="1" ht="18.75" x14ac:dyDescent="0.3">
      <c r="A23"/>
      <c r="B23" s="3" t="s">
        <v>381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/>
      <c r="BO23" s="356"/>
      <c r="BP23" s="356"/>
      <c r="BQ23" s="356"/>
      <c r="BR23" s="356"/>
      <c r="BS23" s="356"/>
      <c r="BT23" s="356"/>
      <c r="BU23" s="356"/>
    </row>
    <row r="24" spans="1:87" x14ac:dyDescent="0.25">
      <c r="BJ24" s="495"/>
      <c r="BK24" s="495"/>
      <c r="BL24" s="495"/>
      <c r="BM24" s="495"/>
      <c r="BN24" s="495"/>
      <c r="BO24" s="495"/>
      <c r="BP24" s="495"/>
      <c r="BQ24" s="495"/>
      <c r="BR24" s="495"/>
      <c r="BS24" s="495"/>
      <c r="BT24" s="495"/>
      <c r="BU24" s="495"/>
    </row>
    <row r="25" spans="1:87" s="348" customFormat="1" x14ac:dyDescent="0.25">
      <c r="A25"/>
      <c r="B25" s="59" t="s">
        <v>159</v>
      </c>
      <c r="C25" s="350" t="str" cm="1">
        <f t="array" ref="C25">_xll.d.TestUtils_And(L30,Y30,AK30,BC30,BU30)</f>
        <v>Ok</v>
      </c>
    </row>
    <row r="26" spans="1:87" x14ac:dyDescent="0.25">
      <c r="AV26" s="495"/>
      <c r="AW26" s="495"/>
      <c r="AX26" s="495"/>
      <c r="AZ26" s="495"/>
      <c r="BA26" s="495"/>
      <c r="BB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Y26" s="495"/>
      <c r="BZ26" s="495"/>
      <c r="CA26" s="495"/>
    </row>
    <row r="27" spans="1:87" ht="15.75" x14ac:dyDescent="0.25">
      <c r="B27" s="4" t="s">
        <v>382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383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384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385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X27" s="357"/>
      <c r="AY27" s="357"/>
      <c r="AZ27" s="357"/>
      <c r="BA27" s="357"/>
      <c r="BB27" s="357"/>
      <c r="BC27" s="357"/>
      <c r="BE27" s="4" t="s">
        <v>375</v>
      </c>
      <c r="BF27" s="357"/>
      <c r="BG27" s="357"/>
      <c r="BH27" s="357"/>
      <c r="BI27" s="357"/>
      <c r="BJ27" s="357"/>
      <c r="BK27" s="357"/>
      <c r="BL27" s="357"/>
      <c r="BM27" s="357"/>
      <c r="BN27" s="357"/>
      <c r="BO27" s="357"/>
      <c r="BP27" s="357"/>
      <c r="BQ27" s="357"/>
      <c r="BR27" s="357"/>
      <c r="BS27" s="357"/>
      <c r="BT27" s="357"/>
      <c r="BU27" s="357"/>
      <c r="CB27" s="495"/>
      <c r="CC27" s="495"/>
      <c r="CD27" s="495"/>
    </row>
    <row r="28" spans="1:87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V28" s="495"/>
      <c r="AW28" s="495"/>
      <c r="AX28" s="495"/>
      <c r="AZ28" s="495"/>
      <c r="BA28" s="495"/>
      <c r="BB28" s="495"/>
      <c r="BE28" s="348"/>
      <c r="BF28" s="348"/>
      <c r="BG28" s="348"/>
      <c r="BH28" s="348"/>
      <c r="BI28" s="348"/>
      <c r="BJ28" s="349"/>
      <c r="BN28" s="495"/>
      <c r="BO28" s="495"/>
      <c r="BP28" s="495"/>
      <c r="BR28" s="495"/>
      <c r="BS28" s="495"/>
      <c r="BT28" s="495"/>
    </row>
    <row r="29" spans="1:87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/>
      <c r="AW29" s="134"/>
      <c r="AX29" s="134"/>
      <c r="AY29" s="134" t="s">
        <v>253</v>
      </c>
      <c r="AZ29" s="134"/>
      <c r="BA29" s="134"/>
      <c r="BB29" s="134"/>
      <c r="BC29" s="134" t="s">
        <v>84</v>
      </c>
      <c r="BE29" s="382" t="s">
        <v>251</v>
      </c>
      <c r="BF29" s="206"/>
      <c r="BG29" s="206"/>
      <c r="BH29" s="389"/>
      <c r="BI29" s="389"/>
      <c r="BJ29" s="383"/>
      <c r="BK29" s="215"/>
      <c r="BM29" s="134" t="s">
        <v>133</v>
      </c>
      <c r="BN29" s="134"/>
      <c r="BO29" s="134"/>
      <c r="BP29" s="134"/>
      <c r="BQ29" s="134" t="s">
        <v>253</v>
      </c>
      <c r="BR29" s="134"/>
      <c r="BS29" s="134"/>
      <c r="BT29" s="134"/>
      <c r="BU29" s="134" t="s">
        <v>84</v>
      </c>
    </row>
    <row r="30" spans="1:87" x14ac:dyDescent="0.25">
      <c r="A30" s="149"/>
      <c r="B30" s="384"/>
      <c r="C30" s="386" t="s">
        <v>379</v>
      </c>
      <c r="D30" s="389"/>
      <c r="E30" s="389"/>
      <c r="F30" s="387"/>
      <c r="G30" s="391" t="s">
        <v>380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379</v>
      </c>
      <c r="P30" s="389"/>
      <c r="Q30" s="389"/>
      <c r="R30" s="387"/>
      <c r="S30" s="391" t="s">
        <v>380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379</v>
      </c>
      <c r="AC30" s="389"/>
      <c r="AD30" s="389"/>
      <c r="AE30" s="387"/>
      <c r="AF30" s="391" t="s">
        <v>380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379</v>
      </c>
      <c r="AO30" s="389"/>
      <c r="AP30" s="389"/>
      <c r="AQ30" s="387"/>
      <c r="AR30" s="391" t="s">
        <v>380</v>
      </c>
      <c r="AS30" s="390"/>
      <c r="AU30" s="626" t="str" cm="1">
        <f t="array" ref="AU30">_xll.d.Math_Interpolate2D(AM31:AQ36,AR32,AS32,"linear")</f>
        <v>#∂Excel Error: Extrapolation not supported.</v>
      </c>
      <c r="AV30" s="627"/>
      <c r="AW30" s="627"/>
      <c r="AX30" s="627"/>
      <c r="AY30" s="627" t="s">
        <v>386</v>
      </c>
      <c r="AZ30" s="627"/>
      <c r="BA30" s="627"/>
      <c r="BB30" s="627"/>
      <c r="BC30" s="360" t="str" cm="1">
        <f t="array" ref="BC30">_xll.d.TestUtils_Equal(AU30,AY30)</f>
        <v>Ok</v>
      </c>
      <c r="BE30" s="384"/>
      <c r="BF30" s="386" t="s">
        <v>379</v>
      </c>
      <c r="BG30" s="389"/>
      <c r="BH30" s="389"/>
      <c r="BI30" s="387"/>
      <c r="BJ30" s="391" t="s">
        <v>380</v>
      </c>
      <c r="BK30" s="390"/>
      <c r="BM30" s="626" t="str" cm="1">
        <f t="array" ref="BM30">_xll.d.Math_Interpolate2D(BE31:BI36,BJ32,BK32,"magic")</f>
        <v>#∂Excel Error: Unsupported interpolation: 'magic'</v>
      </c>
      <c r="BN30" s="627"/>
      <c r="BO30" s="627"/>
      <c r="BP30" s="627"/>
      <c r="BQ30" s="627" t="s">
        <v>504</v>
      </c>
      <c r="BR30" s="627"/>
      <c r="BS30" s="627"/>
      <c r="BT30" s="627"/>
      <c r="BU30" s="360" t="str" cm="1">
        <f t="array" ref="BU30">_xll.d.TestUtils_Equal(BM30,BQ30)</f>
        <v>Ok</v>
      </c>
    </row>
    <row r="31" spans="1:87" x14ac:dyDescent="0.25">
      <c r="A31" s="149"/>
      <c r="B31" s="385" t="s">
        <v>378</v>
      </c>
      <c r="C31" s="394">
        <v>0</v>
      </c>
      <c r="D31" s="395">
        <v>1</v>
      </c>
      <c r="E31" s="395">
        <v>2</v>
      </c>
      <c r="F31" s="396">
        <v>3</v>
      </c>
      <c r="G31" s="392" t="s">
        <v>377</v>
      </c>
      <c r="H31" s="133" t="s">
        <v>376</v>
      </c>
      <c r="N31" s="385" t="s">
        <v>378</v>
      </c>
      <c r="O31" s="394">
        <v>0</v>
      </c>
      <c r="P31" s="395">
        <v>1</v>
      </c>
      <c r="Q31" s="395">
        <v>2</v>
      </c>
      <c r="R31" s="396">
        <v>3</v>
      </c>
      <c r="S31" s="392" t="s">
        <v>377</v>
      </c>
      <c r="T31" s="133" t="s">
        <v>376</v>
      </c>
      <c r="AA31" s="385" t="s">
        <v>378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377</v>
      </c>
      <c r="AG31" s="133" t="s">
        <v>376</v>
      </c>
      <c r="AM31" s="385" t="s">
        <v>378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377</v>
      </c>
      <c r="AS31" s="133" t="s">
        <v>376</v>
      </c>
      <c r="AV31" s="495"/>
      <c r="AW31" s="495"/>
      <c r="AX31" s="495"/>
      <c r="AZ31" s="495"/>
      <c r="BA31" s="495"/>
      <c r="BB31" s="495"/>
      <c r="BE31" s="385" t="s">
        <v>378</v>
      </c>
      <c r="BF31" s="394">
        <v>0</v>
      </c>
      <c r="BG31" s="395">
        <v>1</v>
      </c>
      <c r="BH31" s="395">
        <v>2</v>
      </c>
      <c r="BI31" s="396">
        <v>3</v>
      </c>
      <c r="BJ31" s="392" t="s">
        <v>377</v>
      </c>
      <c r="BK31" s="133" t="s">
        <v>376</v>
      </c>
      <c r="BN31" s="495"/>
      <c r="BO31" s="495"/>
      <c r="BP31" s="495"/>
      <c r="BQ31" s="495"/>
      <c r="BS31" s="495"/>
      <c r="BT31" s="495"/>
      <c r="BU31" s="495"/>
    </row>
    <row r="32" spans="1:87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V32" s="495"/>
      <c r="AW32" s="495"/>
      <c r="AX32" s="495"/>
      <c r="AZ32" s="495"/>
      <c r="BA32" s="495"/>
      <c r="BB32" s="495"/>
      <c r="BE32" s="381">
        <v>0</v>
      </c>
      <c r="BF32" s="397">
        <v>1</v>
      </c>
      <c r="BG32" s="398">
        <v>2</v>
      </c>
      <c r="BH32" s="399">
        <v>3</v>
      </c>
      <c r="BI32" s="400">
        <v>4</v>
      </c>
      <c r="BJ32" s="393">
        <v>2.5</v>
      </c>
      <c r="BK32" s="388">
        <v>1.5</v>
      </c>
      <c r="BN32" s="495"/>
      <c r="BO32" s="495"/>
      <c r="BP32" s="495"/>
      <c r="BQ32" s="495"/>
      <c r="BS32" s="495"/>
      <c r="BT32" s="495"/>
      <c r="BU32" s="495"/>
    </row>
    <row r="33" spans="2:73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V33" s="495"/>
      <c r="AW33" s="495"/>
      <c r="AX33" s="495"/>
      <c r="AZ33" s="495"/>
      <c r="BA33" s="495"/>
      <c r="BB33" s="495"/>
      <c r="BE33" s="405">
        <v>1</v>
      </c>
      <c r="BF33" s="406">
        <v>5</v>
      </c>
      <c r="BG33" s="407">
        <v>6</v>
      </c>
      <c r="BH33" s="407">
        <v>7</v>
      </c>
      <c r="BI33" s="408">
        <v>8</v>
      </c>
      <c r="BN33" s="495"/>
      <c r="BO33" s="495"/>
      <c r="BP33" s="495"/>
      <c r="BQ33" s="495"/>
      <c r="BS33" s="495"/>
      <c r="BT33" s="495"/>
      <c r="BU33" s="495"/>
    </row>
    <row r="34" spans="2:73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V34" s="495"/>
      <c r="AW34" s="495"/>
      <c r="AX34" s="495"/>
      <c r="AZ34" s="495"/>
      <c r="BA34" s="495"/>
      <c r="BB34" s="495"/>
      <c r="BE34" s="409">
        <v>2</v>
      </c>
      <c r="BF34" s="406">
        <v>9</v>
      </c>
      <c r="BG34" s="407">
        <v>10</v>
      </c>
      <c r="BH34" s="407">
        <v>11</v>
      </c>
      <c r="BI34" s="408">
        <v>12</v>
      </c>
      <c r="BN34" s="495"/>
      <c r="BO34" s="495"/>
      <c r="BP34" s="495"/>
      <c r="BQ34" s="495"/>
      <c r="BS34" s="495"/>
      <c r="BT34" s="495"/>
      <c r="BU34" s="495"/>
    </row>
    <row r="35" spans="2:73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V35" s="495"/>
      <c r="AW35" s="495"/>
      <c r="AX35" s="495"/>
      <c r="AZ35" s="495"/>
      <c r="BA35" s="495"/>
      <c r="BB35" s="495"/>
      <c r="BE35" s="409">
        <v>3</v>
      </c>
      <c r="BF35" s="406">
        <v>13</v>
      </c>
      <c r="BG35" s="407">
        <v>14</v>
      </c>
      <c r="BH35" s="407">
        <v>15</v>
      </c>
      <c r="BI35" s="408">
        <v>16</v>
      </c>
      <c r="BN35" s="495"/>
      <c r="BO35" s="495"/>
      <c r="BP35" s="495"/>
      <c r="BQ35" s="495"/>
      <c r="BS35" s="495"/>
      <c r="BT35" s="495"/>
      <c r="BU35" s="495"/>
    </row>
    <row r="36" spans="2:73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V36" s="495"/>
      <c r="AW36" s="495"/>
      <c r="AX36" s="495"/>
      <c r="AZ36" s="495"/>
      <c r="BA36" s="495"/>
      <c r="BB36" s="495"/>
      <c r="BE36" s="401">
        <v>4</v>
      </c>
      <c r="BF36" s="402">
        <v>17</v>
      </c>
      <c r="BG36" s="403">
        <v>18</v>
      </c>
      <c r="BH36" s="403">
        <v>19</v>
      </c>
      <c r="BI36" s="404">
        <v>20</v>
      </c>
      <c r="BN36" s="495"/>
      <c r="BO36" s="495"/>
      <c r="BP36" s="495"/>
      <c r="BQ36" s="495"/>
      <c r="BS36" s="495"/>
      <c r="BT36" s="495"/>
      <c r="BU36" s="495"/>
    </row>
    <row r="37" spans="2:73" x14ac:dyDescent="0.25">
      <c r="AV37" s="495"/>
      <c r="AW37" s="495"/>
      <c r="AX37" s="495"/>
      <c r="AZ37" s="495"/>
      <c r="BA37" s="495"/>
      <c r="BB37" s="495"/>
      <c r="BN37" s="495"/>
      <c r="BO37" s="495"/>
      <c r="BP37" s="495"/>
      <c r="BQ37" s="495"/>
      <c r="BS37" s="495"/>
      <c r="BT37" s="495"/>
      <c r="BU37" s="495"/>
    </row>
    <row r="38" spans="2:73" x14ac:dyDescent="0.25">
      <c r="AV38" s="495"/>
      <c r="AW38" s="495"/>
      <c r="AX38" s="495"/>
      <c r="AZ38" s="495"/>
      <c r="BA38" s="495"/>
      <c r="BB38" s="495"/>
      <c r="BS38" s="495"/>
      <c r="BT38" s="495"/>
      <c r="BU38" s="495"/>
    </row>
    <row r="39" spans="2:73" x14ac:dyDescent="0.25">
      <c r="AZ39" s="495"/>
      <c r="BA39" s="495"/>
      <c r="BB39" s="495"/>
      <c r="BS39" s="495"/>
      <c r="BT39" s="495"/>
      <c r="BU39" s="495"/>
    </row>
    <row r="40" spans="2:73" x14ac:dyDescent="0.25">
      <c r="AZ40" s="495"/>
      <c r="BA40" s="495"/>
      <c r="BB40" s="495"/>
      <c r="BS40" s="495"/>
      <c r="BT40" s="495"/>
      <c r="BU40" s="495"/>
    </row>
    <row r="41" spans="2:73" x14ac:dyDescent="0.25">
      <c r="AZ41" s="495"/>
      <c r="BA41" s="495"/>
      <c r="BB41" s="495"/>
    </row>
    <row r="42" spans="2:73" x14ac:dyDescent="0.25">
      <c r="AZ42" s="495"/>
      <c r="BA42" s="495"/>
      <c r="BB42" s="495"/>
    </row>
    <row r="43" spans="2:73" x14ac:dyDescent="0.25">
      <c r="AZ43" s="495"/>
      <c r="BA43" s="495"/>
      <c r="BB43" s="495"/>
    </row>
  </sheetData>
  <conditionalFormatting sqref="D7:D8">
    <cfRule type="cellIs" dxfId="389" priority="133" stopIfTrue="1" operator="equal">
      <formula>"ERROR"</formula>
    </cfRule>
    <cfRule type="cellIs" dxfId="388" priority="134" stopIfTrue="1" operator="equal">
      <formula>"OK"</formula>
    </cfRule>
    <cfRule type="cellIs" dxfId="387" priority="135" stopIfTrue="1" operator="equal">
      <formula>"WARNING"</formula>
    </cfRule>
  </conditionalFormatting>
  <conditionalFormatting sqref="C4">
    <cfRule type="cellIs" dxfId="386" priority="130" stopIfTrue="1" operator="equal">
      <formula>"ERROR"</formula>
    </cfRule>
    <cfRule type="cellIs" dxfId="385" priority="131" stopIfTrue="1" operator="equal">
      <formula>"OK"</formula>
    </cfRule>
    <cfRule type="cellIs" dxfId="384" priority="132" stopIfTrue="1" operator="equal">
      <formula>"WARNING"</formula>
    </cfRule>
  </conditionalFormatting>
  <conditionalFormatting sqref="C13">
    <cfRule type="cellIs" dxfId="383" priority="127" stopIfTrue="1" operator="equal">
      <formula>"ERROR"</formula>
    </cfRule>
  </conditionalFormatting>
  <conditionalFormatting sqref="C13">
    <cfRule type="cellIs" dxfId="382" priority="128" stopIfTrue="1" operator="equal">
      <formula>"OK"</formula>
    </cfRule>
  </conditionalFormatting>
  <conditionalFormatting sqref="C13">
    <cfRule type="cellIs" dxfId="381" priority="129" stopIfTrue="1" operator="equal">
      <formula>"WARNING"</formula>
    </cfRule>
  </conditionalFormatting>
  <conditionalFormatting sqref="H18">
    <cfRule type="cellIs" dxfId="380" priority="136" stopIfTrue="1" operator="equal">
      <formula>"ERROR"</formula>
    </cfRule>
    <cfRule type="cellIs" dxfId="379" priority="137" stopIfTrue="1" operator="equal">
      <formula>"OK"</formula>
    </cfRule>
    <cfRule type="cellIs" dxfId="378" priority="138" stopIfTrue="1" operator="equal">
      <formula>"WARNING"</formula>
    </cfRule>
  </conditionalFormatting>
  <conditionalFormatting sqref="C25">
    <cfRule type="cellIs" dxfId="377" priority="106" stopIfTrue="1" operator="equal">
      <formula>"ERROR"</formula>
    </cfRule>
  </conditionalFormatting>
  <conditionalFormatting sqref="C25">
    <cfRule type="cellIs" dxfId="376" priority="107" stopIfTrue="1" operator="equal">
      <formula>"OK"</formula>
    </cfRule>
  </conditionalFormatting>
  <conditionalFormatting sqref="C25">
    <cfRule type="cellIs" dxfId="375" priority="108" stopIfTrue="1" operator="equal">
      <formula>"WARNING"</formula>
    </cfRule>
  </conditionalFormatting>
  <conditionalFormatting sqref="P18">
    <cfRule type="cellIs" dxfId="374" priority="37" stopIfTrue="1" operator="equal">
      <formula>"ERROR"</formula>
    </cfRule>
    <cfRule type="cellIs" dxfId="373" priority="38" stopIfTrue="1" operator="equal">
      <formula>"OK"</formula>
    </cfRule>
    <cfRule type="cellIs" dxfId="372" priority="39" stopIfTrue="1" operator="equal">
      <formula>"WARNING"</formula>
    </cfRule>
  </conditionalFormatting>
  <conditionalFormatting sqref="Y18">
    <cfRule type="cellIs" dxfId="371" priority="34" stopIfTrue="1" operator="equal">
      <formula>"ERROR"</formula>
    </cfRule>
    <cfRule type="cellIs" dxfId="370" priority="35" stopIfTrue="1" operator="equal">
      <formula>"OK"</formula>
    </cfRule>
    <cfRule type="cellIs" dxfId="369" priority="36" stopIfTrue="1" operator="equal">
      <formula>"WARNING"</formula>
    </cfRule>
  </conditionalFormatting>
  <conditionalFormatting sqref="AG18">
    <cfRule type="cellIs" dxfId="368" priority="31" stopIfTrue="1" operator="equal">
      <formula>"ERROR"</formula>
    </cfRule>
    <cfRule type="cellIs" dxfId="367" priority="32" stopIfTrue="1" operator="equal">
      <formula>"OK"</formula>
    </cfRule>
    <cfRule type="cellIs" dxfId="366" priority="33" stopIfTrue="1" operator="equal">
      <formula>"WARNING"</formula>
    </cfRule>
  </conditionalFormatting>
  <conditionalFormatting sqref="AU18">
    <cfRule type="cellIs" dxfId="365" priority="28" stopIfTrue="1" operator="equal">
      <formula>"ERROR"</formula>
    </cfRule>
    <cfRule type="cellIs" dxfId="364" priority="29" stopIfTrue="1" operator="equal">
      <formula>"OK"</formula>
    </cfRule>
    <cfRule type="cellIs" dxfId="363" priority="30" stopIfTrue="1" operator="equal">
      <formula>"WARNING"</formula>
    </cfRule>
  </conditionalFormatting>
  <conditionalFormatting sqref="BI18">
    <cfRule type="cellIs" dxfId="362" priority="25" stopIfTrue="1" operator="equal">
      <formula>"ERROR"</formula>
    </cfRule>
    <cfRule type="cellIs" dxfId="361" priority="26" stopIfTrue="1" operator="equal">
      <formula>"OK"</formula>
    </cfRule>
    <cfRule type="cellIs" dxfId="360" priority="27" stopIfTrue="1" operator="equal">
      <formula>"WARNING"</formula>
    </cfRule>
  </conditionalFormatting>
  <conditionalFormatting sqref="CI18">
    <cfRule type="cellIs" dxfId="359" priority="22" stopIfTrue="1" operator="equal">
      <formula>"ERROR"</formula>
    </cfRule>
    <cfRule type="cellIs" dxfId="358" priority="23" stopIfTrue="1" operator="equal">
      <formula>"OK"</formula>
    </cfRule>
    <cfRule type="cellIs" dxfId="357" priority="24" stopIfTrue="1" operator="equal">
      <formula>"WARNING"</formula>
    </cfRule>
  </conditionalFormatting>
  <conditionalFormatting sqref="L30">
    <cfRule type="cellIs" dxfId="356" priority="16" stopIfTrue="1" operator="equal">
      <formula>"ERROR"</formula>
    </cfRule>
    <cfRule type="cellIs" dxfId="355" priority="17" stopIfTrue="1" operator="equal">
      <formula>"OK"</formula>
    </cfRule>
    <cfRule type="cellIs" dxfId="354" priority="18" stopIfTrue="1" operator="equal">
      <formula>"WARNING"</formula>
    </cfRule>
  </conditionalFormatting>
  <conditionalFormatting sqref="Y30">
    <cfRule type="cellIs" dxfId="353" priority="13" stopIfTrue="1" operator="equal">
      <formula>"ERROR"</formula>
    </cfRule>
    <cfRule type="cellIs" dxfId="352" priority="14" stopIfTrue="1" operator="equal">
      <formula>"OK"</formula>
    </cfRule>
    <cfRule type="cellIs" dxfId="351" priority="15" stopIfTrue="1" operator="equal">
      <formula>"WARNING"</formula>
    </cfRule>
  </conditionalFormatting>
  <conditionalFormatting sqref="AK30">
    <cfRule type="cellIs" dxfId="350" priority="10" stopIfTrue="1" operator="equal">
      <formula>"ERROR"</formula>
    </cfRule>
    <cfRule type="cellIs" dxfId="349" priority="11" stopIfTrue="1" operator="equal">
      <formula>"OK"</formula>
    </cfRule>
    <cfRule type="cellIs" dxfId="348" priority="12" stopIfTrue="1" operator="equal">
      <formula>"WARNING"</formula>
    </cfRule>
  </conditionalFormatting>
  <conditionalFormatting sqref="BC30">
    <cfRule type="cellIs" dxfId="347" priority="7" stopIfTrue="1" operator="equal">
      <formula>"ERROR"</formula>
    </cfRule>
    <cfRule type="cellIs" dxfId="346" priority="8" stopIfTrue="1" operator="equal">
      <formula>"OK"</formula>
    </cfRule>
    <cfRule type="cellIs" dxfId="345" priority="9" stopIfTrue="1" operator="equal">
      <formula>"WARNING"</formula>
    </cfRule>
  </conditionalFormatting>
  <conditionalFormatting sqref="BU30">
    <cfRule type="cellIs" dxfId="344" priority="4" stopIfTrue="1" operator="equal">
      <formula>"ERROR"</formula>
    </cfRule>
    <cfRule type="cellIs" dxfId="343" priority="5" stopIfTrue="1" operator="equal">
      <formula>"OK"</formula>
    </cfRule>
    <cfRule type="cellIs" dxfId="342" priority="6" stopIfTrue="1" operator="equal">
      <formula>"WARNING"</formula>
    </cfRule>
  </conditionalFormatting>
  <conditionalFormatting sqref="BW18">
    <cfRule type="cellIs" dxfId="341" priority="1" stopIfTrue="1" operator="equal">
      <formula>"ERROR"</formula>
    </cfRule>
    <cfRule type="cellIs" dxfId="340" priority="2" stopIfTrue="1" operator="equal">
      <formula>"OK"</formula>
    </cfRule>
    <cfRule type="cellIs" dxfId="339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Y1099"/>
  <sheetViews>
    <sheetView showGridLines="0" tabSelected="1" zoomScaleNormal="100" workbookViewId="0">
      <selection activeCell="F7" sqref="F7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0" x14ac:dyDescent="0.25">
      <c r="B1" s="458" t="s">
        <v>413</v>
      </c>
    </row>
    <row r="2" spans="1:50" ht="26.25" x14ac:dyDescent="0.4">
      <c r="B2" s="2" t="s">
        <v>387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0" x14ac:dyDescent="0.25">
      <c r="B4" s="59" t="s">
        <v>159</v>
      </c>
      <c r="C4" s="350" t="str" cm="1">
        <f t="array" aca="1" ref="C4" ca="1">_xll.d.TestUtils_And(E7:E10)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0" x14ac:dyDescent="0.25">
      <c r="B6" s="203" t="s">
        <v>234</v>
      </c>
      <c r="C6" s="203"/>
      <c r="D6" s="203"/>
      <c r="E6" s="204" t="s">
        <v>10</v>
      </c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0" x14ac:dyDescent="0.25">
      <c r="B7" s="457" t="s">
        <v>388</v>
      </c>
      <c r="C7" s="216"/>
      <c r="D7" s="216"/>
      <c r="E7" s="350" t="str">
        <f ca="1">C15</f>
        <v>Ok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0" x14ac:dyDescent="0.25">
      <c r="B8" s="457" t="s">
        <v>389</v>
      </c>
      <c r="C8" s="216"/>
      <c r="D8" s="216"/>
      <c r="E8" s="350" t="str">
        <f ca="1">C28</f>
        <v>Ok</v>
      </c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0" x14ac:dyDescent="0.25">
      <c r="B9" s="457" t="s">
        <v>390</v>
      </c>
      <c r="C9" s="216"/>
      <c r="D9" s="216"/>
      <c r="E9" s="350" t="str">
        <f ca="1">C44</f>
        <v>Ok</v>
      </c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0" spans="1:50" x14ac:dyDescent="0.25">
      <c r="B10" s="216" t="s">
        <v>533</v>
      </c>
      <c r="C10" s="216"/>
      <c r="D10" s="216"/>
      <c r="E10" s="350" t="str">
        <f ca="1">C95</f>
        <v>Ok</v>
      </c>
    </row>
    <row r="11" spans="1:50" s="495" customFormat="1" x14ac:dyDescent="0.25"/>
    <row r="13" spans="1:50" s="348" customFormat="1" ht="18.75" x14ac:dyDescent="0.3">
      <c r="A13"/>
      <c r="B13" s="3" t="s">
        <v>388</v>
      </c>
      <c r="C13" s="356"/>
      <c r="D13" s="356"/>
      <c r="E13" s="356"/>
      <c r="F13" s="356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B13" s="356"/>
      <c r="AC13" s="356"/>
      <c r="AD13" s="356"/>
      <c r="AE13" s="356"/>
      <c r="AF13" s="356"/>
      <c r="AG13" s="356"/>
      <c r="AH13" s="356"/>
      <c r="AI13" s="356"/>
      <c r="AJ13" s="356"/>
      <c r="AK13" s="356"/>
      <c r="AL13" s="356"/>
      <c r="AM13" s="356"/>
      <c r="AN13" s="356"/>
      <c r="AO13" s="356"/>
      <c r="AP13" s="356"/>
      <c r="AQ13" s="356"/>
      <c r="AR13" s="356"/>
      <c r="AS13" s="356"/>
      <c r="AT13" s="356"/>
      <c r="AU13" s="356"/>
      <c r="AV13" s="356"/>
      <c r="AW13" s="356"/>
      <c r="AX13" s="356"/>
    </row>
    <row r="14" spans="1:50" x14ac:dyDescent="0.25">
      <c r="AX14" s="495"/>
    </row>
    <row r="15" spans="1:50" x14ac:dyDescent="0.25">
      <c r="B15" s="59" t="s">
        <v>159</v>
      </c>
      <c r="C15" s="350" t="str" cm="1">
        <f t="array" aca="1" ref="C15" ca="1">_xll.d.TestUtils_And(L20:N22,Z20,AL20,AX20)</f>
        <v>Ok</v>
      </c>
      <c r="D15" s="348"/>
      <c r="E15" s="348"/>
      <c r="F15" s="348"/>
      <c r="G15" s="348"/>
      <c r="H15" s="348"/>
      <c r="I15" s="348"/>
      <c r="J15" s="348"/>
      <c r="K15" s="348"/>
      <c r="U15" s="495"/>
      <c r="V15" s="495"/>
      <c r="W15" s="495"/>
      <c r="Y15" s="495"/>
      <c r="Z15" s="495"/>
      <c r="AA15" s="495"/>
      <c r="AI15" s="495"/>
      <c r="AJ15" s="495"/>
      <c r="AK15" s="495"/>
      <c r="AX15" s="495"/>
    </row>
    <row r="16" spans="1:50" x14ac:dyDescent="0.25">
      <c r="B16" s="348"/>
      <c r="C16" s="348"/>
      <c r="D16" s="348"/>
      <c r="E16" s="348"/>
      <c r="F16" s="348"/>
      <c r="G16" s="348"/>
      <c r="H16" s="348"/>
      <c r="I16" s="349"/>
      <c r="J16" s="349"/>
      <c r="K16" s="349"/>
      <c r="U16" s="495"/>
      <c r="V16" s="495"/>
      <c r="W16" s="495"/>
      <c r="Y16" s="495"/>
      <c r="Z16" s="495"/>
      <c r="AA16" s="495"/>
      <c r="AI16" s="495"/>
      <c r="AJ16" s="495"/>
      <c r="AK16" s="495"/>
      <c r="AL16" s="495"/>
      <c r="AX16" s="495"/>
    </row>
    <row r="17" spans="2:51" ht="15.75" x14ac:dyDescent="0.25">
      <c r="B17" s="4" t="s">
        <v>391</v>
      </c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P17" s="4" t="s">
        <v>393</v>
      </c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B17" s="4" t="s">
        <v>394</v>
      </c>
      <c r="AC17" s="357"/>
      <c r="AD17" s="357"/>
      <c r="AE17" s="357"/>
      <c r="AF17" s="357"/>
      <c r="AG17" s="357"/>
      <c r="AH17" s="357"/>
      <c r="AI17" s="357"/>
      <c r="AJ17" s="357"/>
      <c r="AK17" s="357"/>
      <c r="AL17" s="357"/>
      <c r="AN17" s="4" t="s">
        <v>395</v>
      </c>
      <c r="AO17" s="357"/>
      <c r="AP17" s="357"/>
      <c r="AQ17" s="357"/>
      <c r="AR17" s="357"/>
      <c r="AS17" s="357"/>
      <c r="AT17" s="357"/>
      <c r="AU17" s="357"/>
      <c r="AV17" s="357"/>
      <c r="AW17" s="357"/>
      <c r="AX17" s="357"/>
    </row>
    <row r="18" spans="2:51" x14ac:dyDescent="0.25">
      <c r="B18" s="348"/>
      <c r="C18" s="348"/>
      <c r="D18" s="348"/>
      <c r="E18" s="348"/>
      <c r="F18" s="348"/>
      <c r="G18" s="348"/>
      <c r="H18" s="348"/>
      <c r="I18" s="349"/>
      <c r="J18" s="349"/>
      <c r="K18" s="349"/>
      <c r="P18" s="348"/>
      <c r="Q18" s="348"/>
      <c r="R18" s="348"/>
      <c r="S18" s="348"/>
      <c r="T18" s="348"/>
      <c r="U18" s="348"/>
      <c r="V18" s="348"/>
      <c r="W18" s="349"/>
      <c r="X18" s="349"/>
      <c r="Y18" s="349"/>
      <c r="AB18" s="348"/>
      <c r="AC18" s="348"/>
      <c r="AD18" s="348"/>
      <c r="AE18" s="348"/>
      <c r="AF18" s="348"/>
      <c r="AG18" s="348"/>
      <c r="AH18" s="348"/>
      <c r="AI18" s="348"/>
      <c r="AJ18" s="348"/>
      <c r="AK18" s="349"/>
      <c r="AN18" s="348"/>
      <c r="AO18" s="348"/>
      <c r="AP18" s="348"/>
      <c r="AQ18" s="348"/>
      <c r="AR18" s="348"/>
      <c r="AS18" s="348"/>
      <c r="AT18" s="348"/>
      <c r="AU18" s="348"/>
      <c r="AV18" s="349"/>
      <c r="AW18" s="349"/>
      <c r="AX18" s="349"/>
      <c r="AY18" s="349"/>
    </row>
    <row r="19" spans="2:51" x14ac:dyDescent="0.25">
      <c r="B19" s="134" t="s">
        <v>251</v>
      </c>
      <c r="C19" s="206"/>
      <c r="D19" s="135"/>
      <c r="F19" s="134" t="s">
        <v>133</v>
      </c>
      <c r="G19" s="134"/>
      <c r="H19" s="134"/>
      <c r="I19" s="134" t="s">
        <v>253</v>
      </c>
      <c r="J19" s="134"/>
      <c r="K19" s="134"/>
      <c r="L19" s="134" t="s">
        <v>84</v>
      </c>
      <c r="M19" s="391"/>
      <c r="N19" s="391"/>
      <c r="P19" s="134" t="s">
        <v>251</v>
      </c>
      <c r="Q19" s="206"/>
      <c r="R19" s="135"/>
      <c r="T19" s="134" t="s">
        <v>133</v>
      </c>
      <c r="U19" s="134"/>
      <c r="V19" s="134"/>
      <c r="W19" s="134" t="s">
        <v>253</v>
      </c>
      <c r="X19" s="134"/>
      <c r="Y19" s="134"/>
      <c r="Z19" s="134" t="s">
        <v>84</v>
      </c>
      <c r="AB19" s="134" t="s">
        <v>251</v>
      </c>
      <c r="AC19" s="206"/>
      <c r="AD19" s="135"/>
      <c r="AF19" s="134" t="s">
        <v>133</v>
      </c>
      <c r="AG19" s="134"/>
      <c r="AH19" s="134"/>
      <c r="AI19" s="134" t="s">
        <v>253</v>
      </c>
      <c r="AJ19" s="134"/>
      <c r="AK19" s="134"/>
      <c r="AL19" s="134" t="s">
        <v>84</v>
      </c>
      <c r="AN19" s="134" t="s">
        <v>251</v>
      </c>
      <c r="AO19" s="206"/>
      <c r="AP19" s="135"/>
      <c r="AR19" s="134" t="s">
        <v>133</v>
      </c>
      <c r="AS19" s="134"/>
      <c r="AT19" s="134"/>
      <c r="AU19" s="134" t="s">
        <v>253</v>
      </c>
      <c r="AV19" s="134"/>
      <c r="AW19" s="134"/>
      <c r="AX19" s="134" t="s">
        <v>84</v>
      </c>
    </row>
    <row r="20" spans="2:51" x14ac:dyDescent="0.25">
      <c r="B20" s="411" t="s">
        <v>392</v>
      </c>
      <c r="C20" s="412"/>
      <c r="D20" s="413"/>
      <c r="F20" s="410">
        <f t="array" aca="1" ref="F20:H22" ca="1">_xll.d.Stats_Cholesky(B21:D23)</f>
        <v>1</v>
      </c>
      <c r="G20" s="307">
        <f ca="1"/>
        <v>0.75</v>
      </c>
      <c r="H20" s="308">
        <f ca="1"/>
        <v>0.5</v>
      </c>
      <c r="I20" s="410">
        <v>1</v>
      </c>
      <c r="J20" s="307">
        <v>0.75</v>
      </c>
      <c r="K20" s="308">
        <v>0.5</v>
      </c>
      <c r="L20" s="360" t="str" cm="1">
        <f t="array" aca="1" ref="L20" ca="1">_xll.d.TestUtils_Equal(F20,I20)</f>
        <v>Ok</v>
      </c>
      <c r="M20" s="360" t="str" cm="1">
        <f t="array" aca="1" ref="M20" ca="1">_xll.d.TestUtils_Equal(G20,J20)</f>
        <v>Ok</v>
      </c>
      <c r="N20" s="360" t="str" cm="1">
        <f t="array" aca="1" ref="N20" ca="1">_xll.d.TestUtils_Equal(H20,K20)</f>
        <v>Ok</v>
      </c>
      <c r="P20" s="411" t="s">
        <v>392</v>
      </c>
      <c r="Q20" s="412"/>
      <c r="R20" s="413"/>
      <c r="T20" s="611" t="str" cm="1">
        <f t="array" aca="1" ref="T20" ca="1">_xll.d.Stats_Cholesky(P21:R22)</f>
        <v>#∂Excel Error: Matrix is not square.</v>
      </c>
      <c r="U20" s="613"/>
      <c r="V20" s="613"/>
      <c r="W20" s="613" t="s">
        <v>505</v>
      </c>
      <c r="X20" s="613"/>
      <c r="Y20" s="613"/>
      <c r="Z20" s="360" t="str" cm="1">
        <f t="array" aca="1" ref="Z20" ca="1">_xll.d.TestUtils_Equal(T20,W20)</f>
        <v>Ok</v>
      </c>
      <c r="AB20" s="411" t="s">
        <v>392</v>
      </c>
      <c r="AC20" s="412"/>
      <c r="AD20" s="413"/>
      <c r="AF20" s="614" t="str" cm="1">
        <f t="array" aca="1" ref="AF20" ca="1">_xll.d.Stats_Cholesky(AB21:AD23)</f>
        <v>#∂Excel Error: Matrix is not symmetric.</v>
      </c>
      <c r="AG20" s="615"/>
      <c r="AH20" s="615"/>
      <c r="AI20" s="617" t="s">
        <v>506</v>
      </c>
      <c r="AJ20" s="615"/>
      <c r="AK20" s="616"/>
      <c r="AL20" s="360" t="str" cm="1">
        <f t="array" aca="1" ref="AL20" ca="1">_xll.d.TestUtils_Equal(AF20,AI20)</f>
        <v>Ok</v>
      </c>
      <c r="AN20" s="411" t="s">
        <v>392</v>
      </c>
      <c r="AO20" s="412"/>
      <c r="AP20" s="413"/>
      <c r="AR20" s="614" t="str" cm="1">
        <f t="array" aca="1" ref="AR20" ca="1">_xll.d.Stats_Cholesky(AN21:AP23)</f>
        <v>#∂Excel Error: Matrix is not positive-definite.</v>
      </c>
      <c r="AS20" s="615"/>
      <c r="AT20" s="615"/>
      <c r="AU20" s="615" t="s">
        <v>507</v>
      </c>
      <c r="AV20" s="616"/>
      <c r="AW20" s="612"/>
      <c r="AX20" s="360" t="str" cm="1">
        <f t="array" aca="1" ref="AX20" ca="1">_xll.d.TestUtils_Equal(AR20,AU20)</f>
        <v>Ok</v>
      </c>
    </row>
    <row r="21" spans="2:51" x14ac:dyDescent="0.25">
      <c r="B21" s="410">
        <v>1</v>
      </c>
      <c r="C21" s="307">
        <v>0.75</v>
      </c>
      <c r="D21" s="308">
        <v>0.5</v>
      </c>
      <c r="E21" s="348"/>
      <c r="F21" s="417">
        <f ca="1"/>
        <v>0</v>
      </c>
      <c r="G21" s="418">
        <f ca="1"/>
        <v>0.66143782776614768</v>
      </c>
      <c r="H21" s="419">
        <f ca="1"/>
        <v>0.56694670951384085</v>
      </c>
      <c r="I21" s="417">
        <v>0</v>
      </c>
      <c r="J21" s="418">
        <v>0.66143782776614768</v>
      </c>
      <c r="K21" s="419">
        <v>0.56694670951384085</v>
      </c>
      <c r="L21" s="360" t="str" cm="1">
        <f t="array" aca="1" ref="L21" ca="1">_xll.d.TestUtils_Equal(F21,I21)</f>
        <v>Ok</v>
      </c>
      <c r="M21" s="360" t="str" cm="1">
        <f t="array" aca="1" ref="M21" ca="1">_xll.d.TestUtils_Equal(G21,J21)</f>
        <v>Ok</v>
      </c>
      <c r="N21" s="360" t="str" cm="1">
        <f t="array" aca="1" ref="N21" ca="1">_xll.d.TestUtils_Equal(H21,K21)</f>
        <v>Ok</v>
      </c>
      <c r="P21" s="410">
        <v>1</v>
      </c>
      <c r="Q21" s="307">
        <v>0.75</v>
      </c>
      <c r="R21" s="308">
        <v>0.5</v>
      </c>
      <c r="S21" s="348"/>
      <c r="U21" s="495"/>
      <c r="V21" s="495"/>
      <c r="X21" s="495"/>
      <c r="Y21" s="495"/>
      <c r="AB21" s="410">
        <v>1</v>
      </c>
      <c r="AC21" s="307">
        <v>0.75</v>
      </c>
      <c r="AD21" s="308">
        <v>10</v>
      </c>
      <c r="AE21" s="348"/>
      <c r="AG21" s="495"/>
      <c r="AH21" s="495"/>
      <c r="AI21" s="495"/>
      <c r="AJ21" s="495"/>
      <c r="AN21" s="410">
        <v>1</v>
      </c>
      <c r="AO21" s="307">
        <v>2</v>
      </c>
      <c r="AP21" s="308">
        <v>3</v>
      </c>
      <c r="AQ21" s="348"/>
      <c r="AS21" s="495"/>
      <c r="AT21" s="495"/>
      <c r="AV21" s="495"/>
      <c r="AW21" s="495"/>
    </row>
    <row r="22" spans="2:51" x14ac:dyDescent="0.25">
      <c r="B22" s="417">
        <v>0.75</v>
      </c>
      <c r="C22" s="418">
        <v>1</v>
      </c>
      <c r="D22" s="419">
        <v>0.75</v>
      </c>
      <c r="E22" s="348"/>
      <c r="F22" s="414">
        <f ca="1"/>
        <v>0</v>
      </c>
      <c r="G22" s="415">
        <f ca="1"/>
        <v>0</v>
      </c>
      <c r="H22" s="416">
        <f ca="1"/>
        <v>0.65465367070797709</v>
      </c>
      <c r="I22" s="414">
        <v>0</v>
      </c>
      <c r="J22" s="415">
        <v>0</v>
      </c>
      <c r="K22" s="416">
        <v>0.65465367070797709</v>
      </c>
      <c r="L22" s="360" t="str" cm="1">
        <f t="array" aca="1" ref="L22" ca="1">_xll.d.TestUtils_Equal(F22,I22)</f>
        <v>Ok</v>
      </c>
      <c r="M22" s="360" t="str" cm="1">
        <f t="array" aca="1" ref="M22" ca="1">_xll.d.TestUtils_Equal(G22,J22)</f>
        <v>Ok</v>
      </c>
      <c r="N22" s="360" t="str" cm="1">
        <f t="array" aca="1" ref="N22" ca="1">_xll.d.TestUtils_Equal(H22,K22)</f>
        <v>Ok</v>
      </c>
      <c r="P22" s="414">
        <v>0.75</v>
      </c>
      <c r="Q22" s="415">
        <v>1</v>
      </c>
      <c r="R22" s="416">
        <v>0.75</v>
      </c>
      <c r="S22" s="348"/>
      <c r="U22" s="495"/>
      <c r="V22" s="495"/>
      <c r="X22" s="495"/>
      <c r="Y22" s="495"/>
      <c r="AB22" s="417">
        <v>0.75</v>
      </c>
      <c r="AC22" s="418">
        <v>1</v>
      </c>
      <c r="AD22" s="419">
        <v>0.75</v>
      </c>
      <c r="AE22" s="348"/>
      <c r="AG22" s="495"/>
      <c r="AH22" s="495"/>
      <c r="AI22" s="495"/>
      <c r="AJ22" s="495"/>
      <c r="AN22" s="417">
        <v>2</v>
      </c>
      <c r="AO22" s="418">
        <v>3</v>
      </c>
      <c r="AP22" s="419">
        <v>4</v>
      </c>
      <c r="AQ22" s="348"/>
      <c r="AS22" s="495"/>
      <c r="AT22" s="495"/>
      <c r="AU22" s="495"/>
      <c r="AW22" s="495"/>
      <c r="AX22" s="495"/>
      <c r="AY22" s="495"/>
    </row>
    <row r="23" spans="2:51" x14ac:dyDescent="0.25">
      <c r="B23" s="414">
        <v>0.5</v>
      </c>
      <c r="C23" s="415">
        <v>0.75</v>
      </c>
      <c r="D23" s="416">
        <v>1</v>
      </c>
      <c r="U23" s="495"/>
      <c r="V23" s="495"/>
      <c r="X23" s="495"/>
      <c r="Y23" s="495"/>
      <c r="AB23" s="414">
        <v>0.5</v>
      </c>
      <c r="AC23" s="415">
        <v>0.75</v>
      </c>
      <c r="AD23" s="416">
        <v>1</v>
      </c>
      <c r="AG23" s="495"/>
      <c r="AH23" s="495"/>
      <c r="AI23" s="495"/>
      <c r="AJ23" s="495"/>
      <c r="AN23" s="414">
        <v>3</v>
      </c>
      <c r="AO23" s="415">
        <v>4</v>
      </c>
      <c r="AP23" s="416">
        <v>5</v>
      </c>
      <c r="AS23" s="495"/>
      <c r="AT23" s="495"/>
      <c r="AU23" s="495"/>
      <c r="AW23" s="495"/>
      <c r="AX23" s="495"/>
      <c r="AY23" s="495"/>
    </row>
    <row r="24" spans="2:51" x14ac:dyDescent="0.25">
      <c r="U24" s="495"/>
      <c r="V24" s="495"/>
      <c r="W24" s="495"/>
      <c r="Y24" s="495"/>
      <c r="Z24" s="495"/>
      <c r="AH24" s="495"/>
      <c r="AI24" s="495"/>
      <c r="AJ24" s="495"/>
      <c r="AK24" s="495"/>
      <c r="AS24" s="495"/>
      <c r="AT24" s="495"/>
      <c r="AU24" s="495"/>
      <c r="AW24" s="495"/>
      <c r="AX24" s="495"/>
      <c r="AY24" s="495"/>
    </row>
    <row r="25" spans="2:51" x14ac:dyDescent="0.25">
      <c r="U25" s="495"/>
      <c r="V25" s="495"/>
      <c r="W25" s="495"/>
      <c r="Y25" s="495"/>
      <c r="Z25" s="495"/>
      <c r="AA25" s="495"/>
      <c r="AI25" s="495"/>
      <c r="AJ25" s="495"/>
      <c r="AL25" s="495"/>
      <c r="AS25" s="495"/>
      <c r="AT25" s="495"/>
      <c r="AU25" s="495"/>
      <c r="AW25" s="495"/>
      <c r="AX25" s="495"/>
      <c r="AY25" s="495"/>
    </row>
    <row r="26" spans="2:51" ht="18.75" x14ac:dyDescent="0.3">
      <c r="B26" s="3" t="s">
        <v>389</v>
      </c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B26" s="356"/>
      <c r="AC26" s="356"/>
      <c r="AD26" s="356"/>
      <c r="AE26" s="356"/>
      <c r="AF26" s="356"/>
      <c r="AG26" s="356"/>
      <c r="AH26" s="356"/>
      <c r="AI26" s="356"/>
      <c r="AJ26" s="356"/>
      <c r="AK26" s="356"/>
      <c r="AL26" s="356"/>
      <c r="AS26" s="495"/>
      <c r="AT26" s="495"/>
      <c r="AU26" s="495"/>
    </row>
    <row r="28" spans="2:51" x14ac:dyDescent="0.25">
      <c r="B28" s="59" t="s">
        <v>159</v>
      </c>
      <c r="C28" s="350" t="str" cm="1">
        <f t="array" aca="1" ref="C28" ca="1">_xll.d.TestUtils_And(L34:M35,AB34:AD36)</f>
        <v>Ok</v>
      </c>
      <c r="D28" s="348"/>
      <c r="E28" s="348"/>
      <c r="F28" s="348"/>
      <c r="G28" s="348"/>
      <c r="H28" s="348"/>
      <c r="I28" s="348"/>
      <c r="J28" s="348"/>
      <c r="K28" s="348"/>
    </row>
    <row r="29" spans="2:51" x14ac:dyDescent="0.25">
      <c r="B29" s="348"/>
      <c r="C29" s="348"/>
      <c r="D29" s="348"/>
      <c r="E29" s="348"/>
      <c r="F29" s="348"/>
      <c r="G29" s="348"/>
      <c r="H29" s="348"/>
      <c r="I29" s="349"/>
      <c r="J29" s="349"/>
      <c r="K29" s="349"/>
    </row>
    <row r="30" spans="2:51" ht="15.75" x14ac:dyDescent="0.25">
      <c r="B30" s="4" t="s">
        <v>396</v>
      </c>
      <c r="C30" s="357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O30" s="4" t="s">
        <v>398</v>
      </c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</row>
    <row r="31" spans="2:51" x14ac:dyDescent="0.25">
      <c r="B31" s="348"/>
      <c r="C31" s="348"/>
      <c r="D31" s="348"/>
      <c r="E31" s="348"/>
      <c r="F31" s="348"/>
      <c r="G31" s="348"/>
      <c r="H31" s="348"/>
      <c r="I31" s="349"/>
      <c r="J31" s="349"/>
      <c r="K31" s="349"/>
      <c r="O31" s="348"/>
      <c r="P31" s="348"/>
      <c r="Q31" s="348"/>
      <c r="R31" s="348"/>
      <c r="S31" s="348"/>
      <c r="T31" s="348"/>
      <c r="U31" s="348"/>
      <c r="V31" s="349"/>
      <c r="W31" s="349"/>
      <c r="X31" s="349"/>
    </row>
    <row r="32" spans="2:51" x14ac:dyDescent="0.25">
      <c r="B32" s="134" t="s">
        <v>251</v>
      </c>
      <c r="C32" s="206"/>
      <c r="E32" s="134" t="s">
        <v>133</v>
      </c>
      <c r="F32" s="134"/>
      <c r="G32" s="134"/>
      <c r="H32" s="134" t="s">
        <v>253</v>
      </c>
      <c r="I32" s="134"/>
      <c r="J32" s="134"/>
      <c r="K32" s="134" t="s">
        <v>84</v>
      </c>
      <c r="L32" s="391"/>
      <c r="M32" s="391"/>
      <c r="O32" s="134" t="s">
        <v>251</v>
      </c>
      <c r="P32" s="206"/>
      <c r="Q32" s="391"/>
      <c r="S32" s="134" t="s">
        <v>133</v>
      </c>
      <c r="T32" s="134"/>
      <c r="U32" s="134"/>
      <c r="V32" s="134"/>
      <c r="W32" s="134" t="s">
        <v>253</v>
      </c>
      <c r="X32" s="134"/>
      <c r="Y32" s="134"/>
      <c r="Z32" s="134"/>
      <c r="AA32" s="134" t="s">
        <v>84</v>
      </c>
      <c r="AB32" s="391"/>
      <c r="AC32" s="391"/>
      <c r="AD32" s="391"/>
    </row>
    <row r="33" spans="2:31" x14ac:dyDescent="0.25">
      <c r="B33" s="420" t="s">
        <v>377</v>
      </c>
      <c r="C33" s="421" t="s">
        <v>376</v>
      </c>
      <c r="E33" s="435"/>
      <c r="F33" s="433" t="s">
        <v>377</v>
      </c>
      <c r="G33" s="346" t="s">
        <v>376</v>
      </c>
      <c r="H33" s="435"/>
      <c r="I33" s="433" t="s">
        <v>377</v>
      </c>
      <c r="J33" s="346" t="s">
        <v>376</v>
      </c>
      <c r="K33" s="435"/>
      <c r="L33" s="433" t="s">
        <v>377</v>
      </c>
      <c r="M33" s="346" t="s">
        <v>376</v>
      </c>
      <c r="O33" s="420" t="s">
        <v>377</v>
      </c>
      <c r="P33" s="443" t="s">
        <v>376</v>
      </c>
      <c r="Q33" s="442" t="s">
        <v>397</v>
      </c>
      <c r="S33" s="435"/>
      <c r="T33" s="433" t="s">
        <v>377</v>
      </c>
      <c r="U33" s="446" t="s">
        <v>376</v>
      </c>
      <c r="V33" s="444" t="s">
        <v>397</v>
      </c>
      <c r="W33" s="435"/>
      <c r="X33" s="433" t="s">
        <v>377</v>
      </c>
      <c r="Y33" s="446" t="s">
        <v>376</v>
      </c>
      <c r="Z33" s="444" t="s">
        <v>397</v>
      </c>
      <c r="AA33" s="435"/>
      <c r="AB33" s="433" t="s">
        <v>377</v>
      </c>
      <c r="AC33" s="446" t="s">
        <v>376</v>
      </c>
      <c r="AD33" s="444" t="s">
        <v>397</v>
      </c>
    </row>
    <row r="34" spans="2:31" x14ac:dyDescent="0.25">
      <c r="B34" s="422">
        <v>1</v>
      </c>
      <c r="C34" s="423">
        <v>0.5</v>
      </c>
      <c r="D34" s="348"/>
      <c r="E34" s="434" t="s">
        <v>377</v>
      </c>
      <c r="F34" s="429" cm="1">
        <f t="array" aca="1" ref="F34:G35" ca="1">_xll.d.Stats_CorrelationMatrix(B34:C39)</f>
        <v>1</v>
      </c>
      <c r="G34" s="428">
        <f ca="1"/>
        <v>0.9855793842654561</v>
      </c>
      <c r="H34" s="434" t="s">
        <v>377</v>
      </c>
      <c r="I34" s="429">
        <f ca="1">CORREL(B34:B39,B34:B39)</f>
        <v>1</v>
      </c>
      <c r="J34" s="428">
        <f ca="1">CORREL(B34:B39,C34:C39)</f>
        <v>0.98557938426545633</v>
      </c>
      <c r="K34" s="434" t="s">
        <v>377</v>
      </c>
      <c r="L34" s="360" t="str" cm="1">
        <f t="array" aca="1" ref="L34" ca="1">_xll.d.TestUtils_Equal(F34,I34)</f>
        <v>Ok</v>
      </c>
      <c r="M34" s="360" t="str" cm="1">
        <f t="array" aca="1" ref="M34" ca="1">_xll.d.TestUtils_Equal(G34,J34)</f>
        <v>Ok</v>
      </c>
      <c r="O34" s="422">
        <v>1</v>
      </c>
      <c r="P34" s="439">
        <v>0.5</v>
      </c>
      <c r="Q34" s="436">
        <v>6.5</v>
      </c>
      <c r="R34" s="348"/>
      <c r="S34" s="434" t="s">
        <v>377</v>
      </c>
      <c r="T34" s="429" cm="1">
        <f t="array" aca="1" ref="T34:V36" ca="1">_xll.d.Stats_CorrelationMatrix(O34:Q39)</f>
        <v>1</v>
      </c>
      <c r="U34" s="448">
        <f ca="1"/>
        <v>0.9855793842654561</v>
      </c>
      <c r="V34" s="447">
        <f ca="1"/>
        <v>-0.96679334300694564</v>
      </c>
      <c r="W34" s="434" t="s">
        <v>377</v>
      </c>
      <c r="X34" s="429">
        <f ca="1">CORREL($O$34:$O$39,O$34:O$39)</f>
        <v>1</v>
      </c>
      <c r="Y34" s="448">
        <f ca="1">CORREL($O$34:$O$39,P$34:P$39)</f>
        <v>0.98557938426545633</v>
      </c>
      <c r="Z34" s="447">
        <f ca="1">CORREL($O$34:$O$39,Q$34:Q$39)</f>
        <v>-0.96679334300694575</v>
      </c>
      <c r="AA34" s="434" t="s">
        <v>377</v>
      </c>
      <c r="AB34" s="360" t="str" cm="1">
        <f t="array" aca="1" ref="AB34" ca="1">_xll.d.TestUtils_Equal(T34,X34)</f>
        <v>Ok</v>
      </c>
      <c r="AC34" s="360" t="str" cm="1">
        <f t="array" aca="1" ref="AC34" ca="1">_xll.d.TestUtils_Equal(U34,Y34)</f>
        <v>Ok</v>
      </c>
      <c r="AD34" s="360" t="str" cm="1">
        <f t="array" aca="1" ref="AD34" ca="1">_xll.d.TestUtils_Equal(V34,Z34)</f>
        <v>Ok</v>
      </c>
    </row>
    <row r="35" spans="2:31" x14ac:dyDescent="0.25">
      <c r="B35" s="424">
        <v>2</v>
      </c>
      <c r="C35" s="425">
        <v>2.2000000000000002</v>
      </c>
      <c r="D35" s="348"/>
      <c r="E35" s="335" t="s">
        <v>376</v>
      </c>
      <c r="F35" s="430">
        <f ca="1"/>
        <v>0.9855793842654561</v>
      </c>
      <c r="G35" s="416">
        <f ca="1"/>
        <v>1</v>
      </c>
      <c r="H35" s="335" t="s">
        <v>376</v>
      </c>
      <c r="I35" s="430">
        <f ca="1">CORREL(B34:B39,C34:C39)</f>
        <v>0.98557938426545633</v>
      </c>
      <c r="J35" s="416">
        <f ca="1">CORREL(C34:C39,C34:C39)</f>
        <v>1.0000000000000002</v>
      </c>
      <c r="K35" s="335" t="s">
        <v>376</v>
      </c>
      <c r="L35" s="360" t="str" cm="1">
        <f t="array" aca="1" ref="L35" ca="1">_xll.d.TestUtils_Equal(F35,I35)</f>
        <v>Ok</v>
      </c>
      <c r="M35" s="360" t="str" cm="1">
        <f t="array" aca="1" ref="M35" ca="1">_xll.d.TestUtils_Equal(G35,J35)</f>
        <v>Ok</v>
      </c>
      <c r="O35" s="424">
        <v>2</v>
      </c>
      <c r="P35" s="440">
        <v>2.2000000000000002</v>
      </c>
      <c r="Q35" s="437">
        <v>5.2</v>
      </c>
      <c r="R35" s="348"/>
      <c r="S35" s="431" t="s">
        <v>376</v>
      </c>
      <c r="T35" s="449">
        <f ca="1"/>
        <v>0.9855793842654561</v>
      </c>
      <c r="U35" s="451">
        <f ca="1"/>
        <v>1</v>
      </c>
      <c r="V35" s="452">
        <f ca="1"/>
        <v>-0.9461544177169412</v>
      </c>
      <c r="W35" s="431" t="s">
        <v>376</v>
      </c>
      <c r="X35" s="449">
        <f ca="1">CORREL(O$34:O$39,$P$34:$P$39)</f>
        <v>0.98557938426545633</v>
      </c>
      <c r="Y35" s="451">
        <f ca="1">CORREL(P$34:P$39,$P$34:$P$39)</f>
        <v>1.0000000000000002</v>
      </c>
      <c r="Z35" s="452">
        <f ca="1">CORREL(Q$34:Q$39,$P$34:$P$39)</f>
        <v>-0.94615441771694131</v>
      </c>
      <c r="AA35" s="431" t="s">
        <v>376</v>
      </c>
      <c r="AB35" s="360" t="str" cm="1">
        <f t="array" aca="1" ref="AB35" ca="1">_xll.d.TestUtils_Equal(T35,X35)</f>
        <v>Ok</v>
      </c>
      <c r="AC35" s="360" t="str" cm="1">
        <f t="array" aca="1" ref="AC35" ca="1">_xll.d.TestUtils_Equal(U35,Y35)</f>
        <v>Ok</v>
      </c>
      <c r="AD35" s="360" t="str" cm="1">
        <f t="array" aca="1" ref="AD35" ca="1">_xll.d.TestUtils_Equal(V35,Z35)</f>
        <v>Ok</v>
      </c>
    </row>
    <row r="36" spans="2:31" x14ac:dyDescent="0.25">
      <c r="B36" s="424">
        <v>3</v>
      </c>
      <c r="C36" s="425">
        <v>2.9</v>
      </c>
      <c r="O36" s="424">
        <v>3</v>
      </c>
      <c r="P36" s="440">
        <v>2.9</v>
      </c>
      <c r="Q36" s="437">
        <v>4.9000000000000004</v>
      </c>
      <c r="S36" s="432" t="s">
        <v>397</v>
      </c>
      <c r="T36" s="430">
        <f ca="1"/>
        <v>-0.96679334300694564</v>
      </c>
      <c r="U36" s="450">
        <f ca="1"/>
        <v>-0.9461544177169412</v>
      </c>
      <c r="V36" s="445">
        <f ca="1"/>
        <v>1</v>
      </c>
      <c r="W36" s="432" t="s">
        <v>397</v>
      </c>
      <c r="X36" s="430">
        <f ca="1">CORREL(O$34:O$39,$Q$34:$Q$39)</f>
        <v>-0.96679334300694575</v>
      </c>
      <c r="Y36" s="450">
        <f ca="1">CORREL(P$34:P$39,$Q$34:$Q$39)</f>
        <v>-0.94615441771694131</v>
      </c>
      <c r="Z36" s="445">
        <f ca="1">CORREL(Q$34:Q$39,$Q$34:$Q$39)</f>
        <v>0.99999999999999978</v>
      </c>
      <c r="AA36" s="432" t="s">
        <v>397</v>
      </c>
      <c r="AB36" s="360" t="str" cm="1">
        <f t="array" aca="1" ref="AB36" ca="1">_xll.d.TestUtils_Equal(T36,X36)</f>
        <v>Ok</v>
      </c>
      <c r="AC36" s="360" t="str" cm="1">
        <f t="array" aca="1" ref="AC36" ca="1">_xll.d.TestUtils_Equal(U36,Y36)</f>
        <v>Ok</v>
      </c>
      <c r="AD36" s="360" t="str" cm="1">
        <f t="array" aca="1" ref="AD36" ca="1">_xll.d.TestUtils_Equal(V36,Z36)</f>
        <v>Ok</v>
      </c>
    </row>
    <row r="37" spans="2:31" x14ac:dyDescent="0.25">
      <c r="B37" s="424">
        <v>4</v>
      </c>
      <c r="C37" s="425">
        <v>4.2</v>
      </c>
      <c r="O37" s="424">
        <v>4</v>
      </c>
      <c r="P37" s="440">
        <v>4.2</v>
      </c>
      <c r="Q37" s="437">
        <v>4</v>
      </c>
    </row>
    <row r="38" spans="2:31" x14ac:dyDescent="0.25">
      <c r="B38" s="424">
        <v>5</v>
      </c>
      <c r="C38" s="425">
        <v>5</v>
      </c>
      <c r="O38" s="424">
        <v>5</v>
      </c>
      <c r="P38" s="440">
        <v>5</v>
      </c>
      <c r="Q38" s="437">
        <v>3.8</v>
      </c>
    </row>
    <row r="39" spans="2:31" x14ac:dyDescent="0.25">
      <c r="B39" s="426">
        <v>6</v>
      </c>
      <c r="C39" s="427">
        <v>5.5</v>
      </c>
      <c r="O39" s="426">
        <v>6</v>
      </c>
      <c r="P39" s="441">
        <v>5.5</v>
      </c>
      <c r="Q39" s="438">
        <v>1.9</v>
      </c>
    </row>
    <row r="42" spans="2:31" ht="18.75" x14ac:dyDescent="0.3">
      <c r="B42" s="3" t="s">
        <v>390</v>
      </c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56"/>
      <c r="AC42" s="356"/>
      <c r="AD42" s="356"/>
      <c r="AE42" s="356"/>
    </row>
    <row r="44" spans="2:31" x14ac:dyDescent="0.25">
      <c r="B44" s="59" t="s">
        <v>159</v>
      </c>
      <c r="C44" s="350" t="str" cm="1">
        <f t="array" aca="1" ref="C44" ca="1">_xll.d.TestUtils_And(J53:K53,S53:T53,AD53:AE53)</f>
        <v>Ok</v>
      </c>
      <c r="D44" s="348"/>
      <c r="E44" s="348"/>
      <c r="F44" s="348"/>
      <c r="G44" s="348"/>
      <c r="H44" s="348"/>
      <c r="I44" s="348"/>
      <c r="J44" s="348"/>
      <c r="K44" s="348"/>
    </row>
    <row r="45" spans="2:31" x14ac:dyDescent="0.25">
      <c r="B45" s="348"/>
      <c r="C45" s="348"/>
      <c r="D45" s="348"/>
      <c r="E45" s="348"/>
      <c r="F45" s="348"/>
      <c r="G45" s="348"/>
      <c r="H45" s="348"/>
      <c r="I45" s="349"/>
      <c r="J45" s="349"/>
      <c r="K45" s="349"/>
    </row>
    <row r="46" spans="2:31" ht="15.75" x14ac:dyDescent="0.25">
      <c r="B46" s="4" t="s">
        <v>402</v>
      </c>
      <c r="C46" s="357"/>
      <c r="D46" s="357"/>
      <c r="E46" s="357"/>
      <c r="F46" s="357"/>
      <c r="G46" s="357"/>
      <c r="H46" s="357"/>
      <c r="I46" s="357"/>
      <c r="J46" s="357"/>
      <c r="K46" s="357"/>
      <c r="M46" s="4" t="s">
        <v>403</v>
      </c>
      <c r="N46" s="357"/>
      <c r="O46" s="357"/>
      <c r="P46" s="357"/>
      <c r="Q46" s="357"/>
      <c r="R46" s="357"/>
      <c r="S46" s="357"/>
      <c r="T46" s="357"/>
      <c r="V46" s="4" t="s">
        <v>521</v>
      </c>
      <c r="W46" s="357"/>
      <c r="X46" s="357"/>
      <c r="Y46" s="357"/>
      <c r="Z46" s="357"/>
      <c r="AA46" s="357"/>
      <c r="AB46" s="357"/>
      <c r="AC46" s="357"/>
      <c r="AD46" s="357"/>
      <c r="AE46" s="357"/>
    </row>
    <row r="47" spans="2:31" x14ac:dyDescent="0.25">
      <c r="B47" s="545" t="s">
        <v>526</v>
      </c>
      <c r="V47" s="545" t="s">
        <v>525</v>
      </c>
      <c r="W47" s="495"/>
      <c r="X47" s="495"/>
      <c r="Y47" s="495"/>
      <c r="Z47" s="495"/>
      <c r="AA47" s="495"/>
      <c r="AB47" s="495"/>
      <c r="AC47" s="495"/>
      <c r="AD47" s="495"/>
      <c r="AE47" s="495"/>
    </row>
    <row r="48" spans="2:31" s="495" customFormat="1" x14ac:dyDescent="0.25">
      <c r="B48" s="545" t="s">
        <v>523</v>
      </c>
      <c r="V48" s="545" t="s">
        <v>524</v>
      </c>
    </row>
    <row r="49" spans="2:31" x14ac:dyDescent="0.25">
      <c r="B49" s="453" t="s">
        <v>251</v>
      </c>
      <c r="D49" s="134" t="s">
        <v>133</v>
      </c>
      <c r="E49" s="206"/>
      <c r="F49" s="206"/>
      <c r="G49" s="206"/>
      <c r="H49" s="135"/>
      <c r="J49" s="134" t="s">
        <v>400</v>
      </c>
      <c r="K49" s="135" t="s">
        <v>401</v>
      </c>
      <c r="M49" s="134" t="s">
        <v>133</v>
      </c>
      <c r="N49" s="206"/>
      <c r="O49" s="206"/>
      <c r="P49" s="206"/>
      <c r="Q49" s="135"/>
      <c r="S49" s="134" t="s">
        <v>400</v>
      </c>
      <c r="T49" s="135" t="s">
        <v>401</v>
      </c>
      <c r="V49" s="453" t="s">
        <v>251</v>
      </c>
      <c r="W49" s="495"/>
      <c r="X49" s="134" t="s">
        <v>133</v>
      </c>
      <c r="Y49" s="206"/>
      <c r="Z49" s="206"/>
      <c r="AA49" s="206"/>
      <c r="AB49" s="135"/>
      <c r="AC49" s="495"/>
      <c r="AD49" s="134" t="s">
        <v>400</v>
      </c>
      <c r="AE49" s="135" t="s">
        <v>401</v>
      </c>
    </row>
    <row r="50" spans="2:31" x14ac:dyDescent="0.25">
      <c r="B50" s="454" t="s">
        <v>399</v>
      </c>
      <c r="D50" s="136">
        <f t="array" aca="1" ref="D50:H89" ca="1">_xll.d.Stats_NormalRandomNumbers(B51)</f>
        <v>-0.63711590014289476</v>
      </c>
      <c r="E50" s="370">
        <f ca="1"/>
        <v>0.70685522048944815</v>
      </c>
      <c r="F50" s="370">
        <f ca="1"/>
        <v>-0.31907668375768672</v>
      </c>
      <c r="G50" s="370">
        <f ca="1"/>
        <v>-0.40991003456258013</v>
      </c>
      <c r="H50" s="137">
        <f ca="1"/>
        <v>0.59461000541069997</v>
      </c>
      <c r="J50" s="455">
        <f ca="1">AVERAGE(D50:H89)</f>
        <v>9.2097931892436341E-2</v>
      </c>
      <c r="K50" s="388">
        <f ca="1">_xlfn.STDEV.S(D50:H89)</f>
        <v>0.96390177576967329</v>
      </c>
      <c r="M50" s="136">
        <f t="array" aca="1" ref="M50:Q89" ca="1">_xll.d.Stats_NormalRandomNumbers()</f>
        <v>0.12266422347557041</v>
      </c>
      <c r="N50" s="370">
        <f ca="1"/>
        <v>2.0260143493047735</v>
      </c>
      <c r="O50" s="370">
        <f ca="1"/>
        <v>-0.3597744598482463</v>
      </c>
      <c r="P50" s="370">
        <f ca="1"/>
        <v>-0.99870179068510367</v>
      </c>
      <c r="Q50" s="137">
        <f ca="1"/>
        <v>-0.47334600318902004</v>
      </c>
      <c r="S50" s="455">
        <f ca="1">AVERAGE(M50:Q89)</f>
        <v>4.7218542374995965E-3</v>
      </c>
      <c r="T50" s="388">
        <f ca="1">_xlfn.STDEV.S(M50:Q89)</f>
        <v>0.98785286456205679</v>
      </c>
      <c r="V50" s="454" t="s">
        <v>399</v>
      </c>
      <c r="W50" s="495"/>
      <c r="X50" s="136" cm="1">
        <f t="array" aca="1" ref="X50:AB89" ca="1">_xll.d.Stats_NormalRandomNumbers(V51,40,5)</f>
        <v>-0.63711590014289476</v>
      </c>
      <c r="Y50" s="370">
        <f ca="1"/>
        <v>0.70685522048944815</v>
      </c>
      <c r="Z50" s="370">
        <f ca="1"/>
        <v>-0.31907668375768672</v>
      </c>
      <c r="AA50" s="370">
        <f ca="1"/>
        <v>-0.40991003456258013</v>
      </c>
      <c r="AB50" s="137">
        <f ca="1"/>
        <v>0.59461000541069997</v>
      </c>
      <c r="AC50" s="495"/>
      <c r="AD50" s="455">
        <f ca="1">AVERAGE(X50:AB89)</f>
        <v>9.2097931892436341E-2</v>
      </c>
      <c r="AE50" s="388">
        <f ca="1">_xlfn.STDEV.S(X50:AB89)</f>
        <v>0.96390177576967329</v>
      </c>
    </row>
    <row r="51" spans="2:31" x14ac:dyDescent="0.25">
      <c r="B51" s="456">
        <v>1337</v>
      </c>
      <c r="D51" s="138">
        <f ca="1"/>
        <v>0.15231246463563991</v>
      </c>
      <c r="E51" s="306">
        <f ca="1"/>
        <v>-0.33198021492010854</v>
      </c>
      <c r="F51" s="306">
        <f ca="1"/>
        <v>0.33468800840166441</v>
      </c>
      <c r="G51" s="306">
        <f ca="1"/>
        <v>2.1988514227094039E-2</v>
      </c>
      <c r="H51" s="139">
        <f ca="1"/>
        <v>-1.570800215687598</v>
      </c>
      <c r="M51" s="138">
        <f ca="1"/>
        <v>0.23486854106592239</v>
      </c>
      <c r="N51" s="306">
        <f ca="1"/>
        <v>-6.6203161185735923E-2</v>
      </c>
      <c r="O51" s="306">
        <f ca="1"/>
        <v>0.2873124687136604</v>
      </c>
      <c r="P51" s="306">
        <f ca="1"/>
        <v>-0.41790683497977721</v>
      </c>
      <c r="Q51" s="139">
        <f ca="1"/>
        <v>1.1773691096913981</v>
      </c>
      <c r="V51" s="456">
        <v>1337</v>
      </c>
      <c r="W51" s="495"/>
      <c r="X51" s="138">
        <f ca="1"/>
        <v>0.15231246463563991</v>
      </c>
      <c r="Y51" s="306">
        <f ca="1"/>
        <v>-0.33198021492010854</v>
      </c>
      <c r="Z51" s="306">
        <f ca="1"/>
        <v>0.33468800840166441</v>
      </c>
      <c r="AA51" s="306">
        <f ca="1"/>
        <v>2.1988514227094039E-2</v>
      </c>
      <c r="AB51" s="139">
        <f ca="1"/>
        <v>-1.570800215687598</v>
      </c>
      <c r="AC51" s="495"/>
      <c r="AD51" s="495"/>
      <c r="AE51" s="495"/>
    </row>
    <row r="52" spans="2:31" x14ac:dyDescent="0.25">
      <c r="D52" s="138">
        <f ca="1"/>
        <v>-0.9998813019474484</v>
      </c>
      <c r="E52" s="306">
        <f ca="1"/>
        <v>-0.88600131746401845</v>
      </c>
      <c r="F52" s="306">
        <f ca="1"/>
        <v>0.50499676151927686</v>
      </c>
      <c r="G52" s="306">
        <f ca="1"/>
        <v>0.59135175634258896</v>
      </c>
      <c r="H52" s="139">
        <f ca="1"/>
        <v>0.81695537082956271</v>
      </c>
      <c r="J52" s="134" t="s">
        <v>84</v>
      </c>
      <c r="K52" s="134"/>
      <c r="M52" s="138">
        <f ca="1"/>
        <v>0.56860936194591039</v>
      </c>
      <c r="N52" s="306">
        <f ca="1"/>
        <v>0.83861948605974246</v>
      </c>
      <c r="O52" s="306">
        <f ca="1"/>
        <v>-0.15849862338941334</v>
      </c>
      <c r="P52" s="306">
        <f ca="1"/>
        <v>-1.2245355120079864</v>
      </c>
      <c r="Q52" s="139">
        <f ca="1"/>
        <v>-0.21659244148250961</v>
      </c>
      <c r="S52" s="134" t="s">
        <v>84</v>
      </c>
      <c r="T52" s="134"/>
      <c r="V52" s="495"/>
      <c r="W52" s="495"/>
      <c r="X52" s="138">
        <f ca="1"/>
        <v>-0.9998813019474484</v>
      </c>
      <c r="Y52" s="306">
        <f ca="1"/>
        <v>-0.88600131746401845</v>
      </c>
      <c r="Z52" s="306">
        <f ca="1"/>
        <v>0.50499676151927686</v>
      </c>
      <c r="AA52" s="306">
        <f ca="1"/>
        <v>0.59135175634258896</v>
      </c>
      <c r="AB52" s="139">
        <f ca="1"/>
        <v>0.81695537082956271</v>
      </c>
      <c r="AC52" s="495"/>
      <c r="AD52" s="134" t="s">
        <v>84</v>
      </c>
      <c r="AE52" s="134"/>
    </row>
    <row r="53" spans="2:31" x14ac:dyDescent="0.25">
      <c r="D53" s="138">
        <f ca="1"/>
        <v>-0.79747485963926357</v>
      </c>
      <c r="E53" s="306">
        <f ca="1"/>
        <v>-6.1108551057670997E-2</v>
      </c>
      <c r="F53" s="306">
        <f ca="1"/>
        <v>0.863608628387463</v>
      </c>
      <c r="G53" s="306">
        <f ca="1"/>
        <v>-1.0507271193416956</v>
      </c>
      <c r="H53" s="139">
        <f ca="1"/>
        <v>0.4991414877992304</v>
      </c>
      <c r="J53" s="360" t="str" cm="1">
        <f t="array" aca="1" ref="J53" ca="1">_xll.d.TestUtils_Equal(ABS(J50-0)&lt;0.1,TRUE)</f>
        <v>Ok</v>
      </c>
      <c r="K53" s="360" t="str" cm="1">
        <f t="array" aca="1" ref="K53" ca="1">_xll.d.TestUtils_Equal(ABS(K50-1)&lt;0.1,TRUE)</f>
        <v>Ok</v>
      </c>
      <c r="M53" s="138">
        <f ca="1"/>
        <v>1.0121454543304982</v>
      </c>
      <c r="N53" s="306">
        <f ca="1"/>
        <v>0.84487883078025894</v>
      </c>
      <c r="O53" s="306">
        <f ca="1"/>
        <v>1.2950504002461061</v>
      </c>
      <c r="P53" s="306">
        <f ca="1"/>
        <v>0.45307414049496852</v>
      </c>
      <c r="Q53" s="139">
        <f ca="1"/>
        <v>1.3933001203930773</v>
      </c>
      <c r="S53" s="360" t="str" cm="1">
        <f t="array" aca="1" ref="S53" ca="1">_xll.d.TestUtils_Equal(ABS(S50-0)&lt;0.1,TRUE)</f>
        <v>Ok</v>
      </c>
      <c r="T53" s="360" t="str" cm="1">
        <f t="array" aca="1" ref="T53" ca="1">_xll.d.TestUtils_Equal(ABS(T50-1)&lt;0.1,TRUE)</f>
        <v>Ok</v>
      </c>
      <c r="V53" s="495"/>
      <c r="W53" s="495"/>
      <c r="X53" s="138">
        <f ca="1"/>
        <v>-0.79747485963926357</v>
      </c>
      <c r="Y53" s="306">
        <f ca="1"/>
        <v>-6.1108551057670997E-2</v>
      </c>
      <c r="Z53" s="306">
        <f ca="1"/>
        <v>0.863608628387463</v>
      </c>
      <c r="AA53" s="306">
        <f ca="1"/>
        <v>-1.0507271193416956</v>
      </c>
      <c r="AB53" s="139">
        <f ca="1"/>
        <v>0.4991414877992304</v>
      </c>
      <c r="AC53" s="495"/>
      <c r="AD53" s="360" t="str" cm="1">
        <f t="array" aca="1" ref="AD53" ca="1">_xll.d.TestUtils_Equal(ABS(AD50-0)&lt;0.1,TRUE)</f>
        <v>Ok</v>
      </c>
      <c r="AE53" s="360" t="str" cm="1">
        <f t="array" aca="1" ref="AE53" ca="1">_xll.d.TestUtils_Equal(ABS(AE50-1)&lt;0.1,TRUE)</f>
        <v>Ok</v>
      </c>
    </row>
    <row r="54" spans="2:31" x14ac:dyDescent="0.25">
      <c r="D54" s="138">
        <f ca="1"/>
        <v>-0.5884160994078016</v>
      </c>
      <c r="E54" s="306">
        <f ca="1"/>
        <v>-0.55874715130596764</v>
      </c>
      <c r="F54" s="306">
        <f ca="1"/>
        <v>-2.7587630599172877</v>
      </c>
      <c r="G54" s="306">
        <f ca="1"/>
        <v>-2.2939473468112239</v>
      </c>
      <c r="H54" s="139">
        <f ca="1"/>
        <v>-0.38120894845031827</v>
      </c>
      <c r="M54" s="138">
        <f ca="1"/>
        <v>0.26050629623141941</v>
      </c>
      <c r="N54" s="306">
        <f ca="1"/>
        <v>-9.6707447133391369E-2</v>
      </c>
      <c r="O54" s="306">
        <f ca="1"/>
        <v>0.51759967418338659</v>
      </c>
      <c r="P54" s="306">
        <f ca="1"/>
        <v>0.40246639382141203</v>
      </c>
      <c r="Q54" s="139">
        <f ca="1"/>
        <v>-1.5208598870893701</v>
      </c>
      <c r="V54" s="495"/>
      <c r="W54" s="495"/>
      <c r="X54" s="138">
        <f ca="1"/>
        <v>-0.5884160994078016</v>
      </c>
      <c r="Y54" s="306">
        <f ca="1"/>
        <v>-0.55874715130596764</v>
      </c>
      <c r="Z54" s="306">
        <f ca="1"/>
        <v>-2.7587630599172877</v>
      </c>
      <c r="AA54" s="306">
        <f ca="1"/>
        <v>-2.2939473468112239</v>
      </c>
      <c r="AB54" s="139">
        <f ca="1"/>
        <v>-0.38120894845031827</v>
      </c>
      <c r="AC54" s="495"/>
      <c r="AD54" s="495"/>
      <c r="AE54" s="495"/>
    </row>
    <row r="55" spans="2:31" x14ac:dyDescent="0.25">
      <c r="D55" s="138">
        <f ca="1"/>
        <v>0.10819798524690837</v>
      </c>
      <c r="E55" s="306">
        <f ca="1"/>
        <v>1.0965073943909254</v>
      </c>
      <c r="F55" s="306">
        <f ca="1"/>
        <v>0.46240265761130123</v>
      </c>
      <c r="G55" s="306">
        <f ca="1"/>
        <v>0.48984251587331651</v>
      </c>
      <c r="H55" s="139">
        <f ca="1"/>
        <v>-2.25076658419695</v>
      </c>
      <c r="M55" s="138">
        <f ca="1"/>
        <v>1.0711349389745428</v>
      </c>
      <c r="N55" s="306">
        <f ca="1"/>
        <v>5.1351992091935056E-2</v>
      </c>
      <c r="O55" s="306">
        <f ca="1"/>
        <v>-1.2856629896340797</v>
      </c>
      <c r="P55" s="306">
        <f ca="1"/>
        <v>-0.47553809167663869</v>
      </c>
      <c r="Q55" s="139">
        <f ca="1"/>
        <v>-0.78297078820803756</v>
      </c>
      <c r="V55" s="495"/>
      <c r="W55" s="495"/>
      <c r="X55" s="138">
        <f ca="1"/>
        <v>0.10819798524690837</v>
      </c>
      <c r="Y55" s="306">
        <f ca="1"/>
        <v>1.0965073943909254</v>
      </c>
      <c r="Z55" s="306">
        <f ca="1"/>
        <v>0.46240265761130123</v>
      </c>
      <c r="AA55" s="306">
        <f ca="1"/>
        <v>0.48984251587331651</v>
      </c>
      <c r="AB55" s="139">
        <f ca="1"/>
        <v>-2.25076658419695</v>
      </c>
      <c r="AC55" s="495"/>
      <c r="AD55" s="495"/>
      <c r="AE55" s="495"/>
    </row>
    <row r="56" spans="2:31" x14ac:dyDescent="0.25">
      <c r="D56" s="138">
        <f ca="1"/>
        <v>-0.10215483425175563</v>
      </c>
      <c r="E56" s="306">
        <f ca="1"/>
        <v>0.44051757578957157</v>
      </c>
      <c r="F56" s="306">
        <f ca="1"/>
        <v>-0.33389589259671326</v>
      </c>
      <c r="G56" s="306">
        <f ca="1"/>
        <v>0.70615194140562998</v>
      </c>
      <c r="H56" s="139">
        <f ca="1"/>
        <v>1.3386245087251876</v>
      </c>
      <c r="M56" s="138">
        <f ca="1"/>
        <v>0.11274383783052491</v>
      </c>
      <c r="N56" s="306">
        <f ca="1"/>
        <v>0.77398164003109893</v>
      </c>
      <c r="O56" s="306">
        <f ca="1"/>
        <v>-1.5528836522498293</v>
      </c>
      <c r="P56" s="306">
        <f ca="1"/>
        <v>-1.0885193500170471</v>
      </c>
      <c r="Q56" s="139">
        <f ca="1"/>
        <v>0.50286987657510207</v>
      </c>
      <c r="V56" s="495"/>
      <c r="W56" s="495"/>
      <c r="X56" s="138">
        <f ca="1"/>
        <v>-0.10215483425175563</v>
      </c>
      <c r="Y56" s="306">
        <f ca="1"/>
        <v>0.44051757578957157</v>
      </c>
      <c r="Z56" s="306">
        <f ca="1"/>
        <v>-0.33389589259671326</v>
      </c>
      <c r="AA56" s="306">
        <f ca="1"/>
        <v>0.70615194140562998</v>
      </c>
      <c r="AB56" s="139">
        <f ca="1"/>
        <v>1.3386245087251876</v>
      </c>
      <c r="AC56" s="495"/>
      <c r="AD56" s="495"/>
      <c r="AE56" s="495"/>
    </row>
    <row r="57" spans="2:31" x14ac:dyDescent="0.25">
      <c r="D57" s="138">
        <f ca="1"/>
        <v>-1.8253861328037648</v>
      </c>
      <c r="E57" s="306">
        <f ca="1"/>
        <v>-0.24037216180075424</v>
      </c>
      <c r="F57" s="306">
        <f ca="1"/>
        <v>1.028058069270616</v>
      </c>
      <c r="G57" s="306">
        <f ca="1"/>
        <v>1.2259167836294167</v>
      </c>
      <c r="H57" s="139">
        <f ca="1"/>
        <v>-0.33280389867021648</v>
      </c>
      <c r="M57" s="138">
        <f ca="1"/>
        <v>1.0247174529864618</v>
      </c>
      <c r="N57" s="306">
        <f ca="1"/>
        <v>0.46456788825317025</v>
      </c>
      <c r="O57" s="306">
        <f ca="1"/>
        <v>1.8779948997892317</v>
      </c>
      <c r="P57" s="306">
        <f ca="1"/>
        <v>0.7666173840357986</v>
      </c>
      <c r="Q57" s="139">
        <f ca="1"/>
        <v>0.16413830370427598</v>
      </c>
      <c r="V57" s="495"/>
      <c r="W57" s="495"/>
      <c r="X57" s="138">
        <f ca="1"/>
        <v>-1.8253861328037648</v>
      </c>
      <c r="Y57" s="306">
        <f ca="1"/>
        <v>-0.24037216180075424</v>
      </c>
      <c r="Z57" s="306">
        <f ca="1"/>
        <v>1.028058069270616</v>
      </c>
      <c r="AA57" s="306">
        <f ca="1"/>
        <v>1.2259167836294167</v>
      </c>
      <c r="AB57" s="139">
        <f ca="1"/>
        <v>-0.33280389867021648</v>
      </c>
      <c r="AC57" s="495"/>
      <c r="AD57" s="495"/>
      <c r="AE57" s="495"/>
    </row>
    <row r="58" spans="2:31" x14ac:dyDescent="0.25">
      <c r="D58" s="138">
        <f ca="1"/>
        <v>-0.46490277119672319</v>
      </c>
      <c r="E58" s="306">
        <f ca="1"/>
        <v>-8.8166823894022877E-4</v>
      </c>
      <c r="F58" s="306">
        <f ca="1"/>
        <v>-1.5659571515789519</v>
      </c>
      <c r="G58" s="306">
        <f ca="1"/>
        <v>0.44378998344608472</v>
      </c>
      <c r="H58" s="139">
        <f ca="1"/>
        <v>0.56184004420843314</v>
      </c>
      <c r="M58" s="138">
        <f ca="1"/>
        <v>-0.19255231433210082</v>
      </c>
      <c r="N58" s="306">
        <f ca="1"/>
        <v>-1.1836570492378735</v>
      </c>
      <c r="O58" s="306">
        <f ca="1"/>
        <v>0.43100246597129827</v>
      </c>
      <c r="P58" s="306">
        <f ca="1"/>
        <v>-0.8538922151022309</v>
      </c>
      <c r="Q58" s="139">
        <f ca="1"/>
        <v>0.16772820889067627</v>
      </c>
      <c r="V58" s="495"/>
      <c r="W58" s="495"/>
      <c r="X58" s="138">
        <f ca="1"/>
        <v>-0.46490277119672319</v>
      </c>
      <c r="Y58" s="306">
        <f ca="1"/>
        <v>-8.8166823894022877E-4</v>
      </c>
      <c r="Z58" s="306">
        <f ca="1"/>
        <v>-1.5659571515789519</v>
      </c>
      <c r="AA58" s="306">
        <f ca="1"/>
        <v>0.44378998344608472</v>
      </c>
      <c r="AB58" s="139">
        <f ca="1"/>
        <v>0.56184004420843314</v>
      </c>
      <c r="AC58" s="495"/>
      <c r="AD58" s="495"/>
      <c r="AE58" s="495"/>
    </row>
    <row r="59" spans="2:31" x14ac:dyDescent="0.25">
      <c r="D59" s="138">
        <f ca="1"/>
        <v>-0.72121450340504112</v>
      </c>
      <c r="E59" s="306">
        <f ca="1"/>
        <v>-0.14969739262215401</v>
      </c>
      <c r="F59" s="306">
        <f ca="1"/>
        <v>0.70609350471998489</v>
      </c>
      <c r="G59" s="306">
        <f ca="1"/>
        <v>9.6224928363146583E-2</v>
      </c>
      <c r="H59" s="139">
        <f ca="1"/>
        <v>0.2296039222600787</v>
      </c>
      <c r="M59" s="138">
        <f ca="1"/>
        <v>0.31485387088312511</v>
      </c>
      <c r="N59" s="306">
        <f ca="1"/>
        <v>0.58472194344902539</v>
      </c>
      <c r="O59" s="306">
        <f ca="1"/>
        <v>0.39381187617256991</v>
      </c>
      <c r="P59" s="306">
        <f ca="1"/>
        <v>1.6407087043700077</v>
      </c>
      <c r="Q59" s="139">
        <f ca="1"/>
        <v>1.1035350664825012</v>
      </c>
      <c r="V59" s="495"/>
      <c r="W59" s="495"/>
      <c r="X59" s="138">
        <f ca="1"/>
        <v>-0.72121450340504112</v>
      </c>
      <c r="Y59" s="306">
        <f ca="1"/>
        <v>-0.14969739262215401</v>
      </c>
      <c r="Z59" s="306">
        <f ca="1"/>
        <v>0.70609350471998489</v>
      </c>
      <c r="AA59" s="306">
        <f ca="1"/>
        <v>9.6224928363146583E-2</v>
      </c>
      <c r="AB59" s="139">
        <f ca="1"/>
        <v>0.2296039222600787</v>
      </c>
      <c r="AC59" s="495"/>
      <c r="AD59" s="495"/>
      <c r="AE59" s="495"/>
    </row>
    <row r="60" spans="2:31" x14ac:dyDescent="0.25">
      <c r="D60" s="138">
        <f ca="1"/>
        <v>4.6120309846438508E-2</v>
      </c>
      <c r="E60" s="306">
        <f ca="1"/>
        <v>-0.92083350795883689</v>
      </c>
      <c r="F60" s="306">
        <f ca="1"/>
        <v>0.80411972151375544</v>
      </c>
      <c r="G60" s="306">
        <f ca="1"/>
        <v>-0.8762556877814629</v>
      </c>
      <c r="H60" s="139">
        <f ca="1"/>
        <v>1.2660233063563722</v>
      </c>
      <c r="M60" s="138">
        <f ca="1"/>
        <v>0.37425881531768923</v>
      </c>
      <c r="N60" s="306">
        <f ca="1"/>
        <v>0.35824768314912758</v>
      </c>
      <c r="O60" s="306">
        <f ca="1"/>
        <v>0.44167520776730484</v>
      </c>
      <c r="P60" s="306">
        <f ca="1"/>
        <v>-0.33523167286972566</v>
      </c>
      <c r="Q60" s="139">
        <f ca="1"/>
        <v>-0.6268173301884129</v>
      </c>
      <c r="V60" s="495"/>
      <c r="W60" s="495"/>
      <c r="X60" s="138">
        <f ca="1"/>
        <v>4.6120309846438508E-2</v>
      </c>
      <c r="Y60" s="306">
        <f ca="1"/>
        <v>-0.92083350795883689</v>
      </c>
      <c r="Z60" s="306">
        <f ca="1"/>
        <v>0.80411972151375544</v>
      </c>
      <c r="AA60" s="306">
        <f ca="1"/>
        <v>-0.8762556877814629</v>
      </c>
      <c r="AB60" s="139">
        <f ca="1"/>
        <v>1.2660233063563722</v>
      </c>
      <c r="AC60" s="495"/>
      <c r="AD60" s="495"/>
      <c r="AE60" s="495"/>
    </row>
    <row r="61" spans="2:31" x14ac:dyDescent="0.25">
      <c r="D61" s="138">
        <f ca="1"/>
        <v>0.23298387080043784</v>
      </c>
      <c r="E61" s="306">
        <f ca="1"/>
        <v>-1.0764899712107359</v>
      </c>
      <c r="F61" s="306">
        <f ca="1"/>
        <v>1.7547755576057253</v>
      </c>
      <c r="G61" s="306">
        <f ca="1"/>
        <v>0.72810708935373014</v>
      </c>
      <c r="H61" s="139">
        <f ca="1"/>
        <v>-4.9122462980273743E-2</v>
      </c>
      <c r="M61" s="138">
        <f ca="1"/>
        <v>-0.2939927852261236</v>
      </c>
      <c r="N61" s="306">
        <f ca="1"/>
        <v>0.20706330738635537</v>
      </c>
      <c r="O61" s="306">
        <f ca="1"/>
        <v>-0.95057695384843033</v>
      </c>
      <c r="P61" s="306">
        <f ca="1"/>
        <v>0.41936929060152378</v>
      </c>
      <c r="Q61" s="139">
        <f ca="1"/>
        <v>2.248374531742604E-2</v>
      </c>
      <c r="V61" s="495"/>
      <c r="W61" s="495"/>
      <c r="X61" s="138">
        <f ca="1"/>
        <v>0.23298387080043784</v>
      </c>
      <c r="Y61" s="306">
        <f ca="1"/>
        <v>-1.0764899712107359</v>
      </c>
      <c r="Z61" s="306">
        <f ca="1"/>
        <v>1.7547755576057253</v>
      </c>
      <c r="AA61" s="306">
        <f ca="1"/>
        <v>0.72810708935373014</v>
      </c>
      <c r="AB61" s="139">
        <f ca="1"/>
        <v>-4.9122462980273743E-2</v>
      </c>
      <c r="AC61" s="495"/>
      <c r="AD61" s="495"/>
      <c r="AE61" s="495"/>
    </row>
    <row r="62" spans="2:31" x14ac:dyDescent="0.25">
      <c r="D62" s="138">
        <f ca="1"/>
        <v>-0.63736695093064755</v>
      </c>
      <c r="E62" s="306">
        <f ca="1"/>
        <v>-0.21947173866600425</v>
      </c>
      <c r="F62" s="306">
        <f ca="1"/>
        <v>-0.3859436116857301</v>
      </c>
      <c r="G62" s="306">
        <f ca="1"/>
        <v>0.43017177828252023</v>
      </c>
      <c r="H62" s="139">
        <f ca="1"/>
        <v>-0.20136053851420513</v>
      </c>
      <c r="M62" s="138">
        <f ca="1"/>
        <v>-0.15708936381720576</v>
      </c>
      <c r="N62" s="306">
        <f ca="1"/>
        <v>-1.0653743242702789</v>
      </c>
      <c r="O62" s="306">
        <f ca="1"/>
        <v>-0.80509454519587287</v>
      </c>
      <c r="P62" s="306">
        <f ca="1"/>
        <v>0.91915684812891307</v>
      </c>
      <c r="Q62" s="139">
        <f ca="1"/>
        <v>5.8307248146102324E-2</v>
      </c>
      <c r="V62" s="495"/>
      <c r="W62" s="495"/>
      <c r="X62" s="138">
        <f ca="1"/>
        <v>-0.63736695093064755</v>
      </c>
      <c r="Y62" s="306">
        <f ca="1"/>
        <v>-0.21947173866600425</v>
      </c>
      <c r="Z62" s="306">
        <f ca="1"/>
        <v>-0.3859436116857301</v>
      </c>
      <c r="AA62" s="306">
        <f ca="1"/>
        <v>0.43017177828252023</v>
      </c>
      <c r="AB62" s="139">
        <f ca="1"/>
        <v>-0.20136053851420513</v>
      </c>
      <c r="AC62" s="495"/>
      <c r="AD62" s="495"/>
      <c r="AE62" s="495"/>
    </row>
    <row r="63" spans="2:31" x14ac:dyDescent="0.25">
      <c r="D63" s="138">
        <f ca="1"/>
        <v>-0.42607435867377447</v>
      </c>
      <c r="E63" s="306">
        <f ca="1"/>
        <v>0.91605467339775526</v>
      </c>
      <c r="F63" s="306">
        <f ca="1"/>
        <v>-1.6169891726572032</v>
      </c>
      <c r="G63" s="306">
        <f ca="1"/>
        <v>-9.9853780857881491E-2</v>
      </c>
      <c r="H63" s="139">
        <f ca="1"/>
        <v>-0.83075713527444417</v>
      </c>
      <c r="M63" s="138">
        <f ca="1"/>
        <v>-0.53150451916000441</v>
      </c>
      <c r="N63" s="306">
        <f ca="1"/>
        <v>9.3818238275564306E-2</v>
      </c>
      <c r="O63" s="306">
        <f ca="1"/>
        <v>-0.36340235823986</v>
      </c>
      <c r="P63" s="306">
        <f ca="1"/>
        <v>-2.2094510474666582</v>
      </c>
      <c r="Q63" s="139">
        <f ca="1"/>
        <v>1.3833613776168325</v>
      </c>
      <c r="V63" s="495"/>
      <c r="W63" s="495"/>
      <c r="X63" s="138">
        <f ca="1"/>
        <v>-0.42607435867377447</v>
      </c>
      <c r="Y63" s="306">
        <f ca="1"/>
        <v>0.91605467339775526</v>
      </c>
      <c r="Z63" s="306">
        <f ca="1"/>
        <v>-1.6169891726572032</v>
      </c>
      <c r="AA63" s="306">
        <f ca="1"/>
        <v>-9.9853780857881491E-2</v>
      </c>
      <c r="AB63" s="139">
        <f ca="1"/>
        <v>-0.83075713527444417</v>
      </c>
      <c r="AC63" s="495"/>
      <c r="AD63" s="495"/>
      <c r="AE63" s="495"/>
    </row>
    <row r="64" spans="2:31" x14ac:dyDescent="0.25">
      <c r="D64" s="138">
        <f ca="1"/>
        <v>1.9788808392213517</v>
      </c>
      <c r="E64" s="306">
        <f ca="1"/>
        <v>-0.8444992802006771</v>
      </c>
      <c r="F64" s="306">
        <f ca="1"/>
        <v>0.53167290579956916</v>
      </c>
      <c r="G64" s="306">
        <f ca="1"/>
        <v>1.3476990609315769</v>
      </c>
      <c r="H64" s="139">
        <f ca="1"/>
        <v>-8.1515249102279419E-2</v>
      </c>
      <c r="M64" s="138">
        <f ca="1"/>
        <v>1.2360122870119385</v>
      </c>
      <c r="N64" s="306">
        <f ca="1"/>
        <v>1.5952239593837385</v>
      </c>
      <c r="O64" s="306">
        <f ca="1"/>
        <v>-1.1314812360535402</v>
      </c>
      <c r="P64" s="306">
        <f ca="1"/>
        <v>-1.2982467961229738</v>
      </c>
      <c r="Q64" s="139">
        <f ca="1"/>
        <v>-1.3168735554115905</v>
      </c>
      <c r="V64" s="495"/>
      <c r="W64" s="495"/>
      <c r="X64" s="138">
        <f ca="1"/>
        <v>1.9788808392213517</v>
      </c>
      <c r="Y64" s="306">
        <f ca="1"/>
        <v>-0.8444992802006771</v>
      </c>
      <c r="Z64" s="306">
        <f ca="1"/>
        <v>0.53167290579956916</v>
      </c>
      <c r="AA64" s="306">
        <f ca="1"/>
        <v>1.3476990609315769</v>
      </c>
      <c r="AB64" s="139">
        <f ca="1"/>
        <v>-8.1515249102279419E-2</v>
      </c>
      <c r="AC64" s="495"/>
      <c r="AD64" s="495"/>
      <c r="AE64" s="495"/>
    </row>
    <row r="65" spans="4:31" x14ac:dyDescent="0.25">
      <c r="D65" s="138">
        <f ca="1"/>
        <v>-0.61135617247427165</v>
      </c>
      <c r="E65" s="306">
        <f ca="1"/>
        <v>1.2682963768981825</v>
      </c>
      <c r="F65" s="306">
        <f ca="1"/>
        <v>6.5443228707294687E-2</v>
      </c>
      <c r="G65" s="306">
        <f ca="1"/>
        <v>0.43254942321321643</v>
      </c>
      <c r="H65" s="139">
        <f ca="1"/>
        <v>0.42060061179352987</v>
      </c>
      <c r="M65" s="138">
        <f ca="1"/>
        <v>-1.5829803137914036</v>
      </c>
      <c r="N65" s="306">
        <f ca="1"/>
        <v>0.70185633990212082</v>
      </c>
      <c r="O65" s="306">
        <f ca="1"/>
        <v>0.67665051211608307</v>
      </c>
      <c r="P65" s="306">
        <f ca="1"/>
        <v>0.31296426265648503</v>
      </c>
      <c r="Q65" s="139">
        <f ca="1"/>
        <v>1.4129012007575132</v>
      </c>
      <c r="V65" s="495"/>
      <c r="W65" s="495"/>
      <c r="X65" s="138">
        <f ca="1"/>
        <v>-0.61135617247427165</v>
      </c>
      <c r="Y65" s="306">
        <f ca="1"/>
        <v>1.2682963768981825</v>
      </c>
      <c r="Z65" s="306">
        <f ca="1"/>
        <v>6.5443228707294687E-2</v>
      </c>
      <c r="AA65" s="306">
        <f ca="1"/>
        <v>0.43254942321321643</v>
      </c>
      <c r="AB65" s="139">
        <f ca="1"/>
        <v>0.42060061179352987</v>
      </c>
      <c r="AC65" s="495"/>
      <c r="AD65" s="495"/>
      <c r="AE65" s="495"/>
    </row>
    <row r="66" spans="4:31" x14ac:dyDescent="0.25">
      <c r="D66" s="138">
        <f ca="1"/>
        <v>0.62134768002507634</v>
      </c>
      <c r="E66" s="306">
        <f ca="1"/>
        <v>7.9542410013188777E-2</v>
      </c>
      <c r="F66" s="306">
        <f ca="1"/>
        <v>-2.1987215358931604E-2</v>
      </c>
      <c r="G66" s="306">
        <f ca="1"/>
        <v>-0.98579270828865395</v>
      </c>
      <c r="H66" s="139">
        <f ca="1"/>
        <v>1.3042580425018544</v>
      </c>
      <c r="M66" s="138">
        <f ca="1"/>
        <v>1.7948696412447682</v>
      </c>
      <c r="N66" s="306">
        <f ca="1"/>
        <v>5.4793042142818014E-2</v>
      </c>
      <c r="O66" s="306">
        <f ca="1"/>
        <v>-0.48052138707036213</v>
      </c>
      <c r="P66" s="306">
        <f ca="1"/>
        <v>0.98604672095167512</v>
      </c>
      <c r="Q66" s="139">
        <f ca="1"/>
        <v>0.19153430097807242</v>
      </c>
      <c r="V66" s="495"/>
      <c r="W66" s="495"/>
      <c r="X66" s="138">
        <f ca="1"/>
        <v>0.62134768002507634</v>
      </c>
      <c r="Y66" s="306">
        <f ca="1"/>
        <v>7.9542410013188777E-2</v>
      </c>
      <c r="Z66" s="306">
        <f ca="1"/>
        <v>-2.1987215358931604E-2</v>
      </c>
      <c r="AA66" s="306">
        <f ca="1"/>
        <v>-0.98579270828865395</v>
      </c>
      <c r="AB66" s="139">
        <f ca="1"/>
        <v>1.3042580425018544</v>
      </c>
      <c r="AC66" s="495"/>
      <c r="AD66" s="495"/>
      <c r="AE66" s="495"/>
    </row>
    <row r="67" spans="4:31" x14ac:dyDescent="0.25">
      <c r="D67" s="138">
        <f ca="1"/>
        <v>-0.50308335820540317</v>
      </c>
      <c r="E67" s="306">
        <f ca="1"/>
        <v>1.4640300463756799</v>
      </c>
      <c r="F67" s="306">
        <f ca="1"/>
        <v>0.46256721575986759</v>
      </c>
      <c r="G67" s="306">
        <f ca="1"/>
        <v>0.13757711286725449</v>
      </c>
      <c r="H67" s="139">
        <f ca="1"/>
        <v>1.903663328597879</v>
      </c>
      <c r="M67" s="138">
        <f ca="1"/>
        <v>-0.60479895355841384</v>
      </c>
      <c r="N67" s="306">
        <f ca="1"/>
        <v>-1.2485896144281661</v>
      </c>
      <c r="O67" s="306">
        <f ca="1"/>
        <v>0.27366943766787372</v>
      </c>
      <c r="P67" s="306">
        <f ca="1"/>
        <v>0.45004119380308644</v>
      </c>
      <c r="Q67" s="139">
        <f ca="1"/>
        <v>-1.3844360616948774</v>
      </c>
      <c r="V67" s="495"/>
      <c r="W67" s="495"/>
      <c r="X67" s="138">
        <f ca="1"/>
        <v>-0.50308335820540317</v>
      </c>
      <c r="Y67" s="306">
        <f ca="1"/>
        <v>1.4640300463756799</v>
      </c>
      <c r="Z67" s="306">
        <f ca="1"/>
        <v>0.46256721575986759</v>
      </c>
      <c r="AA67" s="306">
        <f ca="1"/>
        <v>0.13757711286725449</v>
      </c>
      <c r="AB67" s="139">
        <f ca="1"/>
        <v>1.903663328597879</v>
      </c>
      <c r="AC67" s="495"/>
      <c r="AD67" s="495"/>
      <c r="AE67" s="495"/>
    </row>
    <row r="68" spans="4:31" x14ac:dyDescent="0.25">
      <c r="D68" s="138">
        <f ca="1"/>
        <v>-1.198947290104817</v>
      </c>
      <c r="E68" s="306">
        <f ca="1"/>
        <v>0.96357590104857871</v>
      </c>
      <c r="F68" s="306">
        <f ca="1"/>
        <v>1.9247923185797389</v>
      </c>
      <c r="G68" s="306">
        <f ca="1"/>
        <v>1.3443248184039669</v>
      </c>
      <c r="H68" s="139">
        <f ca="1"/>
        <v>0.34126673979749322</v>
      </c>
      <c r="M68" s="138">
        <f ca="1"/>
        <v>-0.29645445691204342</v>
      </c>
      <c r="N68" s="306">
        <f ca="1"/>
        <v>-0.21556879453095484</v>
      </c>
      <c r="O68" s="306">
        <f ca="1"/>
        <v>-0.34855748958572064</v>
      </c>
      <c r="P68" s="306">
        <f ca="1"/>
        <v>-1.3041078808768987</v>
      </c>
      <c r="Q68" s="139">
        <f ca="1"/>
        <v>1.4705694003542786</v>
      </c>
      <c r="V68" s="495"/>
      <c r="W68" s="495"/>
      <c r="X68" s="138">
        <f ca="1"/>
        <v>-1.198947290104817</v>
      </c>
      <c r="Y68" s="306">
        <f ca="1"/>
        <v>0.96357590104857871</v>
      </c>
      <c r="Z68" s="306">
        <f ca="1"/>
        <v>1.9247923185797389</v>
      </c>
      <c r="AA68" s="306">
        <f ca="1"/>
        <v>1.3443248184039669</v>
      </c>
      <c r="AB68" s="139">
        <f ca="1"/>
        <v>0.34126673979749322</v>
      </c>
      <c r="AC68" s="495"/>
      <c r="AD68" s="495"/>
      <c r="AE68" s="495"/>
    </row>
    <row r="69" spans="4:31" x14ac:dyDescent="0.25">
      <c r="D69" s="138">
        <f ca="1"/>
        <v>0.85011456561901899</v>
      </c>
      <c r="E69" s="306">
        <f ca="1"/>
        <v>0.30429192596407545</v>
      </c>
      <c r="F69" s="306">
        <f ca="1"/>
        <v>0.67152742633508133</v>
      </c>
      <c r="G69" s="306">
        <f ca="1"/>
        <v>0.80782203516718254</v>
      </c>
      <c r="H69" s="139">
        <f ca="1"/>
        <v>-8.2646524328612386E-2</v>
      </c>
      <c r="M69" s="138">
        <f ca="1"/>
        <v>-5.601454099387887E-2</v>
      </c>
      <c r="N69" s="306">
        <f ca="1"/>
        <v>-6.6222296794066063E-2</v>
      </c>
      <c r="O69" s="306">
        <f ca="1"/>
        <v>-0.45363097528494672</v>
      </c>
      <c r="P69" s="306">
        <f ca="1"/>
        <v>1.9101803048964361</v>
      </c>
      <c r="Q69" s="139">
        <f ca="1"/>
        <v>-0.58963239539706591</v>
      </c>
      <c r="V69" s="495"/>
      <c r="W69" s="495"/>
      <c r="X69" s="138">
        <f ca="1"/>
        <v>0.85011456561901899</v>
      </c>
      <c r="Y69" s="306">
        <f ca="1"/>
        <v>0.30429192596407545</v>
      </c>
      <c r="Z69" s="306">
        <f ca="1"/>
        <v>0.67152742633508133</v>
      </c>
      <c r="AA69" s="306">
        <f ca="1"/>
        <v>0.80782203516718254</v>
      </c>
      <c r="AB69" s="139">
        <f ca="1"/>
        <v>-8.2646524328612386E-2</v>
      </c>
      <c r="AC69" s="495"/>
      <c r="AD69" s="495"/>
      <c r="AE69" s="495"/>
    </row>
    <row r="70" spans="4:31" x14ac:dyDescent="0.25">
      <c r="D70" s="138">
        <f ca="1"/>
        <v>-0.28904080804777654</v>
      </c>
      <c r="E70" s="306">
        <f ca="1"/>
        <v>-0.89553364635263466</v>
      </c>
      <c r="F70" s="306">
        <f ca="1"/>
        <v>0.9780203880833418</v>
      </c>
      <c r="G70" s="306">
        <f ca="1"/>
        <v>-0.45554694662875511</v>
      </c>
      <c r="H70" s="139">
        <f ca="1"/>
        <v>8.2384361896065766E-2</v>
      </c>
      <c r="M70" s="138">
        <f ca="1"/>
        <v>0.81242129145400976</v>
      </c>
      <c r="N70" s="306">
        <f ca="1"/>
        <v>-0.62936332454492938</v>
      </c>
      <c r="O70" s="306">
        <f ca="1"/>
        <v>0.17687516295823891</v>
      </c>
      <c r="P70" s="306">
        <f ca="1"/>
        <v>1.9855701869412921</v>
      </c>
      <c r="Q70" s="139">
        <f ca="1"/>
        <v>-0.47170424056666821</v>
      </c>
      <c r="V70" s="495"/>
      <c r="W70" s="495"/>
      <c r="X70" s="138">
        <f ca="1"/>
        <v>-0.28904080804777654</v>
      </c>
      <c r="Y70" s="306">
        <f ca="1"/>
        <v>-0.89553364635263466</v>
      </c>
      <c r="Z70" s="306">
        <f ca="1"/>
        <v>0.9780203880833418</v>
      </c>
      <c r="AA70" s="306">
        <f ca="1"/>
        <v>-0.45554694662875511</v>
      </c>
      <c r="AB70" s="139">
        <f ca="1"/>
        <v>8.2384361896065766E-2</v>
      </c>
      <c r="AC70" s="495"/>
      <c r="AD70" s="495"/>
      <c r="AE70" s="495"/>
    </row>
    <row r="71" spans="4:31" x14ac:dyDescent="0.25">
      <c r="D71" s="138">
        <f ca="1"/>
        <v>-1.3097052116291188</v>
      </c>
      <c r="E71" s="306">
        <f ca="1"/>
        <v>1.7215300670511962</v>
      </c>
      <c r="F71" s="306">
        <f ca="1"/>
        <v>9.7776697591451453E-2</v>
      </c>
      <c r="G71" s="306">
        <f ca="1"/>
        <v>1.1490936456210052</v>
      </c>
      <c r="H71" s="139">
        <f ca="1"/>
        <v>-2.069075586550726</v>
      </c>
      <c r="M71" s="138">
        <f ca="1"/>
        <v>0.88591645744064973</v>
      </c>
      <c r="N71" s="306">
        <f ca="1"/>
        <v>-0.89149310470618126</v>
      </c>
      <c r="O71" s="306">
        <f ca="1"/>
        <v>-1.7692578677541684</v>
      </c>
      <c r="P71" s="306">
        <f ca="1"/>
        <v>1.1660034196083535</v>
      </c>
      <c r="Q71" s="139">
        <f ca="1"/>
        <v>-2.3511914329550483</v>
      </c>
      <c r="V71" s="495"/>
      <c r="W71" s="495"/>
      <c r="X71" s="138">
        <f ca="1"/>
        <v>-1.3097052116291188</v>
      </c>
      <c r="Y71" s="306">
        <f ca="1"/>
        <v>1.7215300670511962</v>
      </c>
      <c r="Z71" s="306">
        <f ca="1"/>
        <v>9.7776697591451453E-2</v>
      </c>
      <c r="AA71" s="306">
        <f ca="1"/>
        <v>1.1490936456210052</v>
      </c>
      <c r="AB71" s="139">
        <f ca="1"/>
        <v>-2.069075586550726</v>
      </c>
      <c r="AC71" s="495"/>
      <c r="AD71" s="495"/>
      <c r="AE71" s="495"/>
    </row>
    <row r="72" spans="4:31" x14ac:dyDescent="0.25">
      <c r="D72" s="138">
        <f ca="1"/>
        <v>0.32788629545256831</v>
      </c>
      <c r="E72" s="306">
        <f ca="1"/>
        <v>1.720830635000675</v>
      </c>
      <c r="F72" s="306">
        <f ca="1"/>
        <v>0.27993766822148569</v>
      </c>
      <c r="G72" s="306">
        <f ca="1"/>
        <v>0.52525898259965065</v>
      </c>
      <c r="H72" s="139">
        <f ca="1"/>
        <v>-0.71433261283908289</v>
      </c>
      <c r="M72" s="138">
        <f ca="1"/>
        <v>7.249226999462359E-2</v>
      </c>
      <c r="N72" s="306">
        <f ca="1"/>
        <v>0.75286236290794595</v>
      </c>
      <c r="O72" s="306">
        <f ca="1"/>
        <v>-0.15451583480191308</v>
      </c>
      <c r="P72" s="306">
        <f ca="1"/>
        <v>-7.8660836787310617E-2</v>
      </c>
      <c r="Q72" s="139">
        <f ca="1"/>
        <v>0.43277360942751136</v>
      </c>
      <c r="V72" s="495"/>
      <c r="W72" s="495"/>
      <c r="X72" s="138">
        <f ca="1"/>
        <v>0.32788629545256831</v>
      </c>
      <c r="Y72" s="306">
        <f ca="1"/>
        <v>1.720830635000675</v>
      </c>
      <c r="Z72" s="306">
        <f ca="1"/>
        <v>0.27993766822148569</v>
      </c>
      <c r="AA72" s="306">
        <f ca="1"/>
        <v>0.52525898259965065</v>
      </c>
      <c r="AB72" s="139">
        <f ca="1"/>
        <v>-0.71433261283908289</v>
      </c>
      <c r="AC72" s="495"/>
      <c r="AD72" s="495"/>
      <c r="AE72" s="495"/>
    </row>
    <row r="73" spans="4:31" x14ac:dyDescent="0.25">
      <c r="D73" s="138">
        <f ca="1"/>
        <v>-0.35007770185857218</v>
      </c>
      <c r="E73" s="306">
        <f ca="1"/>
        <v>1.1800027393927328</v>
      </c>
      <c r="F73" s="306">
        <f ca="1"/>
        <v>-0.62779716766341387</v>
      </c>
      <c r="G73" s="306">
        <f ca="1"/>
        <v>1.0849418236383948</v>
      </c>
      <c r="H73" s="139">
        <f ca="1"/>
        <v>-0.6285170754115107</v>
      </c>
      <c r="M73" s="138">
        <f ca="1"/>
        <v>-5.02108783691224E-2</v>
      </c>
      <c r="N73" s="306">
        <f ca="1"/>
        <v>0.63387309695275007</v>
      </c>
      <c r="O73" s="306">
        <f ca="1"/>
        <v>0.34319483017443847</v>
      </c>
      <c r="P73" s="306">
        <f ca="1"/>
        <v>2.4127062990016889E-2</v>
      </c>
      <c r="Q73" s="139">
        <f ca="1"/>
        <v>1.0041302391154621</v>
      </c>
      <c r="V73" s="495"/>
      <c r="W73" s="495"/>
      <c r="X73" s="138">
        <f ca="1"/>
        <v>-0.35007770185857218</v>
      </c>
      <c r="Y73" s="306">
        <f ca="1"/>
        <v>1.1800027393927328</v>
      </c>
      <c r="Z73" s="306">
        <f ca="1"/>
        <v>-0.62779716766341387</v>
      </c>
      <c r="AA73" s="306">
        <f ca="1"/>
        <v>1.0849418236383948</v>
      </c>
      <c r="AB73" s="139">
        <f ca="1"/>
        <v>-0.6285170754115107</v>
      </c>
      <c r="AC73" s="495"/>
      <c r="AD73" s="495"/>
      <c r="AE73" s="495"/>
    </row>
    <row r="74" spans="4:31" x14ac:dyDescent="0.25">
      <c r="D74" s="138">
        <f ca="1"/>
        <v>-1.1500680545803554</v>
      </c>
      <c r="E74" s="306">
        <f ca="1"/>
        <v>-0.18806037521523697</v>
      </c>
      <c r="F74" s="306">
        <f ca="1"/>
        <v>0.16243660080584485</v>
      </c>
      <c r="G74" s="306">
        <f ca="1"/>
        <v>-0.62663170461412543</v>
      </c>
      <c r="H74" s="139">
        <f ca="1"/>
        <v>1.6118611296858081</v>
      </c>
      <c r="M74" s="138">
        <f ca="1"/>
        <v>0.17139794249924944</v>
      </c>
      <c r="N74" s="306">
        <f ca="1"/>
        <v>-0.11013706678339194</v>
      </c>
      <c r="O74" s="306">
        <f ca="1"/>
        <v>2.2692630137464183</v>
      </c>
      <c r="P74" s="306">
        <f ca="1"/>
        <v>1.9910279149762391</v>
      </c>
      <c r="Q74" s="139">
        <f ca="1"/>
        <v>-1.1179327323040036</v>
      </c>
      <c r="V74" s="495"/>
      <c r="W74" s="495"/>
      <c r="X74" s="138">
        <f ca="1"/>
        <v>-1.1500680545803554</v>
      </c>
      <c r="Y74" s="306">
        <f ca="1"/>
        <v>-0.18806037521523697</v>
      </c>
      <c r="Z74" s="306">
        <f ca="1"/>
        <v>0.16243660080584485</v>
      </c>
      <c r="AA74" s="306">
        <f ca="1"/>
        <v>-0.62663170461412543</v>
      </c>
      <c r="AB74" s="139">
        <f ca="1"/>
        <v>1.6118611296858081</v>
      </c>
      <c r="AC74" s="495"/>
      <c r="AD74" s="495"/>
      <c r="AE74" s="495"/>
    </row>
    <row r="75" spans="4:31" x14ac:dyDescent="0.25">
      <c r="D75" s="138">
        <f ca="1"/>
        <v>0.64691193539250558</v>
      </c>
      <c r="E75" s="306">
        <f ca="1"/>
        <v>0.89115808668949248</v>
      </c>
      <c r="F75" s="306">
        <f ca="1"/>
        <v>0.9860723619258096</v>
      </c>
      <c r="G75" s="306">
        <f ca="1"/>
        <v>-0.506742454491937</v>
      </c>
      <c r="H75" s="139">
        <f ca="1"/>
        <v>7.2347348245717744E-2</v>
      </c>
      <c r="M75" s="138">
        <f ca="1"/>
        <v>-0.27206819213014455</v>
      </c>
      <c r="N75" s="306">
        <f ca="1"/>
        <v>-0.78389672192767001</v>
      </c>
      <c r="O75" s="306">
        <f ca="1"/>
        <v>1.7386209358168976</v>
      </c>
      <c r="P75" s="306">
        <f ca="1"/>
        <v>-1.5918011760197763</v>
      </c>
      <c r="Q75" s="139">
        <f ca="1"/>
        <v>0.37770234866728736</v>
      </c>
      <c r="V75" s="495"/>
      <c r="W75" s="495"/>
      <c r="X75" s="138">
        <f ca="1"/>
        <v>0.64691193539250558</v>
      </c>
      <c r="Y75" s="306">
        <f ca="1"/>
        <v>0.89115808668949248</v>
      </c>
      <c r="Z75" s="306">
        <f ca="1"/>
        <v>0.9860723619258096</v>
      </c>
      <c r="AA75" s="306">
        <f ca="1"/>
        <v>-0.506742454491937</v>
      </c>
      <c r="AB75" s="139">
        <f ca="1"/>
        <v>7.2347348245717744E-2</v>
      </c>
      <c r="AC75" s="495"/>
      <c r="AD75" s="495"/>
      <c r="AE75" s="495"/>
    </row>
    <row r="76" spans="4:31" x14ac:dyDescent="0.25">
      <c r="D76" s="138">
        <f ca="1"/>
        <v>2.1332675037689501</v>
      </c>
      <c r="E76" s="306">
        <f ca="1"/>
        <v>1.0044329379325341E-2</v>
      </c>
      <c r="F76" s="306">
        <f ca="1"/>
        <v>2.7930281231195897</v>
      </c>
      <c r="G76" s="306">
        <f ca="1"/>
        <v>4.7540172641717976E-2</v>
      </c>
      <c r="H76" s="139">
        <f ca="1"/>
        <v>0.14952454772362248</v>
      </c>
      <c r="M76" s="138">
        <f ca="1"/>
        <v>1.4437591604313265</v>
      </c>
      <c r="N76" s="306">
        <f ca="1"/>
        <v>0.17238851165673519</v>
      </c>
      <c r="O76" s="306">
        <f ca="1"/>
        <v>-1.2699860097416114</v>
      </c>
      <c r="P76" s="306">
        <f ca="1"/>
        <v>0.26590942794695149</v>
      </c>
      <c r="Q76" s="139">
        <f ca="1"/>
        <v>0.57196512132722011</v>
      </c>
      <c r="V76" s="495"/>
      <c r="W76" s="495"/>
      <c r="X76" s="138">
        <f ca="1"/>
        <v>2.1332675037689501</v>
      </c>
      <c r="Y76" s="306">
        <f ca="1"/>
        <v>1.0044329379325341E-2</v>
      </c>
      <c r="Z76" s="306">
        <f ca="1"/>
        <v>2.7930281231195897</v>
      </c>
      <c r="AA76" s="306">
        <f ca="1"/>
        <v>4.7540172641717976E-2</v>
      </c>
      <c r="AB76" s="139">
        <f ca="1"/>
        <v>0.14952454772362248</v>
      </c>
      <c r="AC76" s="495"/>
      <c r="AD76" s="495"/>
      <c r="AE76" s="495"/>
    </row>
    <row r="77" spans="4:31" x14ac:dyDescent="0.25">
      <c r="D77" s="138">
        <f ca="1"/>
        <v>-0.99466901445455624</v>
      </c>
      <c r="E77" s="306">
        <f ca="1"/>
        <v>0.50225278398034379</v>
      </c>
      <c r="F77" s="306">
        <f ca="1"/>
        <v>0.62792680297973469</v>
      </c>
      <c r="G77" s="306">
        <f ca="1"/>
        <v>2.0691183604794094</v>
      </c>
      <c r="H77" s="139">
        <f ca="1"/>
        <v>-1.04703872441546</v>
      </c>
      <c r="M77" s="138">
        <f ca="1"/>
        <v>0.97846890675398013</v>
      </c>
      <c r="N77" s="306">
        <f ca="1"/>
        <v>-1.1020582544619302</v>
      </c>
      <c r="O77" s="306">
        <f ca="1"/>
        <v>0.39286477148360299</v>
      </c>
      <c r="P77" s="306">
        <f ca="1"/>
        <v>-0.1227331305528255</v>
      </c>
      <c r="Q77" s="139">
        <f ca="1"/>
        <v>1.0001710109068307</v>
      </c>
      <c r="V77" s="495"/>
      <c r="W77" s="495"/>
      <c r="X77" s="138">
        <f ca="1"/>
        <v>-0.99466901445455624</v>
      </c>
      <c r="Y77" s="306">
        <f ca="1"/>
        <v>0.50225278398034379</v>
      </c>
      <c r="Z77" s="306">
        <f ca="1"/>
        <v>0.62792680297973469</v>
      </c>
      <c r="AA77" s="306">
        <f ca="1"/>
        <v>2.0691183604794094</v>
      </c>
      <c r="AB77" s="139">
        <f ca="1"/>
        <v>-1.04703872441546</v>
      </c>
      <c r="AC77" s="495"/>
      <c r="AD77" s="495"/>
      <c r="AE77" s="495"/>
    </row>
    <row r="78" spans="4:31" x14ac:dyDescent="0.25">
      <c r="D78" s="138">
        <f ca="1"/>
        <v>-0.14279798956905393</v>
      </c>
      <c r="E78" s="306">
        <f ca="1"/>
        <v>2.6249780866021383E-2</v>
      </c>
      <c r="F78" s="306">
        <f ca="1"/>
        <v>-0.65969703489988807</v>
      </c>
      <c r="G78" s="306">
        <f ca="1"/>
        <v>-0.925057575262345</v>
      </c>
      <c r="H78" s="139">
        <f ca="1"/>
        <v>0.69780853400880927</v>
      </c>
      <c r="M78" s="138">
        <f ca="1"/>
        <v>-1.4681182045982457</v>
      </c>
      <c r="N78" s="306">
        <f ca="1"/>
        <v>-2.0794109376992451</v>
      </c>
      <c r="O78" s="306">
        <f ca="1"/>
        <v>-0.8103248144499442</v>
      </c>
      <c r="P78" s="306">
        <f ca="1"/>
        <v>0.64107672193829024</v>
      </c>
      <c r="Q78" s="139">
        <f ca="1"/>
        <v>-0.5551205874134405</v>
      </c>
      <c r="V78" s="495"/>
      <c r="W78" s="495"/>
      <c r="X78" s="138">
        <f ca="1"/>
        <v>-0.14279798956905393</v>
      </c>
      <c r="Y78" s="306">
        <f ca="1"/>
        <v>2.6249780866021383E-2</v>
      </c>
      <c r="Z78" s="306">
        <f ca="1"/>
        <v>-0.65969703489988807</v>
      </c>
      <c r="AA78" s="306">
        <f ca="1"/>
        <v>-0.925057575262345</v>
      </c>
      <c r="AB78" s="139">
        <f ca="1"/>
        <v>0.69780853400880927</v>
      </c>
      <c r="AC78" s="495"/>
      <c r="AD78" s="495"/>
      <c r="AE78" s="495"/>
    </row>
    <row r="79" spans="4:31" x14ac:dyDescent="0.25">
      <c r="D79" s="138">
        <f ca="1"/>
        <v>1.092291704880513</v>
      </c>
      <c r="E79" s="306">
        <f ca="1"/>
        <v>0.50433622145908918</v>
      </c>
      <c r="F79" s="306">
        <f ca="1"/>
        <v>1.0826951457065646</v>
      </c>
      <c r="G79" s="306">
        <f ca="1"/>
        <v>0.59345089881883117</v>
      </c>
      <c r="H79" s="139">
        <f ca="1"/>
        <v>1.1610661581658341E-2</v>
      </c>
      <c r="M79" s="138">
        <f ca="1"/>
        <v>-0.41957997007360187</v>
      </c>
      <c r="N79" s="306">
        <f ca="1"/>
        <v>-0.45615015179100066</v>
      </c>
      <c r="O79" s="306">
        <f ca="1"/>
        <v>0.34528217502908681</v>
      </c>
      <c r="P79" s="306">
        <f ca="1"/>
        <v>-2.0540035856533874</v>
      </c>
      <c r="Q79" s="139">
        <f ca="1"/>
        <v>-0.62883004396016451</v>
      </c>
      <c r="V79" s="495"/>
      <c r="W79" s="495"/>
      <c r="X79" s="138">
        <f ca="1"/>
        <v>1.092291704880513</v>
      </c>
      <c r="Y79" s="306">
        <f ca="1"/>
        <v>0.50433622145908918</v>
      </c>
      <c r="Z79" s="306">
        <f ca="1"/>
        <v>1.0826951457065646</v>
      </c>
      <c r="AA79" s="306">
        <f ca="1"/>
        <v>0.59345089881883117</v>
      </c>
      <c r="AB79" s="139">
        <f ca="1"/>
        <v>1.1610661581658341E-2</v>
      </c>
      <c r="AC79" s="495"/>
      <c r="AD79" s="495"/>
      <c r="AE79" s="495"/>
    </row>
    <row r="80" spans="4:31" x14ac:dyDescent="0.25">
      <c r="D80" s="138">
        <f ca="1"/>
        <v>0.80488972711453355</v>
      </c>
      <c r="E80" s="306">
        <f ca="1"/>
        <v>-2.1496502133888749</v>
      </c>
      <c r="F80" s="306">
        <f ca="1"/>
        <v>-2.1868193390200261</v>
      </c>
      <c r="G80" s="306">
        <f ca="1"/>
        <v>-8.0685653261843113E-2</v>
      </c>
      <c r="H80" s="139">
        <f ca="1"/>
        <v>-0.71874440154847874</v>
      </c>
      <c r="M80" s="138">
        <f ca="1"/>
        <v>-1.3586466223513398</v>
      </c>
      <c r="N80" s="306">
        <f ca="1"/>
        <v>0.29927661185537396</v>
      </c>
      <c r="O80" s="306">
        <f ca="1"/>
        <v>-0.98909017881296901</v>
      </c>
      <c r="P80" s="306">
        <f ca="1"/>
        <v>-1.7601901121971923</v>
      </c>
      <c r="Q80" s="139">
        <f ca="1"/>
        <v>-0.90326978799681523</v>
      </c>
      <c r="V80" s="495"/>
      <c r="W80" s="495"/>
      <c r="X80" s="138">
        <f ca="1"/>
        <v>0.80488972711453355</v>
      </c>
      <c r="Y80" s="306">
        <f ca="1"/>
        <v>-2.1496502133888749</v>
      </c>
      <c r="Z80" s="306">
        <f ca="1"/>
        <v>-2.1868193390200261</v>
      </c>
      <c r="AA80" s="306">
        <f ca="1"/>
        <v>-8.0685653261843113E-2</v>
      </c>
      <c r="AB80" s="139">
        <f ca="1"/>
        <v>-0.71874440154847874</v>
      </c>
      <c r="AC80" s="495"/>
      <c r="AD80" s="495"/>
      <c r="AE80" s="495"/>
    </row>
    <row r="81" spans="2:36" x14ac:dyDescent="0.25">
      <c r="D81" s="138">
        <f ca="1"/>
        <v>0.80605770412109401</v>
      </c>
      <c r="E81" s="306">
        <f ca="1"/>
        <v>0.98500956747093471</v>
      </c>
      <c r="F81" s="306">
        <f ca="1"/>
        <v>-0.51374156559767825</v>
      </c>
      <c r="G81" s="306">
        <f ca="1"/>
        <v>-0.10210221862083954</v>
      </c>
      <c r="H81" s="139">
        <f ca="1"/>
        <v>-0.52081378098183195</v>
      </c>
      <c r="M81" s="138">
        <f ca="1"/>
        <v>0.38038958191513106</v>
      </c>
      <c r="N81" s="306">
        <f ca="1"/>
        <v>-1.0378288827691335</v>
      </c>
      <c r="O81" s="306">
        <f ca="1"/>
        <v>2.5971214142627637</v>
      </c>
      <c r="P81" s="306">
        <f ca="1"/>
        <v>-0.14663282522262747</v>
      </c>
      <c r="Q81" s="139">
        <f ca="1"/>
        <v>-0.25899188301456494</v>
      </c>
      <c r="V81" s="495"/>
      <c r="W81" s="495"/>
      <c r="X81" s="138">
        <f ca="1"/>
        <v>0.80605770412109401</v>
      </c>
      <c r="Y81" s="306">
        <f ca="1"/>
        <v>0.98500956747093471</v>
      </c>
      <c r="Z81" s="306">
        <f ca="1"/>
        <v>-0.51374156559767825</v>
      </c>
      <c r="AA81" s="306">
        <f ca="1"/>
        <v>-0.10210221862083954</v>
      </c>
      <c r="AB81" s="139">
        <f ca="1"/>
        <v>-0.52081378098183195</v>
      </c>
      <c r="AC81" s="495"/>
      <c r="AD81" s="495"/>
      <c r="AE81" s="495"/>
    </row>
    <row r="82" spans="2:36" x14ac:dyDescent="0.25">
      <c r="D82" s="138">
        <f ca="1"/>
        <v>0.82079536005409337</v>
      </c>
      <c r="E82" s="306">
        <f ca="1"/>
        <v>0.61793246371250865</v>
      </c>
      <c r="F82" s="306">
        <f ca="1"/>
        <v>-1.3466588678274796</v>
      </c>
      <c r="G82" s="306">
        <f ca="1"/>
        <v>-0.12827791600451344</v>
      </c>
      <c r="H82" s="139">
        <f ca="1"/>
        <v>-0.17698844504820233</v>
      </c>
      <c r="M82" s="138">
        <f ca="1"/>
        <v>-2.0492589722121508</v>
      </c>
      <c r="N82" s="306">
        <f ca="1"/>
        <v>0.28478540431095722</v>
      </c>
      <c r="O82" s="306">
        <f ca="1"/>
        <v>0.39372598320848995</v>
      </c>
      <c r="P82" s="306">
        <f ca="1"/>
        <v>-0.5745230326962294</v>
      </c>
      <c r="Q82" s="139">
        <f ca="1"/>
        <v>0.21858397895859533</v>
      </c>
      <c r="V82" s="495"/>
      <c r="W82" s="495"/>
      <c r="X82" s="138">
        <f ca="1"/>
        <v>0.82079536005409337</v>
      </c>
      <c r="Y82" s="306">
        <f ca="1"/>
        <v>0.61793246371250865</v>
      </c>
      <c r="Z82" s="306">
        <f ca="1"/>
        <v>-1.3466588678274796</v>
      </c>
      <c r="AA82" s="306">
        <f ca="1"/>
        <v>-0.12827791600451344</v>
      </c>
      <c r="AB82" s="139">
        <f ca="1"/>
        <v>-0.17698844504820233</v>
      </c>
      <c r="AC82" s="495"/>
      <c r="AD82" s="495"/>
      <c r="AE82" s="495"/>
    </row>
    <row r="83" spans="2:36" x14ac:dyDescent="0.25">
      <c r="D83" s="138">
        <f ca="1"/>
        <v>-2.5528312879719279</v>
      </c>
      <c r="E83" s="306">
        <f ca="1"/>
        <v>0.29691031563146875</v>
      </c>
      <c r="F83" s="306">
        <f ca="1"/>
        <v>0.27808394980380907</v>
      </c>
      <c r="G83" s="306">
        <f ca="1"/>
        <v>0.44539774631615076</v>
      </c>
      <c r="H83" s="139">
        <f ca="1"/>
        <v>-0.31079358334370855</v>
      </c>
      <c r="M83" s="138">
        <f ca="1"/>
        <v>-0.33651429357523716</v>
      </c>
      <c r="N83" s="306">
        <f ca="1"/>
        <v>-0.76437673134373885</v>
      </c>
      <c r="O83" s="306">
        <f ca="1"/>
        <v>0.20662935169266924</v>
      </c>
      <c r="P83" s="306">
        <f ca="1"/>
        <v>2.0452873304035442</v>
      </c>
      <c r="Q83" s="139">
        <f ca="1"/>
        <v>0.13279307440324442</v>
      </c>
      <c r="V83" s="495"/>
      <c r="W83" s="495"/>
      <c r="X83" s="138">
        <f ca="1"/>
        <v>-2.5528312879719279</v>
      </c>
      <c r="Y83" s="306">
        <f ca="1"/>
        <v>0.29691031563146875</v>
      </c>
      <c r="Z83" s="306">
        <f ca="1"/>
        <v>0.27808394980380907</v>
      </c>
      <c r="AA83" s="306">
        <f ca="1"/>
        <v>0.44539774631615076</v>
      </c>
      <c r="AB83" s="139">
        <f ca="1"/>
        <v>-0.31079358334370855</v>
      </c>
      <c r="AC83" s="495"/>
      <c r="AD83" s="495"/>
      <c r="AE83" s="495"/>
    </row>
    <row r="84" spans="2:36" x14ac:dyDescent="0.25">
      <c r="D84" s="138">
        <f ca="1"/>
        <v>-0.35508869593067621</v>
      </c>
      <c r="E84" s="306">
        <f ca="1"/>
        <v>2.473226548926343</v>
      </c>
      <c r="F84" s="306">
        <f ca="1"/>
        <v>1.5462889736876682</v>
      </c>
      <c r="G84" s="306">
        <f ca="1"/>
        <v>-0.26354671448282113</v>
      </c>
      <c r="H84" s="139">
        <f ca="1"/>
        <v>-0.26861340529971534</v>
      </c>
      <c r="M84" s="138">
        <f ca="1"/>
        <v>0.96456983493745785</v>
      </c>
      <c r="N84" s="306">
        <f ca="1"/>
        <v>0.2974381744348194</v>
      </c>
      <c r="O84" s="306">
        <f ca="1"/>
        <v>-0.66416735827039775</v>
      </c>
      <c r="P84" s="306">
        <f ca="1"/>
        <v>-1.1740047346845341</v>
      </c>
      <c r="Q84" s="139">
        <f ca="1"/>
        <v>-2.0515326737820851</v>
      </c>
      <c r="V84" s="495"/>
      <c r="W84" s="495"/>
      <c r="X84" s="138">
        <f ca="1"/>
        <v>-0.35508869593067621</v>
      </c>
      <c r="Y84" s="306">
        <f ca="1"/>
        <v>2.473226548926343</v>
      </c>
      <c r="Z84" s="306">
        <f ca="1"/>
        <v>1.5462889736876682</v>
      </c>
      <c r="AA84" s="306">
        <f ca="1"/>
        <v>-0.26354671448282113</v>
      </c>
      <c r="AB84" s="139">
        <f ca="1"/>
        <v>-0.26861340529971534</v>
      </c>
      <c r="AC84" s="495"/>
      <c r="AD84" s="495"/>
      <c r="AE84" s="495"/>
    </row>
    <row r="85" spans="2:36" x14ac:dyDescent="0.25">
      <c r="D85" s="138">
        <f ca="1"/>
        <v>-9.1431096942242635E-2</v>
      </c>
      <c r="E85" s="306">
        <f ca="1"/>
        <v>0.42641284474781083</v>
      </c>
      <c r="F85" s="306">
        <f ca="1"/>
        <v>-0.5923458699002222</v>
      </c>
      <c r="G85" s="306">
        <f ca="1"/>
        <v>1.2013235212028235</v>
      </c>
      <c r="H85" s="139">
        <f ca="1"/>
        <v>2.3611673657222285</v>
      </c>
      <c r="M85" s="138">
        <f ca="1"/>
        <v>1.7185865011779202</v>
      </c>
      <c r="N85" s="306">
        <f ca="1"/>
        <v>-0.2884818052458844</v>
      </c>
      <c r="O85" s="306">
        <f ca="1"/>
        <v>-0.21632146817917425</v>
      </c>
      <c r="P85" s="306">
        <f ca="1"/>
        <v>-0.3599440989690163</v>
      </c>
      <c r="Q85" s="139">
        <f ca="1"/>
        <v>-0.97435375802600133</v>
      </c>
      <c r="V85" s="495"/>
      <c r="W85" s="495"/>
      <c r="X85" s="138">
        <f ca="1"/>
        <v>-9.1431096942242635E-2</v>
      </c>
      <c r="Y85" s="306">
        <f ca="1"/>
        <v>0.42641284474781083</v>
      </c>
      <c r="Z85" s="306">
        <f ca="1"/>
        <v>-0.5923458699002222</v>
      </c>
      <c r="AA85" s="306">
        <f ca="1"/>
        <v>1.2013235212028235</v>
      </c>
      <c r="AB85" s="139">
        <f ca="1"/>
        <v>2.3611673657222285</v>
      </c>
      <c r="AC85" s="495"/>
      <c r="AD85" s="495"/>
      <c r="AE85" s="495"/>
    </row>
    <row r="86" spans="2:36" x14ac:dyDescent="0.25">
      <c r="D86" s="138">
        <f ca="1"/>
        <v>-0.21187073507578053</v>
      </c>
      <c r="E86" s="306">
        <f ca="1"/>
        <v>-0.98270009982047668</v>
      </c>
      <c r="F86" s="306">
        <f ca="1"/>
        <v>1.9342596462199904</v>
      </c>
      <c r="G86" s="306">
        <f ca="1"/>
        <v>0.81312021724325545</v>
      </c>
      <c r="H86" s="139">
        <f ca="1"/>
        <v>2.6847701181165196E-2</v>
      </c>
      <c r="M86" s="138">
        <f ca="1"/>
        <v>0.76598288450363161</v>
      </c>
      <c r="N86" s="306">
        <f ca="1"/>
        <v>1.5870388345993123</v>
      </c>
      <c r="O86" s="306">
        <f ca="1"/>
        <v>-8.4546987876763791E-2</v>
      </c>
      <c r="P86" s="306">
        <f ca="1"/>
        <v>-0.53553436856164371</v>
      </c>
      <c r="Q86" s="139">
        <f ca="1"/>
        <v>0.94998486438860852</v>
      </c>
      <c r="V86" s="495"/>
      <c r="W86" s="495"/>
      <c r="X86" s="138">
        <f ca="1"/>
        <v>-0.21187073507578053</v>
      </c>
      <c r="Y86" s="306">
        <f ca="1"/>
        <v>-0.98270009982047668</v>
      </c>
      <c r="Z86" s="306">
        <f ca="1"/>
        <v>1.9342596462199904</v>
      </c>
      <c r="AA86" s="306">
        <f ca="1"/>
        <v>0.81312021724325545</v>
      </c>
      <c r="AB86" s="139">
        <f ca="1"/>
        <v>2.6847701181165196E-2</v>
      </c>
      <c r="AC86" s="495"/>
      <c r="AD86" s="495"/>
      <c r="AE86" s="495"/>
    </row>
    <row r="87" spans="2:36" x14ac:dyDescent="0.25">
      <c r="D87" s="138">
        <f ca="1"/>
        <v>-0.30267530359008576</v>
      </c>
      <c r="E87" s="306">
        <f ca="1"/>
        <v>-0.10619811325803392</v>
      </c>
      <c r="F87" s="306">
        <f ca="1"/>
        <v>1.1920352851635663</v>
      </c>
      <c r="G87" s="306">
        <f ca="1"/>
        <v>-4.2323241996771725E-2</v>
      </c>
      <c r="H87" s="139">
        <f ca="1"/>
        <v>0.82332740776042657</v>
      </c>
      <c r="M87" s="138">
        <f ca="1"/>
        <v>-1.0787446958523739</v>
      </c>
      <c r="N87" s="306">
        <f ca="1"/>
        <v>1.2965006471377027</v>
      </c>
      <c r="O87" s="306">
        <f ca="1"/>
        <v>-6.3466530546962094E-2</v>
      </c>
      <c r="P87" s="306">
        <f ca="1"/>
        <v>-4.7911125790783098E-2</v>
      </c>
      <c r="Q87" s="139">
        <f ca="1"/>
        <v>-0.33236165203571055</v>
      </c>
      <c r="V87" s="495"/>
      <c r="W87" s="495"/>
      <c r="X87" s="138">
        <f ca="1"/>
        <v>-0.30267530359008576</v>
      </c>
      <c r="Y87" s="306">
        <f ca="1"/>
        <v>-0.10619811325803392</v>
      </c>
      <c r="Z87" s="306">
        <f ca="1"/>
        <v>1.1920352851635663</v>
      </c>
      <c r="AA87" s="306">
        <f ca="1"/>
        <v>-4.2323241996771725E-2</v>
      </c>
      <c r="AB87" s="139">
        <f ca="1"/>
        <v>0.82332740776042657</v>
      </c>
      <c r="AC87" s="495"/>
      <c r="AD87" s="495"/>
      <c r="AE87" s="495"/>
    </row>
    <row r="88" spans="2:36" x14ac:dyDescent="0.25">
      <c r="D88" s="138">
        <f ca="1"/>
        <v>0.21279899182954726</v>
      </c>
      <c r="E88" s="306">
        <f ca="1"/>
        <v>-1.1424438777784323</v>
      </c>
      <c r="F88" s="306">
        <f ca="1"/>
        <v>-2.1354251794755204E-2</v>
      </c>
      <c r="G88" s="306">
        <f ca="1"/>
        <v>-1.6548896512828936E-2</v>
      </c>
      <c r="H88" s="139">
        <f ca="1"/>
        <v>-1.1483938988369959</v>
      </c>
      <c r="M88" s="138">
        <f ca="1"/>
        <v>1.1264485430315012</v>
      </c>
      <c r="N88" s="306">
        <f ca="1"/>
        <v>0.47279505230548646</v>
      </c>
      <c r="O88" s="306">
        <f ca="1"/>
        <v>-0.69213719375978666</v>
      </c>
      <c r="P88" s="306">
        <f ca="1"/>
        <v>-1.1813708606478739</v>
      </c>
      <c r="Q88" s="139">
        <f ca="1"/>
        <v>-2.5974834642072446</v>
      </c>
      <c r="V88" s="495"/>
      <c r="W88" s="495"/>
      <c r="X88" s="138">
        <f ca="1"/>
        <v>0.21279899182954726</v>
      </c>
      <c r="Y88" s="306">
        <f ca="1"/>
        <v>-1.1424438777784323</v>
      </c>
      <c r="Z88" s="306">
        <f ca="1"/>
        <v>-2.1354251794755204E-2</v>
      </c>
      <c r="AA88" s="306">
        <f ca="1"/>
        <v>-1.6548896512828936E-2</v>
      </c>
      <c r="AB88" s="139">
        <f ca="1"/>
        <v>-1.1483938988369959</v>
      </c>
      <c r="AC88" s="495"/>
      <c r="AD88" s="495"/>
      <c r="AE88" s="495"/>
    </row>
    <row r="89" spans="2:36" x14ac:dyDescent="0.25">
      <c r="D89" s="140">
        <f ca="1"/>
        <v>5.1409210374823731E-2</v>
      </c>
      <c r="E89" s="205">
        <f ca="1"/>
        <v>-0.21243260074195636</v>
      </c>
      <c r="F89" s="205">
        <f ca="1"/>
        <v>-0.55942050834103574</v>
      </c>
      <c r="G89" s="205">
        <f ca="1"/>
        <v>-0.21798606731311601</v>
      </c>
      <c r="H89" s="141">
        <f ca="1"/>
        <v>-0.77437601649928833</v>
      </c>
      <c r="M89" s="140">
        <f ca="1"/>
        <v>1.126803671515602</v>
      </c>
      <c r="N89" s="205">
        <f ca="1"/>
        <v>-0.12578769910307161</v>
      </c>
      <c r="O89" s="205">
        <f ca="1"/>
        <v>0.31471271671617157</v>
      </c>
      <c r="P89" s="205">
        <f ca="1"/>
        <v>0.49205901100567589</v>
      </c>
      <c r="Q89" s="141">
        <f ca="1"/>
        <v>-1.051816981198425</v>
      </c>
      <c r="V89" s="495"/>
      <c r="W89" s="495"/>
      <c r="X89" s="140">
        <f ca="1"/>
        <v>5.1409210374823731E-2</v>
      </c>
      <c r="Y89" s="205">
        <f ca="1"/>
        <v>-0.21243260074195636</v>
      </c>
      <c r="Z89" s="205">
        <f ca="1"/>
        <v>-0.55942050834103574</v>
      </c>
      <c r="AA89" s="205">
        <f ca="1"/>
        <v>-0.21798606731311601</v>
      </c>
      <c r="AB89" s="141">
        <f ca="1"/>
        <v>-0.77437601649928833</v>
      </c>
      <c r="AC89" s="495"/>
      <c r="AD89" s="495"/>
      <c r="AE89" s="495"/>
    </row>
    <row r="93" spans="2:36" ht="18.75" x14ac:dyDescent="0.3">
      <c r="B93" s="3" t="s">
        <v>527</v>
      </c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56"/>
      <c r="AA93" s="356"/>
      <c r="AB93" s="356"/>
      <c r="AC93" s="356"/>
      <c r="AD93" s="356"/>
      <c r="AE93" s="356"/>
      <c r="AF93" s="356"/>
      <c r="AG93" s="356"/>
      <c r="AH93" s="356"/>
      <c r="AI93" s="356"/>
      <c r="AJ93" s="356"/>
    </row>
    <row r="94" spans="2:36" x14ac:dyDescent="0.25">
      <c r="B94" s="495"/>
      <c r="C94" s="495"/>
      <c r="D94" s="495"/>
      <c r="E94" s="495"/>
      <c r="F94" s="495"/>
      <c r="G94" s="495"/>
      <c r="H94" s="495"/>
      <c r="I94" s="495"/>
      <c r="J94" s="495"/>
      <c r="K94" s="495"/>
    </row>
    <row r="95" spans="2:36" x14ac:dyDescent="0.25">
      <c r="B95" s="59" t="s">
        <v>159</v>
      </c>
      <c r="C95" s="350" t="str" cm="1">
        <f t="array" aca="1" ref="C95" ca="1">_xll.d.TestUtils_And(J100,U100)</f>
        <v>Ok</v>
      </c>
      <c r="D95" s="348"/>
      <c r="E95" s="348"/>
      <c r="F95" s="348"/>
      <c r="G95" s="348"/>
      <c r="H95" s="348"/>
      <c r="I95" s="348"/>
      <c r="J95" s="348"/>
      <c r="K95" s="348"/>
    </row>
    <row r="96" spans="2:36" x14ac:dyDescent="0.25">
      <c r="B96" s="348"/>
      <c r="C96" s="348"/>
      <c r="D96" s="348"/>
      <c r="E96" s="348"/>
      <c r="F96" s="348"/>
      <c r="G96" s="348"/>
      <c r="H96" s="348"/>
      <c r="I96" s="349"/>
      <c r="J96" s="349"/>
      <c r="K96" s="495"/>
    </row>
    <row r="97" spans="2:36" ht="15.75" x14ac:dyDescent="0.25">
      <c r="B97" s="4" t="s">
        <v>532</v>
      </c>
      <c r="C97" s="357"/>
      <c r="D97" s="357"/>
      <c r="E97" s="357"/>
      <c r="F97" s="357"/>
      <c r="G97" s="357"/>
      <c r="H97" s="357"/>
      <c r="I97" s="357"/>
      <c r="J97" s="357"/>
      <c r="K97" s="495"/>
      <c r="L97" s="4" t="s">
        <v>531</v>
      </c>
      <c r="M97" s="357"/>
      <c r="N97" s="357"/>
      <c r="O97" s="357"/>
      <c r="P97" s="357"/>
      <c r="Q97" s="357"/>
      <c r="R97" s="357"/>
      <c r="S97" s="357"/>
      <c r="T97" s="357"/>
      <c r="U97" s="357"/>
      <c r="W97" s="4" t="s">
        <v>535</v>
      </c>
      <c r="X97" s="357"/>
      <c r="Y97" s="357"/>
      <c r="Z97" s="357"/>
      <c r="AA97" s="357"/>
      <c r="AB97" s="357"/>
      <c r="AC97" s="357"/>
      <c r="AD97" s="357"/>
      <c r="AE97" s="357"/>
      <c r="AF97" s="357"/>
      <c r="AG97" s="357"/>
      <c r="AH97" s="357"/>
      <c r="AI97" s="357"/>
      <c r="AJ97" s="357"/>
    </row>
    <row r="98" spans="2:36" x14ac:dyDescent="0.25">
      <c r="G98" s="495"/>
      <c r="H98" s="495"/>
      <c r="I98" s="495"/>
      <c r="K98" s="495"/>
      <c r="W98" s="495"/>
      <c r="X98" s="495"/>
      <c r="Y98" s="495"/>
      <c r="Z98" s="495"/>
      <c r="AA98" s="495"/>
      <c r="AB98" s="495"/>
      <c r="AC98" s="495"/>
      <c r="AD98" s="495"/>
      <c r="AE98" s="495"/>
      <c r="AF98" s="495"/>
    </row>
    <row r="99" spans="2:36" x14ac:dyDescent="0.25">
      <c r="B99" s="453" t="s">
        <v>251</v>
      </c>
      <c r="C99" s="495"/>
      <c r="D99" s="495"/>
      <c r="E99" s="134" t="s">
        <v>133</v>
      </c>
      <c r="F99" s="135"/>
      <c r="H99" s="135" t="s">
        <v>530</v>
      </c>
      <c r="I99" s="134" t="s">
        <v>529</v>
      </c>
      <c r="J99" s="134" t="s">
        <v>84</v>
      </c>
      <c r="K99" s="495"/>
      <c r="L99" s="453" t="s">
        <v>251</v>
      </c>
      <c r="M99" s="495"/>
      <c r="N99" s="495"/>
      <c r="O99" s="135" t="s">
        <v>83</v>
      </c>
      <c r="P99" s="206"/>
      <c r="Q99" s="206"/>
      <c r="R99" s="134" t="s">
        <v>82</v>
      </c>
      <c r="S99" s="134"/>
      <c r="T99" s="134"/>
      <c r="U99" s="134" t="s">
        <v>84</v>
      </c>
      <c r="W99" s="453" t="s">
        <v>251</v>
      </c>
      <c r="X99" s="495"/>
      <c r="Y99" s="495"/>
      <c r="Z99" s="135" t="s">
        <v>83</v>
      </c>
      <c r="AA99" s="206"/>
      <c r="AB99" s="206"/>
      <c r="AC99" s="206"/>
      <c r="AD99" s="206"/>
      <c r="AE99" s="134" t="s">
        <v>82</v>
      </c>
      <c r="AF99" s="134"/>
      <c r="AG99" s="134"/>
      <c r="AH99" s="134"/>
      <c r="AI99" s="134"/>
      <c r="AJ99" s="134" t="s">
        <v>84</v>
      </c>
    </row>
    <row r="100" spans="2:36" x14ac:dyDescent="0.25">
      <c r="B100" s="454" t="s">
        <v>399</v>
      </c>
      <c r="C100" s="495"/>
      <c r="D100" s="495"/>
      <c r="E100" s="136" cm="1">
        <f t="array" aca="1" ref="E100:F1099" ca="1">_xll.d.Stats_CorrelatedNormalRandomNumbers(B101,1000,B104:C105)</f>
        <v>-0.63711590014289476</v>
      </c>
      <c r="F100" s="137">
        <f ca="1"/>
        <v>0.84456194899566184</v>
      </c>
      <c r="H100" s="455">
        <v>0.02</v>
      </c>
      <c r="I100" s="500">
        <f ca="1">CORREL(E100:E1099,F100:F1099)</f>
        <v>0.48560602595764718</v>
      </c>
      <c r="J100" s="360" t="str" cm="1">
        <f t="array" aca="1" ref="J100" ca="1">_xll.d.TestUtils_Equal(I100,C104,H100)</f>
        <v>Ok</v>
      </c>
      <c r="K100" s="495"/>
      <c r="L100" s="454" t="s">
        <v>399</v>
      </c>
      <c r="M100" s="495"/>
      <c r="N100" s="495"/>
      <c r="O100" s="614" t="s">
        <v>505</v>
      </c>
      <c r="P100" s="636"/>
      <c r="Q100" s="636"/>
      <c r="R100" s="637" t="str" cm="1">
        <f t="array" aca="1" ref="R100" ca="1">_xll.d.Stats_CorrelatedNormalRandomNumbers(L101,10000,L104:N105)</f>
        <v>#∂Excel Error: Matrix is not square.</v>
      </c>
      <c r="S100" s="597"/>
      <c r="T100" s="616"/>
      <c r="U100" s="360" t="str" cm="1">
        <f t="array" aca="1" ref="U100" ca="1">_xll.d.TestUtils_Equal(O100,R100)</f>
        <v>Ok</v>
      </c>
      <c r="W100" s="454" t="s">
        <v>399</v>
      </c>
      <c r="X100" s="495"/>
      <c r="Y100" s="495"/>
      <c r="Z100" s="614" t="s">
        <v>534</v>
      </c>
      <c r="AA100" s="636"/>
      <c r="AB100" s="636"/>
      <c r="AC100" s="636"/>
      <c r="AD100" s="636"/>
      <c r="AE100" s="637" t="str" cm="1">
        <f t="array" aca="1" ref="AE100" ca="1">_xll.d.Stats_CorrelatedNormalRandomNumbers(W101,10000,W104:X105)</f>
        <v>#∂Excel Error: Diagonal elements of the correlation matrix must be 1.</v>
      </c>
      <c r="AF100" s="597"/>
      <c r="AG100" s="616"/>
      <c r="AH100" s="616"/>
      <c r="AI100" s="616"/>
      <c r="AJ100" s="360" t="str" cm="1">
        <f t="array" aca="1" ref="AJ100" ca="1">_xll.d.TestUtils_Equal(Z100,AE100)</f>
        <v>Ok</v>
      </c>
    </row>
    <row r="101" spans="2:36" x14ac:dyDescent="0.25">
      <c r="B101" s="456">
        <v>1337</v>
      </c>
      <c r="C101" s="495"/>
      <c r="D101" s="495"/>
      <c r="E101" s="138">
        <f ca="1"/>
        <v>0.15231246463563991</v>
      </c>
      <c r="F101" s="139">
        <f ca="1"/>
        <v>0.47829429270237378</v>
      </c>
      <c r="G101" s="495"/>
      <c r="H101" s="495"/>
      <c r="I101" s="495"/>
      <c r="K101" s="495"/>
      <c r="L101" s="456">
        <v>1337</v>
      </c>
      <c r="M101" s="495"/>
      <c r="N101" s="495"/>
      <c r="O101" s="495"/>
      <c r="P101" s="495"/>
      <c r="Q101" s="495"/>
      <c r="R101" s="495"/>
      <c r="S101" s="495"/>
      <c r="T101" s="495"/>
      <c r="U101" s="495"/>
      <c r="V101" s="495"/>
      <c r="W101" s="456">
        <v>1337</v>
      </c>
      <c r="X101" s="495"/>
      <c r="Y101" s="495"/>
      <c r="Z101" s="495"/>
      <c r="AA101" s="495"/>
      <c r="AB101" s="495"/>
      <c r="AC101" s="495"/>
      <c r="AD101" s="495"/>
      <c r="AE101" s="495"/>
      <c r="AF101" s="495"/>
      <c r="AG101" s="495"/>
      <c r="AH101" s="495"/>
    </row>
    <row r="102" spans="2:36" x14ac:dyDescent="0.25">
      <c r="B102" s="495"/>
      <c r="C102" s="495"/>
      <c r="D102" s="495"/>
      <c r="E102" s="138">
        <f ca="1"/>
        <v>-0.9998813019474484</v>
      </c>
      <c r="F102" s="139">
        <f ca="1"/>
        <v>-0.42248079145312911</v>
      </c>
      <c r="G102" s="495"/>
      <c r="I102" s="495"/>
      <c r="J102" s="495"/>
      <c r="K102" s="495"/>
      <c r="L102" s="495"/>
      <c r="M102" s="495"/>
      <c r="N102" s="495"/>
      <c r="O102" s="495"/>
      <c r="P102" s="495"/>
      <c r="Q102" s="495"/>
      <c r="R102" s="495"/>
      <c r="S102" s="495"/>
      <c r="T102" s="495"/>
      <c r="W102" s="495"/>
      <c r="X102" s="495"/>
      <c r="Y102" s="495"/>
      <c r="Z102" s="495"/>
      <c r="AA102" s="495"/>
      <c r="AB102" s="495"/>
      <c r="AC102" s="495"/>
      <c r="AD102" s="495"/>
      <c r="AE102" s="495"/>
      <c r="AF102" s="495"/>
    </row>
    <row r="103" spans="2:36" x14ac:dyDescent="0.25">
      <c r="B103" s="628" t="s">
        <v>528</v>
      </c>
      <c r="C103" s="629"/>
      <c r="D103" s="495"/>
      <c r="E103" s="138">
        <f ca="1"/>
        <v>-0.79747485963926357</v>
      </c>
      <c r="F103" s="139">
        <f ca="1"/>
        <v>-9.5083842356327608E-2</v>
      </c>
      <c r="G103" s="495"/>
      <c r="I103" s="495"/>
      <c r="J103" s="495"/>
      <c r="K103" s="495"/>
      <c r="L103" s="628" t="s">
        <v>528</v>
      </c>
      <c r="M103" s="629"/>
      <c r="N103" s="629"/>
      <c r="O103" s="495"/>
      <c r="P103" s="495"/>
      <c r="Q103" s="495"/>
      <c r="R103" s="495"/>
      <c r="S103" s="495"/>
      <c r="T103" s="495"/>
      <c r="W103" s="628" t="s">
        <v>528</v>
      </c>
      <c r="X103" s="629"/>
      <c r="Z103" s="495"/>
      <c r="AA103" s="495"/>
      <c r="AB103" s="495"/>
      <c r="AC103" s="495"/>
      <c r="AD103" s="495"/>
      <c r="AE103" s="495"/>
      <c r="AF103" s="495"/>
    </row>
    <row r="104" spans="2:36" x14ac:dyDescent="0.25">
      <c r="B104" s="630">
        <v>1</v>
      </c>
      <c r="C104" s="631">
        <v>0.5</v>
      </c>
      <c r="D104" s="495"/>
      <c r="E104" s="138">
        <f ca="1"/>
        <v>-0.5884160994078016</v>
      </c>
      <c r="F104" s="139">
        <f ca="1"/>
        <v>-0.9023636271852018</v>
      </c>
      <c r="G104" s="495"/>
      <c r="H104" s="495"/>
      <c r="I104" s="495"/>
      <c r="J104" s="495"/>
      <c r="K104" s="495"/>
      <c r="L104" s="630">
        <v>1</v>
      </c>
      <c r="M104" s="634">
        <v>0.5</v>
      </c>
      <c r="N104" s="631">
        <v>0.1</v>
      </c>
      <c r="O104" s="495"/>
      <c r="P104" s="495"/>
      <c r="Q104" s="495"/>
      <c r="R104" s="495"/>
      <c r="S104" s="495"/>
      <c r="T104" s="495"/>
      <c r="W104" s="630">
        <v>1</v>
      </c>
      <c r="X104" s="631">
        <v>0.5</v>
      </c>
      <c r="Z104" s="495"/>
      <c r="AA104" s="495"/>
      <c r="AB104" s="495"/>
      <c r="AC104" s="495"/>
      <c r="AD104" s="495"/>
      <c r="AE104" s="495"/>
      <c r="AF104" s="495"/>
    </row>
    <row r="105" spans="2:36" x14ac:dyDescent="0.25">
      <c r="B105" s="632">
        <v>0.5</v>
      </c>
      <c r="C105" s="633">
        <v>1</v>
      </c>
      <c r="D105" s="495"/>
      <c r="E105" s="138">
        <f ca="1"/>
        <v>0.10819798524690837</v>
      </c>
      <c r="F105" s="139">
        <f ca="1"/>
        <v>-0.16053601760642122</v>
      </c>
      <c r="G105" s="495"/>
      <c r="H105" s="495"/>
      <c r="I105" s="495"/>
      <c r="L105" s="632">
        <v>0.5</v>
      </c>
      <c r="M105" s="635">
        <v>1</v>
      </c>
      <c r="N105" s="633">
        <v>0.1</v>
      </c>
      <c r="O105" s="495"/>
      <c r="P105" s="495"/>
      <c r="Q105" s="495"/>
      <c r="R105" s="495"/>
      <c r="S105" s="495"/>
      <c r="T105" s="495"/>
      <c r="W105" s="632">
        <v>0.5</v>
      </c>
      <c r="X105" s="633">
        <v>0.1</v>
      </c>
      <c r="Z105" s="495"/>
      <c r="AA105" s="495"/>
      <c r="AB105" s="495"/>
      <c r="AC105" s="495"/>
      <c r="AD105" s="495"/>
      <c r="AE105" s="495"/>
      <c r="AF105" s="495"/>
    </row>
    <row r="106" spans="2:36" x14ac:dyDescent="0.25">
      <c r="B106" s="495"/>
      <c r="C106" s="495"/>
      <c r="D106" s="495"/>
      <c r="E106" s="138">
        <f ca="1"/>
        <v>-0.10215483425175563</v>
      </c>
      <c r="F106" s="139">
        <f ca="1"/>
        <v>0.82298047661168872</v>
      </c>
      <c r="G106" s="495"/>
      <c r="H106" s="495"/>
      <c r="I106" s="495"/>
      <c r="J106" s="495"/>
      <c r="K106" s="495"/>
      <c r="L106" s="495"/>
      <c r="M106" s="495"/>
      <c r="N106" s="495"/>
      <c r="O106" s="495"/>
      <c r="P106" s="495"/>
      <c r="Q106" s="495"/>
      <c r="R106" s="495"/>
      <c r="S106" s="495"/>
      <c r="T106" s="495"/>
    </row>
    <row r="107" spans="2:36" x14ac:dyDescent="0.25">
      <c r="B107" s="495"/>
      <c r="C107" s="495"/>
      <c r="D107" s="495"/>
      <c r="E107" s="138">
        <f ca="1"/>
        <v>-1.8253861328037648</v>
      </c>
      <c r="F107" s="139">
        <f ca="1"/>
        <v>-1.602159433313876</v>
      </c>
      <c r="G107" s="495"/>
      <c r="H107" s="495"/>
      <c r="I107" s="495"/>
      <c r="J107" s="495"/>
      <c r="O107" s="495"/>
      <c r="P107" s="495"/>
    </row>
    <row r="108" spans="2:36" x14ac:dyDescent="0.25">
      <c r="B108" s="495"/>
      <c r="C108" s="495"/>
      <c r="D108" s="495"/>
      <c r="E108" s="138">
        <f ca="1"/>
        <v>-0.46490277119672319</v>
      </c>
      <c r="F108" s="139">
        <f ca="1"/>
        <v>0.54743340516363714</v>
      </c>
      <c r="G108" s="495"/>
      <c r="H108" s="495"/>
      <c r="I108" s="495"/>
      <c r="O108" s="495"/>
      <c r="P108" s="495"/>
    </row>
    <row r="109" spans="2:36" x14ac:dyDescent="0.25">
      <c r="B109" s="495"/>
      <c r="C109" s="495"/>
      <c r="D109" s="495"/>
      <c r="E109" s="138">
        <f ca="1"/>
        <v>-0.72121450340504112</v>
      </c>
      <c r="F109" s="139">
        <f ca="1"/>
        <v>-0.64315233368067881</v>
      </c>
      <c r="G109" s="495"/>
      <c r="H109" s="495"/>
      <c r="I109" s="495"/>
      <c r="O109" s="495"/>
      <c r="P109" s="495"/>
    </row>
    <row r="110" spans="2:36" x14ac:dyDescent="0.25">
      <c r="B110" s="495"/>
      <c r="C110" s="495"/>
      <c r="D110" s="495"/>
      <c r="E110" s="138">
        <f ca="1"/>
        <v>4.6120309846438508E-2</v>
      </c>
      <c r="F110" s="139">
        <f ca="1"/>
        <v>-0.5928001919386181</v>
      </c>
      <c r="G110" s="495"/>
      <c r="H110" s="495"/>
      <c r="I110" s="495"/>
    </row>
    <row r="111" spans="2:36" x14ac:dyDescent="0.25">
      <c r="B111" s="495"/>
      <c r="C111" s="495"/>
      <c r="D111" s="495"/>
      <c r="E111" s="138">
        <f ca="1"/>
        <v>0.23298387080043784</v>
      </c>
      <c r="F111" s="139">
        <f ca="1"/>
        <v>1.1894164015965809</v>
      </c>
      <c r="G111" s="495"/>
      <c r="H111" s="495"/>
      <c r="I111" s="495"/>
    </row>
    <row r="112" spans="2:36" x14ac:dyDescent="0.25">
      <c r="B112" s="495"/>
      <c r="C112" s="495"/>
      <c r="D112" s="495"/>
      <c r="E112" s="138">
        <f ca="1"/>
        <v>-0.63736695093064755</v>
      </c>
      <c r="F112" s="139">
        <f ca="1"/>
        <v>0.66553663357392834</v>
      </c>
      <c r="G112" s="495"/>
      <c r="H112" s="495"/>
      <c r="I112" s="495"/>
    </row>
    <row r="113" spans="2:9" x14ac:dyDescent="0.25">
      <c r="B113" s="495"/>
      <c r="C113" s="495"/>
      <c r="D113" s="495"/>
      <c r="E113" s="138">
        <f ca="1"/>
        <v>-0.42607435867377447</v>
      </c>
      <c r="F113" s="139">
        <f ca="1"/>
        <v>-1.8109423534872184</v>
      </c>
      <c r="G113" s="495"/>
      <c r="H113" s="495"/>
      <c r="I113" s="495"/>
    </row>
    <row r="114" spans="2:9" x14ac:dyDescent="0.25">
      <c r="B114" s="495"/>
      <c r="C114" s="495"/>
      <c r="D114" s="495"/>
      <c r="E114" s="138">
        <f ca="1"/>
        <v>1.9788808392213517</v>
      </c>
      <c r="F114" s="139">
        <f ca="1"/>
        <v>0.59982135212765764</v>
      </c>
      <c r="G114" s="495"/>
      <c r="H114" s="495"/>
      <c r="I114" s="495"/>
    </row>
    <row r="115" spans="2:9" x14ac:dyDescent="0.25">
      <c r="B115" s="495"/>
      <c r="C115" s="495"/>
      <c r="D115" s="495"/>
      <c r="E115" s="138">
        <f ca="1"/>
        <v>-0.61135617247427165</v>
      </c>
      <c r="F115" s="139">
        <f ca="1"/>
        <v>-0.16199824588518494</v>
      </c>
      <c r="G115" s="495"/>
      <c r="H115" s="495"/>
      <c r="I115" s="495"/>
    </row>
    <row r="116" spans="2:9" x14ac:dyDescent="0.25">
      <c r="B116" s="495"/>
      <c r="C116" s="495"/>
      <c r="D116" s="495"/>
      <c r="E116" s="138">
        <f ca="1"/>
        <v>0.62134768002507634</v>
      </c>
      <c r="F116" s="139">
        <f ca="1"/>
        <v>5.0881786810330065E-2</v>
      </c>
      <c r="G116" s="495"/>
      <c r="H116" s="495"/>
      <c r="I116" s="495"/>
    </row>
    <row r="117" spans="2:9" x14ac:dyDescent="0.25">
      <c r="B117" s="495"/>
      <c r="C117" s="495"/>
      <c r="D117" s="495"/>
      <c r="E117" s="138">
        <f ca="1"/>
        <v>-0.50308335820540317</v>
      </c>
      <c r="F117" s="139">
        <f ca="1"/>
        <v>-1.7375185163355833</v>
      </c>
      <c r="G117" s="495"/>
      <c r="H117" s="495"/>
      <c r="I117" s="495"/>
    </row>
    <row r="118" spans="2:9" x14ac:dyDescent="0.25">
      <c r="B118" s="495"/>
      <c r="C118" s="495"/>
      <c r="D118" s="495"/>
      <c r="E118" s="138">
        <f ca="1"/>
        <v>-1.198947290104817</v>
      </c>
      <c r="F118" s="139">
        <f ca="1"/>
        <v>-0.80776135102045443</v>
      </c>
      <c r="G118" s="495"/>
      <c r="H118" s="495"/>
      <c r="I118" s="495"/>
    </row>
    <row r="119" spans="2:9" x14ac:dyDescent="0.25">
      <c r="B119" s="495"/>
      <c r="C119" s="495"/>
      <c r="D119" s="495"/>
      <c r="E119" s="138">
        <f ca="1"/>
        <v>0.85011456561901899</v>
      </c>
      <c r="F119" s="139">
        <f ca="1"/>
        <v>0.75433223195935672</v>
      </c>
      <c r="G119" s="495"/>
      <c r="H119" s="495"/>
      <c r="I119" s="495"/>
    </row>
    <row r="120" spans="2:9" x14ac:dyDescent="0.25">
      <c r="B120" s="495"/>
      <c r="C120" s="495"/>
      <c r="D120" s="495"/>
      <c r="E120" s="138">
        <f ca="1"/>
        <v>-0.28904080804777654</v>
      </c>
      <c r="F120" s="139">
        <f ca="1"/>
        <v>-0.13114332596663178</v>
      </c>
      <c r="G120" s="495"/>
      <c r="H120" s="495"/>
      <c r="I120" s="495"/>
    </row>
    <row r="121" spans="2:9" x14ac:dyDescent="0.25">
      <c r="B121" s="495"/>
      <c r="C121" s="495"/>
      <c r="D121" s="495"/>
      <c r="E121" s="138">
        <f ca="1"/>
        <v>-1.3097052116291188</v>
      </c>
      <c r="F121" s="139">
        <f ca="1"/>
        <v>-0.77132035795250675</v>
      </c>
      <c r="G121" s="495"/>
      <c r="H121" s="495"/>
      <c r="I121" s="495"/>
    </row>
    <row r="122" spans="2:9" x14ac:dyDescent="0.25">
      <c r="B122" s="495"/>
      <c r="C122" s="495"/>
      <c r="D122" s="495"/>
      <c r="E122" s="138">
        <f ca="1"/>
        <v>0.32788629545256831</v>
      </c>
      <c r="F122" s="139">
        <f ca="1"/>
        <v>-0.44640862778964918</v>
      </c>
      <c r="G122" s="495"/>
      <c r="H122" s="495"/>
      <c r="I122" s="495"/>
    </row>
    <row r="123" spans="2:9" x14ac:dyDescent="0.25">
      <c r="B123" s="495"/>
      <c r="C123" s="495"/>
      <c r="D123" s="495"/>
      <c r="E123" s="138">
        <f ca="1"/>
        <v>-0.35007770185857218</v>
      </c>
      <c r="F123" s="139">
        <f ca="1"/>
        <v>-0.2158987628205247</v>
      </c>
      <c r="G123" s="495"/>
      <c r="H123" s="495"/>
      <c r="I123" s="495"/>
    </row>
    <row r="124" spans="2:9" x14ac:dyDescent="0.25">
      <c r="B124" s="495"/>
      <c r="C124" s="495"/>
      <c r="D124" s="495"/>
      <c r="E124" s="138">
        <f ca="1"/>
        <v>-1.1500680545803554</v>
      </c>
      <c r="F124" s="139">
        <f ca="1"/>
        <v>-0.6318260811190054</v>
      </c>
      <c r="G124" s="495"/>
      <c r="H124" s="495"/>
      <c r="I124" s="495"/>
    </row>
    <row r="125" spans="2:9" x14ac:dyDescent="0.25">
      <c r="B125" s="495"/>
      <c r="C125" s="495"/>
      <c r="D125" s="495"/>
      <c r="E125" s="138">
        <f ca="1"/>
        <v>0.64691193539250558</v>
      </c>
      <c r="F125" s="139">
        <f ca="1"/>
        <v>0.16330750234458277</v>
      </c>
      <c r="G125" s="495"/>
      <c r="H125" s="495"/>
      <c r="I125" s="495"/>
    </row>
    <row r="126" spans="2:9" x14ac:dyDescent="0.25">
      <c r="B126" s="495"/>
      <c r="C126" s="495"/>
      <c r="D126" s="495"/>
      <c r="E126" s="138">
        <f ca="1"/>
        <v>2.1332675037689501</v>
      </c>
      <c r="F126" s="139">
        <f ca="1"/>
        <v>0.5141581185646944</v>
      </c>
      <c r="G126" s="495"/>
      <c r="H126" s="495"/>
      <c r="I126" s="495"/>
    </row>
    <row r="127" spans="2:9" x14ac:dyDescent="0.25">
      <c r="B127" s="495"/>
      <c r="C127" s="495"/>
      <c r="D127" s="495"/>
      <c r="E127" s="138">
        <f ca="1"/>
        <v>-0.99466901445455624</v>
      </c>
      <c r="F127" s="139">
        <f ca="1"/>
        <v>-0.79085024171276141</v>
      </c>
      <c r="G127" s="495"/>
      <c r="H127" s="495"/>
      <c r="I127" s="495"/>
    </row>
    <row r="128" spans="2:9" x14ac:dyDescent="0.25">
      <c r="B128" s="495"/>
      <c r="C128" s="495"/>
      <c r="D128" s="495"/>
      <c r="E128" s="138">
        <f ca="1"/>
        <v>-0.14279798956905393</v>
      </c>
      <c r="F128" s="139">
        <f ca="1"/>
        <v>-0.31071129788837526</v>
      </c>
      <c r="G128" s="495"/>
      <c r="H128" s="495"/>
      <c r="I128" s="495"/>
    </row>
    <row r="129" spans="2:9" x14ac:dyDescent="0.25">
      <c r="B129" s="495"/>
      <c r="C129" s="495"/>
      <c r="D129" s="495"/>
      <c r="E129" s="138">
        <f ca="1"/>
        <v>1.092291704880513</v>
      </c>
      <c r="F129" s="139">
        <f ca="1"/>
        <v>0.93315283024169848</v>
      </c>
      <c r="G129" s="495"/>
      <c r="H129" s="495"/>
      <c r="I129" s="495"/>
    </row>
    <row r="130" spans="2:9" x14ac:dyDescent="0.25">
      <c r="B130" s="495"/>
      <c r="C130" s="495"/>
      <c r="D130" s="495"/>
      <c r="E130" s="138">
        <f ca="1"/>
        <v>0.80488972711453355</v>
      </c>
      <c r="F130" s="139">
        <f ca="1"/>
        <v>1.4541362445210737</v>
      </c>
      <c r="G130" s="495"/>
      <c r="H130" s="495"/>
      <c r="I130" s="495"/>
    </row>
    <row r="131" spans="2:9" x14ac:dyDescent="0.25">
      <c r="B131" s="495"/>
      <c r="C131" s="495"/>
      <c r="D131" s="495"/>
      <c r="E131" s="138">
        <f ca="1"/>
        <v>0.80605770412109401</v>
      </c>
      <c r="F131" s="139">
        <f ca="1"/>
        <v>0.30077271057027066</v>
      </c>
      <c r="G131" s="495"/>
      <c r="H131" s="495"/>
      <c r="I131" s="495"/>
    </row>
    <row r="132" spans="2:9" x14ac:dyDescent="0.25">
      <c r="B132" s="495"/>
      <c r="C132" s="495"/>
      <c r="D132" s="495"/>
      <c r="E132" s="138">
        <f ca="1"/>
        <v>0.82079536005409337</v>
      </c>
      <c r="F132" s="139">
        <f ca="1"/>
        <v>6.0340443408998967E-2</v>
      </c>
      <c r="G132" s="495"/>
      <c r="H132" s="495"/>
      <c r="I132" s="495"/>
    </row>
    <row r="133" spans="2:9" x14ac:dyDescent="0.25">
      <c r="B133" s="495"/>
      <c r="C133" s="495"/>
      <c r="D133" s="495"/>
      <c r="E133" s="138">
        <f ca="1"/>
        <v>-2.5528312879719279</v>
      </c>
      <c r="F133" s="139">
        <f ca="1"/>
        <v>-0.93906848741894711</v>
      </c>
      <c r="G133" s="495"/>
      <c r="H133" s="495"/>
      <c r="I133" s="495"/>
    </row>
    <row r="134" spans="2:9" x14ac:dyDescent="0.25">
      <c r="B134" s="495"/>
      <c r="C134" s="495"/>
      <c r="D134" s="495"/>
      <c r="E134" s="138">
        <f ca="1"/>
        <v>-0.35508869593067621</v>
      </c>
      <c r="F134" s="139">
        <f ca="1"/>
        <v>-1.1014430688808257</v>
      </c>
      <c r="G134" s="495"/>
      <c r="H134" s="495"/>
      <c r="I134" s="495"/>
    </row>
    <row r="135" spans="2:9" x14ac:dyDescent="0.25">
      <c r="B135" s="495"/>
      <c r="C135" s="495"/>
      <c r="D135" s="495"/>
      <c r="E135" s="138">
        <f ca="1"/>
        <v>-9.1431096942242635E-2</v>
      </c>
      <c r="F135" s="139">
        <f ca="1"/>
        <v>1.2131612383010271</v>
      </c>
      <c r="G135" s="495"/>
      <c r="H135" s="495"/>
      <c r="I135" s="495"/>
    </row>
    <row r="136" spans="2:9" x14ac:dyDescent="0.25">
      <c r="B136" s="495"/>
      <c r="C136" s="495"/>
      <c r="D136" s="495"/>
      <c r="E136" s="138">
        <f ca="1"/>
        <v>-0.21187073507578053</v>
      </c>
      <c r="F136" s="139">
        <f ca="1"/>
        <v>0.41328272517271725</v>
      </c>
      <c r="G136" s="495"/>
      <c r="H136" s="495"/>
      <c r="I136" s="495"/>
    </row>
    <row r="137" spans="2:9" x14ac:dyDescent="0.25">
      <c r="B137" s="495"/>
      <c r="C137" s="495"/>
      <c r="D137" s="495"/>
      <c r="E137" s="138">
        <f ca="1"/>
        <v>-0.30267530359008576</v>
      </c>
      <c r="F137" s="139">
        <f ca="1"/>
        <v>-1.288533726326472</v>
      </c>
      <c r="G137" s="495"/>
      <c r="H137" s="495"/>
      <c r="I137" s="495"/>
    </row>
    <row r="138" spans="2:9" x14ac:dyDescent="0.25">
      <c r="B138" s="495"/>
      <c r="C138" s="495"/>
      <c r="D138" s="495"/>
      <c r="E138" s="138">
        <f ca="1"/>
        <v>0.21279899182954726</v>
      </c>
      <c r="F138" s="139">
        <f ca="1"/>
        <v>-0.3789423448663205</v>
      </c>
      <c r="G138" s="495"/>
      <c r="H138" s="495"/>
      <c r="I138" s="495"/>
    </row>
    <row r="139" spans="2:9" x14ac:dyDescent="0.25">
      <c r="B139" s="495"/>
      <c r="C139" s="495"/>
      <c r="D139" s="495"/>
      <c r="E139" s="138">
        <f ca="1"/>
        <v>5.1409210374823731E-2</v>
      </c>
      <c r="F139" s="139">
        <f ca="1"/>
        <v>-1.8738822833676356</v>
      </c>
      <c r="G139" s="495"/>
      <c r="H139" s="495"/>
      <c r="I139" s="495"/>
    </row>
    <row r="140" spans="2:9" x14ac:dyDescent="0.25">
      <c r="D140" s="495"/>
      <c r="E140" s="138">
        <f ca="1"/>
        <v>0.70685522048944815</v>
      </c>
      <c r="F140" s="139">
        <f ca="1"/>
        <v>1.0028923126608638</v>
      </c>
      <c r="G140" s="495"/>
      <c r="H140" s="495"/>
      <c r="I140" s="495"/>
    </row>
    <row r="141" spans="2:9" x14ac:dyDescent="0.25">
      <c r="E141" s="138">
        <f ca="1"/>
        <v>-0.33198021492010854</v>
      </c>
      <c r="F141" s="139">
        <f ca="1"/>
        <v>-0.74412006725614055</v>
      </c>
    </row>
    <row r="142" spans="2:9" x14ac:dyDescent="0.25">
      <c r="E142" s="138">
        <f ca="1"/>
        <v>-0.88600131746401845</v>
      </c>
      <c r="F142" s="139">
        <f ca="1"/>
        <v>1.931276287589698</v>
      </c>
    </row>
    <row r="143" spans="2:9" x14ac:dyDescent="0.25">
      <c r="E143" s="138">
        <f ca="1"/>
        <v>-6.1108551057670997E-2</v>
      </c>
      <c r="F143" s="139">
        <f ca="1"/>
        <v>0.38857864712905388</v>
      </c>
    </row>
    <row r="144" spans="2:9" x14ac:dyDescent="0.25">
      <c r="E144" s="138">
        <f ca="1"/>
        <v>-0.55874715130596764</v>
      </c>
      <c r="F144" s="139">
        <f ca="1"/>
        <v>-0.15289113445596356</v>
      </c>
    </row>
    <row r="145" spans="5:6" x14ac:dyDescent="0.25">
      <c r="E145" s="138">
        <f ca="1"/>
        <v>1.0965073943909254</v>
      </c>
      <c r="F145" s="139">
        <f ca="1"/>
        <v>0.22389670655705418</v>
      </c>
    </row>
    <row r="146" spans="5:6" x14ac:dyDescent="0.25">
      <c r="E146" s="138">
        <f ca="1"/>
        <v>0.44051757578957157</v>
      </c>
      <c r="F146" s="139">
        <f ca="1"/>
        <v>-0.59697631692200226</v>
      </c>
    </row>
    <row r="147" spans="5:6" x14ac:dyDescent="0.25">
      <c r="E147" s="138">
        <f ca="1"/>
        <v>-0.24037216180075424</v>
      </c>
      <c r="F147" s="139">
        <f ca="1"/>
        <v>-1.0904447104487331</v>
      </c>
    </row>
    <row r="148" spans="5:6" x14ac:dyDescent="0.25">
      <c r="E148" s="138">
        <f ca="1"/>
        <v>-8.8166823894022877E-4</v>
      </c>
      <c r="F148" s="139">
        <f ca="1"/>
        <v>-0.14206662939394221</v>
      </c>
    </row>
    <row r="149" spans="5:6" x14ac:dyDescent="0.25">
      <c r="E149" s="138">
        <f ca="1"/>
        <v>-0.14969739262215401</v>
      </c>
      <c r="F149" s="139">
        <f ca="1"/>
        <v>-0.54389019516318227</v>
      </c>
    </row>
    <row r="150" spans="5:6" x14ac:dyDescent="0.25">
      <c r="E150" s="138">
        <f ca="1"/>
        <v>-0.92083350795883689</v>
      </c>
      <c r="F150" s="139">
        <f ca="1"/>
        <v>-0.6532211587259702</v>
      </c>
    </row>
    <row r="151" spans="5:6" x14ac:dyDescent="0.25">
      <c r="E151" s="138">
        <f ca="1"/>
        <v>-1.0764899712107359</v>
      </c>
      <c r="F151" s="139">
        <f ca="1"/>
        <v>-0.62558832667807129</v>
      </c>
    </row>
    <row r="152" spans="5:6" x14ac:dyDescent="0.25">
      <c r="E152" s="138">
        <f ca="1"/>
        <v>-0.21947173866600425</v>
      </c>
      <c r="F152" s="139">
        <f ca="1"/>
        <v>-1.9825498064517193</v>
      </c>
    </row>
    <row r="153" spans="5:6" x14ac:dyDescent="0.25">
      <c r="E153" s="138">
        <f ca="1"/>
        <v>0.91605467339775526</v>
      </c>
      <c r="F153" s="139">
        <f ca="1"/>
        <v>2.0018973536605671</v>
      </c>
    </row>
    <row r="154" spans="5:6" x14ac:dyDescent="0.25">
      <c r="E154" s="138">
        <f ca="1"/>
        <v>-0.8444992802006771</v>
      </c>
      <c r="F154" s="139">
        <f ca="1"/>
        <v>-1.6568717233794024</v>
      </c>
    </row>
    <row r="155" spans="5:6" x14ac:dyDescent="0.25">
      <c r="E155" s="138">
        <f ca="1"/>
        <v>1.2682963768981825</v>
      </c>
      <c r="F155" s="139">
        <f ca="1"/>
        <v>-0.31174255977801213</v>
      </c>
    </row>
    <row r="156" spans="5:6" x14ac:dyDescent="0.25">
      <c r="E156" s="138">
        <f ca="1"/>
        <v>7.9542410013188777E-2</v>
      </c>
      <c r="F156" s="139">
        <f ca="1"/>
        <v>0.46488023069332784</v>
      </c>
    </row>
    <row r="157" spans="5:6" x14ac:dyDescent="0.25">
      <c r="E157" s="138">
        <f ca="1"/>
        <v>1.4640300463756799</v>
      </c>
      <c r="F157" s="139">
        <f ca="1"/>
        <v>0.15418034983715145</v>
      </c>
    </row>
    <row r="158" spans="5:6" x14ac:dyDescent="0.25">
      <c r="E158" s="138">
        <f ca="1"/>
        <v>0.96357590104857871</v>
      </c>
      <c r="F158" s="139">
        <f ca="1"/>
        <v>0.58988453502361859</v>
      </c>
    </row>
    <row r="159" spans="5:6" x14ac:dyDescent="0.25">
      <c r="E159" s="138">
        <f ca="1"/>
        <v>0.30429192596407545</v>
      </c>
      <c r="F159" s="139">
        <f ca="1"/>
        <v>-0.5658548187915855</v>
      </c>
    </row>
    <row r="160" spans="5:6" x14ac:dyDescent="0.25">
      <c r="E160" s="138">
        <f ca="1"/>
        <v>-0.89553364635263466</v>
      </c>
      <c r="F160" s="139">
        <f ca="1"/>
        <v>0.84636171659955217</v>
      </c>
    </row>
    <row r="161" spans="5:6" x14ac:dyDescent="0.25">
      <c r="E161" s="138">
        <f ca="1"/>
        <v>1.7215300670511962</v>
      </c>
      <c r="F161" s="139">
        <f ca="1"/>
        <v>9.7436835425233292E-2</v>
      </c>
    </row>
    <row r="162" spans="5:6" x14ac:dyDescent="0.25">
      <c r="E162" s="138">
        <f ca="1"/>
        <v>1.720830635000675</v>
      </c>
      <c r="F162" s="139">
        <f ca="1"/>
        <v>1.0680493815912231</v>
      </c>
    </row>
    <row r="163" spans="5:6" x14ac:dyDescent="0.25">
      <c r="E163" s="138">
        <f ca="1"/>
        <v>1.1800027393927328</v>
      </c>
      <c r="F163" s="139">
        <f ca="1"/>
        <v>-0.68984026678608856</v>
      </c>
    </row>
    <row r="164" spans="5:6" x14ac:dyDescent="0.25">
      <c r="E164" s="138">
        <f ca="1"/>
        <v>-0.18806037521523697</v>
      </c>
      <c r="F164" s="139">
        <f ca="1"/>
        <v>0.33552774842138905</v>
      </c>
    </row>
    <row r="165" spans="5:6" x14ac:dyDescent="0.25">
      <c r="E165" s="138">
        <f ca="1"/>
        <v>0.89115808668949248</v>
      </c>
      <c r="F165" s="139">
        <f ca="1"/>
        <v>1.6116385324900733</v>
      </c>
    </row>
    <row r="166" spans="5:6" x14ac:dyDescent="0.25">
      <c r="E166" s="138">
        <f ca="1"/>
        <v>1.0044329379325341E-2</v>
      </c>
      <c r="F166" s="139">
        <f ca="1"/>
        <v>8.7580589072781836E-2</v>
      </c>
    </row>
    <row r="167" spans="5:6" x14ac:dyDescent="0.25">
      <c r="E167" s="138">
        <f ca="1"/>
        <v>0.50225278398034379</v>
      </c>
      <c r="F167" s="139">
        <f ca="1"/>
        <v>-1.0459785177088876</v>
      </c>
    </row>
    <row r="168" spans="5:6" x14ac:dyDescent="0.25">
      <c r="E168" s="138">
        <f ca="1"/>
        <v>2.6249780866021383E-2</v>
      </c>
      <c r="F168" s="139">
        <f ca="1"/>
        <v>0.18348089637100526</v>
      </c>
    </row>
    <row r="169" spans="5:6" x14ac:dyDescent="0.25">
      <c r="E169" s="138">
        <f ca="1"/>
        <v>0.50433622145908918</v>
      </c>
      <c r="F169" s="139">
        <f ca="1"/>
        <v>-0.79726646667356205</v>
      </c>
    </row>
    <row r="170" spans="5:6" x14ac:dyDescent="0.25">
      <c r="E170" s="138">
        <f ca="1"/>
        <v>-2.1496502133888749</v>
      </c>
      <c r="F170" s="139">
        <f ca="1"/>
        <v>-2.6038828407039869</v>
      </c>
    </row>
    <row r="171" spans="5:6" x14ac:dyDescent="0.25">
      <c r="E171" s="138">
        <f ca="1"/>
        <v>0.98500956747093471</v>
      </c>
      <c r="F171" s="139">
        <f ca="1"/>
        <v>0.25895359302116328</v>
      </c>
    </row>
    <row r="172" spans="5:6" x14ac:dyDescent="0.25">
      <c r="E172" s="138">
        <f ca="1"/>
        <v>0.61793246371250865</v>
      </c>
      <c r="F172" s="139">
        <f ca="1"/>
        <v>-0.26116679452390029</v>
      </c>
    </row>
    <row r="173" spans="5:6" x14ac:dyDescent="0.25">
      <c r="E173" s="138">
        <f ca="1"/>
        <v>0.29691031563146875</v>
      </c>
      <c r="F173" s="139">
        <f ca="1"/>
        <v>-0.36719619291951078</v>
      </c>
    </row>
    <row r="174" spans="5:6" x14ac:dyDescent="0.25">
      <c r="E174" s="138">
        <f ca="1"/>
        <v>2.473226548926343</v>
      </c>
      <c r="F174" s="139">
        <f ca="1"/>
        <v>1.4788301555563361</v>
      </c>
    </row>
    <row r="175" spans="5:6" x14ac:dyDescent="0.25">
      <c r="E175" s="138">
        <f ca="1"/>
        <v>0.42641284474781083</v>
      </c>
      <c r="F175" s="139">
        <f ca="1"/>
        <v>0.9917780957273985</v>
      </c>
    </row>
    <row r="176" spans="5:6" x14ac:dyDescent="0.25">
      <c r="E176" s="138">
        <f ca="1"/>
        <v>-0.98270009982047668</v>
      </c>
      <c r="F176" s="139">
        <f ca="1"/>
        <v>-1.7597574684440569</v>
      </c>
    </row>
    <row r="177" spans="5:6" x14ac:dyDescent="0.25">
      <c r="E177" s="138">
        <f ca="1"/>
        <v>-0.10619811325803392</v>
      </c>
      <c r="F177" s="139">
        <f ca="1"/>
        <v>0.78540808588238253</v>
      </c>
    </row>
    <row r="178" spans="5:6" x14ac:dyDescent="0.25">
      <c r="E178" s="138">
        <f ca="1"/>
        <v>-1.1424438777784323</v>
      </c>
      <c r="F178" s="139">
        <f ca="1"/>
        <v>-0.67239730283557686</v>
      </c>
    </row>
    <row r="179" spans="5:6" x14ac:dyDescent="0.25">
      <c r="E179" s="138">
        <f ca="1"/>
        <v>-0.21243260074195636</v>
      </c>
      <c r="F179" s="139">
        <f ca="1"/>
        <v>0.69779561595897988</v>
      </c>
    </row>
    <row r="180" spans="5:6" x14ac:dyDescent="0.25">
      <c r="E180" s="138">
        <f ca="1"/>
        <v>-0.31907668375768672</v>
      </c>
      <c r="F180" s="139">
        <f ca="1"/>
        <v>0.40312133513288823</v>
      </c>
    </row>
    <row r="181" spans="5:6" x14ac:dyDescent="0.25">
      <c r="E181" s="138">
        <f ca="1"/>
        <v>0.33468800840166441</v>
      </c>
      <c r="F181" s="139">
        <f ca="1"/>
        <v>-0.51737760632027097</v>
      </c>
    </row>
    <row r="182" spans="5:6" x14ac:dyDescent="0.25">
      <c r="E182" s="138">
        <f ca="1"/>
        <v>0.50499676151927686</v>
      </c>
      <c r="F182" s="139">
        <f ca="1"/>
        <v>-1.3967719780239771</v>
      </c>
    </row>
    <row r="183" spans="5:6" x14ac:dyDescent="0.25">
      <c r="E183" s="138">
        <f ca="1"/>
        <v>0.863608628387463</v>
      </c>
      <c r="F183" s="139">
        <f ca="1"/>
        <v>1.7669497901936559E-2</v>
      </c>
    </row>
    <row r="184" spans="5:6" x14ac:dyDescent="0.25">
      <c r="E184" s="138">
        <f ca="1"/>
        <v>-2.7587630599172877</v>
      </c>
      <c r="F184" s="139">
        <f ca="1"/>
        <v>-0.36719850654584918</v>
      </c>
    </row>
    <row r="185" spans="5:6" x14ac:dyDescent="0.25">
      <c r="E185" s="138">
        <f ca="1"/>
        <v>0.46240265761130123</v>
      </c>
      <c r="F185" s="139">
        <f ca="1"/>
        <v>0.41754659097565339</v>
      </c>
    </row>
    <row r="186" spans="5:6" x14ac:dyDescent="0.25">
      <c r="E186" s="138">
        <f ca="1"/>
        <v>-0.33389589259671326</v>
      </c>
      <c r="F186" s="139">
        <f ca="1"/>
        <v>0.38993347773094911</v>
      </c>
    </row>
    <row r="187" spans="5:6" x14ac:dyDescent="0.25">
      <c r="E187" s="138">
        <f ca="1"/>
        <v>1.028058069270616</v>
      </c>
      <c r="F187" s="139">
        <f ca="1"/>
        <v>-1.6547266679371242</v>
      </c>
    </row>
    <row r="188" spans="5:6" x14ac:dyDescent="0.25">
      <c r="E188" s="138">
        <f ca="1"/>
        <v>-1.5659571515789519</v>
      </c>
      <c r="F188" s="139">
        <f ca="1"/>
        <v>-0.49870755076942025</v>
      </c>
    </row>
    <row r="189" spans="5:6" x14ac:dyDescent="0.25">
      <c r="E189" s="138">
        <f ca="1"/>
        <v>0.70609350471998489</v>
      </c>
      <c r="F189" s="139">
        <f ca="1"/>
        <v>1.2108119898887917</v>
      </c>
    </row>
    <row r="190" spans="5:6" x14ac:dyDescent="0.25">
      <c r="E190" s="138">
        <f ca="1"/>
        <v>0.80411972151375544</v>
      </c>
      <c r="F190" s="139">
        <f ca="1"/>
        <v>-7.3410643817291454E-2</v>
      </c>
    </row>
    <row r="191" spans="5:6" x14ac:dyDescent="0.25">
      <c r="E191" s="138">
        <f ca="1"/>
        <v>1.7547755576057253</v>
      </c>
      <c r="F191" s="139">
        <f ca="1"/>
        <v>1.2650060777978471</v>
      </c>
    </row>
    <row r="192" spans="5:6" x14ac:dyDescent="0.25">
      <c r="E192" s="138">
        <f ca="1"/>
        <v>-0.3859436116857301</v>
      </c>
      <c r="F192" s="139">
        <f ca="1"/>
        <v>-0.5140861535916883</v>
      </c>
    </row>
    <row r="193" spans="5:6" x14ac:dyDescent="0.25">
      <c r="E193" s="138">
        <f ca="1"/>
        <v>-1.6169891726572032</v>
      </c>
      <c r="F193" s="139">
        <f ca="1"/>
        <v>-1.0241786448096504</v>
      </c>
    </row>
    <row r="194" spans="5:6" x14ac:dyDescent="0.25">
      <c r="E194" s="138">
        <f ca="1"/>
        <v>0.53167290579956916</v>
      </c>
      <c r="F194" s="139">
        <f ca="1"/>
        <v>-0.66222878597165336</v>
      </c>
    </row>
    <row r="195" spans="5:6" x14ac:dyDescent="0.25">
      <c r="E195" s="138">
        <f ca="1"/>
        <v>6.5443228707294687E-2</v>
      </c>
      <c r="F195" s="139">
        <f ca="1"/>
        <v>-0.50032654437531465</v>
      </c>
    </row>
    <row r="196" spans="5:6" x14ac:dyDescent="0.25">
      <c r="E196" s="138">
        <f ca="1"/>
        <v>-2.1987215358931604E-2</v>
      </c>
      <c r="F196" s="139">
        <f ca="1"/>
        <v>-0.57793881436663241</v>
      </c>
    </row>
    <row r="197" spans="5:6" x14ac:dyDescent="0.25">
      <c r="E197" s="138">
        <f ca="1"/>
        <v>0.46256721575986759</v>
      </c>
      <c r="F197" s="139">
        <f ca="1"/>
        <v>0.56688633803313615</v>
      </c>
    </row>
    <row r="198" spans="5:6" x14ac:dyDescent="0.25">
      <c r="E198" s="138">
        <f ca="1"/>
        <v>1.9247923185797389</v>
      </c>
      <c r="F198" s="139">
        <f ca="1"/>
        <v>1.3529757645210971</v>
      </c>
    </row>
    <row r="199" spans="5:6" x14ac:dyDescent="0.25">
      <c r="E199" s="138">
        <f ca="1"/>
        <v>0.67152742633508133</v>
      </c>
      <c r="F199" s="139">
        <f ca="1"/>
        <v>-0.95609413111295227</v>
      </c>
    </row>
    <row r="200" spans="5:6" x14ac:dyDescent="0.25">
      <c r="E200" s="138">
        <f ca="1"/>
        <v>0.9780203880833418</v>
      </c>
      <c r="F200" s="139">
        <f ca="1"/>
        <v>-1.1819663997930725</v>
      </c>
    </row>
    <row r="201" spans="5:6" x14ac:dyDescent="0.25">
      <c r="E201" s="138">
        <f ca="1"/>
        <v>9.7776697591451453E-2</v>
      </c>
      <c r="F201" s="139">
        <f ca="1"/>
        <v>0.35874386780712708</v>
      </c>
    </row>
    <row r="202" spans="5:6" x14ac:dyDescent="0.25">
      <c r="E202" s="138">
        <f ca="1"/>
        <v>0.27993766822148569</v>
      </c>
      <c r="F202" s="139">
        <f ca="1"/>
        <v>1.4468935158775549</v>
      </c>
    </row>
    <row r="203" spans="5:6" x14ac:dyDescent="0.25">
      <c r="E203" s="138">
        <f ca="1"/>
        <v>-0.62779716766341387</v>
      </c>
      <c r="F203" s="139">
        <f ca="1"/>
        <v>0.11048267487121821</v>
      </c>
    </row>
    <row r="204" spans="5:6" x14ac:dyDescent="0.25">
      <c r="E204" s="138">
        <f ca="1"/>
        <v>0.16243660080584485</v>
      </c>
      <c r="F204" s="139">
        <f ca="1"/>
        <v>-1.1153858107005596</v>
      </c>
    </row>
    <row r="205" spans="5:6" x14ac:dyDescent="0.25">
      <c r="E205" s="138">
        <f ca="1"/>
        <v>0.9860723619258096</v>
      </c>
      <c r="F205" s="139">
        <f ca="1"/>
        <v>0.65669165130257201</v>
      </c>
    </row>
    <row r="206" spans="5:6" x14ac:dyDescent="0.25">
      <c r="E206" s="138">
        <f ca="1"/>
        <v>2.7930281231195897</v>
      </c>
      <c r="F206" s="139">
        <f ca="1"/>
        <v>-0.26820361808402216</v>
      </c>
    </row>
    <row r="207" spans="5:6" x14ac:dyDescent="0.25">
      <c r="E207" s="138">
        <f ca="1"/>
        <v>0.62792680297973469</v>
      </c>
      <c r="F207" s="139">
        <f ca="1"/>
        <v>-0.31735748852766066</v>
      </c>
    </row>
    <row r="208" spans="5:6" x14ac:dyDescent="0.25">
      <c r="E208" s="138">
        <f ca="1"/>
        <v>-0.65969703489988807</v>
      </c>
      <c r="F208" s="139">
        <f ca="1"/>
        <v>-1.2439226638226892</v>
      </c>
    </row>
    <row r="209" spans="5:6" x14ac:dyDescent="0.25">
      <c r="E209" s="138">
        <f ca="1"/>
        <v>1.0826951457065646</v>
      </c>
      <c r="F209" s="139">
        <f ca="1"/>
        <v>-0.14723042317928869</v>
      </c>
    </row>
    <row r="210" spans="5:6" x14ac:dyDescent="0.25">
      <c r="E210" s="138">
        <f ca="1"/>
        <v>-2.1868193390200261</v>
      </c>
      <c r="F210" s="139">
        <f ca="1"/>
        <v>-9.0250202716002148E-2</v>
      </c>
    </row>
    <row r="211" spans="5:6" x14ac:dyDescent="0.25">
      <c r="E211" s="138">
        <f ca="1"/>
        <v>-0.51374156559767825</v>
      </c>
      <c r="F211" s="139">
        <f ca="1"/>
        <v>-0.38616334194847429</v>
      </c>
    </row>
    <row r="212" spans="5:6" x14ac:dyDescent="0.25">
      <c r="E212" s="138">
        <f ca="1"/>
        <v>-1.3466588678274796</v>
      </c>
      <c r="F212" s="139">
        <f ca="1"/>
        <v>-1.4269074673359015</v>
      </c>
    </row>
    <row r="213" spans="5:6" x14ac:dyDescent="0.25">
      <c r="E213" s="138">
        <f ca="1"/>
        <v>0.27808394980380907</v>
      </c>
      <c r="F213" s="139">
        <f ca="1"/>
        <v>-0.2313908448144856</v>
      </c>
    </row>
    <row r="214" spans="5:6" x14ac:dyDescent="0.25">
      <c r="E214" s="138">
        <f ca="1"/>
        <v>1.5462889736876682</v>
      </c>
      <c r="F214" s="139">
        <f ca="1"/>
        <v>0.24550932458339358</v>
      </c>
    </row>
    <row r="215" spans="5:6" x14ac:dyDescent="0.25">
      <c r="E215" s="138">
        <f ca="1"/>
        <v>-0.5923458699002222</v>
      </c>
      <c r="F215" s="139">
        <f ca="1"/>
        <v>-1.7487776314028172</v>
      </c>
    </row>
    <row r="216" spans="5:6" x14ac:dyDescent="0.25">
      <c r="E216" s="138">
        <f ca="1"/>
        <v>1.9342596462199904</v>
      </c>
      <c r="F216" s="139">
        <f ca="1"/>
        <v>0.84098735904030919</v>
      </c>
    </row>
    <row r="217" spans="5:6" x14ac:dyDescent="0.25">
      <c r="E217" s="138">
        <f ca="1"/>
        <v>1.1920352851635663</v>
      </c>
      <c r="F217" s="139">
        <f ca="1"/>
        <v>0.87536147648567963</v>
      </c>
    </row>
    <row r="218" spans="5:6" x14ac:dyDescent="0.25">
      <c r="E218" s="138">
        <f ca="1"/>
        <v>-2.1354251794755204E-2</v>
      </c>
      <c r="F218" s="139">
        <f ca="1"/>
        <v>-1.3234815477346407</v>
      </c>
    </row>
    <row r="219" spans="5:6" x14ac:dyDescent="0.25">
      <c r="E219" s="138">
        <f ca="1"/>
        <v>-0.55942050834103574</v>
      </c>
      <c r="F219" s="139">
        <f ca="1"/>
        <v>0.725925611984374</v>
      </c>
    </row>
    <row r="220" spans="5:6" x14ac:dyDescent="0.25">
      <c r="E220" s="138">
        <f ca="1"/>
        <v>-0.40991003456258013</v>
      </c>
      <c r="F220" s="139">
        <f ca="1"/>
        <v>0.49322847009673576</v>
      </c>
    </row>
    <row r="221" spans="5:6" x14ac:dyDescent="0.25">
      <c r="E221" s="138">
        <f ca="1"/>
        <v>2.1988514227094039E-2</v>
      </c>
      <c r="F221" s="139">
        <f ca="1"/>
        <v>-1.5016919635001784</v>
      </c>
    </row>
    <row r="222" spans="5:6" x14ac:dyDescent="0.25">
      <c r="E222" s="138">
        <f ca="1"/>
        <v>0.59135175634258896</v>
      </c>
      <c r="F222" s="139">
        <f ca="1"/>
        <v>-0.1341985937313846</v>
      </c>
    </row>
    <row r="223" spans="5:6" x14ac:dyDescent="0.25">
      <c r="E223" s="138">
        <f ca="1"/>
        <v>-1.0507271193416956</v>
      </c>
      <c r="F223" s="139">
        <f ca="1"/>
        <v>-0.51912754978794962</v>
      </c>
    </row>
    <row r="224" spans="5:6" x14ac:dyDescent="0.25">
      <c r="E224" s="138">
        <f ca="1"/>
        <v>-2.2939473468112239</v>
      </c>
      <c r="F224" s="139">
        <f ca="1"/>
        <v>-0.43243086924508789</v>
      </c>
    </row>
    <row r="225" spans="5:6" x14ac:dyDescent="0.25">
      <c r="E225" s="138">
        <f ca="1"/>
        <v>0.48984251587331651</v>
      </c>
      <c r="F225" s="139">
        <f ca="1"/>
        <v>0.3629032062244425</v>
      </c>
    </row>
    <row r="226" spans="5:6" x14ac:dyDescent="0.25">
      <c r="E226" s="138">
        <f ca="1"/>
        <v>0.70615194140562998</v>
      </c>
      <c r="F226" s="139">
        <f ca="1"/>
        <v>9.2672912177603151E-2</v>
      </c>
    </row>
    <row r="227" spans="5:6" x14ac:dyDescent="0.25">
      <c r="E227" s="138">
        <f ca="1"/>
        <v>1.2259167836294167</v>
      </c>
      <c r="F227" s="139">
        <f ca="1"/>
        <v>1.0843921508589793</v>
      </c>
    </row>
    <row r="228" spans="5:6" x14ac:dyDescent="0.25">
      <c r="E228" s="138">
        <f ca="1"/>
        <v>0.44378998344608472</v>
      </c>
      <c r="F228" s="139">
        <f ca="1"/>
        <v>-1.0519840370414137</v>
      </c>
    </row>
    <row r="229" spans="5:6" x14ac:dyDescent="0.25">
      <c r="E229" s="138">
        <f ca="1"/>
        <v>9.6224928363146583E-2</v>
      </c>
      <c r="F229" s="139">
        <f ca="1"/>
        <v>0.93412184024248879</v>
      </c>
    </row>
    <row r="230" spans="5:6" x14ac:dyDescent="0.25">
      <c r="E230" s="138">
        <f ca="1"/>
        <v>-0.8762556877814629</v>
      </c>
      <c r="F230" s="139">
        <f ca="1"/>
        <v>0.36321090216841856</v>
      </c>
    </row>
    <row r="231" spans="5:6" x14ac:dyDescent="0.25">
      <c r="E231" s="138">
        <f ca="1"/>
        <v>0.72810708935373014</v>
      </c>
      <c r="F231" s="139">
        <f ca="1"/>
        <v>-1.2747175556680839</v>
      </c>
    </row>
    <row r="232" spans="5:6" x14ac:dyDescent="0.25">
      <c r="E232" s="138">
        <f ca="1"/>
        <v>0.43017177828252023</v>
      </c>
      <c r="F232" s="139">
        <f ca="1"/>
        <v>0.59960909012051</v>
      </c>
    </row>
    <row r="233" spans="5:6" x14ac:dyDescent="0.25">
      <c r="E233" s="138">
        <f ca="1"/>
        <v>-9.9853780857881491E-2</v>
      </c>
      <c r="F233" s="139">
        <f ca="1"/>
        <v>8.641964573385108E-2</v>
      </c>
    </row>
    <row r="234" spans="5:6" x14ac:dyDescent="0.25">
      <c r="E234" s="138">
        <f ca="1"/>
        <v>1.3476990609315769</v>
      </c>
      <c r="F234" s="139">
        <f ca="1"/>
        <v>0.72722292187024484</v>
      </c>
    </row>
    <row r="235" spans="5:6" x14ac:dyDescent="0.25">
      <c r="E235" s="138">
        <f ca="1"/>
        <v>0.43254942321321643</v>
      </c>
      <c r="F235" s="139">
        <f ca="1"/>
        <v>0.6796151935048973</v>
      </c>
    </row>
    <row r="236" spans="5:6" x14ac:dyDescent="0.25">
      <c r="E236" s="138">
        <f ca="1"/>
        <v>-0.98579270828865395</v>
      </c>
      <c r="F236" s="139">
        <f ca="1"/>
        <v>-1.1020004327000179</v>
      </c>
    </row>
    <row r="237" spans="5:6" x14ac:dyDescent="0.25">
      <c r="E237" s="138">
        <f ca="1"/>
        <v>0.13757711286725449</v>
      </c>
      <c r="F237" s="139">
        <f ca="1"/>
        <v>0.55214171914025978</v>
      </c>
    </row>
    <row r="238" spans="5:6" x14ac:dyDescent="0.25">
      <c r="E238" s="138">
        <f ca="1"/>
        <v>1.3443248184039669</v>
      </c>
      <c r="F238" s="139">
        <f ca="1"/>
        <v>2.0675126085644502</v>
      </c>
    </row>
    <row r="239" spans="5:6" x14ac:dyDescent="0.25">
      <c r="E239" s="138">
        <f ca="1"/>
        <v>0.80782203516718254</v>
      </c>
      <c r="F239" s="139">
        <f ca="1"/>
        <v>0.96258203767303374</v>
      </c>
    </row>
    <row r="240" spans="5:6" x14ac:dyDescent="0.25">
      <c r="E240" s="138">
        <f ca="1"/>
        <v>-0.45554694662875511</v>
      </c>
      <c r="F240" s="139">
        <f ca="1"/>
        <v>-0.26785985321647476</v>
      </c>
    </row>
    <row r="241" spans="5:6" x14ac:dyDescent="0.25">
      <c r="E241" s="138">
        <f ca="1"/>
        <v>1.1490936456210052</v>
      </c>
      <c r="F241" s="139">
        <f ca="1"/>
        <v>0.64148097884025645</v>
      </c>
    </row>
    <row r="242" spans="5:6" x14ac:dyDescent="0.25">
      <c r="E242" s="138">
        <f ca="1"/>
        <v>0.52525898259965065</v>
      </c>
      <c r="F242" s="139">
        <f ca="1"/>
        <v>1.4662366261009321</v>
      </c>
    </row>
    <row r="243" spans="5:6" x14ac:dyDescent="0.25">
      <c r="E243" s="138">
        <f ca="1"/>
        <v>1.0849418236383948</v>
      </c>
      <c r="F243" s="139">
        <f ca="1"/>
        <v>1.711174537974709</v>
      </c>
    </row>
    <row r="244" spans="5:6" x14ac:dyDescent="0.25">
      <c r="E244" s="138">
        <f ca="1"/>
        <v>-0.62663170461412543</v>
      </c>
      <c r="F244" s="139">
        <f ca="1"/>
        <v>0.39816504441769107</v>
      </c>
    </row>
    <row r="245" spans="5:6" x14ac:dyDescent="0.25">
      <c r="E245" s="138">
        <f ca="1"/>
        <v>-0.506742454491937</v>
      </c>
      <c r="F245" s="139">
        <f ca="1"/>
        <v>0.6669141242949197</v>
      </c>
    </row>
    <row r="246" spans="5:6" x14ac:dyDescent="0.25">
      <c r="E246" s="138">
        <f ca="1"/>
        <v>4.7540172641717976E-2</v>
      </c>
      <c r="F246" s="139">
        <f ca="1"/>
        <v>0.42288059296144903</v>
      </c>
    </row>
    <row r="247" spans="5:6" x14ac:dyDescent="0.25">
      <c r="E247" s="138">
        <f ca="1"/>
        <v>2.0691183604794094</v>
      </c>
      <c r="F247" s="139">
        <f ca="1"/>
        <v>1.6587622090339909</v>
      </c>
    </row>
    <row r="248" spans="5:6" x14ac:dyDescent="0.25">
      <c r="E248" s="138">
        <f ca="1"/>
        <v>-0.925057575262345</v>
      </c>
      <c r="F248" s="139">
        <f ca="1"/>
        <v>-0.42510486449910184</v>
      </c>
    </row>
    <row r="249" spans="5:6" x14ac:dyDescent="0.25">
      <c r="E249" s="138">
        <f ca="1"/>
        <v>0.59345089881883117</v>
      </c>
      <c r="F249" s="139">
        <f ca="1"/>
        <v>0.72862405941001085</v>
      </c>
    </row>
    <row r="250" spans="5:6" x14ac:dyDescent="0.25">
      <c r="E250" s="138">
        <f ca="1"/>
        <v>-8.0685653261843113E-2</v>
      </c>
      <c r="F250" s="139">
        <f ca="1"/>
        <v>1.731766618511305</v>
      </c>
    </row>
    <row r="251" spans="5:6" x14ac:dyDescent="0.25">
      <c r="E251" s="138">
        <f ca="1"/>
        <v>-0.10210221862083954</v>
      </c>
      <c r="F251" s="139">
        <f ca="1"/>
        <v>-0.25689637294908702</v>
      </c>
    </row>
    <row r="252" spans="5:6" x14ac:dyDescent="0.25">
      <c r="E252" s="138">
        <f ca="1"/>
        <v>-0.12827791600451344</v>
      </c>
      <c r="F252" s="139">
        <f ca="1"/>
        <v>-1.4127687455611357</v>
      </c>
    </row>
    <row r="253" spans="5:6" x14ac:dyDescent="0.25">
      <c r="E253" s="138">
        <f ca="1"/>
        <v>0.44539774631615076</v>
      </c>
      <c r="F253" s="139">
        <f ca="1"/>
        <v>-0.39502098161145527</v>
      </c>
    </row>
    <row r="254" spans="5:6" x14ac:dyDescent="0.25">
      <c r="E254" s="138">
        <f ca="1"/>
        <v>-0.26354671448282113</v>
      </c>
      <c r="F254" s="139">
        <f ca="1"/>
        <v>0.84554057148406003</v>
      </c>
    </row>
    <row r="255" spans="5:6" x14ac:dyDescent="0.25">
      <c r="E255" s="138">
        <f ca="1"/>
        <v>1.2013235212028235</v>
      </c>
      <c r="F255" s="139">
        <f ca="1"/>
        <v>0.26351609490897043</v>
      </c>
    </row>
    <row r="256" spans="5:6" x14ac:dyDescent="0.25">
      <c r="E256" s="138">
        <f ca="1"/>
        <v>0.81312021724325545</v>
      </c>
      <c r="F256" s="139">
        <f ca="1"/>
        <v>-1.0403167836372549</v>
      </c>
    </row>
    <row r="257" spans="5:6" x14ac:dyDescent="0.25">
      <c r="E257" s="138">
        <f ca="1"/>
        <v>-4.2323241996771725E-2</v>
      </c>
      <c r="F257" s="139">
        <f ca="1"/>
        <v>-0.68121269443834886</v>
      </c>
    </row>
    <row r="258" spans="5:6" x14ac:dyDescent="0.25">
      <c r="E258" s="138">
        <f ca="1"/>
        <v>-1.6548896512828936E-2</v>
      </c>
      <c r="F258" s="139">
        <f ca="1"/>
        <v>-0.23548378140150569</v>
      </c>
    </row>
    <row r="259" spans="5:6" x14ac:dyDescent="0.25">
      <c r="E259" s="138">
        <f ca="1"/>
        <v>-0.21798606731311601</v>
      </c>
      <c r="F259" s="139">
        <f ca="1"/>
        <v>-0.73873213346534672</v>
      </c>
    </row>
    <row r="260" spans="5:6" x14ac:dyDescent="0.25">
      <c r="E260" s="138">
        <f ca="1"/>
        <v>0.59461000541069997</v>
      </c>
      <c r="F260" s="139">
        <f ca="1"/>
        <v>0.45331957473435291</v>
      </c>
    </row>
    <row r="261" spans="5:6" x14ac:dyDescent="0.25">
      <c r="E261" s="138">
        <f ca="1"/>
        <v>-1.570800215687598</v>
      </c>
      <c r="F261" s="139">
        <f ca="1"/>
        <v>-0.78302219841522325</v>
      </c>
    </row>
    <row r="262" spans="5:6" x14ac:dyDescent="0.25">
      <c r="E262" s="138">
        <f ca="1"/>
        <v>0.81695537082956271</v>
      </c>
      <c r="F262" s="139">
        <f ca="1"/>
        <v>0.37735640894415962</v>
      </c>
    </row>
    <row r="263" spans="5:6" x14ac:dyDescent="0.25">
      <c r="E263" s="138">
        <f ca="1"/>
        <v>0.4991414877992304</v>
      </c>
      <c r="F263" s="139">
        <f ca="1"/>
        <v>-0.68068778452307965</v>
      </c>
    </row>
    <row r="264" spans="5:6" x14ac:dyDescent="0.25">
      <c r="E264" s="138">
        <f ca="1"/>
        <v>-0.38120894845031827</v>
      </c>
      <c r="F264" s="139">
        <f ca="1"/>
        <v>-0.34638739553559389</v>
      </c>
    </row>
    <row r="265" spans="5:6" x14ac:dyDescent="0.25">
      <c r="E265" s="138">
        <f ca="1"/>
        <v>-2.25076658419695</v>
      </c>
      <c r="F265" s="139">
        <f ca="1"/>
        <v>0.10220883506805922</v>
      </c>
    </row>
    <row r="266" spans="5:6" x14ac:dyDescent="0.25">
      <c r="E266" s="138">
        <f ca="1"/>
        <v>1.3386245087251876</v>
      </c>
      <c r="F266" s="139">
        <f ca="1"/>
        <v>0.53453828680107107</v>
      </c>
    </row>
    <row r="267" spans="5:6" x14ac:dyDescent="0.25">
      <c r="E267" s="138">
        <f ca="1"/>
        <v>-0.33280389867021648</v>
      </c>
      <c r="F267" s="139">
        <f ca="1"/>
        <v>0.3316280478358099</v>
      </c>
    </row>
    <row r="268" spans="5:6" x14ac:dyDescent="0.25">
      <c r="E268" s="138">
        <f ca="1"/>
        <v>0.56184004420843314</v>
      </c>
      <c r="F268" s="139">
        <f ca="1"/>
        <v>-0.77382383446858305</v>
      </c>
    </row>
    <row r="269" spans="5:6" x14ac:dyDescent="0.25">
      <c r="E269" s="138">
        <f ca="1"/>
        <v>0.2296039222600787</v>
      </c>
      <c r="F269" s="139">
        <f ca="1"/>
        <v>0.18066190052338249</v>
      </c>
    </row>
    <row r="270" spans="5:6" x14ac:dyDescent="0.25">
      <c r="E270" s="138">
        <f ca="1"/>
        <v>1.2660233063563722</v>
      </c>
      <c r="F270" s="139">
        <f ca="1"/>
        <v>-0.30548795135767115</v>
      </c>
    </row>
    <row r="271" spans="5:6" x14ac:dyDescent="0.25">
      <c r="E271" s="138">
        <f ca="1"/>
        <v>-4.9122462980273743E-2</v>
      </c>
      <c r="F271" s="139">
        <f ca="1"/>
        <v>0.50578864005690882</v>
      </c>
    </row>
    <row r="272" spans="5:6" x14ac:dyDescent="0.25">
      <c r="E272" s="138">
        <f ca="1"/>
        <v>-0.20136053851420513</v>
      </c>
      <c r="F272" s="139">
        <f ca="1"/>
        <v>-0.54954365689927509</v>
      </c>
    </row>
    <row r="273" spans="5:6" x14ac:dyDescent="0.25">
      <c r="E273" s="138">
        <f ca="1"/>
        <v>-0.83075713527444417</v>
      </c>
      <c r="F273" s="139">
        <f ca="1"/>
        <v>-1.1717083101091978</v>
      </c>
    </row>
    <row r="274" spans="5:6" x14ac:dyDescent="0.25">
      <c r="E274" s="138">
        <f ca="1"/>
        <v>-8.1515249102279419E-2</v>
      </c>
      <c r="F274" s="139">
        <f ca="1"/>
        <v>1.0304467363717635</v>
      </c>
    </row>
    <row r="275" spans="5:6" x14ac:dyDescent="0.25">
      <c r="E275" s="138">
        <f ca="1"/>
        <v>0.42060061179352987</v>
      </c>
      <c r="F275" s="139">
        <f ca="1"/>
        <v>1.662823310112947</v>
      </c>
    </row>
    <row r="276" spans="5:6" x14ac:dyDescent="0.25">
      <c r="E276" s="138">
        <f ca="1"/>
        <v>1.3042580425018544</v>
      </c>
      <c r="F276" s="139">
        <f ca="1"/>
        <v>1.3219954339398186</v>
      </c>
    </row>
    <row r="277" spans="5:6" x14ac:dyDescent="0.25">
      <c r="E277" s="138">
        <f ca="1"/>
        <v>1.903663328597879</v>
      </c>
      <c r="F277" s="139">
        <f ca="1"/>
        <v>0.3503030131259961</v>
      </c>
    </row>
    <row r="278" spans="5:6" x14ac:dyDescent="0.25">
      <c r="E278" s="138">
        <f ca="1"/>
        <v>0.34126673979749322</v>
      </c>
      <c r="F278" s="139">
        <f ca="1"/>
        <v>-0.51015126805654698</v>
      </c>
    </row>
    <row r="279" spans="5:6" x14ac:dyDescent="0.25">
      <c r="E279" s="138">
        <f ca="1"/>
        <v>-8.2646524328612386E-2</v>
      </c>
      <c r="F279" s="139">
        <f ca="1"/>
        <v>1.8891529562242255</v>
      </c>
    </row>
    <row r="280" spans="5:6" x14ac:dyDescent="0.25">
      <c r="E280" s="138">
        <f ca="1"/>
        <v>8.2384361896065766E-2</v>
      </c>
      <c r="F280" s="139">
        <f ca="1"/>
        <v>-1.1060452282207176</v>
      </c>
    </row>
    <row r="281" spans="5:6" x14ac:dyDescent="0.25">
      <c r="E281" s="138">
        <f ca="1"/>
        <v>-2.069075586550726</v>
      </c>
      <c r="F281" s="139">
        <f ca="1"/>
        <v>-1.1617873239555496</v>
      </c>
    </row>
    <row r="282" spans="5:6" x14ac:dyDescent="0.25">
      <c r="E282" s="138">
        <f ca="1"/>
        <v>-0.71433261283908289</v>
      </c>
      <c r="F282" s="139">
        <f ca="1"/>
        <v>-0.3154772543327985</v>
      </c>
    </row>
    <row r="283" spans="5:6" x14ac:dyDescent="0.25">
      <c r="E283" s="138">
        <f ca="1"/>
        <v>-0.6285170754115107</v>
      </c>
      <c r="F283" s="139">
        <f ca="1"/>
        <v>0.23664941123335564</v>
      </c>
    </row>
    <row r="284" spans="5:6" x14ac:dyDescent="0.25">
      <c r="E284" s="138">
        <f ca="1"/>
        <v>1.6118611296858081</v>
      </c>
      <c r="F284" s="139">
        <f ca="1"/>
        <v>6.1293097251867712E-3</v>
      </c>
    </row>
    <row r="285" spans="5:6" x14ac:dyDescent="0.25">
      <c r="E285" s="138">
        <f ca="1"/>
        <v>7.2347348245717744E-2</v>
      </c>
      <c r="F285" s="139">
        <f ca="1"/>
        <v>-1.1190476668978369</v>
      </c>
    </row>
    <row r="286" spans="5:6" x14ac:dyDescent="0.25">
      <c r="E286" s="138">
        <f ca="1"/>
        <v>0.14952454772362248</v>
      </c>
      <c r="F286" s="139">
        <f ca="1"/>
        <v>-0.35778871848984461</v>
      </c>
    </row>
    <row r="287" spans="5:6" x14ac:dyDescent="0.25">
      <c r="E287" s="138">
        <f ca="1"/>
        <v>-1.04703872441546</v>
      </c>
      <c r="F287" s="139">
        <f ca="1"/>
        <v>-0.49072981931805509</v>
      </c>
    </row>
    <row r="288" spans="5:6" x14ac:dyDescent="0.25">
      <c r="E288" s="138">
        <f ca="1"/>
        <v>0.69780853400880927</v>
      </c>
      <c r="F288" s="139">
        <f ca="1"/>
        <v>-0.48430682279217935</v>
      </c>
    </row>
    <row r="289" spans="5:6" x14ac:dyDescent="0.25">
      <c r="E289" s="138">
        <f ca="1"/>
        <v>1.1610661581658341E-2</v>
      </c>
      <c r="F289" s="139">
        <f ca="1"/>
        <v>-7.9062556275647206E-2</v>
      </c>
    </row>
    <row r="290" spans="5:6" x14ac:dyDescent="0.25">
      <c r="E290" s="138">
        <f ca="1"/>
        <v>-0.71874440154847874</v>
      </c>
      <c r="F290" s="139">
        <f ca="1"/>
        <v>-0.69988350515313436</v>
      </c>
    </row>
    <row r="291" spans="5:6" x14ac:dyDescent="0.25">
      <c r="E291" s="138">
        <f ca="1"/>
        <v>-0.52081378098183195</v>
      </c>
      <c r="F291" s="139">
        <f ca="1"/>
        <v>-0.51517634276629454</v>
      </c>
    </row>
    <row r="292" spans="5:6" x14ac:dyDescent="0.25">
      <c r="E292" s="138">
        <f ca="1"/>
        <v>-0.17698844504820233</v>
      </c>
      <c r="F292" s="139">
        <f ca="1"/>
        <v>0.15325060482800892</v>
      </c>
    </row>
    <row r="293" spans="5:6" x14ac:dyDescent="0.25">
      <c r="E293" s="138">
        <f ca="1"/>
        <v>-0.31079358334370855</v>
      </c>
      <c r="F293" s="139">
        <f ca="1"/>
        <v>7.5188717718196796E-2</v>
      </c>
    </row>
    <row r="294" spans="5:6" x14ac:dyDescent="0.25">
      <c r="E294" s="138">
        <f ca="1"/>
        <v>-0.26861340529971534</v>
      </c>
      <c r="F294" s="139">
        <f ca="1"/>
        <v>1.5618059561919606</v>
      </c>
    </row>
    <row r="295" spans="5:6" x14ac:dyDescent="0.25">
      <c r="E295" s="138">
        <f ca="1"/>
        <v>2.3611673657222285</v>
      </c>
      <c r="F295" s="139">
        <f ca="1"/>
        <v>2.194633969150428E-2</v>
      </c>
    </row>
    <row r="296" spans="5:6" x14ac:dyDescent="0.25">
      <c r="E296" s="138">
        <f ca="1"/>
        <v>2.6847701181165196E-2</v>
      </c>
      <c r="F296" s="139">
        <f ca="1"/>
        <v>0.38662050881752241</v>
      </c>
    </row>
    <row r="297" spans="5:6" x14ac:dyDescent="0.25">
      <c r="E297" s="138">
        <f ca="1"/>
        <v>0.82332740776042657</v>
      </c>
      <c r="F297" s="139">
        <f ca="1"/>
        <v>-0.30786987564395546</v>
      </c>
    </row>
    <row r="298" spans="5:6" x14ac:dyDescent="0.25">
      <c r="E298" s="138">
        <f ca="1"/>
        <v>-1.1483938988369959</v>
      </c>
      <c r="F298" s="139">
        <f ca="1"/>
        <v>-0.77532454628879621</v>
      </c>
    </row>
    <row r="299" spans="5:6" x14ac:dyDescent="0.25">
      <c r="E299" s="138">
        <f ca="1"/>
        <v>-0.77437601649928833</v>
      </c>
      <c r="F299" s="139">
        <f ca="1"/>
        <v>-1.2493765056848987</v>
      </c>
    </row>
    <row r="300" spans="5:6" x14ac:dyDescent="0.25">
      <c r="E300" s="138">
        <f ca="1"/>
        <v>0.47793876571724281</v>
      </c>
      <c r="F300" s="139">
        <f ca="1"/>
        <v>-9.84433017208729E-2</v>
      </c>
    </row>
    <row r="301" spans="5:6" x14ac:dyDescent="0.25">
      <c r="E301" s="138">
        <f ca="1"/>
        <v>0.15451206482047125</v>
      </c>
      <c r="F301" s="139">
        <f ca="1"/>
        <v>-1.6415227916591519</v>
      </c>
    </row>
    <row r="302" spans="5:6" x14ac:dyDescent="0.25">
      <c r="E302" s="138">
        <f ca="1"/>
        <v>-1.9158873728185031</v>
      </c>
      <c r="F302" s="139">
        <f ca="1"/>
        <v>-1.2632413955537953</v>
      </c>
    </row>
    <row r="303" spans="5:6" x14ac:dyDescent="0.25">
      <c r="E303" s="138">
        <f ca="1"/>
        <v>0.4028540647599621</v>
      </c>
      <c r="F303" s="139">
        <f ca="1"/>
        <v>0.71918683690706331</v>
      </c>
    </row>
    <row r="304" spans="5:6" x14ac:dyDescent="0.25">
      <c r="E304" s="138">
        <f ca="1"/>
        <v>-0.72624949522512361</v>
      </c>
      <c r="F304" s="139">
        <f ca="1"/>
        <v>0.75150367900425308</v>
      </c>
    </row>
    <row r="305" spans="5:6" x14ac:dyDescent="0.25">
      <c r="E305" s="138">
        <f ca="1"/>
        <v>0.55223779139543483</v>
      </c>
      <c r="F305" s="139">
        <f ca="1"/>
        <v>-0.22940212486309941</v>
      </c>
    </row>
    <row r="306" spans="5:6" x14ac:dyDescent="0.25">
      <c r="E306" s="138">
        <f ca="1"/>
        <v>0.63241458886202251</v>
      </c>
      <c r="F306" s="139">
        <f ca="1"/>
        <v>-4.0771594443522519E-2</v>
      </c>
    </row>
    <row r="307" spans="5:6" x14ac:dyDescent="0.25">
      <c r="E307" s="138">
        <f ca="1"/>
        <v>5.9104409101936206E-2</v>
      </c>
      <c r="F307" s="139">
        <f ca="1"/>
        <v>0.14467709906444531</v>
      </c>
    </row>
    <row r="308" spans="5:6" x14ac:dyDescent="0.25">
      <c r="E308" s="138">
        <f ca="1"/>
        <v>1.507898960928489</v>
      </c>
      <c r="F308" s="139">
        <f ca="1"/>
        <v>-0.56629228195706249</v>
      </c>
    </row>
    <row r="309" spans="5:6" x14ac:dyDescent="0.25">
      <c r="E309" s="138">
        <f ca="1"/>
        <v>-0.43997239473290289</v>
      </c>
      <c r="F309" s="139">
        <f ca="1"/>
        <v>-0.26735067188611478</v>
      </c>
    </row>
    <row r="310" spans="5:6" x14ac:dyDescent="0.25">
      <c r="E310" s="138">
        <f ca="1"/>
        <v>0.28872453933468351</v>
      </c>
      <c r="F310" s="139">
        <f ca="1"/>
        <v>0.14661009974409445</v>
      </c>
    </row>
    <row r="311" spans="5:6" x14ac:dyDescent="0.25">
      <c r="E311" s="138">
        <f ca="1"/>
        <v>-1.4093376067891694</v>
      </c>
      <c r="F311" s="139">
        <f ca="1"/>
        <v>-1.4380910360360661</v>
      </c>
    </row>
    <row r="312" spans="5:6" x14ac:dyDescent="0.25">
      <c r="E312" s="138">
        <f ca="1"/>
        <v>-0.2340367390958944</v>
      </c>
      <c r="F312" s="139">
        <f ca="1"/>
        <v>-1.2972709844735437</v>
      </c>
    </row>
    <row r="313" spans="5:6" x14ac:dyDescent="0.25">
      <c r="E313" s="138">
        <f ca="1"/>
        <v>-0.33699569757970882</v>
      </c>
      <c r="F313" s="139">
        <f ca="1"/>
        <v>0.17840964047218894</v>
      </c>
    </row>
    <row r="314" spans="5:6" x14ac:dyDescent="0.25">
      <c r="E314" s="138">
        <f ca="1"/>
        <v>1.0533787882459225</v>
      </c>
      <c r="F314" s="139">
        <f ca="1"/>
        <v>-0.67792648175601322</v>
      </c>
    </row>
    <row r="315" spans="5:6" x14ac:dyDescent="0.25">
      <c r="E315" s="138">
        <f ca="1"/>
        <v>-2.2302428189940606</v>
      </c>
      <c r="F315" s="139">
        <f ca="1"/>
        <v>-1.9001586826091454</v>
      </c>
    </row>
    <row r="316" spans="5:6" x14ac:dyDescent="0.25">
      <c r="E316" s="138">
        <f ca="1"/>
        <v>2.4487218447697972</v>
      </c>
      <c r="F316" s="139">
        <f ca="1"/>
        <v>2.7680137218041319</v>
      </c>
    </row>
    <row r="317" spans="5:6" x14ac:dyDescent="0.25">
      <c r="E317" s="138">
        <f ca="1"/>
        <v>0.33268729246838247</v>
      </c>
      <c r="F317" s="139">
        <f ca="1"/>
        <v>-0.32913819587248988</v>
      </c>
    </row>
    <row r="318" spans="5:6" x14ac:dyDescent="0.25">
      <c r="E318" s="138">
        <f ca="1"/>
        <v>-0.53776338944151358</v>
      </c>
      <c r="F318" s="139">
        <f ca="1"/>
        <v>-0.36007773875436555</v>
      </c>
    </row>
    <row r="319" spans="5:6" x14ac:dyDescent="0.25">
      <c r="E319" s="138">
        <f ca="1"/>
        <v>0.49610233281735061</v>
      </c>
      <c r="F319" s="139">
        <f ca="1"/>
        <v>0.9443399986938511</v>
      </c>
    </row>
    <row r="320" spans="5:6" x14ac:dyDescent="0.25">
      <c r="E320" s="138">
        <f ca="1"/>
        <v>-0.27888247339020289</v>
      </c>
      <c r="F320" s="139">
        <f ca="1"/>
        <v>1.2110076682404705</v>
      </c>
    </row>
    <row r="321" spans="5:6" x14ac:dyDescent="0.25">
      <c r="E321" s="138">
        <f ca="1"/>
        <v>0.67556043087452577</v>
      </c>
      <c r="F321" s="139">
        <f ca="1"/>
        <v>-2.3928031493369417E-2</v>
      </c>
    </row>
    <row r="322" spans="5:6" x14ac:dyDescent="0.25">
      <c r="E322" s="138">
        <f ca="1"/>
        <v>0.52140248312778248</v>
      </c>
      <c r="F322" s="139">
        <f ca="1"/>
        <v>0.81415544368704773</v>
      </c>
    </row>
    <row r="323" spans="5:6" x14ac:dyDescent="0.25">
      <c r="E323" s="138">
        <f ca="1"/>
        <v>-0.76429197845862151</v>
      </c>
      <c r="F323" s="139">
        <f ca="1"/>
        <v>-1.3511450666976923</v>
      </c>
    </row>
    <row r="324" spans="5:6" x14ac:dyDescent="0.25">
      <c r="E324" s="138">
        <f ca="1"/>
        <v>-0.36643707694166455</v>
      </c>
      <c r="F324" s="139">
        <f ca="1"/>
        <v>0.12894644704543731</v>
      </c>
    </row>
    <row r="325" spans="5:6" x14ac:dyDescent="0.25">
      <c r="E325" s="138">
        <f ca="1"/>
        <v>-0.76730083029351559</v>
      </c>
      <c r="F325" s="139">
        <f ca="1"/>
        <v>0.53889541454143131</v>
      </c>
    </row>
    <row r="326" spans="5:6" x14ac:dyDescent="0.25">
      <c r="E326" s="138">
        <f ca="1"/>
        <v>-1.8532243552550569</v>
      </c>
      <c r="F326" s="139">
        <f ca="1"/>
        <v>-1.0144990914822716</v>
      </c>
    </row>
    <row r="327" spans="5:6" x14ac:dyDescent="0.25">
      <c r="E327" s="138">
        <f ca="1"/>
        <v>-0.27939761908603583</v>
      </c>
      <c r="F327" s="139">
        <f ca="1"/>
        <v>0.54708106755807184</v>
      </c>
    </row>
    <row r="328" spans="5:6" x14ac:dyDescent="0.25">
      <c r="E328" s="138">
        <f ca="1"/>
        <v>-0.38763901705038362</v>
      </c>
      <c r="F328" s="139">
        <f ca="1"/>
        <v>-1.4196686679680255</v>
      </c>
    </row>
    <row r="329" spans="5:6" x14ac:dyDescent="0.25">
      <c r="E329" s="138">
        <f ca="1"/>
        <v>-2.6558832431474465E-2</v>
      </c>
      <c r="F329" s="139">
        <f ca="1"/>
        <v>0.18705730378557356</v>
      </c>
    </row>
    <row r="330" spans="5:6" x14ac:dyDescent="0.25">
      <c r="E330" s="138">
        <f ca="1"/>
        <v>-3.8213189307249373E-2</v>
      </c>
      <c r="F330" s="139">
        <f ca="1"/>
        <v>0.46981072422007369</v>
      </c>
    </row>
    <row r="331" spans="5:6" x14ac:dyDescent="0.25">
      <c r="E331" s="138">
        <f ca="1"/>
        <v>-0.8420425771643163</v>
      </c>
      <c r="F331" s="139">
        <f ca="1"/>
        <v>-0.67921952806992247</v>
      </c>
    </row>
    <row r="332" spans="5:6" x14ac:dyDescent="0.25">
      <c r="E332" s="138">
        <f ca="1"/>
        <v>-1.6622123778485427</v>
      </c>
      <c r="F332" s="139">
        <f ca="1"/>
        <v>-1.2817589196269876</v>
      </c>
    </row>
    <row r="333" spans="5:6" x14ac:dyDescent="0.25">
      <c r="E333" s="138">
        <f ca="1"/>
        <v>-0.41580223936053523</v>
      </c>
      <c r="F333" s="139">
        <f ca="1"/>
        <v>-2.1888372797732508E-2</v>
      </c>
    </row>
    <row r="334" spans="5:6" x14ac:dyDescent="0.25">
      <c r="E334" s="138">
        <f ca="1"/>
        <v>1.3723670541294144</v>
      </c>
      <c r="F334" s="139">
        <f ca="1"/>
        <v>1.3388257167632323</v>
      </c>
    </row>
    <row r="335" spans="5:6" x14ac:dyDescent="0.25">
      <c r="E335" s="138">
        <f ca="1"/>
        <v>1.1264675125350492</v>
      </c>
      <c r="F335" s="139">
        <f ca="1"/>
        <v>0.98081150501679826</v>
      </c>
    </row>
    <row r="336" spans="5:6" x14ac:dyDescent="0.25">
      <c r="E336" s="138">
        <f ca="1"/>
        <v>0.59945913573707488</v>
      </c>
      <c r="F336" s="139">
        <f ca="1"/>
        <v>-0.13716387951058512</v>
      </c>
    </row>
    <row r="337" spans="5:6" x14ac:dyDescent="0.25">
      <c r="E337" s="138">
        <f ca="1"/>
        <v>-6.8474406758944714E-2</v>
      </c>
      <c r="F337" s="139">
        <f ca="1"/>
        <v>-0.46900407698589025</v>
      </c>
    </row>
    <row r="338" spans="5:6" x14ac:dyDescent="0.25">
      <c r="E338" s="138">
        <f ca="1"/>
        <v>0.74697762366328024</v>
      </c>
      <c r="F338" s="139">
        <f ca="1"/>
        <v>0.35980603132346373</v>
      </c>
    </row>
    <row r="339" spans="5:6" x14ac:dyDescent="0.25">
      <c r="E339" s="138">
        <f ca="1"/>
        <v>-1.0667478741440652</v>
      </c>
      <c r="F339" s="139">
        <f ca="1"/>
        <v>-1.4631375003716083</v>
      </c>
    </row>
    <row r="340" spans="5:6" x14ac:dyDescent="0.25">
      <c r="E340" s="138">
        <f ca="1"/>
        <v>-1.3020480236270826</v>
      </c>
      <c r="F340" s="139">
        <f ca="1"/>
        <v>-0.36228207083499575</v>
      </c>
    </row>
    <row r="341" spans="5:6" x14ac:dyDescent="0.25">
      <c r="E341" s="138">
        <f ca="1"/>
        <v>1.6379760995005508</v>
      </c>
      <c r="F341" s="139">
        <f ca="1"/>
        <v>1.2175726870916095</v>
      </c>
    </row>
    <row r="342" spans="5:6" x14ac:dyDescent="0.25">
      <c r="E342" s="138">
        <f ca="1"/>
        <v>-1.7837780415620021</v>
      </c>
      <c r="F342" s="139">
        <f ca="1"/>
        <v>-1.7142314429626193</v>
      </c>
    </row>
    <row r="343" spans="5:6" x14ac:dyDescent="0.25">
      <c r="E343" s="138">
        <f ca="1"/>
        <v>0.59971259069205296</v>
      </c>
      <c r="F343" s="139">
        <f ca="1"/>
        <v>-7.2856610912936937E-3</v>
      </c>
    </row>
    <row r="344" spans="5:6" x14ac:dyDescent="0.25">
      <c r="E344" s="138">
        <f ca="1"/>
        <v>-0.64392316407812211</v>
      </c>
      <c r="F344" s="139">
        <f ca="1"/>
        <v>-4.038216627160518E-2</v>
      </c>
    </row>
    <row r="345" spans="5:6" x14ac:dyDescent="0.25">
      <c r="E345" s="138">
        <f ca="1"/>
        <v>-0.54650173232800903</v>
      </c>
      <c r="F345" s="139">
        <f ca="1"/>
        <v>0.65182119951871864</v>
      </c>
    </row>
    <row r="346" spans="5:6" x14ac:dyDescent="0.25">
      <c r="E346" s="138">
        <f ca="1"/>
        <v>-1.1478863196236633</v>
      </c>
      <c r="F346" s="139">
        <f ca="1"/>
        <v>-1.6277952507765612</v>
      </c>
    </row>
    <row r="347" spans="5:6" x14ac:dyDescent="0.25">
      <c r="E347" s="138">
        <f ca="1"/>
        <v>-2.816912761808112</v>
      </c>
      <c r="F347" s="139">
        <f ca="1"/>
        <v>-1.4853231953970145</v>
      </c>
    </row>
    <row r="348" spans="5:6" x14ac:dyDescent="0.25">
      <c r="E348" s="138">
        <f ca="1"/>
        <v>-0.71226778205325059</v>
      </c>
      <c r="F348" s="139">
        <f ca="1"/>
        <v>-0.67896214465801763</v>
      </c>
    </row>
    <row r="349" spans="5:6" x14ac:dyDescent="0.25">
      <c r="E349" s="138">
        <f ca="1"/>
        <v>-0.4205347574950945</v>
      </c>
      <c r="F349" s="139">
        <f ca="1"/>
        <v>-0.55923458251973501</v>
      </c>
    </row>
    <row r="350" spans="5:6" x14ac:dyDescent="0.25">
      <c r="E350" s="138">
        <f ca="1"/>
        <v>0.47378583310436306</v>
      </c>
      <c r="F350" s="139">
        <f ca="1"/>
        <v>2.0490349684748416E-2</v>
      </c>
    </row>
    <row r="351" spans="5:6" x14ac:dyDescent="0.25">
      <c r="E351" s="138">
        <f ca="1"/>
        <v>1.0203284978635467</v>
      </c>
      <c r="F351" s="139">
        <f ca="1"/>
        <v>1.1508595267307975</v>
      </c>
    </row>
    <row r="352" spans="5:6" x14ac:dyDescent="0.25">
      <c r="E352" s="138">
        <f ca="1"/>
        <v>-4.7095303218222459E-2</v>
      </c>
      <c r="F352" s="139">
        <f ca="1"/>
        <v>-0.64138692547319831</v>
      </c>
    </row>
    <row r="353" spans="5:6" x14ac:dyDescent="0.25">
      <c r="E353" s="138">
        <f ca="1"/>
        <v>-0.43725425890958614</v>
      </c>
      <c r="F353" s="139">
        <f ca="1"/>
        <v>-0.64437933848146056</v>
      </c>
    </row>
    <row r="354" spans="5:6" x14ac:dyDescent="0.25">
      <c r="E354" s="138">
        <f ca="1"/>
        <v>1.5261069803668288</v>
      </c>
      <c r="F354" s="139">
        <f ca="1"/>
        <v>2.6035212575611566</v>
      </c>
    </row>
    <row r="355" spans="5:6" x14ac:dyDescent="0.25">
      <c r="E355" s="138">
        <f ca="1"/>
        <v>-0.11423509080355126</v>
      </c>
      <c r="F355" s="139">
        <f ca="1"/>
        <v>1.9467387963247442</v>
      </c>
    </row>
    <row r="356" spans="5:6" x14ac:dyDescent="0.25">
      <c r="E356" s="138">
        <f ca="1"/>
        <v>0.20547281109330207</v>
      </c>
      <c r="F356" s="139">
        <f ca="1"/>
        <v>-1.2334676647309748</v>
      </c>
    </row>
    <row r="357" spans="5:6" x14ac:dyDescent="0.25">
      <c r="E357" s="138">
        <f ca="1"/>
        <v>-0.75723937004149722</v>
      </c>
      <c r="F357" s="139">
        <f ca="1"/>
        <v>-0.52965750464294736</v>
      </c>
    </row>
    <row r="358" spans="5:6" x14ac:dyDescent="0.25">
      <c r="E358" s="138">
        <f ca="1"/>
        <v>-0.89233225234859082</v>
      </c>
      <c r="F358" s="139">
        <f ca="1"/>
        <v>0.61190110772202899</v>
      </c>
    </row>
    <row r="359" spans="5:6" x14ac:dyDescent="0.25">
      <c r="E359" s="138">
        <f ca="1"/>
        <v>0.94409864879318917</v>
      </c>
      <c r="F359" s="139">
        <f ca="1"/>
        <v>3.0574431314754298</v>
      </c>
    </row>
    <row r="360" spans="5:6" x14ac:dyDescent="0.25">
      <c r="E360" s="138">
        <f ca="1"/>
        <v>-0.88927294152300751</v>
      </c>
      <c r="F360" s="139">
        <f ca="1"/>
        <v>-0.14650501604190769</v>
      </c>
    </row>
    <row r="361" spans="5:6" x14ac:dyDescent="0.25">
      <c r="E361" s="138">
        <f ca="1"/>
        <v>1.8249150071821576</v>
      </c>
      <c r="F361" s="139">
        <f ca="1"/>
        <v>8.1369398164012785E-2</v>
      </c>
    </row>
    <row r="362" spans="5:6" x14ac:dyDescent="0.25">
      <c r="E362" s="138">
        <f ca="1"/>
        <v>-0.41641376865639523</v>
      </c>
      <c r="F362" s="139">
        <f ca="1"/>
        <v>1.3128287730214394</v>
      </c>
    </row>
    <row r="363" spans="5:6" x14ac:dyDescent="0.25">
      <c r="E363" s="138">
        <f ca="1"/>
        <v>-1.8326970774029645</v>
      </c>
      <c r="F363" s="139">
        <f ca="1"/>
        <v>-0.29293576651544306</v>
      </c>
    </row>
    <row r="364" spans="5:6" x14ac:dyDescent="0.25">
      <c r="E364" s="138">
        <f ca="1"/>
        <v>-0.16933322502957046</v>
      </c>
      <c r="F364" s="139">
        <f ca="1"/>
        <v>9.5078948103964098E-2</v>
      </c>
    </row>
    <row r="365" spans="5:6" x14ac:dyDescent="0.25">
      <c r="E365" s="138">
        <f ca="1"/>
        <v>-0.77020397597716961</v>
      </c>
      <c r="F365" s="139">
        <f ca="1"/>
        <v>-1.424632786719549</v>
      </c>
    </row>
    <row r="366" spans="5:6" x14ac:dyDescent="0.25">
      <c r="E366" s="138">
        <f ca="1"/>
        <v>-1.4271364012280947</v>
      </c>
      <c r="F366" s="139">
        <f ca="1"/>
        <v>-0.23242795743256311</v>
      </c>
    </row>
    <row r="367" spans="5:6" x14ac:dyDescent="0.25">
      <c r="E367" s="138">
        <f ca="1"/>
        <v>-0.60255321107820359</v>
      </c>
      <c r="F367" s="139">
        <f ca="1"/>
        <v>-0.49659072091763556</v>
      </c>
    </row>
    <row r="368" spans="5:6" x14ac:dyDescent="0.25">
      <c r="E368" s="138">
        <f ca="1"/>
        <v>0.34781034156649371</v>
      </c>
      <c r="F368" s="139">
        <f ca="1"/>
        <v>1.0942415319747363</v>
      </c>
    </row>
    <row r="369" spans="5:6" x14ac:dyDescent="0.25">
      <c r="E369" s="138">
        <f ca="1"/>
        <v>-1.4811146865376488</v>
      </c>
      <c r="F369" s="139">
        <f ca="1"/>
        <v>-1.0635526637467565</v>
      </c>
    </row>
    <row r="370" spans="5:6" x14ac:dyDescent="0.25">
      <c r="E370" s="138">
        <f ca="1"/>
        <v>-1.5682659273681963</v>
      </c>
      <c r="F370" s="139">
        <f ca="1"/>
        <v>-4.801142896260302E-2</v>
      </c>
    </row>
    <row r="371" spans="5:6" x14ac:dyDescent="0.25">
      <c r="E371" s="138">
        <f ca="1"/>
        <v>-0.1002083679403357</v>
      </c>
      <c r="F371" s="139">
        <f ca="1"/>
        <v>1.6720578672013466E-2</v>
      </c>
    </row>
    <row r="372" spans="5:6" x14ac:dyDescent="0.25">
      <c r="E372" s="138">
        <f ca="1"/>
        <v>0.5938083083628326</v>
      </c>
      <c r="F372" s="139">
        <f ca="1"/>
        <v>-0.44429322787866349</v>
      </c>
    </row>
    <row r="373" spans="5:6" x14ac:dyDescent="0.25">
      <c r="E373" s="138">
        <f ca="1"/>
        <v>-0.39398208077432617</v>
      </c>
      <c r="F373" s="139">
        <f ca="1"/>
        <v>0.32532985787285063</v>
      </c>
    </row>
    <row r="374" spans="5:6" x14ac:dyDescent="0.25">
      <c r="E374" s="138">
        <f ca="1"/>
        <v>0.41274150023525802</v>
      </c>
      <c r="F374" s="139">
        <f ca="1"/>
        <v>0.24814628503148525</v>
      </c>
    </row>
    <row r="375" spans="5:6" x14ac:dyDescent="0.25">
      <c r="E375" s="138">
        <f ca="1"/>
        <v>-0.44529222467668156</v>
      </c>
      <c r="F375" s="139">
        <f ca="1"/>
        <v>1.0276127322961017</v>
      </c>
    </row>
    <row r="376" spans="5:6" x14ac:dyDescent="0.25">
      <c r="E376" s="138">
        <f ca="1"/>
        <v>-2.3731492898390658</v>
      </c>
      <c r="F376" s="139">
        <f ca="1"/>
        <v>-1.5559579409032342</v>
      </c>
    </row>
    <row r="377" spans="5:6" x14ac:dyDescent="0.25">
      <c r="E377" s="138">
        <f ca="1"/>
        <v>0.8585309218371564</v>
      </c>
      <c r="F377" s="139">
        <f ca="1"/>
        <v>1.5039194962777063</v>
      </c>
    </row>
    <row r="378" spans="5:6" x14ac:dyDescent="0.25">
      <c r="E378" s="138">
        <f ca="1"/>
        <v>0.7165735899636142</v>
      </c>
      <c r="F378" s="139">
        <f ca="1"/>
        <v>1.7004907840675434</v>
      </c>
    </row>
    <row r="379" spans="5:6" x14ac:dyDescent="0.25">
      <c r="E379" s="138">
        <f ca="1"/>
        <v>1.0427775323617456</v>
      </c>
      <c r="F379" s="139">
        <f ca="1"/>
        <v>0.3508975991810282</v>
      </c>
    </row>
    <row r="380" spans="5:6" x14ac:dyDescent="0.25">
      <c r="E380" s="138">
        <f ca="1"/>
        <v>-0.41619963003800631</v>
      </c>
      <c r="F380" s="139">
        <f ca="1"/>
        <v>0.1141580202238075</v>
      </c>
    </row>
    <row r="381" spans="5:6" x14ac:dyDescent="0.25">
      <c r="E381" s="138">
        <f ca="1"/>
        <v>0.62412841378082251</v>
      </c>
      <c r="F381" s="139">
        <f ca="1"/>
        <v>1.3170559398187613</v>
      </c>
    </row>
    <row r="382" spans="5:6" x14ac:dyDescent="0.25">
      <c r="E382" s="138">
        <f ca="1"/>
        <v>0.75946497147707448</v>
      </c>
      <c r="F382" s="139">
        <f ca="1"/>
        <v>0.42060300222375568</v>
      </c>
    </row>
    <row r="383" spans="5:6" x14ac:dyDescent="0.25">
      <c r="E383" s="138">
        <f ca="1"/>
        <v>0.16484754029036569</v>
      </c>
      <c r="F383" s="139">
        <f ca="1"/>
        <v>1.5639964757333547</v>
      </c>
    </row>
    <row r="384" spans="5:6" x14ac:dyDescent="0.25">
      <c r="E384" s="138">
        <f ca="1"/>
        <v>-0.42396282723882878</v>
      </c>
      <c r="F384" s="139">
        <f ca="1"/>
        <v>0.15187414223374537</v>
      </c>
    </row>
    <row r="385" spans="5:6" x14ac:dyDescent="0.25">
      <c r="E385" s="138">
        <f ca="1"/>
        <v>0.82212488409929452</v>
      </c>
      <c r="F385" s="139">
        <f ca="1"/>
        <v>-0.15511018290071865</v>
      </c>
    </row>
    <row r="386" spans="5:6" x14ac:dyDescent="0.25">
      <c r="E386" s="138">
        <f ca="1"/>
        <v>0.2032805590590519</v>
      </c>
      <c r="F386" s="139">
        <f ca="1"/>
        <v>-0.887595164298288</v>
      </c>
    </row>
    <row r="387" spans="5:6" x14ac:dyDescent="0.25">
      <c r="E387" s="138">
        <f ca="1"/>
        <v>-0.96521466572080006</v>
      </c>
      <c r="F387" s="139">
        <f ca="1"/>
        <v>-1.0310709797400182</v>
      </c>
    </row>
    <row r="388" spans="5:6" x14ac:dyDescent="0.25">
      <c r="E388" s="138">
        <f ca="1"/>
        <v>-0.94638179305608572</v>
      </c>
      <c r="F388" s="139">
        <f ca="1"/>
        <v>0.42160857955230063</v>
      </c>
    </row>
    <row r="389" spans="5:6" x14ac:dyDescent="0.25">
      <c r="E389" s="138">
        <f ca="1"/>
        <v>-0.37481746694047602</v>
      </c>
      <c r="F389" s="139">
        <f ca="1"/>
        <v>0.40225705170794768</v>
      </c>
    </row>
    <row r="390" spans="5:6" x14ac:dyDescent="0.25">
      <c r="E390" s="138">
        <f ca="1"/>
        <v>1.0203454427556489</v>
      </c>
      <c r="F390" s="139">
        <f ca="1"/>
        <v>8.2761730793269983E-2</v>
      </c>
    </row>
    <row r="391" spans="5:6" x14ac:dyDescent="0.25">
      <c r="E391" s="138">
        <f ca="1"/>
        <v>1.2122875615697541</v>
      </c>
      <c r="F391" s="139">
        <f ca="1"/>
        <v>2.1337598499442154</v>
      </c>
    </row>
    <row r="392" spans="5:6" x14ac:dyDescent="0.25">
      <c r="E392" s="138">
        <f ca="1"/>
        <v>-0.61008422746338364</v>
      </c>
      <c r="F392" s="139">
        <f ca="1"/>
        <v>-1.4951324940987814</v>
      </c>
    </row>
    <row r="393" spans="5:6" x14ac:dyDescent="0.25">
      <c r="E393" s="138">
        <f ca="1"/>
        <v>0.25360010840103347</v>
      </c>
      <c r="F393" s="139">
        <f ca="1"/>
        <v>0.84452642821033641</v>
      </c>
    </row>
    <row r="394" spans="5:6" x14ac:dyDescent="0.25">
      <c r="E394" s="138">
        <f ca="1"/>
        <v>0.65771457655704002</v>
      </c>
      <c r="F394" s="139">
        <f ca="1"/>
        <v>-0.17680400407349284</v>
      </c>
    </row>
    <row r="395" spans="5:6" x14ac:dyDescent="0.25">
      <c r="E395" s="138">
        <f ca="1"/>
        <v>0.79562070309514954</v>
      </c>
      <c r="F395" s="139">
        <f ca="1"/>
        <v>1.3670033166023952</v>
      </c>
    </row>
    <row r="396" spans="5:6" x14ac:dyDescent="0.25">
      <c r="E396" s="138">
        <f ca="1"/>
        <v>0.15964512054854543</v>
      </c>
      <c r="F396" s="139">
        <f ca="1"/>
        <v>0.35869269322408032</v>
      </c>
    </row>
    <row r="397" spans="5:6" x14ac:dyDescent="0.25">
      <c r="E397" s="138">
        <f ca="1"/>
        <v>0.30716203498462641</v>
      </c>
      <c r="F397" s="139">
        <f ca="1"/>
        <v>7.1775285139438191E-2</v>
      </c>
    </row>
    <row r="398" spans="5:6" x14ac:dyDescent="0.25">
      <c r="E398" s="138">
        <f ca="1"/>
        <v>1.2820525247406487</v>
      </c>
      <c r="F398" s="139">
        <f ca="1"/>
        <v>9.117266315684236E-2</v>
      </c>
    </row>
    <row r="399" spans="5:6" x14ac:dyDescent="0.25">
      <c r="E399" s="138">
        <f ca="1"/>
        <v>1.2766514939494396</v>
      </c>
      <c r="F399" s="139">
        <f ca="1"/>
        <v>0.81468051900779337</v>
      </c>
    </row>
    <row r="400" spans="5:6" x14ac:dyDescent="0.25">
      <c r="E400" s="138">
        <f ca="1"/>
        <v>0.1214232245667097</v>
      </c>
      <c r="F400" s="139">
        <f ca="1"/>
        <v>-1.196079981672342</v>
      </c>
    </row>
    <row r="401" spans="5:6" x14ac:dyDescent="0.25">
      <c r="E401" s="138">
        <f ca="1"/>
        <v>-0.84842911871676097</v>
      </c>
      <c r="F401" s="139">
        <f ca="1"/>
        <v>-0.48524830102822308</v>
      </c>
    </row>
    <row r="402" spans="5:6" x14ac:dyDescent="0.25">
      <c r="E402" s="138">
        <f ca="1"/>
        <v>-1.9575510869949635</v>
      </c>
      <c r="F402" s="139">
        <f ca="1"/>
        <v>0.6105422767707368</v>
      </c>
    </row>
    <row r="403" spans="5:6" x14ac:dyDescent="0.25">
      <c r="E403" s="138">
        <f ca="1"/>
        <v>0.95426945819312403</v>
      </c>
      <c r="F403" s="139">
        <f ca="1"/>
        <v>1.4812235598750667</v>
      </c>
    </row>
    <row r="404" spans="5:6" x14ac:dyDescent="0.25">
      <c r="E404" s="138">
        <f ca="1"/>
        <v>-1.4007817731225873</v>
      </c>
      <c r="F404" s="139">
        <f ca="1"/>
        <v>-0.30811608886996045</v>
      </c>
    </row>
    <row r="405" spans="5:6" x14ac:dyDescent="0.25">
      <c r="E405" s="138">
        <f ca="1"/>
        <v>0.16610460776679126</v>
      </c>
      <c r="F405" s="139">
        <f ca="1"/>
        <v>0.24206284817396487</v>
      </c>
    </row>
    <row r="406" spans="5:6" x14ac:dyDescent="0.25">
      <c r="E406" s="138">
        <f ca="1"/>
        <v>1.7013245710079701</v>
      </c>
      <c r="F406" s="139">
        <f ca="1"/>
        <v>-4.0753522870823788E-2</v>
      </c>
    </row>
    <row r="407" spans="5:6" x14ac:dyDescent="0.25">
      <c r="E407" s="138">
        <f ca="1"/>
        <v>0.23879193444384986</v>
      </c>
      <c r="F407" s="139">
        <f ca="1"/>
        <v>0.79483117964936978</v>
      </c>
    </row>
    <row r="408" spans="5:6" x14ac:dyDescent="0.25">
      <c r="E408" s="138">
        <f ca="1"/>
        <v>-0.11043666306391657</v>
      </c>
      <c r="F408" s="139">
        <f ca="1"/>
        <v>0.27038578095459903</v>
      </c>
    </row>
    <row r="409" spans="5:6" x14ac:dyDescent="0.25">
      <c r="E409" s="138">
        <f ca="1"/>
        <v>0.96681147464316997</v>
      </c>
      <c r="F409" s="139">
        <f ca="1"/>
        <v>1.3508405019934788</v>
      </c>
    </row>
    <row r="410" spans="5:6" x14ac:dyDescent="0.25">
      <c r="E410" s="138">
        <f ca="1"/>
        <v>-1.0478788580489908</v>
      </c>
      <c r="F410" s="139">
        <f ca="1"/>
        <v>-1.5616739524495953</v>
      </c>
    </row>
    <row r="411" spans="5:6" x14ac:dyDescent="0.25">
      <c r="E411" s="138">
        <f ca="1"/>
        <v>-1.3193775837977681</v>
      </c>
      <c r="F411" s="139">
        <f ca="1"/>
        <v>-0.67327723591917421</v>
      </c>
    </row>
    <row r="412" spans="5:6" x14ac:dyDescent="0.25">
      <c r="E412" s="138">
        <f ca="1"/>
        <v>0.45365385120120438</v>
      </c>
      <c r="F412" s="139">
        <f ca="1"/>
        <v>-0.61850761282423017</v>
      </c>
    </row>
    <row r="413" spans="5:6" x14ac:dyDescent="0.25">
      <c r="E413" s="138">
        <f ca="1"/>
        <v>0.51538325525712292</v>
      </c>
      <c r="F413" s="139">
        <f ca="1"/>
        <v>0.75726649367435905</v>
      </c>
    </row>
    <row r="414" spans="5:6" x14ac:dyDescent="0.25">
      <c r="E414" s="138">
        <f ca="1"/>
        <v>0.31512512191013925</v>
      </c>
      <c r="F414" s="139">
        <f ca="1"/>
        <v>-0.86889181493915923</v>
      </c>
    </row>
    <row r="415" spans="5:6" x14ac:dyDescent="0.25">
      <c r="E415" s="138">
        <f ca="1"/>
        <v>-0.23487561857698475</v>
      </c>
      <c r="F415" s="139">
        <f ca="1"/>
        <v>0.83580957314203941</v>
      </c>
    </row>
    <row r="416" spans="5:6" x14ac:dyDescent="0.25">
      <c r="E416" s="138">
        <f ca="1"/>
        <v>0.12618235707861766</v>
      </c>
      <c r="F416" s="139">
        <f ca="1"/>
        <v>-0.13105633203421146</v>
      </c>
    </row>
    <row r="417" spans="5:6" x14ac:dyDescent="0.25">
      <c r="E417" s="138">
        <f ca="1"/>
        <v>1.2794364232261854</v>
      </c>
      <c r="F417" s="139">
        <f ca="1"/>
        <v>0.70016304424130749</v>
      </c>
    </row>
    <row r="418" spans="5:6" x14ac:dyDescent="0.25">
      <c r="E418" s="138">
        <f ca="1"/>
        <v>1.3150316095970227</v>
      </c>
      <c r="F418" s="139">
        <f ca="1"/>
        <v>2.3263768518409407</v>
      </c>
    </row>
    <row r="419" spans="5:6" x14ac:dyDescent="0.25">
      <c r="E419" s="138">
        <f ca="1"/>
        <v>0.42794032694868117</v>
      </c>
      <c r="F419" s="139">
        <f ca="1"/>
        <v>-0.11787280730305474</v>
      </c>
    </row>
    <row r="420" spans="5:6" x14ac:dyDescent="0.25">
      <c r="E420" s="138">
        <f ca="1"/>
        <v>1.2720308378563858</v>
      </c>
      <c r="F420" s="139">
        <f ca="1"/>
        <v>-0.31788219781381233</v>
      </c>
    </row>
    <row r="421" spans="5:6" x14ac:dyDescent="0.25">
      <c r="E421" s="138">
        <f ca="1"/>
        <v>0.62638303757065517</v>
      </c>
      <c r="F421" s="139">
        <f ca="1"/>
        <v>1.8797712261433646</v>
      </c>
    </row>
    <row r="422" spans="5:6" x14ac:dyDescent="0.25">
      <c r="E422" s="138">
        <f ca="1"/>
        <v>-0.63595629205145576</v>
      </c>
      <c r="F422" s="139">
        <f ca="1"/>
        <v>-1.301986193700378</v>
      </c>
    </row>
    <row r="423" spans="5:6" x14ac:dyDescent="0.25">
      <c r="E423" s="138">
        <f ca="1"/>
        <v>-1.7176654948500003</v>
      </c>
      <c r="F423" s="139">
        <f ca="1"/>
        <v>0.1342594201724191</v>
      </c>
    </row>
    <row r="424" spans="5:6" x14ac:dyDescent="0.25">
      <c r="E424" s="138">
        <f ca="1"/>
        <v>0.58033842441529793</v>
      </c>
      <c r="F424" s="139">
        <f ca="1"/>
        <v>-0.54684976185867162</v>
      </c>
    </row>
    <row r="425" spans="5:6" x14ac:dyDescent="0.25">
      <c r="E425" s="138">
        <f ca="1"/>
        <v>0.75034376651255519</v>
      </c>
      <c r="F425" s="139">
        <f ca="1"/>
        <v>0.22084495884753877</v>
      </c>
    </row>
    <row r="426" spans="5:6" x14ac:dyDescent="0.25">
      <c r="E426" s="138">
        <f ca="1"/>
        <v>-3.7240829376440396E-2</v>
      </c>
      <c r="F426" s="139">
        <f ca="1"/>
        <v>0.27771497496192848</v>
      </c>
    </row>
    <row r="427" spans="5:6" x14ac:dyDescent="0.25">
      <c r="E427" s="138">
        <f ca="1"/>
        <v>0.62804230845938447</v>
      </c>
      <c r="F427" s="139">
        <f ca="1"/>
        <v>-0.95043134086279468</v>
      </c>
    </row>
    <row r="428" spans="5:6" x14ac:dyDescent="0.25">
      <c r="E428" s="138">
        <f ca="1"/>
        <v>-0.58021495834759695</v>
      </c>
      <c r="F428" s="139">
        <f ca="1"/>
        <v>0.13397702991985244</v>
      </c>
    </row>
    <row r="429" spans="5:6" x14ac:dyDescent="0.25">
      <c r="E429" s="138">
        <f ca="1"/>
        <v>0.46129267768354287</v>
      </c>
      <c r="F429" s="139">
        <f ca="1"/>
        <v>0.24828566485135184</v>
      </c>
    </row>
    <row r="430" spans="5:6" x14ac:dyDescent="0.25">
      <c r="E430" s="138">
        <f ca="1"/>
        <v>-1.5693824766382021</v>
      </c>
      <c r="F430" s="139">
        <f ca="1"/>
        <v>-0.52519540638787965</v>
      </c>
    </row>
    <row r="431" spans="5:6" x14ac:dyDescent="0.25">
      <c r="E431" s="138">
        <f ca="1"/>
        <v>-0.18799184158865603</v>
      </c>
      <c r="F431" s="139">
        <f ca="1"/>
        <v>-0.84722342350651236</v>
      </c>
    </row>
    <row r="432" spans="5:6" x14ac:dyDescent="0.25">
      <c r="E432" s="138">
        <f ca="1"/>
        <v>-0.82368779904062694</v>
      </c>
      <c r="F432" s="139">
        <f ca="1"/>
        <v>-2.0879157869850404</v>
      </c>
    </row>
    <row r="433" spans="5:6" x14ac:dyDescent="0.25">
      <c r="E433" s="138">
        <f ca="1"/>
        <v>5.4382983777492261E-2</v>
      </c>
      <c r="F433" s="139">
        <f ca="1"/>
        <v>0.97964424340102119</v>
      </c>
    </row>
    <row r="434" spans="5:6" x14ac:dyDescent="0.25">
      <c r="E434" s="138">
        <f ca="1"/>
        <v>0.35856326940327554</v>
      </c>
      <c r="F434" s="139">
        <f ca="1"/>
        <v>0.37227957511098925</v>
      </c>
    </row>
    <row r="435" spans="5:6" x14ac:dyDescent="0.25">
      <c r="E435" s="138">
        <f ca="1"/>
        <v>-1.7315312191141585</v>
      </c>
      <c r="F435" s="139">
        <f ca="1"/>
        <v>-0.9651732043786927</v>
      </c>
    </row>
    <row r="436" spans="5:6" x14ac:dyDescent="0.25">
      <c r="E436" s="138">
        <f ca="1"/>
        <v>-0.5651839290270364</v>
      </c>
      <c r="F436" s="139">
        <f ca="1"/>
        <v>-1.7556230708528242</v>
      </c>
    </row>
    <row r="437" spans="5:6" x14ac:dyDescent="0.25">
      <c r="E437" s="138">
        <f ca="1"/>
        <v>1.2932917013184373</v>
      </c>
      <c r="F437" s="139">
        <f ca="1"/>
        <v>-0.66979576336270374</v>
      </c>
    </row>
    <row r="438" spans="5:6" x14ac:dyDescent="0.25">
      <c r="E438" s="138">
        <f ca="1"/>
        <v>-0.14453679957607185</v>
      </c>
      <c r="F438" s="139">
        <f ca="1"/>
        <v>0.23126716457292276</v>
      </c>
    </row>
    <row r="439" spans="5:6" x14ac:dyDescent="0.25">
      <c r="E439" s="138">
        <f ca="1"/>
        <v>1.7455239138436411</v>
      </c>
      <c r="F439" s="139">
        <f ca="1"/>
        <v>0.98062755314019923</v>
      </c>
    </row>
    <row r="440" spans="5:6" x14ac:dyDescent="0.25">
      <c r="E440" s="138">
        <f ca="1"/>
        <v>-0.39628966919317443</v>
      </c>
      <c r="F440" s="139">
        <f ca="1"/>
        <v>-0.54935333593001967</v>
      </c>
    </row>
    <row r="441" spans="5:6" x14ac:dyDescent="0.25">
      <c r="E441" s="138">
        <f ca="1"/>
        <v>-0.61039041505612168</v>
      </c>
      <c r="F441" s="139">
        <f ca="1"/>
        <v>0.33178131918224674</v>
      </c>
    </row>
    <row r="442" spans="5:6" x14ac:dyDescent="0.25">
      <c r="E442" s="138">
        <f ca="1"/>
        <v>-6.5899034374306887E-4</v>
      </c>
      <c r="F442" s="139">
        <f ca="1"/>
        <v>1.5297592296757225</v>
      </c>
    </row>
    <row r="443" spans="5:6" x14ac:dyDescent="0.25">
      <c r="E443" s="138">
        <f ca="1"/>
        <v>1.7776739489750157</v>
      </c>
      <c r="F443" s="139">
        <f ca="1"/>
        <v>-0.21108768081367291</v>
      </c>
    </row>
    <row r="444" spans="5:6" x14ac:dyDescent="0.25">
      <c r="E444" s="138">
        <f ca="1"/>
        <v>0.39905090172244245</v>
      </c>
      <c r="F444" s="139">
        <f ca="1"/>
        <v>1.2019039283214754</v>
      </c>
    </row>
    <row r="445" spans="5:6" x14ac:dyDescent="0.25">
      <c r="E445" s="138">
        <f ca="1"/>
        <v>-0.14197279406271227</v>
      </c>
      <c r="F445" s="139">
        <f ca="1"/>
        <v>0.29022449127691258</v>
      </c>
    </row>
    <row r="446" spans="5:6" x14ac:dyDescent="0.25">
      <c r="E446" s="138">
        <f ca="1"/>
        <v>1.6392070061059967</v>
      </c>
      <c r="F446" s="139">
        <f ca="1"/>
        <v>1.4177578011356096</v>
      </c>
    </row>
    <row r="447" spans="5:6" x14ac:dyDescent="0.25">
      <c r="E447" s="138">
        <f ca="1"/>
        <v>-1.0805137516861905</v>
      </c>
      <c r="F447" s="139">
        <f ca="1"/>
        <v>-0.52437027577736517</v>
      </c>
    </row>
    <row r="448" spans="5:6" x14ac:dyDescent="0.25">
      <c r="E448" s="138">
        <f ca="1"/>
        <v>-1.8374160228821486</v>
      </c>
      <c r="F448" s="139">
        <f ca="1"/>
        <v>-9.5157419728425396E-2</v>
      </c>
    </row>
    <row r="449" spans="5:6" x14ac:dyDescent="0.25">
      <c r="E449" s="138">
        <f ca="1"/>
        <v>2.8110674448438715E-2</v>
      </c>
      <c r="F449" s="139">
        <f ca="1"/>
        <v>-0.34765736247276907</v>
      </c>
    </row>
    <row r="450" spans="5:6" x14ac:dyDescent="0.25">
      <c r="E450" s="138">
        <f ca="1"/>
        <v>0.14169368122491893</v>
      </c>
      <c r="F450" s="139">
        <f ca="1"/>
        <v>0.12509515370094457</v>
      </c>
    </row>
    <row r="451" spans="5:6" x14ac:dyDescent="0.25">
      <c r="E451" s="138">
        <f ca="1"/>
        <v>0.54098220064845237</v>
      </c>
      <c r="F451" s="139">
        <f ca="1"/>
        <v>0.62652293647610136</v>
      </c>
    </row>
    <row r="452" spans="5:6" x14ac:dyDescent="0.25">
      <c r="E452" s="138">
        <f ca="1"/>
        <v>0.36059844328735646</v>
      </c>
      <c r="F452" s="139">
        <f ca="1"/>
        <v>-3.0458324933541947E-2</v>
      </c>
    </row>
    <row r="453" spans="5:6" x14ac:dyDescent="0.25">
      <c r="E453" s="138">
        <f ca="1"/>
        <v>-0.46940947302301023</v>
      </c>
      <c r="F453" s="139">
        <f ca="1"/>
        <v>-0.88153826675902569</v>
      </c>
    </row>
    <row r="454" spans="5:6" x14ac:dyDescent="0.25">
      <c r="E454" s="138">
        <f ca="1"/>
        <v>-1.0008858456717598</v>
      </c>
      <c r="F454" s="139">
        <f ca="1"/>
        <v>-1.575585466938664</v>
      </c>
    </row>
    <row r="455" spans="5:6" x14ac:dyDescent="0.25">
      <c r="E455" s="138">
        <f ca="1"/>
        <v>-0.6118305160382792</v>
      </c>
      <c r="F455" s="139">
        <f ca="1"/>
        <v>-0.69623538521639361</v>
      </c>
    </row>
    <row r="456" spans="5:6" x14ac:dyDescent="0.25">
      <c r="E456" s="138">
        <f ca="1"/>
        <v>0.60210413116869288</v>
      </c>
      <c r="F456" s="139">
        <f ca="1"/>
        <v>0.29657465524302701</v>
      </c>
    </row>
    <row r="457" spans="5:6" x14ac:dyDescent="0.25">
      <c r="E457" s="138">
        <f ca="1"/>
        <v>1.3302877523830712</v>
      </c>
      <c r="F457" s="139">
        <f ca="1"/>
        <v>1.5803641624571099</v>
      </c>
    </row>
    <row r="458" spans="5:6" x14ac:dyDescent="0.25">
      <c r="E458" s="138">
        <f ca="1"/>
        <v>-0.30936986502893016</v>
      </c>
      <c r="F458" s="139">
        <f ca="1"/>
        <v>-0.94259087293907262</v>
      </c>
    </row>
    <row r="459" spans="5:6" x14ac:dyDescent="0.25">
      <c r="E459" s="138">
        <f ca="1"/>
        <v>0.25470283186382076</v>
      </c>
      <c r="F459" s="139">
        <f ca="1"/>
        <v>-0.47174516619837803</v>
      </c>
    </row>
    <row r="460" spans="5:6" x14ac:dyDescent="0.25">
      <c r="E460" s="138">
        <f ca="1"/>
        <v>2.8963667605228768E-2</v>
      </c>
      <c r="F460" s="139">
        <f ca="1"/>
        <v>0.69558515204390403</v>
      </c>
    </row>
    <row r="461" spans="5:6" x14ac:dyDescent="0.25">
      <c r="E461" s="138">
        <f ca="1"/>
        <v>-6.7523468957234933E-2</v>
      </c>
      <c r="F461" s="139">
        <f ca="1"/>
        <v>0.72141236407741016</v>
      </c>
    </row>
    <row r="462" spans="5:6" x14ac:dyDescent="0.25">
      <c r="E462" s="138">
        <f ca="1"/>
        <v>0.19739572669703548</v>
      </c>
      <c r="F462" s="139">
        <f ca="1"/>
        <v>-0.80577413090492134</v>
      </c>
    </row>
    <row r="463" spans="5:6" x14ac:dyDescent="0.25">
      <c r="E463" s="138">
        <f ca="1"/>
        <v>0.49249853099472807</v>
      </c>
      <c r="F463" s="139">
        <f ca="1"/>
        <v>7.1716331895696234E-2</v>
      </c>
    </row>
    <row r="464" spans="5:6" x14ac:dyDescent="0.25">
      <c r="E464" s="138">
        <f ca="1"/>
        <v>1.0164010230836442</v>
      </c>
      <c r="F464" s="139">
        <f ca="1"/>
        <v>-0.49811292714093247</v>
      </c>
    </row>
    <row r="465" spans="5:6" x14ac:dyDescent="0.25">
      <c r="E465" s="138">
        <f ca="1"/>
        <v>-1.8782591838694716E-2</v>
      </c>
      <c r="F465" s="139">
        <f ca="1"/>
        <v>0.37538290454468493</v>
      </c>
    </row>
    <row r="466" spans="5:6" x14ac:dyDescent="0.25">
      <c r="E466" s="138">
        <f ca="1"/>
        <v>0.52966835377614285</v>
      </c>
      <c r="F466" s="139">
        <f ca="1"/>
        <v>1.1468408566904909</v>
      </c>
    </row>
    <row r="467" spans="5:6" x14ac:dyDescent="0.25">
      <c r="E467" s="138">
        <f ca="1"/>
        <v>1.0123705132633896</v>
      </c>
      <c r="F467" s="139">
        <f ca="1"/>
        <v>0.46285001498379419</v>
      </c>
    </row>
    <row r="468" spans="5:6" x14ac:dyDescent="0.25">
      <c r="E468" s="138">
        <f ca="1"/>
        <v>0.32970798732594658</v>
      </c>
      <c r="F468" s="139">
        <f ca="1"/>
        <v>1.5047316242064428</v>
      </c>
    </row>
    <row r="469" spans="5:6" x14ac:dyDescent="0.25">
      <c r="E469" s="138">
        <f ca="1"/>
        <v>0.27627144305760887</v>
      </c>
      <c r="F469" s="139">
        <f ca="1"/>
        <v>-0.25389837413519384</v>
      </c>
    </row>
    <row r="470" spans="5:6" x14ac:dyDescent="0.25">
      <c r="E470" s="138">
        <f ca="1"/>
        <v>-1.631968511684768</v>
      </c>
      <c r="F470" s="139">
        <f ca="1"/>
        <v>-0.92548309095321191</v>
      </c>
    </row>
    <row r="471" spans="5:6" x14ac:dyDescent="0.25">
      <c r="E471" s="138">
        <f ca="1"/>
        <v>-0.2821549308531513</v>
      </c>
      <c r="F471" s="139">
        <f ca="1"/>
        <v>2.2521514060652077</v>
      </c>
    </row>
    <row r="472" spans="5:6" x14ac:dyDescent="0.25">
      <c r="E472" s="138">
        <f ca="1"/>
        <v>-1.6858748399951016</v>
      </c>
      <c r="F472" s="139">
        <f ca="1"/>
        <v>-1.744042901438106</v>
      </c>
    </row>
    <row r="473" spans="5:6" x14ac:dyDescent="0.25">
      <c r="E473" s="138">
        <f ca="1"/>
        <v>1.5404228050808739</v>
      </c>
      <c r="F473" s="139">
        <f ca="1"/>
        <v>-8.4164498463586757E-2</v>
      </c>
    </row>
    <row r="474" spans="5:6" x14ac:dyDescent="0.25">
      <c r="E474" s="138">
        <f ca="1"/>
        <v>7.2794178960035844E-2</v>
      </c>
      <c r="F474" s="139">
        <f ca="1"/>
        <v>0.14144676536374715</v>
      </c>
    </row>
    <row r="475" spans="5:6" x14ac:dyDescent="0.25">
      <c r="E475" s="138">
        <f ca="1"/>
        <v>-0.59915002942546591</v>
      </c>
      <c r="F475" s="139">
        <f ca="1"/>
        <v>-0.56714182540733793</v>
      </c>
    </row>
    <row r="476" spans="5:6" x14ac:dyDescent="0.25">
      <c r="E476" s="138">
        <f ca="1"/>
        <v>0.78251084220922551</v>
      </c>
      <c r="F476" s="139">
        <f ca="1"/>
        <v>-0.49877450612193819</v>
      </c>
    </row>
    <row r="477" spans="5:6" x14ac:dyDescent="0.25">
      <c r="E477" s="138">
        <f ca="1"/>
        <v>-0.18262582134128191</v>
      </c>
      <c r="F477" s="139">
        <f ca="1"/>
        <v>0.92774255991090659</v>
      </c>
    </row>
    <row r="478" spans="5:6" x14ac:dyDescent="0.25">
      <c r="E478" s="138">
        <f ca="1"/>
        <v>0.53327350545119101</v>
      </c>
      <c r="F478" s="139">
        <f ca="1"/>
        <v>-0.17323593039458418</v>
      </c>
    </row>
    <row r="479" spans="5:6" x14ac:dyDescent="0.25">
      <c r="E479" s="138">
        <f ca="1"/>
        <v>0.64848697873480743</v>
      </c>
      <c r="F479" s="139">
        <f ca="1"/>
        <v>-0.48292700241347458</v>
      </c>
    </row>
    <row r="480" spans="5:6" x14ac:dyDescent="0.25">
      <c r="E480" s="138">
        <f ca="1"/>
        <v>-0.85376044926034456</v>
      </c>
      <c r="F480" s="139">
        <f ca="1"/>
        <v>0.87240768624349763</v>
      </c>
    </row>
    <row r="481" spans="5:6" x14ac:dyDescent="0.25">
      <c r="E481" s="138">
        <f ca="1"/>
        <v>1.476767700044296</v>
      </c>
      <c r="F481" s="139">
        <f ca="1"/>
        <v>1.2322440982717167</v>
      </c>
    </row>
    <row r="482" spans="5:6" x14ac:dyDescent="0.25">
      <c r="E482" s="138">
        <f ca="1"/>
        <v>-0.60754568754887572</v>
      </c>
      <c r="F482" s="139">
        <f ca="1"/>
        <v>-1.5917508305783479</v>
      </c>
    </row>
    <row r="483" spans="5:6" x14ac:dyDescent="0.25">
      <c r="E483" s="138">
        <f ca="1"/>
        <v>-0.52861227075915107</v>
      </c>
      <c r="F483" s="139">
        <f ca="1"/>
        <v>-0.77853497633383961</v>
      </c>
    </row>
    <row r="484" spans="5:6" x14ac:dyDescent="0.25">
      <c r="E484" s="138">
        <f ca="1"/>
        <v>-0.78833491323110949</v>
      </c>
      <c r="F484" s="139">
        <f ca="1"/>
        <v>-1.828510825718042</v>
      </c>
    </row>
    <row r="485" spans="5:6" x14ac:dyDescent="0.25">
      <c r="E485" s="138">
        <f ca="1"/>
        <v>0.32088922094287226</v>
      </c>
      <c r="F485" s="139">
        <f ca="1"/>
        <v>0.93654514015143986</v>
      </c>
    </row>
    <row r="486" spans="5:6" x14ac:dyDescent="0.25">
      <c r="E486" s="138">
        <f ca="1"/>
        <v>-0.23179933136875291</v>
      </c>
      <c r="F486" s="139">
        <f ca="1"/>
        <v>-1.1759089611656941</v>
      </c>
    </row>
    <row r="487" spans="5:6" x14ac:dyDescent="0.25">
      <c r="E487" s="138">
        <f ca="1"/>
        <v>-1.8368854643578982</v>
      </c>
      <c r="F487" s="139">
        <f ca="1"/>
        <v>-1.4091857974208923</v>
      </c>
    </row>
    <row r="488" spans="5:6" x14ac:dyDescent="0.25">
      <c r="E488" s="138">
        <f ca="1"/>
        <v>0.39960438985890434</v>
      </c>
      <c r="F488" s="139">
        <f ca="1"/>
        <v>0.11849138164500016</v>
      </c>
    </row>
    <row r="489" spans="5:6" x14ac:dyDescent="0.25">
      <c r="E489" s="138">
        <f ca="1"/>
        <v>0.29787937708250284</v>
      </c>
      <c r="F489" s="139">
        <f ca="1"/>
        <v>1.050240554126503</v>
      </c>
    </row>
    <row r="490" spans="5:6" x14ac:dyDescent="0.25">
      <c r="E490" s="138">
        <f ca="1"/>
        <v>-0.61184586763583992</v>
      </c>
      <c r="F490" s="139">
        <f ca="1"/>
        <v>-1.010748312090173</v>
      </c>
    </row>
    <row r="491" spans="5:6" x14ac:dyDescent="0.25">
      <c r="E491" s="138">
        <f ca="1"/>
        <v>0.56835919475474372</v>
      </c>
      <c r="F491" s="139">
        <f ca="1"/>
        <v>-0.11891012601110462</v>
      </c>
    </row>
    <row r="492" spans="5:6" x14ac:dyDescent="0.25">
      <c r="E492" s="138">
        <f ca="1"/>
        <v>-0.58152119729968532</v>
      </c>
      <c r="F492" s="139">
        <f ca="1"/>
        <v>0.85638619876212774</v>
      </c>
    </row>
    <row r="493" spans="5:6" x14ac:dyDescent="0.25">
      <c r="E493" s="138">
        <f ca="1"/>
        <v>1.7496574241619562</v>
      </c>
      <c r="F493" s="139">
        <f ca="1"/>
        <v>0.43369922248590431</v>
      </c>
    </row>
    <row r="494" spans="5:6" x14ac:dyDescent="0.25">
      <c r="E494" s="138">
        <f ca="1"/>
        <v>0.77818461740406419</v>
      </c>
      <c r="F494" s="139">
        <f ca="1"/>
        <v>6.5467221893422689E-2</v>
      </c>
    </row>
    <row r="495" spans="5:6" x14ac:dyDescent="0.25">
      <c r="E495" s="138">
        <f ca="1"/>
        <v>-0.99913128278728125</v>
      </c>
      <c r="F495" s="139">
        <f ca="1"/>
        <v>0.23677585215609626</v>
      </c>
    </row>
    <row r="496" spans="5:6" x14ac:dyDescent="0.25">
      <c r="E496" s="138">
        <f ca="1"/>
        <v>1.0455537126876344</v>
      </c>
      <c r="F496" s="139">
        <f ca="1"/>
        <v>0.28056586343024936</v>
      </c>
    </row>
    <row r="497" spans="5:6" x14ac:dyDescent="0.25">
      <c r="E497" s="138">
        <f ca="1"/>
        <v>0.3274025177911099</v>
      </c>
      <c r="F497" s="139">
        <f ca="1"/>
        <v>0.89499354249763408</v>
      </c>
    </row>
    <row r="498" spans="5:6" x14ac:dyDescent="0.25">
      <c r="E498" s="138">
        <f ca="1"/>
        <v>0.11918650195214993</v>
      </c>
      <c r="F498" s="139">
        <f ca="1"/>
        <v>-0.37542215822853109</v>
      </c>
    </row>
    <row r="499" spans="5:6" x14ac:dyDescent="0.25">
      <c r="E499" s="138">
        <f ca="1"/>
        <v>0.25668394526922472</v>
      </c>
      <c r="F499" s="139">
        <f ca="1"/>
        <v>0.77770587073569142</v>
      </c>
    </row>
    <row r="500" spans="5:6" x14ac:dyDescent="0.25">
      <c r="E500" s="138">
        <f ca="1"/>
        <v>0.59510787412768584</v>
      </c>
      <c r="F500" s="139">
        <f ca="1"/>
        <v>0.47876973610142992</v>
      </c>
    </row>
    <row r="501" spans="5:6" x14ac:dyDescent="0.25">
      <c r="E501" s="138">
        <f ca="1"/>
        <v>1.0819883166849913</v>
      </c>
      <c r="F501" s="139">
        <f ca="1"/>
        <v>2.6990173011220975E-2</v>
      </c>
    </row>
    <row r="502" spans="5:6" x14ac:dyDescent="0.25">
      <c r="E502" s="138">
        <f ca="1"/>
        <v>-0.16831494726574397</v>
      </c>
      <c r="F502" s="139">
        <f ca="1"/>
        <v>0.90928356158596957</v>
      </c>
    </row>
    <row r="503" spans="5:6" x14ac:dyDescent="0.25">
      <c r="E503" s="138">
        <f ca="1"/>
        <v>0.98648201265970981</v>
      </c>
      <c r="F503" s="139">
        <f ca="1"/>
        <v>0.16150321626483649</v>
      </c>
    </row>
    <row r="504" spans="5:6" x14ac:dyDescent="0.25">
      <c r="E504" s="138">
        <f ca="1"/>
        <v>0.91740090270899788</v>
      </c>
      <c r="F504" s="139">
        <f ca="1"/>
        <v>-0.43756813476815298</v>
      </c>
    </row>
    <row r="505" spans="5:6" x14ac:dyDescent="0.25">
      <c r="E505" s="138">
        <f ca="1"/>
        <v>0.27009351894774897</v>
      </c>
      <c r="F505" s="139">
        <f ca="1"/>
        <v>2.5936276630742883E-2</v>
      </c>
    </row>
    <row r="506" spans="5:6" x14ac:dyDescent="0.25">
      <c r="E506" s="138">
        <f ca="1"/>
        <v>0.93199148447996449</v>
      </c>
      <c r="F506" s="139">
        <f ca="1"/>
        <v>0.95967859517904686</v>
      </c>
    </row>
    <row r="507" spans="5:6" x14ac:dyDescent="0.25">
      <c r="E507" s="138">
        <f ca="1"/>
        <v>1.0714782457169836</v>
      </c>
      <c r="F507" s="139">
        <f ca="1"/>
        <v>1.0893527360686601</v>
      </c>
    </row>
    <row r="508" spans="5:6" x14ac:dyDescent="0.25">
      <c r="E508" s="138">
        <f ca="1"/>
        <v>-2.1310755486879769</v>
      </c>
      <c r="F508" s="139">
        <f ca="1"/>
        <v>-0.44328916366344673</v>
      </c>
    </row>
    <row r="509" spans="5:6" x14ac:dyDescent="0.25">
      <c r="E509" s="138">
        <f ca="1"/>
        <v>6.6283066373473393E-2</v>
      </c>
      <c r="F509" s="139">
        <f ca="1"/>
        <v>-0.96727655927269585</v>
      </c>
    </row>
    <row r="510" spans="5:6" x14ac:dyDescent="0.25">
      <c r="E510" s="138">
        <f ca="1"/>
        <v>0.62203390463647978</v>
      </c>
      <c r="F510" s="139">
        <f ca="1"/>
        <v>0.8634521682950288</v>
      </c>
    </row>
    <row r="511" spans="5:6" x14ac:dyDescent="0.25">
      <c r="E511" s="138">
        <f ca="1"/>
        <v>-1.70007132492181</v>
      </c>
      <c r="F511" s="139">
        <f ca="1"/>
        <v>-0.63864207734109901</v>
      </c>
    </row>
    <row r="512" spans="5:6" x14ac:dyDescent="0.25">
      <c r="E512" s="138">
        <f ca="1"/>
        <v>0.57467081534203923</v>
      </c>
      <c r="F512" s="139">
        <f ca="1"/>
        <v>-0.56722802724315147</v>
      </c>
    </row>
    <row r="513" spans="5:6" x14ac:dyDescent="0.25">
      <c r="E513" s="138">
        <f ca="1"/>
        <v>-0.93994277312601715</v>
      </c>
      <c r="F513" s="139">
        <f ca="1"/>
        <v>-0.58442155470256474</v>
      </c>
    </row>
    <row r="514" spans="5:6" x14ac:dyDescent="0.25">
      <c r="E514" s="138">
        <f ca="1"/>
        <v>0.58063681632367325</v>
      </c>
      <c r="F514" s="139">
        <f ca="1"/>
        <v>0.43404811931694409</v>
      </c>
    </row>
    <row r="515" spans="5:6" x14ac:dyDescent="0.25">
      <c r="E515" s="138">
        <f ca="1"/>
        <v>0.52711449070637273</v>
      </c>
      <c r="F515" s="139">
        <f ca="1"/>
        <v>-1.1992493390406191</v>
      </c>
    </row>
    <row r="516" spans="5:6" x14ac:dyDescent="0.25">
      <c r="E516" s="138">
        <f ca="1"/>
        <v>0.79287008804846304</v>
      </c>
      <c r="F516" s="139">
        <f ca="1"/>
        <v>0.59735063425632884</v>
      </c>
    </row>
    <row r="517" spans="5:6" x14ac:dyDescent="0.25">
      <c r="E517" s="138">
        <f ca="1"/>
        <v>-0.10936686283402219</v>
      </c>
      <c r="F517" s="139">
        <f ca="1"/>
        <v>-2.9338699073440995</v>
      </c>
    </row>
    <row r="518" spans="5:6" x14ac:dyDescent="0.25">
      <c r="E518" s="138">
        <f ca="1"/>
        <v>1.5316175819981852</v>
      </c>
      <c r="F518" s="139">
        <f ca="1"/>
        <v>-0.64742169937710126</v>
      </c>
    </row>
    <row r="519" spans="5:6" x14ac:dyDescent="0.25">
      <c r="E519" s="138">
        <f ca="1"/>
        <v>-1.6584886700116099</v>
      </c>
      <c r="F519" s="139">
        <f ca="1"/>
        <v>-1.7831197080886771</v>
      </c>
    </row>
    <row r="520" spans="5:6" x14ac:dyDescent="0.25">
      <c r="E520" s="138">
        <f ca="1"/>
        <v>0.40745480775865089</v>
      </c>
      <c r="F520" s="139">
        <f ca="1"/>
        <v>0.17979802934497399</v>
      </c>
    </row>
    <row r="521" spans="5:6" x14ac:dyDescent="0.25">
      <c r="E521" s="138">
        <f ca="1"/>
        <v>-0.63808811867613024</v>
      </c>
      <c r="F521" s="139">
        <f ca="1"/>
        <v>0.53645897073776994</v>
      </c>
    </row>
    <row r="522" spans="5:6" x14ac:dyDescent="0.25">
      <c r="E522" s="138">
        <f ca="1"/>
        <v>-0.88715442303554304</v>
      </c>
      <c r="F522" s="139">
        <f ca="1"/>
        <v>0.14171242678279494</v>
      </c>
    </row>
    <row r="523" spans="5:6" x14ac:dyDescent="0.25">
      <c r="E523" s="138">
        <f ca="1"/>
        <v>0.51487977723489087</v>
      </c>
      <c r="F523" s="139">
        <f ca="1"/>
        <v>0.87492676475980868</v>
      </c>
    </row>
    <row r="524" spans="5:6" x14ac:dyDescent="0.25">
      <c r="E524" s="138">
        <f ca="1"/>
        <v>0.49076983019943582</v>
      </c>
      <c r="F524" s="139">
        <f ca="1"/>
        <v>-1.2394963079768988</v>
      </c>
    </row>
    <row r="525" spans="5:6" x14ac:dyDescent="0.25">
      <c r="E525" s="138">
        <f ca="1"/>
        <v>0.54304772347935637</v>
      </c>
      <c r="F525" s="139">
        <f ca="1"/>
        <v>0.10366342426580225</v>
      </c>
    </row>
    <row r="526" spans="5:6" x14ac:dyDescent="0.25">
      <c r="E526" s="138">
        <f ca="1"/>
        <v>2.3412801116346875</v>
      </c>
      <c r="F526" s="139">
        <f ca="1"/>
        <v>1.3648323900478658</v>
      </c>
    </row>
    <row r="527" spans="5:6" x14ac:dyDescent="0.25">
      <c r="E527" s="138">
        <f ca="1"/>
        <v>0.30367671889363423</v>
      </c>
      <c r="F527" s="139">
        <f ca="1"/>
        <v>1.4320355883483584</v>
      </c>
    </row>
    <row r="528" spans="5:6" x14ac:dyDescent="0.25">
      <c r="E528" s="138">
        <f ca="1"/>
        <v>1.3681686998666871</v>
      </c>
      <c r="F528" s="139">
        <f ca="1"/>
        <v>0.91467794474626685</v>
      </c>
    </row>
    <row r="529" spans="5:6" x14ac:dyDescent="0.25">
      <c r="E529" s="138">
        <f ca="1"/>
        <v>-1.2963494204835231</v>
      </c>
      <c r="F529" s="139">
        <f ca="1"/>
        <v>-5.1132267751327731E-2</v>
      </c>
    </row>
    <row r="530" spans="5:6" x14ac:dyDescent="0.25">
      <c r="E530" s="138">
        <f ca="1"/>
        <v>1.1034404350665286</v>
      </c>
      <c r="F530" s="139">
        <f ca="1"/>
        <v>-0.14309068980596473</v>
      </c>
    </row>
    <row r="531" spans="5:6" x14ac:dyDescent="0.25">
      <c r="E531" s="138">
        <f ca="1"/>
        <v>-2.2239700215606475</v>
      </c>
      <c r="F531" s="139">
        <f ca="1"/>
        <v>-1.4290415452623773</v>
      </c>
    </row>
    <row r="532" spans="5:6" x14ac:dyDescent="0.25">
      <c r="E532" s="138">
        <f ca="1"/>
        <v>-1.6776975235025557</v>
      </c>
      <c r="F532" s="139">
        <f ca="1"/>
        <v>-2.0953500956102125</v>
      </c>
    </row>
    <row r="533" spans="5:6" x14ac:dyDescent="0.25">
      <c r="E533" s="138">
        <f ca="1"/>
        <v>0.50571372204330467</v>
      </c>
      <c r="F533" s="139">
        <f ca="1"/>
        <v>1.1590136526244463</v>
      </c>
    </row>
    <row r="534" spans="5:6" x14ac:dyDescent="0.25">
      <c r="E534" s="138">
        <f ca="1"/>
        <v>-2.4163268350119718</v>
      </c>
      <c r="F534" s="139">
        <f ca="1"/>
        <v>-0.8833424859789798</v>
      </c>
    </row>
    <row r="535" spans="5:6" x14ac:dyDescent="0.25">
      <c r="E535" s="138">
        <f ca="1"/>
        <v>-0.34023578128976328</v>
      </c>
      <c r="F535" s="139">
        <f ca="1"/>
        <v>-0.72635368973223402</v>
      </c>
    </row>
    <row r="536" spans="5:6" x14ac:dyDescent="0.25">
      <c r="E536" s="138">
        <f ca="1"/>
        <v>0.67293823244930562</v>
      </c>
      <c r="F536" s="139">
        <f ca="1"/>
        <v>1.0182986366926594</v>
      </c>
    </row>
    <row r="537" spans="5:6" x14ac:dyDescent="0.25">
      <c r="E537" s="138">
        <f ca="1"/>
        <v>0.88664231768899004</v>
      </c>
      <c r="F537" s="139">
        <f ca="1"/>
        <v>2.4129479818193245E-2</v>
      </c>
    </row>
    <row r="538" spans="5:6" x14ac:dyDescent="0.25">
      <c r="E538" s="138">
        <f ca="1"/>
        <v>0.62355455725873921</v>
      </c>
      <c r="F538" s="139">
        <f ca="1"/>
        <v>0.47614272234368943</v>
      </c>
    </row>
    <row r="539" spans="5:6" x14ac:dyDescent="0.25">
      <c r="E539" s="138">
        <f ca="1"/>
        <v>1.4135536972890321</v>
      </c>
      <c r="F539" s="139">
        <f ca="1"/>
        <v>1.9285791553803044</v>
      </c>
    </row>
    <row r="540" spans="5:6" x14ac:dyDescent="0.25">
      <c r="E540" s="138">
        <f ca="1"/>
        <v>0.54862960326667165</v>
      </c>
      <c r="F540" s="139">
        <f ca="1"/>
        <v>-0.3352056666112419</v>
      </c>
    </row>
    <row r="541" spans="5:6" x14ac:dyDescent="0.25">
      <c r="E541" s="138">
        <f ca="1"/>
        <v>-1.808887111672864</v>
      </c>
      <c r="F541" s="139">
        <f ca="1"/>
        <v>-0.9406231768743909</v>
      </c>
    </row>
    <row r="542" spans="5:6" x14ac:dyDescent="0.25">
      <c r="E542" s="138">
        <f ca="1"/>
        <v>-1.0065206421700699</v>
      </c>
      <c r="F542" s="139">
        <f ca="1"/>
        <v>-1.2946597670809714</v>
      </c>
    </row>
    <row r="543" spans="5:6" x14ac:dyDescent="0.25">
      <c r="E543" s="138">
        <f ca="1"/>
        <v>-0.87970661174669629</v>
      </c>
      <c r="F543" s="139">
        <f ca="1"/>
        <v>-0.576896682986626</v>
      </c>
    </row>
    <row r="544" spans="5:6" x14ac:dyDescent="0.25">
      <c r="E544" s="138">
        <f ca="1"/>
        <v>-1.1822859549942542</v>
      </c>
      <c r="F544" s="139">
        <f ca="1"/>
        <v>-1.5169751002994043</v>
      </c>
    </row>
    <row r="545" spans="5:6" x14ac:dyDescent="0.25">
      <c r="E545" s="138">
        <f ca="1"/>
        <v>1.1138883659148964</v>
      </c>
      <c r="F545" s="139">
        <f ca="1"/>
        <v>0.16845814595583203</v>
      </c>
    </row>
    <row r="546" spans="5:6" x14ac:dyDescent="0.25">
      <c r="E546" s="138">
        <f ca="1"/>
        <v>-0.99280715269201358</v>
      </c>
      <c r="F546" s="139">
        <f ca="1"/>
        <v>-0.49516683458581473</v>
      </c>
    </row>
    <row r="547" spans="5:6" x14ac:dyDescent="0.25">
      <c r="E547" s="138">
        <f ca="1"/>
        <v>1.3052210506286146</v>
      </c>
      <c r="F547" s="139">
        <f ca="1"/>
        <v>1.582931540877627</v>
      </c>
    </row>
    <row r="548" spans="5:6" x14ac:dyDescent="0.25">
      <c r="E548" s="138">
        <f ca="1"/>
        <v>0.92752437575258639</v>
      </c>
      <c r="F548" s="139">
        <f ca="1"/>
        <v>-0.57944147149705061</v>
      </c>
    </row>
    <row r="549" spans="5:6" x14ac:dyDescent="0.25">
      <c r="E549" s="138">
        <f ca="1"/>
        <v>-0.19570435595384825</v>
      </c>
      <c r="F549" s="139">
        <f ca="1"/>
        <v>5.6230863377170481E-3</v>
      </c>
    </row>
    <row r="550" spans="5:6" x14ac:dyDescent="0.25">
      <c r="E550" s="138">
        <f ca="1"/>
        <v>-0.24373509469983798</v>
      </c>
      <c r="F550" s="139">
        <f ca="1"/>
        <v>-1.4494203760893749</v>
      </c>
    </row>
    <row r="551" spans="5:6" x14ac:dyDescent="0.25">
      <c r="E551" s="138">
        <f ca="1"/>
        <v>0.68054781050101509</v>
      </c>
      <c r="F551" s="139">
        <f ca="1"/>
        <v>0.51002723575804199</v>
      </c>
    </row>
    <row r="552" spans="5:6" x14ac:dyDescent="0.25">
      <c r="E552" s="138">
        <f ca="1"/>
        <v>-0.91868296382385839</v>
      </c>
      <c r="F552" s="139">
        <f ca="1"/>
        <v>-1.469908050985679</v>
      </c>
    </row>
    <row r="553" spans="5:6" x14ac:dyDescent="0.25">
      <c r="E553" s="138">
        <f ca="1"/>
        <v>-0.83992039283879549</v>
      </c>
      <c r="F553" s="139">
        <f ca="1"/>
        <v>-0.50138876272684707</v>
      </c>
    </row>
    <row r="554" spans="5:6" x14ac:dyDescent="0.25">
      <c r="E554" s="138">
        <f ca="1"/>
        <v>0.3357127897145285</v>
      </c>
      <c r="F554" s="139">
        <f ca="1"/>
        <v>-1.0017650264760796</v>
      </c>
    </row>
    <row r="555" spans="5:6" x14ac:dyDescent="0.25">
      <c r="E555" s="138">
        <f ca="1"/>
        <v>-0.99330728572901317</v>
      </c>
      <c r="F555" s="139">
        <f ca="1"/>
        <v>0.89973405118510152</v>
      </c>
    </row>
    <row r="556" spans="5:6" x14ac:dyDescent="0.25">
      <c r="E556" s="138">
        <f ca="1"/>
        <v>-1.772906853495859</v>
      </c>
      <c r="F556" s="139">
        <f ca="1"/>
        <v>-0.52697996150978721</v>
      </c>
    </row>
    <row r="557" spans="5:6" x14ac:dyDescent="0.25">
      <c r="E557" s="138">
        <f ca="1"/>
        <v>-0.57511258395991804</v>
      </c>
      <c r="F557" s="139">
        <f ca="1"/>
        <v>0.14125370872759441</v>
      </c>
    </row>
    <row r="558" spans="5:6" x14ac:dyDescent="0.25">
      <c r="E558" s="138">
        <f ca="1"/>
        <v>-1.3159038568023889</v>
      </c>
      <c r="F558" s="139">
        <f ca="1"/>
        <v>-0.85842581540082374</v>
      </c>
    </row>
    <row r="559" spans="5:6" x14ac:dyDescent="0.25">
      <c r="E559" s="138">
        <f ca="1"/>
        <v>-1.4281566293291261</v>
      </c>
      <c r="F559" s="139">
        <f ca="1"/>
        <v>0.27276304150472142</v>
      </c>
    </row>
    <row r="560" spans="5:6" x14ac:dyDescent="0.25">
      <c r="E560" s="138">
        <f ca="1"/>
        <v>-1.2176005797675551</v>
      </c>
      <c r="F560" s="139">
        <f ca="1"/>
        <v>-0.28225654275411521</v>
      </c>
    </row>
    <row r="561" spans="5:6" x14ac:dyDescent="0.25">
      <c r="E561" s="138">
        <f ca="1"/>
        <v>0.21209080988291254</v>
      </c>
      <c r="F561" s="139">
        <f ca="1"/>
        <v>-0.29325702779834589</v>
      </c>
    </row>
    <row r="562" spans="5:6" x14ac:dyDescent="0.25">
      <c r="E562" s="138">
        <f ca="1"/>
        <v>0.49429998357602967</v>
      </c>
      <c r="F562" s="139">
        <f ca="1"/>
        <v>-6.0836995058167254E-2</v>
      </c>
    </row>
    <row r="563" spans="5:6" x14ac:dyDescent="0.25">
      <c r="E563" s="138">
        <f ca="1"/>
        <v>-0.53283581276175473</v>
      </c>
      <c r="F563" s="139">
        <f ca="1"/>
        <v>-1.1621399725945369</v>
      </c>
    </row>
    <row r="564" spans="5:6" x14ac:dyDescent="0.25">
      <c r="E564" s="138">
        <f ca="1"/>
        <v>0.29830790520411876</v>
      </c>
      <c r="F564" s="139">
        <f ca="1"/>
        <v>0.63803783968138061</v>
      </c>
    </row>
    <row r="565" spans="5:6" x14ac:dyDescent="0.25">
      <c r="E565" s="138">
        <f ca="1"/>
        <v>-0.40534943554368286</v>
      </c>
      <c r="F565" s="139">
        <f ca="1"/>
        <v>-1.8090050198141161</v>
      </c>
    </row>
    <row r="566" spans="5:6" x14ac:dyDescent="0.25">
      <c r="E566" s="138">
        <f ca="1"/>
        <v>0.18606429310036496</v>
      </c>
      <c r="F566" s="139">
        <f ca="1"/>
        <v>8.650845498931492E-2</v>
      </c>
    </row>
    <row r="567" spans="5:6" x14ac:dyDescent="0.25">
      <c r="E567" s="138">
        <f ca="1"/>
        <v>0.70885383608893748</v>
      </c>
      <c r="F567" s="139">
        <f ca="1"/>
        <v>6.5880209854856597E-2</v>
      </c>
    </row>
    <row r="568" spans="5:6" x14ac:dyDescent="0.25">
      <c r="E568" s="138">
        <f ca="1"/>
        <v>0.93890142260704867</v>
      </c>
      <c r="F568" s="139">
        <f ca="1"/>
        <v>1.1712479198333452</v>
      </c>
    </row>
    <row r="569" spans="5:6" x14ac:dyDescent="0.25">
      <c r="E569" s="138">
        <f ca="1"/>
        <v>-0.16955580767934805</v>
      </c>
      <c r="F569" s="139">
        <f ca="1"/>
        <v>-1.1459574023131796</v>
      </c>
    </row>
    <row r="570" spans="5:6" x14ac:dyDescent="0.25">
      <c r="E570" s="138">
        <f ca="1"/>
        <v>0.65814597689454402</v>
      </c>
      <c r="F570" s="139">
        <f ca="1"/>
        <v>1.830065591382229</v>
      </c>
    </row>
    <row r="571" spans="5:6" x14ac:dyDescent="0.25">
      <c r="E571" s="138">
        <f ca="1"/>
        <v>-2.3745622684704184</v>
      </c>
      <c r="F571" s="139">
        <f ca="1"/>
        <v>-0.65552084855278669</v>
      </c>
    </row>
    <row r="572" spans="5:6" x14ac:dyDescent="0.25">
      <c r="E572" s="138">
        <f ca="1"/>
        <v>-0.74992079320692184</v>
      </c>
      <c r="F572" s="139">
        <f ca="1"/>
        <v>-1.0191057789724607</v>
      </c>
    </row>
    <row r="573" spans="5:6" x14ac:dyDescent="0.25">
      <c r="E573" s="138">
        <f ca="1"/>
        <v>0.45059404378993784</v>
      </c>
      <c r="F573" s="139">
        <f ca="1"/>
        <v>1.0030534968388514</v>
      </c>
    </row>
    <row r="574" spans="5:6" x14ac:dyDescent="0.25">
      <c r="E574" s="138">
        <f ca="1"/>
        <v>-1.3538716909505515</v>
      </c>
      <c r="F574" s="139">
        <f ca="1"/>
        <v>-1.3315785799127817</v>
      </c>
    </row>
    <row r="575" spans="5:6" x14ac:dyDescent="0.25">
      <c r="E575" s="138">
        <f ca="1"/>
        <v>-0.51512717048741752</v>
      </c>
      <c r="F575" s="139">
        <f ca="1"/>
        <v>-0.74234443625711355</v>
      </c>
    </row>
    <row r="576" spans="5:6" x14ac:dyDescent="0.25">
      <c r="E576" s="138">
        <f ca="1"/>
        <v>2.346141208527512E-3</v>
      </c>
      <c r="F576" s="139">
        <f ca="1"/>
        <v>8.1561781541329231E-2</v>
      </c>
    </row>
    <row r="577" spans="5:6" x14ac:dyDescent="0.25">
      <c r="E577" s="138">
        <f ca="1"/>
        <v>-0.32056864642645633</v>
      </c>
      <c r="F577" s="139">
        <f ca="1"/>
        <v>-0.31745782275268969</v>
      </c>
    </row>
    <row r="578" spans="5:6" x14ac:dyDescent="0.25">
      <c r="E578" s="138">
        <f ca="1"/>
        <v>-0.48541273842812505</v>
      </c>
      <c r="F578" s="139">
        <f ca="1"/>
        <v>-0.63999327893318592</v>
      </c>
    </row>
    <row r="579" spans="5:6" x14ac:dyDescent="0.25">
      <c r="E579" s="138">
        <f ca="1"/>
        <v>-0.27467842164818418</v>
      </c>
      <c r="F579" s="139">
        <f ca="1"/>
        <v>-0.13480024913036695</v>
      </c>
    </row>
    <row r="580" spans="5:6" x14ac:dyDescent="0.25">
      <c r="E580" s="138">
        <f ca="1"/>
        <v>-0.61895365365792698</v>
      </c>
      <c r="F580" s="139">
        <f ca="1"/>
        <v>0.31869369944853032</v>
      </c>
    </row>
    <row r="581" spans="5:6" x14ac:dyDescent="0.25">
      <c r="E581" s="138">
        <f ca="1"/>
        <v>-0.42099858688897612</v>
      </c>
      <c r="F581" s="139">
        <f ca="1"/>
        <v>0.6553113714533132</v>
      </c>
    </row>
    <row r="582" spans="5:6" x14ac:dyDescent="0.25">
      <c r="E582" s="138">
        <f ca="1"/>
        <v>2.3669604334977962E-2</v>
      </c>
      <c r="F582" s="139">
        <f ca="1"/>
        <v>0.79903556924693653</v>
      </c>
    </row>
    <row r="583" spans="5:6" x14ac:dyDescent="0.25">
      <c r="E583" s="138">
        <f ca="1"/>
        <v>-0.65413172199045899</v>
      </c>
      <c r="F583" s="139">
        <f ca="1"/>
        <v>-0.26844555748145604</v>
      </c>
    </row>
    <row r="584" spans="5:6" x14ac:dyDescent="0.25">
      <c r="E584" s="138">
        <f ca="1"/>
        <v>0.52909047628311356</v>
      </c>
      <c r="F584" s="139">
        <f ca="1"/>
        <v>0.18929726149970488</v>
      </c>
    </row>
    <row r="585" spans="5:6" x14ac:dyDescent="0.25">
      <c r="E585" s="138">
        <f ca="1"/>
        <v>-2.1349582977901185</v>
      </c>
      <c r="F585" s="139">
        <f ca="1"/>
        <v>-1.2035856666735738</v>
      </c>
    </row>
    <row r="586" spans="5:6" x14ac:dyDescent="0.25">
      <c r="E586" s="138">
        <f ca="1"/>
        <v>1.3236115499402115</v>
      </c>
      <c r="F586" s="139">
        <f ca="1"/>
        <v>-0.78482954958799367</v>
      </c>
    </row>
    <row r="587" spans="5:6" x14ac:dyDescent="0.25">
      <c r="E587" s="138">
        <f ca="1"/>
        <v>0.37698503060424793</v>
      </c>
      <c r="F587" s="139">
        <f ca="1"/>
        <v>-6.6473858466971458E-2</v>
      </c>
    </row>
    <row r="588" spans="5:6" x14ac:dyDescent="0.25">
      <c r="E588" s="138">
        <f ca="1"/>
        <v>-0.1160836639570236</v>
      </c>
      <c r="F588" s="139">
        <f ca="1"/>
        <v>0.95843082244680311</v>
      </c>
    </row>
    <row r="589" spans="5:6" x14ac:dyDescent="0.25">
      <c r="E589" s="138">
        <f ca="1"/>
        <v>0.23394400249552488</v>
      </c>
      <c r="F589" s="139">
        <f ca="1"/>
        <v>0.24867749773033535</v>
      </c>
    </row>
    <row r="590" spans="5:6" x14ac:dyDescent="0.25">
      <c r="E590" s="138">
        <f ca="1"/>
        <v>8.3337931146245742E-2</v>
      </c>
      <c r="F590" s="139">
        <f ca="1"/>
        <v>1.1018232839702713</v>
      </c>
    </row>
    <row r="591" spans="5:6" x14ac:dyDescent="0.25">
      <c r="E591" s="138">
        <f ca="1"/>
        <v>4.7557962215022995E-2</v>
      </c>
      <c r="F591" s="139">
        <f ca="1"/>
        <v>-3.3608504714595692E-2</v>
      </c>
    </row>
    <row r="592" spans="5:6" x14ac:dyDescent="0.25">
      <c r="E592" s="138">
        <f ca="1"/>
        <v>0.87353851519282666</v>
      </c>
      <c r="F592" s="139">
        <f ca="1"/>
        <v>1.8303968966992954</v>
      </c>
    </row>
    <row r="593" spans="5:6" x14ac:dyDescent="0.25">
      <c r="E593" s="138">
        <f ca="1"/>
        <v>-0.25648642773867775</v>
      </c>
      <c r="F593" s="139">
        <f ca="1"/>
        <v>0.96420751701567042</v>
      </c>
    </row>
    <row r="594" spans="5:6" x14ac:dyDescent="0.25">
      <c r="E594" s="138">
        <f ca="1"/>
        <v>-0.28133909774973381</v>
      </c>
      <c r="F594" s="139">
        <f ca="1"/>
        <v>0.62251004116959507</v>
      </c>
    </row>
    <row r="595" spans="5:6" x14ac:dyDescent="0.25">
      <c r="E595" s="138">
        <f ca="1"/>
        <v>2.7855582760265261</v>
      </c>
      <c r="F595" s="139">
        <f ca="1"/>
        <v>0.48553980525895302</v>
      </c>
    </row>
    <row r="596" spans="5:6" x14ac:dyDescent="0.25">
      <c r="E596" s="138">
        <f ca="1"/>
        <v>0.65256548468871522</v>
      </c>
      <c r="F596" s="139">
        <f ca="1"/>
        <v>1.4323826449984174</v>
      </c>
    </row>
    <row r="597" spans="5:6" x14ac:dyDescent="0.25">
      <c r="E597" s="138">
        <f ca="1"/>
        <v>1.1335059537729328</v>
      </c>
      <c r="F597" s="139">
        <f ca="1"/>
        <v>-5.17379581212426E-2</v>
      </c>
    </row>
    <row r="598" spans="5:6" x14ac:dyDescent="0.25">
      <c r="E598" s="138">
        <f ca="1"/>
        <v>2.1677318398029177</v>
      </c>
      <c r="F598" s="139">
        <f ca="1"/>
        <v>2.5094653486863034</v>
      </c>
    </row>
    <row r="599" spans="5:6" x14ac:dyDescent="0.25">
      <c r="E599" s="138">
        <f ca="1"/>
        <v>-0.20771792167601996</v>
      </c>
      <c r="F599" s="139">
        <f ca="1"/>
        <v>-0.94109863874275324</v>
      </c>
    </row>
    <row r="600" spans="5:6" x14ac:dyDescent="0.25">
      <c r="E600" s="138">
        <f ca="1"/>
        <v>-0.80384816747636778</v>
      </c>
      <c r="F600" s="139">
        <f ca="1"/>
        <v>0.60442393961541119</v>
      </c>
    </row>
    <row r="601" spans="5:6" x14ac:dyDescent="0.25">
      <c r="E601" s="138">
        <f ca="1"/>
        <v>-0.22709396730040968</v>
      </c>
      <c r="F601" s="139">
        <f ca="1"/>
        <v>-0.83544040545604326</v>
      </c>
    </row>
    <row r="602" spans="5:6" x14ac:dyDescent="0.25">
      <c r="E602" s="138">
        <f ca="1"/>
        <v>0.19784024616249873</v>
      </c>
      <c r="F602" s="139">
        <f ca="1"/>
        <v>1.6165634397724242</v>
      </c>
    </row>
    <row r="603" spans="5:6" x14ac:dyDescent="0.25">
      <c r="E603" s="138">
        <f ca="1"/>
        <v>0.51642378875029527</v>
      </c>
      <c r="F603" s="139">
        <f ca="1"/>
        <v>0.2712984044210201</v>
      </c>
    </row>
    <row r="604" spans="5:6" x14ac:dyDescent="0.25">
      <c r="E604" s="138">
        <f ca="1"/>
        <v>0.5849745822475646</v>
      </c>
      <c r="F604" s="139">
        <f ca="1"/>
        <v>0.17719673780483766</v>
      </c>
    </row>
    <row r="605" spans="5:6" x14ac:dyDescent="0.25">
      <c r="E605" s="138">
        <f ca="1"/>
        <v>-8.922179192956228E-3</v>
      </c>
      <c r="F605" s="139">
        <f ca="1"/>
        <v>1.1875210566162337</v>
      </c>
    </row>
    <row r="606" spans="5:6" x14ac:dyDescent="0.25">
      <c r="E606" s="138">
        <f ca="1"/>
        <v>-1.1097039477077248</v>
      </c>
      <c r="F606" s="139">
        <f ca="1"/>
        <v>0.30684351962798162</v>
      </c>
    </row>
    <row r="607" spans="5:6" x14ac:dyDescent="0.25">
      <c r="E607" s="138">
        <f ca="1"/>
        <v>1.3312568988070563</v>
      </c>
      <c r="F607" s="139">
        <f ca="1"/>
        <v>0.35245812751375716</v>
      </c>
    </row>
    <row r="608" spans="5:6" x14ac:dyDescent="0.25">
      <c r="E608" s="138">
        <f ca="1"/>
        <v>0.88903848355515402</v>
      </c>
      <c r="F608" s="139">
        <f ca="1"/>
        <v>-0.13087930397701636</v>
      </c>
    </row>
    <row r="609" spans="5:6" x14ac:dyDescent="0.25">
      <c r="E609" s="138">
        <f ca="1"/>
        <v>-1.1633426839551309</v>
      </c>
      <c r="F609" s="139">
        <f ca="1"/>
        <v>-0.79229156037201121</v>
      </c>
    </row>
    <row r="610" spans="5:6" x14ac:dyDescent="0.25">
      <c r="E610" s="138">
        <f ca="1"/>
        <v>0.63447842899491647</v>
      </c>
      <c r="F610" s="139">
        <f ca="1"/>
        <v>0.97318706153948265</v>
      </c>
    </row>
    <row r="611" spans="5:6" x14ac:dyDescent="0.25">
      <c r="E611" s="138">
        <f ca="1"/>
        <v>-3.0042403936360602E-2</v>
      </c>
      <c r="F611" s="139">
        <f ca="1"/>
        <v>-0.22470169960502892</v>
      </c>
    </row>
    <row r="612" spans="5:6" x14ac:dyDescent="0.25">
      <c r="E612" s="138">
        <f ca="1"/>
        <v>0.65696489259749946</v>
      </c>
      <c r="F612" s="139">
        <f ca="1"/>
        <v>1.5704649624275393</v>
      </c>
    </row>
    <row r="613" spans="5:6" x14ac:dyDescent="0.25">
      <c r="E613" s="138">
        <f ca="1"/>
        <v>0.35882324083142481</v>
      </c>
      <c r="F613" s="139">
        <f ca="1"/>
        <v>1.4281691109883916</v>
      </c>
    </row>
    <row r="614" spans="5:6" x14ac:dyDescent="0.25">
      <c r="E614" s="138">
        <f ca="1"/>
        <v>1.0091136445186413</v>
      </c>
      <c r="F614" s="139">
        <f ca="1"/>
        <v>0.17792907849528239</v>
      </c>
    </row>
    <row r="615" spans="5:6" x14ac:dyDescent="0.25">
      <c r="E615" s="138">
        <f ca="1"/>
        <v>0.36634260687185627</v>
      </c>
      <c r="F615" s="139">
        <f ca="1"/>
        <v>-0.1997541937506746</v>
      </c>
    </row>
    <row r="616" spans="5:6" x14ac:dyDescent="0.25">
      <c r="E616" s="138">
        <f ca="1"/>
        <v>0.67373176346525798</v>
      </c>
      <c r="F616" s="139">
        <f ca="1"/>
        <v>-9.477482584645669E-2</v>
      </c>
    </row>
    <row r="617" spans="5:6" x14ac:dyDescent="0.25">
      <c r="E617" s="138">
        <f ca="1"/>
        <v>1.0755921032471445</v>
      </c>
      <c r="F617" s="139">
        <f ca="1"/>
        <v>1.165533681802299</v>
      </c>
    </row>
    <row r="618" spans="5:6" x14ac:dyDescent="0.25">
      <c r="E618" s="138">
        <f ca="1"/>
        <v>0.64678355354010419</v>
      </c>
      <c r="F618" s="139">
        <f ca="1"/>
        <v>0.86306347725540156</v>
      </c>
    </row>
    <row r="619" spans="5:6" x14ac:dyDescent="0.25">
      <c r="E619" s="138">
        <f ca="1"/>
        <v>0.34226450270848835</v>
      </c>
      <c r="F619" s="139">
        <f ca="1"/>
        <v>0.91251140988781854</v>
      </c>
    </row>
    <row r="620" spans="5:6" x14ac:dyDescent="0.25">
      <c r="E620" s="138">
        <f ca="1"/>
        <v>0.36355668137753389</v>
      </c>
      <c r="F620" s="139">
        <f ca="1"/>
        <v>0.822821069928802</v>
      </c>
    </row>
    <row r="621" spans="5:6" x14ac:dyDescent="0.25">
      <c r="E621" s="138">
        <f ca="1"/>
        <v>0.85950675675927302</v>
      </c>
      <c r="F621" s="139">
        <f ca="1"/>
        <v>-0.87184119189514719</v>
      </c>
    </row>
    <row r="622" spans="5:6" x14ac:dyDescent="0.25">
      <c r="E622" s="138">
        <f ca="1"/>
        <v>0.35772110983640232</v>
      </c>
      <c r="F622" s="139">
        <f ca="1"/>
        <v>0.107451283095616</v>
      </c>
    </row>
    <row r="623" spans="5:6" x14ac:dyDescent="0.25">
      <c r="E623" s="138">
        <f ca="1"/>
        <v>-1.5749205377702338</v>
      </c>
      <c r="F623" s="139">
        <f ca="1"/>
        <v>0.75311667738642396</v>
      </c>
    </row>
    <row r="624" spans="5:6" x14ac:dyDescent="0.25">
      <c r="E624" s="138">
        <f ca="1"/>
        <v>0.94571236399953085</v>
      </c>
      <c r="F624" s="139">
        <f ca="1"/>
        <v>0.72685982769756796</v>
      </c>
    </row>
    <row r="625" spans="5:6" x14ac:dyDescent="0.25">
      <c r="E625" s="138">
        <f ca="1"/>
        <v>-0.75414777152852686</v>
      </c>
      <c r="F625" s="139">
        <f ca="1"/>
        <v>0.59215665224779457</v>
      </c>
    </row>
    <row r="626" spans="5:6" x14ac:dyDescent="0.25">
      <c r="E626" s="138">
        <f ca="1"/>
        <v>0.97021960468023305</v>
      </c>
      <c r="F626" s="139">
        <f ca="1"/>
        <v>0.87644480029004312</v>
      </c>
    </row>
    <row r="627" spans="5:6" x14ac:dyDescent="0.25">
      <c r="E627" s="138">
        <f ca="1"/>
        <v>0.49677948553435886</v>
      </c>
      <c r="F627" s="139">
        <f ca="1"/>
        <v>0.51193638726422341</v>
      </c>
    </row>
    <row r="628" spans="5:6" x14ac:dyDescent="0.25">
      <c r="E628" s="138">
        <f ca="1"/>
        <v>-0.76716749546905572</v>
      </c>
      <c r="F628" s="139">
        <f ca="1"/>
        <v>-2.4371213838828369</v>
      </c>
    </row>
    <row r="629" spans="5:6" x14ac:dyDescent="0.25">
      <c r="E629" s="138">
        <f ca="1"/>
        <v>0.86806008351821595</v>
      </c>
      <c r="F629" s="139">
        <f ca="1"/>
        <v>0.90425099723330038</v>
      </c>
    </row>
    <row r="630" spans="5:6" x14ac:dyDescent="0.25">
      <c r="E630" s="138">
        <f ca="1"/>
        <v>0.41840801488730012</v>
      </c>
      <c r="F630" s="139">
        <f ca="1"/>
        <v>-8.0162327561206087E-2</v>
      </c>
    </row>
    <row r="631" spans="5:6" x14ac:dyDescent="0.25">
      <c r="E631" s="138">
        <f ca="1"/>
        <v>5.7183003031015575E-2</v>
      </c>
      <c r="F631" s="139">
        <f ca="1"/>
        <v>-0.45816494183104284</v>
      </c>
    </row>
    <row r="632" spans="5:6" x14ac:dyDescent="0.25">
      <c r="E632" s="138">
        <f ca="1"/>
        <v>-0.91834198369629816</v>
      </c>
      <c r="F632" s="139">
        <f ca="1"/>
        <v>-1.026688397064647</v>
      </c>
    </row>
    <row r="633" spans="5:6" x14ac:dyDescent="0.25">
      <c r="E633" s="138">
        <f ca="1"/>
        <v>0.39661453094944737</v>
      </c>
      <c r="F633" s="139">
        <f ca="1"/>
        <v>-1.4061469419275099</v>
      </c>
    </row>
    <row r="634" spans="5:6" x14ac:dyDescent="0.25">
      <c r="E634" s="138">
        <f ca="1"/>
        <v>0.92127644803521147</v>
      </c>
      <c r="F634" s="139">
        <f ca="1"/>
        <v>1.3331643699914177</v>
      </c>
    </row>
    <row r="635" spans="5:6" x14ac:dyDescent="0.25">
      <c r="E635" s="138">
        <f ca="1"/>
        <v>1.3193650152388889</v>
      </c>
      <c r="F635" s="139">
        <f ca="1"/>
        <v>0.27686982872269789</v>
      </c>
    </row>
    <row r="636" spans="5:6" x14ac:dyDescent="0.25">
      <c r="E636" s="138">
        <f ca="1"/>
        <v>-1.8545487079217677</v>
      </c>
      <c r="F636" s="139">
        <f ca="1"/>
        <v>-1.5941190364041433</v>
      </c>
    </row>
    <row r="637" spans="5:6" x14ac:dyDescent="0.25">
      <c r="E637" s="138">
        <f ca="1"/>
        <v>-0.11261678514945145</v>
      </c>
      <c r="F637" s="139">
        <f ca="1"/>
        <v>-0.32108962462141466</v>
      </c>
    </row>
    <row r="638" spans="5:6" x14ac:dyDescent="0.25">
      <c r="E638" s="138">
        <f ca="1"/>
        <v>-1.821751521077553</v>
      </c>
      <c r="F638" s="139">
        <f ca="1"/>
        <v>0.89687640659927204</v>
      </c>
    </row>
    <row r="639" spans="5:6" x14ac:dyDescent="0.25">
      <c r="E639" s="138">
        <f ca="1"/>
        <v>-0.67974404914497155</v>
      </c>
      <c r="F639" s="139">
        <f ca="1"/>
        <v>1.1006637552944893</v>
      </c>
    </row>
    <row r="640" spans="5:6" x14ac:dyDescent="0.25">
      <c r="E640" s="138">
        <f ca="1"/>
        <v>-2.0656730486305879</v>
      </c>
      <c r="F640" s="139">
        <f ca="1"/>
        <v>1.2661813656590795</v>
      </c>
    </row>
    <row r="641" spans="5:6" x14ac:dyDescent="0.25">
      <c r="E641" s="138">
        <f ca="1"/>
        <v>0.20033802798598627</v>
      </c>
      <c r="F641" s="139">
        <f ca="1"/>
        <v>1.1271334417022656</v>
      </c>
    </row>
    <row r="642" spans="5:6" x14ac:dyDescent="0.25">
      <c r="E642" s="138">
        <f ca="1"/>
        <v>0.3734156545682677</v>
      </c>
      <c r="F642" s="139">
        <f ca="1"/>
        <v>0.41352805665766812</v>
      </c>
    </row>
    <row r="643" spans="5:6" x14ac:dyDescent="0.25">
      <c r="E643" s="138">
        <f ca="1"/>
        <v>0.23135284241091444</v>
      </c>
      <c r="F643" s="139">
        <f ca="1"/>
        <v>1.7650983943787064</v>
      </c>
    </row>
    <row r="644" spans="5:6" x14ac:dyDescent="0.25">
      <c r="E644" s="138">
        <f ca="1"/>
        <v>7.9432059529035398E-2</v>
      </c>
      <c r="F644" s="139">
        <f ca="1"/>
        <v>-0.73284186315632482</v>
      </c>
    </row>
    <row r="645" spans="5:6" x14ac:dyDescent="0.25">
      <c r="E645" s="138">
        <f ca="1"/>
        <v>-0.70498881488455245</v>
      </c>
      <c r="F645" s="139">
        <f ca="1"/>
        <v>0.34030889500404249</v>
      </c>
    </row>
    <row r="646" spans="5:6" x14ac:dyDescent="0.25">
      <c r="E646" s="138">
        <f ca="1"/>
        <v>-1.9179098099513487</v>
      </c>
      <c r="F646" s="139">
        <f ca="1"/>
        <v>-0.8869434108019324</v>
      </c>
    </row>
    <row r="647" spans="5:6" x14ac:dyDescent="0.25">
      <c r="E647" s="138">
        <f ca="1"/>
        <v>0.13119073115176408</v>
      </c>
      <c r="F647" s="139">
        <f ca="1"/>
        <v>7.2102835418863767E-2</v>
      </c>
    </row>
    <row r="648" spans="5:6" x14ac:dyDescent="0.25">
      <c r="E648" s="138">
        <f ca="1"/>
        <v>-1.9358567139682981</v>
      </c>
      <c r="F648" s="139">
        <f ca="1"/>
        <v>1.0402191886688068</v>
      </c>
    </row>
    <row r="649" spans="5:6" x14ac:dyDescent="0.25">
      <c r="E649" s="138">
        <f ca="1"/>
        <v>-0.23633259796979214</v>
      </c>
      <c r="F649" s="139">
        <f ca="1"/>
        <v>0.75988717348832158</v>
      </c>
    </row>
    <row r="650" spans="5:6" x14ac:dyDescent="0.25">
      <c r="E650" s="138">
        <f ca="1"/>
        <v>0.66721366656468262</v>
      </c>
      <c r="F650" s="139">
        <f ca="1"/>
        <v>1.9730810444561708E-2</v>
      </c>
    </row>
    <row r="651" spans="5:6" x14ac:dyDescent="0.25">
      <c r="E651" s="138">
        <f ca="1"/>
        <v>0.36726728991126817</v>
      </c>
      <c r="F651" s="139">
        <f ca="1"/>
        <v>0.62231435496864718</v>
      </c>
    </row>
    <row r="652" spans="5:6" x14ac:dyDescent="0.25">
      <c r="E652" s="138">
        <f ca="1"/>
        <v>0.67039238190146622</v>
      </c>
      <c r="F652" s="139">
        <f ca="1"/>
        <v>-0.47538140652588662</v>
      </c>
    </row>
    <row r="653" spans="5:6" x14ac:dyDescent="0.25">
      <c r="E653" s="138">
        <f ca="1"/>
        <v>0.33637730279307904</v>
      </c>
      <c r="F653" s="139">
        <f ca="1"/>
        <v>0.87956769978268345</v>
      </c>
    </row>
    <row r="654" spans="5:6" x14ac:dyDescent="0.25">
      <c r="E654" s="138">
        <f ca="1"/>
        <v>-0.73417441449581999</v>
      </c>
      <c r="F654" s="139">
        <f ca="1"/>
        <v>0.56531720575405464</v>
      </c>
    </row>
    <row r="655" spans="5:6" x14ac:dyDescent="0.25">
      <c r="E655" s="138">
        <f ca="1"/>
        <v>-0.499141935326328</v>
      </c>
      <c r="F655" s="139">
        <f ca="1"/>
        <v>-1.7140881163327487E-2</v>
      </c>
    </row>
    <row r="656" spans="5:6" x14ac:dyDescent="0.25">
      <c r="E656" s="138">
        <f ca="1"/>
        <v>0.78757740390485687</v>
      </c>
      <c r="F656" s="139">
        <f ca="1"/>
        <v>1.1591314757662581</v>
      </c>
    </row>
    <row r="657" spans="5:6" x14ac:dyDescent="0.25">
      <c r="E657" s="138">
        <f ca="1"/>
        <v>-1.6124967139573227</v>
      </c>
      <c r="F657" s="139">
        <f ca="1"/>
        <v>-1.6454975205302391</v>
      </c>
    </row>
    <row r="658" spans="5:6" x14ac:dyDescent="0.25">
      <c r="E658" s="138">
        <f ca="1"/>
        <v>1.0120289991290257</v>
      </c>
      <c r="F658" s="139">
        <f ca="1"/>
        <v>-2.2175065344089488</v>
      </c>
    </row>
    <row r="659" spans="5:6" x14ac:dyDescent="0.25">
      <c r="E659" s="138">
        <f ca="1"/>
        <v>-0.39126788739116197</v>
      </c>
      <c r="F659" s="139">
        <f ca="1"/>
        <v>-1.7517223339358565</v>
      </c>
    </row>
    <row r="660" spans="5:6" x14ac:dyDescent="0.25">
      <c r="E660" s="138">
        <f ca="1"/>
        <v>0.95603674142959982</v>
      </c>
      <c r="F660" s="139">
        <f ca="1"/>
        <v>0.22610364115217585</v>
      </c>
    </row>
    <row r="661" spans="5:6" x14ac:dyDescent="0.25">
      <c r="E661" s="138">
        <f ca="1"/>
        <v>-0.45498955255905987</v>
      </c>
      <c r="F661" s="139">
        <f ca="1"/>
        <v>0.75221278530457647</v>
      </c>
    </row>
    <row r="662" spans="5:6" x14ac:dyDescent="0.25">
      <c r="E662" s="138">
        <f ca="1"/>
        <v>0.13856466382059041</v>
      </c>
      <c r="F662" s="139">
        <f ca="1"/>
        <v>0.74252663078900261</v>
      </c>
    </row>
    <row r="663" spans="5:6" x14ac:dyDescent="0.25">
      <c r="E663" s="138">
        <f ca="1"/>
        <v>-0.81625182522560191</v>
      </c>
      <c r="F663" s="139">
        <f ca="1"/>
        <v>0.21996431286004803</v>
      </c>
    </row>
    <row r="664" spans="5:6" x14ac:dyDescent="0.25">
      <c r="E664" s="138">
        <f ca="1"/>
        <v>0.50097083796694597</v>
      </c>
      <c r="F664" s="139">
        <f ca="1"/>
        <v>0.15877684438022252</v>
      </c>
    </row>
    <row r="665" spans="5:6" x14ac:dyDescent="0.25">
      <c r="E665" s="138">
        <f ca="1"/>
        <v>0.61667177523241024</v>
      </c>
      <c r="F665" s="139">
        <f ca="1"/>
        <v>-1.1974522096604709</v>
      </c>
    </row>
    <row r="666" spans="5:6" x14ac:dyDescent="0.25">
      <c r="E666" s="138">
        <f ca="1"/>
        <v>0.74571344593257649</v>
      </c>
      <c r="F666" s="139">
        <f ca="1"/>
        <v>0.79970331221306579</v>
      </c>
    </row>
    <row r="667" spans="5:6" x14ac:dyDescent="0.25">
      <c r="E667" s="138">
        <f ca="1"/>
        <v>-7.0320070415996999E-2</v>
      </c>
      <c r="F667" s="139">
        <f ca="1"/>
        <v>-0.34534414836041882</v>
      </c>
    </row>
    <row r="668" spans="5:6" x14ac:dyDescent="0.25">
      <c r="E668" s="138">
        <f ca="1"/>
        <v>0.6394791306955232</v>
      </c>
      <c r="F668" s="139">
        <f ca="1"/>
        <v>1.2445636681077465</v>
      </c>
    </row>
    <row r="669" spans="5:6" x14ac:dyDescent="0.25">
      <c r="E669" s="138">
        <f ca="1"/>
        <v>0.32990704452931047</v>
      </c>
      <c r="F669" s="139">
        <f ca="1"/>
        <v>0.45470837147766607</v>
      </c>
    </row>
    <row r="670" spans="5:6" x14ac:dyDescent="0.25">
      <c r="E670" s="138">
        <f ca="1"/>
        <v>-0.2350904842640453</v>
      </c>
      <c r="F670" s="139">
        <f ca="1"/>
        <v>0.15301608670402328</v>
      </c>
    </row>
    <row r="671" spans="5:6" x14ac:dyDescent="0.25">
      <c r="E671" s="138">
        <f ca="1"/>
        <v>1.2364075964552455</v>
      </c>
      <c r="F671" s="139">
        <f ca="1"/>
        <v>0.14959259028871569</v>
      </c>
    </row>
    <row r="672" spans="5:6" x14ac:dyDescent="0.25">
      <c r="E672" s="138">
        <f ca="1"/>
        <v>0.44360049594080414</v>
      </c>
      <c r="F672" s="139">
        <f ca="1"/>
        <v>0.84555804053855899</v>
      </c>
    </row>
    <row r="673" spans="5:6" x14ac:dyDescent="0.25">
      <c r="E673" s="138">
        <f ca="1"/>
        <v>0.1199568799870797</v>
      </c>
      <c r="F673" s="139">
        <f ca="1"/>
        <v>0.10158957799184373</v>
      </c>
    </row>
    <row r="674" spans="5:6" x14ac:dyDescent="0.25">
      <c r="E674" s="138">
        <f ca="1"/>
        <v>0.51558225295403004</v>
      </c>
      <c r="F674" s="139">
        <f ca="1"/>
        <v>0.55188827268096396</v>
      </c>
    </row>
    <row r="675" spans="5:6" x14ac:dyDescent="0.25">
      <c r="E675" s="138">
        <f ca="1"/>
        <v>0.21664179465650021</v>
      </c>
      <c r="F675" s="139">
        <f ca="1"/>
        <v>0.7999915123049347</v>
      </c>
    </row>
    <row r="676" spans="5:6" x14ac:dyDescent="0.25">
      <c r="E676" s="138">
        <f ca="1"/>
        <v>0.89671214306086222</v>
      </c>
      <c r="F676" s="139">
        <f ca="1"/>
        <v>-1.0937368574540913</v>
      </c>
    </row>
    <row r="677" spans="5:6" x14ac:dyDescent="0.25">
      <c r="E677" s="138">
        <f ca="1"/>
        <v>-0.45097084511433105</v>
      </c>
      <c r="F677" s="139">
        <f ca="1"/>
        <v>-0.19746876260281199</v>
      </c>
    </row>
    <row r="678" spans="5:6" x14ac:dyDescent="0.25">
      <c r="E678" s="138">
        <f ca="1"/>
        <v>-0.38713320184250749</v>
      </c>
      <c r="F678" s="139">
        <f ca="1"/>
        <v>-0.79912696049559861</v>
      </c>
    </row>
    <row r="679" spans="5:6" x14ac:dyDescent="0.25">
      <c r="E679" s="138">
        <f ca="1"/>
        <v>-1.7524732631198998</v>
      </c>
      <c r="F679" s="139">
        <f ca="1"/>
        <v>-1.2999065925448989</v>
      </c>
    </row>
    <row r="680" spans="5:6" x14ac:dyDescent="0.25">
      <c r="E680" s="138">
        <f ca="1"/>
        <v>5.9508977920886649E-2</v>
      </c>
      <c r="F680" s="139">
        <f ca="1"/>
        <v>0.4894884041731698</v>
      </c>
    </row>
    <row r="681" spans="5:6" x14ac:dyDescent="0.25">
      <c r="E681" s="138">
        <f ca="1"/>
        <v>-0.79035738971277736</v>
      </c>
      <c r="F681" s="139">
        <f ca="1"/>
        <v>0.99895253755351376</v>
      </c>
    </row>
    <row r="682" spans="5:6" x14ac:dyDescent="0.25">
      <c r="E682" s="138">
        <f ca="1"/>
        <v>-0.87129314665263657</v>
      </c>
      <c r="F682" s="139">
        <f ca="1"/>
        <v>-1.5497848129095315</v>
      </c>
    </row>
    <row r="683" spans="5:6" x14ac:dyDescent="0.25">
      <c r="E683" s="138">
        <f ca="1"/>
        <v>-0.89091058747774865</v>
      </c>
      <c r="F683" s="139">
        <f ca="1"/>
        <v>8.7736954960789204E-2</v>
      </c>
    </row>
    <row r="684" spans="5:6" x14ac:dyDescent="0.25">
      <c r="E684" s="138">
        <f ca="1"/>
        <v>-0.66681594628989771</v>
      </c>
      <c r="F684" s="139">
        <f ca="1"/>
        <v>0.3839194351078844</v>
      </c>
    </row>
    <row r="685" spans="5:6" x14ac:dyDescent="0.25">
      <c r="E685" s="138">
        <f ca="1"/>
        <v>0.10624491263153957</v>
      </c>
      <c r="F685" s="139">
        <f ca="1"/>
        <v>-2.5204315552371654</v>
      </c>
    </row>
    <row r="686" spans="5:6" x14ac:dyDescent="0.25">
      <c r="E686" s="138">
        <f ca="1"/>
        <v>0.10411860721996559</v>
      </c>
      <c r="F686" s="139">
        <f ca="1"/>
        <v>-0.75425644155313998</v>
      </c>
    </row>
    <row r="687" spans="5:6" x14ac:dyDescent="0.25">
      <c r="E687" s="138">
        <f ca="1"/>
        <v>-0.32768291384012022</v>
      </c>
      <c r="F687" s="139">
        <f ca="1"/>
        <v>7.0215086860729026E-3</v>
      </c>
    </row>
    <row r="688" spans="5:6" x14ac:dyDescent="0.25">
      <c r="E688" s="138">
        <f ca="1"/>
        <v>-0.52009497805568194</v>
      </c>
      <c r="F688" s="139">
        <f ca="1"/>
        <v>-2.1595137612390172</v>
      </c>
    </row>
    <row r="689" spans="5:6" x14ac:dyDescent="0.25">
      <c r="E689" s="138">
        <f ca="1"/>
        <v>0.14302862334198838</v>
      </c>
      <c r="F689" s="139">
        <f ca="1"/>
        <v>-0.71214000312006143</v>
      </c>
    </row>
    <row r="690" spans="5:6" x14ac:dyDescent="0.25">
      <c r="E690" s="138">
        <f ca="1"/>
        <v>0.37191885261550306</v>
      </c>
      <c r="F690" s="139">
        <f ca="1"/>
        <v>0.21481994754934097</v>
      </c>
    </row>
    <row r="691" spans="5:6" x14ac:dyDescent="0.25">
      <c r="E691" s="138">
        <f ca="1"/>
        <v>-0.18768333209570695</v>
      </c>
      <c r="F691" s="139">
        <f ca="1"/>
        <v>-1.1555630706649291</v>
      </c>
    </row>
    <row r="692" spans="5:6" x14ac:dyDescent="0.25">
      <c r="E692" s="138">
        <f ca="1"/>
        <v>-1.655594557462897</v>
      </c>
      <c r="F692" s="139">
        <f ca="1"/>
        <v>-0.76656376216726785</v>
      </c>
    </row>
    <row r="693" spans="5:6" x14ac:dyDescent="0.25">
      <c r="E693" s="138">
        <f ca="1"/>
        <v>0.62761761999732901</v>
      </c>
      <c r="F693" s="139">
        <f ca="1"/>
        <v>-0.73097393890505447</v>
      </c>
    </row>
    <row r="694" spans="5:6" x14ac:dyDescent="0.25">
      <c r="E694" s="138">
        <f ca="1"/>
        <v>-1.2298426523965771</v>
      </c>
      <c r="F694" s="139">
        <f ca="1"/>
        <v>-0.65796620560440355</v>
      </c>
    </row>
    <row r="695" spans="5:6" x14ac:dyDescent="0.25">
      <c r="E695" s="138">
        <f ca="1"/>
        <v>-1.8164118834802758</v>
      </c>
      <c r="F695" s="139">
        <f ca="1"/>
        <v>-0.6613330995100728</v>
      </c>
    </row>
    <row r="696" spans="5:6" x14ac:dyDescent="0.25">
      <c r="E696" s="138">
        <f ca="1"/>
        <v>0.69885054404216584</v>
      </c>
      <c r="F696" s="139">
        <f ca="1"/>
        <v>-0.23598208838295892</v>
      </c>
    </row>
    <row r="697" spans="5:6" x14ac:dyDescent="0.25">
      <c r="E697" s="138">
        <f ca="1"/>
        <v>-0.31963333093881202</v>
      </c>
      <c r="F697" s="139">
        <f ca="1"/>
        <v>-0.17750148960744727</v>
      </c>
    </row>
    <row r="698" spans="5:6" x14ac:dyDescent="0.25">
      <c r="E698" s="138">
        <f ca="1"/>
        <v>-0.14374047793981301</v>
      </c>
      <c r="F698" s="139">
        <f ca="1"/>
        <v>-1.040724283686663</v>
      </c>
    </row>
    <row r="699" spans="5:6" x14ac:dyDescent="0.25">
      <c r="E699" s="138">
        <f ca="1"/>
        <v>-1.5615231796655122</v>
      </c>
      <c r="F699" s="139">
        <f ca="1"/>
        <v>-1.5640959540036601</v>
      </c>
    </row>
    <row r="700" spans="5:6" x14ac:dyDescent="0.25">
      <c r="E700" s="138">
        <f ca="1"/>
        <v>1.8764620394916647</v>
      </c>
      <c r="F700" s="139">
        <f ca="1"/>
        <v>0.80492422168931566</v>
      </c>
    </row>
    <row r="701" spans="5:6" x14ac:dyDescent="0.25">
      <c r="E701" s="138">
        <f ca="1"/>
        <v>0.482305940058461</v>
      </c>
      <c r="F701" s="139">
        <f ca="1"/>
        <v>0.88194275940594169</v>
      </c>
    </row>
    <row r="702" spans="5:6" x14ac:dyDescent="0.25">
      <c r="E702" s="138">
        <f ca="1"/>
        <v>-1.1624067715601167</v>
      </c>
      <c r="F702" s="139">
        <f ca="1"/>
        <v>-1.4273468963304108</v>
      </c>
    </row>
    <row r="703" spans="5:6" x14ac:dyDescent="0.25">
      <c r="E703" s="138">
        <f ca="1"/>
        <v>0.51182524772479943</v>
      </c>
      <c r="F703" s="139">
        <f ca="1"/>
        <v>0.13207905463591821</v>
      </c>
    </row>
    <row r="704" spans="5:6" x14ac:dyDescent="0.25">
      <c r="E704" s="138">
        <f ca="1"/>
        <v>-0.36428225544888965</v>
      </c>
      <c r="F704" s="139">
        <f ca="1"/>
        <v>-2.3135509873430662</v>
      </c>
    </row>
    <row r="705" spans="5:6" x14ac:dyDescent="0.25">
      <c r="E705" s="138">
        <f ca="1"/>
        <v>0.93789088354296912</v>
      </c>
      <c r="F705" s="139">
        <f ca="1"/>
        <v>0.23611730549951548</v>
      </c>
    </row>
    <row r="706" spans="5:6" x14ac:dyDescent="0.25">
      <c r="E706" s="138">
        <f ca="1"/>
        <v>1.4289849366758101</v>
      </c>
      <c r="F706" s="139">
        <f ca="1"/>
        <v>1.903258448405734</v>
      </c>
    </row>
    <row r="707" spans="5:6" x14ac:dyDescent="0.25">
      <c r="E707" s="138">
        <f ca="1"/>
        <v>-0.68880042528221042</v>
      </c>
      <c r="F707" s="139">
        <f ca="1"/>
        <v>-1.2698580363166738</v>
      </c>
    </row>
    <row r="708" spans="5:6" x14ac:dyDescent="0.25">
      <c r="E708" s="138">
        <f ca="1"/>
        <v>0.97764472426192472</v>
      </c>
      <c r="F708" s="139">
        <f ca="1"/>
        <v>0.30277175220695463</v>
      </c>
    </row>
    <row r="709" spans="5:6" x14ac:dyDescent="0.25">
      <c r="E709" s="138">
        <f ca="1"/>
        <v>0.34896917904497327</v>
      </c>
      <c r="F709" s="139">
        <f ca="1"/>
        <v>-0.38223106537671631</v>
      </c>
    </row>
    <row r="710" spans="5:6" x14ac:dyDescent="0.25">
      <c r="E710" s="138">
        <f ca="1"/>
        <v>2.0172329913293359</v>
      </c>
      <c r="F710" s="139">
        <f ca="1"/>
        <v>2.1537128315014842</v>
      </c>
    </row>
    <row r="711" spans="5:6" x14ac:dyDescent="0.25">
      <c r="E711" s="138">
        <f ca="1"/>
        <v>-0.92093321686615026</v>
      </c>
      <c r="F711" s="139">
        <f ca="1"/>
        <v>-0.7396980089736116</v>
      </c>
    </row>
    <row r="712" spans="5:6" x14ac:dyDescent="0.25">
      <c r="E712" s="138">
        <f ca="1"/>
        <v>-0.85765813806681723</v>
      </c>
      <c r="F712" s="139">
        <f ca="1"/>
        <v>-0.26789427625867535</v>
      </c>
    </row>
    <row r="713" spans="5:6" x14ac:dyDescent="0.25">
      <c r="E713" s="138">
        <f ca="1"/>
        <v>-0.409172751824599</v>
      </c>
      <c r="F713" s="139">
        <f ca="1"/>
        <v>-1.1551360213279163</v>
      </c>
    </row>
    <row r="714" spans="5:6" x14ac:dyDescent="0.25">
      <c r="E714" s="138">
        <f ca="1"/>
        <v>-0.36017582771749446</v>
      </c>
      <c r="F714" s="139">
        <f ca="1"/>
        <v>-0.4893143447106354</v>
      </c>
    </row>
    <row r="715" spans="5:6" x14ac:dyDescent="0.25">
      <c r="E715" s="138">
        <f ca="1"/>
        <v>-0.62360926598782229</v>
      </c>
      <c r="F715" s="139">
        <f ca="1"/>
        <v>-0.77143373190472753</v>
      </c>
    </row>
    <row r="716" spans="5:6" x14ac:dyDescent="0.25">
      <c r="E716" s="138">
        <f ca="1"/>
        <v>0.37247588722079356</v>
      </c>
      <c r="F716" s="139">
        <f ca="1"/>
        <v>0.4396157026926748</v>
      </c>
    </row>
    <row r="717" spans="5:6" x14ac:dyDescent="0.25">
      <c r="E717" s="138">
        <f ca="1"/>
        <v>-2.1125856404373629</v>
      </c>
      <c r="F717" s="139">
        <f ca="1"/>
        <v>-1.5761859508585505</v>
      </c>
    </row>
    <row r="718" spans="5:6" x14ac:dyDescent="0.25">
      <c r="E718" s="138">
        <f ca="1"/>
        <v>-0.59156631753968525</v>
      </c>
      <c r="F718" s="139">
        <f ca="1"/>
        <v>0.7096963108300095</v>
      </c>
    </row>
    <row r="719" spans="5:6" x14ac:dyDescent="0.25">
      <c r="E719" s="138">
        <f ca="1"/>
        <v>-0.53894631358487199</v>
      </c>
      <c r="F719" s="139">
        <f ca="1"/>
        <v>1.1813376603987651</v>
      </c>
    </row>
    <row r="720" spans="5:6" x14ac:dyDescent="0.25">
      <c r="E720" s="138">
        <f ca="1"/>
        <v>-1.675854024937637</v>
      </c>
      <c r="F720" s="139">
        <f ca="1"/>
        <v>-1.637228937411656</v>
      </c>
    </row>
    <row r="721" spans="5:6" x14ac:dyDescent="0.25">
      <c r="E721" s="138">
        <f ca="1"/>
        <v>0.43983770849369375</v>
      </c>
      <c r="F721" s="139">
        <f ca="1"/>
        <v>-0.35218192894780709</v>
      </c>
    </row>
    <row r="722" spans="5:6" x14ac:dyDescent="0.25">
      <c r="E722" s="138">
        <f ca="1"/>
        <v>0.20589115095821617</v>
      </c>
      <c r="F722" s="139">
        <f ca="1"/>
        <v>-0.48960180478224891</v>
      </c>
    </row>
    <row r="723" spans="5:6" x14ac:dyDescent="0.25">
      <c r="E723" s="138">
        <f ca="1"/>
        <v>-0.5165674054149284</v>
      </c>
      <c r="F723" s="139">
        <f ca="1"/>
        <v>-0.10275256469030003</v>
      </c>
    </row>
    <row r="724" spans="5:6" x14ac:dyDescent="0.25">
      <c r="E724" s="138">
        <f ca="1"/>
        <v>-0.88659415807965947</v>
      </c>
      <c r="F724" s="139">
        <f ca="1"/>
        <v>-0.4994768938677141</v>
      </c>
    </row>
    <row r="725" spans="5:6" x14ac:dyDescent="0.25">
      <c r="E725" s="138">
        <f ca="1"/>
        <v>-8.2201345688349678E-2</v>
      </c>
      <c r="F725" s="139">
        <f ca="1"/>
        <v>1.3927362144984132</v>
      </c>
    </row>
    <row r="726" spans="5:6" x14ac:dyDescent="0.25">
      <c r="E726" s="138">
        <f ca="1"/>
        <v>0.80410462296080021</v>
      </c>
      <c r="F726" s="139">
        <f ca="1"/>
        <v>-0.25851847549315243</v>
      </c>
    </row>
    <row r="727" spans="5:6" x14ac:dyDescent="0.25">
      <c r="E727" s="138">
        <f ca="1"/>
        <v>-0.29760529237507038</v>
      </c>
      <c r="F727" s="139">
        <f ca="1"/>
        <v>0.38915471064444901</v>
      </c>
    </row>
    <row r="728" spans="5:6" x14ac:dyDescent="0.25">
      <c r="E728" s="138">
        <f ca="1"/>
        <v>-0.30456253197054955</v>
      </c>
      <c r="F728" s="139">
        <f ca="1"/>
        <v>-0.15958800929359762</v>
      </c>
    </row>
    <row r="729" spans="5:6" x14ac:dyDescent="0.25">
      <c r="E729" s="138">
        <f ca="1"/>
        <v>-2.4223824488222339</v>
      </c>
      <c r="F729" s="139">
        <f ca="1"/>
        <v>-1.4483041215113652</v>
      </c>
    </row>
    <row r="730" spans="5:6" x14ac:dyDescent="0.25">
      <c r="E730" s="138">
        <f ca="1"/>
        <v>-0.44970274160968715</v>
      </c>
      <c r="F730" s="139">
        <f ca="1"/>
        <v>-0.41787378552392668</v>
      </c>
    </row>
    <row r="731" spans="5:6" x14ac:dyDescent="0.25">
      <c r="E731" s="138">
        <f ca="1"/>
        <v>-0.65974818584653061</v>
      </c>
      <c r="F731" s="139">
        <f ca="1"/>
        <v>-1.4168503626872664E-2</v>
      </c>
    </row>
    <row r="732" spans="5:6" x14ac:dyDescent="0.25">
      <c r="E732" s="138">
        <f ca="1"/>
        <v>0.38884162041133297</v>
      </c>
      <c r="F732" s="139">
        <f ca="1"/>
        <v>-0.17376773860693528</v>
      </c>
    </row>
    <row r="733" spans="5:6" x14ac:dyDescent="0.25">
      <c r="E733" s="138">
        <f ca="1"/>
        <v>0.94380921267153084</v>
      </c>
      <c r="F733" s="139">
        <f ca="1"/>
        <v>0.49763567807569159</v>
      </c>
    </row>
    <row r="734" spans="5:6" x14ac:dyDescent="0.25">
      <c r="E734" s="138">
        <f ca="1"/>
        <v>0.31806139923398924</v>
      </c>
      <c r="F734" s="139">
        <f ca="1"/>
        <v>-9.09808333981173E-2</v>
      </c>
    </row>
    <row r="735" spans="5:6" x14ac:dyDescent="0.25">
      <c r="E735" s="138">
        <f ca="1"/>
        <v>0.46668934218825903</v>
      </c>
      <c r="F735" s="139">
        <f ca="1"/>
        <v>1.8463265345592478E-2</v>
      </c>
    </row>
    <row r="736" spans="5:6" x14ac:dyDescent="0.25">
      <c r="E736" s="138">
        <f ca="1"/>
        <v>-0.49138873058696908</v>
      </c>
      <c r="F736" s="139">
        <f ca="1"/>
        <v>1.9915928210327243</v>
      </c>
    </row>
    <row r="737" spans="5:6" x14ac:dyDescent="0.25">
      <c r="E737" s="138">
        <f ca="1"/>
        <v>0.4672388376987438</v>
      </c>
      <c r="F737" s="139">
        <f ca="1"/>
        <v>0.59931136086783432</v>
      </c>
    </row>
    <row r="738" spans="5:6" x14ac:dyDescent="0.25">
      <c r="E738" s="138">
        <f ca="1"/>
        <v>0.66797771263163352</v>
      </c>
      <c r="F738" s="139">
        <f ca="1"/>
        <v>0.3280968042844104</v>
      </c>
    </row>
    <row r="739" spans="5:6" x14ac:dyDescent="0.25">
      <c r="E739" s="138">
        <f ca="1"/>
        <v>-0.85331049520578028</v>
      </c>
      <c r="F739" s="139">
        <f ca="1"/>
        <v>-0.86702124078749154</v>
      </c>
    </row>
    <row r="740" spans="5:6" x14ac:dyDescent="0.25">
      <c r="E740" s="138">
        <f ca="1"/>
        <v>-0.24509754674739209</v>
      </c>
      <c r="F740" s="139">
        <f ca="1"/>
        <v>-1.5939635438719062</v>
      </c>
    </row>
    <row r="741" spans="5:6" x14ac:dyDescent="0.25">
      <c r="E741" s="138">
        <f ca="1"/>
        <v>1.6006743809195825</v>
      </c>
      <c r="F741" s="139">
        <f ca="1"/>
        <v>1.0867000724200897</v>
      </c>
    </row>
    <row r="742" spans="5:6" x14ac:dyDescent="0.25">
      <c r="E742" s="138">
        <f ca="1"/>
        <v>0.72236595540749882</v>
      </c>
      <c r="F742" s="139">
        <f ca="1"/>
        <v>2.8945384689194991</v>
      </c>
    </row>
    <row r="743" spans="5:6" x14ac:dyDescent="0.25">
      <c r="E743" s="138">
        <f ca="1"/>
        <v>-1.4658548931423838</v>
      </c>
      <c r="F743" s="139">
        <f ca="1"/>
        <v>-2.0922221008060129</v>
      </c>
    </row>
    <row r="744" spans="5:6" x14ac:dyDescent="0.25">
      <c r="E744" s="138">
        <f ca="1"/>
        <v>-1.7037069345371143</v>
      </c>
      <c r="F744" s="139">
        <f ca="1"/>
        <v>-8.3418938389348218E-2</v>
      </c>
    </row>
    <row r="745" spans="5:6" x14ac:dyDescent="0.25">
      <c r="E745" s="138">
        <f ca="1"/>
        <v>-0.67114715330603636</v>
      </c>
      <c r="F745" s="139">
        <f ca="1"/>
        <v>-1.8622002998030702</v>
      </c>
    </row>
    <row r="746" spans="5:6" x14ac:dyDescent="0.25">
      <c r="E746" s="138">
        <f ca="1"/>
        <v>1.3398182621243213</v>
      </c>
      <c r="F746" s="139">
        <f ca="1"/>
        <v>0.27388476500841574</v>
      </c>
    </row>
    <row r="747" spans="5:6" x14ac:dyDescent="0.25">
      <c r="E747" s="138">
        <f ca="1"/>
        <v>1.4783601617840056</v>
      </c>
      <c r="F747" s="139">
        <f ca="1"/>
        <v>3.8023218504483758E-2</v>
      </c>
    </row>
    <row r="748" spans="5:6" x14ac:dyDescent="0.25">
      <c r="E748" s="138">
        <f ca="1"/>
        <v>0.3755201863980544</v>
      </c>
      <c r="F748" s="139">
        <f ca="1"/>
        <v>1.9762701171044228E-2</v>
      </c>
    </row>
    <row r="749" spans="5:6" x14ac:dyDescent="0.25">
      <c r="E749" s="138">
        <f ca="1"/>
        <v>-0.43689625480821592</v>
      </c>
      <c r="F749" s="139">
        <f ca="1"/>
        <v>-1.1437531952406264</v>
      </c>
    </row>
    <row r="750" spans="5:6" x14ac:dyDescent="0.25">
      <c r="E750" s="138">
        <f ca="1"/>
        <v>-0.11901485316321511</v>
      </c>
      <c r="F750" s="139">
        <f ca="1"/>
        <v>0.49327812169979479</v>
      </c>
    </row>
    <row r="751" spans="5:6" x14ac:dyDescent="0.25">
      <c r="E751" s="138">
        <f ca="1"/>
        <v>-0.5047413926978348</v>
      </c>
      <c r="F751" s="139">
        <f ca="1"/>
        <v>-0.13620481961893172</v>
      </c>
    </row>
    <row r="752" spans="5:6" x14ac:dyDescent="0.25">
      <c r="E752" s="138">
        <f ca="1"/>
        <v>-2.0132325058297211</v>
      </c>
      <c r="F752" s="139">
        <f ca="1"/>
        <v>-1.3527428623088</v>
      </c>
    </row>
    <row r="753" spans="5:6" x14ac:dyDescent="0.25">
      <c r="E753" s="138">
        <f ca="1"/>
        <v>-1.9317712641675995</v>
      </c>
      <c r="F753" s="139">
        <f ca="1"/>
        <v>-2.3829018558136426</v>
      </c>
    </row>
    <row r="754" spans="5:6" x14ac:dyDescent="0.25">
      <c r="E754" s="138">
        <f ca="1"/>
        <v>-0.81052345347640753</v>
      </c>
      <c r="F754" s="139">
        <f ca="1"/>
        <v>-0.57163982338454322</v>
      </c>
    </row>
    <row r="755" spans="5:6" x14ac:dyDescent="0.25">
      <c r="E755" s="138">
        <f ca="1"/>
        <v>-0.6600230342112875</v>
      </c>
      <c r="F755" s="139">
        <f ca="1"/>
        <v>0.78729918684985045</v>
      </c>
    </row>
    <row r="756" spans="5:6" x14ac:dyDescent="0.25">
      <c r="E756" s="138">
        <f ca="1"/>
        <v>0.28790735796397721</v>
      </c>
      <c r="F756" s="139">
        <f ca="1"/>
        <v>-0.18933826138829044</v>
      </c>
    </row>
    <row r="757" spans="5:6" x14ac:dyDescent="0.25">
      <c r="E757" s="138">
        <f ca="1"/>
        <v>1.2298529729089034</v>
      </c>
      <c r="F757" s="139">
        <f ca="1"/>
        <v>-1.0616133714433997</v>
      </c>
    </row>
    <row r="758" spans="5:6" x14ac:dyDescent="0.25">
      <c r="E758" s="138">
        <f ca="1"/>
        <v>1.4614649768219821</v>
      </c>
      <c r="F758" s="139">
        <f ca="1"/>
        <v>0.64344227706023482</v>
      </c>
    </row>
    <row r="759" spans="5:6" x14ac:dyDescent="0.25">
      <c r="E759" s="138">
        <f ca="1"/>
        <v>0.11569858570861982</v>
      </c>
      <c r="F759" s="139">
        <f ca="1"/>
        <v>0.93709511093866615</v>
      </c>
    </row>
    <row r="760" spans="5:6" x14ac:dyDescent="0.25">
      <c r="E760" s="138">
        <f ca="1"/>
        <v>0.26436061114567871</v>
      </c>
      <c r="F760" s="139">
        <f ca="1"/>
        <v>0.1990994079847089</v>
      </c>
    </row>
    <row r="761" spans="5:6" x14ac:dyDescent="0.25">
      <c r="E761" s="138">
        <f ca="1"/>
        <v>-1.0008545614824875</v>
      </c>
      <c r="F761" s="139">
        <f ca="1"/>
        <v>-1.1201405882626276</v>
      </c>
    </row>
    <row r="762" spans="5:6" x14ac:dyDescent="0.25">
      <c r="E762" s="138">
        <f ca="1"/>
        <v>0.15462980173400975</v>
      </c>
      <c r="F762" s="139">
        <f ca="1"/>
        <v>1.4837330237914987</v>
      </c>
    </row>
    <row r="763" spans="5:6" x14ac:dyDescent="0.25">
      <c r="E763" s="138">
        <f ca="1"/>
        <v>2.2409641360471886E-2</v>
      </c>
      <c r="F763" s="139">
        <f ca="1"/>
        <v>6.6434042620954221E-3</v>
      </c>
    </row>
    <row r="764" spans="5:6" x14ac:dyDescent="0.25">
      <c r="E764" s="138">
        <f ca="1"/>
        <v>-0.21643576868054323</v>
      </c>
      <c r="F764" s="139">
        <f ca="1"/>
        <v>-0.60431564673384264</v>
      </c>
    </row>
    <row r="765" spans="5:6" x14ac:dyDescent="0.25">
      <c r="E765" s="138">
        <f ca="1"/>
        <v>-0.42011740897379829</v>
      </c>
      <c r="F765" s="139">
        <f ca="1"/>
        <v>0.21128656676022148</v>
      </c>
    </row>
    <row r="766" spans="5:6" x14ac:dyDescent="0.25">
      <c r="E766" s="138">
        <f ca="1"/>
        <v>0.97763904608158003</v>
      </c>
      <c r="F766" s="139">
        <f ca="1"/>
        <v>1.0718748577485711</v>
      </c>
    </row>
    <row r="767" spans="5:6" x14ac:dyDescent="0.25">
      <c r="E767" s="138">
        <f ca="1"/>
        <v>0.9159252754513284</v>
      </c>
      <c r="F767" s="139">
        <f ca="1"/>
        <v>-0.55670010398507785</v>
      </c>
    </row>
    <row r="768" spans="5:6" x14ac:dyDescent="0.25">
      <c r="E768" s="138">
        <f ca="1"/>
        <v>0.2051518584213454</v>
      </c>
      <c r="F768" s="139">
        <f ca="1"/>
        <v>-0.76309593801460274</v>
      </c>
    </row>
    <row r="769" spans="5:6" x14ac:dyDescent="0.25">
      <c r="E769" s="138">
        <f ca="1"/>
        <v>-1.1226236558469003</v>
      </c>
      <c r="F769" s="139">
        <f ca="1"/>
        <v>-0.48394730865702557</v>
      </c>
    </row>
    <row r="770" spans="5:6" x14ac:dyDescent="0.25">
      <c r="E770" s="138">
        <f ca="1"/>
        <v>0.65765065852585713</v>
      </c>
      <c r="F770" s="139">
        <f ca="1"/>
        <v>-0.64071648275900239</v>
      </c>
    </row>
    <row r="771" spans="5:6" x14ac:dyDescent="0.25">
      <c r="E771" s="138">
        <f ca="1"/>
        <v>-0.80181136332307623</v>
      </c>
      <c r="F771" s="139">
        <f ca="1"/>
        <v>-0.55602150856617705</v>
      </c>
    </row>
    <row r="772" spans="5:6" x14ac:dyDescent="0.25">
      <c r="E772" s="138">
        <f ca="1"/>
        <v>-0.68789645748621342</v>
      </c>
      <c r="F772" s="139">
        <f ca="1"/>
        <v>-0.50893161852177093</v>
      </c>
    </row>
    <row r="773" spans="5:6" x14ac:dyDescent="0.25">
      <c r="E773" s="138">
        <f ca="1"/>
        <v>0.14634603009196692</v>
      </c>
      <c r="F773" s="139">
        <f ca="1"/>
        <v>0.66931077579195153</v>
      </c>
    </row>
    <row r="774" spans="5:6" x14ac:dyDescent="0.25">
      <c r="E774" s="138">
        <f ca="1"/>
        <v>-1.2034085434772599</v>
      </c>
      <c r="F774" s="139">
        <f ca="1"/>
        <v>0.23466332429931214</v>
      </c>
    </row>
    <row r="775" spans="5:6" x14ac:dyDescent="0.25">
      <c r="E775" s="138">
        <f ca="1"/>
        <v>-0.4520991190568675</v>
      </c>
      <c r="F775" s="139">
        <f ca="1"/>
        <v>-1.3218114630701439</v>
      </c>
    </row>
    <row r="776" spans="5:6" x14ac:dyDescent="0.25">
      <c r="E776" s="138">
        <f ca="1"/>
        <v>2.3180931427348619</v>
      </c>
      <c r="F776" s="139">
        <f ca="1"/>
        <v>0.74901201004858042</v>
      </c>
    </row>
    <row r="777" spans="5:6" x14ac:dyDescent="0.25">
      <c r="E777" s="138">
        <f ca="1"/>
        <v>0.11369894217055998</v>
      </c>
      <c r="F777" s="139">
        <f ca="1"/>
        <v>-0.73060372695305764</v>
      </c>
    </row>
    <row r="778" spans="5:6" x14ac:dyDescent="0.25">
      <c r="E778" s="138">
        <f ca="1"/>
        <v>-1.8441017864872626</v>
      </c>
      <c r="F778" s="139">
        <f ca="1"/>
        <v>4.1538217627457241E-2</v>
      </c>
    </row>
    <row r="779" spans="5:6" x14ac:dyDescent="0.25">
      <c r="E779" s="138">
        <f ca="1"/>
        <v>-1.6788411345939689</v>
      </c>
      <c r="F779" s="139">
        <f ca="1"/>
        <v>-3.0719654168205088</v>
      </c>
    </row>
    <row r="780" spans="5:6" x14ac:dyDescent="0.25">
      <c r="E780" s="138">
        <f ca="1"/>
        <v>-0.7671942205618999</v>
      </c>
      <c r="F780" s="139">
        <f ca="1"/>
        <v>-1.1097642244869752</v>
      </c>
    </row>
    <row r="781" spans="5:6" x14ac:dyDescent="0.25">
      <c r="E781" s="138">
        <f ca="1"/>
        <v>-0.60602629971539823</v>
      </c>
      <c r="F781" s="139">
        <f ca="1"/>
        <v>-0.51669995913728872</v>
      </c>
    </row>
    <row r="782" spans="5:6" x14ac:dyDescent="0.25">
      <c r="E782" s="138">
        <f ca="1"/>
        <v>-0.21397666283234901</v>
      </c>
      <c r="F782" s="139">
        <f ca="1"/>
        <v>-0.47917510628191784</v>
      </c>
    </row>
    <row r="783" spans="5:6" x14ac:dyDescent="0.25">
      <c r="E783" s="138">
        <f ca="1"/>
        <v>-0.97963536930867501</v>
      </c>
      <c r="F783" s="139">
        <f ca="1"/>
        <v>0.16616047194844985</v>
      </c>
    </row>
    <row r="784" spans="5:6" x14ac:dyDescent="0.25">
      <c r="E784" s="138">
        <f ca="1"/>
        <v>-0.70865572833305812</v>
      </c>
      <c r="F784" s="139">
        <f ca="1"/>
        <v>-0.16806210096015486</v>
      </c>
    </row>
    <row r="785" spans="5:6" x14ac:dyDescent="0.25">
      <c r="E785" s="138">
        <f ca="1"/>
        <v>0.20259830912181201</v>
      </c>
      <c r="F785" s="139">
        <f ca="1"/>
        <v>7.3603763240734421E-2</v>
      </c>
    </row>
    <row r="786" spans="5:6" x14ac:dyDescent="0.25">
      <c r="E786" s="138">
        <f ca="1"/>
        <v>-0.62652272270366116</v>
      </c>
      <c r="F786" s="139">
        <f ca="1"/>
        <v>0.254654803380295</v>
      </c>
    </row>
    <row r="787" spans="5:6" x14ac:dyDescent="0.25">
      <c r="E787" s="138">
        <f ca="1"/>
        <v>-1.6898547532849479</v>
      </c>
      <c r="F787" s="139">
        <f ca="1"/>
        <v>-0.52357984051469053</v>
      </c>
    </row>
    <row r="788" spans="5:6" x14ac:dyDescent="0.25">
      <c r="E788" s="138">
        <f ca="1"/>
        <v>0.14023047586251819</v>
      </c>
      <c r="F788" s="139">
        <f ca="1"/>
        <v>0.45699365001366121</v>
      </c>
    </row>
    <row r="789" spans="5:6" x14ac:dyDescent="0.25">
      <c r="E789" s="138">
        <f ca="1"/>
        <v>-0.8997642281415259</v>
      </c>
      <c r="F789" s="139">
        <f ca="1"/>
        <v>0.46042784501222778</v>
      </c>
    </row>
    <row r="790" spans="5:6" x14ac:dyDescent="0.25">
      <c r="E790" s="138">
        <f ca="1"/>
        <v>0.27919233009738892</v>
      </c>
      <c r="F790" s="139">
        <f ca="1"/>
        <v>-0.43224628928384179</v>
      </c>
    </row>
    <row r="791" spans="5:6" x14ac:dyDescent="0.25">
      <c r="E791" s="138">
        <f ca="1"/>
        <v>1.0676369177613463</v>
      </c>
      <c r="F791" s="139">
        <f ca="1"/>
        <v>1.5396335650385997</v>
      </c>
    </row>
    <row r="792" spans="5:6" x14ac:dyDescent="0.25">
      <c r="E792" s="138">
        <f ca="1"/>
        <v>0.27086919367012419</v>
      </c>
      <c r="F792" s="139">
        <f ca="1"/>
        <v>0.65942749575988779</v>
      </c>
    </row>
    <row r="793" spans="5:6" x14ac:dyDescent="0.25">
      <c r="E793" s="138">
        <f ca="1"/>
        <v>0.69793028345545249</v>
      </c>
      <c r="F793" s="139">
        <f ca="1"/>
        <v>1.5446077054786964</v>
      </c>
    </row>
    <row r="794" spans="5:6" x14ac:dyDescent="0.25">
      <c r="E794" s="138">
        <f ca="1"/>
        <v>0.71099775173200241</v>
      </c>
      <c r="F794" s="139">
        <f ca="1"/>
        <v>-0.11275098605175654</v>
      </c>
    </row>
    <row r="795" spans="5:6" x14ac:dyDescent="0.25">
      <c r="E795" s="138">
        <f ca="1"/>
        <v>-0.75773164258084824</v>
      </c>
      <c r="F795" s="139">
        <f ca="1"/>
        <v>-0.69224759482030163</v>
      </c>
    </row>
    <row r="796" spans="5:6" x14ac:dyDescent="0.25">
      <c r="E796" s="138">
        <f ca="1"/>
        <v>-0.78823136240146652</v>
      </c>
      <c r="F796" s="139">
        <f ca="1"/>
        <v>-1.0432770559144826</v>
      </c>
    </row>
    <row r="797" spans="5:6" x14ac:dyDescent="0.25">
      <c r="E797" s="138">
        <f ca="1"/>
        <v>-3.7045286346371602E-2</v>
      </c>
      <c r="F797" s="139">
        <f ca="1"/>
        <v>-1.2056564611936202</v>
      </c>
    </row>
    <row r="798" spans="5:6" x14ac:dyDescent="0.25">
      <c r="E798" s="138">
        <f ca="1"/>
        <v>1.2457502037205124</v>
      </c>
      <c r="F798" s="139">
        <f ca="1"/>
        <v>-0.49108931088415197</v>
      </c>
    </row>
    <row r="799" spans="5:6" x14ac:dyDescent="0.25">
      <c r="E799" s="138">
        <f ca="1"/>
        <v>-2.3360905223370052</v>
      </c>
      <c r="F799" s="139">
        <f ca="1"/>
        <v>-0.37138504747926948</v>
      </c>
    </row>
    <row r="800" spans="5:6" x14ac:dyDescent="0.25">
      <c r="E800" s="138">
        <f ca="1"/>
        <v>0.41348061188453022</v>
      </c>
      <c r="F800" s="139">
        <f ca="1"/>
        <v>-0.11812750942758704</v>
      </c>
    </row>
    <row r="801" spans="5:6" x14ac:dyDescent="0.25">
      <c r="E801" s="138">
        <f ca="1"/>
        <v>1.908004578692273</v>
      </c>
      <c r="F801" s="139">
        <f ca="1"/>
        <v>1.4680252374659859</v>
      </c>
    </row>
    <row r="802" spans="5:6" x14ac:dyDescent="0.25">
      <c r="E802" s="138">
        <f ca="1"/>
        <v>-1.6928607957280342</v>
      </c>
      <c r="F802" s="139">
        <f ca="1"/>
        <v>0.13226418908584614</v>
      </c>
    </row>
    <row r="803" spans="5:6" x14ac:dyDescent="0.25">
      <c r="E803" s="138">
        <f ca="1"/>
        <v>-1.8109609995966562</v>
      </c>
      <c r="F803" s="139">
        <f ca="1"/>
        <v>-1.4319813709607279</v>
      </c>
    </row>
    <row r="804" spans="5:6" x14ac:dyDescent="0.25">
      <c r="E804" s="138">
        <f ca="1"/>
        <v>0.24528946720278347</v>
      </c>
      <c r="F804" s="139">
        <f ca="1"/>
        <v>0.8330681668032095</v>
      </c>
    </row>
    <row r="805" spans="5:6" x14ac:dyDescent="0.25">
      <c r="E805" s="138">
        <f ca="1"/>
        <v>-3.1498759219615702E-2</v>
      </c>
      <c r="F805" s="139">
        <f ca="1"/>
        <v>1.7912227615350296</v>
      </c>
    </row>
    <row r="806" spans="5:6" x14ac:dyDescent="0.25">
      <c r="E806" s="138">
        <f ca="1"/>
        <v>-0.31236676926780277</v>
      </c>
      <c r="F806" s="139">
        <f ca="1"/>
        <v>-0.93710389041140363</v>
      </c>
    </row>
    <row r="807" spans="5:6" x14ac:dyDescent="0.25">
      <c r="E807" s="138">
        <f ca="1"/>
        <v>1.2164172750613722</v>
      </c>
      <c r="F807" s="139">
        <f ca="1"/>
        <v>0.53117900287158915</v>
      </c>
    </row>
    <row r="808" spans="5:6" x14ac:dyDescent="0.25">
      <c r="E808" s="138">
        <f ca="1"/>
        <v>-0.40074942359894716</v>
      </c>
      <c r="F808" s="139">
        <f ca="1"/>
        <v>-0.7428850376775431</v>
      </c>
    </row>
    <row r="809" spans="5:6" x14ac:dyDescent="0.25">
      <c r="E809" s="138">
        <f ca="1"/>
        <v>0.63871439481125303</v>
      </c>
      <c r="F809" s="139">
        <f ca="1"/>
        <v>1.3072365138638087</v>
      </c>
    </row>
    <row r="810" spans="5:6" x14ac:dyDescent="0.25">
      <c r="E810" s="138">
        <f ca="1"/>
        <v>-0.84605534933011295</v>
      </c>
      <c r="F810" s="139">
        <f ca="1"/>
        <v>3.4082927530286633E-2</v>
      </c>
    </row>
    <row r="811" spans="5:6" x14ac:dyDescent="0.25">
      <c r="E811" s="138">
        <f ca="1"/>
        <v>4.8322527933291878E-2</v>
      </c>
      <c r="F811" s="139">
        <f ca="1"/>
        <v>-0.32429143185959258</v>
      </c>
    </row>
    <row r="812" spans="5:6" x14ac:dyDescent="0.25">
      <c r="E812" s="138">
        <f ca="1"/>
        <v>0.56928666849125287</v>
      </c>
      <c r="F812" s="139">
        <f ca="1"/>
        <v>2.0937581379835319</v>
      </c>
    </row>
    <row r="813" spans="5:6" x14ac:dyDescent="0.25">
      <c r="E813" s="138">
        <f ca="1"/>
        <v>8.6905362569460867E-2</v>
      </c>
      <c r="F813" s="139">
        <f ca="1"/>
        <v>0.20843974025467293</v>
      </c>
    </row>
    <row r="814" spans="5:6" x14ac:dyDescent="0.25">
      <c r="E814" s="138">
        <f ca="1"/>
        <v>2.0008803693171808</v>
      </c>
      <c r="F814" s="139">
        <f ca="1"/>
        <v>1.2025076069881855</v>
      </c>
    </row>
    <row r="815" spans="5:6" x14ac:dyDescent="0.25">
      <c r="E815" s="138">
        <f ca="1"/>
        <v>-0.66785577005214214</v>
      </c>
      <c r="F815" s="139">
        <f ca="1"/>
        <v>-4.7626004743464068E-2</v>
      </c>
    </row>
    <row r="816" spans="5:6" x14ac:dyDescent="0.25">
      <c r="E816" s="138">
        <f ca="1"/>
        <v>-0.5892216522265683</v>
      </c>
      <c r="F816" s="139">
        <f ca="1"/>
        <v>-0.77485363778096694</v>
      </c>
    </row>
    <row r="817" spans="5:6" x14ac:dyDescent="0.25">
      <c r="E817" s="138">
        <f ca="1"/>
        <v>1.4106094260485573</v>
      </c>
      <c r="F817" s="139">
        <f ca="1"/>
        <v>-0.28228413108701023</v>
      </c>
    </row>
    <row r="818" spans="5:6" x14ac:dyDescent="0.25">
      <c r="E818" s="138">
        <f ca="1"/>
        <v>0.40019655643053931</v>
      </c>
      <c r="F818" s="139">
        <f ca="1"/>
        <v>-1.4207822792590481</v>
      </c>
    </row>
    <row r="819" spans="5:6" x14ac:dyDescent="0.25">
      <c r="E819" s="138">
        <f ca="1"/>
        <v>0.14637266840258498</v>
      </c>
      <c r="F819" s="139">
        <f ca="1"/>
        <v>-0.93037646663766604</v>
      </c>
    </row>
    <row r="820" spans="5:6" x14ac:dyDescent="0.25">
      <c r="E820" s="138">
        <f ca="1"/>
        <v>-0.15797735194459211</v>
      </c>
      <c r="F820" s="139">
        <f ca="1"/>
        <v>-0.14156132643476443</v>
      </c>
    </row>
    <row r="821" spans="5:6" x14ac:dyDescent="0.25">
      <c r="E821" s="138">
        <f ca="1"/>
        <v>0.50966492062826874</v>
      </c>
      <c r="F821" s="139">
        <f ca="1"/>
        <v>-0.4981511849079559</v>
      </c>
    </row>
    <row r="822" spans="5:6" x14ac:dyDescent="0.25">
      <c r="E822" s="138">
        <f ca="1"/>
        <v>-0.16838180198423228</v>
      </c>
      <c r="F822" s="139">
        <f ca="1"/>
        <v>-1.3578952446782713</v>
      </c>
    </row>
    <row r="823" spans="5:6" x14ac:dyDescent="0.25">
      <c r="E823" s="138">
        <f ca="1"/>
        <v>2.0327308474798893</v>
      </c>
      <c r="F823" s="139">
        <f ca="1"/>
        <v>-0.40779650516471833</v>
      </c>
    </row>
    <row r="824" spans="5:6" x14ac:dyDescent="0.25">
      <c r="E824" s="138">
        <f ca="1"/>
        <v>-1.249476013517816</v>
      </c>
      <c r="F824" s="139">
        <f ca="1"/>
        <v>-1.5430773867659644</v>
      </c>
    </row>
    <row r="825" spans="5:6" x14ac:dyDescent="0.25">
      <c r="E825" s="138">
        <f ca="1"/>
        <v>0.46931449220410321</v>
      </c>
      <c r="F825" s="139">
        <f ca="1"/>
        <v>-0.38786397563548036</v>
      </c>
    </row>
    <row r="826" spans="5:6" x14ac:dyDescent="0.25">
      <c r="E826" s="138">
        <f ca="1"/>
        <v>-0.66977542666374179</v>
      </c>
      <c r="F826" s="139">
        <f ca="1"/>
        <v>0.50232617824359038</v>
      </c>
    </row>
    <row r="827" spans="5:6" x14ac:dyDescent="0.25">
      <c r="E827" s="138">
        <f ca="1"/>
        <v>2.2331431904216999E-2</v>
      </c>
      <c r="F827" s="139">
        <f ca="1"/>
        <v>0.67457243509395715</v>
      </c>
    </row>
    <row r="828" spans="5:6" x14ac:dyDescent="0.25">
      <c r="E828" s="138">
        <f ca="1"/>
        <v>1.1177620438016282</v>
      </c>
      <c r="F828" s="139">
        <f ca="1"/>
        <v>1.5740501287626811</v>
      </c>
    </row>
    <row r="829" spans="5:6" x14ac:dyDescent="0.25">
      <c r="E829" s="138">
        <f ca="1"/>
        <v>-0.8080755776688362</v>
      </c>
      <c r="F829" s="139">
        <f ca="1"/>
        <v>-2.8945471678394825</v>
      </c>
    </row>
    <row r="830" spans="5:6" x14ac:dyDescent="0.25">
      <c r="E830" s="138">
        <f ca="1"/>
        <v>-1.1958669947760785</v>
      </c>
      <c r="F830" s="139">
        <f ca="1"/>
        <v>-0.17326773987977939</v>
      </c>
    </row>
    <row r="831" spans="5:6" x14ac:dyDescent="0.25">
      <c r="E831" s="138">
        <f ca="1"/>
        <v>1.392775010812155</v>
      </c>
      <c r="F831" s="139">
        <f ca="1"/>
        <v>-0.38549225248423102</v>
      </c>
    </row>
    <row r="832" spans="5:6" x14ac:dyDescent="0.25">
      <c r="E832" s="138">
        <f ca="1"/>
        <v>-0.47734428245283511</v>
      </c>
      <c r="F832" s="139">
        <f ca="1"/>
        <v>-2.1822760550982236</v>
      </c>
    </row>
    <row r="833" spans="5:6" x14ac:dyDescent="0.25">
      <c r="E833" s="138">
        <f ca="1"/>
        <v>-1.0753931836921622</v>
      </c>
      <c r="F833" s="139">
        <f ca="1"/>
        <v>-1.4316584320832026</v>
      </c>
    </row>
    <row r="834" spans="5:6" x14ac:dyDescent="0.25">
      <c r="E834" s="138">
        <f ca="1"/>
        <v>0.56770013685439769</v>
      </c>
      <c r="F834" s="139">
        <f ca="1"/>
        <v>-0.11269393106029235</v>
      </c>
    </row>
    <row r="835" spans="5:6" x14ac:dyDescent="0.25">
      <c r="E835" s="138">
        <f ca="1"/>
        <v>5.8982139655520766E-2</v>
      </c>
      <c r="F835" s="139">
        <f ca="1"/>
        <v>0.50163689533314115</v>
      </c>
    </row>
    <row r="836" spans="5:6" x14ac:dyDescent="0.25">
      <c r="E836" s="138">
        <f ca="1"/>
        <v>-0.30696121774291818</v>
      </c>
      <c r="F836" s="139">
        <f ca="1"/>
        <v>1.0406183354223641</v>
      </c>
    </row>
    <row r="837" spans="5:6" x14ac:dyDescent="0.25">
      <c r="E837" s="138">
        <f ca="1"/>
        <v>1.4656394754363404</v>
      </c>
      <c r="F837" s="139">
        <f ca="1"/>
        <v>0.60292732982144914</v>
      </c>
    </row>
    <row r="838" spans="5:6" x14ac:dyDescent="0.25">
      <c r="E838" s="138">
        <f ca="1"/>
        <v>-0.61143981102221878</v>
      </c>
      <c r="F838" s="139">
        <f ca="1"/>
        <v>1.6181090116416361</v>
      </c>
    </row>
    <row r="839" spans="5:6" x14ac:dyDescent="0.25">
      <c r="E839" s="138">
        <f ca="1"/>
        <v>-0.3490251531433049</v>
      </c>
      <c r="F839" s="139">
        <f ca="1"/>
        <v>-1.7177860290568407</v>
      </c>
    </row>
    <row r="840" spans="5:6" x14ac:dyDescent="0.25">
      <c r="E840" s="138">
        <f ca="1"/>
        <v>1.6155442753352063</v>
      </c>
      <c r="F840" s="139">
        <f ca="1"/>
        <v>1.1562042901739029</v>
      </c>
    </row>
    <row r="841" spans="5:6" x14ac:dyDescent="0.25">
      <c r="E841" s="138">
        <f ca="1"/>
        <v>-0.35441856846512226</v>
      </c>
      <c r="F841" s="139">
        <f ca="1"/>
        <v>-0.25192255333013924</v>
      </c>
    </row>
    <row r="842" spans="5:6" x14ac:dyDescent="0.25">
      <c r="E842" s="138">
        <f ca="1"/>
        <v>1.3408133324989167</v>
      </c>
      <c r="F842" s="139">
        <f ca="1"/>
        <v>1.3880270517177715</v>
      </c>
    </row>
    <row r="843" spans="5:6" x14ac:dyDescent="0.25">
      <c r="E843" s="138">
        <f ca="1"/>
        <v>-0.52196513447739312</v>
      </c>
      <c r="F843" s="139">
        <f ca="1"/>
        <v>1.6139816543907768</v>
      </c>
    </row>
    <row r="844" spans="5:6" x14ac:dyDescent="0.25">
      <c r="E844" s="138">
        <f ca="1"/>
        <v>0.2800187176819357</v>
      </c>
      <c r="F844" s="139">
        <f ca="1"/>
        <v>0.2699337482602498</v>
      </c>
    </row>
    <row r="845" spans="5:6" x14ac:dyDescent="0.25">
      <c r="E845" s="138">
        <f ca="1"/>
        <v>-0.3070237153097457</v>
      </c>
      <c r="F845" s="139">
        <f ca="1"/>
        <v>0.48064294545393615</v>
      </c>
    </row>
    <row r="846" spans="5:6" x14ac:dyDescent="0.25">
      <c r="E846" s="138">
        <f ca="1"/>
        <v>2.6663688257208391</v>
      </c>
      <c r="F846" s="139">
        <f ca="1"/>
        <v>1.2363644374450926</v>
      </c>
    </row>
    <row r="847" spans="5:6" x14ac:dyDescent="0.25">
      <c r="E847" s="138">
        <f ca="1"/>
        <v>-4.8929195081462026E-2</v>
      </c>
      <c r="F847" s="139">
        <f ca="1"/>
        <v>-0.49601707862010724</v>
      </c>
    </row>
    <row r="848" spans="5:6" x14ac:dyDescent="0.25">
      <c r="E848" s="138">
        <f ca="1"/>
        <v>2.2144051398147506</v>
      </c>
      <c r="F848" s="139">
        <f ca="1"/>
        <v>0.88976165760383585</v>
      </c>
    </row>
    <row r="849" spans="5:6" x14ac:dyDescent="0.25">
      <c r="E849" s="138">
        <f ca="1"/>
        <v>-1.1984626992709464</v>
      </c>
      <c r="F849" s="139">
        <f ca="1"/>
        <v>-1.8629161713600841</v>
      </c>
    </row>
    <row r="850" spans="5:6" x14ac:dyDescent="0.25">
      <c r="E850" s="138">
        <f ca="1"/>
        <v>1.1648270654966475</v>
      </c>
      <c r="F850" s="139">
        <f ca="1"/>
        <v>0.88556092806226427</v>
      </c>
    </row>
    <row r="851" spans="5:6" x14ac:dyDescent="0.25">
      <c r="E851" s="138">
        <f ca="1"/>
        <v>-1.820008747379485</v>
      </c>
      <c r="F851" s="139">
        <f ca="1"/>
        <v>-1.7126005852587092</v>
      </c>
    </row>
    <row r="852" spans="5:6" x14ac:dyDescent="0.25">
      <c r="E852" s="138">
        <f ca="1"/>
        <v>3.6993746412362005E-3</v>
      </c>
      <c r="F852" s="139">
        <f ca="1"/>
        <v>-1.4108765815194797</v>
      </c>
    </row>
    <row r="853" spans="5:6" x14ac:dyDescent="0.25">
      <c r="E853" s="138">
        <f ca="1"/>
        <v>0.99557268639311014</v>
      </c>
      <c r="F853" s="139">
        <f ca="1"/>
        <v>-0.61130687833817743</v>
      </c>
    </row>
    <row r="854" spans="5:6" x14ac:dyDescent="0.25">
      <c r="E854" s="138">
        <f ca="1"/>
        <v>0.88400286592136945</v>
      </c>
      <c r="F854" s="139">
        <f ca="1"/>
        <v>0.65913868967044265</v>
      </c>
    </row>
    <row r="855" spans="5:6" x14ac:dyDescent="0.25">
      <c r="E855" s="138">
        <f ca="1"/>
        <v>1.7154093538578313E-2</v>
      </c>
      <c r="F855" s="139">
        <f ca="1"/>
        <v>2.2221840179678529</v>
      </c>
    </row>
    <row r="856" spans="5:6" x14ac:dyDescent="0.25">
      <c r="E856" s="138">
        <f ca="1"/>
        <v>0.82707513637710273</v>
      </c>
      <c r="F856" s="139">
        <f ca="1"/>
        <v>1.0774535421017917</v>
      </c>
    </row>
    <row r="857" spans="5:6" x14ac:dyDescent="0.25">
      <c r="E857" s="138">
        <f ca="1"/>
        <v>-0.32785558621144639</v>
      </c>
      <c r="F857" s="139">
        <f ca="1"/>
        <v>-0.70720267445503993</v>
      </c>
    </row>
    <row r="858" spans="5:6" x14ac:dyDescent="0.25">
      <c r="E858" s="138">
        <f ca="1"/>
        <v>-0.92460463480820265</v>
      </c>
      <c r="F858" s="139">
        <f ca="1"/>
        <v>-1.3530442648319303</v>
      </c>
    </row>
    <row r="859" spans="5:6" x14ac:dyDescent="0.25">
      <c r="E859" s="138">
        <f ca="1"/>
        <v>0.18071795317835548</v>
      </c>
      <c r="F859" s="139">
        <f ca="1"/>
        <v>-0.14243694093337372</v>
      </c>
    </row>
    <row r="860" spans="5:6" x14ac:dyDescent="0.25">
      <c r="E860" s="138">
        <f ca="1"/>
        <v>0.27258115751279971</v>
      </c>
      <c r="F860" s="139">
        <f ca="1"/>
        <v>-0.21562361472700123</v>
      </c>
    </row>
    <row r="861" spans="5:6" x14ac:dyDescent="0.25">
      <c r="E861" s="138">
        <f ca="1"/>
        <v>-1.7083913597035749</v>
      </c>
      <c r="F861" s="139">
        <f ca="1"/>
        <v>-2.6385968197114438</v>
      </c>
    </row>
    <row r="862" spans="5:6" x14ac:dyDescent="0.25">
      <c r="E862" s="138">
        <f ca="1"/>
        <v>-1.2937366604528329</v>
      </c>
      <c r="F862" s="139">
        <f ca="1"/>
        <v>-1.8501606253288687</v>
      </c>
    </row>
    <row r="863" spans="5:6" x14ac:dyDescent="0.25">
      <c r="E863" s="138">
        <f ca="1"/>
        <v>-0.20015587003352661</v>
      </c>
      <c r="F863" s="139">
        <f ca="1"/>
        <v>2.1165107681915276</v>
      </c>
    </row>
    <row r="864" spans="5:6" x14ac:dyDescent="0.25">
      <c r="E864" s="138">
        <f ca="1"/>
        <v>-0.74273499237847862</v>
      </c>
      <c r="F864" s="139">
        <f ca="1"/>
        <v>-1.6664599887787308</v>
      </c>
    </row>
    <row r="865" spans="5:6" x14ac:dyDescent="0.25">
      <c r="E865" s="138">
        <f ca="1"/>
        <v>3.3554943321100861E-3</v>
      </c>
      <c r="F865" s="139">
        <f ca="1"/>
        <v>-0.45825702246536187</v>
      </c>
    </row>
    <row r="866" spans="5:6" x14ac:dyDescent="0.25">
      <c r="E866" s="138">
        <f ca="1"/>
        <v>-1.0658668352751124</v>
      </c>
      <c r="F866" s="139">
        <f ca="1"/>
        <v>-1.1643932741624687</v>
      </c>
    </row>
    <row r="867" spans="5:6" x14ac:dyDescent="0.25">
      <c r="E867" s="138">
        <f ca="1"/>
        <v>1.0500698989697324</v>
      </c>
      <c r="F867" s="139">
        <f ca="1"/>
        <v>6.1324754117858704E-2</v>
      </c>
    </row>
    <row r="868" spans="5:6" x14ac:dyDescent="0.25">
      <c r="E868" s="138">
        <f ca="1"/>
        <v>-0.49707739114965199</v>
      </c>
      <c r="F868" s="139">
        <f ca="1"/>
        <v>-1.9156501183096717</v>
      </c>
    </row>
    <row r="869" spans="5:6" x14ac:dyDescent="0.25">
      <c r="E869" s="138">
        <f ca="1"/>
        <v>-1.4052475284413819</v>
      </c>
      <c r="F869" s="139">
        <f ca="1"/>
        <v>-0.5820984713139169</v>
      </c>
    </row>
    <row r="870" spans="5:6" x14ac:dyDescent="0.25">
      <c r="E870" s="138">
        <f ca="1"/>
        <v>-0.11699552866605131</v>
      </c>
      <c r="F870" s="139">
        <f ca="1"/>
        <v>0.72712458010134906</v>
      </c>
    </row>
    <row r="871" spans="5:6" x14ac:dyDescent="0.25">
      <c r="E871" s="138">
        <f ca="1"/>
        <v>-0.88027932227239492</v>
      </c>
      <c r="F871" s="139">
        <f ca="1"/>
        <v>1.3996909634652108</v>
      </c>
    </row>
    <row r="872" spans="5:6" x14ac:dyDescent="0.25">
      <c r="E872" s="138">
        <f ca="1"/>
        <v>-0.53483674666253345</v>
      </c>
      <c r="F872" s="139">
        <f ca="1"/>
        <v>0.13079090519930908</v>
      </c>
    </row>
    <row r="873" spans="5:6" x14ac:dyDescent="0.25">
      <c r="E873" s="138">
        <f ca="1"/>
        <v>-0.33289810701493694</v>
      </c>
      <c r="F873" s="139">
        <f ca="1"/>
        <v>0.69473592232276382</v>
      </c>
    </row>
    <row r="874" spans="5:6" x14ac:dyDescent="0.25">
      <c r="E874" s="138">
        <f ca="1"/>
        <v>0.1497233376845698</v>
      </c>
      <c r="F874" s="139">
        <f ca="1"/>
        <v>0.43725671611263656</v>
      </c>
    </row>
    <row r="875" spans="5:6" x14ac:dyDescent="0.25">
      <c r="E875" s="138">
        <f ca="1"/>
        <v>0.59551536445071473</v>
      </c>
      <c r="F875" s="139">
        <f ca="1"/>
        <v>1.0111406309864317</v>
      </c>
    </row>
    <row r="876" spans="5:6" x14ac:dyDescent="0.25">
      <c r="E876" s="138">
        <f ca="1"/>
        <v>1.1348800429962176</v>
      </c>
      <c r="F876" s="139">
        <f ca="1"/>
        <v>2.1595275781221583</v>
      </c>
    </row>
    <row r="877" spans="5:6" x14ac:dyDescent="0.25">
      <c r="E877" s="138">
        <f ca="1"/>
        <v>-0.32935550363799487</v>
      </c>
      <c r="F877" s="139">
        <f ca="1"/>
        <v>0.47662070191440298</v>
      </c>
    </row>
    <row r="878" spans="5:6" x14ac:dyDescent="0.25">
      <c r="E878" s="138">
        <f ca="1"/>
        <v>-0.81660412137318661</v>
      </c>
      <c r="F878" s="139">
        <f ca="1"/>
        <v>-0.47072261952170885</v>
      </c>
    </row>
    <row r="879" spans="5:6" x14ac:dyDescent="0.25">
      <c r="E879" s="138">
        <f ca="1"/>
        <v>0.85095152154374287</v>
      </c>
      <c r="F879" s="139">
        <f ca="1"/>
        <v>0.56060092771373693</v>
      </c>
    </row>
    <row r="880" spans="5:6" x14ac:dyDescent="0.25">
      <c r="E880" s="138">
        <f ca="1"/>
        <v>-1.5752380367152294</v>
      </c>
      <c r="F880" s="139">
        <f ca="1"/>
        <v>-0.4370562488254513</v>
      </c>
    </row>
    <row r="881" spans="5:6" x14ac:dyDescent="0.25">
      <c r="E881" s="138">
        <f ca="1"/>
        <v>-0.9230549775444975</v>
      </c>
      <c r="F881" s="139">
        <f ca="1"/>
        <v>-0.53748026388807557</v>
      </c>
    </row>
    <row r="882" spans="5:6" x14ac:dyDescent="0.25">
      <c r="E882" s="138">
        <f ca="1"/>
        <v>1.3288876445829085</v>
      </c>
      <c r="F882" s="139">
        <f ca="1"/>
        <v>1.2930117905361769</v>
      </c>
    </row>
    <row r="883" spans="5:6" x14ac:dyDescent="0.25">
      <c r="E883" s="138">
        <f ca="1"/>
        <v>0.7388396637898218</v>
      </c>
      <c r="F883" s="139">
        <f ca="1"/>
        <v>0.2461819642674935</v>
      </c>
    </row>
    <row r="884" spans="5:6" x14ac:dyDescent="0.25">
      <c r="E884" s="138">
        <f ca="1"/>
        <v>-0.41203560428467118</v>
      </c>
      <c r="F884" s="139">
        <f ca="1"/>
        <v>-1.1863802446950074</v>
      </c>
    </row>
    <row r="885" spans="5:6" x14ac:dyDescent="0.25">
      <c r="E885" s="138">
        <f ca="1"/>
        <v>1.8971041251778748E-2</v>
      </c>
      <c r="F885" s="139">
        <f ca="1"/>
        <v>-0.34760659974635832</v>
      </c>
    </row>
    <row r="886" spans="5:6" x14ac:dyDescent="0.25">
      <c r="E886" s="138">
        <f ca="1"/>
        <v>0.99960804165856432</v>
      </c>
      <c r="F886" s="139">
        <f ca="1"/>
        <v>0.92145586093917542</v>
      </c>
    </row>
    <row r="887" spans="5:6" x14ac:dyDescent="0.25">
      <c r="E887" s="138">
        <f ca="1"/>
        <v>-0.6581944359583547</v>
      </c>
      <c r="F887" s="139">
        <f ca="1"/>
        <v>-0.4646471314076821</v>
      </c>
    </row>
    <row r="888" spans="5:6" x14ac:dyDescent="0.25">
      <c r="E888" s="138">
        <f ca="1"/>
        <v>1.4934084491156721</v>
      </c>
      <c r="F888" s="139">
        <f ca="1"/>
        <v>1.2883928018256616</v>
      </c>
    </row>
    <row r="889" spans="5:6" x14ac:dyDescent="0.25">
      <c r="E889" s="138">
        <f ca="1"/>
        <v>-0.41530830188617701</v>
      </c>
      <c r="F889" s="139">
        <f ca="1"/>
        <v>-1.3422540249834432</v>
      </c>
    </row>
    <row r="890" spans="5:6" x14ac:dyDescent="0.25">
      <c r="E890" s="138">
        <f ca="1"/>
        <v>0.87608330713804106</v>
      </c>
      <c r="F890" s="139">
        <f ca="1"/>
        <v>0.52456797920488019</v>
      </c>
    </row>
    <row r="891" spans="5:6" x14ac:dyDescent="0.25">
      <c r="E891" s="138">
        <f ca="1"/>
        <v>1.0144701611392382</v>
      </c>
      <c r="F891" s="139">
        <f ca="1"/>
        <v>-0.1719569431585708</v>
      </c>
    </row>
    <row r="892" spans="5:6" x14ac:dyDescent="0.25">
      <c r="E892" s="138">
        <f ca="1"/>
        <v>-1.5320407387520263</v>
      </c>
      <c r="F892" s="139">
        <f ca="1"/>
        <v>0.37631813705015904</v>
      </c>
    </row>
    <row r="893" spans="5:6" x14ac:dyDescent="0.25">
      <c r="E893" s="138">
        <f ca="1"/>
        <v>0.60999562142580754</v>
      </c>
      <c r="F893" s="139">
        <f ca="1"/>
        <v>-0.55955458577943407</v>
      </c>
    </row>
    <row r="894" spans="5:6" x14ac:dyDescent="0.25">
      <c r="E894" s="138">
        <f ca="1"/>
        <v>-0.24598118165702612</v>
      </c>
      <c r="F894" s="139">
        <f ca="1"/>
        <v>-0.16849528284276311</v>
      </c>
    </row>
    <row r="895" spans="5:6" x14ac:dyDescent="0.25">
      <c r="E895" s="138">
        <f ca="1"/>
        <v>6.5782924971133569E-2</v>
      </c>
      <c r="F895" s="139">
        <f ca="1"/>
        <v>0.80057822193857442</v>
      </c>
    </row>
    <row r="896" spans="5:6" x14ac:dyDescent="0.25">
      <c r="E896" s="138">
        <f ca="1"/>
        <v>-0.65337215272134386</v>
      </c>
      <c r="F896" s="139">
        <f ca="1"/>
        <v>0.57095846495196023</v>
      </c>
    </row>
    <row r="897" spans="5:6" x14ac:dyDescent="0.25">
      <c r="E897" s="138">
        <f ca="1"/>
        <v>-0.85554308157811898</v>
      </c>
      <c r="F897" s="139">
        <f ca="1"/>
        <v>-1.0346333674821164</v>
      </c>
    </row>
    <row r="898" spans="5:6" x14ac:dyDescent="0.25">
      <c r="E898" s="138">
        <f ca="1"/>
        <v>0.36942475073400671</v>
      </c>
      <c r="F898" s="139">
        <f ca="1"/>
        <v>1.0628539850377072</v>
      </c>
    </row>
    <row r="899" spans="5:6" x14ac:dyDescent="0.25">
      <c r="E899" s="138">
        <f ca="1"/>
        <v>1.4011246760926743</v>
      </c>
      <c r="F899" s="139">
        <f ca="1"/>
        <v>0.70735094675241017</v>
      </c>
    </row>
    <row r="900" spans="5:6" x14ac:dyDescent="0.25">
      <c r="E900" s="138">
        <f ca="1"/>
        <v>0.18346438590087821</v>
      </c>
      <c r="F900" s="139">
        <f ca="1"/>
        <v>0.98811612027629292</v>
      </c>
    </row>
    <row r="901" spans="5:6" x14ac:dyDescent="0.25">
      <c r="E901" s="138">
        <f ca="1"/>
        <v>-0.15009890730168202</v>
      </c>
      <c r="F901" s="139">
        <f ca="1"/>
        <v>0.38397062180860586</v>
      </c>
    </row>
    <row r="902" spans="5:6" x14ac:dyDescent="0.25">
      <c r="E902" s="138">
        <f ca="1"/>
        <v>1.4435967883064578</v>
      </c>
      <c r="F902" s="139">
        <f ca="1"/>
        <v>1.8933415746518054</v>
      </c>
    </row>
    <row r="903" spans="5:6" x14ac:dyDescent="0.25">
      <c r="E903" s="138">
        <f ca="1"/>
        <v>1.3707644335107885</v>
      </c>
      <c r="F903" s="139">
        <f ca="1"/>
        <v>0.67746955413530308</v>
      </c>
    </row>
    <row r="904" spans="5:6" x14ac:dyDescent="0.25">
      <c r="E904" s="138">
        <f ca="1"/>
        <v>-0.26922420833929117</v>
      </c>
      <c r="F904" s="139">
        <f ca="1"/>
        <v>0.39547025229273652</v>
      </c>
    </row>
    <row r="905" spans="5:6" x14ac:dyDescent="0.25">
      <c r="E905" s="138">
        <f ca="1"/>
        <v>0.30248355892634615</v>
      </c>
      <c r="F905" s="139">
        <f ca="1"/>
        <v>-1.2350906986088872E-3</v>
      </c>
    </row>
    <row r="906" spans="5:6" x14ac:dyDescent="0.25">
      <c r="E906" s="138">
        <f ca="1"/>
        <v>0.98481233285899461</v>
      </c>
      <c r="F906" s="139">
        <f ca="1"/>
        <v>1.3737050426386834</v>
      </c>
    </row>
    <row r="907" spans="5:6" x14ac:dyDescent="0.25">
      <c r="E907" s="138">
        <f ca="1"/>
        <v>1.3172790511607226</v>
      </c>
      <c r="F907" s="139">
        <f ca="1"/>
        <v>1.3020950743868764</v>
      </c>
    </row>
    <row r="908" spans="5:6" x14ac:dyDescent="0.25">
      <c r="E908" s="138">
        <f ca="1"/>
        <v>0.47373301542969976</v>
      </c>
      <c r="F908" s="139">
        <f ca="1"/>
        <v>-4.3668725629310318E-2</v>
      </c>
    </row>
    <row r="909" spans="5:6" x14ac:dyDescent="0.25">
      <c r="E909" s="138">
        <f ca="1"/>
        <v>1.3624639527954134</v>
      </c>
      <c r="F909" s="139">
        <f ca="1"/>
        <v>0.20912725728298276</v>
      </c>
    </row>
    <row r="910" spans="5:6" x14ac:dyDescent="0.25">
      <c r="E910" s="138">
        <f ca="1"/>
        <v>-0.42967755818768039</v>
      </c>
      <c r="F910" s="139">
        <f ca="1"/>
        <v>-0.33964946098457371</v>
      </c>
    </row>
    <row r="911" spans="5:6" x14ac:dyDescent="0.25">
      <c r="E911" s="138">
        <f ca="1"/>
        <v>-0.25601527497966403</v>
      </c>
      <c r="F911" s="139">
        <f ca="1"/>
        <v>-1.4320325324868974</v>
      </c>
    </row>
    <row r="912" spans="5:6" x14ac:dyDescent="0.25">
      <c r="E912" s="138">
        <f ca="1"/>
        <v>-0.57081701206611424</v>
      </c>
      <c r="F912" s="139">
        <f ca="1"/>
        <v>0.30153205405037564</v>
      </c>
    </row>
    <row r="913" spans="5:6" x14ac:dyDescent="0.25">
      <c r="E913" s="138">
        <f ca="1"/>
        <v>-0.66878944841048338</v>
      </c>
      <c r="F913" s="139">
        <f ca="1"/>
        <v>-0.33503562167988632</v>
      </c>
    </row>
    <row r="914" spans="5:6" x14ac:dyDescent="0.25">
      <c r="E914" s="138">
        <f ca="1"/>
        <v>0.53943634671219665</v>
      </c>
      <c r="F914" s="139">
        <f ca="1"/>
        <v>-0.17421112935000332</v>
      </c>
    </row>
    <row r="915" spans="5:6" x14ac:dyDescent="0.25">
      <c r="E915" s="138">
        <f ca="1"/>
        <v>1.1114569312909994</v>
      </c>
      <c r="F915" s="139">
        <f ca="1"/>
        <v>0.82728096421762043</v>
      </c>
    </row>
    <row r="916" spans="5:6" x14ac:dyDescent="0.25">
      <c r="E916" s="138">
        <f ca="1"/>
        <v>0.1796988918512972</v>
      </c>
      <c r="F916" s="139">
        <f ca="1"/>
        <v>-0.13866352415965771</v>
      </c>
    </row>
    <row r="917" spans="5:6" x14ac:dyDescent="0.25">
      <c r="E917" s="138">
        <f ca="1"/>
        <v>0.10663474097273695</v>
      </c>
      <c r="F917" s="139">
        <f ca="1"/>
        <v>-0.25983364473945619</v>
      </c>
    </row>
    <row r="918" spans="5:6" x14ac:dyDescent="0.25">
      <c r="E918" s="138">
        <f ca="1"/>
        <v>1.9005320673450026</v>
      </c>
      <c r="F918" s="139">
        <f ca="1"/>
        <v>0.25818392915719213</v>
      </c>
    </row>
    <row r="919" spans="5:6" x14ac:dyDescent="0.25">
      <c r="E919" s="138">
        <f ca="1"/>
        <v>0.64691723636414478</v>
      </c>
      <c r="F919" s="139">
        <f ca="1"/>
        <v>0.11556659297153779</v>
      </c>
    </row>
    <row r="920" spans="5:6" x14ac:dyDescent="0.25">
      <c r="E920" s="138">
        <f ca="1"/>
        <v>-0.77308573079340204</v>
      </c>
      <c r="F920" s="139">
        <f ca="1"/>
        <v>-0.57399313062471125</v>
      </c>
    </row>
    <row r="921" spans="5:6" x14ac:dyDescent="0.25">
      <c r="E921" s="138">
        <f ca="1"/>
        <v>-0.55208246169188924</v>
      </c>
      <c r="F921" s="139">
        <f ca="1"/>
        <v>0.74058810674437825</v>
      </c>
    </row>
    <row r="922" spans="5:6" x14ac:dyDescent="0.25">
      <c r="E922" s="138">
        <f ca="1"/>
        <v>-0.71932189302143879</v>
      </c>
      <c r="F922" s="139">
        <f ca="1"/>
        <v>-0.83784474213955262</v>
      </c>
    </row>
    <row r="923" spans="5:6" x14ac:dyDescent="0.25">
      <c r="E923" s="138">
        <f ca="1"/>
        <v>-0.68532566346819301</v>
      </c>
      <c r="F923" s="139">
        <f ca="1"/>
        <v>-0.1555488103658457</v>
      </c>
    </row>
    <row r="924" spans="5:6" x14ac:dyDescent="0.25">
      <c r="E924" s="138">
        <f ca="1"/>
        <v>0.50647806558276254</v>
      </c>
      <c r="F924" s="139">
        <f ca="1"/>
        <v>0.37270872060929811</v>
      </c>
    </row>
    <row r="925" spans="5:6" x14ac:dyDescent="0.25">
      <c r="E925" s="138">
        <f ca="1"/>
        <v>-0.52202489000232155</v>
      </c>
      <c r="F925" s="139">
        <f ca="1"/>
        <v>0.8285098381005751</v>
      </c>
    </row>
    <row r="926" spans="5:6" x14ac:dyDescent="0.25">
      <c r="E926" s="138">
        <f ca="1"/>
        <v>0.41639580158199085</v>
      </c>
      <c r="F926" s="139">
        <f ca="1"/>
        <v>-7.9342197852597385E-3</v>
      </c>
    </row>
    <row r="927" spans="5:6" x14ac:dyDescent="0.25">
      <c r="E927" s="138">
        <f ca="1"/>
        <v>-1.9875708142918405</v>
      </c>
      <c r="F927" s="139">
        <f ca="1"/>
        <v>-1.6518679641375855</v>
      </c>
    </row>
    <row r="928" spans="5:6" x14ac:dyDescent="0.25">
      <c r="E928" s="138">
        <f ca="1"/>
        <v>1.4041636410982983</v>
      </c>
      <c r="F928" s="139">
        <f ca="1"/>
        <v>-0.27679900265569801</v>
      </c>
    </row>
    <row r="929" spans="5:6" x14ac:dyDescent="0.25">
      <c r="E929" s="138">
        <f ca="1"/>
        <v>0.58909068655572328</v>
      </c>
      <c r="F929" s="139">
        <f ca="1"/>
        <v>-0.67521823499238587</v>
      </c>
    </row>
    <row r="930" spans="5:6" x14ac:dyDescent="0.25">
      <c r="E930" s="138">
        <f ca="1"/>
        <v>1.4184869015897803</v>
      </c>
      <c r="F930" s="139">
        <f ca="1"/>
        <v>-1.1559365408802622</v>
      </c>
    </row>
    <row r="931" spans="5:6" x14ac:dyDescent="0.25">
      <c r="E931" s="138">
        <f ca="1"/>
        <v>0.69448830892295887</v>
      </c>
      <c r="F931" s="139">
        <f ca="1"/>
        <v>-1.182884491831482</v>
      </c>
    </row>
    <row r="932" spans="5:6" x14ac:dyDescent="0.25">
      <c r="E932" s="138">
        <f ca="1"/>
        <v>-0.66460228462568449</v>
      </c>
      <c r="F932" s="139">
        <f ca="1"/>
        <v>0.61638575278195051</v>
      </c>
    </row>
    <row r="933" spans="5:6" x14ac:dyDescent="0.25">
      <c r="E933" s="138">
        <f ca="1"/>
        <v>-1.0443779085680358</v>
      </c>
      <c r="F933" s="139">
        <f ca="1"/>
        <v>-1.9249219292410291</v>
      </c>
    </row>
    <row r="934" spans="5:6" x14ac:dyDescent="0.25">
      <c r="E934" s="138">
        <f ca="1"/>
        <v>9.4060056599708813E-2</v>
      </c>
      <c r="F934" s="139">
        <f ca="1"/>
        <v>-0.53787287820862872</v>
      </c>
    </row>
    <row r="935" spans="5:6" x14ac:dyDescent="0.25">
      <c r="E935" s="138">
        <f ca="1"/>
        <v>0.35878286861800845</v>
      </c>
      <c r="F935" s="139">
        <f ca="1"/>
        <v>0.77936379777124065</v>
      </c>
    </row>
    <row r="936" spans="5:6" x14ac:dyDescent="0.25">
      <c r="E936" s="138">
        <f ca="1"/>
        <v>-0.26492898054923614</v>
      </c>
      <c r="F936" s="139">
        <f ca="1"/>
        <v>-0.2484384426209271</v>
      </c>
    </row>
    <row r="937" spans="5:6" x14ac:dyDescent="0.25">
      <c r="E937" s="138">
        <f ca="1"/>
        <v>-0.38514411063243742</v>
      </c>
      <c r="F937" s="139">
        <f ca="1"/>
        <v>0.30574671953263721</v>
      </c>
    </row>
    <row r="938" spans="5:6" x14ac:dyDescent="0.25">
      <c r="E938" s="138">
        <f ca="1"/>
        <v>-1.3311135115879917</v>
      </c>
      <c r="F938" s="139">
        <f ca="1"/>
        <v>-1.0832874227608236</v>
      </c>
    </row>
    <row r="939" spans="5:6" x14ac:dyDescent="0.25">
      <c r="E939" s="138">
        <f ca="1"/>
        <v>-0.41593394196892314</v>
      </c>
      <c r="F939" s="139">
        <f ca="1"/>
        <v>1.0805672858900686</v>
      </c>
    </row>
    <row r="940" spans="5:6" x14ac:dyDescent="0.25">
      <c r="E940" s="138">
        <f ca="1"/>
        <v>-0.60348684203378555</v>
      </c>
      <c r="F940" s="139">
        <f ca="1"/>
        <v>-1.3596085000564486</v>
      </c>
    </row>
    <row r="941" spans="5:6" x14ac:dyDescent="0.25">
      <c r="E941" s="138">
        <f ca="1"/>
        <v>-1.6689470167722735</v>
      </c>
      <c r="F941" s="139">
        <f ca="1"/>
        <v>-1.8377234854620852</v>
      </c>
    </row>
    <row r="942" spans="5:6" x14ac:dyDescent="0.25">
      <c r="E942" s="138">
        <f ca="1"/>
        <v>-1.3661753431365495</v>
      </c>
      <c r="F942" s="139">
        <f ca="1"/>
        <v>0.90923226325022921</v>
      </c>
    </row>
    <row r="943" spans="5:6" x14ac:dyDescent="0.25">
      <c r="E943" s="138">
        <f ca="1"/>
        <v>0.11868627205307963</v>
      </c>
      <c r="F943" s="139">
        <f ca="1"/>
        <v>0.25842240441889308</v>
      </c>
    </row>
    <row r="944" spans="5:6" x14ac:dyDescent="0.25">
      <c r="E944" s="138">
        <f ca="1"/>
        <v>1.9830028447579422</v>
      </c>
      <c r="F944" s="139">
        <f ca="1"/>
        <v>0.96148012745357447</v>
      </c>
    </row>
    <row r="945" spans="5:6" x14ac:dyDescent="0.25">
      <c r="E945" s="138">
        <f ca="1"/>
        <v>0.33955965836422591</v>
      </c>
      <c r="F945" s="139">
        <f ca="1"/>
        <v>1.0473030512272796</v>
      </c>
    </row>
    <row r="946" spans="5:6" x14ac:dyDescent="0.25">
      <c r="E946" s="138">
        <f ca="1"/>
        <v>1.2807369108235562</v>
      </c>
      <c r="F946" s="139">
        <f ca="1"/>
        <v>1.3238017935434654</v>
      </c>
    </row>
    <row r="947" spans="5:6" x14ac:dyDescent="0.25">
      <c r="E947" s="138">
        <f ca="1"/>
        <v>0.67495752791104946</v>
      </c>
      <c r="F947" s="139">
        <f ca="1"/>
        <v>0.66762767618718288</v>
      </c>
    </row>
    <row r="948" spans="5:6" x14ac:dyDescent="0.25">
      <c r="E948" s="138">
        <f ca="1"/>
        <v>0.96930704182309846</v>
      </c>
      <c r="F948" s="139">
        <f ca="1"/>
        <v>1.2307811200877095E-2</v>
      </c>
    </row>
    <row r="949" spans="5:6" x14ac:dyDescent="0.25">
      <c r="E949" s="138">
        <f ca="1"/>
        <v>0.22589041703542367</v>
      </c>
      <c r="F949" s="139">
        <f ca="1"/>
        <v>-1.6809184231541124E-2</v>
      </c>
    </row>
    <row r="950" spans="5:6" x14ac:dyDescent="0.25">
      <c r="E950" s="138">
        <f ca="1"/>
        <v>2.0418447029558178</v>
      </c>
      <c r="F950" s="139">
        <f ca="1"/>
        <v>0.54871722567136061</v>
      </c>
    </row>
    <row r="951" spans="5:6" x14ac:dyDescent="0.25">
      <c r="E951" s="138">
        <f ca="1"/>
        <v>1.5282236969986316</v>
      </c>
      <c r="F951" s="139">
        <f ca="1"/>
        <v>0.32682148315005205</v>
      </c>
    </row>
    <row r="952" spans="5:6" x14ac:dyDescent="0.25">
      <c r="E952" s="138">
        <f ca="1"/>
        <v>0.24669680789681875</v>
      </c>
      <c r="F952" s="139">
        <f ca="1"/>
        <v>-0.76350088937204963</v>
      </c>
    </row>
    <row r="953" spans="5:6" x14ac:dyDescent="0.25">
      <c r="E953" s="138">
        <f ca="1"/>
        <v>-0.27601408143542433</v>
      </c>
      <c r="F953" s="139">
        <f ca="1"/>
        <v>-0.28748624238889903</v>
      </c>
    </row>
    <row r="954" spans="5:6" x14ac:dyDescent="0.25">
      <c r="E954" s="138">
        <f ca="1"/>
        <v>0.46725031041465409</v>
      </c>
      <c r="F954" s="139">
        <f ca="1"/>
        <v>-0.22060077442365469</v>
      </c>
    </row>
    <row r="955" spans="5:6" x14ac:dyDescent="0.25">
      <c r="E955" s="138">
        <f ca="1"/>
        <v>0.56515057534851254</v>
      </c>
      <c r="F955" s="139">
        <f ca="1"/>
        <v>0.22885705280342583</v>
      </c>
    </row>
    <row r="956" spans="5:6" x14ac:dyDescent="0.25">
      <c r="E956" s="138">
        <f ca="1"/>
        <v>-0.76669744648645599</v>
      </c>
      <c r="F956" s="139">
        <f ca="1"/>
        <v>-1.302218868967453</v>
      </c>
    </row>
    <row r="957" spans="5:6" x14ac:dyDescent="0.25">
      <c r="E957" s="138">
        <f ca="1"/>
        <v>1.1231540971168574</v>
      </c>
      <c r="F957" s="139">
        <f ca="1"/>
        <v>0.95929831264750343</v>
      </c>
    </row>
    <row r="958" spans="5:6" x14ac:dyDescent="0.25">
      <c r="E958" s="138">
        <f ca="1"/>
        <v>1.4469290359816005</v>
      </c>
      <c r="F958" s="139">
        <f ca="1"/>
        <v>2.3535340129116298</v>
      </c>
    </row>
    <row r="959" spans="5:6" x14ac:dyDescent="0.25">
      <c r="E959" s="138">
        <f ca="1"/>
        <v>-1.778907445979655</v>
      </c>
      <c r="F959" s="139">
        <f ca="1"/>
        <v>-0.42581497806757695</v>
      </c>
    </row>
    <row r="960" spans="5:6" x14ac:dyDescent="0.25">
      <c r="E960" s="138">
        <f ca="1"/>
        <v>-1.7681029579411152</v>
      </c>
      <c r="F960" s="139">
        <f ca="1"/>
        <v>1.9877342608725646E-2</v>
      </c>
    </row>
    <row r="961" spans="5:6" x14ac:dyDescent="0.25">
      <c r="E961" s="138">
        <f ca="1"/>
        <v>0.48864957643417783</v>
      </c>
      <c r="F961" s="139">
        <f ca="1"/>
        <v>-4.5066659867507852E-3</v>
      </c>
    </row>
    <row r="962" spans="5:6" x14ac:dyDescent="0.25">
      <c r="E962" s="138">
        <f ca="1"/>
        <v>0.33750507311236355</v>
      </c>
      <c r="F962" s="139">
        <f ca="1"/>
        <v>-0.10889646325645919</v>
      </c>
    </row>
    <row r="963" spans="5:6" x14ac:dyDescent="0.25">
      <c r="E963" s="138">
        <f ca="1"/>
        <v>-0.31936023861956814</v>
      </c>
      <c r="F963" s="139">
        <f ca="1"/>
        <v>-1.8776710144462527E-2</v>
      </c>
    </row>
    <row r="964" spans="5:6" x14ac:dyDescent="0.25">
      <c r="E964" s="138">
        <f ca="1"/>
        <v>-1.7541072476280659</v>
      </c>
      <c r="F964" s="139">
        <f ca="1"/>
        <v>-0.12596208313222901</v>
      </c>
    </row>
    <row r="965" spans="5:6" x14ac:dyDescent="0.25">
      <c r="E965" s="138">
        <f ca="1"/>
        <v>0.25927991362533931</v>
      </c>
      <c r="F965" s="139">
        <f ca="1"/>
        <v>0.19213930348456204</v>
      </c>
    </row>
    <row r="966" spans="5:6" x14ac:dyDescent="0.25">
      <c r="E966" s="138">
        <f ca="1"/>
        <v>1.9327298541495113</v>
      </c>
      <c r="F966" s="139">
        <f ca="1"/>
        <v>2.0138538698417277</v>
      </c>
    </row>
    <row r="967" spans="5:6" x14ac:dyDescent="0.25">
      <c r="E967" s="138">
        <f ca="1"/>
        <v>0.64351262679725696</v>
      </c>
      <c r="F967" s="139">
        <f ca="1"/>
        <v>0.35771277929199524</v>
      </c>
    </row>
    <row r="968" spans="5:6" x14ac:dyDescent="0.25">
      <c r="E968" s="138">
        <f ca="1"/>
        <v>1.1532688571458041</v>
      </c>
      <c r="F968" s="139">
        <f ca="1"/>
        <v>-1.8143256110990853</v>
      </c>
    </row>
    <row r="969" spans="5:6" x14ac:dyDescent="0.25">
      <c r="E969" s="138">
        <f ca="1"/>
        <v>-1.5142687121399654</v>
      </c>
      <c r="F969" s="139">
        <f ca="1"/>
        <v>-0.99888341956105131</v>
      </c>
    </row>
    <row r="970" spans="5:6" x14ac:dyDescent="0.25">
      <c r="E970" s="138">
        <f ca="1"/>
        <v>9.3657313354139071E-3</v>
      </c>
      <c r="F970" s="139">
        <f ca="1"/>
        <v>6.2606480445846881E-3</v>
      </c>
    </row>
    <row r="971" spans="5:6" x14ac:dyDescent="0.25">
      <c r="E971" s="138">
        <f ca="1"/>
        <v>0.38557483358552824</v>
      </c>
      <c r="F971" s="139">
        <f ca="1"/>
        <v>-1.1538883098057298</v>
      </c>
    </row>
    <row r="972" spans="5:6" x14ac:dyDescent="0.25">
      <c r="E972" s="138">
        <f ca="1"/>
        <v>0.22593533424321491</v>
      </c>
      <c r="F972" s="139">
        <f ca="1"/>
        <v>-1.3041518321915366</v>
      </c>
    </row>
    <row r="973" spans="5:6" x14ac:dyDescent="0.25">
      <c r="E973" s="138">
        <f ca="1"/>
        <v>0.76168351430322701</v>
      </c>
      <c r="F973" s="139">
        <f ca="1"/>
        <v>1.4035080023826385</v>
      </c>
    </row>
    <row r="974" spans="5:6" x14ac:dyDescent="0.25">
      <c r="E974" s="138">
        <f ca="1"/>
        <v>-0.58039105067212826</v>
      </c>
      <c r="F974" s="139">
        <f ca="1"/>
        <v>-0.39522193205552114</v>
      </c>
    </row>
    <row r="975" spans="5:6" x14ac:dyDescent="0.25">
      <c r="E975" s="138">
        <f ca="1"/>
        <v>-1.3181407812017736</v>
      </c>
      <c r="F975" s="139">
        <f ca="1"/>
        <v>-1.7245687166242389</v>
      </c>
    </row>
    <row r="976" spans="5:6" x14ac:dyDescent="0.25">
      <c r="E976" s="138">
        <f ca="1"/>
        <v>-1.0231638950514022</v>
      </c>
      <c r="F976" s="139">
        <f ca="1"/>
        <v>0.24965949648201513</v>
      </c>
    </row>
    <row r="977" spans="5:6" x14ac:dyDescent="0.25">
      <c r="E977" s="138">
        <f ca="1"/>
        <v>-6.7789339578903249E-2</v>
      </c>
      <c r="F977" s="139">
        <f ca="1"/>
        <v>-0.94700536475265829</v>
      </c>
    </row>
    <row r="978" spans="5:6" x14ac:dyDescent="0.25">
      <c r="E978" s="138">
        <f ca="1"/>
        <v>0.95150358888955644</v>
      </c>
      <c r="F978" s="139">
        <f ca="1"/>
        <v>0.95244949694782033</v>
      </c>
    </row>
    <row r="979" spans="5:6" x14ac:dyDescent="0.25">
      <c r="E979" s="138">
        <f ca="1"/>
        <v>0.63059911393088619</v>
      </c>
      <c r="F979" s="139">
        <f ca="1"/>
        <v>0.382668636203292</v>
      </c>
    </row>
    <row r="980" spans="5:6" x14ac:dyDescent="0.25">
      <c r="E980" s="138">
        <f ca="1"/>
        <v>-1.120080058425128</v>
      </c>
      <c r="F980" s="139">
        <f ca="1"/>
        <v>-0.14960897512614979</v>
      </c>
    </row>
    <row r="981" spans="5:6" x14ac:dyDescent="0.25">
      <c r="E981" s="138">
        <f ca="1"/>
        <v>4.6759125972955999E-2</v>
      </c>
      <c r="F981" s="139">
        <f ca="1"/>
        <v>-5.696904162514424E-2</v>
      </c>
    </row>
    <row r="982" spans="5:6" x14ac:dyDescent="0.25">
      <c r="E982" s="138">
        <f ca="1"/>
        <v>-1.1159900985096232</v>
      </c>
      <c r="F982" s="139">
        <f ca="1"/>
        <v>-0.12047010173571632</v>
      </c>
    </row>
    <row r="983" spans="5:6" x14ac:dyDescent="0.25">
      <c r="E983" s="138">
        <f ca="1"/>
        <v>0.68413868864105554</v>
      </c>
      <c r="F983" s="139">
        <f ca="1"/>
        <v>-0.5003489707840949</v>
      </c>
    </row>
    <row r="984" spans="5:6" x14ac:dyDescent="0.25">
      <c r="E984" s="138">
        <f ca="1"/>
        <v>-0.40080738660924131</v>
      </c>
      <c r="F984" s="139">
        <f ca="1"/>
        <v>0.53809411787176487</v>
      </c>
    </row>
    <row r="985" spans="5:6" x14ac:dyDescent="0.25">
      <c r="E985" s="138">
        <f ca="1"/>
        <v>-2.1345196731122989E-4</v>
      </c>
      <c r="F985" s="139">
        <f ca="1"/>
        <v>0.38398688023280592</v>
      </c>
    </row>
    <row r="986" spans="5:6" x14ac:dyDescent="0.25">
      <c r="E986" s="138">
        <f ca="1"/>
        <v>2.2622125708748788</v>
      </c>
      <c r="F986" s="139">
        <f ca="1"/>
        <v>1.7117496008113526</v>
      </c>
    </row>
    <row r="987" spans="5:6" x14ac:dyDescent="0.25">
      <c r="E987" s="138">
        <f ca="1"/>
        <v>0.29203214597627164</v>
      </c>
      <c r="F987" s="139">
        <f ca="1"/>
        <v>-0.1268538863018899</v>
      </c>
    </row>
    <row r="988" spans="5:6" x14ac:dyDescent="0.25">
      <c r="E988" s="138">
        <f ca="1"/>
        <v>-4.1913607793197277E-2</v>
      </c>
      <c r="F988" s="139">
        <f ca="1"/>
        <v>-8.4902347913987791E-2</v>
      </c>
    </row>
    <row r="989" spans="5:6" x14ac:dyDescent="0.25">
      <c r="E989" s="138">
        <f ca="1"/>
        <v>0.47679028465583795</v>
      </c>
      <c r="F989" s="139">
        <f ca="1"/>
        <v>0.44298094673181887</v>
      </c>
    </row>
    <row r="990" spans="5:6" x14ac:dyDescent="0.25">
      <c r="E990" s="138">
        <f ca="1"/>
        <v>-0.50290001122079087</v>
      </c>
      <c r="F990" s="139">
        <f ca="1"/>
        <v>0.37929060940425163</v>
      </c>
    </row>
    <row r="991" spans="5:6" x14ac:dyDescent="0.25">
      <c r="E991" s="138">
        <f ca="1"/>
        <v>1.5502126375389775</v>
      </c>
      <c r="F991" s="139">
        <f ca="1"/>
        <v>1.4850844326096082</v>
      </c>
    </row>
    <row r="992" spans="5:6" x14ac:dyDescent="0.25">
      <c r="E992" s="138">
        <f ca="1"/>
        <v>-0.6742358308147739</v>
      </c>
      <c r="F992" s="139">
        <f ca="1"/>
        <v>-0.7031170984452968</v>
      </c>
    </row>
    <row r="993" spans="5:6" x14ac:dyDescent="0.25">
      <c r="E993" s="138">
        <f ca="1"/>
        <v>-0.31112641316221434</v>
      </c>
      <c r="F993" s="139">
        <f ca="1"/>
        <v>9.1714870281294797E-2</v>
      </c>
    </row>
    <row r="994" spans="5:6" x14ac:dyDescent="0.25">
      <c r="E994" s="138">
        <f ca="1"/>
        <v>0.77732044425776636</v>
      </c>
      <c r="F994" s="139">
        <f ca="1"/>
        <v>-0.65458176145659619</v>
      </c>
    </row>
    <row r="995" spans="5:6" x14ac:dyDescent="0.25">
      <c r="E995" s="138">
        <f ca="1"/>
        <v>3.7062361358497553E-2</v>
      </c>
      <c r="F995" s="139">
        <f ca="1"/>
        <v>1.4701749971175762</v>
      </c>
    </row>
    <row r="996" spans="5:6" x14ac:dyDescent="0.25">
      <c r="E996" s="138">
        <f ca="1"/>
        <v>-1.0528896254639253</v>
      </c>
      <c r="F996" s="139">
        <f ca="1"/>
        <v>-0.47733143421277457</v>
      </c>
    </row>
    <row r="997" spans="5:6" x14ac:dyDescent="0.25">
      <c r="E997" s="138">
        <f ca="1"/>
        <v>1.1429043347470784</v>
      </c>
      <c r="F997" s="139">
        <f ca="1"/>
        <v>1.7579805816383987</v>
      </c>
    </row>
    <row r="998" spans="5:6" x14ac:dyDescent="0.25">
      <c r="E998" s="138">
        <f ca="1"/>
        <v>-0.15490310091825113</v>
      </c>
      <c r="F998" s="139">
        <f ca="1"/>
        <v>0.44487417717625788</v>
      </c>
    </row>
    <row r="999" spans="5:6" x14ac:dyDescent="0.25">
      <c r="E999" s="138">
        <f ca="1"/>
        <v>2.4883574669753692</v>
      </c>
      <c r="F999" s="139">
        <f ca="1"/>
        <v>1.8018586684956188</v>
      </c>
    </row>
    <row r="1000" spans="5:6" x14ac:dyDescent="0.25">
      <c r="E1000" s="138">
        <f ca="1"/>
        <v>1.1173303792085347</v>
      </c>
      <c r="F1000" s="139">
        <f ca="1"/>
        <v>1.4336234482304842</v>
      </c>
    </row>
    <row r="1001" spans="5:6" x14ac:dyDescent="0.25">
      <c r="E1001" s="138">
        <f ca="1"/>
        <v>1.7669560206216963</v>
      </c>
      <c r="F1001" s="139">
        <f ca="1"/>
        <v>1.7396255739815545</v>
      </c>
    </row>
    <row r="1002" spans="5:6" x14ac:dyDescent="0.25">
      <c r="E1002" s="138">
        <f ca="1"/>
        <v>-2.1998169952171409</v>
      </c>
      <c r="F1002" s="139">
        <f ca="1"/>
        <v>-3.3339852212524508</v>
      </c>
    </row>
    <row r="1003" spans="5:6" x14ac:dyDescent="0.25">
      <c r="E1003" s="138">
        <f ca="1"/>
        <v>0.22821491843325686</v>
      </c>
      <c r="F1003" s="139">
        <f ca="1"/>
        <v>-1.2626589576689478</v>
      </c>
    </row>
    <row r="1004" spans="5:6" x14ac:dyDescent="0.25">
      <c r="E1004" s="138">
        <f ca="1"/>
        <v>0.69806845053199618</v>
      </c>
      <c r="F1004" s="139">
        <f ca="1"/>
        <v>-1.4136992272416438</v>
      </c>
    </row>
    <row r="1005" spans="5:6" x14ac:dyDescent="0.25">
      <c r="E1005" s="138">
        <f ca="1"/>
        <v>-0.3541576285259454</v>
      </c>
      <c r="F1005" s="139">
        <f ca="1"/>
        <v>1.2225082181549258</v>
      </c>
    </row>
    <row r="1006" spans="5:6" x14ac:dyDescent="0.25">
      <c r="E1006" s="138">
        <f ca="1"/>
        <v>2.0335284786029693</v>
      </c>
      <c r="F1006" s="139">
        <f ca="1"/>
        <v>0.86122854831880924</v>
      </c>
    </row>
    <row r="1007" spans="5:6" x14ac:dyDescent="0.25">
      <c r="E1007" s="138">
        <f ca="1"/>
        <v>-0.66509513510413576</v>
      </c>
      <c r="F1007" s="139">
        <f ca="1"/>
        <v>0.39760016288803762</v>
      </c>
    </row>
    <row r="1008" spans="5:6" x14ac:dyDescent="0.25">
      <c r="E1008" s="138">
        <f ca="1"/>
        <v>-0.72881213789416555</v>
      </c>
      <c r="F1008" s="139">
        <f ca="1"/>
        <v>-0.99907857173604087</v>
      </c>
    </row>
    <row r="1009" spans="5:6" x14ac:dyDescent="0.25">
      <c r="E1009" s="138">
        <f ca="1"/>
        <v>2.8289924598023791E-2</v>
      </c>
      <c r="F1009" s="139">
        <f ca="1"/>
        <v>0.35047268144541294</v>
      </c>
    </row>
    <row r="1010" spans="5:6" x14ac:dyDescent="0.25">
      <c r="E1010" s="138">
        <f ca="1"/>
        <v>0.64539548267882985</v>
      </c>
      <c r="F1010" s="139">
        <f ca="1"/>
        <v>1.9755747787938427E-3</v>
      </c>
    </row>
    <row r="1011" spans="5:6" x14ac:dyDescent="0.25">
      <c r="E1011" s="138">
        <f ca="1"/>
        <v>8.5112472924015581E-2</v>
      </c>
      <c r="F1011" s="139">
        <f ca="1"/>
        <v>-0.74738058956393727</v>
      </c>
    </row>
    <row r="1012" spans="5:6" x14ac:dyDescent="0.25">
      <c r="E1012" s="138">
        <f ca="1"/>
        <v>0.84267896935954034</v>
      </c>
      <c r="F1012" s="139">
        <f ca="1"/>
        <v>-0.72211598959218137</v>
      </c>
    </row>
    <row r="1013" spans="5:6" x14ac:dyDescent="0.25">
      <c r="E1013" s="138">
        <f ca="1"/>
        <v>0.68929760386056871</v>
      </c>
      <c r="F1013" s="139">
        <f ca="1"/>
        <v>0.10073170694802638</v>
      </c>
    </row>
    <row r="1014" spans="5:6" x14ac:dyDescent="0.25">
      <c r="E1014" s="138">
        <f ca="1"/>
        <v>1.1321780423235346</v>
      </c>
      <c r="F1014" s="139">
        <f ca="1"/>
        <v>1.0816940254081588</v>
      </c>
    </row>
    <row r="1015" spans="5:6" x14ac:dyDescent="0.25">
      <c r="E1015" s="138">
        <f ca="1"/>
        <v>0.62652909585114003</v>
      </c>
      <c r="F1015" s="139">
        <f ca="1"/>
        <v>1.4738569659228484</v>
      </c>
    </row>
    <row r="1016" spans="5:6" x14ac:dyDescent="0.25">
      <c r="E1016" s="138">
        <f ca="1"/>
        <v>0.51306589709082862</v>
      </c>
      <c r="F1016" s="139">
        <f ca="1"/>
        <v>-0.77771859601033266</v>
      </c>
    </row>
    <row r="1017" spans="5:6" x14ac:dyDescent="0.25">
      <c r="E1017" s="138">
        <f ca="1"/>
        <v>-0.18964552163107656</v>
      </c>
      <c r="F1017" s="139">
        <f ca="1"/>
        <v>-0.26405227546656501</v>
      </c>
    </row>
    <row r="1018" spans="5:6" x14ac:dyDescent="0.25">
      <c r="E1018" s="138">
        <f ca="1"/>
        <v>-0.76875289510145228</v>
      </c>
      <c r="F1018" s="139">
        <f ca="1"/>
        <v>-0.3395074829213201</v>
      </c>
    </row>
    <row r="1019" spans="5:6" x14ac:dyDescent="0.25">
      <c r="E1019" s="138">
        <f ca="1"/>
        <v>0.70793696451262678</v>
      </c>
      <c r="F1019" s="139">
        <f ca="1"/>
        <v>1.1213983304431185</v>
      </c>
    </row>
    <row r="1020" spans="5:6" x14ac:dyDescent="0.25">
      <c r="E1020" s="138">
        <f ca="1"/>
        <v>-1.3960032854408593</v>
      </c>
      <c r="F1020" s="139">
        <f ca="1"/>
        <v>0.92553608528290221</v>
      </c>
    </row>
    <row r="1021" spans="5:6" x14ac:dyDescent="0.25">
      <c r="E1021" s="138">
        <f ca="1"/>
        <v>-1.5491067085448353</v>
      </c>
      <c r="F1021" s="139">
        <f ca="1"/>
        <v>-2.7090124091914931</v>
      </c>
    </row>
    <row r="1022" spans="5:6" x14ac:dyDescent="0.25">
      <c r="E1022" s="138">
        <f ca="1"/>
        <v>0.14879171329011839</v>
      </c>
      <c r="F1022" s="139">
        <f ca="1"/>
        <v>1.0107116606679134</v>
      </c>
    </row>
    <row r="1023" spans="5:6" x14ac:dyDescent="0.25">
      <c r="E1023" s="138">
        <f ca="1"/>
        <v>0.35053171503284275</v>
      </c>
      <c r="F1023" s="139">
        <f ca="1"/>
        <v>-0.2684987504374266</v>
      </c>
    </row>
    <row r="1024" spans="5:6" x14ac:dyDescent="0.25">
      <c r="E1024" s="138">
        <f ca="1"/>
        <v>0.14945613610375211</v>
      </c>
      <c r="F1024" s="139">
        <f ca="1"/>
        <v>-1.0903628377157439</v>
      </c>
    </row>
    <row r="1025" spans="5:6" x14ac:dyDescent="0.25">
      <c r="E1025" s="138">
        <f ca="1"/>
        <v>-0.80201950649396447</v>
      </c>
      <c r="F1025" s="139">
        <f ca="1"/>
        <v>-1.2366953716010141</v>
      </c>
    </row>
    <row r="1026" spans="5:6" x14ac:dyDescent="0.25">
      <c r="E1026" s="138">
        <f ca="1"/>
        <v>-0.25423996076315747</v>
      </c>
      <c r="F1026" s="139">
        <f ca="1"/>
        <v>-1.426494048052859</v>
      </c>
    </row>
    <row r="1027" spans="5:6" x14ac:dyDescent="0.25">
      <c r="E1027" s="138">
        <f ca="1"/>
        <v>-1.7759911689892622</v>
      </c>
      <c r="F1027" s="139">
        <f ca="1"/>
        <v>-0.22000611666203151</v>
      </c>
    </row>
    <row r="1028" spans="5:6" x14ac:dyDescent="0.25">
      <c r="E1028" s="138">
        <f ca="1"/>
        <v>0.11548781505500413</v>
      </c>
      <c r="F1028" s="139">
        <f ca="1"/>
        <v>0.22737076760992347</v>
      </c>
    </row>
    <row r="1029" spans="5:6" x14ac:dyDescent="0.25">
      <c r="E1029" s="138">
        <f ca="1"/>
        <v>0.85400309247564354</v>
      </c>
      <c r="F1029" s="139">
        <f ca="1"/>
        <v>1.0655824396157778</v>
      </c>
    </row>
    <row r="1030" spans="5:6" x14ac:dyDescent="0.25">
      <c r="E1030" s="138">
        <f ca="1"/>
        <v>-0.96862847862716228</v>
      </c>
      <c r="F1030" s="139">
        <f ca="1"/>
        <v>-0.50949484591215488</v>
      </c>
    </row>
    <row r="1031" spans="5:6" x14ac:dyDescent="0.25">
      <c r="E1031" s="138">
        <f ca="1"/>
        <v>-0.23549379943611096</v>
      </c>
      <c r="F1031" s="139">
        <f ca="1"/>
        <v>0.23468852281025837</v>
      </c>
    </row>
    <row r="1032" spans="5:6" x14ac:dyDescent="0.25">
      <c r="E1032" s="138">
        <f ca="1"/>
        <v>-0.94087386737967837</v>
      </c>
      <c r="F1032" s="139">
        <f ca="1"/>
        <v>-0.94573493206026626</v>
      </c>
    </row>
    <row r="1033" spans="5:6" x14ac:dyDescent="0.25">
      <c r="E1033" s="138">
        <f ca="1"/>
        <v>1.2657470744069375</v>
      </c>
      <c r="F1033" s="139">
        <f ca="1"/>
        <v>-1.0309263158436361</v>
      </c>
    </row>
    <row r="1034" spans="5:6" x14ac:dyDescent="0.25">
      <c r="E1034" s="138">
        <f ca="1"/>
        <v>0.56741368244107493</v>
      </c>
      <c r="F1034" s="139">
        <f ca="1"/>
        <v>3.514292680607603E-2</v>
      </c>
    </row>
    <row r="1035" spans="5:6" x14ac:dyDescent="0.25">
      <c r="E1035" s="138">
        <f ca="1"/>
        <v>-0.92068016777507278</v>
      </c>
      <c r="F1035" s="139">
        <f ca="1"/>
        <v>-0.18077186644999793</v>
      </c>
    </row>
    <row r="1036" spans="5:6" x14ac:dyDescent="0.25">
      <c r="E1036" s="138">
        <f ca="1"/>
        <v>2.7255409183518378</v>
      </c>
      <c r="F1036" s="139">
        <f ca="1"/>
        <v>2.5418717122416012</v>
      </c>
    </row>
    <row r="1037" spans="5:6" x14ac:dyDescent="0.25">
      <c r="E1037" s="138">
        <f ca="1"/>
        <v>6.0465688385382473E-2</v>
      </c>
      <c r="F1037" s="139">
        <f ca="1"/>
        <v>-0.20092510942400427</v>
      </c>
    </row>
    <row r="1038" spans="5:6" x14ac:dyDescent="0.25">
      <c r="E1038" s="138">
        <f ca="1"/>
        <v>0.84512711038791299</v>
      </c>
      <c r="F1038" s="139">
        <f ca="1"/>
        <v>-0.33283306875655461</v>
      </c>
    </row>
    <row r="1039" spans="5:6" x14ac:dyDescent="0.25">
      <c r="E1039" s="138">
        <f ca="1"/>
        <v>-1.3778856743729531</v>
      </c>
      <c r="F1039" s="139">
        <f ca="1"/>
        <v>-0.87479811778740757</v>
      </c>
    </row>
    <row r="1040" spans="5:6" x14ac:dyDescent="0.25">
      <c r="E1040" s="138">
        <f ca="1"/>
        <v>-0.96966933587626758</v>
      </c>
      <c r="F1040" s="139">
        <f ca="1"/>
        <v>0.49793263945097921</v>
      </c>
    </row>
    <row r="1041" spans="5:6" x14ac:dyDescent="0.25">
      <c r="E1041" s="138">
        <f ca="1"/>
        <v>-0.47619708070716682</v>
      </c>
      <c r="F1041" s="139">
        <f ca="1"/>
        <v>0.46145662846578622</v>
      </c>
    </row>
    <row r="1042" spans="5:6" x14ac:dyDescent="0.25">
      <c r="E1042" s="138">
        <f ca="1"/>
        <v>0.75183520337339038</v>
      </c>
      <c r="F1042" s="139">
        <f ca="1"/>
        <v>1.7306750277955918</v>
      </c>
    </row>
    <row r="1043" spans="5:6" x14ac:dyDescent="0.25">
      <c r="E1043" s="138">
        <f ca="1"/>
        <v>-0.30678695498986031</v>
      </c>
      <c r="F1043" s="139">
        <f ca="1"/>
        <v>0.15168929963534566</v>
      </c>
    </row>
    <row r="1044" spans="5:6" x14ac:dyDescent="0.25">
      <c r="E1044" s="138">
        <f ca="1"/>
        <v>-0.55217072252273591</v>
      </c>
      <c r="F1044" s="139">
        <f ca="1"/>
        <v>0.86063028878541303</v>
      </c>
    </row>
    <row r="1045" spans="5:6" x14ac:dyDescent="0.25">
      <c r="E1045" s="138">
        <f ca="1"/>
        <v>-0.39979936718423686</v>
      </c>
      <c r="F1045" s="139">
        <f ca="1"/>
        <v>-0.71370653176161847</v>
      </c>
    </row>
    <row r="1046" spans="5:6" x14ac:dyDescent="0.25">
      <c r="E1046" s="138">
        <f ca="1"/>
        <v>1.4573738048953857</v>
      </c>
      <c r="F1046" s="139">
        <f ca="1"/>
        <v>0.42759069579865466</v>
      </c>
    </row>
    <row r="1047" spans="5:6" x14ac:dyDescent="0.25">
      <c r="E1047" s="138">
        <f ca="1"/>
        <v>-1.0077286941559815</v>
      </c>
      <c r="F1047" s="139">
        <f ca="1"/>
        <v>-1.3173989197230505</v>
      </c>
    </row>
    <row r="1048" spans="5:6" x14ac:dyDescent="0.25">
      <c r="E1048" s="138">
        <f ca="1"/>
        <v>-6.766777143905793E-2</v>
      </c>
      <c r="F1048" s="139">
        <f ca="1"/>
        <v>-0.3551134334389085</v>
      </c>
    </row>
    <row r="1049" spans="5:6" x14ac:dyDescent="0.25">
      <c r="E1049" s="138">
        <f ca="1"/>
        <v>-0.30992035202386808</v>
      </c>
      <c r="F1049" s="139">
        <f ca="1"/>
        <v>-0.43600708653395448</v>
      </c>
    </row>
    <row r="1050" spans="5:6" x14ac:dyDescent="0.25">
      <c r="E1050" s="138">
        <f ca="1"/>
        <v>-0.25847058562660241</v>
      </c>
      <c r="F1050" s="139">
        <f ca="1"/>
        <v>1.1322778773929314</v>
      </c>
    </row>
    <row r="1051" spans="5:6" x14ac:dyDescent="0.25">
      <c r="E1051" s="138">
        <f ca="1"/>
        <v>-1.0108143407609758</v>
      </c>
      <c r="F1051" s="139">
        <f ca="1"/>
        <v>-1.292324703788938</v>
      </c>
    </row>
    <row r="1052" spans="5:6" x14ac:dyDescent="0.25">
      <c r="E1052" s="138">
        <f ca="1"/>
        <v>-1.2841231577281325</v>
      </c>
      <c r="F1052" s="139">
        <f ca="1"/>
        <v>0.57619736820850176</v>
      </c>
    </row>
    <row r="1053" spans="5:6" x14ac:dyDescent="0.25">
      <c r="E1053" s="138">
        <f ca="1"/>
        <v>0.86476300443060339</v>
      </c>
      <c r="F1053" s="139">
        <f ca="1"/>
        <v>0.56446788461309094</v>
      </c>
    </row>
    <row r="1054" spans="5:6" x14ac:dyDescent="0.25">
      <c r="E1054" s="138">
        <f ca="1"/>
        <v>1.2637197782937051E-2</v>
      </c>
      <c r="F1054" s="139">
        <f ca="1"/>
        <v>-0.34806667667801394</v>
      </c>
    </row>
    <row r="1055" spans="5:6" x14ac:dyDescent="0.25">
      <c r="E1055" s="138">
        <f ca="1"/>
        <v>0.96996681484234981</v>
      </c>
      <c r="F1055" s="139">
        <f ca="1"/>
        <v>1.0834011057858703</v>
      </c>
    </row>
    <row r="1056" spans="5:6" x14ac:dyDescent="0.25">
      <c r="E1056" s="138">
        <f ca="1"/>
        <v>-1.352881684039861</v>
      </c>
      <c r="F1056" s="139">
        <f ca="1"/>
        <v>-1.5397719565325469</v>
      </c>
    </row>
    <row r="1057" spans="5:6" x14ac:dyDescent="0.25">
      <c r="E1057" s="138">
        <f ca="1"/>
        <v>0.54746257292755396</v>
      </c>
      <c r="F1057" s="139">
        <f ca="1"/>
        <v>-0.36903819128092197</v>
      </c>
    </row>
    <row r="1058" spans="5:6" x14ac:dyDescent="0.25">
      <c r="E1058" s="138">
        <f ca="1"/>
        <v>0.4810057334739149</v>
      </c>
      <c r="F1058" s="139">
        <f ca="1"/>
        <v>0.64308549903094137</v>
      </c>
    </row>
    <row r="1059" spans="5:6" x14ac:dyDescent="0.25">
      <c r="E1059" s="138">
        <f ca="1"/>
        <v>1.2543119877268241</v>
      </c>
      <c r="F1059" s="139">
        <f ca="1"/>
        <v>1.0828506478482536</v>
      </c>
    </row>
    <row r="1060" spans="5:6" x14ac:dyDescent="0.25">
      <c r="E1060" s="138">
        <f ca="1"/>
        <v>-1.0907065635271749</v>
      </c>
      <c r="F1060" s="139">
        <f ca="1"/>
        <v>-0.68738371248069607</v>
      </c>
    </row>
    <row r="1061" spans="5:6" x14ac:dyDescent="0.25">
      <c r="E1061" s="138">
        <f ca="1"/>
        <v>-0.57586171744543591</v>
      </c>
      <c r="F1061" s="139">
        <f ca="1"/>
        <v>-0.42964846395570255</v>
      </c>
    </row>
    <row r="1062" spans="5:6" x14ac:dyDescent="0.25">
      <c r="E1062" s="138">
        <f ca="1"/>
        <v>-7.5107117368445039E-2</v>
      </c>
      <c r="F1062" s="139">
        <f ca="1"/>
        <v>3.395100060958612E-2</v>
      </c>
    </row>
    <row r="1063" spans="5:6" x14ac:dyDescent="0.25">
      <c r="E1063" s="138">
        <f ca="1"/>
        <v>0.67243416477857554</v>
      </c>
      <c r="F1063" s="139">
        <f ca="1"/>
        <v>0.52204596706434647</v>
      </c>
    </row>
    <row r="1064" spans="5:6" x14ac:dyDescent="0.25">
      <c r="E1064" s="138">
        <f ca="1"/>
        <v>-0.68233077081513216</v>
      </c>
      <c r="F1064" s="139">
        <f ca="1"/>
        <v>4.689874187884302E-3</v>
      </c>
    </row>
    <row r="1065" spans="5:6" x14ac:dyDescent="0.25">
      <c r="E1065" s="138">
        <f ca="1"/>
        <v>0.202829617628388</v>
      </c>
      <c r="F1065" s="139">
        <f ca="1"/>
        <v>0.39890092425258605</v>
      </c>
    </row>
    <row r="1066" spans="5:6" x14ac:dyDescent="0.25">
      <c r="E1066" s="138">
        <f ca="1"/>
        <v>3.2891605692585819</v>
      </c>
      <c r="F1066" s="139">
        <f ca="1"/>
        <v>3.0543292412093006</v>
      </c>
    </row>
    <row r="1067" spans="5:6" x14ac:dyDescent="0.25">
      <c r="E1067" s="138">
        <f ca="1"/>
        <v>0.26802025360337417</v>
      </c>
      <c r="F1067" s="139">
        <f ca="1"/>
        <v>-1.5013334732750012</v>
      </c>
    </row>
    <row r="1068" spans="5:6" x14ac:dyDescent="0.25">
      <c r="E1068" s="138">
        <f ca="1"/>
        <v>-0.60530746193241947</v>
      </c>
      <c r="F1068" s="139">
        <f ca="1"/>
        <v>-0.35467989668212541</v>
      </c>
    </row>
    <row r="1069" spans="5:6" x14ac:dyDescent="0.25">
      <c r="E1069" s="138">
        <f ca="1"/>
        <v>1.6521590511209454</v>
      </c>
      <c r="F1069" s="139">
        <f ca="1"/>
        <v>0.62284189125775313</v>
      </c>
    </row>
    <row r="1070" spans="5:6" x14ac:dyDescent="0.25">
      <c r="E1070" s="138">
        <f ca="1"/>
        <v>0.21512810827851075</v>
      </c>
      <c r="F1070" s="139">
        <f ca="1"/>
        <v>-5.5159522106398517E-2</v>
      </c>
    </row>
    <row r="1071" spans="5:6" x14ac:dyDescent="0.25">
      <c r="E1071" s="138">
        <f ca="1"/>
        <v>-1.7593663378135522</v>
      </c>
      <c r="F1071" s="139">
        <f ca="1"/>
        <v>-1.1892297791500146</v>
      </c>
    </row>
    <row r="1072" spans="5:6" x14ac:dyDescent="0.25">
      <c r="E1072" s="138">
        <f ca="1"/>
        <v>-2.1860931990288535</v>
      </c>
      <c r="F1072" s="139">
        <f ca="1"/>
        <v>-1.6695954241530404</v>
      </c>
    </row>
    <row r="1073" spans="5:6" x14ac:dyDescent="0.25">
      <c r="E1073" s="138">
        <f ca="1"/>
        <v>-1.1467559763061839</v>
      </c>
      <c r="F1073" s="139">
        <f ca="1"/>
        <v>-0.9785816400230678</v>
      </c>
    </row>
    <row r="1074" spans="5:6" x14ac:dyDescent="0.25">
      <c r="E1074" s="138">
        <f ca="1"/>
        <v>0.28218677824140337</v>
      </c>
      <c r="F1074" s="139">
        <f ca="1"/>
        <v>6.6597956280619069E-2</v>
      </c>
    </row>
    <row r="1075" spans="5:6" x14ac:dyDescent="0.25">
      <c r="E1075" s="138">
        <f ca="1"/>
        <v>-0.67588357626587392</v>
      </c>
      <c r="F1075" s="139">
        <f ca="1"/>
        <v>-0.56754009203020228</v>
      </c>
    </row>
    <row r="1076" spans="5:6" x14ac:dyDescent="0.25">
      <c r="E1076" s="138">
        <f ca="1"/>
        <v>2.739528079159069E-2</v>
      </c>
      <c r="F1076" s="139">
        <f ca="1"/>
        <v>0.15717705740627533</v>
      </c>
    </row>
    <row r="1077" spans="5:6" x14ac:dyDescent="0.25">
      <c r="E1077" s="138">
        <f ca="1"/>
        <v>-0.46053942671286535</v>
      </c>
      <c r="F1077" s="139">
        <f ca="1"/>
        <v>-0.15515739831031372</v>
      </c>
    </row>
    <row r="1078" spans="5:6" x14ac:dyDescent="0.25">
      <c r="E1078" s="138">
        <f ca="1"/>
        <v>-4.312872449996006E-2</v>
      </c>
      <c r="F1078" s="139">
        <f ca="1"/>
        <v>8.6737966598677239E-3</v>
      </c>
    </row>
    <row r="1079" spans="5:6" x14ac:dyDescent="0.25">
      <c r="E1079" s="138">
        <f ca="1"/>
        <v>-0.44929716110418394</v>
      </c>
      <c r="F1079" s="139">
        <f ca="1"/>
        <v>-1.7587138083726293</v>
      </c>
    </row>
    <row r="1080" spans="5:6" x14ac:dyDescent="0.25">
      <c r="E1080" s="138">
        <f ca="1"/>
        <v>-0.24599293287787138</v>
      </c>
      <c r="F1080" s="139">
        <f ca="1"/>
        <v>-1.0888107402002967</v>
      </c>
    </row>
    <row r="1081" spans="5:6" x14ac:dyDescent="0.25">
      <c r="E1081" s="138">
        <f ca="1"/>
        <v>8.19582857885435E-2</v>
      </c>
      <c r="F1081" s="139">
        <f ca="1"/>
        <v>0.46719749540315297</v>
      </c>
    </row>
    <row r="1082" spans="5:6" x14ac:dyDescent="0.25">
      <c r="E1082" s="138">
        <f ca="1"/>
        <v>1.2217496339352116</v>
      </c>
      <c r="F1082" s="139">
        <f ca="1"/>
        <v>1.6275531049253971</v>
      </c>
    </row>
    <row r="1083" spans="5:6" x14ac:dyDescent="0.25">
      <c r="E1083" s="138">
        <f ca="1"/>
        <v>0.19611957355647883</v>
      </c>
      <c r="F1083" s="139">
        <f ca="1"/>
        <v>-0.45968861582565396</v>
      </c>
    </row>
    <row r="1084" spans="5:6" x14ac:dyDescent="0.25">
      <c r="E1084" s="138">
        <f ca="1"/>
        <v>-0.90284326312837548</v>
      </c>
      <c r="F1084" s="139">
        <f ca="1"/>
        <v>-0.83406739415465037</v>
      </c>
    </row>
    <row r="1085" spans="5:6" x14ac:dyDescent="0.25">
      <c r="E1085" s="138">
        <f ca="1"/>
        <v>-0.93512874075065122</v>
      </c>
      <c r="F1085" s="139">
        <f ca="1"/>
        <v>-0.61793189198524423</v>
      </c>
    </row>
    <row r="1086" spans="5:6" x14ac:dyDescent="0.25">
      <c r="E1086" s="138">
        <f ca="1"/>
        <v>0.50605573730671227</v>
      </c>
      <c r="F1086" s="139">
        <f ca="1"/>
        <v>-2.2963588369956875</v>
      </c>
    </row>
    <row r="1087" spans="5:6" x14ac:dyDescent="0.25">
      <c r="E1087" s="138">
        <f ca="1"/>
        <v>-0.73663363212446187</v>
      </c>
      <c r="F1087" s="139">
        <f ca="1"/>
        <v>-1.6476277736914333</v>
      </c>
    </row>
    <row r="1088" spans="5:6" x14ac:dyDescent="0.25">
      <c r="E1088" s="138">
        <f ca="1"/>
        <v>0.76414804306847606</v>
      </c>
      <c r="F1088" s="139">
        <f ca="1"/>
        <v>0.16141686581930406</v>
      </c>
    </row>
    <row r="1089" spans="5:6" x14ac:dyDescent="0.25">
      <c r="E1089" s="138">
        <f ca="1"/>
        <v>-0.37525104438083684</v>
      </c>
      <c r="F1089" s="139">
        <f ca="1"/>
        <v>0.50036215134439654</v>
      </c>
    </row>
    <row r="1090" spans="5:6" x14ac:dyDescent="0.25">
      <c r="E1090" s="138">
        <f ca="1"/>
        <v>0.62607250440698947</v>
      </c>
      <c r="F1090" s="139">
        <f ca="1"/>
        <v>-0.94026478448405382</v>
      </c>
    </row>
    <row r="1091" spans="5:6" x14ac:dyDescent="0.25">
      <c r="E1091" s="138">
        <f ca="1"/>
        <v>1.8871225589305352</v>
      </c>
      <c r="F1091" s="139">
        <f ca="1"/>
        <v>6.470011817065302E-3</v>
      </c>
    </row>
    <row r="1092" spans="5:6" x14ac:dyDescent="0.25">
      <c r="E1092" s="138">
        <f ca="1"/>
        <v>0.27138443215840408</v>
      </c>
      <c r="F1092" s="139">
        <f ca="1"/>
        <v>-1.3664982207844822</v>
      </c>
    </row>
    <row r="1093" spans="5:6" x14ac:dyDescent="0.25">
      <c r="E1093" s="138">
        <f ca="1"/>
        <v>0.17601001469129171</v>
      </c>
      <c r="F1093" s="139">
        <f ca="1"/>
        <v>-0.72304768151381649</v>
      </c>
    </row>
    <row r="1094" spans="5:6" x14ac:dyDescent="0.25">
      <c r="E1094" s="138">
        <f ca="1"/>
        <v>0.525564815793514</v>
      </c>
      <c r="F1094" s="139">
        <f ca="1"/>
        <v>8.0219357479038939E-2</v>
      </c>
    </row>
    <row r="1095" spans="5:6" x14ac:dyDescent="0.25">
      <c r="E1095" s="138">
        <f ca="1"/>
        <v>-1.6245675568350666</v>
      </c>
      <c r="F1095" s="139">
        <f ca="1"/>
        <v>-0.67105364525878763</v>
      </c>
    </row>
    <row r="1096" spans="5:6" x14ac:dyDescent="0.25">
      <c r="E1096" s="138">
        <f ca="1"/>
        <v>-0.70391216617415986</v>
      </c>
      <c r="F1096" s="139">
        <f ca="1"/>
        <v>0.22746050811041729</v>
      </c>
    </row>
    <row r="1097" spans="5:6" x14ac:dyDescent="0.25">
      <c r="E1097" s="138">
        <f ca="1"/>
        <v>1.2063921492957652</v>
      </c>
      <c r="F1097" s="139">
        <f ca="1"/>
        <v>0.43658048517376324</v>
      </c>
    </row>
    <row r="1098" spans="5:6" x14ac:dyDescent="0.25">
      <c r="E1098" s="138">
        <f ca="1"/>
        <v>-1.3713741630261815</v>
      </c>
      <c r="F1098" s="139">
        <f ca="1"/>
        <v>4.9346821716400258E-2</v>
      </c>
    </row>
    <row r="1099" spans="5:6" x14ac:dyDescent="0.25">
      <c r="E1099" s="140">
        <f ca="1"/>
        <v>1.3595403253334262</v>
      </c>
      <c r="F1099" s="141">
        <f ca="1"/>
        <v>-1.5062132644018491</v>
      </c>
    </row>
  </sheetData>
  <conditionalFormatting sqref="E7:E8 I103 J100">
    <cfRule type="cellIs" dxfId="338" priority="106" stopIfTrue="1" operator="equal">
      <formula>"ERROR"</formula>
    </cfRule>
    <cfRule type="cellIs" dxfId="337" priority="107" stopIfTrue="1" operator="equal">
      <formula>"OK"</formula>
    </cfRule>
    <cfRule type="cellIs" dxfId="336" priority="108" stopIfTrue="1" operator="equal">
      <formula>"WARNING"</formula>
    </cfRule>
  </conditionalFormatting>
  <conditionalFormatting sqref="C4">
    <cfRule type="cellIs" dxfId="335" priority="103" stopIfTrue="1" operator="equal">
      <formula>"ERROR"</formula>
    </cfRule>
    <cfRule type="cellIs" dxfId="334" priority="104" stopIfTrue="1" operator="equal">
      <formula>"OK"</formula>
    </cfRule>
    <cfRule type="cellIs" dxfId="333" priority="105" stopIfTrue="1" operator="equal">
      <formula>"WARNING"</formula>
    </cfRule>
  </conditionalFormatting>
  <conditionalFormatting sqref="C15">
    <cfRule type="cellIs" dxfId="332" priority="100" stopIfTrue="1" operator="equal">
      <formula>"ERROR"</formula>
    </cfRule>
  </conditionalFormatting>
  <conditionalFormatting sqref="C15">
    <cfRule type="cellIs" dxfId="331" priority="101" stopIfTrue="1" operator="equal">
      <formula>"OK"</formula>
    </cfRule>
  </conditionalFormatting>
  <conditionalFormatting sqref="C15">
    <cfRule type="cellIs" dxfId="330" priority="102" stopIfTrue="1" operator="equal">
      <formula>"WARNING"</formula>
    </cfRule>
  </conditionalFormatting>
  <conditionalFormatting sqref="L20:N22">
    <cfRule type="cellIs" dxfId="329" priority="109" stopIfTrue="1" operator="equal">
      <formula>"ERROR"</formula>
    </cfRule>
    <cfRule type="cellIs" dxfId="328" priority="110" stopIfTrue="1" operator="equal">
      <formula>"OK"</formula>
    </cfRule>
    <cfRule type="cellIs" dxfId="327" priority="111" stopIfTrue="1" operator="equal">
      <formula>"WARNING"</formula>
    </cfRule>
  </conditionalFormatting>
  <conditionalFormatting sqref="E9">
    <cfRule type="cellIs" dxfId="326" priority="61" stopIfTrue="1" operator="equal">
      <formula>"ERROR"</formula>
    </cfRule>
    <cfRule type="cellIs" dxfId="325" priority="62" stopIfTrue="1" operator="equal">
      <formula>"OK"</formula>
    </cfRule>
    <cfRule type="cellIs" dxfId="324" priority="63" stopIfTrue="1" operator="equal">
      <formula>"WARNING"</formula>
    </cfRule>
  </conditionalFormatting>
  <conditionalFormatting sqref="Z20">
    <cfRule type="cellIs" dxfId="323" priority="58" stopIfTrue="1" operator="equal">
      <formula>"ERROR"</formula>
    </cfRule>
    <cfRule type="cellIs" dxfId="322" priority="59" stopIfTrue="1" operator="equal">
      <formula>"OK"</formula>
    </cfRule>
    <cfRule type="cellIs" dxfId="321" priority="60" stopIfTrue="1" operator="equal">
      <formula>"WARNING"</formula>
    </cfRule>
  </conditionalFormatting>
  <conditionalFormatting sqref="AL20">
    <cfRule type="cellIs" dxfId="320" priority="55" stopIfTrue="1" operator="equal">
      <formula>"ERROR"</formula>
    </cfRule>
    <cfRule type="cellIs" dxfId="319" priority="56" stopIfTrue="1" operator="equal">
      <formula>"OK"</formula>
    </cfRule>
    <cfRule type="cellIs" dxfId="318" priority="57" stopIfTrue="1" operator="equal">
      <formula>"WARNING"</formula>
    </cfRule>
  </conditionalFormatting>
  <conditionalFormatting sqref="AX20">
    <cfRule type="cellIs" dxfId="317" priority="52" stopIfTrue="1" operator="equal">
      <formula>"ERROR"</formula>
    </cfRule>
    <cfRule type="cellIs" dxfId="316" priority="53" stopIfTrue="1" operator="equal">
      <formula>"OK"</formula>
    </cfRule>
    <cfRule type="cellIs" dxfId="315" priority="54" stopIfTrue="1" operator="equal">
      <formula>"WARNING"</formula>
    </cfRule>
  </conditionalFormatting>
  <conditionalFormatting sqref="C28">
    <cfRule type="cellIs" dxfId="314" priority="46" stopIfTrue="1" operator="equal">
      <formula>"ERROR"</formula>
    </cfRule>
  </conditionalFormatting>
  <conditionalFormatting sqref="C28">
    <cfRule type="cellIs" dxfId="313" priority="47" stopIfTrue="1" operator="equal">
      <formula>"OK"</formula>
    </cfRule>
  </conditionalFormatting>
  <conditionalFormatting sqref="C28">
    <cfRule type="cellIs" dxfId="312" priority="48" stopIfTrue="1" operator="equal">
      <formula>"WARNING"</formula>
    </cfRule>
  </conditionalFormatting>
  <conditionalFormatting sqref="L34:M35">
    <cfRule type="cellIs" dxfId="311" priority="49" stopIfTrue="1" operator="equal">
      <formula>"ERROR"</formula>
    </cfRule>
    <cfRule type="cellIs" dxfId="310" priority="50" stopIfTrue="1" operator="equal">
      <formula>"OK"</formula>
    </cfRule>
    <cfRule type="cellIs" dxfId="309" priority="51" stopIfTrue="1" operator="equal">
      <formula>"WARNING"</formula>
    </cfRule>
  </conditionalFormatting>
  <conditionalFormatting sqref="AB34:AD36">
    <cfRule type="cellIs" dxfId="308" priority="34" stopIfTrue="1" operator="equal">
      <formula>"ERROR"</formula>
    </cfRule>
    <cfRule type="cellIs" dxfId="307" priority="35" stopIfTrue="1" operator="equal">
      <formula>"OK"</formula>
    </cfRule>
    <cfRule type="cellIs" dxfId="306" priority="36" stopIfTrue="1" operator="equal">
      <formula>"WARNING"</formula>
    </cfRule>
  </conditionalFormatting>
  <conditionalFormatting sqref="C44">
    <cfRule type="cellIs" dxfId="305" priority="31" stopIfTrue="1" operator="equal">
      <formula>"ERROR"</formula>
    </cfRule>
  </conditionalFormatting>
  <conditionalFormatting sqref="C44">
    <cfRule type="cellIs" dxfId="304" priority="32" stopIfTrue="1" operator="equal">
      <formula>"OK"</formula>
    </cfRule>
  </conditionalFormatting>
  <conditionalFormatting sqref="C44">
    <cfRule type="cellIs" dxfId="303" priority="33" stopIfTrue="1" operator="equal">
      <formula>"WARNING"</formula>
    </cfRule>
  </conditionalFormatting>
  <conditionalFormatting sqref="J53:K53">
    <cfRule type="cellIs" dxfId="302" priority="28" stopIfTrue="1" operator="equal">
      <formula>"ERROR"</formula>
    </cfRule>
    <cfRule type="cellIs" dxfId="301" priority="29" stopIfTrue="1" operator="equal">
      <formula>"OK"</formula>
    </cfRule>
    <cfRule type="cellIs" dxfId="300" priority="30" stopIfTrue="1" operator="equal">
      <formula>"WARNING"</formula>
    </cfRule>
  </conditionalFormatting>
  <conditionalFormatting sqref="S53:T53">
    <cfRule type="cellIs" dxfId="299" priority="25" stopIfTrue="1" operator="equal">
      <formula>"ERROR"</formula>
    </cfRule>
    <cfRule type="cellIs" dxfId="298" priority="26" stopIfTrue="1" operator="equal">
      <formula>"OK"</formula>
    </cfRule>
    <cfRule type="cellIs" dxfId="297" priority="27" stopIfTrue="1" operator="equal">
      <formula>"WARNING"</formula>
    </cfRule>
  </conditionalFormatting>
  <conditionalFormatting sqref="AD53:AE53">
    <cfRule type="cellIs" dxfId="296" priority="16" stopIfTrue="1" operator="equal">
      <formula>"ERROR"</formula>
    </cfRule>
    <cfRule type="cellIs" dxfId="295" priority="17" stopIfTrue="1" operator="equal">
      <formula>"OK"</formula>
    </cfRule>
    <cfRule type="cellIs" dxfId="294" priority="18" stopIfTrue="1" operator="equal">
      <formula>"WARNING"</formula>
    </cfRule>
  </conditionalFormatting>
  <conditionalFormatting sqref="C95">
    <cfRule type="cellIs" dxfId="293" priority="13" stopIfTrue="1" operator="equal">
      <formula>"ERROR"</formula>
    </cfRule>
  </conditionalFormatting>
  <conditionalFormatting sqref="C95">
    <cfRule type="cellIs" dxfId="292" priority="14" stopIfTrue="1" operator="equal">
      <formula>"OK"</formula>
    </cfRule>
  </conditionalFormatting>
  <conditionalFormatting sqref="C95">
    <cfRule type="cellIs" dxfId="291" priority="15" stopIfTrue="1" operator="equal">
      <formula>"WARNING"</formula>
    </cfRule>
  </conditionalFormatting>
  <conditionalFormatting sqref="S103 U100">
    <cfRule type="cellIs" dxfId="290" priority="7" stopIfTrue="1" operator="equal">
      <formula>"ERROR"</formula>
    </cfRule>
    <cfRule type="cellIs" dxfId="289" priority="8" stopIfTrue="1" operator="equal">
      <formula>"OK"</formula>
    </cfRule>
    <cfRule type="cellIs" dxfId="288" priority="9" stopIfTrue="1" operator="equal">
      <formula>"WARNING"</formula>
    </cfRule>
  </conditionalFormatting>
  <conditionalFormatting sqref="E10">
    <cfRule type="cellIs" dxfId="287" priority="4" stopIfTrue="1" operator="equal">
      <formula>"ERROR"</formula>
    </cfRule>
    <cfRule type="cellIs" dxfId="286" priority="5" stopIfTrue="1" operator="equal">
      <formula>"OK"</formula>
    </cfRule>
    <cfRule type="cellIs" dxfId="285" priority="6" stopIfTrue="1" operator="equal">
      <formula>"WARNING"</formula>
    </cfRule>
  </conditionalFormatting>
  <conditionalFormatting sqref="AD103 AJ100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413</v>
      </c>
    </row>
    <row r="2" spans="1:62" ht="26.25" x14ac:dyDescent="0.4">
      <c r="B2" s="2" t="s">
        <v>418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419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420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419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455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459</v>
      </c>
      <c r="M15" s="357"/>
      <c r="N15" s="357"/>
      <c r="O15" s="357"/>
      <c r="P15" s="357"/>
      <c r="Q15" s="357"/>
      <c r="R15" s="467"/>
      <c r="S15" s="4" t="s">
        <v>463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451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447</v>
      </c>
      <c r="C18" s="137" t="s">
        <v>456</v>
      </c>
      <c r="D18" s="348"/>
      <c r="E18" s="136" t="s">
        <v>452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447</v>
      </c>
      <c r="M18" s="137" t="s">
        <v>442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460</v>
      </c>
      <c r="Q18" s="388" t="str" cm="1">
        <f t="array" ref="Q18">_xll.d.TestUtils_Equal(O18,P18)</f>
        <v>Ok</v>
      </c>
      <c r="R18" s="467"/>
      <c r="S18" s="497" t="s">
        <v>447</v>
      </c>
      <c r="T18" s="137" t="s">
        <v>456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485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454</v>
      </c>
      <c r="C19" s="139" t="s">
        <v>457</v>
      </c>
      <c r="D19" s="348"/>
      <c r="E19" s="140" t="s">
        <v>453</v>
      </c>
      <c r="F19" s="141">
        <f>F18-C25*SQRT(C24)</f>
        <v>0.29817029082404245</v>
      </c>
      <c r="J19" s="467"/>
      <c r="K19" s="467"/>
      <c r="L19" s="498" t="s">
        <v>454</v>
      </c>
      <c r="M19" s="139" t="s">
        <v>457</v>
      </c>
      <c r="N19" s="348"/>
      <c r="O19" s="495"/>
      <c r="P19" s="495"/>
      <c r="Q19" s="495"/>
      <c r="R19" s="467"/>
      <c r="S19" s="498" t="s">
        <v>454</v>
      </c>
      <c r="T19" s="139" t="s">
        <v>442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448</v>
      </c>
      <c r="C20" s="139">
        <v>120</v>
      </c>
      <c r="D20" s="348"/>
      <c r="J20" s="467"/>
      <c r="K20" s="467"/>
      <c r="L20" s="498" t="s">
        <v>448</v>
      </c>
      <c r="M20" s="139">
        <v>120</v>
      </c>
      <c r="N20" s="348"/>
      <c r="O20" s="495"/>
      <c r="P20" s="495"/>
      <c r="Q20" s="495"/>
      <c r="R20" s="467"/>
      <c r="S20" s="498" t="s">
        <v>448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449</v>
      </c>
      <c r="C21" s="139">
        <v>100</v>
      </c>
      <c r="D21" s="348"/>
      <c r="E21" s="348"/>
      <c r="F21" s="348"/>
      <c r="G21" s="349"/>
      <c r="L21" s="498" t="s">
        <v>449</v>
      </c>
      <c r="M21" s="139">
        <v>100</v>
      </c>
      <c r="N21" s="348"/>
      <c r="O21" s="495"/>
      <c r="P21" s="495"/>
      <c r="Q21" s="495"/>
      <c r="S21" s="498" t="s">
        <v>449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462</v>
      </c>
      <c r="C22" s="139">
        <v>0.1</v>
      </c>
      <c r="D22" s="348"/>
      <c r="E22" s="348"/>
      <c r="F22" s="348"/>
      <c r="G22" s="349"/>
      <c r="L22" s="498" t="s">
        <v>462</v>
      </c>
      <c r="M22" s="139">
        <v>0.1</v>
      </c>
      <c r="N22" s="348"/>
      <c r="O22" s="495"/>
      <c r="P22" s="495"/>
      <c r="Q22" s="495"/>
      <c r="S22" s="498" t="s">
        <v>462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461</v>
      </c>
      <c r="C23" s="139">
        <v>0.03</v>
      </c>
      <c r="D23" s="348"/>
      <c r="E23" s="348"/>
      <c r="F23" s="348"/>
      <c r="G23" s="349"/>
      <c r="L23" s="498" t="s">
        <v>461</v>
      </c>
      <c r="M23" s="139">
        <v>0.03</v>
      </c>
      <c r="N23" s="348"/>
      <c r="O23" s="495"/>
      <c r="P23" s="495"/>
      <c r="Q23" s="495"/>
      <c r="S23" s="498" t="s">
        <v>461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450</v>
      </c>
      <c r="C24" s="139">
        <v>4.5199999999999996</v>
      </c>
      <c r="D24" s="348"/>
      <c r="E24" s="348"/>
      <c r="F24" s="348"/>
      <c r="G24" s="349"/>
      <c r="L24" s="498" t="s">
        <v>450</v>
      </c>
      <c r="M24" s="139">
        <v>4.5199999999999996</v>
      </c>
      <c r="N24" s="348"/>
      <c r="O24" s="495"/>
      <c r="P24" s="495"/>
      <c r="Q24" s="495"/>
      <c r="S24" s="498" t="s">
        <v>450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420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439</v>
      </c>
      <c r="C32" s="357"/>
      <c r="D32" s="357"/>
      <c r="E32" s="357"/>
      <c r="F32" s="357"/>
      <c r="G32" s="357"/>
      <c r="H32" s="357"/>
      <c r="I32" s="467"/>
      <c r="J32" s="4" t="s">
        <v>440</v>
      </c>
      <c r="K32" s="4"/>
      <c r="L32" s="4"/>
      <c r="M32" s="467"/>
      <c r="N32" s="4" t="s">
        <v>444</v>
      </c>
      <c r="O32" s="357"/>
      <c r="P32" s="357"/>
      <c r="Q32" s="357"/>
      <c r="R32" s="357"/>
      <c r="S32" s="357"/>
      <c r="T32" s="467"/>
      <c r="U32" s="4" t="s">
        <v>445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432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431</v>
      </c>
      <c r="G34" s="134" t="s">
        <v>253</v>
      </c>
      <c r="H34" s="134" t="s">
        <v>84</v>
      </c>
      <c r="I34" s="467"/>
      <c r="J34" s="494" t="s">
        <v>441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422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422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443</v>
      </c>
      <c r="S35" s="360" t="str" cm="1">
        <f t="array" ref="S35">_xll.d.TestUtils_Equal(Q35,R35)</f>
        <v>Ok</v>
      </c>
      <c r="T35" s="467"/>
      <c r="U35" s="136" t="s">
        <v>422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446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423</v>
      </c>
      <c r="C36" s="363">
        <v>45930</v>
      </c>
      <c r="E36" s="348"/>
      <c r="F36" s="466" t="s">
        <v>424</v>
      </c>
      <c r="I36" s="467"/>
      <c r="J36" s="467"/>
      <c r="K36" s="467"/>
      <c r="L36" s="467"/>
      <c r="M36" s="467"/>
      <c r="N36" s="138" t="s">
        <v>423</v>
      </c>
      <c r="O36" s="363">
        <v>45930</v>
      </c>
      <c r="P36" s="467"/>
      <c r="Q36" s="348"/>
      <c r="R36" s="467"/>
      <c r="S36" s="467"/>
      <c r="T36" s="467"/>
      <c r="U36" s="138" t="s">
        <v>423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433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433</v>
      </c>
      <c r="O37" s="486">
        <f>C37</f>
        <v>250</v>
      </c>
      <c r="P37" s="467"/>
      <c r="Q37" s="467"/>
      <c r="R37" s="467"/>
      <c r="S37" s="467"/>
      <c r="T37" s="467"/>
      <c r="U37" s="138" t="s">
        <v>433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434</v>
      </c>
      <c r="C38" s="363" t="s">
        <v>458</v>
      </c>
      <c r="N38" s="138" t="s">
        <v>434</v>
      </c>
      <c r="O38" s="363" t="s">
        <v>442</v>
      </c>
      <c r="U38" s="138" t="s">
        <v>434</v>
      </c>
      <c r="V38" s="363" t="s">
        <v>435</v>
      </c>
    </row>
    <row r="39" spans="2:65" s="467" customFormat="1" x14ac:dyDescent="0.25">
      <c r="B39" s="482" t="s">
        <v>421</v>
      </c>
      <c r="C39" s="483">
        <v>0.97</v>
      </c>
      <c r="N39" s="482" t="s">
        <v>421</v>
      </c>
      <c r="O39" s="483">
        <v>0.97</v>
      </c>
      <c r="U39" s="482" t="s">
        <v>421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425</v>
      </c>
      <c r="C42" s="469" t="s">
        <v>426</v>
      </c>
      <c r="D42" s="469" t="s">
        <v>427</v>
      </c>
      <c r="E42" s="469" t="s">
        <v>428</v>
      </c>
      <c r="F42" s="469" t="s">
        <v>429</v>
      </c>
      <c r="G42" s="467"/>
      <c r="J42" s="467"/>
      <c r="K42" s="467"/>
      <c r="L42" s="467"/>
      <c r="M42" s="467"/>
    </row>
    <row r="43" spans="2:65" x14ac:dyDescent="0.25">
      <c r="B43" s="470" t="s">
        <v>430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430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430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430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430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430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430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430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430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430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430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430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430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430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430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430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430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430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430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430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430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430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430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430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430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430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430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430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430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430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430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430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430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430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430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430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430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430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430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430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430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430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430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430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430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430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430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430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430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430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430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430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430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430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430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430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430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430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430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430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430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430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430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430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430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430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430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430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430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430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430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430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430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430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430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430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430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430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430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430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430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430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430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430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430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430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430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430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430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430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430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430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430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430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430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430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430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430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430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430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430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430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430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430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430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430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430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430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430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430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430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430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430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430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430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430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430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430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430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430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430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430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430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430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430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430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430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430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430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430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430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430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430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430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430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430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430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430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430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430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430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430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430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430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430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430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430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430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430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430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430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430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430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430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430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430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430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430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430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430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430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430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430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430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430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430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430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430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430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430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430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430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430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430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430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430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430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430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430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430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430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430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430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430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430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430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430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430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430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430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430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430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430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430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430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430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430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430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430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430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430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430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430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430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430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430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430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430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430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430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430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430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430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430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430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430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430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430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430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430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430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430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430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430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430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430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430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430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430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430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430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430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430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430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430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430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430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430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430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430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430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430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430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430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430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430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430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430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430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430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430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430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430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430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430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430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430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430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430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430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430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430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430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430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430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430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430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430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430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430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430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430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430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430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430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430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430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430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430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430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430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430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430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430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430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430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430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430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430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430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430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430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430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430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430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430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430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430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430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430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430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430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430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430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430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430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430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430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430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430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430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430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430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430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430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430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430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430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430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430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430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430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430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430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430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430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430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430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430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430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430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430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430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430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430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430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430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430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430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430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430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430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430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430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430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430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430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430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430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430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430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430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430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430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430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430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430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430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430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430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430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430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430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430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430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430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430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430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430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430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430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430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430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430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430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430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430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430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430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430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430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430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430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430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430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430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430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430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430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430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430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430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430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430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430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430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430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430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430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430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430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430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430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430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430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430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430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430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430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430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430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430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430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430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430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430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430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430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430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430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430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430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430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430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430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430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430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430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430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430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430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430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430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430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430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430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430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430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430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430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430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430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430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430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430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430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430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430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430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430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430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430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430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430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430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430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430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430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430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430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430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430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430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430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430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430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430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430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430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430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430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430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430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430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430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430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430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430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430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430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430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430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430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430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430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430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430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430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430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430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430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430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430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430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430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430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430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430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430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430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430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430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430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430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430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430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430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430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430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430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430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430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430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430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430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430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430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430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430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430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430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430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430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430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430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430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430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430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430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430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430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430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430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430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430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430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430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430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430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430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430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430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430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430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430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430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430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430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430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430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430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430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430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430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430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430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430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430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430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430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430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430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430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430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430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430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430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430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430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430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430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430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430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430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430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430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430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430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430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430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430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430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430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430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430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430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430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430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430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430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430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430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430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430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430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430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430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430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430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430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430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430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430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430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430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430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430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430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430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430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430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430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430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430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430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430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430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430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430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430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430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430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430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430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430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430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430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430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430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430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430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430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430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430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430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430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430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430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430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430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430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430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430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430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430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430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430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430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430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430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430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430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430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430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430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430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430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430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430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430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430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430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430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430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430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430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430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430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430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430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430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430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430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430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430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430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430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430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430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430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430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430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430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430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430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430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430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430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430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430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430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430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430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430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430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430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430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430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430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430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430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430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430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430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430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430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430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430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430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430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430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430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430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430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430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430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430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430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430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430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430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430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430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430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430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430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430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430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430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430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430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430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430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430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430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430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430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430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430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430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430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430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430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430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430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430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430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430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430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430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430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430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430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430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430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430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430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430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430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430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430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430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430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430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430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430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430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430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430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430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430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430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430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430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430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430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430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430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430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430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430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430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430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430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430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430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430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430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430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430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430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430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430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430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430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430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430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430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430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430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430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430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430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430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430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430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430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430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430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430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430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430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430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430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430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430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430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430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430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430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430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430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430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430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430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430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430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430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430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430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430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430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430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430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430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430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430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430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430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430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430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430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430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430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430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430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430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430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430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430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430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430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430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430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430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430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430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430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430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430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430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430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430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430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430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430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430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430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430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430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430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430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430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430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430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430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430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430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430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430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430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430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430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430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430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430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430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430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430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430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430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430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430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430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430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430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430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430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430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430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430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430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430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430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430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430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430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430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430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430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430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430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430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430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430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430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430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430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430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430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430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430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430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430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430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430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430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430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430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430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430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430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430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430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430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430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430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430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430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430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430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430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430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430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430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430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430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430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430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430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430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430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430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430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430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430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430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430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430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430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430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430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430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430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430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430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430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430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430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430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430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430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430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430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430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430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430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430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430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430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430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430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430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430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430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430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430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430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430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430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430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430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430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430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430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430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430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430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430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430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430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430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430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430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430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430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430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430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430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430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430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430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430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430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430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430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430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430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430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430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430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430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430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430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430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430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430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430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430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430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430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430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430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430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430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430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430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430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430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430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430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430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430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430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430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430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430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430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430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430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430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430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430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430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430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430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430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430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430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430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430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430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430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430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430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430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430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430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430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430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430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430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430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430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430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430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430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430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430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430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430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430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430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430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430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430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430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430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430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430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430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430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430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430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430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430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430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430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430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430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430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430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430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430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430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430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430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430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430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430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430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430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430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430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430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430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430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430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430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430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430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430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430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430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430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430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430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430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430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430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430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430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430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430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430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430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430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430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430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430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430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430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430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430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430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430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430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430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430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430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430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430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430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430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430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430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430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430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430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430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430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430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430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430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430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430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430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430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430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430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430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430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430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430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430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430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430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430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430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430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430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430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430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430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430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430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430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430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430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430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430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430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430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430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430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430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430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430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430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430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430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430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430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430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430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430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430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430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430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430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430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430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430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430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430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430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430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430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430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430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430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430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430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430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430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430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430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430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430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430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430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430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430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430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430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430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430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430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430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430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430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430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430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430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430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430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430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430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430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413</v>
      </c>
    </row>
    <row r="2" spans="1:54" ht="26.25" x14ac:dyDescent="0.4">
      <c r="B2" s="2" t="s">
        <v>414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415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416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467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472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465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465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465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471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470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486</v>
      </c>
      <c r="C21" s="552">
        <f>3/12</f>
        <v>0.25</v>
      </c>
      <c r="D21" s="503"/>
      <c r="E21" s="640" t="s">
        <v>464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40" t="s">
        <v>464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40" t="s">
        <v>464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486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486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41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41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41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468</v>
      </c>
      <c r="AG22" s="521"/>
      <c r="AH22" s="139" t="s">
        <v>466</v>
      </c>
      <c r="AI22"/>
      <c r="AJ22"/>
      <c r="AK22"/>
      <c r="AM22" s="348"/>
      <c r="AN22"/>
      <c r="AO22"/>
      <c r="AP22"/>
      <c r="AR22" s="521" t="s">
        <v>468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41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41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41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469</v>
      </c>
      <c r="AG23" s="522"/>
      <c r="AH23" s="141" t="s">
        <v>81</v>
      </c>
      <c r="AR23" s="522" t="s">
        <v>469</v>
      </c>
      <c r="AS23" s="522"/>
      <c r="AT23" s="141" t="s">
        <v>466</v>
      </c>
    </row>
    <row r="24" spans="1:54" s="495" customFormat="1" x14ac:dyDescent="0.25">
      <c r="D24" s="553">
        <v>4</v>
      </c>
      <c r="E24" s="641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41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41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41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41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41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42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42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42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416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476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473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477</v>
      </c>
      <c r="K38" s="528" t="s">
        <v>466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478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474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473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475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474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475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413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481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484</v>
      </c>
      <c r="C9" s="177" t="str">
        <f>C63</f>
        <v>Ok</v>
      </c>
      <c r="E9" s="561"/>
    </row>
    <row r="10" spans="2:20" x14ac:dyDescent="0.25">
      <c r="B10" s="544" t="s">
        <v>491</v>
      </c>
      <c r="C10" s="177" t="str">
        <f>C77</f>
        <v>Ok</v>
      </c>
    </row>
    <row r="13" spans="2:20" ht="18.75" x14ac:dyDescent="0.3">
      <c r="B13" s="3" t="s">
        <v>481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@@ExampleCurve::15:19:07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490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498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480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483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484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491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493</v>
      </c>
      <c r="E81" s="570" t="s">
        <v>494</v>
      </c>
      <c r="F81" s="570" t="s">
        <v>492</v>
      </c>
      <c r="G81" s="570" t="s">
        <v>495</v>
      </c>
      <c r="H81" s="570" t="s">
        <v>84</v>
      </c>
      <c r="I81" s="570" t="s">
        <v>492</v>
      </c>
      <c r="J81" s="570" t="s">
        <v>495</v>
      </c>
      <c r="K81" s="570" t="s">
        <v>84</v>
      </c>
      <c r="L81" s="570" t="s">
        <v>492</v>
      </c>
      <c r="M81" s="570" t="s">
        <v>495</v>
      </c>
      <c r="N81" s="570" t="s">
        <v>84</v>
      </c>
      <c r="O81" s="570" t="s">
        <v>492</v>
      </c>
      <c r="P81" s="570" t="s">
        <v>495</v>
      </c>
      <c r="Q81" s="570" t="s">
        <v>84</v>
      </c>
      <c r="R81" s="570" t="s">
        <v>492</v>
      </c>
      <c r="S81" s="570" t="s">
        <v>495</v>
      </c>
      <c r="T81" s="570" t="s">
        <v>84</v>
      </c>
      <c r="U81" s="570" t="s">
        <v>492</v>
      </c>
      <c r="V81" s="570" t="s">
        <v>495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413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@@ZARCurve::15:19:07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@@USDOIS::15:19:07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413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413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488</v>
      </c>
      <c r="F5" s="460"/>
    </row>
    <row r="6" spans="2:56" x14ac:dyDescent="0.25">
      <c r="B6" s="203" t="s">
        <v>9</v>
      </c>
      <c r="C6" s="204" t="s">
        <v>10</v>
      </c>
      <c r="E6" s="461" t="s">
        <v>487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Error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43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43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41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41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41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41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41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41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41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41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41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41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41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41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41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41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41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41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41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41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41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41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41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41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41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41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41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41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41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41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41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41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42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42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44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45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45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45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45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45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45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45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45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45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45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45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45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45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45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45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45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43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43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42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42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43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43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41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41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41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41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41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41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42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42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2023-01-16T15:21:42Z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