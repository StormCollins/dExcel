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7D01F60-0567-40B4-817D-DED9A9CF84C8}" xr6:coauthVersionLast="47" xr6:coauthVersionMax="47" xr10:uidLastSave="{00000000-0000-0000-0000-000000000000}"/>
  <bookViews>
    <workbookView xWindow="-108" yWindow="-108" windowWidth="23256" windowHeight="12576" tabRatio="485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Interest Rate curves" sheetId="6" r:id="rId6"/>
    <sheet name="Curves" sheetId="1" r:id="rId7"/>
    <sheet name="SinlgeCurveBootstrapping" sheetId="3" r:id="rId8"/>
    <sheet name="MultiCurveBootstrapping" sheetId="4" r:id="rId9"/>
    <sheet name="HullWhite" sheetId="2" r:id="rId10"/>
    <sheet name="Fixed Income Instruments" sheetId="10" r:id="rId11"/>
    <sheet name="Interest Rate Swaps" sheetId="11" r:id="rId12"/>
    <sheet name="Other" sheetId="7" r:id="rId13"/>
    <sheet name="Test Utils" sheetId="9" r:id="rId14"/>
    <sheet name="Table Formatting" sheetId="5" r:id="rId15"/>
  </sheets>
  <definedNames>
    <definedName name="Curves.Title" localSheetId="2">Dates!$B$2</definedName>
    <definedName name="Curves.Title" localSheetId="3">Mathematics!$B$2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6" i="15" l="1"/>
  <c r="Z36" i="15"/>
  <c r="X36" i="15"/>
  <c r="Y35" i="15"/>
  <c r="Z35" i="15"/>
  <c r="X35" i="15"/>
  <c r="Y34" i="15"/>
  <c r="Z34" i="15"/>
  <c r="X34" i="15"/>
  <c r="J35" i="15"/>
  <c r="I35" i="15"/>
  <c r="J34" i="15"/>
  <c r="I34" i="15"/>
  <c r="D10" i="15"/>
  <c r="AF19" i="14"/>
  <c r="T21" i="14"/>
  <c r="T20" i="14"/>
  <c r="O19" i="14"/>
  <c r="G19" i="14"/>
  <c r="R33" i="3"/>
  <c r="R34" i="3"/>
  <c r="R35" i="3"/>
  <c r="R36" i="3"/>
  <c r="R37" i="3"/>
  <c r="R38" i="3"/>
  <c r="R39" i="3"/>
  <c r="D24" i="3" a="1"/>
  <c r="E26" i="13" a="1"/>
  <c r="S156" i="13" a="1"/>
  <c r="S41" i="13" a="1"/>
  <c r="Z71" i="13" a="1"/>
  <c r="E35" i="9" a="1"/>
  <c r="L71" i="13" a="1"/>
  <c r="B187" i="13" a="1"/>
  <c r="E129" i="13" a="1"/>
  <c r="G137" i="13" s="1" a="1"/>
  <c r="L56" i="13" a="1"/>
  <c r="L156" i="13" a="1"/>
  <c r="G131" i="13" a="1"/>
  <c r="Z41" i="13" a="1"/>
  <c r="G135" i="13" a="1"/>
  <c r="L191" i="13" a="1"/>
  <c r="N189" i="13" a="1"/>
  <c r="M190" i="13" a="1"/>
  <c r="L190" i="13" a="1"/>
  <c r="B85" i="13" a="1"/>
  <c r="O118" i="13" a="1"/>
  <c r="M97" i="13" a="1"/>
  <c r="L116" i="13" a="1"/>
  <c r="L105" i="13" a="1"/>
  <c r="E56" i="13" a="1"/>
  <c r="L106" i="13" a="1"/>
  <c r="N100" i="13" a="1"/>
  <c r="M188" i="13" a="1"/>
  <c r="O96" i="13" a="1"/>
  <c r="Z56" i="13" a="1"/>
  <c r="L89" i="13" a="1"/>
  <c r="N90" i="13" a="1"/>
  <c r="O102" i="13" a="1"/>
  <c r="N109" i="13" a="1"/>
  <c r="O99" i="13" a="1"/>
  <c r="N116" i="13" a="1"/>
  <c r="M96" i="13" a="1"/>
  <c r="O112" i="13" a="1"/>
  <c r="L26" i="13" a="1"/>
  <c r="L96" i="13" a="1"/>
  <c r="Z156" i="13" a="1"/>
  <c r="S129" i="13" a="1"/>
  <c r="O88" i="13" a="1"/>
  <c r="O104" i="13" a="1"/>
  <c r="L91" i="13" a="1"/>
  <c r="M99" i="13" a="1"/>
  <c r="M115" i="13" a="1"/>
  <c r="N188" i="13" a="1"/>
  <c r="N97" i="13" a="1"/>
  <c r="O188" i="13" a="1"/>
  <c r="N87" i="13" a="1"/>
  <c r="N115" i="13" a="1"/>
  <c r="Z26" i="13" a="1"/>
  <c r="M191" i="13" a="1"/>
  <c r="O85" i="13" a="1"/>
  <c r="O101" i="13" a="1"/>
  <c r="L118" i="13" a="1"/>
  <c r="N191" i="13" a="1"/>
  <c r="N114" i="13" a="1"/>
  <c r="N98" i="13" a="1"/>
  <c r="M118" i="13" a="1"/>
  <c r="M94" i="13" a="1"/>
  <c r="O190" i="13" a="1"/>
  <c r="L129" i="13" a="1"/>
  <c r="O92" i="13" a="1"/>
  <c r="O108" i="13" a="1"/>
  <c r="M87" i="13" a="1"/>
  <c r="O187" i="13" a="1"/>
  <c r="N107" i="13" a="1"/>
  <c r="L99" i="13" a="1"/>
  <c r="O105" i="13" a="1"/>
  <c r="O89" i="13" a="1"/>
  <c r="N110" i="13" a="1"/>
  <c r="M110" i="13" a="1"/>
  <c r="E156" i="13" a="1"/>
  <c r="M112" i="13" a="1"/>
  <c r="S56" i="13" a="1"/>
  <c r="N92" i="13" a="1"/>
  <c r="M108" i="13" a="1"/>
  <c r="B172" i="13" a="1"/>
  <c r="M107" i="13" a="1"/>
  <c r="N99" i="13" a="1"/>
  <c r="M102" i="13" a="1"/>
  <c r="M86" i="13" a="1"/>
  <c r="E71" i="13" a="1"/>
  <c r="G133" i="13" a="1"/>
  <c r="O90" i="13" a="1"/>
  <c r="O106" i="13" a="1"/>
  <c r="L97" i="13" a="1"/>
  <c r="M85" i="13" a="1"/>
  <c r="M101" i="13" a="1"/>
  <c r="M117" i="13" a="1"/>
  <c r="N190" i="13" a="1"/>
  <c r="N103" i="13" a="1"/>
  <c r="I172" i="13" a="1"/>
  <c r="N91" i="13" a="1"/>
  <c r="L87" i="13" a="1"/>
  <c r="G134" i="13" a="1"/>
  <c r="I173" i="13" a="1"/>
  <c r="O87" i="13" a="1"/>
  <c r="O103" i="13" a="1"/>
  <c r="M189" i="13" a="1"/>
  <c r="L114" i="13" a="1"/>
  <c r="N112" i="13" a="1"/>
  <c r="N96" i="13" a="1"/>
  <c r="M114" i="13" a="1"/>
  <c r="M92" i="13" a="1"/>
  <c r="M187" i="13" a="1"/>
  <c r="L41" i="13" a="1"/>
  <c r="L103" i="13" a="1"/>
  <c r="M103" i="13" a="1"/>
  <c r="L86" i="13" a="1"/>
  <c r="G130" i="13" a="1"/>
  <c r="N93" i="13" a="1"/>
  <c r="M106" i="13" a="1"/>
  <c r="O107" i="13" a="1"/>
  <c r="L108" i="13" a="1"/>
  <c r="N94" i="13" a="1"/>
  <c r="M90" i="13" a="1"/>
  <c r="O191" i="13" a="1"/>
  <c r="N95" i="13" a="1"/>
  <c r="O113" i="13" a="1"/>
  <c r="O109" i="13" a="1"/>
  <c r="N108" i="13" a="1"/>
  <c r="M88" i="13" a="1"/>
  <c r="S26" i="13" a="1"/>
  <c r="M91" i="13" a="1"/>
  <c r="S71" i="13" a="1"/>
  <c r="O111" i="13" a="1"/>
  <c r="L188" i="13" a="1"/>
  <c r="G136" i="13" a="1"/>
  <c r="E41" i="13" a="1"/>
  <c r="O94" i="13" a="1"/>
  <c r="O110" i="13" a="1"/>
  <c r="L109" i="13" a="1"/>
  <c r="M89" i="13" a="1"/>
  <c r="M105" i="13" a="1"/>
  <c r="L92" i="13" a="1"/>
  <c r="H173" i="13" a="1"/>
  <c r="N111" i="13" a="1"/>
  <c r="L117" i="13" a="1"/>
  <c r="O91" i="13" a="1"/>
  <c r="L102" i="13" a="1"/>
  <c r="O189" i="13" a="1"/>
  <c r="L98" i="13" a="1"/>
  <c r="O93" i="13" a="1"/>
  <c r="M104" i="13" a="1"/>
  <c r="L189" i="13" a="1"/>
  <c r="N187" i="13" a="1"/>
  <c r="M98" i="13" a="1"/>
  <c r="N86" i="13" a="1"/>
  <c r="N102" i="13" a="1"/>
  <c r="N118" i="13" a="1"/>
  <c r="L95" i="13" a="1"/>
  <c r="L94" i="13" a="1"/>
  <c r="O97" i="13" a="1"/>
  <c r="L100" i="13" a="1"/>
  <c r="N105" i="13" a="1"/>
  <c r="L93" i="13" a="1"/>
  <c r="L110" i="13" a="1"/>
  <c r="M111" i="13" a="1"/>
  <c r="M95" i="13" a="1"/>
  <c r="O116" i="13" a="1"/>
  <c r="O100" i="13" a="1"/>
  <c r="N106" i="13" a="1"/>
  <c r="O117" i="13" a="1"/>
  <c r="N113" i="13" a="1"/>
  <c r="L115" i="13" a="1"/>
  <c r="L101" i="13" a="1"/>
  <c r="L107" i="13" a="1"/>
  <c r="L112" i="13" a="1"/>
  <c r="N85" i="13" a="1"/>
  <c r="N89" i="13" a="1"/>
  <c r="M113" i="13" a="1"/>
  <c r="O86" i="13" a="1"/>
  <c r="M100" i="13" a="1"/>
  <c r="N88" i="13" a="1"/>
  <c r="N104" i="13" a="1"/>
  <c r="L90" i="13" a="1"/>
  <c r="M116" i="13" a="1"/>
  <c r="O115" i="13" a="1"/>
  <c r="O95" i="13" a="1"/>
  <c r="L113" i="13" a="1"/>
  <c r="L88" i="13" a="1"/>
  <c r="L111" i="13" a="1"/>
  <c r="N101" i="13" a="1"/>
  <c r="N117" i="13" a="1"/>
  <c r="L104" i="13" a="1"/>
  <c r="M109" i="13" a="1"/>
  <c r="M93" i="13" a="1"/>
  <c r="O114" i="13" a="1"/>
  <c r="O98" i="13" a="1"/>
  <c r="H175" i="13" a="1"/>
  <c r="I175" i="13" a="1"/>
  <c r="I174" i="13" a="1"/>
  <c r="I176" i="13" a="1"/>
  <c r="H174" i="13" a="1"/>
  <c r="C28" i="15" a="1"/>
  <c r="T34" i="15" a="1"/>
  <c r="AC34" i="15" a="1"/>
  <c r="AB35" i="15" a="1"/>
  <c r="F34" i="15" a="1"/>
  <c r="M34" i="15" a="1"/>
  <c r="F19" i="14" a="1"/>
  <c r="AJ20" i="15" a="1"/>
  <c r="T99" i="5" a="1"/>
  <c r="T94" i="5" a="1"/>
  <c r="T95" i="5" a="1"/>
  <c r="X226" i="5" a="1"/>
  <c r="W225" i="5" a="1"/>
  <c r="U223" i="5" a="1"/>
  <c r="AU19" i="14" a="1"/>
  <c r="AB20" i="15" a="1"/>
  <c r="T224" i="5" a="1"/>
  <c r="T93" i="5" a="1"/>
  <c r="V225" i="5" a="1"/>
  <c r="X224" i="5" a="1"/>
  <c r="V223" i="5" a="1"/>
  <c r="V229" i="5" a="1"/>
  <c r="AM19" i="14" a="1"/>
  <c r="W229" i="5" a="1"/>
  <c r="X227" i="5" a="1"/>
  <c r="T225" i="5" a="1"/>
  <c r="U227" i="5" a="1"/>
  <c r="T106" i="5" a="1"/>
  <c r="F20" i="15" a="1"/>
  <c r="X223" i="5" a="1"/>
  <c r="AU31" i="14" a="1"/>
  <c r="AI31" i="14" a="1"/>
  <c r="T102" i="5" a="1"/>
  <c r="X228" i="5" a="1"/>
  <c r="U226" i="5" a="1"/>
  <c r="W228" i="5" a="1"/>
  <c r="W226" i="5" a="1"/>
  <c r="T227" i="5" a="1"/>
  <c r="U225" i="5" a="1"/>
  <c r="BG31" i="14" a="1"/>
  <c r="N19" i="14" a="1"/>
  <c r="T223" i="5" a="1"/>
  <c r="U228" i="5" a="1"/>
  <c r="W227" i="5" a="1"/>
  <c r="U224" i="5" a="1"/>
  <c r="T103" i="5" a="1"/>
  <c r="T105" i="5" a="1"/>
  <c r="X225" i="5" a="1"/>
  <c r="W19" i="14" a="1"/>
  <c r="W31" i="14" a="1"/>
  <c r="W224" i="5" a="1"/>
  <c r="V224" i="5" a="1"/>
  <c r="T100" i="5" a="1"/>
  <c r="T104" i="5" a="1"/>
  <c r="W223" i="5" a="1"/>
  <c r="V227" i="5" a="1"/>
  <c r="T108" i="5" a="1"/>
  <c r="AE19" i="14" a="1"/>
  <c r="J31" i="14" a="1"/>
  <c r="T228" i="5" a="1"/>
  <c r="T20" i="15" a="1"/>
  <c r="X229" i="5" a="1"/>
  <c r="T98" i="5" a="1"/>
  <c r="V228" i="5" a="1"/>
  <c r="T97" i="5" a="1"/>
  <c r="V226" i="5" a="1"/>
  <c r="BC19" i="14" a="1"/>
  <c r="U229" i="5" a="1"/>
  <c r="T101" i="5" a="1"/>
  <c r="T109" i="5" a="1"/>
  <c r="T229" i="5" a="1"/>
  <c r="T226" i="5" a="1"/>
  <c r="T96" i="5" a="1"/>
  <c r="T107" i="5" a="1"/>
  <c r="M35" i="15" a="1"/>
  <c r="L35" i="15" a="1"/>
  <c r="AD36" i="15" a="1"/>
  <c r="AC36" i="15" a="1"/>
  <c r="AB36" i="15" a="1"/>
  <c r="AD35" i="15" a="1"/>
  <c r="AD34" i="15" a="1"/>
  <c r="AC35" i="15" a="1"/>
  <c r="C28" i="15" l="1"/>
  <c r="D9" i="15" s="1"/>
  <c r="AC35" i="15"/>
  <c r="AD34" i="15"/>
  <c r="AD35" i="15"/>
  <c r="AB36" i="15"/>
  <c r="AC36" i="15"/>
  <c r="AD36" i="15"/>
  <c r="AB35" i="15"/>
  <c r="AC34" i="15"/>
  <c r="T34" i="15"/>
  <c r="F34" i="15"/>
  <c r="L35" i="15"/>
  <c r="M35" i="15"/>
  <c r="M34" i="15"/>
  <c r="AB20" i="15"/>
  <c r="AJ20" i="15"/>
  <c r="T20" i="15"/>
  <c r="G22" i="15"/>
  <c r="F22" i="15"/>
  <c r="F20" i="15"/>
  <c r="H22" i="15"/>
  <c r="G20" i="15"/>
  <c r="H20" i="15"/>
  <c r="F21" i="15"/>
  <c r="G21" i="15"/>
  <c r="H21" i="15"/>
  <c r="AU31" i="14"/>
  <c r="BG31" i="14"/>
  <c r="AI31" i="14"/>
  <c r="W31" i="14"/>
  <c r="J31" i="14"/>
  <c r="N19" i="14"/>
  <c r="BC19" i="14"/>
  <c r="AU19" i="14"/>
  <c r="AM19" i="14"/>
  <c r="AE19" i="14"/>
  <c r="W19" i="14"/>
  <c r="F19" i="14"/>
  <c r="E26" i="13"/>
  <c r="Z156" i="13"/>
  <c r="E35" i="9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E159" i="13"/>
  <c r="E160" i="13"/>
  <c r="E156" i="13"/>
  <c r="E157" i="13"/>
  <c r="E158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L157" i="13"/>
  <c r="L156" i="13"/>
  <c r="L158" i="13"/>
  <c r="L159" i="13"/>
  <c r="L160" i="13"/>
  <c r="I175" i="13"/>
  <c r="B85" i="13"/>
  <c r="H174" i="13"/>
  <c r="S156" i="13"/>
  <c r="S157" i="13"/>
  <c r="S158" i="13"/>
  <c r="S159" i="13"/>
  <c r="S160" i="13"/>
  <c r="B172" i="13"/>
  <c r="B187" i="13"/>
  <c r="L71" i="13"/>
  <c r="Z71" i="13"/>
  <c r="S129" i="13"/>
  <c r="S71" i="13"/>
  <c r="E71" i="13"/>
  <c r="S41" i="13"/>
  <c r="E56" i="13"/>
  <c r="E41" i="13"/>
  <c r="L56" i="13"/>
  <c r="S56" i="13"/>
  <c r="L129" i="13"/>
  <c r="Z41" i="13"/>
  <c r="L41" i="13"/>
  <c r="Z56" i="13"/>
  <c r="G137" i="13"/>
  <c r="G131" i="13"/>
  <c r="G136" i="13"/>
  <c r="G130" i="13"/>
  <c r="G135" i="13"/>
  <c r="G134" i="13"/>
  <c r="G133" i="13"/>
  <c r="E129" i="13"/>
  <c r="Z26" i="13"/>
  <c r="S26" i="13"/>
  <c r="L26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H176" i="13" a="1"/>
  <c r="N146" i="13" a="1"/>
  <c r="G160" i="13" a="1"/>
  <c r="U41" i="13" a="1"/>
  <c r="U56" i="13" a="1"/>
  <c r="N143" i="13" a="1"/>
  <c r="G71" i="13" a="1"/>
  <c r="N156" i="13" a="1"/>
  <c r="G129" i="13" a="1"/>
  <c r="AB156" i="13" a="1"/>
  <c r="N41" i="13" a="1"/>
  <c r="N141" i="13" a="1"/>
  <c r="G156" i="13" a="1"/>
  <c r="N134" i="13" a="1"/>
  <c r="G41" i="13" a="1"/>
  <c r="AB26" i="13" a="1"/>
  <c r="U160" i="13" a="1"/>
  <c r="N136" i="13" a="1"/>
  <c r="G132" i="13" a="1"/>
  <c r="N71" i="13" a="1"/>
  <c r="U129" i="13" a="1"/>
  <c r="N56" i="13" a="1"/>
  <c r="G157" i="13" a="1"/>
  <c r="G158" i="13" a="1"/>
  <c r="N157" i="13" a="1"/>
  <c r="AB56" i="13" a="1"/>
  <c r="N139" i="13" a="1"/>
  <c r="G56" i="13" a="1"/>
  <c r="U159" i="13" a="1"/>
  <c r="U71" i="13" a="1"/>
  <c r="N144" i="13" a="1"/>
  <c r="N132" i="13" a="1"/>
  <c r="G159" i="13" a="1"/>
  <c r="U156" i="13" a="1"/>
  <c r="U157" i="13" a="1"/>
  <c r="N131" i="13" a="1"/>
  <c r="N137" i="13" a="1"/>
  <c r="N160" i="13" a="1"/>
  <c r="U26" i="13" a="1"/>
  <c r="N159" i="13" a="1"/>
  <c r="L85" i="13" a="1"/>
  <c r="N129" i="13" a="1"/>
  <c r="G26" i="13" a="1"/>
  <c r="AB41" i="13" a="1"/>
  <c r="N138" i="13" a="1"/>
  <c r="H172" i="13" a="1"/>
  <c r="N135" i="13" a="1"/>
  <c r="N158" i="13" a="1"/>
  <c r="AB71" i="13" a="1"/>
  <c r="L187" i="13" a="1"/>
  <c r="N145" i="13" a="1"/>
  <c r="N130" i="13" a="1"/>
  <c r="U158" i="13" a="1"/>
  <c r="N140" i="13" a="1"/>
  <c r="N142" i="13" a="1"/>
  <c r="N26" i="13" a="1"/>
  <c r="N133" i="13" a="1"/>
  <c r="AB34" i="15" a="1"/>
  <c r="L34" i="15" a="1"/>
  <c r="AW31" i="14" a="1"/>
  <c r="V20" i="15" a="1"/>
  <c r="M21" i="15" a="1"/>
  <c r="M20" i="15" a="1"/>
  <c r="AW19" i="14" a="1"/>
  <c r="AK31" i="14" a="1"/>
  <c r="N20" i="15" a="1"/>
  <c r="N21" i="15" a="1"/>
  <c r="AO19" i="14" a="1"/>
  <c r="Y31" i="14" a="1"/>
  <c r="M22" i="15" a="1"/>
  <c r="H19" i="14" a="1"/>
  <c r="BE19" i="14" a="1"/>
  <c r="P19" i="14" a="1"/>
  <c r="L21" i="15" a="1"/>
  <c r="BI31" i="14" a="1"/>
  <c r="L31" i="14" a="1"/>
  <c r="N22" i="15" a="1"/>
  <c r="Y19" i="14" a="1"/>
  <c r="AL20" i="15" a="1"/>
  <c r="L20" i="15" a="1"/>
  <c r="C209" i="5" a="1"/>
  <c r="AG19" i="14" a="1"/>
  <c r="AD20" i="15" a="1"/>
  <c r="L22" i="15" a="1"/>
  <c r="AB34" i="15" l="1"/>
  <c r="L34" i="15"/>
  <c r="AL20" i="15"/>
  <c r="V20" i="15"/>
  <c r="AD20" i="15"/>
  <c r="M21" i="15"/>
  <c r="N20" i="15"/>
  <c r="M20" i="15"/>
  <c r="L21" i="15"/>
  <c r="N22" i="15"/>
  <c r="L22" i="15"/>
  <c r="M22" i="15"/>
  <c r="L20" i="15"/>
  <c r="N21" i="15"/>
  <c r="BI31" i="14"/>
  <c r="AW31" i="14"/>
  <c r="AK31" i="14"/>
  <c r="Y31" i="14"/>
  <c r="L31" i="14"/>
  <c r="BE19" i="14"/>
  <c r="AW19" i="14"/>
  <c r="AO19" i="14"/>
  <c r="AG19" i="14"/>
  <c r="Y19" i="14"/>
  <c r="P19" i="14"/>
  <c r="H19" i="14"/>
  <c r="AB156" i="13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21" i="13" a="1"/>
  <c r="C51" i="13" a="1"/>
  <c r="C151" i="13" a="1"/>
  <c r="C66" i="13" a="1"/>
  <c r="C36" i="13" a="1"/>
  <c r="C80" i="13" a="1"/>
  <c r="C182" i="13" a="1"/>
  <c r="C124" i="13" a="1"/>
  <c r="C167" i="13" a="1"/>
  <c r="C26" i="14" a="1"/>
  <c r="C14" i="14" a="1"/>
  <c r="C15" i="15" a="1"/>
  <c r="C15" i="15" l="1"/>
  <c r="D8" i="15" s="1"/>
  <c r="C26" i="14"/>
  <c r="C14" i="14"/>
  <c r="D8" i="14" s="1"/>
  <c r="D9" i="14"/>
  <c r="C151" i="13"/>
  <c r="D14" i="13" s="1"/>
  <c r="C182" i="13"/>
  <c r="D16" i="13" s="1"/>
  <c r="C80" i="13"/>
  <c r="D12" i="13" s="1"/>
  <c r="C167" i="13"/>
  <c r="D15" i="13" s="1"/>
  <c r="C124" i="13"/>
  <c r="D13" i="13" s="1"/>
  <c r="C66" i="13"/>
  <c r="D11" i="13" s="1"/>
  <c r="C51" i="13"/>
  <c r="D10" i="13" s="1"/>
  <c r="C36" i="13"/>
  <c r="D9" i="13" s="1"/>
  <c r="C21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C4" i="13" a="1"/>
  <c r="C4" i="15" a="1"/>
  <c r="C4" i="14" a="1"/>
  <c r="C4" i="15" l="1"/>
  <c r="C4" i="14"/>
  <c r="C4" i="13"/>
  <c r="C9" i="8" s="1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BG48" i="5" a="1"/>
  <c r="W134" i="5" a="1"/>
  <c r="BG71" i="5" a="1"/>
  <c r="T139" i="5" a="1"/>
  <c r="K183" i="5" a="1"/>
  <c r="W93" i="5" a="1"/>
  <c r="BH70" i="5" a="1"/>
  <c r="BS73" i="5" a="1"/>
  <c r="W129" i="5" a="1"/>
  <c r="X101" i="5" a="1"/>
  <c r="BH49" i="5" a="1"/>
  <c r="U98" i="5" a="1"/>
  <c r="BL72" i="5" a="1"/>
  <c r="BR69" i="5" a="1"/>
  <c r="U95" i="5" a="1"/>
  <c r="W131" i="5" a="1"/>
  <c r="U142" i="5" a="1"/>
  <c r="BE47" i="5" a="1"/>
  <c r="V135" i="5" a="1"/>
  <c r="BP45" i="5" a="1"/>
  <c r="BL71" i="5" a="1"/>
  <c r="BO71" i="5" a="1"/>
  <c r="W141" i="5" a="1"/>
  <c r="X142" i="5" a="1"/>
  <c r="U145" i="5" a="1"/>
  <c r="W105" i="5" a="1"/>
  <c r="BT49" i="5" a="1"/>
  <c r="V97" i="5" a="1"/>
  <c r="W138" i="5" a="1"/>
  <c r="BT46" i="5" a="1"/>
  <c r="BS47" i="5" a="1"/>
  <c r="BR72" i="5" a="1"/>
  <c r="V105" i="5" a="1"/>
  <c r="X203" i="5" a="1"/>
  <c r="BO72" i="5" a="1"/>
  <c r="T138" i="5" a="1"/>
  <c r="X136" i="5" a="1"/>
  <c r="X104" i="5" a="1"/>
  <c r="BK49" i="5" a="1"/>
  <c r="L187" i="5" a="1"/>
  <c r="T142" i="5" a="1"/>
  <c r="T132" i="5" a="1"/>
  <c r="BS46" i="5" a="1"/>
  <c r="L183" i="5" a="1"/>
  <c r="W108" i="5" a="1"/>
  <c r="W104" i="5" a="1"/>
  <c r="V134" i="5" a="1"/>
  <c r="BF45" i="5" a="1"/>
  <c r="BM70" i="5" a="1"/>
  <c r="BI70" i="5" a="1"/>
  <c r="BJ72" i="5" a="1"/>
  <c r="V99" i="5" a="1"/>
  <c r="BL70" i="5" a="1"/>
  <c r="V95" i="5" a="1"/>
  <c r="K166" i="5" a="1"/>
  <c r="BT73" i="5" a="1"/>
  <c r="BN48" i="5" a="1"/>
  <c r="BD73" i="5" a="1"/>
  <c r="BJ48" i="5" a="1"/>
  <c r="V93" i="5" a="1"/>
  <c r="BM73" i="5" a="1"/>
  <c r="BD45" i="5" a="1"/>
  <c r="BT69" i="5" a="1"/>
  <c r="W109" i="5" a="1"/>
  <c r="W203" i="5" a="1"/>
  <c r="BF48" i="5" a="1"/>
  <c r="BM46" i="5" a="1"/>
  <c r="BM48" i="5" a="1"/>
  <c r="BM69" i="5" a="1"/>
  <c r="BO70" i="5" a="1"/>
  <c r="BE45" i="5" a="1"/>
  <c r="X100" i="5" a="1"/>
  <c r="BI71" i="5" a="1"/>
  <c r="V137" i="5" a="1"/>
  <c r="BQ69" i="5" a="1"/>
  <c r="K165" i="5" a="1"/>
  <c r="BP69" i="5" a="1"/>
  <c r="V100" i="5" a="1"/>
  <c r="BD71" i="5" a="1"/>
  <c r="V204" i="5" a="1"/>
  <c r="V104" i="5" a="1"/>
  <c r="V133" i="5" a="1"/>
  <c r="U94" i="5" a="1"/>
  <c r="BN47" i="5" a="1"/>
  <c r="X105" i="5" a="1"/>
  <c r="BL47" i="5" a="1"/>
  <c r="U134" i="5" a="1"/>
  <c r="BL46" i="5" a="1"/>
  <c r="BL48" i="5" a="1"/>
  <c r="U203" i="5" a="1"/>
  <c r="BH48" i="5" a="1"/>
  <c r="BN45" i="5" a="1"/>
  <c r="W94" i="5" a="1"/>
  <c r="W135" i="5" a="1"/>
  <c r="T131" i="5" a="1"/>
  <c r="W139" i="5" a="1"/>
  <c r="U103" i="5" a="1"/>
  <c r="BJ45" i="5" a="1"/>
  <c r="BK46" i="5" a="1"/>
  <c r="BF72" i="5" a="1"/>
  <c r="BJ69" i="5" a="1"/>
  <c r="V102" i="5" a="1"/>
  <c r="BK70" i="5" a="1"/>
  <c r="U104" i="5" a="1"/>
  <c r="BR45" i="5" a="1"/>
  <c r="V130" i="5" a="1"/>
  <c r="BS49" i="5" a="1"/>
  <c r="U102" i="5" a="1"/>
  <c r="V94" i="5" a="1"/>
  <c r="U204" i="5" a="1"/>
  <c r="BL73" i="5" a="1"/>
  <c r="BP73" i="5" a="1"/>
  <c r="BT71" i="5" a="1"/>
  <c r="W142" i="5" a="1"/>
  <c r="V132" i="5" a="1"/>
  <c r="X106" i="5" a="1"/>
  <c r="BE48" i="5" a="1"/>
  <c r="BI48" i="5" a="1"/>
  <c r="U143" i="5" a="1"/>
  <c r="BP70" i="5" a="1"/>
  <c r="BH46" i="5" a="1"/>
  <c r="X130" i="5" a="1"/>
  <c r="BF47" i="5" a="1"/>
  <c r="U131" i="5" a="1"/>
  <c r="BE49" i="5" a="1"/>
  <c r="W102" i="5" a="1"/>
  <c r="BM45" i="5" a="1"/>
  <c r="V143" i="5" a="1"/>
  <c r="X139" i="5" a="1"/>
  <c r="BH69" i="5" a="1"/>
  <c r="T137" i="5" a="1"/>
  <c r="X99" i="5" a="1"/>
  <c r="X108" i="5" a="1"/>
  <c r="V129" i="5" a="1"/>
  <c r="V109" i="5" a="1"/>
  <c r="U99" i="5" a="1"/>
  <c r="BK71" i="5" a="1"/>
  <c r="V203" i="5" a="1"/>
  <c r="T129" i="5" a="1"/>
  <c r="BE71" i="5" a="1"/>
  <c r="X109" i="5" a="1"/>
  <c r="BQ70" i="5" a="1"/>
  <c r="X133" i="5" a="1"/>
  <c r="BF70" i="5" a="1"/>
  <c r="BN72" i="5" a="1"/>
  <c r="W106" i="5" a="1"/>
  <c r="BO47" i="5" a="1"/>
  <c r="BT72" i="5" a="1"/>
  <c r="X141" i="5" a="1"/>
  <c r="BD70" i="5" a="1"/>
  <c r="V103" i="5" a="1"/>
  <c r="W137" i="5" a="1"/>
  <c r="X102" i="5" a="1"/>
  <c r="T203" i="5" a="1"/>
  <c r="X144" i="5" a="1"/>
  <c r="BQ49" i="5" a="1"/>
  <c r="BQ48" i="5" a="1"/>
  <c r="V145" i="5" a="1"/>
  <c r="BK48" i="5" a="1"/>
  <c r="BQ72" i="5" a="1"/>
  <c r="BJ47" i="5" a="1"/>
  <c r="W100" i="5" a="1"/>
  <c r="BF71" i="5" a="1"/>
  <c r="BO45" i="5" a="1"/>
  <c r="BI46" i="5" a="1"/>
  <c r="BG46" i="5" a="1"/>
  <c r="X94" i="5" a="1"/>
  <c r="BI72" i="5" a="1"/>
  <c r="W96" i="5" a="1"/>
  <c r="BH47" i="5" a="1"/>
  <c r="U144" i="5" a="1"/>
  <c r="BO49" i="5" a="1"/>
  <c r="K185" i="5" a="1"/>
  <c r="K164" i="5" a="1"/>
  <c r="V107" i="5" a="1"/>
  <c r="X138" i="5" a="1"/>
  <c r="BH45" i="5" a="1"/>
  <c r="BE69" i="5" a="1"/>
  <c r="BF46" i="5" a="1"/>
  <c r="BS45" i="5" a="1"/>
  <c r="BT47" i="5" a="1"/>
  <c r="K163" i="5" a="1"/>
  <c r="BR47" i="5" a="1"/>
  <c r="U135" i="5" a="1"/>
  <c r="U106" i="5" a="1"/>
  <c r="BR48" i="5" a="1"/>
  <c r="BJ46" i="5" a="1"/>
  <c r="V144" i="5" a="1"/>
  <c r="V106" i="5" a="1"/>
  <c r="BK45" i="5" a="1"/>
  <c r="U140" i="5" a="1"/>
  <c r="BD47" i="5" a="1"/>
  <c r="BK72" i="5" a="1"/>
  <c r="U96" i="5" a="1"/>
  <c r="T136" i="5" a="1"/>
  <c r="BN46" i="5" a="1"/>
  <c r="BP46" i="5" a="1"/>
  <c r="BQ71" i="5" a="1"/>
  <c r="X95" i="5" a="1"/>
  <c r="BJ49" i="5" a="1"/>
  <c r="W98" i="5" a="1"/>
  <c r="BD49" i="5" a="1"/>
  <c r="BG47" i="5" a="1"/>
  <c r="BP72" i="5" a="1"/>
  <c r="BQ47" i="5" a="1"/>
  <c r="W204" i="5" a="1"/>
  <c r="W107" i="5" a="1"/>
  <c r="U139" i="5" a="1"/>
  <c r="W136" i="5" a="1"/>
  <c r="T144" i="5" a="1"/>
  <c r="X134" i="5" a="1"/>
  <c r="T204" i="5" a="1"/>
  <c r="X129" i="5" a="1"/>
  <c r="V131" i="5" a="1"/>
  <c r="BI49" i="5" a="1"/>
  <c r="V136" i="5" a="1"/>
  <c r="BE72" i="5" a="1"/>
  <c r="BL49" i="5" a="1"/>
  <c r="X140" i="5" a="1"/>
  <c r="T141" i="5" a="1"/>
  <c r="BO46" i="5" a="1"/>
  <c r="BI45" i="5" a="1"/>
  <c r="BF69" i="5" a="1"/>
  <c r="BO73" i="5" a="1"/>
  <c r="BH72" i="5" a="1"/>
  <c r="X97" i="5" a="1"/>
  <c r="U100" i="5" a="1"/>
  <c r="X107" i="5" a="1"/>
  <c r="BR73" i="5" a="1"/>
  <c r="BI73" i="5" a="1"/>
  <c r="L186" i="5" a="1"/>
  <c r="BR46" i="5" a="1"/>
  <c r="X204" i="5" a="1"/>
  <c r="BO48" i="5" a="1"/>
  <c r="X98" i="5" a="1"/>
  <c r="BH71" i="5" a="1"/>
  <c r="W95" i="5" a="1"/>
  <c r="W144" i="5" a="1"/>
  <c r="L184" i="5" a="1"/>
  <c r="BG69" i="5" a="1"/>
  <c r="W143" i="5" a="1"/>
  <c r="BM47" i="5" a="1"/>
  <c r="U138" i="5" a="1"/>
  <c r="BL45" i="5" a="1"/>
  <c r="BO69" i="5" a="1"/>
  <c r="U105" i="5" a="1"/>
  <c r="BK47" i="5" a="1"/>
  <c r="V108" i="5" a="1"/>
  <c r="BK69" i="5" a="1"/>
  <c r="L167" i="5" a="1"/>
  <c r="BN69" i="5" a="1"/>
  <c r="BD46" i="5" a="1"/>
  <c r="V98" i="5" a="1"/>
  <c r="BM72" i="5" a="1"/>
  <c r="T140" i="5" a="1"/>
  <c r="BR71" i="5" a="1"/>
  <c r="U129" i="5" a="1"/>
  <c r="U130" i="5" a="1"/>
  <c r="K186" i="5" a="1"/>
  <c r="BN73" i="5" a="1"/>
  <c r="BD48" i="5" a="1"/>
  <c r="W145" i="5" a="1"/>
  <c r="T135" i="5" a="1"/>
  <c r="BR70" i="5" a="1"/>
  <c r="T143" i="5" a="1"/>
  <c r="BI69" i="5" a="1"/>
  <c r="BP48" i="5" a="1"/>
  <c r="U109" i="5" a="1"/>
  <c r="BP49" i="5" a="1"/>
  <c r="BS69" i="5" a="1"/>
  <c r="BR49" i="5" a="1"/>
  <c r="X103" i="5" a="1"/>
  <c r="BK73" i="5" a="1"/>
  <c r="V139" i="5" a="1"/>
  <c r="L163" i="5" a="1"/>
  <c r="U136" i="5" a="1"/>
  <c r="U107" i="5" a="1"/>
  <c r="T130" i="5" a="1"/>
  <c r="K167" i="5" a="1"/>
  <c r="W103" i="5" a="1"/>
  <c r="BT48" i="5" a="1"/>
  <c r="BJ71" i="5" a="1"/>
  <c r="V96" i="5" a="1"/>
  <c r="BS48" i="5" a="1"/>
  <c r="W130" i="5" a="1"/>
  <c r="U132" i="5" a="1"/>
  <c r="X143" i="5" a="1"/>
  <c r="BG45" i="5" a="1"/>
  <c r="V101" i="5" a="1"/>
  <c r="BE73" i="5" a="1"/>
  <c r="X93" i="5" a="1"/>
  <c r="V141" i="5" a="1"/>
  <c r="BN71" i="5" a="1"/>
  <c r="BI47" i="5" a="1"/>
  <c r="BM49" i="5" a="1"/>
  <c r="BG73" i="5" a="1"/>
  <c r="BD69" i="5" a="1"/>
  <c r="BE70" i="5" a="1"/>
  <c r="BT70" i="5" a="1"/>
  <c r="U101" i="5" a="1"/>
  <c r="V140" i="5" a="1"/>
  <c r="L165" i="5" a="1"/>
  <c r="U93" i="5" a="1"/>
  <c r="X132" i="5" a="1"/>
  <c r="L166" i="5" a="1"/>
  <c r="L185" i="5" a="1"/>
  <c r="X96" i="5" a="1"/>
  <c r="BP47" i="5" a="1"/>
  <c r="BG72" i="5" a="1"/>
  <c r="BS72" i="5" a="1"/>
  <c r="T134" i="5" a="1"/>
  <c r="W140" i="5" a="1"/>
  <c r="U97" i="5" a="1"/>
  <c r="W132" i="5" a="1"/>
  <c r="BH73" i="5" a="1"/>
  <c r="BL69" i="5" a="1"/>
  <c r="BT45" i="5" a="1"/>
  <c r="K184" i="5" a="1"/>
  <c r="W101" i="5" a="1"/>
  <c r="X137" i="5" a="1"/>
  <c r="X135" i="5" a="1"/>
  <c r="X145" i="5" a="1"/>
  <c r="BP71" i="5" a="1"/>
  <c r="BN49" i="5" a="1"/>
  <c r="V138" i="5" a="1"/>
  <c r="BF73" i="5" a="1"/>
  <c r="BM71" i="5" a="1"/>
  <c r="BE46" i="5" a="1"/>
  <c r="U141" i="5" a="1"/>
  <c r="W97" i="5" a="1"/>
  <c r="BQ45" i="5" a="1"/>
  <c r="V142" i="5" a="1"/>
  <c r="K187" i="5" a="1"/>
  <c r="X131" i="5" a="1"/>
  <c r="BD72" i="5" a="1"/>
  <c r="W133" i="5" a="1"/>
  <c r="BJ73" i="5" a="1"/>
  <c r="W99" i="5" a="1"/>
  <c r="BJ70" i="5" a="1"/>
  <c r="BG49" i="5" a="1"/>
  <c r="U137" i="5" a="1"/>
  <c r="L164" i="5" a="1"/>
  <c r="BF49" i="5" a="1"/>
  <c r="BQ46" i="5" a="1"/>
  <c r="T133" i="5" a="1"/>
  <c r="U133" i="5" a="1"/>
  <c r="BN70" i="5" a="1"/>
  <c r="BG70" i="5" a="1"/>
  <c r="BS70" i="5" a="1"/>
  <c r="U108" i="5" a="1"/>
  <c r="BS71" i="5" a="1"/>
  <c r="BQ73" i="5" a="1"/>
  <c r="T145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14" i="5" a="1"/>
  <c r="C150" i="5" a="1"/>
  <c r="C172" i="5" a="1"/>
  <c r="C54" i="5" a="1"/>
  <c r="C192" i="5" a="1"/>
  <c r="C30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9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<sst xmlns="http://schemas.openxmlformats.org/spreadsheetml/2006/main" count="2204" uniqueCount="430">
  <si>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</si>
  <si>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</si>
  <si>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</si>
  <si>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</si>
  <si>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</si>
  <si>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</si>
  <si>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</si>
  <si>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</si>
  <si>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</si>
  <si>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</si>
  <si>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</si>
  <si>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</si>
  <si>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</si>
  <si>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</si>
  <si>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</si>
  <si>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</si>
  <si>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</si>
  <si>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</si>
  <si>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</si>
  <si>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</si>
  <si>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</si>
  <si>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</si>
  <si>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</si>
  <si>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</si>
  <si>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</si>
  <si>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</si>
  <si>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</si>
  <si>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</si>
  <si>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</si>
  <si>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</si>
  <si>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</si>
  <si>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</si>
  <si>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</si>
  <si>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</si>
  <si>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</si>
  <si>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</si>
  <si>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</si>
  <si>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</si>
  <si>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</si>
  <si>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</si>
  <si>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</si>
  <si>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</si>
  <si>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</si>
  <si>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</si>
  <si>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</si>
  <si>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</si>
  <si>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</si>
  <si>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</si>
  <si>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</si>
  <si>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</si>
  <si>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</si>
  <si>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</si>
  <si>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</si>
  <si>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</si>
  <si>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</si>
  <si>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</si>
  <si>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</si>
  <si>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</si>
  <si>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</si>
  <si>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</si>
  <si>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</si>
  <si>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</si>
  <si>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</si>
  <si>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</si>
  <si>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</si>
  <si>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</si>
  <si>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</si>
  <si>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</si>
  <si>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</si>
  <si>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</si>
  <si>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</si>
  <si>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</si>
  <si>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</si>
  <si>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</si>
  <si>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</si>
  <si>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</si>
  <si>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</si>
  <si>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</si>
  <si>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</si>
  <si>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</si>
  <si>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</si>
  <si>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</si>
  <si>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</si>
  <si>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</si>
  <si>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</si>
  <si>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</si>
  <si>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</si>
  <si>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</si>
  <si>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</si>
  <si>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</si>
  <si>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</si>
  <si>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</si>
  <si>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</si>
  <si>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</si>
  <si>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</si>
  <si>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</si>
  <si>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</si>
  <si>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</si>
  <si>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</si>
  <si>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</si>
  <si>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</si>
  <si>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</si>
  <si>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</si>
  <si>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</si>
  <si>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</si>
  <si>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</si>
  <si>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</si>
  <si>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</si>
  <si>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</si>
  <si>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</si>
  <si>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</si>
  <si>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</si>
  <si>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</si>
  <si>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</si>
  <si>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</si>
  <si>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</si>
  <si>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</si>
  <si>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</si>
  <si>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</si>
  <si>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</si>
  <si>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</si>
  <si>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</si>
  <si>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</si>
  <si>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</si>
  <si>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</si>
  <si>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</si>
  <si>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</si>
  <si>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</si>
  <si>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</si>
  <si>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</si>
  <si>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</si>
  <si>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</si>
  <si>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</si>
  <si>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</si>
  <si>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</si>
  <si>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</si>
  <si>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</si>
  <si>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</si>
  <si>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</si>
  <si>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</si>
  <si>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</si>
  <si>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</si>
  <si>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</si>
  <si>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</si>
  <si>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</si>
  <si>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</si>
  <si>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</si>
  <si>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</si>
  <si>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</si>
  <si>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</si>
  <si>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</si>
  <si>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</si>
  <si>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</si>
  <si>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</si>
  <si>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</si>
  <si>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</si>
  <si>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</si>
  <si>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</si>
  <si>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</si>
  <si>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</si>
  <si>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</si>
  <si>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</si>
  <si>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</si>
  <si>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</si>
  <si>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</si>
  <si>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</si>
  <si>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</si>
  <si>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</si>
  <si>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</si>
  <si>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</si>
  <si>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</si>
  <si>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</si>
  <si>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</si>
  <si>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</si>
  <si>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</si>
  <si>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</si>
  <si>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</si>
  <si>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</si>
  <si>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</si>
  <si>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</si>
  <si>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</si>
  <si>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</si>
  <si>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</si>
  <si>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</si>
  <si>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</si>
  <si>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</si>
  <si>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</si>
  <si>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</si>
  <si>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</si>
  <si>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</si>
  <si>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</si>
  <si>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</si>
  <si>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</si>
  <si>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</si>
  <si>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</si>
  <si>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</si>
  <si>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</si>
  <si>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</si>
  <si>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</si>
  <si>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</si>
  <si>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</si>
  <si>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</si>
  <si>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</si>
  <si>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</si>
  <si>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</si>
  <si>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</si>
  <si>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</si>
  <si>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</si>
  <si>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</si>
  <si>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</si>
  <si>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</si>
  <si>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</si>
  <si>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</si>
  <si>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</si>
  <si>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</si>
  <si>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</si>
  <si>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</si>
  <si>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</si>
  <si>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</si>
  <si>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</si>
  <si>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</si>
  <si>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</si>
  <si>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</si>
  <si>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</si>
  <si>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</si>
  <si>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</si>
  <si>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</si>
  <si>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</si>
  <si>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</si>
  <si>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</si>
  <si>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</si>
  <si>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</si>
  <si>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</si>
  <si>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</si>
  <si>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</si>
  <si>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</si>
  <si>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</si>
  <si>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</si>
  <si>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</si>
  <si>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</si>
  <si>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</si>
  <si>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</si>
  <si>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</si>
  <si>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</si>
  <si>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</si>
  <si>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</si>
  <si>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</si>
  <si>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</si>
  <si>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</si>
  <si>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</si>
  <si>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</si>
  <si>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</si>
  <si>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</si>
  <si>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</si>
  <si>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</si>
  <si>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</si>
  <si>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</si>
  <si>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</si>
  <si>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</si>
  <si>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</si>
  <si>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</si>
  <si>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</si>
  <si>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</si>
  <si>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</si>
  <si>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</si>
  <si>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</si>
  <si>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</si>
  <si>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</si>
  <si>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</si>
  <si>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</si>
  <si>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</si>
  <si>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</si>
  <si>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</si>
  <si>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</si>
  <si>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</si>
  <si>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</si>
  <si>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</si>
  <si>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</si>
  <si>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</si>
  <si>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</si>
  <si>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</si>
  <si>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</si>
  <si>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</si>
  <si>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</si>
  <si>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</si>
  <si>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</si>
  <si>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</si>
  <si>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</si>
  <si>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</si>
  <si>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</si>
  <si>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</si>
  <si>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</si>
  <si>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</si>
  <si>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</si>
  <si>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</si>
  <si>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</si>
  <si>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</si>
  <si>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</si>
  <si>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</si>
  <si>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</si>
  <si>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</si>
  <si>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</si>
  <si>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</si>
  <si>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</si>
  <si>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</si>
  <si>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</si>
  <si>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</si>
  <si>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</si>
  <si>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</si>
  <si>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</si>
  <si>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</si>
  <si>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</si>
  <si>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</si>
  <si>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</si>
  <si>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</si>
  <si>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</si>
  <si>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</si>
  <si>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</si>
  <si>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</si>
  <si>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</si>
  <si>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</si>
  <si>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</si>
  <si>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</si>
  <si>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</si>
  <si>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</si>
  <si>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</si>
  <si>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</si>
  <si>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</si>
  <si>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</si>
  <si>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</si>
  <si>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</si>
  <si>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</si>
  <si>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</si>
  <si>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</si>
  <si>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</si>
  <si>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</si>
  <si>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</si>
  <si>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</si>
  <si>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</si>
  <si>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</si>
  <si>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</si>
  <si>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</si>
  <si>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</si>
  <si>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</si>
  <si>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</si>
  <si>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</si>
  <si>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</si>
  <si>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</si>
  <si>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</si>
  <si>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</si>
  <si>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</si>
  <si>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</si>
  <si>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</si>
  <si>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</si>
  <si>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</si>
  <si>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</si>
  <si>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</si>
  <si>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</si>
  <si>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</si>
  <si>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</si>
  <si>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</si>
  <si>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</si>
  <si>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</si>
  <si>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</si>
  <si>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</si>
  <si>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</si>
  <si>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</si>
  <si>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</si>
  <si>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</si>
  <si>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</si>
  <si>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</si>
  <si>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</si>
  <si>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</si>
  <si>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</si>
  <si>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</si>
  <si>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</si>
  <si>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</si>
  <si>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d.Date_GetListOfCalendars</t>
  </si>
  <si>
    <t>d.Date_GenerateSchedule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</si>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</sst>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3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88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166" fontId="30" fillId="0" borderId="69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166" fontId="31" fillId="4" borderId="34" xfId="0" applyNumberFormat="1" applyFont="1" applyFill="1" applyBorder="1" applyAlignment="1">
      <alignment horizontal="center" vertical="center"/>
    </xf>
    <xf numFmtId="4" fontId="30" fillId="0" borderId="93" xfId="0" applyNumberFormat="1" applyFont="1" applyBorder="1" applyAlignment="1">
      <alignment horizontal="center" vertical="center"/>
    </xf>
    <xf numFmtId="2" fontId="30" fillId="0" borderId="49" xfId="0" applyNumberFormat="1" applyFont="1" applyBorder="1" applyAlignment="1">
      <alignment horizontal="center"/>
    </xf>
    <xf numFmtId="2" fontId="30" fillId="0" borderId="90" xfId="0" applyNumberFormat="1" applyFont="1" applyBorder="1" applyAlignment="1">
      <alignment horizontal="center"/>
    </xf>
    <xf numFmtId="4" fontId="30" fillId="0" borderId="94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4" fontId="30" fillId="0" borderId="96" xfId="0" applyNumberFormat="1" applyFont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4" fillId="4" borderId="57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4" fillId="3" borderId="97" xfId="0" applyFont="1" applyFill="1" applyBorder="1" applyAlignment="1">
      <alignment horizontal="centerContinuous" vertical="center"/>
    </xf>
    <xf numFmtId="0" fontId="34" fillId="3" borderId="56" xfId="0" applyFont="1" applyFill="1" applyBorder="1" applyAlignment="1">
      <alignment horizontal="centerContinuous" vertical="center"/>
    </xf>
    <xf numFmtId="0" fontId="34" fillId="3" borderId="7" xfId="0" applyFont="1" applyFill="1" applyBorder="1" applyAlignment="1">
      <alignment horizontal="centerContinuous" vertical="center"/>
    </xf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4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8" xfId="0" applyFont="1" applyFill="1" applyBorder="1" applyAlignment="1">
      <alignment horizontal="center" vertical="center"/>
    </xf>
    <xf numFmtId="4" fontId="30" fillId="0" borderId="99" xfId="0" applyNumberFormat="1" applyFont="1" applyBorder="1" applyAlignment="1">
      <alignment horizontal="center" vertical="center"/>
    </xf>
    <xf numFmtId="2" fontId="34" fillId="4" borderId="33" xfId="0" applyNumberFormat="1" applyFont="1" applyFill="1" applyBorder="1" applyAlignment="1">
      <alignment horizontal="center" vertical="center"/>
    </xf>
    <xf numFmtId="2" fontId="34" fillId="4" borderId="34" xfId="0" applyNumberFormat="1" applyFont="1" applyFill="1" applyBorder="1" applyAlignment="1">
      <alignment horizontal="center" vertical="center"/>
    </xf>
    <xf numFmtId="2" fontId="34" fillId="4" borderId="35" xfId="0" applyNumberFormat="1" applyFont="1" applyFill="1" applyBorder="1" applyAlignment="1">
      <alignment horizontal="center" vertical="center"/>
    </xf>
    <xf numFmtId="2" fontId="30" fillId="0" borderId="36" xfId="0" applyNumberFormat="1" applyFont="1" applyBorder="1" applyAlignment="1">
      <alignment horizontal="center"/>
    </xf>
    <xf numFmtId="2" fontId="30" fillId="0" borderId="42" xfId="0" applyNumberFormat="1" applyFon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34" fillId="4" borderId="56" xfId="0" applyNumberFormat="1" applyFont="1" applyFill="1" applyBorder="1" applyAlignment="1">
      <alignment horizontal="center" vertic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0" fillId="0" borderId="102" xfId="0" applyNumberFormat="1" applyBorder="1" applyAlignment="1">
      <alignment horizontal="center"/>
    </xf>
    <xf numFmtId="2" fontId="34" fillId="4" borderId="103" xfId="0" applyNumberFormat="1" applyFont="1" applyFill="1" applyBorder="1" applyAlignment="1">
      <alignment horizontal="center" vertical="center"/>
    </xf>
    <xf numFmtId="2" fontId="0" fillId="0" borderId="38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34" fillId="4" borderId="104" xfId="0" applyNumberFormat="1" applyFont="1" applyFill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4" fontId="30" fillId="0" borderId="108" xfId="0" applyNumberFormat="1" applyFont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0" fillId="0" borderId="11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  <xf numFmtId="0" fontId="34" fillId="4" borderId="33" xfId="0" applyFont="1" applyFill="1" applyBorder="1" applyAlignment="1">
      <alignment horizontal="center" vertical="center"/>
    </xf>
    <xf numFmtId="0" fontId="34" fillId="4" borderId="35" xfId="0" applyFont="1" applyFill="1" applyBorder="1" applyAlignment="1">
      <alignment horizontal="center" vertical="center"/>
    </xf>
    <xf numFmtId="4" fontId="30" fillId="0" borderId="72" xfId="0" applyNumberFormat="1" applyFont="1" applyBorder="1" applyAlignment="1">
      <alignment horizontal="center" vertical="center"/>
    </xf>
    <xf numFmtId="4" fontId="30" fillId="0" borderId="7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0" fillId="0" borderId="118" xfId="0" applyNumberFormat="1" applyFont="1" applyBorder="1" applyAlignment="1">
      <alignment horizontal="center" vertical="center"/>
    </xf>
    <xf numFmtId="4" fontId="30" fillId="0" borderId="119" xfId="0" applyNumberFormat="1" applyFont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1" fillId="4" borderId="122" xfId="0" applyNumberFormat="1" applyFont="1" applyFill="1" applyBorder="1" applyAlignment="1">
      <alignment horizontal="center" vertical="center"/>
    </xf>
    <xf numFmtId="4" fontId="31" fillId="4" borderId="114" xfId="0" applyNumberFormat="1" applyFont="1" applyFill="1" applyBorder="1" applyAlignment="1">
      <alignment horizontal="center" vertical="center"/>
    </xf>
    <xf numFmtId="4" fontId="31" fillId="4" borderId="99" xfId="0" applyNumberFormat="1" applyFont="1" applyFill="1" applyBorder="1" applyAlignment="1">
      <alignment horizontal="center" vertical="center"/>
    </xf>
    <xf numFmtId="4" fontId="31" fillId="4" borderId="123" xfId="0" applyNumberFormat="1" applyFont="1" applyFill="1" applyBorder="1" applyAlignment="1">
      <alignment horizontal="center" vertical="center"/>
    </xf>
    <xf numFmtId="4" fontId="31" fillId="4" borderId="65" xfId="0" applyNumberFormat="1" applyFont="1" applyFill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4" fontId="30" fillId="0" borderId="125" xfId="0" applyNumberFormat="1" applyFont="1" applyBorder="1" applyAlignment="1">
      <alignment horizontal="center" vertical="center"/>
    </xf>
    <xf numFmtId="4" fontId="30" fillId="0" borderId="48" xfId="0" applyNumberFormat="1" applyFont="1" applyBorder="1" applyAlignment="1">
      <alignment horizontal="center" vertical="center"/>
    </xf>
    <xf numFmtId="4" fontId="30" fillId="0" borderId="126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0" fontId="34" fillId="4" borderId="5" xfId="0" applyFont="1" applyFill="1" applyBorder="1" applyAlignment="1">
      <alignment horizontal="center" vertical="center"/>
    </xf>
    <xf numFmtId="0" fontId="34" fillId="4" borderId="129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1" fillId="4" borderId="130" xfId="0" applyNumberFormat="1" applyFont="1" applyFill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3" xfId="0" applyNumberFormat="1" applyFont="1" applyBorder="1" applyAlignment="1">
      <alignment horizontal="center" vertical="center"/>
    </xf>
    <xf numFmtId="4" fontId="30" fillId="0" borderId="135" xfId="0" applyNumberFormat="1" applyFont="1" applyBorder="1" applyAlignment="1">
      <alignment horizontal="center" vertical="center"/>
    </xf>
    <xf numFmtId="4" fontId="30" fillId="0" borderId="134" xfId="0" applyNumberFormat="1" applyFont="1" applyBorder="1" applyAlignment="1">
      <alignment horizontal="center" vertical="center"/>
    </xf>
    <xf numFmtId="4" fontId="30" fillId="0" borderId="136" xfId="0" applyNumberFormat="1" applyFont="1" applyBorder="1" applyAlignment="1">
      <alignment horizontal="center" vertical="center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37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5"/>
  <sheetViews>
    <sheetView showGridLines="0" workbookViewId="0">
      <selection activeCell="D14" sqref="D14"/>
    </sheetView>
  </sheetViews>
  <sheetFormatPr defaultRowHeight="14.4" x14ac:dyDescent="0.3"/>
  <cols>
    <col min="1" max="1" width="3.77734375" customWidth="1"/>
    <col min="2" max="2" width="21.44140625" bestFit="1" customWidth="1"/>
  </cols>
  <sheetData>
    <row r="2" spans="2:3" ht="25.8" x14ac:dyDescent="0.5">
      <c r="B2" s="2" t="s">
        <v>134</v>
      </c>
      <c r="C2" s="2"/>
    </row>
    <row r="4" spans="2:3" x14ac:dyDescent="0.3">
      <c r="B4" s="239" t="s">
        <v>124</v>
      </c>
      <c r="C4" s="240"/>
    </row>
    <row r="5" spans="2:3" x14ac:dyDescent="0.3">
      <c r="B5" s="241" t="s">
        <v>186</v>
      </c>
      <c r="C5" s="241"/>
    </row>
    <row r="6" spans="2:3" x14ac:dyDescent="0.3">
      <c r="B6" s="241" t="s">
        <v>187</v>
      </c>
      <c r="C6" s="241"/>
    </row>
    <row r="8" spans="2:3" ht="18" x14ac:dyDescent="0.35">
      <c r="B8" s="3" t="s">
        <v>288</v>
      </c>
      <c r="C8" s="3"/>
    </row>
    <row r="9" spans="2:3" x14ac:dyDescent="0.3">
      <c r="B9" s="224" t="s">
        <v>0</v>
      </c>
      <c r="C9" s="185" t="str">
        <f>Dates!C4</f>
        <v>OK</v>
      </c>
    </row>
    <row r="12" spans="2:3" ht="18" x14ac:dyDescent="0.35">
      <c r="B12" s="3" t="s">
        <v>287</v>
      </c>
      <c r="C12" s="3"/>
    </row>
    <row r="13" spans="2:3" x14ac:dyDescent="0.3">
      <c r="B13" s="224" t="s">
        <v>1</v>
      </c>
    </row>
    <row r="14" spans="2:3" x14ac:dyDescent="0.3">
      <c r="B14" t="s">
        <v>22</v>
      </c>
    </row>
    <row r="18" spans="2:5" ht="18" x14ac:dyDescent="0.35">
      <c r="B18" s="3" t="s">
        <v>135</v>
      </c>
      <c r="C18" s="3"/>
    </row>
    <row r="19" spans="2:5" x14ac:dyDescent="0.3">
      <c r="B19" s="224" t="s">
        <v>138</v>
      </c>
      <c r="C19" s="185" t="str">
        <f>'Test Utils'!C4</f>
        <v>OK</v>
      </c>
    </row>
    <row r="20" spans="2:5" x14ac:dyDescent="0.3">
      <c r="B20" s="224" t="s">
        <v>90</v>
      </c>
      <c r="C20" s="185" t="str">
        <f ca="1">'Table Formatting'!C4</f>
        <v>OK</v>
      </c>
    </row>
    <row r="25" spans="2:5" x14ac:dyDescent="0.3">
      <c r="E25" s="185"/>
    </row>
  </sheetData>
  <conditionalFormatting sqref="C19">
    <cfRule type="cellIs" dxfId="377" priority="1" stopIfTrue="1" operator="equal">
      <formula>"OK"</formula>
    </cfRule>
    <cfRule type="cellIs" dxfId="376" priority="2" stopIfTrue="1" operator="equal">
      <formula>"ERROR"</formula>
    </cfRule>
  </conditionalFormatting>
  <conditionalFormatting sqref="C20">
    <cfRule type="cellIs" dxfId="375" priority="3" stopIfTrue="1" operator="equal">
      <formula>"OK"</formula>
    </cfRule>
    <cfRule type="cellIs" dxfId="374" priority="4" stopIfTrue="1" operator="equal">
      <formula>"ERROR"</formula>
    </cfRule>
  </conditionalFormatting>
  <conditionalFormatting sqref="C9">
    <cfRule type="cellIs" dxfId="373" priority="5" stopIfTrue="1" operator="equal">
      <formula>"ERROR"</formula>
    </cfRule>
    <cfRule type="cellIs" dxfId="372" priority="6" stopIfTrue="1" operator="equal">
      <formula>"OK"</formula>
    </cfRule>
    <cfRule type="cellIs" dxfId="371" priority="7" stopIfTrue="1" operator="equal">
      <formula>"WARNING"</formula>
    </cfRule>
  </conditionalFormatting>
  <hyperlinks>
    <hyperlink ref="B13" location="Curves.Title" display="Curves" xr:uid="{55B00831-142E-4799-B620-B8B79F221D3E}"/>
    <hyperlink ref="B20" location="TableFormatting.Title" display="Table Formatting" xr:uid="{36F5A4C0-4058-4EAB-B9F0-3120B1D828EB}"/>
    <hyperlink ref="B19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91"/>
  <sheetViews>
    <sheetView showGridLines="0" topLeftCell="A28" zoomScaleNormal="100" workbookViewId="0"/>
  </sheetViews>
  <sheetFormatPr defaultColWidth="9" defaultRowHeight="13.8" x14ac:dyDescent="0.3"/>
  <cols>
    <col min="1" max="1" width="3.77734375" style="375" customWidth="1"/>
    <col min="2" max="2" width="18" style="375" customWidth="1"/>
    <col min="3" max="3" width="14.21875" style="375" customWidth="1"/>
    <col min="4" max="4" width="11.33203125" style="375" customWidth="1"/>
    <col min="5" max="5" width="10.77734375" style="375" customWidth="1"/>
    <col min="6" max="6" width="13.88671875" style="375" bestFit="1" customWidth="1"/>
    <col min="7" max="7" width="12.33203125" style="375" customWidth="1"/>
    <col min="8" max="8" width="11.6640625" style="375" customWidth="1"/>
    <col min="9" max="9" width="17.6640625" style="375" customWidth="1"/>
    <col min="10" max="10" width="8.88671875" style="375" bestFit="1" customWidth="1"/>
    <col min="11" max="11" width="9.6640625" style="375" customWidth="1"/>
    <col min="12" max="12" width="12.6640625" style="375" customWidth="1"/>
    <col min="13" max="13" width="13.88671875" style="375" bestFit="1" customWidth="1"/>
    <col min="14" max="14" width="9.33203125" style="375" customWidth="1"/>
    <col min="15" max="15" width="10" style="375" customWidth="1"/>
    <col min="16" max="16" width="16" style="375" customWidth="1"/>
    <col min="17" max="17" width="8.88671875" style="375" bestFit="1" customWidth="1"/>
    <col min="18" max="18" width="10.6640625" style="375" customWidth="1"/>
    <col min="19" max="19" width="36" style="375" bestFit="1" customWidth="1"/>
    <col min="20" max="20" width="30.21875" style="375" customWidth="1"/>
    <col min="21" max="22" width="9" style="375"/>
    <col min="23" max="23" width="20.44140625" style="375" customWidth="1"/>
    <col min="24" max="25" width="9" style="375"/>
    <col min="26" max="27" width="37.109375" style="375" bestFit="1" customWidth="1"/>
    <col min="28" max="16384" width="9" style="375"/>
  </cols>
  <sheetData>
    <row r="2" spans="2:28" ht="25.8" x14ac:dyDescent="0.5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3">
      <c r="B4" s="59" t="s">
        <v>170</v>
      </c>
      <c r="C4" s="377" t="str" cm="1">
        <f t="array" ref="C4">_xll.d.TestUtils_And(D8:D16)</f>
        <v>OK</v>
      </c>
    </row>
    <row r="7" spans="2:28" x14ac:dyDescent="0.3">
      <c r="B7" s="228" t="s">
        <v>247</v>
      </c>
      <c r="C7" s="228"/>
      <c r="D7" s="229" t="s">
        <v>11</v>
      </c>
    </row>
    <row r="8" spans="2:28" x14ac:dyDescent="0.3">
      <c r="B8" s="238" t="s">
        <v>265</v>
      </c>
      <c r="C8" s="397"/>
      <c r="D8" s="377" t="str">
        <f>C21</f>
        <v>OK</v>
      </c>
    </row>
    <row r="9" spans="2:28" x14ac:dyDescent="0.3">
      <c r="B9" s="238" t="s">
        <v>272</v>
      </c>
      <c r="C9" s="397"/>
      <c r="D9" s="377" t="str">
        <f>C36</f>
        <v>OK</v>
      </c>
    </row>
    <row r="10" spans="2:28" x14ac:dyDescent="0.3">
      <c r="B10" s="238" t="s">
        <v>273</v>
      </c>
      <c r="C10" s="397"/>
      <c r="D10" s="377" t="str">
        <f>C51</f>
        <v>OK</v>
      </c>
    </row>
    <row r="11" spans="2:28" x14ac:dyDescent="0.3">
      <c r="B11" s="238" t="s">
        <v>264</v>
      </c>
      <c r="C11" s="397"/>
      <c r="D11" s="377" t="str">
        <f>C66</f>
        <v>OK</v>
      </c>
    </row>
    <row r="12" spans="2:28" x14ac:dyDescent="0.3">
      <c r="B12" s="238" t="s">
        <v>377</v>
      </c>
      <c r="C12" s="397"/>
      <c r="D12" s="377" t="str">
        <f>C80</f>
        <v>OK</v>
      </c>
    </row>
    <row r="13" spans="2:28" x14ac:dyDescent="0.3">
      <c r="B13" s="238" t="s">
        <v>275</v>
      </c>
      <c r="C13" s="397"/>
      <c r="D13" s="377" t="str">
        <f>C124</f>
        <v>OK</v>
      </c>
    </row>
    <row r="14" spans="2:28" x14ac:dyDescent="0.3">
      <c r="B14" s="238" t="s">
        <v>378</v>
      </c>
      <c r="C14" s="397"/>
      <c r="D14" s="377" t="str">
        <f>C151</f>
        <v>OK</v>
      </c>
    </row>
    <row r="15" spans="2:28" x14ac:dyDescent="0.3">
      <c r="B15" s="238" t="s">
        <v>289</v>
      </c>
      <c r="C15" s="397"/>
      <c r="D15" s="377" t="str">
        <f>C167</f>
        <v>OK</v>
      </c>
    </row>
    <row r="16" spans="2:28" x14ac:dyDescent="0.3">
      <c r="B16" s="238" t="s">
        <v>300</v>
      </c>
      <c r="C16" s="397"/>
      <c r="D16" s="377" t="str">
        <f>C182</f>
        <v>OK</v>
      </c>
    </row>
    <row r="19" spans="2:28" ht="18" x14ac:dyDescent="0.35">
      <c r="B19" s="3" t="s">
        <v>265</v>
      </c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1" spans="2:28" x14ac:dyDescent="0.3">
      <c r="B21" s="59" t="s">
        <v>170</v>
      </c>
      <c r="C21" s="377" t="str" cm="1">
        <f t="array" ref="C21">_xll.d.TestUtils_And(G26,N26,U26,AB26)</f>
        <v>OK</v>
      </c>
    </row>
    <row r="22" spans="2:28" x14ac:dyDescent="0.3">
      <c r="G22" s="376"/>
    </row>
    <row r="23" spans="2:28" ht="15.6" x14ac:dyDescent="0.3">
      <c r="B23" s="4" t="s">
        <v>268</v>
      </c>
      <c r="C23" s="384"/>
      <c r="D23" s="384"/>
      <c r="E23" s="384"/>
      <c r="F23" s="384"/>
      <c r="G23" s="384"/>
      <c r="I23" s="4" t="s">
        <v>270</v>
      </c>
      <c r="J23" s="4"/>
      <c r="K23" s="384"/>
      <c r="L23" s="384"/>
      <c r="M23" s="384"/>
      <c r="N23" s="384"/>
      <c r="P23" s="4" t="s">
        <v>271</v>
      </c>
      <c r="Q23" s="384"/>
      <c r="R23" s="384"/>
      <c r="S23" s="384"/>
      <c r="T23" s="384"/>
      <c r="U23" s="384"/>
      <c r="W23" s="4" t="s">
        <v>280</v>
      </c>
      <c r="X23" s="384"/>
      <c r="Y23" s="384"/>
      <c r="Z23" s="384"/>
      <c r="AA23" s="384"/>
      <c r="AB23" s="384"/>
    </row>
    <row r="24" spans="2:28" x14ac:dyDescent="0.3">
      <c r="G24" s="376"/>
    </row>
    <row r="25" spans="2:28" x14ac:dyDescent="0.3">
      <c r="B25" s="138" t="s">
        <v>267</v>
      </c>
      <c r="C25" s="139"/>
      <c r="E25" s="138" t="s">
        <v>144</v>
      </c>
      <c r="F25" s="138" t="s">
        <v>269</v>
      </c>
      <c r="G25" s="138" t="s">
        <v>88</v>
      </c>
      <c r="I25" s="138" t="s">
        <v>267</v>
      </c>
      <c r="J25" s="139"/>
      <c r="L25" s="138" t="s">
        <v>144</v>
      </c>
      <c r="M25" s="138" t="s">
        <v>269</v>
      </c>
      <c r="N25" s="138" t="s">
        <v>88</v>
      </c>
      <c r="P25" s="138" t="s">
        <v>267</v>
      </c>
      <c r="Q25" s="139"/>
      <c r="S25" s="138" t="s">
        <v>144</v>
      </c>
      <c r="T25" s="138" t="s">
        <v>269</v>
      </c>
      <c r="U25" s="138" t="s">
        <v>88</v>
      </c>
      <c r="W25" s="138" t="s">
        <v>267</v>
      </c>
      <c r="X25" s="139"/>
      <c r="Z25" s="138" t="s">
        <v>144</v>
      </c>
      <c r="AA25" s="138" t="s">
        <v>269</v>
      </c>
      <c r="AB25" s="138" t="s">
        <v>88</v>
      </c>
    </row>
    <row r="26" spans="2:28" x14ac:dyDescent="0.3">
      <c r="B26" s="380" t="s">
        <v>35</v>
      </c>
      <c r="C26" s="381">
        <v>44742</v>
      </c>
      <c r="E26" s="385" cm="1">
        <f t="array" ref="E26">_xll.d.Date_FolDay(C26,B28:B30)</f>
        <v>44743</v>
      </c>
      <c r="F26" s="386">
        <v>44743</v>
      </c>
      <c r="G26" s="387" t="str" cm="1">
        <f t="array" ref="G26">_xll.d.TestUtils_Equal(E26,F26)</f>
        <v>OK</v>
      </c>
      <c r="I26" s="140" t="s">
        <v>35</v>
      </c>
      <c r="J26" s="378">
        <v>44728</v>
      </c>
      <c r="L26" s="385" cm="1">
        <f t="array" ref="L26">_xll.d.Date_FolDay(J26,J27)</f>
        <v>44729</v>
      </c>
      <c r="M26" s="386">
        <v>44729</v>
      </c>
      <c r="N26" s="387" t="str" cm="1">
        <f t="array" ref="N26">_xll.d.TestUtils_Equal(L26,M26)</f>
        <v>OK</v>
      </c>
      <c r="P26" s="140" t="s">
        <v>35</v>
      </c>
      <c r="Q26" s="378">
        <v>44746</v>
      </c>
      <c r="S26" s="385" cm="1">
        <f t="array" ref="S26">_xll.d.Date_FolDay(Q26,Q27)</f>
        <v>44747</v>
      </c>
      <c r="T26" s="386">
        <v>44747</v>
      </c>
      <c r="U26" s="387" t="str" cm="1">
        <f t="array" ref="U26">_xll.d.TestUtils_Equal(S26,T26)</f>
        <v>OK</v>
      </c>
      <c r="W26" s="140" t="s">
        <v>35</v>
      </c>
      <c r="X26" s="378">
        <v>44746</v>
      </c>
      <c r="Z26" s="385" t="str" cm="1">
        <f t="array" ref="Z26">_xll.d.Date_FolDay(X26,X27)</f>
        <v>#∂Excel Error: Unknown calendar: WRE</v>
      </c>
      <c r="AA26" s="386" t="s">
        <v>282</v>
      </c>
      <c r="AB26" s="387" t="str" cm="1">
        <f t="array" ref="AB26">_xll.d.TestUtils_Equal(Z26,AA26)</f>
        <v>OK</v>
      </c>
    </row>
    <row r="27" spans="2:28" x14ac:dyDescent="0.3">
      <c r="G27" s="376"/>
      <c r="I27" s="144" t="s">
        <v>253</v>
      </c>
      <c r="J27" s="145" t="s">
        <v>71</v>
      </c>
      <c r="P27" s="144" t="s">
        <v>253</v>
      </c>
      <c r="Q27" s="145" t="s">
        <v>274</v>
      </c>
      <c r="W27" s="144" t="s">
        <v>253</v>
      </c>
      <c r="X27" s="145" t="s">
        <v>281</v>
      </c>
    </row>
    <row r="28" spans="2:28" x14ac:dyDescent="0.3">
      <c r="B28" s="379" t="s">
        <v>266</v>
      </c>
      <c r="G28" s="376"/>
    </row>
    <row r="29" spans="2:28" x14ac:dyDescent="0.3">
      <c r="B29" s="388">
        <v>44742</v>
      </c>
    </row>
    <row r="30" spans="2:28" x14ac:dyDescent="0.3">
      <c r="B30" s="389">
        <v>44920</v>
      </c>
      <c r="G30" s="376"/>
    </row>
    <row r="31" spans="2:28" x14ac:dyDescent="0.3">
      <c r="G31" s="376"/>
    </row>
    <row r="32" spans="2:28" x14ac:dyDescent="0.3">
      <c r="G32" s="376"/>
    </row>
    <row r="33" spans="2:28" x14ac:dyDescent="0.3">
      <c r="G33" s="376"/>
    </row>
    <row r="34" spans="2:28" ht="18" x14ac:dyDescent="0.35">
      <c r="B34" s="3" t="s">
        <v>272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6" spans="2:28" x14ac:dyDescent="0.3">
      <c r="B36" s="59" t="s">
        <v>170</v>
      </c>
      <c r="C36" s="377" t="str" cm="1">
        <f t="array" ref="C36">_xll.d.TestUtils_And(G41,N41,U41,AB41)</f>
        <v>OK</v>
      </c>
    </row>
    <row r="38" spans="2:28" ht="15.6" x14ac:dyDescent="0.3">
      <c r="B38" s="4" t="s">
        <v>268</v>
      </c>
      <c r="C38" s="384"/>
      <c r="D38" s="384"/>
      <c r="E38" s="384"/>
      <c r="F38" s="384"/>
      <c r="G38" s="384"/>
      <c r="I38" s="4" t="s">
        <v>270</v>
      </c>
      <c r="J38" s="4"/>
      <c r="K38" s="384"/>
      <c r="L38" s="384"/>
      <c r="M38" s="384"/>
      <c r="N38" s="384"/>
      <c r="P38" s="4" t="s">
        <v>271</v>
      </c>
      <c r="Q38" s="384"/>
      <c r="R38" s="384"/>
      <c r="S38" s="384"/>
      <c r="T38" s="384"/>
      <c r="U38" s="384"/>
      <c r="W38" s="4" t="s">
        <v>280</v>
      </c>
      <c r="X38" s="384"/>
      <c r="Y38" s="384"/>
      <c r="Z38" s="384"/>
      <c r="AA38" s="384"/>
      <c r="AB38" s="384"/>
    </row>
    <row r="39" spans="2:28" x14ac:dyDescent="0.3">
      <c r="G39" s="376"/>
    </row>
    <row r="40" spans="2:28" x14ac:dyDescent="0.3">
      <c r="B40" s="138" t="s">
        <v>267</v>
      </c>
      <c r="C40" s="139"/>
      <c r="E40" s="138" t="s">
        <v>144</v>
      </c>
      <c r="F40" s="138" t="s">
        <v>269</v>
      </c>
      <c r="G40" s="138" t="s">
        <v>88</v>
      </c>
      <c r="I40" s="138" t="s">
        <v>267</v>
      </c>
      <c r="J40" s="139"/>
      <c r="L40" s="138" t="s">
        <v>144</v>
      </c>
      <c r="M40" s="138" t="s">
        <v>269</v>
      </c>
      <c r="N40" s="138" t="s">
        <v>88</v>
      </c>
      <c r="P40" s="138" t="s">
        <v>267</v>
      </c>
      <c r="Q40" s="139"/>
      <c r="S40" s="138" t="s">
        <v>144</v>
      </c>
      <c r="T40" s="138" t="s">
        <v>269</v>
      </c>
      <c r="U40" s="138" t="s">
        <v>88</v>
      </c>
      <c r="W40" s="138" t="s">
        <v>267</v>
      </c>
      <c r="X40" s="139"/>
      <c r="Z40" s="138" t="s">
        <v>144</v>
      </c>
      <c r="AA40" s="138" t="s">
        <v>269</v>
      </c>
      <c r="AB40" s="138" t="s">
        <v>88</v>
      </c>
    </row>
    <row r="41" spans="2:28" x14ac:dyDescent="0.3">
      <c r="B41" s="380" t="s">
        <v>35</v>
      </c>
      <c r="C41" s="381">
        <v>44742</v>
      </c>
      <c r="E41" s="385" cm="1">
        <f t="array" ref="E41">_xll.d.Date_ModFolDay(C41,B43:B45)</f>
        <v>44741</v>
      </c>
      <c r="F41" s="386">
        <v>44741</v>
      </c>
      <c r="G41" s="387" t="str" cm="1">
        <f t="array" ref="G41">_xll.d.TestUtils_Equal(E41,F41)</f>
        <v>OK</v>
      </c>
      <c r="I41" s="140" t="s">
        <v>35</v>
      </c>
      <c r="J41" s="378">
        <v>44728</v>
      </c>
      <c r="L41" s="385" cm="1">
        <f t="array" ref="L41">_xll.d.Date_ModFolDay(J41,J42)</f>
        <v>44729</v>
      </c>
      <c r="M41" s="386">
        <v>44729</v>
      </c>
      <c r="N41" s="387" t="str" cm="1">
        <f t="array" ref="N41">_xll.d.TestUtils_Equal(L41,M41)</f>
        <v>OK</v>
      </c>
      <c r="P41" s="140" t="s">
        <v>35</v>
      </c>
      <c r="Q41" s="378">
        <v>44746</v>
      </c>
      <c r="S41" s="385" cm="1">
        <f t="array" ref="S41">_xll.d.Date_ModFolDay(Q41,Q42)</f>
        <v>44747</v>
      </c>
      <c r="T41" s="386">
        <v>44747</v>
      </c>
      <c r="U41" s="387" t="str" cm="1">
        <f t="array" ref="U41">_xll.d.TestUtils_Equal(S41,T41)</f>
        <v>OK</v>
      </c>
      <c r="W41" s="140" t="s">
        <v>35</v>
      </c>
      <c r="X41" s="378">
        <v>44746</v>
      </c>
      <c r="Z41" s="385" t="str" cm="1">
        <f t="array" ref="Z41">_xll.d.Date_ModFolDay(X41,X42)</f>
        <v>#∂Excel Error: Unknown calendar: WRE</v>
      </c>
      <c r="AA41" s="386" t="s">
        <v>282</v>
      </c>
      <c r="AB41" s="387" t="str" cm="1">
        <f t="array" ref="AB41">_xll.d.TestUtils_Equal(Z41,AA41)</f>
        <v>OK</v>
      </c>
    </row>
    <row r="42" spans="2:28" x14ac:dyDescent="0.3">
      <c r="G42" s="376"/>
      <c r="I42" s="144" t="s">
        <v>253</v>
      </c>
      <c r="J42" s="145" t="s">
        <v>71</v>
      </c>
      <c r="P42" s="144" t="s">
        <v>253</v>
      </c>
      <c r="Q42" s="145" t="s">
        <v>274</v>
      </c>
      <c r="W42" s="144" t="s">
        <v>253</v>
      </c>
      <c r="X42" s="145" t="s">
        <v>281</v>
      </c>
    </row>
    <row r="43" spans="2:28" x14ac:dyDescent="0.3">
      <c r="B43" s="379" t="s">
        <v>266</v>
      </c>
      <c r="G43" s="376"/>
    </row>
    <row r="44" spans="2:28" x14ac:dyDescent="0.3">
      <c r="B44" s="388">
        <v>44742</v>
      </c>
    </row>
    <row r="45" spans="2:28" x14ac:dyDescent="0.3">
      <c r="B45" s="389">
        <v>44920</v>
      </c>
      <c r="G45" s="376"/>
    </row>
    <row r="46" spans="2:28" x14ac:dyDescent="0.3">
      <c r="G46" s="376"/>
    </row>
    <row r="47" spans="2:28" x14ac:dyDescent="0.3">
      <c r="G47" s="376"/>
    </row>
    <row r="48" spans="2:28" x14ac:dyDescent="0.3">
      <c r="G48" s="376"/>
    </row>
    <row r="49" spans="2:28" ht="18" x14ac:dyDescent="0.35">
      <c r="B49" s="3" t="s">
        <v>273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1" spans="2:28" x14ac:dyDescent="0.3">
      <c r="B51" s="59" t="s">
        <v>170</v>
      </c>
      <c r="C51" s="377" t="str" cm="1">
        <f t="array" ref="C51">_xll.d.TestUtils_And(G56,N56,U56,AB56)</f>
        <v>OK</v>
      </c>
    </row>
    <row r="52" spans="2:28" x14ac:dyDescent="0.3">
      <c r="G52" s="376"/>
    </row>
    <row r="53" spans="2:28" ht="15.6" x14ac:dyDescent="0.3">
      <c r="B53" s="4" t="s">
        <v>268</v>
      </c>
      <c r="C53" s="384"/>
      <c r="D53" s="384"/>
      <c r="E53" s="384"/>
      <c r="F53" s="384"/>
      <c r="G53" s="384"/>
      <c r="I53" s="4" t="s">
        <v>270</v>
      </c>
      <c r="J53" s="4"/>
      <c r="K53" s="384"/>
      <c r="L53" s="384"/>
      <c r="M53" s="384"/>
      <c r="N53" s="384"/>
      <c r="P53" s="4" t="s">
        <v>271</v>
      </c>
      <c r="Q53" s="384"/>
      <c r="R53" s="384"/>
      <c r="S53" s="384"/>
      <c r="T53" s="384"/>
      <c r="U53" s="384"/>
      <c r="W53" s="4" t="s">
        <v>280</v>
      </c>
      <c r="X53" s="384"/>
      <c r="Y53" s="384"/>
      <c r="Z53" s="384"/>
      <c r="AA53" s="384"/>
      <c r="AB53" s="384"/>
    </row>
    <row r="54" spans="2:28" x14ac:dyDescent="0.3">
      <c r="G54" s="376"/>
    </row>
    <row r="55" spans="2:28" x14ac:dyDescent="0.3">
      <c r="B55" s="138" t="s">
        <v>267</v>
      </c>
      <c r="C55" s="139"/>
      <c r="E55" s="138" t="s">
        <v>144</v>
      </c>
      <c r="F55" s="138" t="s">
        <v>269</v>
      </c>
      <c r="G55" s="138" t="s">
        <v>88</v>
      </c>
      <c r="I55" s="138" t="s">
        <v>267</v>
      </c>
      <c r="J55" s="139"/>
      <c r="L55" s="138" t="s">
        <v>144</v>
      </c>
      <c r="M55" s="138" t="s">
        <v>269</v>
      </c>
      <c r="N55" s="138" t="s">
        <v>88</v>
      </c>
      <c r="P55" s="138" t="s">
        <v>267</v>
      </c>
      <c r="Q55" s="139"/>
      <c r="S55" s="138" t="s">
        <v>144</v>
      </c>
      <c r="T55" s="138" t="s">
        <v>269</v>
      </c>
      <c r="U55" s="138" t="s">
        <v>88</v>
      </c>
      <c r="W55" s="138" t="s">
        <v>267</v>
      </c>
      <c r="X55" s="139"/>
      <c r="Z55" s="138" t="s">
        <v>144</v>
      </c>
      <c r="AA55" s="138" t="s">
        <v>269</v>
      </c>
      <c r="AB55" s="138" t="s">
        <v>88</v>
      </c>
    </row>
    <row r="56" spans="2:28" x14ac:dyDescent="0.3">
      <c r="B56" s="380" t="s">
        <v>35</v>
      </c>
      <c r="C56" s="381">
        <v>44742</v>
      </c>
      <c r="E56" s="385" cm="1">
        <f t="array" ref="E56">_xll.d.Date_PrevDay(C56,B58:B60)</f>
        <v>44741</v>
      </c>
      <c r="F56" s="386">
        <v>44741</v>
      </c>
      <c r="G56" s="387" t="str" cm="1">
        <f t="array" ref="G56">_xll.d.TestUtils_Equal(E56,F56)</f>
        <v>OK</v>
      </c>
      <c r="I56" s="140" t="s">
        <v>35</v>
      </c>
      <c r="J56" s="378">
        <v>44728</v>
      </c>
      <c r="L56" s="385" cm="1">
        <f t="array" ref="L56">_xll.d.Date_PrevDay(J56,J57)</f>
        <v>44727</v>
      </c>
      <c r="M56" s="386">
        <v>44727</v>
      </c>
      <c r="N56" s="387" t="str" cm="1">
        <f t="array" ref="N56">_xll.d.TestUtils_Equal(L56,M56)</f>
        <v>OK</v>
      </c>
      <c r="P56" s="140" t="s">
        <v>35</v>
      </c>
      <c r="Q56" s="378">
        <v>44746</v>
      </c>
      <c r="S56" s="385" cm="1">
        <f t="array" ref="S56">_xll.d.Date_PrevDay(Q56,Q57)</f>
        <v>44743</v>
      </c>
      <c r="T56" s="386">
        <v>44743</v>
      </c>
      <c r="U56" s="387" t="str" cm="1">
        <f t="array" ref="U56">_xll.d.TestUtils_Equal(S56,T56)</f>
        <v>OK</v>
      </c>
      <c r="W56" s="140" t="s">
        <v>35</v>
      </c>
      <c r="X56" s="378">
        <v>44746</v>
      </c>
      <c r="Z56" s="385" t="str" cm="1">
        <f t="array" ref="Z56">_xll.d.Date_PrevDay(X56,X57)</f>
        <v>#∂Excel Error: Unknown calendar: WRE</v>
      </c>
      <c r="AA56" s="386" t="s">
        <v>282</v>
      </c>
      <c r="AB56" s="387" t="str" cm="1">
        <f t="array" ref="AB56">_xll.d.TestUtils_Equal(Z56,AA56)</f>
        <v>OK</v>
      </c>
    </row>
    <row r="57" spans="2:28" x14ac:dyDescent="0.3">
      <c r="G57" s="376"/>
      <c r="I57" s="144" t="s">
        <v>253</v>
      </c>
      <c r="J57" s="145" t="s">
        <v>71</v>
      </c>
      <c r="P57" s="144" t="s">
        <v>253</v>
      </c>
      <c r="Q57" s="145" t="s">
        <v>274</v>
      </c>
      <c r="W57" s="144" t="s">
        <v>253</v>
      </c>
      <c r="X57" s="145" t="s">
        <v>281</v>
      </c>
    </row>
    <row r="58" spans="2:28" x14ac:dyDescent="0.3">
      <c r="B58" s="379" t="s">
        <v>266</v>
      </c>
      <c r="G58" s="376"/>
    </row>
    <row r="59" spans="2:28" x14ac:dyDescent="0.3">
      <c r="B59" s="388">
        <v>44742</v>
      </c>
    </row>
    <row r="60" spans="2:28" x14ac:dyDescent="0.3">
      <c r="B60" s="389">
        <v>44920</v>
      </c>
      <c r="G60" s="376"/>
    </row>
    <row r="61" spans="2:28" x14ac:dyDescent="0.3">
      <c r="G61" s="376"/>
    </row>
    <row r="62" spans="2:28" x14ac:dyDescent="0.3">
      <c r="G62" s="376"/>
    </row>
    <row r="63" spans="2:28" x14ac:dyDescent="0.3">
      <c r="G63" s="376"/>
    </row>
    <row r="64" spans="2:28" ht="18" x14ac:dyDescent="0.35">
      <c r="B64" s="3" t="s">
        <v>264</v>
      </c>
      <c r="C64" s="383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  <row r="66" spans="2:28" x14ac:dyDescent="0.3">
      <c r="B66" s="59" t="s">
        <v>170</v>
      </c>
      <c r="C66" s="377" t="str" cm="1">
        <f t="array" ref="C66">_xll.d.TestUtils_And(G71,N71,U71,AB71)</f>
        <v>OK</v>
      </c>
    </row>
    <row r="68" spans="2:28" ht="15.6" x14ac:dyDescent="0.3">
      <c r="B68" s="4" t="s">
        <v>278</v>
      </c>
      <c r="C68" s="384"/>
      <c r="D68" s="384"/>
      <c r="E68" s="384"/>
      <c r="F68" s="384"/>
      <c r="G68" s="384"/>
      <c r="I68" s="4" t="s">
        <v>279</v>
      </c>
      <c r="J68" s="384"/>
      <c r="K68" s="384"/>
      <c r="L68" s="384"/>
      <c r="M68" s="384"/>
      <c r="N68" s="384"/>
      <c r="P68" s="4" t="s">
        <v>283</v>
      </c>
      <c r="Q68" s="384"/>
      <c r="R68" s="384"/>
      <c r="S68" s="384"/>
      <c r="T68" s="384"/>
      <c r="U68" s="384"/>
      <c r="W68" s="4" t="s">
        <v>284</v>
      </c>
      <c r="X68" s="384"/>
      <c r="Y68" s="384"/>
      <c r="Z68" s="384"/>
      <c r="AA68" s="384"/>
      <c r="AB68" s="384"/>
    </row>
    <row r="70" spans="2:28" x14ac:dyDescent="0.3">
      <c r="B70" s="138" t="s">
        <v>267</v>
      </c>
      <c r="C70" s="139"/>
      <c r="E70" s="12" t="s">
        <v>144</v>
      </c>
      <c r="F70" s="27" t="s">
        <v>269</v>
      </c>
      <c r="G70" s="139" t="s">
        <v>88</v>
      </c>
      <c r="I70" s="138" t="s">
        <v>267</v>
      </c>
      <c r="J70" s="139"/>
      <c r="L70" s="12" t="s">
        <v>144</v>
      </c>
      <c r="M70" s="27" t="s">
        <v>269</v>
      </c>
      <c r="N70" s="139" t="s">
        <v>88</v>
      </c>
      <c r="P70" s="138" t="s">
        <v>267</v>
      </c>
      <c r="Q70" s="139"/>
      <c r="S70" s="12" t="s">
        <v>144</v>
      </c>
      <c r="T70" s="27" t="s">
        <v>269</v>
      </c>
      <c r="U70" s="139" t="s">
        <v>88</v>
      </c>
      <c r="W70" s="138" t="s">
        <v>267</v>
      </c>
      <c r="X70" s="139"/>
      <c r="Z70" s="12" t="s">
        <v>144</v>
      </c>
      <c r="AA70" s="27" t="s">
        <v>269</v>
      </c>
      <c r="AB70" s="139" t="s">
        <v>88</v>
      </c>
    </row>
    <row r="71" spans="2:28" x14ac:dyDescent="0.3">
      <c r="B71" s="140" t="s">
        <v>35</v>
      </c>
      <c r="C71" s="378">
        <v>44562</v>
      </c>
      <c r="E71" s="385" cm="1">
        <f t="array" ref="E71">_xll.d.Date_AddTenorToDate(C71,C72,C73,C74)</f>
        <v>44652</v>
      </c>
      <c r="F71" s="386">
        <v>44652</v>
      </c>
      <c r="G71" s="387" t="str" cm="1">
        <f t="array" ref="G71">_xll.d.TestUtils_Equal(E71,F71)</f>
        <v>OK</v>
      </c>
      <c r="I71" s="140" t="s">
        <v>35</v>
      </c>
      <c r="J71" s="378">
        <v>44562</v>
      </c>
      <c r="L71" s="385" cm="1">
        <f t="array" ref="L71">_xll.d.Date_AddTenorToDate(J71,J72,J73,J74)</f>
        <v>44652</v>
      </c>
      <c r="M71" s="386">
        <v>44652</v>
      </c>
      <c r="N71" s="387" t="str" cm="1">
        <f t="array" ref="N71">_xll.d.TestUtils_Equal(L71,M71)</f>
        <v>OK</v>
      </c>
      <c r="P71" s="140" t="s">
        <v>35</v>
      </c>
      <c r="Q71" s="378">
        <v>44562</v>
      </c>
      <c r="S71" s="385" t="str" cm="1">
        <f t="array" ref="S71">_xll.d.Date_AddTenorToDate(Q71,Q72,Q73,Q74)</f>
        <v>#∂Excel Error: Unknown calendar: WRE</v>
      </c>
      <c r="T71" s="386" t="s">
        <v>282</v>
      </c>
      <c r="U71" s="387" t="str" cm="1">
        <f t="array" ref="U71">_xll.d.TestUtils_Equal(S71,T71)</f>
        <v>OK</v>
      </c>
      <c r="W71" s="140" t="s">
        <v>35</v>
      </c>
      <c r="X71" s="378">
        <v>44562</v>
      </c>
      <c r="Z71" s="385" t="str" cm="1">
        <f t="array" ref="Z71">_xll.d.Date_AddTenorToDate(X71,X72,X73,X74)</f>
        <v>#∂Excel Error: Unknown business day convention: ASD</v>
      </c>
      <c r="AA71" s="386" t="s">
        <v>286</v>
      </c>
      <c r="AB71" s="387" t="str" cm="1">
        <f t="array" ref="AB71">_xll.d.TestUtils_Equal(Z71,AA71)</f>
        <v>OK</v>
      </c>
    </row>
    <row r="72" spans="2:28" x14ac:dyDescent="0.3">
      <c r="B72" s="142" t="s">
        <v>24</v>
      </c>
      <c r="C72" s="390" t="s">
        <v>26</v>
      </c>
      <c r="I72" s="142" t="s">
        <v>24</v>
      </c>
      <c r="J72" s="390" t="s">
        <v>26</v>
      </c>
      <c r="P72" s="142" t="s">
        <v>24</v>
      </c>
      <c r="Q72" s="390" t="s">
        <v>26</v>
      </c>
      <c r="W72" s="142" t="s">
        <v>24</v>
      </c>
      <c r="X72" s="390" t="s">
        <v>26</v>
      </c>
    </row>
    <row r="73" spans="2:28" x14ac:dyDescent="0.3">
      <c r="B73" s="142" t="s">
        <v>253</v>
      </c>
      <c r="C73" s="390" t="s">
        <v>71</v>
      </c>
      <c r="I73" s="142" t="s">
        <v>253</v>
      </c>
      <c r="J73" s="390" t="s">
        <v>274</v>
      </c>
      <c r="P73" s="142" t="s">
        <v>253</v>
      </c>
      <c r="Q73" s="390" t="s">
        <v>281</v>
      </c>
      <c r="W73" s="142" t="s">
        <v>253</v>
      </c>
      <c r="X73" s="390" t="s">
        <v>274</v>
      </c>
    </row>
    <row r="74" spans="2:28" x14ac:dyDescent="0.3">
      <c r="B74" s="144" t="s">
        <v>254</v>
      </c>
      <c r="C74" s="145" t="s">
        <v>255</v>
      </c>
      <c r="I74" s="144" t="s">
        <v>254</v>
      </c>
      <c r="J74" s="145" t="s">
        <v>255</v>
      </c>
      <c r="P74" s="144" t="s">
        <v>254</v>
      </c>
      <c r="Q74" s="145" t="s">
        <v>255</v>
      </c>
      <c r="W74" s="144" t="s">
        <v>254</v>
      </c>
      <c r="X74" s="145" t="s">
        <v>285</v>
      </c>
    </row>
    <row r="75" spans="2:28" x14ac:dyDescent="0.3">
      <c r="B75" s="238"/>
    </row>
    <row r="76" spans="2:28" x14ac:dyDescent="0.3">
      <c r="B76" s="238"/>
    </row>
    <row r="78" spans="2:28" ht="18" x14ac:dyDescent="0.35">
      <c r="B78" s="3" t="s">
        <v>377</v>
      </c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</row>
    <row r="80" spans="2:28" x14ac:dyDescent="0.3">
      <c r="B80" s="59" t="s">
        <v>170</v>
      </c>
      <c r="C80" s="377" t="str" cm="1">
        <f t="array" ref="C80">_xll.d.TestUtils_And(L85:O118)</f>
        <v>OK</v>
      </c>
    </row>
    <row r="82" spans="2:15" ht="15.6" x14ac:dyDescent="0.3">
      <c r="B82" s="4" t="s">
        <v>115</v>
      </c>
      <c r="C82" s="384"/>
      <c r="D82" s="384"/>
      <c r="E82" s="384"/>
      <c r="F82" s="384"/>
      <c r="G82" s="384"/>
      <c r="H82" s="384"/>
      <c r="I82" s="384"/>
    </row>
    <row r="84" spans="2:15" x14ac:dyDescent="0.3">
      <c r="B84" s="138" t="s">
        <v>144</v>
      </c>
      <c r="C84" s="231"/>
      <c r="D84" s="231"/>
      <c r="E84" s="139"/>
      <c r="G84" s="138" t="s">
        <v>269</v>
      </c>
      <c r="H84" s="231"/>
      <c r="I84" s="231"/>
      <c r="J84" s="139"/>
      <c r="L84" s="138" t="s">
        <v>225</v>
      </c>
      <c r="M84" s="231"/>
      <c r="N84" s="231"/>
      <c r="O84" s="139"/>
    </row>
    <row r="85" spans="2:15" x14ac:dyDescent="0.3">
      <c r="B85" s="136" t="str" cm="1">
        <f t="array" ref="B85:E118">_xll.d.Date_GetListOfCalendars()</f>
        <v>Variant 1</v>
      </c>
      <c r="C85" s="344" t="str">
        <v>Variant 2</v>
      </c>
      <c r="D85" s="344" t="str">
        <v>Variant 3</v>
      </c>
      <c r="E85" s="137" t="str">
        <v>Variant 4</v>
      </c>
      <c r="G85" s="136" t="s">
        <v>290</v>
      </c>
      <c r="H85" s="344" t="s">
        <v>291</v>
      </c>
      <c r="I85" s="344" t="s">
        <v>301</v>
      </c>
      <c r="J85" s="137" t="s">
        <v>302</v>
      </c>
      <c r="L85" s="377" t="str" cm="1">
        <f t="array" ref="L85">_xll.d.TestUtils_Equal(B85,G85)</f>
        <v>OK</v>
      </c>
      <c r="M85" s="377" t="str" cm="1">
        <f t="array" ref="M85">_xll.d.TestUtils_Equal(C85,H85)</f>
        <v>OK</v>
      </c>
      <c r="N85" s="377" t="str" cm="1">
        <f t="array" ref="N85">_xll.d.TestUtils_Equal(D85,I85)</f>
        <v>OK</v>
      </c>
      <c r="O85" s="377" t="str" cm="1">
        <f t="array" ref="O85">_xll.d.TestUtils_Equal(E85,J85)</f>
        <v>OK</v>
      </c>
    </row>
    <row r="86" spans="2:15" x14ac:dyDescent="0.3">
      <c r="B86" s="140" t="str">
        <v>ARS</v>
      </c>
      <c r="C86" s="398" t="str">
        <v>Argentina</v>
      </c>
      <c r="D86" s="398" t="str">
        <v/>
      </c>
      <c r="E86" s="141" t="str">
        <v/>
      </c>
      <c r="G86" s="140" t="s">
        <v>313</v>
      </c>
      <c r="H86" s="398" t="s">
        <v>314</v>
      </c>
      <c r="I86" s="398" t="s">
        <v>305</v>
      </c>
      <c r="J86" s="141" t="s">
        <v>305</v>
      </c>
      <c r="L86" s="377" t="str" cm="1">
        <f t="array" ref="L86">_xll.d.TestUtils_Equal(B86,G86)</f>
        <v>OK</v>
      </c>
      <c r="M86" s="377" t="str" cm="1">
        <f t="array" ref="M86">_xll.d.TestUtils_Equal(C86,H86)</f>
        <v>OK</v>
      </c>
      <c r="N86" s="377" t="str" cm="1">
        <f t="array" ref="N86">_xll.d.TestUtils_Equal(D86,I86)</f>
        <v>OK</v>
      </c>
      <c r="O86" s="377" t="str" cm="1">
        <f t="array" ref="O86">_xll.d.TestUtils_Equal(E86,J86)</f>
        <v>OK</v>
      </c>
    </row>
    <row r="87" spans="2:15" x14ac:dyDescent="0.3">
      <c r="B87" s="142" t="str">
        <v>AUD</v>
      </c>
      <c r="C87" s="332" t="str">
        <v>Australia</v>
      </c>
      <c r="D87" s="332" t="str">
        <v/>
      </c>
      <c r="E87" s="143" t="str">
        <v/>
      </c>
      <c r="G87" s="142" t="s">
        <v>315</v>
      </c>
      <c r="H87" s="332" t="s">
        <v>316</v>
      </c>
      <c r="I87" s="332" t="s">
        <v>305</v>
      </c>
      <c r="J87" s="143" t="s">
        <v>305</v>
      </c>
      <c r="L87" s="377" t="str" cm="1">
        <f t="array" ref="L87">_xll.d.TestUtils_Equal(B87,G87)</f>
        <v>OK</v>
      </c>
      <c r="M87" s="377" t="str" cm="1">
        <f t="array" ref="M87">_xll.d.TestUtils_Equal(C87,H87)</f>
        <v>OK</v>
      </c>
      <c r="N87" s="377" t="str" cm="1">
        <f t="array" ref="N87">_xll.d.TestUtils_Equal(D87,I87)</f>
        <v>OK</v>
      </c>
      <c r="O87" s="377" t="str" cm="1">
        <f t="array" ref="O87">_xll.d.TestUtils_Equal(E87,J87)</f>
        <v>OK</v>
      </c>
    </row>
    <row r="88" spans="2:15" x14ac:dyDescent="0.3">
      <c r="B88" s="142" t="str">
        <v>BWP</v>
      </c>
      <c r="C88" s="332" t="str">
        <v>Botswana</v>
      </c>
      <c r="D88" s="332" t="str">
        <v/>
      </c>
      <c r="E88" s="143" t="str">
        <v/>
      </c>
      <c r="G88" s="142" t="s">
        <v>317</v>
      </c>
      <c r="H88" s="332" t="s">
        <v>318</v>
      </c>
      <c r="I88" s="332" t="s">
        <v>305</v>
      </c>
      <c r="J88" s="143" t="s">
        <v>305</v>
      </c>
      <c r="L88" s="377" t="str" cm="1">
        <f t="array" ref="L88">_xll.d.TestUtils_Equal(B88,G88)</f>
        <v>OK</v>
      </c>
      <c r="M88" s="377" t="str" cm="1">
        <f t="array" ref="M88">_xll.d.TestUtils_Equal(C88,H88)</f>
        <v>OK</v>
      </c>
      <c r="N88" s="377" t="str" cm="1">
        <f t="array" ref="N88">_xll.d.TestUtils_Equal(D88,I88)</f>
        <v>OK</v>
      </c>
      <c r="O88" s="377" t="str" cm="1">
        <f t="array" ref="O88">_xll.d.TestUtils_Equal(E88,J88)</f>
        <v>OK</v>
      </c>
    </row>
    <row r="89" spans="2:15" x14ac:dyDescent="0.3">
      <c r="B89" s="142" t="str">
        <v>BRL</v>
      </c>
      <c r="C89" s="332" t="str">
        <v>Brazil</v>
      </c>
      <c r="D89" s="332" t="str">
        <v/>
      </c>
      <c r="E89" s="143" t="str">
        <v/>
      </c>
      <c r="G89" s="142" t="s">
        <v>319</v>
      </c>
      <c r="H89" s="332" t="s">
        <v>320</v>
      </c>
      <c r="I89" s="332" t="s">
        <v>305</v>
      </c>
      <c r="J89" s="143" t="s">
        <v>305</v>
      </c>
      <c r="L89" s="377" t="str" cm="1">
        <f t="array" ref="L89">_xll.d.TestUtils_Equal(B89,G89)</f>
        <v>OK</v>
      </c>
      <c r="M89" s="377" t="str" cm="1">
        <f t="array" ref="M89">_xll.d.TestUtils_Equal(C89,H89)</f>
        <v>OK</v>
      </c>
      <c r="N89" s="377" t="str" cm="1">
        <f t="array" ref="N89">_xll.d.TestUtils_Equal(D89,I89)</f>
        <v>OK</v>
      </c>
      <c r="O89" s="377" t="str" cm="1">
        <f t="array" ref="O89">_xll.d.TestUtils_Equal(E89,J89)</f>
        <v>OK</v>
      </c>
    </row>
    <row r="90" spans="2:15" x14ac:dyDescent="0.3">
      <c r="B90" s="142" t="str">
        <v>CAD</v>
      </c>
      <c r="C90" s="332" t="str">
        <v>Canada</v>
      </c>
      <c r="D90" s="332" t="str">
        <v/>
      </c>
      <c r="E90" s="143" t="str">
        <v/>
      </c>
      <c r="G90" s="142" t="s">
        <v>321</v>
      </c>
      <c r="H90" s="332" t="s">
        <v>322</v>
      </c>
      <c r="I90" s="332" t="s">
        <v>305</v>
      </c>
      <c r="J90" s="143" t="s">
        <v>305</v>
      </c>
      <c r="L90" s="377" t="str" cm="1">
        <f t="array" ref="L90">_xll.d.TestUtils_Equal(B90,G90)</f>
        <v>OK</v>
      </c>
      <c r="M90" s="377" t="str" cm="1">
        <f t="array" ref="M90">_xll.d.TestUtils_Equal(C90,H90)</f>
        <v>OK</v>
      </c>
      <c r="N90" s="377" t="str" cm="1">
        <f t="array" ref="N90">_xll.d.TestUtils_Equal(D90,I90)</f>
        <v>OK</v>
      </c>
      <c r="O90" s="377" t="str" cm="1">
        <f t="array" ref="O90">_xll.d.TestUtils_Equal(E90,J90)</f>
        <v>OK</v>
      </c>
    </row>
    <row r="91" spans="2:15" x14ac:dyDescent="0.3">
      <c r="B91" s="142" t="str">
        <v>CHF</v>
      </c>
      <c r="C91" s="332" t="str">
        <v>Switzerland</v>
      </c>
      <c r="D91" s="332" t="str">
        <v/>
      </c>
      <c r="E91" s="143" t="str">
        <v/>
      </c>
      <c r="G91" s="142" t="s">
        <v>323</v>
      </c>
      <c r="H91" s="332" t="s">
        <v>324</v>
      </c>
      <c r="I91" s="332" t="s">
        <v>305</v>
      </c>
      <c r="J91" s="143" t="s">
        <v>305</v>
      </c>
      <c r="L91" s="377" t="str" cm="1">
        <f t="array" ref="L91">_xll.d.TestUtils_Equal(B91,G91)</f>
        <v>OK</v>
      </c>
      <c r="M91" s="377" t="str" cm="1">
        <f t="array" ref="M91">_xll.d.TestUtils_Equal(C91,H91)</f>
        <v>OK</v>
      </c>
      <c r="N91" s="377" t="str" cm="1">
        <f t="array" ref="N91">_xll.d.TestUtils_Equal(D91,I91)</f>
        <v>OK</v>
      </c>
      <c r="O91" s="377" t="str" cm="1">
        <f t="array" ref="O91">_xll.d.TestUtils_Equal(E91,J91)</f>
        <v>OK</v>
      </c>
    </row>
    <row r="92" spans="2:15" x14ac:dyDescent="0.3">
      <c r="B92" s="142" t="str">
        <v>CNH</v>
      </c>
      <c r="C92" s="332" t="str">
        <v>China</v>
      </c>
      <c r="D92" s="332" t="str">
        <v/>
      </c>
      <c r="E92" s="143" t="str">
        <v/>
      </c>
      <c r="G92" s="142" t="s">
        <v>325</v>
      </c>
      <c r="H92" s="332" t="s">
        <v>326</v>
      </c>
      <c r="I92" s="332" t="s">
        <v>305</v>
      </c>
      <c r="J92" s="143" t="s">
        <v>305</v>
      </c>
      <c r="L92" s="377" t="str" cm="1">
        <f t="array" ref="L92">_xll.d.TestUtils_Equal(B92,G92)</f>
        <v>OK</v>
      </c>
      <c r="M92" s="377" t="str" cm="1">
        <f t="array" ref="M92">_xll.d.TestUtils_Equal(C92,H92)</f>
        <v>OK</v>
      </c>
      <c r="N92" s="377" t="str" cm="1">
        <f t="array" ref="N92">_xll.d.TestUtils_Equal(D92,I92)</f>
        <v>OK</v>
      </c>
      <c r="O92" s="377" t="str" cm="1">
        <f t="array" ref="O92">_xll.d.TestUtils_Equal(E92,J92)</f>
        <v>OK</v>
      </c>
    </row>
    <row r="93" spans="2:15" x14ac:dyDescent="0.3">
      <c r="B93" s="142" t="str">
        <v>CZK</v>
      </c>
      <c r="C93" s="332" t="str">
        <v>Czech Republic</v>
      </c>
      <c r="D93" s="332" t="str">
        <v/>
      </c>
      <c r="E93" s="143" t="str">
        <v/>
      </c>
      <c r="G93" s="142" t="s">
        <v>327</v>
      </c>
      <c r="H93" s="332" t="s">
        <v>328</v>
      </c>
      <c r="I93" s="332" t="s">
        <v>305</v>
      </c>
      <c r="J93" s="143" t="s">
        <v>305</v>
      </c>
      <c r="L93" s="377" t="str" cm="1">
        <f t="array" ref="L93">_xll.d.TestUtils_Equal(B93,G93)</f>
        <v>OK</v>
      </c>
      <c r="M93" s="377" t="str" cm="1">
        <f t="array" ref="M93">_xll.d.TestUtils_Equal(C93,H93)</f>
        <v>OK</v>
      </c>
      <c r="N93" s="377" t="str" cm="1">
        <f t="array" ref="N93">_xll.d.TestUtils_Equal(D93,I93)</f>
        <v>OK</v>
      </c>
      <c r="O93" s="377" t="str" cm="1">
        <f t="array" ref="O93">_xll.d.TestUtils_Equal(E93,J93)</f>
        <v>OK</v>
      </c>
    </row>
    <row r="94" spans="2:15" x14ac:dyDescent="0.3">
      <c r="B94" s="142" t="str">
        <v>DKK</v>
      </c>
      <c r="C94" s="332" t="str">
        <v>Denmark</v>
      </c>
      <c r="D94" s="332" t="str">
        <v/>
      </c>
      <c r="E94" s="143" t="str">
        <v/>
      </c>
      <c r="G94" s="142" t="s">
        <v>329</v>
      </c>
      <c r="H94" s="332" t="s">
        <v>330</v>
      </c>
      <c r="I94" s="332" t="s">
        <v>305</v>
      </c>
      <c r="J94" s="143" t="s">
        <v>305</v>
      </c>
      <c r="L94" s="377" t="str" cm="1">
        <f t="array" ref="L94">_xll.d.TestUtils_Equal(B94,G94)</f>
        <v>OK</v>
      </c>
      <c r="M94" s="377" t="str" cm="1">
        <f t="array" ref="M94">_xll.d.TestUtils_Equal(C94,H94)</f>
        <v>OK</v>
      </c>
      <c r="N94" s="377" t="str" cm="1">
        <f t="array" ref="N94">_xll.d.TestUtils_Equal(D94,I94)</f>
        <v>OK</v>
      </c>
      <c r="O94" s="377" t="str" cm="1">
        <f t="array" ref="O94">_xll.d.TestUtils_Equal(E94,J94)</f>
        <v>OK</v>
      </c>
    </row>
    <row r="95" spans="2:15" x14ac:dyDescent="0.3">
      <c r="B95" s="142" t="str">
        <v>EUR</v>
      </c>
      <c r="C95" s="332" t="str">
        <v>Euro</v>
      </c>
      <c r="D95" s="332" t="str">
        <v/>
      </c>
      <c r="E95" s="143" t="str">
        <v/>
      </c>
      <c r="G95" s="142" t="s">
        <v>331</v>
      </c>
      <c r="H95" s="332" t="s">
        <v>332</v>
      </c>
      <c r="I95" s="332" t="s">
        <v>305</v>
      </c>
      <c r="J95" s="143" t="s">
        <v>305</v>
      </c>
      <c r="L95" s="377" t="str" cm="1">
        <f t="array" ref="L95">_xll.d.TestUtils_Equal(B95,G95)</f>
        <v>OK</v>
      </c>
      <c r="M95" s="377" t="str" cm="1">
        <f t="array" ref="M95">_xll.d.TestUtils_Equal(C95,H95)</f>
        <v>OK</v>
      </c>
      <c r="N95" s="377" t="str" cm="1">
        <f t="array" ref="N95">_xll.d.TestUtils_Equal(D95,I95)</f>
        <v>OK</v>
      </c>
      <c r="O95" s="377" t="str" cm="1">
        <f t="array" ref="O95">_xll.d.TestUtils_Equal(E95,J95)</f>
        <v>OK</v>
      </c>
    </row>
    <row r="96" spans="2:15" x14ac:dyDescent="0.3">
      <c r="B96" s="142" t="str">
        <v>GBP</v>
      </c>
      <c r="C96" s="332" t="str">
        <v>Great Britain</v>
      </c>
      <c r="D96" s="332" t="str">
        <v/>
      </c>
      <c r="E96" s="143" t="str">
        <v/>
      </c>
      <c r="G96" s="142" t="s">
        <v>333</v>
      </c>
      <c r="H96" s="332" t="s">
        <v>334</v>
      </c>
      <c r="I96" s="332" t="s">
        <v>305</v>
      </c>
      <c r="J96" s="143" t="s">
        <v>305</v>
      </c>
      <c r="L96" s="377" t="str" cm="1">
        <f t="array" ref="L96">_xll.d.TestUtils_Equal(B96,G96)</f>
        <v>OK</v>
      </c>
      <c r="M96" s="377" t="str" cm="1">
        <f t="array" ref="M96">_xll.d.TestUtils_Equal(C96,H96)</f>
        <v>OK</v>
      </c>
      <c r="N96" s="377" t="str" cm="1">
        <f t="array" ref="N96">_xll.d.TestUtils_Equal(D96,I96)</f>
        <v>OK</v>
      </c>
      <c r="O96" s="377" t="str" cm="1">
        <f t="array" ref="O96">_xll.d.TestUtils_Equal(E96,J96)</f>
        <v>OK</v>
      </c>
    </row>
    <row r="97" spans="2:15" x14ac:dyDescent="0.3">
      <c r="B97" s="142" t="str">
        <v>Germany</v>
      </c>
      <c r="C97" s="332" t="str">
        <v/>
      </c>
      <c r="D97" s="332" t="str">
        <v/>
      </c>
      <c r="E97" s="143" t="str">
        <v/>
      </c>
      <c r="G97" s="142" t="s">
        <v>335</v>
      </c>
      <c r="H97" s="332" t="s">
        <v>305</v>
      </c>
      <c r="I97" s="332" t="s">
        <v>305</v>
      </c>
      <c r="J97" s="143" t="s">
        <v>305</v>
      </c>
      <c r="L97" s="377" t="str" cm="1">
        <f t="array" ref="L97">_xll.d.TestUtils_Equal(B97,G97)</f>
        <v>OK</v>
      </c>
      <c r="M97" s="377" t="str" cm="1">
        <f t="array" ref="M97">_xll.d.TestUtils_Equal(C97,H97)</f>
        <v>OK</v>
      </c>
      <c r="N97" s="377" t="str" cm="1">
        <f t="array" ref="N97">_xll.d.TestUtils_Equal(D97,I97)</f>
        <v>OK</v>
      </c>
      <c r="O97" s="377" t="str" cm="1">
        <f t="array" ref="O97">_xll.d.TestUtils_Equal(E97,J97)</f>
        <v>OK</v>
      </c>
    </row>
    <row r="98" spans="2:15" x14ac:dyDescent="0.3">
      <c r="B98" s="142" t="str">
        <v>HUF</v>
      </c>
      <c r="C98" s="332" t="str">
        <v>Hungary</v>
      </c>
      <c r="D98" s="332" t="str">
        <v/>
      </c>
      <c r="E98" s="143" t="str">
        <v/>
      </c>
      <c r="G98" s="142" t="s">
        <v>336</v>
      </c>
      <c r="H98" s="332" t="s">
        <v>337</v>
      </c>
      <c r="I98" s="332" t="s">
        <v>305</v>
      </c>
      <c r="J98" s="143" t="s">
        <v>305</v>
      </c>
      <c r="L98" s="377" t="str" cm="1">
        <f t="array" ref="L98">_xll.d.TestUtils_Equal(B98,G98)</f>
        <v>OK</v>
      </c>
      <c r="M98" s="377" t="str" cm="1">
        <f t="array" ref="M98">_xll.d.TestUtils_Equal(C98,H98)</f>
        <v>OK</v>
      </c>
      <c r="N98" s="377" t="str" cm="1">
        <f t="array" ref="N98">_xll.d.TestUtils_Equal(D98,I98)</f>
        <v>OK</v>
      </c>
      <c r="O98" s="377" t="str" cm="1">
        <f t="array" ref="O98">_xll.d.TestUtils_Equal(E98,J98)</f>
        <v>OK</v>
      </c>
    </row>
    <row r="99" spans="2:15" x14ac:dyDescent="0.3">
      <c r="B99" s="142" t="str">
        <v>INR</v>
      </c>
      <c r="C99" s="332" t="str">
        <v>India</v>
      </c>
      <c r="D99" s="332" t="str">
        <v/>
      </c>
      <c r="E99" s="143" t="str">
        <v/>
      </c>
      <c r="G99" s="142" t="s">
        <v>338</v>
      </c>
      <c r="H99" s="332" t="s">
        <v>339</v>
      </c>
      <c r="I99" s="332" t="s">
        <v>305</v>
      </c>
      <c r="J99" s="143" t="s">
        <v>305</v>
      </c>
      <c r="L99" s="377" t="str" cm="1">
        <f t="array" ref="L99">_xll.d.TestUtils_Equal(B99,G99)</f>
        <v>OK</v>
      </c>
      <c r="M99" s="377" t="str" cm="1">
        <f t="array" ref="M99">_xll.d.TestUtils_Equal(C99,H99)</f>
        <v>OK</v>
      </c>
      <c r="N99" s="377" t="str" cm="1">
        <f t="array" ref="N99">_xll.d.TestUtils_Equal(D99,I99)</f>
        <v>OK</v>
      </c>
      <c r="O99" s="377" t="str" cm="1">
        <f t="array" ref="O99">_xll.d.TestUtils_Equal(E99,J99)</f>
        <v>OK</v>
      </c>
    </row>
    <row r="100" spans="2:15" x14ac:dyDescent="0.3">
      <c r="B100" s="142" t="str">
        <v>ILS</v>
      </c>
      <c r="C100" s="332" t="str">
        <v>Israel</v>
      </c>
      <c r="D100" s="332" t="str">
        <v/>
      </c>
      <c r="E100" s="143" t="str">
        <v/>
      </c>
      <c r="G100" s="142" t="s">
        <v>340</v>
      </c>
      <c r="H100" s="332" t="s">
        <v>341</v>
      </c>
      <c r="I100" s="332" t="s">
        <v>305</v>
      </c>
      <c r="J100" s="143" t="s">
        <v>305</v>
      </c>
      <c r="L100" s="377" t="str" cm="1">
        <f t="array" ref="L100">_xll.d.TestUtils_Equal(B100,G100)</f>
        <v>OK</v>
      </c>
      <c r="M100" s="377" t="str" cm="1">
        <f t="array" ref="M100">_xll.d.TestUtils_Equal(C100,H100)</f>
        <v>OK</v>
      </c>
      <c r="N100" s="377" t="str" cm="1">
        <f t="array" ref="N100">_xll.d.TestUtils_Equal(D100,I100)</f>
        <v>OK</v>
      </c>
      <c r="O100" s="377" t="str" cm="1">
        <f t="array" ref="O100">_xll.d.TestUtils_Equal(E100,J100)</f>
        <v>OK</v>
      </c>
    </row>
    <row r="101" spans="2:15" x14ac:dyDescent="0.3">
      <c r="B101" s="142" t="str">
        <v>Italy</v>
      </c>
      <c r="C101" s="332" t="str">
        <v/>
      </c>
      <c r="D101" s="332" t="str">
        <v/>
      </c>
      <c r="E101" s="143" t="str">
        <v/>
      </c>
      <c r="G101" s="142" t="s">
        <v>342</v>
      </c>
      <c r="H101" s="332" t="s">
        <v>305</v>
      </c>
      <c r="I101" s="332" t="s">
        <v>305</v>
      </c>
      <c r="J101" s="143" t="s">
        <v>305</v>
      </c>
      <c r="L101" s="377" t="str" cm="1">
        <f t="array" ref="L101">_xll.d.TestUtils_Equal(B101,G101)</f>
        <v>OK</v>
      </c>
      <c r="M101" s="377" t="str" cm="1">
        <f t="array" ref="M101">_xll.d.TestUtils_Equal(C101,H101)</f>
        <v>OK</v>
      </c>
      <c r="N101" s="377" t="str" cm="1">
        <f t="array" ref="N101">_xll.d.TestUtils_Equal(D101,I101)</f>
        <v>OK</v>
      </c>
      <c r="O101" s="377" t="str" cm="1">
        <f t="array" ref="O101">_xll.d.TestUtils_Equal(E101,J101)</f>
        <v>OK</v>
      </c>
    </row>
    <row r="102" spans="2:15" x14ac:dyDescent="0.3">
      <c r="B102" s="142" t="str">
        <v>JPY</v>
      </c>
      <c r="C102" s="332" t="str">
        <v>Japan</v>
      </c>
      <c r="D102" s="332" t="str">
        <v/>
      </c>
      <c r="E102" s="143" t="str">
        <v/>
      </c>
      <c r="G102" s="142" t="s">
        <v>343</v>
      </c>
      <c r="H102" s="332" t="s">
        <v>344</v>
      </c>
      <c r="I102" s="332" t="s">
        <v>305</v>
      </c>
      <c r="J102" s="143" t="s">
        <v>305</v>
      </c>
      <c r="L102" s="377" t="str" cm="1">
        <f t="array" ref="L102">_xll.d.TestUtils_Equal(B102,G102)</f>
        <v>OK</v>
      </c>
      <c r="M102" s="377" t="str" cm="1">
        <f t="array" ref="M102">_xll.d.TestUtils_Equal(C102,H102)</f>
        <v>OK</v>
      </c>
      <c r="N102" s="377" t="str" cm="1">
        <f t="array" ref="N102">_xll.d.TestUtils_Equal(D102,I102)</f>
        <v>OK</v>
      </c>
      <c r="O102" s="377" t="str" cm="1">
        <f t="array" ref="O102">_xll.d.TestUtils_Equal(E102,J102)</f>
        <v>OK</v>
      </c>
    </row>
    <row r="103" spans="2:15" x14ac:dyDescent="0.3">
      <c r="B103" s="142" t="str">
        <v>KRW</v>
      </c>
      <c r="C103" s="332" t="str">
        <v>South Korea</v>
      </c>
      <c r="D103" s="332" t="str">
        <v/>
      </c>
      <c r="E103" s="143" t="str">
        <v/>
      </c>
      <c r="G103" s="142" t="s">
        <v>345</v>
      </c>
      <c r="H103" s="332" t="s">
        <v>346</v>
      </c>
      <c r="I103" s="332" t="s">
        <v>305</v>
      </c>
      <c r="J103" s="143" t="s">
        <v>305</v>
      </c>
      <c r="L103" s="377" t="str" cm="1">
        <f t="array" ref="L103">_xll.d.TestUtils_Equal(B103,G103)</f>
        <v>OK</v>
      </c>
      <c r="M103" s="377" t="str" cm="1">
        <f t="array" ref="M103">_xll.d.TestUtils_Equal(C103,H103)</f>
        <v>OK</v>
      </c>
      <c r="N103" s="377" t="str" cm="1">
        <f t="array" ref="N103">_xll.d.TestUtils_Equal(D103,I103)</f>
        <v>OK</v>
      </c>
      <c r="O103" s="377" t="str" cm="1">
        <f t="array" ref="O103">_xll.d.TestUtils_Equal(E103,J103)</f>
        <v>OK</v>
      </c>
    </row>
    <row r="104" spans="2:15" x14ac:dyDescent="0.3">
      <c r="B104" s="142" t="str">
        <v>MXN</v>
      </c>
      <c r="C104" s="332" t="str">
        <v>Mexico</v>
      </c>
      <c r="D104" s="332" t="str">
        <v/>
      </c>
      <c r="E104" s="143" t="str">
        <v/>
      </c>
      <c r="G104" s="142" t="s">
        <v>347</v>
      </c>
      <c r="H104" s="332" t="s">
        <v>348</v>
      </c>
      <c r="I104" s="332" t="s">
        <v>305</v>
      </c>
      <c r="J104" s="143" t="s">
        <v>305</v>
      </c>
      <c r="L104" s="377" t="str" cm="1">
        <f t="array" ref="L104">_xll.d.TestUtils_Equal(B104,G104)</f>
        <v>OK</v>
      </c>
      <c r="M104" s="377" t="str" cm="1">
        <f t="array" ref="M104">_xll.d.TestUtils_Equal(C104,H104)</f>
        <v>OK</v>
      </c>
      <c r="N104" s="377" t="str" cm="1">
        <f t="array" ref="N104">_xll.d.TestUtils_Equal(D104,I104)</f>
        <v>OK</v>
      </c>
      <c r="O104" s="377" t="str" cm="1">
        <f t="array" ref="O104">_xll.d.TestUtils_Equal(E104,J104)</f>
        <v>OK</v>
      </c>
    </row>
    <row r="105" spans="2:15" x14ac:dyDescent="0.3">
      <c r="B105" s="142" t="str">
        <v>NOK</v>
      </c>
      <c r="C105" s="332" t="str">
        <v>Norway</v>
      </c>
      <c r="D105" s="332" t="str">
        <v/>
      </c>
      <c r="E105" s="143" t="str">
        <v/>
      </c>
      <c r="G105" s="142" t="s">
        <v>349</v>
      </c>
      <c r="H105" s="332" t="s">
        <v>350</v>
      </c>
      <c r="I105" s="332" t="s">
        <v>305</v>
      </c>
      <c r="J105" s="143" t="s">
        <v>305</v>
      </c>
      <c r="L105" s="377" t="str" cm="1">
        <f t="array" ref="L105">_xll.d.TestUtils_Equal(B105,G105)</f>
        <v>OK</v>
      </c>
      <c r="M105" s="377" t="str" cm="1">
        <f t="array" ref="M105">_xll.d.TestUtils_Equal(C105,H105)</f>
        <v>OK</v>
      </c>
      <c r="N105" s="377" t="str" cm="1">
        <f t="array" ref="N105">_xll.d.TestUtils_Equal(D105,I105)</f>
        <v>OK</v>
      </c>
      <c r="O105" s="377" t="str" cm="1">
        <f t="array" ref="O105">_xll.d.TestUtils_Equal(E105,J105)</f>
        <v>OK</v>
      </c>
    </row>
    <row r="106" spans="2:15" x14ac:dyDescent="0.3">
      <c r="B106" s="142" t="str">
        <v>NZD</v>
      </c>
      <c r="C106" s="332" t="str">
        <v>New Zealand</v>
      </c>
      <c r="D106" s="332" t="str">
        <v/>
      </c>
      <c r="E106" s="143" t="str">
        <v/>
      </c>
      <c r="G106" s="142" t="s">
        <v>351</v>
      </c>
      <c r="H106" s="332" t="s">
        <v>352</v>
      </c>
      <c r="I106" s="332" t="s">
        <v>305</v>
      </c>
      <c r="J106" s="143" t="s">
        <v>305</v>
      </c>
      <c r="L106" s="377" t="str" cm="1">
        <f t="array" ref="L106">_xll.d.TestUtils_Equal(B106,G106)</f>
        <v>OK</v>
      </c>
      <c r="M106" s="377" t="str" cm="1">
        <f t="array" ref="M106">_xll.d.TestUtils_Equal(C106,H106)</f>
        <v>OK</v>
      </c>
      <c r="N106" s="377" t="str" cm="1">
        <f t="array" ref="N106">_xll.d.TestUtils_Equal(D106,I106)</f>
        <v>OK</v>
      </c>
      <c r="O106" s="377" t="str" cm="1">
        <f t="array" ref="O106">_xll.d.TestUtils_Equal(E106,J106)</f>
        <v>OK</v>
      </c>
    </row>
    <row r="107" spans="2:15" x14ac:dyDescent="0.3">
      <c r="B107" s="142" t="str">
        <v>PLN</v>
      </c>
      <c r="C107" s="332" t="str">
        <v>Poland</v>
      </c>
      <c r="D107" s="332" t="str">
        <v/>
      </c>
      <c r="E107" s="143" t="str">
        <v/>
      </c>
      <c r="G107" s="142" t="s">
        <v>353</v>
      </c>
      <c r="H107" s="332" t="s">
        <v>354</v>
      </c>
      <c r="I107" s="332" t="s">
        <v>305</v>
      </c>
      <c r="J107" s="143" t="s">
        <v>305</v>
      </c>
      <c r="L107" s="377" t="str" cm="1">
        <f t="array" ref="L107">_xll.d.TestUtils_Equal(B107,G107)</f>
        <v>OK</v>
      </c>
      <c r="M107" s="377" t="str" cm="1">
        <f t="array" ref="M107">_xll.d.TestUtils_Equal(C107,H107)</f>
        <v>OK</v>
      </c>
      <c r="N107" s="377" t="str" cm="1">
        <f t="array" ref="N107">_xll.d.TestUtils_Equal(D107,I107)</f>
        <v>OK</v>
      </c>
      <c r="O107" s="377" t="str" cm="1">
        <f t="array" ref="O107">_xll.d.TestUtils_Equal(E107,J107)</f>
        <v>OK</v>
      </c>
    </row>
    <row r="108" spans="2:15" x14ac:dyDescent="0.3">
      <c r="B108" s="142" t="str">
        <v>RON</v>
      </c>
      <c r="C108" s="332" t="str">
        <v>Romania</v>
      </c>
      <c r="D108" s="332" t="str">
        <v/>
      </c>
      <c r="E108" s="143" t="str">
        <v/>
      </c>
      <c r="G108" s="142" t="s">
        <v>355</v>
      </c>
      <c r="H108" s="332" t="s">
        <v>356</v>
      </c>
      <c r="I108" s="332" t="s">
        <v>305</v>
      </c>
      <c r="J108" s="143" t="s">
        <v>305</v>
      </c>
      <c r="L108" s="377" t="str" cm="1">
        <f t="array" ref="L108">_xll.d.TestUtils_Equal(B108,G108)</f>
        <v>OK</v>
      </c>
      <c r="M108" s="377" t="str" cm="1">
        <f t="array" ref="M108">_xll.d.TestUtils_Equal(C108,H108)</f>
        <v>OK</v>
      </c>
      <c r="N108" s="377" t="str" cm="1">
        <f t="array" ref="N108">_xll.d.TestUtils_Equal(D108,I108)</f>
        <v>OK</v>
      </c>
      <c r="O108" s="377" t="str" cm="1">
        <f t="array" ref="O108">_xll.d.TestUtils_Equal(E108,J108)</f>
        <v>OK</v>
      </c>
    </row>
    <row r="109" spans="2:15" x14ac:dyDescent="0.3">
      <c r="B109" s="142" t="str">
        <v>RUB</v>
      </c>
      <c r="C109" s="332" t="str">
        <v>Russia</v>
      </c>
      <c r="D109" s="332" t="str">
        <v/>
      </c>
      <c r="E109" s="143" t="str">
        <v/>
      </c>
      <c r="G109" s="142" t="s">
        <v>357</v>
      </c>
      <c r="H109" s="332" t="s">
        <v>358</v>
      </c>
      <c r="I109" s="332" t="s">
        <v>305</v>
      </c>
      <c r="J109" s="143" t="s">
        <v>305</v>
      </c>
      <c r="L109" s="377" t="str" cm="1">
        <f t="array" ref="L109">_xll.d.TestUtils_Equal(B109,G109)</f>
        <v>OK</v>
      </c>
      <c r="M109" s="377" t="str" cm="1">
        <f t="array" ref="M109">_xll.d.TestUtils_Equal(C109,H109)</f>
        <v>OK</v>
      </c>
      <c r="N109" s="377" t="str" cm="1">
        <f t="array" ref="N109">_xll.d.TestUtils_Equal(D109,I109)</f>
        <v>OK</v>
      </c>
      <c r="O109" s="377" t="str" cm="1">
        <f t="array" ref="O109">_xll.d.TestUtils_Equal(E109,J109)</f>
        <v>OK</v>
      </c>
    </row>
    <row r="110" spans="2:15" x14ac:dyDescent="0.3">
      <c r="B110" s="142" t="str">
        <v>SGD</v>
      </c>
      <c r="C110" s="332" t="str">
        <v>Singapore</v>
      </c>
      <c r="D110" s="332" t="str">
        <v/>
      </c>
      <c r="E110" s="143" t="str">
        <v/>
      </c>
      <c r="G110" s="142" t="s">
        <v>359</v>
      </c>
      <c r="H110" s="332" t="s">
        <v>360</v>
      </c>
      <c r="I110" s="332" t="s">
        <v>305</v>
      </c>
      <c r="J110" s="143" t="s">
        <v>305</v>
      </c>
      <c r="L110" s="377" t="str" cm="1">
        <f t="array" ref="L110">_xll.d.TestUtils_Equal(B110,G110)</f>
        <v>OK</v>
      </c>
      <c r="M110" s="377" t="str" cm="1">
        <f t="array" ref="M110">_xll.d.TestUtils_Equal(C110,H110)</f>
        <v>OK</v>
      </c>
      <c r="N110" s="377" t="str" cm="1">
        <f t="array" ref="N110">_xll.d.TestUtils_Equal(D110,I110)</f>
        <v>OK</v>
      </c>
      <c r="O110" s="377" t="str" cm="1">
        <f t="array" ref="O110">_xll.d.TestUtils_Equal(E110,J110)</f>
        <v>OK</v>
      </c>
    </row>
    <row r="111" spans="2:15" x14ac:dyDescent="0.3">
      <c r="B111" s="142" t="str">
        <v>SKK</v>
      </c>
      <c r="C111" s="332" t="str">
        <v>Sweden</v>
      </c>
      <c r="D111" s="332" t="str">
        <v/>
      </c>
      <c r="E111" s="143" t="str">
        <v/>
      </c>
      <c r="G111" s="142" t="s">
        <v>361</v>
      </c>
      <c r="H111" s="332" t="s">
        <v>362</v>
      </c>
      <c r="I111" s="332" t="s">
        <v>305</v>
      </c>
      <c r="J111" s="143" t="s">
        <v>305</v>
      </c>
      <c r="L111" s="377" t="str" cm="1">
        <f t="array" ref="L111">_xll.d.TestUtils_Equal(B111,G111)</f>
        <v>OK</v>
      </c>
      <c r="M111" s="377" t="str" cm="1">
        <f t="array" ref="M111">_xll.d.TestUtils_Equal(C111,H111)</f>
        <v>OK</v>
      </c>
      <c r="N111" s="377" t="str" cm="1">
        <f t="array" ref="N111">_xll.d.TestUtils_Equal(D111,I111)</f>
        <v>OK</v>
      </c>
      <c r="O111" s="377" t="str" cm="1">
        <f t="array" ref="O111">_xll.d.TestUtils_Equal(E111,J111)</f>
        <v>OK</v>
      </c>
    </row>
    <row r="112" spans="2:15" x14ac:dyDescent="0.3">
      <c r="B112" s="142" t="str">
        <v>SLOVAKIA</v>
      </c>
      <c r="C112" s="332" t="str">
        <v/>
      </c>
      <c r="D112" s="332" t="str">
        <v/>
      </c>
      <c r="E112" s="143" t="str">
        <v/>
      </c>
      <c r="G112" s="142" t="s">
        <v>363</v>
      </c>
      <c r="H112" s="332" t="s">
        <v>305</v>
      </c>
      <c r="I112" s="332" t="s">
        <v>305</v>
      </c>
      <c r="J112" s="143" t="s">
        <v>305</v>
      </c>
      <c r="L112" s="377" t="str" cm="1">
        <f t="array" ref="L112">_xll.d.TestUtils_Equal(B112,G112)</f>
        <v>OK</v>
      </c>
      <c r="M112" s="377" t="str" cm="1">
        <f t="array" ref="M112">_xll.d.TestUtils_Equal(C112,H112)</f>
        <v>OK</v>
      </c>
      <c r="N112" s="377" t="str" cm="1">
        <f t="array" ref="N112">_xll.d.TestUtils_Equal(D112,I112)</f>
        <v>OK</v>
      </c>
      <c r="O112" s="377" t="str" cm="1">
        <f t="array" ref="O112">_xll.d.TestUtils_Equal(E112,J112)</f>
        <v>OK</v>
      </c>
    </row>
    <row r="113" spans="2:28" x14ac:dyDescent="0.3">
      <c r="B113" s="142" t="str">
        <v>THB</v>
      </c>
      <c r="C113" s="332" t="str">
        <v>Thailand</v>
      </c>
      <c r="D113" s="332" t="str">
        <v/>
      </c>
      <c r="E113" s="143" t="str">
        <v/>
      </c>
      <c r="G113" s="142" t="s">
        <v>364</v>
      </c>
      <c r="H113" s="332" t="s">
        <v>365</v>
      </c>
      <c r="I113" s="332" t="s">
        <v>305</v>
      </c>
      <c r="J113" s="143" t="s">
        <v>305</v>
      </c>
      <c r="L113" s="377" t="str" cm="1">
        <f t="array" ref="L113">_xll.d.TestUtils_Equal(B113,G113)</f>
        <v>OK</v>
      </c>
      <c r="M113" s="377" t="str" cm="1">
        <f t="array" ref="M113">_xll.d.TestUtils_Equal(C113,H113)</f>
        <v>OK</v>
      </c>
      <c r="N113" s="377" t="str" cm="1">
        <f t="array" ref="N113">_xll.d.TestUtils_Equal(D113,I113)</f>
        <v>OK</v>
      </c>
      <c r="O113" s="377" t="str" cm="1">
        <f t="array" ref="O113">_xll.d.TestUtils_Equal(E113,J113)</f>
        <v>OK</v>
      </c>
    </row>
    <row r="114" spans="2:28" x14ac:dyDescent="0.3">
      <c r="B114" s="142" t="str">
        <v>TRY</v>
      </c>
      <c r="C114" s="332" t="str">
        <v>Turkey</v>
      </c>
      <c r="D114" s="332" t="str">
        <v/>
      </c>
      <c r="E114" s="143" t="str">
        <v/>
      </c>
      <c r="G114" s="142" t="s">
        <v>366</v>
      </c>
      <c r="H114" s="332" t="s">
        <v>367</v>
      </c>
      <c r="I114" s="332" t="s">
        <v>305</v>
      </c>
      <c r="J114" s="143" t="s">
        <v>305</v>
      </c>
      <c r="L114" s="377" t="str" cm="1">
        <f t="array" ref="L114">_xll.d.TestUtils_Equal(B114,G114)</f>
        <v>OK</v>
      </c>
      <c r="M114" s="377" t="str" cm="1">
        <f t="array" ref="M114">_xll.d.TestUtils_Equal(C114,H114)</f>
        <v>OK</v>
      </c>
      <c r="N114" s="377" t="str" cm="1">
        <f t="array" ref="N114">_xll.d.TestUtils_Equal(D114,I114)</f>
        <v>OK</v>
      </c>
      <c r="O114" s="377" t="str" cm="1">
        <f t="array" ref="O114">_xll.d.TestUtils_Equal(E114,J114)</f>
        <v>OK</v>
      </c>
    </row>
    <row r="115" spans="2:28" x14ac:dyDescent="0.3">
      <c r="B115" s="142" t="str">
        <v>TWD</v>
      </c>
      <c r="C115" s="332" t="str">
        <v>Taiwan</v>
      </c>
      <c r="D115" s="332" t="str">
        <v/>
      </c>
      <c r="E115" s="143" t="str">
        <v/>
      </c>
      <c r="G115" s="142" t="s">
        <v>368</v>
      </c>
      <c r="H115" s="332" t="s">
        <v>369</v>
      </c>
      <c r="I115" s="332" t="s">
        <v>305</v>
      </c>
      <c r="J115" s="143" t="s">
        <v>305</v>
      </c>
      <c r="L115" s="377" t="str" cm="1">
        <f t="array" ref="L115">_xll.d.TestUtils_Equal(B115,G115)</f>
        <v>OK</v>
      </c>
      <c r="M115" s="377" t="str" cm="1">
        <f t="array" ref="M115">_xll.d.TestUtils_Equal(C115,H115)</f>
        <v>OK</v>
      </c>
      <c r="N115" s="377" t="str" cm="1">
        <f t="array" ref="N115">_xll.d.TestUtils_Equal(D115,I115)</f>
        <v>OK</v>
      </c>
      <c r="O115" s="377" t="str" cm="1">
        <f t="array" ref="O115">_xll.d.TestUtils_Equal(E115,J115)</f>
        <v>OK</v>
      </c>
    </row>
    <row r="116" spans="2:28" x14ac:dyDescent="0.3">
      <c r="B116" s="142" t="str">
        <v>UAH</v>
      </c>
      <c r="C116" s="332" t="str">
        <v>Ukraine</v>
      </c>
      <c r="D116" s="332" t="str">
        <v/>
      </c>
      <c r="E116" s="143" t="str">
        <v/>
      </c>
      <c r="G116" s="142" t="s">
        <v>370</v>
      </c>
      <c r="H116" s="332" t="s">
        <v>371</v>
      </c>
      <c r="I116" s="332" t="s">
        <v>305</v>
      </c>
      <c r="J116" s="143" t="s">
        <v>305</v>
      </c>
      <c r="L116" s="377" t="str" cm="1">
        <f t="array" ref="L116">_xll.d.TestUtils_Equal(B116,G116)</f>
        <v>OK</v>
      </c>
      <c r="M116" s="377" t="str" cm="1">
        <f t="array" ref="M116">_xll.d.TestUtils_Equal(C116,H116)</f>
        <v>OK</v>
      </c>
      <c r="N116" s="377" t="str" cm="1">
        <f t="array" ref="N116">_xll.d.TestUtils_Equal(D116,I116)</f>
        <v>OK</v>
      </c>
      <c r="O116" s="377" t="str" cm="1">
        <f t="array" ref="O116">_xll.d.TestUtils_Equal(E116,J116)</f>
        <v>OK</v>
      </c>
    </row>
    <row r="117" spans="2:28" x14ac:dyDescent="0.3">
      <c r="B117" s="142" t="str">
        <v>USD</v>
      </c>
      <c r="C117" s="332" t="str">
        <v>USA</v>
      </c>
      <c r="D117" s="332" t="str">
        <v>United States</v>
      </c>
      <c r="E117" s="143" t="str">
        <v>United States of America</v>
      </c>
      <c r="G117" s="142" t="s">
        <v>372</v>
      </c>
      <c r="H117" s="332" t="s">
        <v>373</v>
      </c>
      <c r="I117" s="332" t="s">
        <v>374</v>
      </c>
      <c r="J117" s="143" t="s">
        <v>375</v>
      </c>
      <c r="L117" s="377" t="str" cm="1">
        <f t="array" ref="L117">_xll.d.TestUtils_Equal(B117,G117)</f>
        <v>OK</v>
      </c>
      <c r="M117" s="377" t="str" cm="1">
        <f t="array" ref="M117">_xll.d.TestUtils_Equal(C117,H117)</f>
        <v>OK</v>
      </c>
      <c r="N117" s="377" t="str" cm="1">
        <f t="array" ref="N117">_xll.d.TestUtils_Equal(D117,I117)</f>
        <v>OK</v>
      </c>
      <c r="O117" s="377" t="str" cm="1">
        <f t="array" ref="O117">_xll.d.TestUtils_Equal(E117,J117)</f>
        <v>OK</v>
      </c>
    </row>
    <row r="118" spans="2:28" x14ac:dyDescent="0.3">
      <c r="B118" s="144" t="str">
        <v>ZAR</v>
      </c>
      <c r="C118" s="230" t="str">
        <v>South Africa</v>
      </c>
      <c r="D118" s="230" t="str">
        <v/>
      </c>
      <c r="E118" s="145" t="str">
        <v/>
      </c>
      <c r="G118" s="144" t="s">
        <v>71</v>
      </c>
      <c r="H118" s="230" t="s">
        <v>376</v>
      </c>
      <c r="I118" s="230" t="s">
        <v>305</v>
      </c>
      <c r="J118" s="145" t="s">
        <v>305</v>
      </c>
      <c r="L118" s="377" t="str" cm="1">
        <f t="array" ref="L118">_xll.d.TestUtils_Equal(B118,G118)</f>
        <v>OK</v>
      </c>
      <c r="M118" s="377" t="str" cm="1">
        <f t="array" ref="M118">_xll.d.TestUtils_Equal(C118,H118)</f>
        <v>OK</v>
      </c>
      <c r="N118" s="377" t="str" cm="1">
        <f t="array" ref="N118">_xll.d.TestUtils_Equal(D118,I118)</f>
        <v>OK</v>
      </c>
      <c r="O118" s="377" t="str" cm="1">
        <f t="array" ref="O118">_xll.d.TestUtils_Equal(E118,J118)</f>
        <v>OK</v>
      </c>
    </row>
    <row r="122" spans="2:28" ht="18" x14ac:dyDescent="0.35">
      <c r="B122" s="3" t="s">
        <v>275</v>
      </c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</row>
    <row r="124" spans="2:28" x14ac:dyDescent="0.3">
      <c r="B124" s="59" t="s">
        <v>170</v>
      </c>
      <c r="C124" s="377" t="str" cm="1">
        <f t="array" ref="C124">_xll.d.TestUtils_And(G129:G137,N129:N146,U129)</f>
        <v>OK</v>
      </c>
    </row>
    <row r="126" spans="2:28" ht="15.6" x14ac:dyDescent="0.3">
      <c r="B126" s="4" t="s">
        <v>278</v>
      </c>
      <c r="C126" s="384"/>
      <c r="D126" s="384"/>
      <c r="E126" s="384"/>
      <c r="F126" s="384"/>
      <c r="G126" s="384"/>
      <c r="I126" s="4" t="s">
        <v>279</v>
      </c>
      <c r="J126" s="384"/>
      <c r="K126" s="384"/>
      <c r="L126" s="384"/>
      <c r="M126" s="384"/>
      <c r="N126" s="384"/>
      <c r="P126" s="4" t="s">
        <v>283</v>
      </c>
      <c r="Q126" s="384"/>
      <c r="R126" s="384"/>
      <c r="S126" s="384"/>
      <c r="T126" s="384"/>
      <c r="U126" s="384"/>
    </row>
    <row r="127" spans="2:28" x14ac:dyDescent="0.3">
      <c r="G127" s="376"/>
      <c r="N127" s="376"/>
    </row>
    <row r="128" spans="2:28" x14ac:dyDescent="0.3">
      <c r="B128" s="138" t="s">
        <v>267</v>
      </c>
      <c r="C128" s="139"/>
      <c r="E128" s="12" t="s">
        <v>144</v>
      </c>
      <c r="F128" s="27" t="s">
        <v>269</v>
      </c>
      <c r="G128" s="139" t="s">
        <v>88</v>
      </c>
      <c r="I128" s="138" t="s">
        <v>267</v>
      </c>
      <c r="J128" s="139"/>
      <c r="L128" s="12" t="s">
        <v>144</v>
      </c>
      <c r="M128" s="27" t="s">
        <v>269</v>
      </c>
      <c r="N128" s="139" t="s">
        <v>88</v>
      </c>
      <c r="P128" s="138" t="s">
        <v>267</v>
      </c>
      <c r="Q128" s="139"/>
      <c r="S128" s="12" t="s">
        <v>144</v>
      </c>
      <c r="T128" s="27" t="s">
        <v>269</v>
      </c>
      <c r="U128" s="139" t="s">
        <v>88</v>
      </c>
    </row>
    <row r="129" spans="2:21" x14ac:dyDescent="0.3">
      <c r="B129" s="140" t="s">
        <v>276</v>
      </c>
      <c r="C129" s="378">
        <v>44562</v>
      </c>
      <c r="E129" s="391" cm="1">
        <f t="array" ref="E129:E137">_xll.d.Date_GetListOfHolidays(C129,C130,C131)</f>
        <v>44641</v>
      </c>
      <c r="F129" s="392">
        <v>44641</v>
      </c>
      <c r="G129" s="141" t="str" cm="1">
        <f t="array" ref="G129">_xll.d.TestUtils_Equal(E129,F129)</f>
        <v>OK</v>
      </c>
      <c r="I129" s="140" t="s">
        <v>276</v>
      </c>
      <c r="J129" s="378">
        <v>44562</v>
      </c>
      <c r="L129" s="391" cm="1">
        <f t="array" ref="L129:L146">_xll.d.Date_GetListOfHolidays(J129,J130,J131)</f>
        <v>44578</v>
      </c>
      <c r="M129" s="392">
        <v>44578</v>
      </c>
      <c r="N129" s="141" t="str" cm="1">
        <f t="array" ref="N129">_xll.d.TestUtils_Equal(L129,M129)</f>
        <v>OK</v>
      </c>
      <c r="P129" s="140" t="s">
        <v>276</v>
      </c>
      <c r="Q129" s="378">
        <v>44562</v>
      </c>
      <c r="S129" s="385" t="str" cm="1">
        <f t="array" ref="S129">_xll.d.Date_GetListOfHolidays(Q129,Q130,Q131)</f>
        <v>#∂Excel Error: Unknown calendar: WRE</v>
      </c>
      <c r="T129" s="386" t="s">
        <v>282</v>
      </c>
      <c r="U129" s="387" t="str" cm="1">
        <f t="array" ref="U129">_xll.d.TestUtils_Equal(S129,T129)</f>
        <v>OK</v>
      </c>
    </row>
    <row r="130" spans="2:21" x14ac:dyDescent="0.3">
      <c r="B130" s="142" t="s">
        <v>277</v>
      </c>
      <c r="C130" s="390">
        <v>44926</v>
      </c>
      <c r="E130" s="393">
        <v>44666</v>
      </c>
      <c r="F130" s="394">
        <v>44666</v>
      </c>
      <c r="G130" s="143" t="str" cm="1">
        <f t="array" ref="G130">_xll.d.TestUtils_Equal(E130,F130)</f>
        <v>OK</v>
      </c>
      <c r="I130" s="142" t="s">
        <v>277</v>
      </c>
      <c r="J130" s="390">
        <v>44926</v>
      </c>
      <c r="L130" s="393">
        <v>44613</v>
      </c>
      <c r="M130" s="394">
        <v>44613</v>
      </c>
      <c r="N130" s="143" t="str" cm="1">
        <f t="array" ref="N130">_xll.d.TestUtils_Equal(L130,M130)</f>
        <v>OK</v>
      </c>
      <c r="P130" s="142" t="s">
        <v>277</v>
      </c>
      <c r="Q130" s="390">
        <v>44926</v>
      </c>
    </row>
    <row r="131" spans="2:21" x14ac:dyDescent="0.3">
      <c r="B131" s="144" t="s">
        <v>253</v>
      </c>
      <c r="C131" s="145" t="s">
        <v>71</v>
      </c>
      <c r="E131" s="393">
        <v>44669</v>
      </c>
      <c r="F131" s="394">
        <v>44669</v>
      </c>
      <c r="G131" s="143" t="str" cm="1">
        <f t="array" ref="G131">_xll.d.TestUtils_Equal(E131,F131)</f>
        <v>OK</v>
      </c>
      <c r="I131" s="144" t="s">
        <v>253</v>
      </c>
      <c r="J131" s="145" t="s">
        <v>274</v>
      </c>
      <c r="L131" s="393">
        <v>44641</v>
      </c>
      <c r="M131" s="394">
        <v>44641</v>
      </c>
      <c r="N131" s="143" t="str" cm="1">
        <f t="array" ref="N131">_xll.d.TestUtils_Equal(L131,M131)</f>
        <v>OK</v>
      </c>
      <c r="P131" s="144" t="s">
        <v>253</v>
      </c>
      <c r="Q131" s="145" t="s">
        <v>281</v>
      </c>
    </row>
    <row r="132" spans="2:21" x14ac:dyDescent="0.3">
      <c r="E132" s="393">
        <v>44678</v>
      </c>
      <c r="F132" s="394">
        <v>44678</v>
      </c>
      <c r="G132" s="143" t="str" cm="1">
        <f t="array" ref="G132">_xll.d.TestUtils_Equal(E132,F132)</f>
        <v>OK</v>
      </c>
      <c r="L132" s="393">
        <v>44666</v>
      </c>
      <c r="M132" s="394">
        <v>44666</v>
      </c>
      <c r="N132" s="143" t="str" cm="1">
        <f t="array" ref="N132">_xll.d.TestUtils_Equal(L132,M132)</f>
        <v>OK</v>
      </c>
    </row>
    <row r="133" spans="2:21" x14ac:dyDescent="0.3">
      <c r="E133" s="393">
        <v>44683</v>
      </c>
      <c r="F133" s="394">
        <v>44683</v>
      </c>
      <c r="G133" s="143" t="str" cm="1">
        <f t="array" ref="G133">_xll.d.TestUtils_Equal(E133,F133)</f>
        <v>OK</v>
      </c>
      <c r="L133" s="393">
        <v>44669</v>
      </c>
      <c r="M133" s="394">
        <v>44669</v>
      </c>
      <c r="N133" s="143" t="str" cm="1">
        <f t="array" ref="N133">_xll.d.TestUtils_Equal(L133,M133)</f>
        <v>OK</v>
      </c>
    </row>
    <row r="134" spans="2:21" x14ac:dyDescent="0.3">
      <c r="E134" s="393">
        <v>44728</v>
      </c>
      <c r="F134" s="394">
        <v>44728</v>
      </c>
      <c r="G134" s="143" t="str" cm="1">
        <f t="array" ref="G134">_xll.d.TestUtils_Equal(E134,F134)</f>
        <v>OK</v>
      </c>
      <c r="L134" s="393">
        <v>44678</v>
      </c>
      <c r="M134" s="394">
        <v>44678</v>
      </c>
      <c r="N134" s="143" t="str" cm="1">
        <f t="array" ref="N134">_xll.d.TestUtils_Equal(L134,M134)</f>
        <v>OK</v>
      </c>
    </row>
    <row r="135" spans="2:21" x14ac:dyDescent="0.3">
      <c r="E135" s="393">
        <v>44782</v>
      </c>
      <c r="F135" s="394">
        <v>44782</v>
      </c>
      <c r="G135" s="143" t="str" cm="1">
        <f t="array" ref="G135">_xll.d.TestUtils_Equal(E135,F135)</f>
        <v>OK</v>
      </c>
      <c r="L135" s="393">
        <v>44683</v>
      </c>
      <c r="M135" s="394">
        <v>44683</v>
      </c>
      <c r="N135" s="143" t="str" cm="1">
        <f t="array" ref="N135">_xll.d.TestUtils_Equal(L135,M135)</f>
        <v>OK</v>
      </c>
    </row>
    <row r="136" spans="2:21" x14ac:dyDescent="0.3">
      <c r="E136" s="393">
        <v>44911</v>
      </c>
      <c r="F136" s="394">
        <v>44911</v>
      </c>
      <c r="G136" s="143" t="str" cm="1">
        <f t="array" ref="G136">_xll.d.TestUtils_Equal(E136,F136)</f>
        <v>OK</v>
      </c>
      <c r="L136" s="393">
        <v>44711</v>
      </c>
      <c r="M136" s="394">
        <v>44711</v>
      </c>
      <c r="N136" s="143" t="str" cm="1">
        <f t="array" ref="N136">_xll.d.TestUtils_Equal(L136,M136)</f>
        <v>OK</v>
      </c>
    </row>
    <row r="137" spans="2:21" x14ac:dyDescent="0.3">
      <c r="E137" s="395">
        <v>44921</v>
      </c>
      <c r="F137" s="396">
        <v>44921</v>
      </c>
      <c r="G137" s="145" t="str" cm="1">
        <f t="array" ref="G137">_xll.d.TestUtils_Equal(E137,F137)</f>
        <v>OK</v>
      </c>
      <c r="L137" s="393">
        <v>44728</v>
      </c>
      <c r="M137" s="394">
        <v>44728</v>
      </c>
      <c r="N137" s="143" t="str" cm="1">
        <f t="array" ref="N137">_xll.d.TestUtils_Equal(L137,M137)</f>
        <v>OK</v>
      </c>
    </row>
    <row r="138" spans="2:21" x14ac:dyDescent="0.3">
      <c r="G138" s="376"/>
      <c r="L138" s="393">
        <v>44732</v>
      </c>
      <c r="M138" s="394">
        <v>44732</v>
      </c>
      <c r="N138" s="143" t="str" cm="1">
        <f t="array" ref="N138">_xll.d.TestUtils_Equal(L138,M138)</f>
        <v>OK</v>
      </c>
    </row>
    <row r="139" spans="2:21" x14ac:dyDescent="0.3">
      <c r="G139" s="376"/>
      <c r="L139" s="393">
        <v>44746</v>
      </c>
      <c r="M139" s="394">
        <v>44746</v>
      </c>
      <c r="N139" s="143" t="str" cm="1">
        <f t="array" ref="N139">_xll.d.TestUtils_Equal(L139,M139)</f>
        <v>OK</v>
      </c>
    </row>
    <row r="140" spans="2:21" x14ac:dyDescent="0.3">
      <c r="G140" s="376"/>
      <c r="L140" s="393">
        <v>44782</v>
      </c>
      <c r="M140" s="394">
        <v>44782</v>
      </c>
      <c r="N140" s="143" t="str" cm="1">
        <f t="array" ref="N140">_xll.d.TestUtils_Equal(L140,M140)</f>
        <v>OK</v>
      </c>
    </row>
    <row r="141" spans="2:21" x14ac:dyDescent="0.3">
      <c r="G141" s="376"/>
      <c r="L141" s="393">
        <v>44809</v>
      </c>
      <c r="M141" s="394">
        <v>44809</v>
      </c>
      <c r="N141" s="143" t="str" cm="1">
        <f t="array" ref="N141">_xll.d.TestUtils_Equal(L141,M141)</f>
        <v>OK</v>
      </c>
    </row>
    <row r="142" spans="2:21" x14ac:dyDescent="0.3">
      <c r="G142" s="376"/>
      <c r="L142" s="393">
        <v>44844</v>
      </c>
      <c r="M142" s="394">
        <v>44844</v>
      </c>
      <c r="N142" s="143" t="str" cm="1">
        <f t="array" ref="N142">_xll.d.TestUtils_Equal(L142,M142)</f>
        <v>OK</v>
      </c>
    </row>
    <row r="143" spans="2:21" x14ac:dyDescent="0.3">
      <c r="G143" s="376"/>
      <c r="L143" s="393">
        <v>44876</v>
      </c>
      <c r="M143" s="394">
        <v>44876</v>
      </c>
      <c r="N143" s="143" t="str" cm="1">
        <f t="array" ref="N143">_xll.d.TestUtils_Equal(L143,M143)</f>
        <v>OK</v>
      </c>
    </row>
    <row r="144" spans="2:21" x14ac:dyDescent="0.3">
      <c r="G144" s="376"/>
      <c r="L144" s="393">
        <v>44889</v>
      </c>
      <c r="M144" s="394">
        <v>44889</v>
      </c>
      <c r="N144" s="143" t="str" cm="1">
        <f t="array" ref="N144">_xll.d.TestUtils_Equal(L144,M144)</f>
        <v>OK</v>
      </c>
    </row>
    <row r="145" spans="2:28" x14ac:dyDescent="0.3">
      <c r="G145" s="376"/>
      <c r="L145" s="393">
        <v>44911</v>
      </c>
      <c r="M145" s="394">
        <v>44911</v>
      </c>
      <c r="N145" s="143" t="str" cm="1">
        <f t="array" ref="N145">_xll.d.TestUtils_Equal(L145,M145)</f>
        <v>OK</v>
      </c>
    </row>
    <row r="146" spans="2:28" x14ac:dyDescent="0.3">
      <c r="G146" s="376"/>
      <c r="L146" s="395">
        <v>44921</v>
      </c>
      <c r="M146" s="396">
        <v>44921</v>
      </c>
      <c r="N146" s="145" t="str" cm="1">
        <f t="array" ref="N146">_xll.d.TestUtils_Equal(L146,M146)</f>
        <v>OK</v>
      </c>
    </row>
    <row r="149" spans="2:28" ht="18" x14ac:dyDescent="0.35">
      <c r="B149" s="3" t="s">
        <v>378</v>
      </c>
      <c r="C149" s="383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</row>
    <row r="151" spans="2:28" x14ac:dyDescent="0.3">
      <c r="B151" s="59" t="s">
        <v>170</v>
      </c>
      <c r="C151" s="377" t="str" cm="1">
        <f t="array" ref="C151">_xll.d.TestUtils_And(G156:G160,N156:N160,U156:U160)</f>
        <v>OK</v>
      </c>
    </row>
    <row r="153" spans="2:28" ht="15.6" x14ac:dyDescent="0.3">
      <c r="B153" s="4" t="s">
        <v>383</v>
      </c>
      <c r="C153" s="384"/>
      <c r="D153" s="384"/>
      <c r="E153" s="384"/>
      <c r="F153" s="384"/>
      <c r="G153" s="384"/>
      <c r="I153" s="4" t="s">
        <v>385</v>
      </c>
      <c r="J153" s="384"/>
      <c r="K153" s="384"/>
      <c r="L153" s="384"/>
      <c r="M153" s="384"/>
      <c r="N153" s="384"/>
      <c r="P153" s="4" t="s">
        <v>386</v>
      </c>
      <c r="Q153" s="384"/>
      <c r="R153" s="384"/>
      <c r="S153" s="384"/>
      <c r="T153" s="384"/>
      <c r="U153" s="384"/>
      <c r="W153" s="4" t="s">
        <v>283</v>
      </c>
      <c r="X153" s="384"/>
      <c r="Y153" s="384"/>
      <c r="Z153" s="384"/>
      <c r="AA153" s="384"/>
      <c r="AB153" s="384"/>
    </row>
    <row r="155" spans="2:28" x14ac:dyDescent="0.3">
      <c r="B155" s="138" t="s">
        <v>267</v>
      </c>
      <c r="C155" s="139"/>
      <c r="E155" s="138" t="s">
        <v>144</v>
      </c>
      <c r="F155" s="139" t="s">
        <v>269</v>
      </c>
      <c r="G155" s="139" t="s">
        <v>88</v>
      </c>
      <c r="I155" s="138" t="s">
        <v>267</v>
      </c>
      <c r="J155" s="139"/>
      <c r="L155" s="138" t="s">
        <v>144</v>
      </c>
      <c r="M155" s="139" t="s">
        <v>269</v>
      </c>
      <c r="N155" s="139" t="s">
        <v>88</v>
      </c>
      <c r="P155" s="138" t="s">
        <v>267</v>
      </c>
      <c r="Q155" s="139"/>
      <c r="S155" s="138" t="s">
        <v>144</v>
      </c>
      <c r="T155" s="139" t="s">
        <v>269</v>
      </c>
      <c r="U155" s="139" t="s">
        <v>88</v>
      </c>
      <c r="W155" s="138" t="s">
        <v>267</v>
      </c>
      <c r="X155" s="139"/>
      <c r="Z155" s="138" t="s">
        <v>144</v>
      </c>
      <c r="AA155" s="139" t="s">
        <v>269</v>
      </c>
      <c r="AB155" s="139" t="s">
        <v>88</v>
      </c>
    </row>
    <row r="156" spans="2:28" x14ac:dyDescent="0.3">
      <c r="B156" s="140" t="s">
        <v>276</v>
      </c>
      <c r="C156" s="378">
        <v>44743</v>
      </c>
      <c r="E156" s="391">
        <f t="array" ref="E156:E160">_xll.d.Date_GenerateSchedule(C156,C157,C158,C159,C160,C161)</f>
        <v>44743</v>
      </c>
      <c r="F156" s="378">
        <v>44743</v>
      </c>
      <c r="G156" s="377" t="str" cm="1">
        <f t="array" ref="G156">_xll.d.TestUtils_Equal(E156,F156)</f>
        <v>OK</v>
      </c>
      <c r="I156" s="140" t="s">
        <v>276</v>
      </c>
      <c r="J156" s="378">
        <v>44743</v>
      </c>
      <c r="L156" s="391">
        <f t="array" ref="L156:L160">_xll.d.Date_GenerateSchedule(J156,J157,J158,J159,J160,J161)</f>
        <v>44743</v>
      </c>
      <c r="M156" s="378">
        <v>44743</v>
      </c>
      <c r="N156" s="377" t="str" cm="1">
        <f t="array" ref="N156">_xll.d.TestUtils_Equal(L156,M156)</f>
        <v>OK</v>
      </c>
      <c r="P156" s="140" t="s">
        <v>276</v>
      </c>
      <c r="Q156" s="378">
        <v>44743</v>
      </c>
      <c r="S156" s="391">
        <f t="array" ref="S156:S160">_xll.d.Date_GenerateSchedule(Q156,Q157,Q158,Q159,Q160,Q161)</f>
        <v>44743</v>
      </c>
      <c r="T156" s="378">
        <v>44743</v>
      </c>
      <c r="U156" s="377" t="str" cm="1">
        <f t="array" ref="U156">_xll.d.TestUtils_Equal(S156,T156)</f>
        <v>OK</v>
      </c>
      <c r="W156" s="140" t="s">
        <v>276</v>
      </c>
      <c r="X156" s="378">
        <v>44743</v>
      </c>
      <c r="Z156" s="400" t="str" cm="1">
        <f t="array" ref="Z156">_xll.d.Date_GenerateSchedule(X156,X157,X158,X159,X160,X161)</f>
        <v>#∂Excel Error: Unknown calendar: WRE</v>
      </c>
      <c r="AA156" s="381" t="s">
        <v>282</v>
      </c>
      <c r="AB156" s="377" t="str" cm="1">
        <f t="array" ref="AB156">_xll.d.TestUtils_Equal(Z156,AA156)</f>
        <v>OK</v>
      </c>
    </row>
    <row r="157" spans="2:28" x14ac:dyDescent="0.3">
      <c r="B157" s="142" t="s">
        <v>277</v>
      </c>
      <c r="C157" s="390">
        <v>45108</v>
      </c>
      <c r="E157" s="393">
        <v>44837</v>
      </c>
      <c r="F157" s="390">
        <v>44837</v>
      </c>
      <c r="G157" s="377" t="str" cm="1">
        <f t="array" ref="G157">_xll.d.TestUtils_Equal(E157,F157)</f>
        <v>OK</v>
      </c>
      <c r="I157" s="142" t="s">
        <v>277</v>
      </c>
      <c r="J157" s="390">
        <v>45108</v>
      </c>
      <c r="L157" s="393">
        <v>44837</v>
      </c>
      <c r="M157" s="390">
        <v>44837</v>
      </c>
      <c r="N157" s="377" t="str" cm="1">
        <f t="array" ref="N157">_xll.d.TestUtils_Equal(L157,M157)</f>
        <v>OK</v>
      </c>
      <c r="P157" s="142" t="s">
        <v>277</v>
      </c>
      <c r="Q157" s="390">
        <v>45108</v>
      </c>
      <c r="S157" s="393">
        <v>44824</v>
      </c>
      <c r="T157" s="390">
        <v>44824</v>
      </c>
      <c r="U157" s="377" t="str" cm="1">
        <f t="array" ref="U157">_xll.d.TestUtils_Equal(S157,T157)</f>
        <v>OK</v>
      </c>
      <c r="W157" s="142" t="s">
        <v>277</v>
      </c>
      <c r="X157" s="390">
        <v>45108</v>
      </c>
    </row>
    <row r="158" spans="2:28" x14ac:dyDescent="0.3">
      <c r="B158" s="142" t="s">
        <v>379</v>
      </c>
      <c r="C158" s="143" t="s">
        <v>26</v>
      </c>
      <c r="E158" s="393">
        <v>44929</v>
      </c>
      <c r="F158" s="390">
        <v>44929</v>
      </c>
      <c r="G158" s="377" t="str" cm="1">
        <f t="array" ref="G158">_xll.d.TestUtils_Equal(E158,F158)</f>
        <v>OK</v>
      </c>
      <c r="I158" s="142" t="s">
        <v>379</v>
      </c>
      <c r="J158" s="143" t="s">
        <v>26</v>
      </c>
      <c r="L158" s="393">
        <v>44929</v>
      </c>
      <c r="M158" s="390">
        <v>44929</v>
      </c>
      <c r="N158" s="377" t="str" cm="1">
        <f t="array" ref="N158">_xll.d.TestUtils_Equal(L158,M158)</f>
        <v>OK</v>
      </c>
      <c r="P158" s="142" t="s">
        <v>379</v>
      </c>
      <c r="Q158" s="143" t="s">
        <v>26</v>
      </c>
      <c r="S158" s="393">
        <v>44915</v>
      </c>
      <c r="T158" s="390">
        <v>44915</v>
      </c>
      <c r="U158" s="377" t="str" cm="1">
        <f t="array" ref="U158">_xll.d.TestUtils_Equal(S158,T158)</f>
        <v>OK</v>
      </c>
      <c r="W158" s="142" t="s">
        <v>379</v>
      </c>
      <c r="X158" s="143" t="s">
        <v>26</v>
      </c>
    </row>
    <row r="159" spans="2:28" x14ac:dyDescent="0.3">
      <c r="B159" s="142" t="s">
        <v>380</v>
      </c>
      <c r="C159" s="143" t="s">
        <v>274</v>
      </c>
      <c r="E159" s="393">
        <v>45019</v>
      </c>
      <c r="F159" s="390">
        <v>45019</v>
      </c>
      <c r="G159" s="377" t="str" cm="1">
        <f t="array" ref="G159">_xll.d.TestUtils_Equal(E159,F159)</f>
        <v>OK</v>
      </c>
      <c r="I159" s="142" t="s">
        <v>380</v>
      </c>
      <c r="J159" s="143" t="s">
        <v>274</v>
      </c>
      <c r="L159" s="393">
        <v>45019</v>
      </c>
      <c r="M159" s="390">
        <v>45019</v>
      </c>
      <c r="N159" s="377" t="str" cm="1">
        <f t="array" ref="N159">_xll.d.TestUtils_Equal(L159,M159)</f>
        <v>OK</v>
      </c>
      <c r="P159" s="142" t="s">
        <v>380</v>
      </c>
      <c r="Q159" s="143" t="s">
        <v>274</v>
      </c>
      <c r="S159" s="393">
        <v>45005</v>
      </c>
      <c r="T159" s="390">
        <v>45005</v>
      </c>
      <c r="U159" s="377" t="str" cm="1">
        <f t="array" ref="U159">_xll.d.TestUtils_Equal(S159,T159)</f>
        <v>OK</v>
      </c>
      <c r="W159" s="142" t="s">
        <v>380</v>
      </c>
      <c r="X159" s="143" t="s">
        <v>281</v>
      </c>
    </row>
    <row r="160" spans="2:28" x14ac:dyDescent="0.3">
      <c r="B160" s="142" t="s">
        <v>254</v>
      </c>
      <c r="C160" s="143" t="s">
        <v>255</v>
      </c>
      <c r="E160" s="395">
        <v>45110</v>
      </c>
      <c r="F160" s="399">
        <v>45110</v>
      </c>
      <c r="G160" s="377" t="str" cm="1">
        <f t="array" ref="G160">_xll.d.TestUtils_Equal(E160,F160)</f>
        <v>OK</v>
      </c>
      <c r="I160" s="142" t="s">
        <v>254</v>
      </c>
      <c r="J160" s="143" t="s">
        <v>255</v>
      </c>
      <c r="L160" s="395">
        <v>45110</v>
      </c>
      <c r="M160" s="399">
        <v>45110</v>
      </c>
      <c r="N160" s="377" t="str" cm="1">
        <f t="array" ref="N160">_xll.d.TestUtils_Equal(L160,M160)</f>
        <v>OK</v>
      </c>
      <c r="P160" s="142" t="s">
        <v>254</v>
      </c>
      <c r="Q160" s="143" t="s">
        <v>255</v>
      </c>
      <c r="S160" s="395">
        <v>45097</v>
      </c>
      <c r="T160" s="399">
        <v>45097</v>
      </c>
      <c r="U160" s="377" t="str" cm="1">
        <f t="array" ref="U160">_xll.d.TestUtils_Equal(S160,T160)</f>
        <v>OK</v>
      </c>
      <c r="W160" s="142" t="s">
        <v>254</v>
      </c>
      <c r="X160" s="143" t="s">
        <v>255</v>
      </c>
    </row>
    <row r="161" spans="2:24" x14ac:dyDescent="0.3">
      <c r="B161" s="144" t="s">
        <v>381</v>
      </c>
      <c r="C161" s="145" t="s">
        <v>382</v>
      </c>
      <c r="I161" s="144" t="s">
        <v>381</v>
      </c>
      <c r="J161" s="145" t="s">
        <v>384</v>
      </c>
      <c r="P161" s="144" t="s">
        <v>381</v>
      </c>
      <c r="Q161" s="145" t="s">
        <v>387</v>
      </c>
      <c r="W161" s="144" t="s">
        <v>381</v>
      </c>
      <c r="X161" s="145" t="s">
        <v>387</v>
      </c>
    </row>
    <row r="165" spans="2:24" ht="18" x14ac:dyDescent="0.35">
      <c r="B165" s="3" t="s">
        <v>289</v>
      </c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  <c r="N165" s="383"/>
      <c r="O165" s="383"/>
      <c r="P165" s="383"/>
      <c r="Q165" s="383"/>
      <c r="R165" s="383"/>
      <c r="S165" s="383"/>
      <c r="T165" s="383"/>
      <c r="U165" s="383"/>
    </row>
    <row r="167" spans="2:24" x14ac:dyDescent="0.3">
      <c r="B167" s="59" t="s">
        <v>170</v>
      </c>
      <c r="C167" s="377" t="str" cm="1">
        <f t="array" ref="C167">_xll.d.TestUtils_And(H172:I176)</f>
        <v>OK</v>
      </c>
    </row>
    <row r="169" spans="2:24" ht="15.6" x14ac:dyDescent="0.3">
      <c r="B169" s="4" t="s">
        <v>115</v>
      </c>
      <c r="C169" s="384"/>
      <c r="D169" s="384"/>
      <c r="E169" s="384"/>
      <c r="F169" s="384"/>
      <c r="G169" s="384"/>
      <c r="H169" s="384"/>
      <c r="I169" s="384"/>
    </row>
    <row r="171" spans="2:24" x14ac:dyDescent="0.3">
      <c r="B171" s="138" t="s">
        <v>144</v>
      </c>
      <c r="C171" s="139"/>
      <c r="E171" s="138" t="s">
        <v>269</v>
      </c>
      <c r="F171" s="139"/>
      <c r="H171" s="138" t="s">
        <v>88</v>
      </c>
      <c r="I171" s="139"/>
    </row>
    <row r="172" spans="2:24" x14ac:dyDescent="0.3">
      <c r="B172" s="136" t="str" cm="1">
        <f t="array" ref="B172:C176">_xll.d.Date_GetAvailableBusinessDayConventions()</f>
        <v>Variant 1</v>
      </c>
      <c r="C172" s="137" t="str">
        <v>Variant 2</v>
      </c>
      <c r="E172" s="136" t="s">
        <v>290</v>
      </c>
      <c r="F172" s="137" t="s">
        <v>291</v>
      </c>
      <c r="H172" s="377" t="str" cm="1">
        <f t="array" ref="H172">_xll.d.TestUtils_Equal(B172,E172)</f>
        <v>OK</v>
      </c>
      <c r="I172" s="377" t="str" cm="1">
        <f t="array" ref="I172">_xll.d.TestUtils_Equal(C172,F172)</f>
        <v>OK</v>
      </c>
    </row>
    <row r="173" spans="2:24" x14ac:dyDescent="0.3">
      <c r="B173" s="140" t="str">
        <v>Fol</v>
      </c>
      <c r="C173" s="141" t="str">
        <v>Following</v>
      </c>
      <c r="E173" s="140" t="s">
        <v>292</v>
      </c>
      <c r="F173" s="141" t="s">
        <v>293</v>
      </c>
      <c r="H173" s="377" t="str" cm="1">
        <f t="array" ref="H173">_xll.d.TestUtils_Equal(B173,E173)</f>
        <v>OK</v>
      </c>
      <c r="I173" s="377" t="str" cm="1">
        <f t="array" ref="I173">_xll.d.TestUtils_Equal(C173,F173)</f>
        <v>OK</v>
      </c>
    </row>
    <row r="174" spans="2:24" x14ac:dyDescent="0.3">
      <c r="B174" s="142" t="str">
        <v>ModFol</v>
      </c>
      <c r="C174" s="143" t="str">
        <v>ModifiedFollowing</v>
      </c>
      <c r="E174" s="142" t="s">
        <v>294</v>
      </c>
      <c r="F174" s="143" t="s">
        <v>295</v>
      </c>
      <c r="H174" s="377" t="str" cm="1">
        <f t="array" ref="H174">_xll.d.TestUtils_Equal(B174,E174)</f>
        <v>OK</v>
      </c>
      <c r="I174" s="377" t="str" cm="1">
        <f t="array" ref="I174">_xll.d.TestUtils_Equal(C174,F174)</f>
        <v>OK</v>
      </c>
    </row>
    <row r="175" spans="2:24" x14ac:dyDescent="0.3">
      <c r="B175" s="142" t="str">
        <v>ModPrec</v>
      </c>
      <c r="C175" s="143" t="str">
        <v>ModPreceding</v>
      </c>
      <c r="E175" s="142" t="s">
        <v>296</v>
      </c>
      <c r="F175" s="143" t="s">
        <v>297</v>
      </c>
      <c r="H175" s="377" t="str" cm="1">
        <f t="array" ref="H175">_xll.d.TestUtils_Equal(B175,E175)</f>
        <v>OK</v>
      </c>
      <c r="I175" s="377" t="str" cm="1">
        <f t="array" ref="I175">_xll.d.TestUtils_Equal(C175,F175)</f>
        <v>OK</v>
      </c>
    </row>
    <row r="176" spans="2:24" x14ac:dyDescent="0.3">
      <c r="B176" s="144" t="str">
        <v>Prec</v>
      </c>
      <c r="C176" s="145" t="str">
        <v>Preceding</v>
      </c>
      <c r="E176" s="144" t="s">
        <v>298</v>
      </c>
      <c r="F176" s="145" t="s">
        <v>299</v>
      </c>
      <c r="H176" s="377" t="str" cm="1">
        <f t="array" ref="H176">_xll.d.TestUtils_Equal(B176,E176)</f>
        <v>OK</v>
      </c>
      <c r="I176" s="377" t="str" cm="1">
        <f t="array" ref="I176">_xll.d.TestUtils_Equal(C176,F176)</f>
        <v>OK</v>
      </c>
    </row>
    <row r="180" spans="2:21" ht="18" x14ac:dyDescent="0.35">
      <c r="B180" s="3" t="s">
        <v>300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  <c r="M180" s="383"/>
      <c r="N180" s="383"/>
      <c r="O180" s="383"/>
      <c r="P180" s="383"/>
      <c r="Q180" s="383"/>
      <c r="R180" s="383"/>
      <c r="S180" s="383"/>
      <c r="T180" s="383"/>
      <c r="U180" s="383"/>
    </row>
    <row r="182" spans="2:21" x14ac:dyDescent="0.3">
      <c r="B182" s="59" t="s">
        <v>170</v>
      </c>
      <c r="C182" s="377" t="str" cm="1">
        <f t="array" ref="C182">_xll.d.TestUtils_And(L187:O191)</f>
        <v>OK</v>
      </c>
    </row>
    <row r="184" spans="2:21" ht="15.6" x14ac:dyDescent="0.3">
      <c r="B184" s="4" t="s">
        <v>115</v>
      </c>
      <c r="C184" s="384"/>
      <c r="D184" s="384"/>
      <c r="E184" s="384"/>
      <c r="F184" s="384"/>
      <c r="G184" s="384"/>
      <c r="H184" s="384"/>
      <c r="I184" s="384"/>
    </row>
    <row r="186" spans="2:21" x14ac:dyDescent="0.3">
      <c r="B186" s="138" t="s">
        <v>144</v>
      </c>
      <c r="C186" s="231"/>
      <c r="D186" s="231"/>
      <c r="E186" s="139"/>
      <c r="G186" s="138" t="s">
        <v>144</v>
      </c>
      <c r="H186" s="231"/>
      <c r="I186" s="231"/>
      <c r="J186" s="139"/>
      <c r="L186" s="138" t="s">
        <v>88</v>
      </c>
      <c r="M186" s="139"/>
      <c r="N186" s="139"/>
      <c r="O186" s="139"/>
    </row>
    <row r="187" spans="2:21" x14ac:dyDescent="0.3">
      <c r="B187" s="136" t="str" cm="1">
        <f t="array" ref="B187:E191">_xll.d.Date_GetAvailableDayCountConventions()</f>
        <v>Variant 1</v>
      </c>
      <c r="C187" s="344" t="str">
        <v>Variant 2</v>
      </c>
      <c r="D187" s="344" t="str">
        <v>Variant 3</v>
      </c>
      <c r="E187" s="137" t="str">
        <v>Variant 4</v>
      </c>
      <c r="G187" s="136" t="s">
        <v>290</v>
      </c>
      <c r="H187" s="344" t="s">
        <v>291</v>
      </c>
      <c r="I187" s="344" t="s">
        <v>301</v>
      </c>
      <c r="J187" s="137" t="s">
        <v>302</v>
      </c>
      <c r="L187" s="377" t="str" cm="1">
        <f t="array" ref="L187">_xll.d.TestUtils_Equal(B187,G187)</f>
        <v>OK</v>
      </c>
      <c r="M187" s="377" t="str" cm="1">
        <f t="array" ref="M187">_xll.d.TestUtils_Equal(C187,H187)</f>
        <v>OK</v>
      </c>
      <c r="N187" s="377" t="str" cm="1">
        <f t="array" ref="N187">_xll.d.TestUtils_Equal(D187,I187)</f>
        <v>OK</v>
      </c>
      <c r="O187" s="377" t="str" cm="1">
        <f t="array" ref="O187">_xll.d.TestUtils_Equal(E187,J187)</f>
        <v>OK</v>
      </c>
    </row>
    <row r="188" spans="2:21" x14ac:dyDescent="0.3">
      <c r="B188" s="140" t="str">
        <v>Act360</v>
      </c>
      <c r="C188" s="398" t="str">
        <v>Actual360</v>
      </c>
      <c r="D188" s="398" t="str">
        <v/>
      </c>
      <c r="E188" s="141" t="str">
        <v/>
      </c>
      <c r="G188" s="140" t="s">
        <v>303</v>
      </c>
      <c r="H188" s="398" t="s">
        <v>304</v>
      </c>
      <c r="I188" s="398" t="s">
        <v>305</v>
      </c>
      <c r="J188" s="141" t="s">
        <v>305</v>
      </c>
      <c r="L188" s="377" t="str" cm="1">
        <f t="array" ref="L188">_xll.d.TestUtils_Equal(B188,G188)</f>
        <v>OK</v>
      </c>
      <c r="M188" s="377" t="str" cm="1">
        <f t="array" ref="M188">_xll.d.TestUtils_Equal(C188,H188)</f>
        <v>OK</v>
      </c>
      <c r="N188" s="377" t="str" cm="1">
        <f t="array" ref="N188">_xll.d.TestUtils_Equal(D188,I188)</f>
        <v>OK</v>
      </c>
      <c r="O188" s="377" t="str" cm="1">
        <f t="array" ref="O188">_xll.d.TestUtils_Equal(E188,J188)</f>
        <v>OK</v>
      </c>
    </row>
    <row r="189" spans="2:21" x14ac:dyDescent="0.3">
      <c r="B189" s="142" t="str">
        <v>Act365</v>
      </c>
      <c r="C189" s="332" t="str">
        <v>Act365F</v>
      </c>
      <c r="D189" s="332" t="str">
        <v>Actual365</v>
      </c>
      <c r="E189" s="143" t="str">
        <v>Actual365F</v>
      </c>
      <c r="G189" s="142" t="s">
        <v>306</v>
      </c>
      <c r="H189" s="332" t="s">
        <v>307</v>
      </c>
      <c r="I189" s="332" t="s">
        <v>73</v>
      </c>
      <c r="J189" s="143" t="s">
        <v>308</v>
      </c>
      <c r="L189" s="377" t="str" cm="1">
        <f t="array" ref="L189">_xll.d.TestUtils_Equal(B189,G189)</f>
        <v>OK</v>
      </c>
      <c r="M189" s="377" t="str" cm="1">
        <f t="array" ref="M189">_xll.d.TestUtils_Equal(C189,H189)</f>
        <v>OK</v>
      </c>
      <c r="N189" s="377" t="str" cm="1">
        <f t="array" ref="N189">_xll.d.TestUtils_Equal(D189,I189)</f>
        <v>OK</v>
      </c>
      <c r="O189" s="377" t="str" cm="1">
        <f t="array" ref="O189">_xll.d.TestUtils_Equal(E189,J189)</f>
        <v>OK</v>
      </c>
    </row>
    <row r="190" spans="2:21" x14ac:dyDescent="0.3">
      <c r="B190" s="142" t="str">
        <v>ActAct</v>
      </c>
      <c r="C190" s="332" t="str">
        <v>ActualActual</v>
      </c>
      <c r="D190" s="332" t="str">
        <v/>
      </c>
      <c r="E190" s="143" t="str">
        <v/>
      </c>
      <c r="G190" s="142" t="s">
        <v>309</v>
      </c>
      <c r="H190" s="332" t="s">
        <v>310</v>
      </c>
      <c r="I190" s="332" t="s">
        <v>305</v>
      </c>
      <c r="J190" s="143" t="s">
        <v>305</v>
      </c>
      <c r="L190" s="377" t="str" cm="1">
        <f t="array" ref="L190">_xll.d.TestUtils_Equal(B190,G190)</f>
        <v>OK</v>
      </c>
      <c r="M190" s="377" t="str" cm="1">
        <f t="array" ref="M190">_xll.d.TestUtils_Equal(C190,H190)</f>
        <v>OK</v>
      </c>
      <c r="N190" s="377" t="str" cm="1">
        <f t="array" ref="N190">_xll.d.TestUtils_Equal(D190,I190)</f>
        <v>OK</v>
      </c>
      <c r="O190" s="377" t="str" cm="1">
        <f t="array" ref="O190">_xll.d.TestUtils_Equal(E190,J190)</f>
        <v>OK</v>
      </c>
    </row>
    <row r="191" spans="2:21" x14ac:dyDescent="0.3">
      <c r="B191" s="144" t="str">
        <v>Bus252</v>
      </c>
      <c r="C191" s="230" t="str">
        <v>Business252</v>
      </c>
      <c r="D191" s="230" t="str">
        <v/>
      </c>
      <c r="E191" s="145" t="str">
        <v/>
      </c>
      <c r="G191" s="144" t="s">
        <v>311</v>
      </c>
      <c r="H191" s="230" t="s">
        <v>312</v>
      </c>
      <c r="I191" s="230" t="s">
        <v>305</v>
      </c>
      <c r="J191" s="145" t="s">
        <v>305</v>
      </c>
      <c r="L191" s="377" t="str" cm="1">
        <f t="array" ref="L191">_xll.d.TestUtils_Equal(B191,G191)</f>
        <v>OK</v>
      </c>
      <c r="M191" s="377" t="str" cm="1">
        <f t="array" ref="M191">_xll.d.TestUtils_Equal(C191,H191)</f>
        <v>OK</v>
      </c>
      <c r="N191" s="377" t="str" cm="1">
        <f t="array" ref="N191">_xll.d.TestUtils_Equal(D191,I191)</f>
        <v>OK</v>
      </c>
      <c r="O191" s="377" t="str" cm="1">
        <f t="array" ref="O191">_xll.d.TestUtils_Equal(E191,J191)</f>
        <v>OK</v>
      </c>
    </row>
  </sheetData>
  <conditionalFormatting sqref="D8:D14">
    <cfRule type="cellIs" dxfId="370" priority="123" stopIfTrue="1" operator="equal">
      <formula>"ERROR"</formula>
    </cfRule>
    <cfRule type="cellIs" dxfId="369" priority="124" stopIfTrue="1" operator="equal">
      <formula>"OK"</formula>
    </cfRule>
    <cfRule type="cellIs" dxfId="368" priority="125" stopIfTrue="1" operator="equal">
      <formula>"WARNING"</formula>
    </cfRule>
  </conditionalFormatting>
  <conditionalFormatting sqref="C4">
    <cfRule type="cellIs" dxfId="367" priority="97" stopIfTrue="1" operator="equal">
      <formula>"ERROR"</formula>
    </cfRule>
    <cfRule type="cellIs" dxfId="366" priority="98" stopIfTrue="1" operator="equal">
      <formula>"OK"</formula>
    </cfRule>
    <cfRule type="cellIs" dxfId="365" priority="99" stopIfTrue="1" operator="equal">
      <formula>"WARNING"</formula>
    </cfRule>
  </conditionalFormatting>
  <conditionalFormatting sqref="C21">
    <cfRule type="cellIs" dxfId="364" priority="91" stopIfTrue="1" operator="equal">
      <formula>"ERROR"</formula>
    </cfRule>
  </conditionalFormatting>
  <conditionalFormatting sqref="C21">
    <cfRule type="cellIs" dxfId="363" priority="92" stopIfTrue="1" operator="equal">
      <formula>"OK"</formula>
    </cfRule>
  </conditionalFormatting>
  <conditionalFormatting sqref="C21">
    <cfRule type="cellIs" dxfId="362" priority="93" stopIfTrue="1" operator="equal">
      <formula>"WARNING"</formula>
    </cfRule>
  </conditionalFormatting>
  <conditionalFormatting sqref="G26">
    <cfRule type="cellIs" dxfId="361" priority="126" stopIfTrue="1" operator="equal">
      <formula>"ERROR"</formula>
    </cfRule>
    <cfRule type="cellIs" dxfId="360" priority="127" stopIfTrue="1" operator="equal">
      <formula>"OK"</formula>
    </cfRule>
    <cfRule type="cellIs" dxfId="359" priority="128" stopIfTrue="1" operator="equal">
      <formula>"WARNING"</formula>
    </cfRule>
  </conditionalFormatting>
  <conditionalFormatting sqref="N26">
    <cfRule type="cellIs" dxfId="358" priority="88" stopIfTrue="1" operator="equal">
      <formula>"ERROR"</formula>
    </cfRule>
    <cfRule type="cellIs" dxfId="357" priority="89" stopIfTrue="1" operator="equal">
      <formula>"OK"</formula>
    </cfRule>
    <cfRule type="cellIs" dxfId="356" priority="90" stopIfTrue="1" operator="equal">
      <formula>"WARNING"</formula>
    </cfRule>
  </conditionalFormatting>
  <conditionalFormatting sqref="U26">
    <cfRule type="cellIs" dxfId="355" priority="85" stopIfTrue="1" operator="equal">
      <formula>"ERROR"</formula>
    </cfRule>
    <cfRule type="cellIs" dxfId="354" priority="86" stopIfTrue="1" operator="equal">
      <formula>"OK"</formula>
    </cfRule>
    <cfRule type="cellIs" dxfId="353" priority="87" stopIfTrue="1" operator="equal">
      <formula>"WARNING"</formula>
    </cfRule>
  </conditionalFormatting>
  <conditionalFormatting sqref="G129:G137">
    <cfRule type="cellIs" dxfId="352" priority="129" stopIfTrue="1" operator="equal">
      <formula>"ERROR"</formula>
    </cfRule>
    <cfRule type="cellIs" dxfId="351" priority="130" stopIfTrue="1" operator="equal">
      <formula>"OK"</formula>
    </cfRule>
    <cfRule type="cellIs" dxfId="350" priority="131" stopIfTrue="1" operator="equal">
      <formula>"WARNING"</formula>
    </cfRule>
  </conditionalFormatting>
  <conditionalFormatting sqref="C124">
    <cfRule type="cellIs" dxfId="349" priority="82" stopIfTrue="1" operator="equal">
      <formula>"ERROR"</formula>
    </cfRule>
  </conditionalFormatting>
  <conditionalFormatting sqref="C124">
    <cfRule type="cellIs" dxfId="348" priority="83" stopIfTrue="1" operator="equal">
      <formula>"OK"</formula>
    </cfRule>
  </conditionalFormatting>
  <conditionalFormatting sqref="C124">
    <cfRule type="cellIs" dxfId="347" priority="84" stopIfTrue="1" operator="equal">
      <formula>"WARNING"</formula>
    </cfRule>
  </conditionalFormatting>
  <conditionalFormatting sqref="N129:N146">
    <cfRule type="cellIs" dxfId="346" priority="79" stopIfTrue="1" operator="equal">
      <formula>"ERROR"</formula>
    </cfRule>
    <cfRule type="cellIs" dxfId="345" priority="80" stopIfTrue="1" operator="equal">
      <formula>"OK"</formula>
    </cfRule>
    <cfRule type="cellIs" dxfId="344" priority="81" stopIfTrue="1" operator="equal">
      <formula>"WARNING"</formula>
    </cfRule>
  </conditionalFormatting>
  <conditionalFormatting sqref="AB26">
    <cfRule type="cellIs" dxfId="343" priority="76" stopIfTrue="1" operator="equal">
      <formula>"ERROR"</formula>
    </cfRule>
    <cfRule type="cellIs" dxfId="342" priority="77" stopIfTrue="1" operator="equal">
      <formula>"OK"</formula>
    </cfRule>
    <cfRule type="cellIs" dxfId="341" priority="78" stopIfTrue="1" operator="equal">
      <formula>"WARNING"</formula>
    </cfRule>
  </conditionalFormatting>
  <conditionalFormatting sqref="C36">
    <cfRule type="cellIs" dxfId="340" priority="70" stopIfTrue="1" operator="equal">
      <formula>"ERROR"</formula>
    </cfRule>
  </conditionalFormatting>
  <conditionalFormatting sqref="C36">
    <cfRule type="cellIs" dxfId="339" priority="71" stopIfTrue="1" operator="equal">
      <formula>"OK"</formula>
    </cfRule>
  </conditionalFormatting>
  <conditionalFormatting sqref="C36">
    <cfRule type="cellIs" dxfId="338" priority="72" stopIfTrue="1" operator="equal">
      <formula>"WARNING"</formula>
    </cfRule>
  </conditionalFormatting>
  <conditionalFormatting sqref="G41">
    <cfRule type="cellIs" dxfId="337" priority="73" stopIfTrue="1" operator="equal">
      <formula>"ERROR"</formula>
    </cfRule>
    <cfRule type="cellIs" dxfId="336" priority="74" stopIfTrue="1" operator="equal">
      <formula>"OK"</formula>
    </cfRule>
    <cfRule type="cellIs" dxfId="335" priority="75" stopIfTrue="1" operator="equal">
      <formula>"WARNING"</formula>
    </cfRule>
  </conditionalFormatting>
  <conditionalFormatting sqref="N41">
    <cfRule type="cellIs" dxfId="334" priority="67" stopIfTrue="1" operator="equal">
      <formula>"ERROR"</formula>
    </cfRule>
    <cfRule type="cellIs" dxfId="333" priority="68" stopIfTrue="1" operator="equal">
      <formula>"OK"</formula>
    </cfRule>
    <cfRule type="cellIs" dxfId="332" priority="69" stopIfTrue="1" operator="equal">
      <formula>"WARNING"</formula>
    </cfRule>
  </conditionalFormatting>
  <conditionalFormatting sqref="U41">
    <cfRule type="cellIs" dxfId="331" priority="64" stopIfTrue="1" operator="equal">
      <formula>"ERROR"</formula>
    </cfRule>
    <cfRule type="cellIs" dxfId="330" priority="65" stopIfTrue="1" operator="equal">
      <formula>"OK"</formula>
    </cfRule>
    <cfRule type="cellIs" dxfId="329" priority="66" stopIfTrue="1" operator="equal">
      <formula>"WARNING"</formula>
    </cfRule>
  </conditionalFormatting>
  <conditionalFormatting sqref="AB41">
    <cfRule type="cellIs" dxfId="328" priority="61" stopIfTrue="1" operator="equal">
      <formula>"ERROR"</formula>
    </cfRule>
    <cfRule type="cellIs" dxfId="327" priority="62" stopIfTrue="1" operator="equal">
      <formula>"OK"</formula>
    </cfRule>
    <cfRule type="cellIs" dxfId="326" priority="63" stopIfTrue="1" operator="equal">
      <formula>"WARNING"</formula>
    </cfRule>
  </conditionalFormatting>
  <conditionalFormatting sqref="C51">
    <cfRule type="cellIs" dxfId="325" priority="55" stopIfTrue="1" operator="equal">
      <formula>"ERROR"</formula>
    </cfRule>
  </conditionalFormatting>
  <conditionalFormatting sqref="C51">
    <cfRule type="cellIs" dxfId="324" priority="56" stopIfTrue="1" operator="equal">
      <formula>"OK"</formula>
    </cfRule>
  </conditionalFormatting>
  <conditionalFormatting sqref="C51">
    <cfRule type="cellIs" dxfId="323" priority="57" stopIfTrue="1" operator="equal">
      <formula>"WARNING"</formula>
    </cfRule>
  </conditionalFormatting>
  <conditionalFormatting sqref="G56">
    <cfRule type="cellIs" dxfId="322" priority="58" stopIfTrue="1" operator="equal">
      <formula>"ERROR"</formula>
    </cfRule>
    <cfRule type="cellIs" dxfId="321" priority="59" stopIfTrue="1" operator="equal">
      <formula>"OK"</formula>
    </cfRule>
    <cfRule type="cellIs" dxfId="320" priority="60" stopIfTrue="1" operator="equal">
      <formula>"WARNING"</formula>
    </cfRule>
  </conditionalFormatting>
  <conditionalFormatting sqref="N56">
    <cfRule type="cellIs" dxfId="319" priority="52" stopIfTrue="1" operator="equal">
      <formula>"ERROR"</formula>
    </cfRule>
    <cfRule type="cellIs" dxfId="318" priority="53" stopIfTrue="1" operator="equal">
      <formula>"OK"</formula>
    </cfRule>
    <cfRule type="cellIs" dxfId="317" priority="54" stopIfTrue="1" operator="equal">
      <formula>"WARNING"</formula>
    </cfRule>
  </conditionalFormatting>
  <conditionalFormatting sqref="U56">
    <cfRule type="cellIs" dxfId="316" priority="49" stopIfTrue="1" operator="equal">
      <formula>"ERROR"</formula>
    </cfRule>
    <cfRule type="cellIs" dxfId="315" priority="50" stopIfTrue="1" operator="equal">
      <formula>"OK"</formula>
    </cfRule>
    <cfRule type="cellIs" dxfId="314" priority="51" stopIfTrue="1" operator="equal">
      <formula>"WARNING"</formula>
    </cfRule>
  </conditionalFormatting>
  <conditionalFormatting sqref="AB56">
    <cfRule type="cellIs" dxfId="313" priority="46" stopIfTrue="1" operator="equal">
      <formula>"ERROR"</formula>
    </cfRule>
    <cfRule type="cellIs" dxfId="312" priority="47" stopIfTrue="1" operator="equal">
      <formula>"OK"</formula>
    </cfRule>
    <cfRule type="cellIs" dxfId="311" priority="48" stopIfTrue="1" operator="equal">
      <formula>"WARNING"</formula>
    </cfRule>
  </conditionalFormatting>
  <conditionalFormatting sqref="G71">
    <cfRule type="cellIs" dxfId="310" priority="40" stopIfTrue="1" operator="equal">
      <formula>"ERROR"</formula>
    </cfRule>
    <cfRule type="cellIs" dxfId="309" priority="41" stopIfTrue="1" operator="equal">
      <formula>"OK"</formula>
    </cfRule>
    <cfRule type="cellIs" dxfId="308" priority="42" stopIfTrue="1" operator="equal">
      <formula>"WARNING"</formula>
    </cfRule>
  </conditionalFormatting>
  <conditionalFormatting sqref="C66">
    <cfRule type="cellIs" dxfId="307" priority="37" stopIfTrue="1" operator="equal">
      <formula>"ERROR"</formula>
    </cfRule>
  </conditionalFormatting>
  <conditionalFormatting sqref="C66">
    <cfRule type="cellIs" dxfId="306" priority="38" stopIfTrue="1" operator="equal">
      <formula>"OK"</formula>
    </cfRule>
  </conditionalFormatting>
  <conditionalFormatting sqref="C66">
    <cfRule type="cellIs" dxfId="305" priority="39" stopIfTrue="1" operator="equal">
      <formula>"WARNING"</formula>
    </cfRule>
  </conditionalFormatting>
  <conditionalFormatting sqref="N71">
    <cfRule type="cellIs" dxfId="304" priority="34" stopIfTrue="1" operator="equal">
      <formula>"ERROR"</formula>
    </cfRule>
    <cfRule type="cellIs" dxfId="303" priority="35" stopIfTrue="1" operator="equal">
      <formula>"OK"</formula>
    </cfRule>
    <cfRule type="cellIs" dxfId="302" priority="36" stopIfTrue="1" operator="equal">
      <formula>"WARNING"</formula>
    </cfRule>
  </conditionalFormatting>
  <conditionalFormatting sqref="U71">
    <cfRule type="cellIs" dxfId="301" priority="31" stopIfTrue="1" operator="equal">
      <formula>"ERROR"</formula>
    </cfRule>
    <cfRule type="cellIs" dxfId="300" priority="32" stopIfTrue="1" operator="equal">
      <formula>"OK"</formula>
    </cfRule>
    <cfRule type="cellIs" dxfId="299" priority="33" stopIfTrue="1" operator="equal">
      <formula>"WARNING"</formula>
    </cfRule>
  </conditionalFormatting>
  <conditionalFormatting sqref="AB71">
    <cfRule type="cellIs" dxfId="298" priority="28" stopIfTrue="1" operator="equal">
      <formula>"ERROR"</formula>
    </cfRule>
    <cfRule type="cellIs" dxfId="297" priority="29" stopIfTrue="1" operator="equal">
      <formula>"OK"</formula>
    </cfRule>
    <cfRule type="cellIs" dxfId="296" priority="30" stopIfTrue="1" operator="equal">
      <formula>"WARNING"</formula>
    </cfRule>
  </conditionalFormatting>
  <conditionalFormatting sqref="U129">
    <cfRule type="cellIs" dxfId="295" priority="25" stopIfTrue="1" operator="equal">
      <formula>"ERROR"</formula>
    </cfRule>
    <cfRule type="cellIs" dxfId="294" priority="26" stopIfTrue="1" operator="equal">
      <formula>"OK"</formula>
    </cfRule>
    <cfRule type="cellIs" dxfId="293" priority="27" stopIfTrue="1" operator="equal">
      <formula>"WARNING"</formula>
    </cfRule>
  </conditionalFormatting>
  <conditionalFormatting sqref="C167">
    <cfRule type="cellIs" dxfId="292" priority="22" stopIfTrue="1" operator="equal">
      <formula>"ERROR"</formula>
    </cfRule>
  </conditionalFormatting>
  <conditionalFormatting sqref="C167">
    <cfRule type="cellIs" dxfId="291" priority="23" stopIfTrue="1" operator="equal">
      <formula>"OK"</formula>
    </cfRule>
  </conditionalFormatting>
  <conditionalFormatting sqref="C167">
    <cfRule type="cellIs" dxfId="290" priority="24" stopIfTrue="1" operator="equal">
      <formula>"WARNING"</formula>
    </cfRule>
  </conditionalFormatting>
  <conditionalFormatting sqref="H172:I176">
    <cfRule type="cellIs" dxfId="289" priority="132" stopIfTrue="1" operator="equal">
      <formula>"ERROR"</formula>
    </cfRule>
  </conditionalFormatting>
  <conditionalFormatting sqref="H172:I176">
    <cfRule type="cellIs" dxfId="288" priority="133" stopIfTrue="1" operator="equal">
      <formula>"OK"</formula>
    </cfRule>
  </conditionalFormatting>
  <conditionalFormatting sqref="H172:I176">
    <cfRule type="cellIs" dxfId="287" priority="134" stopIfTrue="1" operator="equal">
      <formula>"WARNING"</formula>
    </cfRule>
  </conditionalFormatting>
  <conditionalFormatting sqref="D13:D14">
    <cfRule type="cellIs" dxfId="286" priority="135" stopIfTrue="1" operator="equal">
      <formula>"ERROR"</formula>
    </cfRule>
    <cfRule type="cellIs" dxfId="285" priority="136" stopIfTrue="1" operator="equal">
      <formula>"OK"</formula>
    </cfRule>
    <cfRule type="cellIs" dxfId="284" priority="137" stopIfTrue="1" operator="equal">
      <formula>"WARNING"</formula>
    </cfRule>
  </conditionalFormatting>
  <conditionalFormatting sqref="D15:D16">
    <cfRule type="cellIs" dxfId="283" priority="138" stopIfTrue="1" operator="equal">
      <formula>"ERROR"</formula>
    </cfRule>
    <cfRule type="cellIs" dxfId="282" priority="139" stopIfTrue="1" operator="equal">
      <formula>"OK"</formula>
    </cfRule>
    <cfRule type="cellIs" dxfId="281" priority="140" stopIfTrue="1" operator="equal">
      <formula>"WARNING"</formula>
    </cfRule>
  </conditionalFormatting>
  <conditionalFormatting sqref="C182">
    <cfRule type="cellIs" dxfId="280" priority="16" stopIfTrue="1" operator="equal">
      <formula>"ERROR"</formula>
    </cfRule>
  </conditionalFormatting>
  <conditionalFormatting sqref="C182">
    <cfRule type="cellIs" dxfId="279" priority="17" stopIfTrue="1" operator="equal">
      <formula>"OK"</formula>
    </cfRule>
  </conditionalFormatting>
  <conditionalFormatting sqref="C182">
    <cfRule type="cellIs" dxfId="278" priority="18" stopIfTrue="1" operator="equal">
      <formula>"WARNING"</formula>
    </cfRule>
  </conditionalFormatting>
  <conditionalFormatting sqref="L187:O191">
    <cfRule type="cellIs" dxfId="277" priority="19" stopIfTrue="1" operator="equal">
      <formula>"ERROR"</formula>
    </cfRule>
  </conditionalFormatting>
  <conditionalFormatting sqref="L187:O191">
    <cfRule type="cellIs" dxfId="276" priority="20" stopIfTrue="1" operator="equal">
      <formula>"OK"</formula>
    </cfRule>
  </conditionalFormatting>
  <conditionalFormatting sqref="L187:O191">
    <cfRule type="cellIs" dxfId="275" priority="21" stopIfTrue="1" operator="equal">
      <formula>"WARNING"</formula>
    </cfRule>
  </conditionalFormatting>
  <conditionalFormatting sqref="C80">
    <cfRule type="cellIs" dxfId="274" priority="13" stopIfTrue="1" operator="equal">
      <formula>"ERROR"</formula>
    </cfRule>
  </conditionalFormatting>
  <conditionalFormatting sqref="C80">
    <cfRule type="cellIs" dxfId="273" priority="14" stopIfTrue="1" operator="equal">
      <formula>"OK"</formula>
    </cfRule>
  </conditionalFormatting>
  <conditionalFormatting sqref="C80">
    <cfRule type="cellIs" dxfId="272" priority="15" stopIfTrue="1" operator="equal">
      <formula>"WARNING"</formula>
    </cfRule>
  </conditionalFormatting>
  <conditionalFormatting sqref="L85:O118">
    <cfRule type="cellIs" dxfId="271" priority="141" stopIfTrue="1" operator="equal">
      <formula>"ERROR"</formula>
    </cfRule>
  </conditionalFormatting>
  <conditionalFormatting sqref="L85:O118">
    <cfRule type="cellIs" dxfId="270" priority="142" stopIfTrue="1" operator="equal">
      <formula>"OK"</formula>
    </cfRule>
  </conditionalFormatting>
  <conditionalFormatting sqref="L85:O118">
    <cfRule type="cellIs" dxfId="269" priority="143" stopIfTrue="1" operator="equal">
      <formula>"WARNING"</formula>
    </cfRule>
  </conditionalFormatting>
  <conditionalFormatting sqref="C151">
    <cfRule type="cellIs" dxfId="268" priority="10" stopIfTrue="1" operator="equal">
      <formula>"ERROR"</formula>
    </cfRule>
  </conditionalFormatting>
  <conditionalFormatting sqref="C151">
    <cfRule type="cellIs" dxfId="267" priority="11" stopIfTrue="1" operator="equal">
      <formula>"OK"</formula>
    </cfRule>
  </conditionalFormatting>
  <conditionalFormatting sqref="C151">
    <cfRule type="cellIs" dxfId="266" priority="12" stopIfTrue="1" operator="equal">
      <formula>"WARNING"</formula>
    </cfRule>
  </conditionalFormatting>
  <conditionalFormatting sqref="G156:G160">
    <cfRule type="cellIs" dxfId="265" priority="144" stopIfTrue="1" operator="equal">
      <formula>"ERROR"</formula>
    </cfRule>
  </conditionalFormatting>
  <conditionalFormatting sqref="G156:G160">
    <cfRule type="cellIs" dxfId="264" priority="145" stopIfTrue="1" operator="equal">
      <formula>"OK"</formula>
    </cfRule>
  </conditionalFormatting>
  <conditionalFormatting sqref="G156:G160">
    <cfRule type="cellIs" dxfId="263" priority="146" stopIfTrue="1" operator="equal">
      <formula>"WARNING"</formula>
    </cfRule>
  </conditionalFormatting>
  <conditionalFormatting sqref="N156:N160">
    <cfRule type="cellIs" dxfId="262" priority="7" stopIfTrue="1" operator="equal">
      <formula>"ERROR"</formula>
    </cfRule>
  </conditionalFormatting>
  <conditionalFormatting sqref="N156:N160">
    <cfRule type="cellIs" dxfId="261" priority="8" stopIfTrue="1" operator="equal">
      <formula>"OK"</formula>
    </cfRule>
  </conditionalFormatting>
  <conditionalFormatting sqref="N156:N160">
    <cfRule type="cellIs" dxfId="260" priority="9" stopIfTrue="1" operator="equal">
      <formula>"WARNING"</formula>
    </cfRule>
  </conditionalFormatting>
  <conditionalFormatting sqref="U156:U160">
    <cfRule type="cellIs" dxfId="259" priority="4" stopIfTrue="1" operator="equal">
      <formula>"ERROR"</formula>
    </cfRule>
  </conditionalFormatting>
  <conditionalFormatting sqref="U156:U160">
    <cfRule type="cellIs" dxfId="258" priority="5" stopIfTrue="1" operator="equal">
      <formula>"OK"</formula>
    </cfRule>
  </conditionalFormatting>
  <conditionalFormatting sqref="U156:U160">
    <cfRule type="cellIs" dxfId="257" priority="6" stopIfTrue="1" operator="equal">
      <formula>"WARNING"</formula>
    </cfRule>
  </conditionalFormatting>
  <conditionalFormatting sqref="AB156">
    <cfRule type="cellIs" dxfId="256" priority="1" stopIfTrue="1" operator="equal">
      <formula>"ERROR"</formula>
    </cfRule>
  </conditionalFormatting>
  <conditionalFormatting sqref="AB156">
    <cfRule type="cellIs" dxfId="255" priority="2" stopIfTrue="1" operator="equal">
      <formula>"OK"</formula>
    </cfRule>
  </conditionalFormatting>
  <conditionalFormatting sqref="AB156">
    <cfRule type="cellIs" dxfId="254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2:BI37"/>
  <sheetViews>
    <sheetView showGridLines="0" zoomScaleNormal="100" workbookViewId="0"/>
  </sheetViews>
  <sheetFormatPr defaultColWidth="14.77734375" defaultRowHeight="14.4" x14ac:dyDescent="0.3"/>
  <cols>
    <col min="1" max="1" width="3.77734375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2" spans="1:61" ht="25.8" x14ac:dyDescent="0.5">
      <c r="B2" s="2" t="s">
        <v>388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</row>
    <row r="4" spans="1:61" x14ac:dyDescent="0.3">
      <c r="B4" s="59" t="s">
        <v>170</v>
      </c>
      <c r="C4" s="377" t="str" cm="1">
        <f t="array" ref="C4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61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61" x14ac:dyDescent="0.3">
      <c r="B8" s="238" t="s">
        <v>389</v>
      </c>
      <c r="C8" s="397"/>
      <c r="D8" s="377" t="str">
        <f>C14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61" x14ac:dyDescent="0.3">
      <c r="B9" s="238" t="s">
        <v>407</v>
      </c>
      <c r="C9" s="397"/>
      <c r="D9" s="377" t="str">
        <f>C26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2" spans="1:61" s="375" customFormat="1" ht="18" x14ac:dyDescent="0.35">
      <c r="A12"/>
      <c r="B12" s="3" t="s">
        <v>389</v>
      </c>
      <c r="C12" s="383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3"/>
      <c r="AH12" s="383"/>
      <c r="AI12" s="383"/>
      <c r="AJ12" s="383"/>
      <c r="AK12" s="383"/>
      <c r="AL12" s="383"/>
      <c r="AM12" s="383"/>
      <c r="AN12" s="383"/>
      <c r="AO12" s="383"/>
      <c r="AP12" s="383"/>
      <c r="AQ12" s="383"/>
      <c r="AR12" s="383"/>
      <c r="AS12" s="383"/>
      <c r="AT12" s="383"/>
      <c r="AU12" s="383"/>
      <c r="AV12" s="383"/>
      <c r="AW12" s="383"/>
      <c r="AX12" s="383"/>
      <c r="AY12" s="383"/>
      <c r="AZ12" s="383"/>
      <c r="BA12" s="383"/>
      <c r="BB12" s="383"/>
      <c r="BC12" s="383"/>
      <c r="BD12" s="383"/>
      <c r="BE12" s="383"/>
      <c r="BF12" s="383"/>
      <c r="BG12" s="383"/>
      <c r="BH12" s="383"/>
      <c r="BI12" s="383"/>
    </row>
    <row r="14" spans="1:61" x14ac:dyDescent="0.3">
      <c r="B14" s="59" t="s">
        <v>170</v>
      </c>
      <c r="C14" s="377" t="str" cm="1">
        <f t="array" ref="C14">_xll.d.TestUtils_And(H19,P19,Y19,AG19,AO19,AW19,BE19)</f>
        <v>OK</v>
      </c>
      <c r="D14" s="375"/>
      <c r="E14" s="375"/>
      <c r="F14" s="375"/>
      <c r="G14" s="375"/>
    </row>
    <row r="15" spans="1:61" x14ac:dyDescent="0.3">
      <c r="B15" s="375"/>
      <c r="C15" s="375"/>
      <c r="D15" s="375"/>
      <c r="E15" s="375"/>
      <c r="F15" s="375"/>
      <c r="G15" s="376"/>
    </row>
    <row r="16" spans="1:61" ht="15.6" x14ac:dyDescent="0.3">
      <c r="B16" s="4" t="s">
        <v>390</v>
      </c>
      <c r="C16" s="384"/>
      <c r="D16" s="384"/>
      <c r="E16" s="384"/>
      <c r="F16" s="384"/>
      <c r="G16" s="384"/>
      <c r="H16" s="384"/>
      <c r="J16" s="4" t="s">
        <v>394</v>
      </c>
      <c r="K16" s="384"/>
      <c r="L16" s="384"/>
      <c r="M16" s="384"/>
      <c r="N16" s="384"/>
      <c r="O16" s="384"/>
      <c r="P16" s="384"/>
      <c r="R16" s="4" t="s">
        <v>396</v>
      </c>
      <c r="S16" s="384"/>
      <c r="T16" s="384"/>
      <c r="U16" s="384"/>
      <c r="V16" s="384"/>
      <c r="W16" s="384"/>
      <c r="X16" s="384"/>
      <c r="Y16" s="384"/>
      <c r="AA16" s="4" t="s">
        <v>397</v>
      </c>
      <c r="AB16" s="384"/>
      <c r="AC16" s="384"/>
      <c r="AD16" s="384"/>
      <c r="AE16" s="384"/>
      <c r="AF16" s="384"/>
      <c r="AG16" s="384"/>
      <c r="AI16" s="4" t="s">
        <v>399</v>
      </c>
      <c r="AJ16" s="384"/>
      <c r="AK16" s="384"/>
      <c r="AL16" s="384"/>
      <c r="AM16" s="384"/>
      <c r="AN16" s="384"/>
      <c r="AO16" s="384"/>
      <c r="AQ16" s="4" t="s">
        <v>413</v>
      </c>
      <c r="AR16" s="384"/>
      <c r="AS16" s="384"/>
      <c r="AT16" s="384"/>
      <c r="AU16" s="384"/>
      <c r="AV16" s="384"/>
      <c r="AW16" s="384"/>
      <c r="AY16" s="4" t="s">
        <v>414</v>
      </c>
      <c r="AZ16" s="384"/>
      <c r="BA16" s="384"/>
      <c r="BB16" s="384"/>
      <c r="BC16" s="384"/>
      <c r="BD16" s="384"/>
      <c r="BE16" s="384"/>
    </row>
    <row r="17" spans="1:61" x14ac:dyDescent="0.3">
      <c r="B17" s="375"/>
      <c r="C17" s="375"/>
      <c r="D17" s="375"/>
      <c r="E17" s="375"/>
      <c r="F17" s="375"/>
      <c r="G17" s="376"/>
      <c r="J17" s="375"/>
      <c r="K17" s="375"/>
      <c r="L17" s="375"/>
      <c r="M17" s="375"/>
      <c r="N17" s="375"/>
      <c r="O17" s="376"/>
      <c r="R17" s="375"/>
      <c r="S17" s="375"/>
      <c r="T17" s="375"/>
      <c r="U17" s="375"/>
      <c r="V17" s="375"/>
      <c r="W17" s="375"/>
      <c r="X17" s="376"/>
      <c r="AA17" s="375"/>
      <c r="AB17" s="375"/>
      <c r="AC17" s="375"/>
      <c r="AD17" s="375"/>
      <c r="AE17" s="375"/>
      <c r="AF17" s="376"/>
      <c r="AI17" s="375"/>
      <c r="AJ17" s="375"/>
      <c r="AK17" s="375"/>
      <c r="AL17" s="375"/>
      <c r="AM17" s="375"/>
      <c r="AN17" s="376"/>
      <c r="AQ17" s="375"/>
      <c r="AR17" s="375"/>
      <c r="AS17" s="375"/>
      <c r="AT17" s="375"/>
      <c r="AU17" s="375"/>
      <c r="AV17" s="376"/>
      <c r="AY17" s="375"/>
      <c r="AZ17" s="375"/>
      <c r="BA17" s="375"/>
      <c r="BB17" s="375"/>
      <c r="BC17" s="375"/>
      <c r="BD17" s="376"/>
    </row>
    <row r="18" spans="1:61" x14ac:dyDescent="0.3">
      <c r="B18" s="138" t="s">
        <v>267</v>
      </c>
      <c r="C18" s="231"/>
      <c r="D18" s="139"/>
      <c r="F18" s="138" t="s">
        <v>144</v>
      </c>
      <c r="G18" s="138" t="s">
        <v>269</v>
      </c>
      <c r="H18" s="138" t="s">
        <v>88</v>
      </c>
      <c r="J18" s="138" t="s">
        <v>267</v>
      </c>
      <c r="K18" s="231"/>
      <c r="L18" s="139"/>
      <c r="N18" s="138" t="s">
        <v>144</v>
      </c>
      <c r="O18" s="138" t="s">
        <v>269</v>
      </c>
      <c r="P18" s="138" t="s">
        <v>88</v>
      </c>
      <c r="R18" s="138" t="s">
        <v>267</v>
      </c>
      <c r="S18" s="231"/>
      <c r="T18" s="231"/>
      <c r="U18" s="139"/>
      <c r="W18" s="138" t="s">
        <v>144</v>
      </c>
      <c r="X18" s="138" t="s">
        <v>269</v>
      </c>
      <c r="Y18" s="138" t="s">
        <v>88</v>
      </c>
      <c r="AA18" s="138" t="s">
        <v>267</v>
      </c>
      <c r="AB18" s="231"/>
      <c r="AC18" s="139"/>
      <c r="AE18" s="138" t="s">
        <v>144</v>
      </c>
      <c r="AF18" s="138" t="s">
        <v>269</v>
      </c>
      <c r="AG18" s="138" t="s">
        <v>88</v>
      </c>
      <c r="AI18" s="138" t="s">
        <v>267</v>
      </c>
      <c r="AJ18" s="231"/>
      <c r="AK18" s="139"/>
      <c r="AM18" s="138" t="s">
        <v>144</v>
      </c>
      <c r="AN18" s="138" t="s">
        <v>269</v>
      </c>
      <c r="AO18" s="138" t="s">
        <v>88</v>
      </c>
      <c r="AQ18" s="138" t="s">
        <v>267</v>
      </c>
      <c r="AR18" s="231"/>
      <c r="AS18" s="139"/>
      <c r="AU18" s="138" t="s">
        <v>144</v>
      </c>
      <c r="AV18" s="138" t="s">
        <v>269</v>
      </c>
      <c r="AW18" s="138" t="s">
        <v>88</v>
      </c>
      <c r="AY18" s="138" t="s">
        <v>267</v>
      </c>
      <c r="AZ18" s="231"/>
      <c r="BA18" s="139"/>
      <c r="BC18" s="138" t="s">
        <v>144</v>
      </c>
      <c r="BD18" s="138" t="s">
        <v>269</v>
      </c>
      <c r="BE18" s="138" t="s">
        <v>88</v>
      </c>
    </row>
    <row r="19" spans="1:61" x14ac:dyDescent="0.3">
      <c r="B19" s="401" t="s">
        <v>391</v>
      </c>
      <c r="C19" s="402" t="s">
        <v>392</v>
      </c>
      <c r="D19" s="137" t="s">
        <v>393</v>
      </c>
      <c r="F19" s="404" cm="1">
        <f t="array" ref="F19">_xll.d.Math_Interpolate(B20:B21,C20:C21,D20,"linear")</f>
        <v>7.5000000000000011E-2</v>
      </c>
      <c r="G19" s="405">
        <f>(C21-C20)/(B21-B20)*(D20-B20)+C20</f>
        <v>7.5000000000000011E-2</v>
      </c>
      <c r="H19" s="387" t="str" cm="1">
        <f t="array" ref="H19">_xll.d.TestUtils_Equal(F19,G19)</f>
        <v>OK</v>
      </c>
      <c r="J19" s="401" t="s">
        <v>391</v>
      </c>
      <c r="K19" s="402" t="s">
        <v>392</v>
      </c>
      <c r="L19" s="137" t="s">
        <v>393</v>
      </c>
      <c r="N19" s="404" cm="1">
        <f t="array" ref="N19">_xll.d.Math_Interpolate(J20:J21,K20:K21,L20,"exponential")</f>
        <v>7.0710673928260803E-2</v>
      </c>
      <c r="O19" s="405">
        <f>EXP((LN(K21/K20))/(J21-J20)*(L20-J20)+LN(K20))</f>
        <v>7.0710678118654766E-2</v>
      </c>
      <c r="P19" s="387" t="str" cm="1">
        <f t="array" ref="P19">_xll.d.TestUtils_Equal(N19,O19)</f>
        <v>OK</v>
      </c>
      <c r="R19" s="401" t="s">
        <v>391</v>
      </c>
      <c r="S19" s="402" t="s">
        <v>392</v>
      </c>
      <c r="T19" s="402" t="s">
        <v>395</v>
      </c>
      <c r="U19" s="137" t="s">
        <v>393</v>
      </c>
      <c r="W19" s="404" cm="1">
        <f t="array" ref="W19">_xll.d.Math_Interpolate(R20:R21,T20:T21,U20,"exponential")-EXP(_xll.d.Math_Interpolate(R20:R21,S20:S21,U20,"linear"))</f>
        <v>4.6350475901846266E-8</v>
      </c>
      <c r="X19" s="405">
        <v>0</v>
      </c>
      <c r="Y19" s="387" t="str" cm="1">
        <f t="array" ref="Y19">_xll.d.TestUtils_Equal(W19,X19)</f>
        <v>OK</v>
      </c>
      <c r="AA19" s="401" t="s">
        <v>391</v>
      </c>
      <c r="AB19" s="402" t="s">
        <v>392</v>
      </c>
      <c r="AC19" s="137" t="s">
        <v>393</v>
      </c>
      <c r="AE19" s="404" cm="1">
        <f t="array" ref="AE19">_xll.d.Math_Interpolate(AA20:AA21,AB20:AB21,AC20,"flat")</f>
        <v>0.05</v>
      </c>
      <c r="AF19" s="405">
        <f>IF(AC20&lt;AA21,AB20,AB21)</f>
        <v>0.05</v>
      </c>
      <c r="AG19" s="387" t="str" cm="1">
        <f t="array" ref="AG19">_xll.d.TestUtils_Equal(AE19,AF19)</f>
        <v>OK</v>
      </c>
      <c r="AI19" s="401" t="s">
        <v>391</v>
      </c>
      <c r="AJ19" s="402" t="s">
        <v>392</v>
      </c>
      <c r="AK19" s="137" t="s">
        <v>393</v>
      </c>
      <c r="AM19" s="404" t="str" cm="1">
        <f t="array" ref="AM19">_xll.d.Math_Interpolate(AI20,AJ20:AJ21,AK20,"linear")</f>
        <v>#∂Excel Error: Row dimensions do not match or there is more than one column in x or y.</v>
      </c>
      <c r="AN19" s="405" t="s">
        <v>398</v>
      </c>
      <c r="AO19" s="387" t="str" cm="1">
        <f t="array" ref="AO19">_xll.d.TestUtils_Equal(AM19,AN19)</f>
        <v>OK</v>
      </c>
      <c r="AQ19" s="401" t="s">
        <v>391</v>
      </c>
      <c r="AR19" s="402" t="s">
        <v>392</v>
      </c>
      <c r="AS19" s="137" t="s">
        <v>393</v>
      </c>
      <c r="AU19" s="404" t="str" cm="1">
        <f t="array" ref="AU19">_xll.d.Math_Interpolate(AQ20:AR21,AR20:AR21,AS20,"linear")</f>
        <v>#∂Excel Error: Row dimensions do not match or there is more than one column in x or y.</v>
      </c>
      <c r="AV19" s="405" t="s">
        <v>398</v>
      </c>
      <c r="AW19" s="387" t="str" cm="1">
        <f t="array" ref="AW19">_xll.d.TestUtils_Equal(AU19,AV19)</f>
        <v>OK</v>
      </c>
      <c r="AY19" s="401" t="s">
        <v>391</v>
      </c>
      <c r="AZ19" s="402" t="s">
        <v>392</v>
      </c>
      <c r="BA19" s="137" t="s">
        <v>393</v>
      </c>
      <c r="BC19" s="404" t="str" cm="1">
        <f t="array" ref="BC19">_xll.d.Math_Interpolate(AY20:AY21,AZ20:AZ21,BA20,"magic")</f>
        <v>#∂Excel Error: Invalid method of interpolation specified.</v>
      </c>
      <c r="BD19" s="405" t="s">
        <v>401</v>
      </c>
      <c r="BE19" s="387" t="str" cm="1">
        <f t="array" ref="BE19">_xll.d.TestUtils_Equal(BC19,BD19)</f>
        <v>OK</v>
      </c>
    </row>
    <row r="20" spans="1:61" x14ac:dyDescent="0.3">
      <c r="B20" s="140">
        <v>1</v>
      </c>
      <c r="C20" s="398">
        <v>0.05</v>
      </c>
      <c r="D20" s="403">
        <v>1.5</v>
      </c>
      <c r="E20" s="375"/>
      <c r="F20" s="375"/>
      <c r="G20" s="376"/>
      <c r="J20" s="140">
        <v>1</v>
      </c>
      <c r="K20" s="398">
        <v>0.05</v>
      </c>
      <c r="L20" s="403">
        <v>1.5</v>
      </c>
      <c r="M20" s="375"/>
      <c r="N20" s="375"/>
      <c r="O20" s="376"/>
      <c r="R20" s="140">
        <v>1</v>
      </c>
      <c r="S20" s="398">
        <v>0.05</v>
      </c>
      <c r="T20" s="398">
        <f>EXP(S20)</f>
        <v>1.0512710963760241</v>
      </c>
      <c r="U20" s="403">
        <v>1.5</v>
      </c>
      <c r="V20" s="375"/>
      <c r="W20" s="375"/>
      <c r="X20" s="376"/>
      <c r="AA20" s="140">
        <v>1</v>
      </c>
      <c r="AB20" s="398">
        <v>0.05</v>
      </c>
      <c r="AC20" s="403">
        <v>1.5</v>
      </c>
      <c r="AD20" s="375"/>
      <c r="AE20" s="375"/>
      <c r="AF20" s="376"/>
      <c r="AI20" s="140">
        <v>1</v>
      </c>
      <c r="AJ20" s="398">
        <v>0.05</v>
      </c>
      <c r="AK20" s="403">
        <v>1.5</v>
      </c>
      <c r="AL20" s="375"/>
      <c r="AM20" s="375"/>
      <c r="AN20" s="376"/>
      <c r="AQ20" s="140">
        <v>1</v>
      </c>
      <c r="AR20" s="398">
        <v>0.05</v>
      </c>
      <c r="AS20" s="403">
        <v>1.5</v>
      </c>
      <c r="AT20" s="375"/>
      <c r="AU20" s="375"/>
      <c r="AV20" s="376"/>
      <c r="AY20" s="140">
        <v>1</v>
      </c>
      <c r="AZ20" s="398">
        <v>0.05</v>
      </c>
      <c r="BA20" s="403">
        <v>1.5</v>
      </c>
      <c r="BB20" s="375"/>
      <c r="BC20" s="375"/>
      <c r="BD20" s="376"/>
    </row>
    <row r="21" spans="1:61" x14ac:dyDescent="0.3">
      <c r="B21" s="406">
        <v>2</v>
      </c>
      <c r="C21" s="407">
        <v>0.1</v>
      </c>
      <c r="E21" s="375"/>
      <c r="F21" s="375"/>
      <c r="G21" s="376"/>
      <c r="J21" s="406">
        <v>2</v>
      </c>
      <c r="K21" s="407">
        <v>0.1</v>
      </c>
      <c r="M21" s="375"/>
      <c r="N21" s="375"/>
      <c r="O21" s="376"/>
      <c r="R21" s="406">
        <v>2</v>
      </c>
      <c r="S21" s="409">
        <v>0.1</v>
      </c>
      <c r="T21" s="408">
        <f>EXP(S21)</f>
        <v>1.1051709180756477</v>
      </c>
      <c r="V21" s="375"/>
      <c r="W21" s="375"/>
      <c r="X21" s="376"/>
      <c r="AA21" s="406">
        <v>2</v>
      </c>
      <c r="AB21" s="407">
        <v>0.1</v>
      </c>
      <c r="AD21" s="375"/>
      <c r="AE21" s="375"/>
      <c r="AF21" s="376"/>
      <c r="AI21" s="406">
        <v>2</v>
      </c>
      <c r="AJ21" s="407">
        <v>0.1</v>
      </c>
      <c r="AL21" s="375"/>
      <c r="AM21" s="375"/>
      <c r="AN21" s="376"/>
      <c r="AQ21" s="406">
        <v>2</v>
      </c>
      <c r="AR21" s="407">
        <v>0.1</v>
      </c>
      <c r="AT21" s="375"/>
      <c r="AU21" s="375"/>
      <c r="AV21" s="376"/>
      <c r="AY21" s="406">
        <v>2</v>
      </c>
      <c r="AZ21" s="407">
        <v>0.1</v>
      </c>
      <c r="BB21" s="375"/>
      <c r="BC21" s="375"/>
      <c r="BD21" s="376"/>
    </row>
    <row r="22" spans="1:61" x14ac:dyDescent="0.3">
      <c r="B22" s="375"/>
      <c r="C22" s="375"/>
      <c r="D22" s="375"/>
      <c r="E22" s="375"/>
      <c r="F22" s="375"/>
      <c r="G22" s="376"/>
    </row>
    <row r="23" spans="1:61" x14ac:dyDescent="0.3">
      <c r="B23" s="375"/>
      <c r="C23" s="375"/>
      <c r="D23" s="375"/>
      <c r="E23" s="375"/>
      <c r="F23" s="375"/>
      <c r="G23" s="376"/>
    </row>
    <row r="24" spans="1:61" s="375" customFormat="1" ht="18" x14ac:dyDescent="0.35">
      <c r="A24"/>
      <c r="B24" s="3" t="s">
        <v>407</v>
      </c>
      <c r="C24" s="383"/>
      <c r="D24" s="383"/>
      <c r="E24" s="383"/>
      <c r="F24" s="383"/>
      <c r="G24" s="383"/>
      <c r="H24" s="383"/>
      <c r="I24" s="383"/>
      <c r="J24" s="383"/>
      <c r="K24" s="383"/>
      <c r="L24" s="383"/>
      <c r="M24" s="383"/>
      <c r="N24" s="383"/>
      <c r="O24" s="383"/>
      <c r="P24" s="383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383"/>
      <c r="AE24" s="383"/>
      <c r="AF24" s="383"/>
      <c r="AG24" s="383"/>
      <c r="AH24" s="383"/>
      <c r="AI24" s="383"/>
      <c r="AJ24" s="383"/>
      <c r="AK24" s="383"/>
      <c r="AL24" s="383"/>
      <c r="AM24" s="383"/>
      <c r="AN24" s="383"/>
      <c r="AO24" s="383"/>
      <c r="AP24" s="383"/>
      <c r="AQ24" s="383"/>
      <c r="AR24" s="383"/>
      <c r="AS24" s="383"/>
      <c r="AT24" s="383"/>
      <c r="AU24" s="383"/>
      <c r="AV24" s="383"/>
      <c r="AW24" s="383"/>
      <c r="AX24" s="383"/>
      <c r="AY24" s="383"/>
      <c r="AZ24" s="383"/>
      <c r="BA24" s="383"/>
      <c r="BB24" s="383"/>
      <c r="BC24" s="383"/>
      <c r="BD24" s="383"/>
      <c r="BE24" s="383"/>
      <c r="BF24" s="383"/>
      <c r="BG24" s="383"/>
      <c r="BH24" s="383"/>
      <c r="BI24" s="383"/>
    </row>
    <row r="26" spans="1:61" s="375" customFormat="1" x14ac:dyDescent="0.3">
      <c r="A26"/>
      <c r="B26" s="59" t="s">
        <v>170</v>
      </c>
      <c r="C26" s="377" t="str" cm="1">
        <f t="array" ref="C26">_xll.d.TestUtils_And(L31,Y31,AK31,AW31,BI31)</f>
        <v>OK</v>
      </c>
    </row>
    <row r="28" spans="1:61" ht="15.6" x14ac:dyDescent="0.3">
      <c r="B28" s="4" t="s">
        <v>408</v>
      </c>
      <c r="C28" s="384"/>
      <c r="D28" s="384"/>
      <c r="E28" s="384"/>
      <c r="F28" s="384"/>
      <c r="G28" s="384"/>
      <c r="H28" s="384"/>
      <c r="I28" s="384"/>
      <c r="J28" s="384"/>
      <c r="K28" s="384"/>
      <c r="L28" s="384"/>
      <c r="N28" s="4" t="s">
        <v>409</v>
      </c>
      <c r="O28" s="384"/>
      <c r="P28" s="384"/>
      <c r="Q28" s="384"/>
      <c r="R28" s="384"/>
      <c r="S28" s="384"/>
      <c r="T28" s="384"/>
      <c r="U28" s="384"/>
      <c r="V28" s="384"/>
      <c r="W28" s="384"/>
      <c r="X28" s="384"/>
      <c r="Y28" s="384"/>
      <c r="AA28" s="4" t="s">
        <v>410</v>
      </c>
      <c r="AB28" s="384"/>
      <c r="AC28" s="384"/>
      <c r="AD28" s="384"/>
      <c r="AE28" s="384"/>
      <c r="AF28" s="384"/>
      <c r="AG28" s="384"/>
      <c r="AH28" s="384"/>
      <c r="AI28" s="384"/>
      <c r="AJ28" s="384"/>
      <c r="AK28" s="384"/>
      <c r="AM28" s="4" t="s">
        <v>411</v>
      </c>
      <c r="AN28" s="384"/>
      <c r="AO28" s="384"/>
      <c r="AP28" s="384"/>
      <c r="AQ28" s="384"/>
      <c r="AR28" s="384"/>
      <c r="AS28" s="384"/>
      <c r="AT28" s="384"/>
      <c r="AU28" s="384"/>
      <c r="AV28" s="384"/>
      <c r="AW28" s="384"/>
      <c r="AY28" s="4" t="s">
        <v>400</v>
      </c>
      <c r="AZ28" s="384"/>
      <c r="BA28" s="384"/>
      <c r="BB28" s="384"/>
      <c r="BC28" s="384"/>
      <c r="BD28" s="384"/>
      <c r="BE28" s="384"/>
      <c r="BF28" s="384"/>
      <c r="BG28" s="384"/>
      <c r="BH28" s="384"/>
      <c r="BI28" s="384"/>
    </row>
    <row r="29" spans="1:61" x14ac:dyDescent="0.3">
      <c r="B29" s="375"/>
      <c r="C29" s="375"/>
      <c r="D29" s="375"/>
      <c r="E29" s="375"/>
      <c r="F29" s="375"/>
      <c r="G29" s="376"/>
      <c r="N29" s="375"/>
      <c r="O29" s="375"/>
      <c r="P29" s="375"/>
      <c r="Q29" s="375"/>
      <c r="R29" s="375"/>
      <c r="S29" s="376"/>
      <c r="AA29" s="375"/>
      <c r="AB29" s="375"/>
      <c r="AC29" s="375"/>
      <c r="AD29" s="375"/>
      <c r="AE29" s="375"/>
      <c r="AF29" s="376"/>
      <c r="AM29" s="375"/>
      <c r="AN29" s="375"/>
      <c r="AO29" s="375"/>
      <c r="AP29" s="375"/>
      <c r="AQ29" s="375"/>
      <c r="AR29" s="376"/>
      <c r="AY29" s="375"/>
      <c r="AZ29" s="375"/>
      <c r="BA29" s="375"/>
      <c r="BB29" s="375"/>
      <c r="BC29" s="375"/>
      <c r="BD29" s="376"/>
    </row>
    <row r="30" spans="1:61" x14ac:dyDescent="0.3">
      <c r="A30" s="156"/>
      <c r="B30" s="411" t="s">
        <v>267</v>
      </c>
      <c r="C30" s="231"/>
      <c r="D30" s="231"/>
      <c r="E30" s="418"/>
      <c r="F30" s="418"/>
      <c r="G30" s="412"/>
      <c r="H30" s="240"/>
      <c r="J30" s="138" t="s">
        <v>144</v>
      </c>
      <c r="K30" s="138" t="s">
        <v>269</v>
      </c>
      <c r="L30" s="138" t="s">
        <v>88</v>
      </c>
      <c r="N30" s="411" t="s">
        <v>267</v>
      </c>
      <c r="O30" s="231"/>
      <c r="P30" s="231"/>
      <c r="Q30" s="418"/>
      <c r="R30" s="418"/>
      <c r="S30" s="412"/>
      <c r="T30" s="240"/>
      <c r="W30" s="138" t="s">
        <v>144</v>
      </c>
      <c r="X30" s="138" t="s">
        <v>269</v>
      </c>
      <c r="Y30" s="138" t="s">
        <v>88</v>
      </c>
      <c r="AA30" s="411" t="s">
        <v>267</v>
      </c>
      <c r="AB30" s="231"/>
      <c r="AC30" s="231"/>
      <c r="AD30" s="418"/>
      <c r="AE30" s="418"/>
      <c r="AF30" s="412"/>
      <c r="AG30" s="240"/>
      <c r="AI30" s="138" t="s">
        <v>144</v>
      </c>
      <c r="AJ30" s="138" t="s">
        <v>269</v>
      </c>
      <c r="AK30" s="138" t="s">
        <v>88</v>
      </c>
      <c r="AM30" s="411" t="s">
        <v>267</v>
      </c>
      <c r="AN30" s="231"/>
      <c r="AO30" s="231"/>
      <c r="AP30" s="418"/>
      <c r="AQ30" s="418"/>
      <c r="AR30" s="412"/>
      <c r="AS30" s="240"/>
      <c r="AU30" s="138" t="s">
        <v>144</v>
      </c>
      <c r="AV30" s="138" t="s">
        <v>269</v>
      </c>
      <c r="AW30" s="138" t="s">
        <v>88</v>
      </c>
      <c r="AY30" s="411" t="s">
        <v>267</v>
      </c>
      <c r="AZ30" s="231"/>
      <c r="BA30" s="231"/>
      <c r="BB30" s="418"/>
      <c r="BC30" s="418"/>
      <c r="BD30" s="412"/>
      <c r="BE30" s="240"/>
      <c r="BG30" s="138" t="s">
        <v>144</v>
      </c>
      <c r="BH30" s="138" t="s">
        <v>269</v>
      </c>
      <c r="BI30" s="138" t="s">
        <v>88</v>
      </c>
    </row>
    <row r="31" spans="1:61" x14ac:dyDescent="0.3">
      <c r="A31" s="156"/>
      <c r="B31" s="413"/>
      <c r="C31" s="415" t="s">
        <v>405</v>
      </c>
      <c r="D31" s="418"/>
      <c r="E31" s="418"/>
      <c r="F31" s="416"/>
      <c r="G31" s="420" t="s">
        <v>406</v>
      </c>
      <c r="H31" s="419"/>
      <c r="J31" s="404" cm="1">
        <f t="array" ref="J31">_xll.d.Math_Interpolate2D(B32:F37,G33,H33,"linear")</f>
        <v>9.5</v>
      </c>
      <c r="K31" s="405">
        <v>9.5</v>
      </c>
      <c r="L31" s="387" t="str" cm="1">
        <f t="array" ref="L31">_xll.d.TestUtils_Equal(J31,K31)</f>
        <v>OK</v>
      </c>
      <c r="N31" s="413"/>
      <c r="O31" s="415" t="s">
        <v>405</v>
      </c>
      <c r="P31" s="418"/>
      <c r="Q31" s="418"/>
      <c r="R31" s="416"/>
      <c r="S31" s="420" t="s">
        <v>406</v>
      </c>
      <c r="T31" s="419"/>
      <c r="W31" s="404" cm="1">
        <f t="array" ref="W31">_xll.d.Math_Interpolate2D(N32:R37,S33,T33,"exponential")</f>
        <v>9.272364616394043</v>
      </c>
      <c r="X31" s="405">
        <v>9.272364616394043</v>
      </c>
      <c r="Y31" s="387" t="str" cm="1">
        <f t="array" ref="Y31">_xll.d.TestUtils_Equal(W31,X31)</f>
        <v>OK</v>
      </c>
      <c r="AA31" s="413"/>
      <c r="AB31" s="415" t="s">
        <v>405</v>
      </c>
      <c r="AC31" s="418"/>
      <c r="AD31" s="418"/>
      <c r="AE31" s="416"/>
      <c r="AF31" s="420" t="s">
        <v>406</v>
      </c>
      <c r="AG31" s="419"/>
      <c r="AI31" s="404" cm="1">
        <f t="array" ref="AI31">_xll.d.Math_Interpolate2D(AA32:AE37,AF33,AG33,"flat")</f>
        <v>7</v>
      </c>
      <c r="AJ31" s="405">
        <v>7</v>
      </c>
      <c r="AK31" s="387" t="str" cm="1">
        <f t="array" ref="AK31">_xll.d.TestUtils_Equal(AI31,AJ31)</f>
        <v>OK</v>
      </c>
      <c r="AM31" s="413"/>
      <c r="AN31" s="415" t="s">
        <v>405</v>
      </c>
      <c r="AO31" s="418"/>
      <c r="AP31" s="418"/>
      <c r="AQ31" s="416"/>
      <c r="AR31" s="420" t="s">
        <v>406</v>
      </c>
      <c r="AS31" s="419"/>
      <c r="AU31" s="404" t="str" cm="1">
        <f t="array" ref="AU31">_xll.d.Math_Interpolate2D(AM32:AQ37,AR33,AS33,"linear")</f>
        <v>#∂Excel Error: Extrapolation not supported.</v>
      </c>
      <c r="AV31" s="405" t="s">
        <v>412</v>
      </c>
      <c r="AW31" s="387" t="str" cm="1">
        <f t="array" ref="AW31">_xll.d.TestUtils_Equal(AU31,AV31)</f>
        <v>OK</v>
      </c>
      <c r="AY31" s="413"/>
      <c r="AZ31" s="415" t="s">
        <v>405</v>
      </c>
      <c r="BA31" s="418"/>
      <c r="BB31" s="418"/>
      <c r="BC31" s="416"/>
      <c r="BD31" s="420" t="s">
        <v>406</v>
      </c>
      <c r="BE31" s="419"/>
      <c r="BG31" s="404" t="str" cm="1">
        <f t="array" ref="BG31">_xll.d.Math_Interpolate2D(AY32:BC37,BD33,BE33,"magic")</f>
        <v>#∂Excel Error: Invalid method of interpolation specified.</v>
      </c>
      <c r="BH31" s="405" t="s">
        <v>401</v>
      </c>
      <c r="BI31" s="387" t="str" cm="1">
        <f t="array" ref="BI31">_xll.d.TestUtils_Equal(BG31,BH31)</f>
        <v>OK</v>
      </c>
    </row>
    <row r="32" spans="1:61" x14ac:dyDescent="0.3">
      <c r="A32" s="156"/>
      <c r="B32" s="414" t="s">
        <v>404</v>
      </c>
      <c r="C32" s="423">
        <v>0</v>
      </c>
      <c r="D32" s="424">
        <v>1</v>
      </c>
      <c r="E32" s="424">
        <v>2</v>
      </c>
      <c r="F32" s="425">
        <v>3</v>
      </c>
      <c r="G32" s="421" t="s">
        <v>403</v>
      </c>
      <c r="H32" s="137" t="s">
        <v>402</v>
      </c>
      <c r="N32" s="414" t="s">
        <v>404</v>
      </c>
      <c r="O32" s="423">
        <v>0</v>
      </c>
      <c r="P32" s="424">
        <v>1</v>
      </c>
      <c r="Q32" s="424">
        <v>2</v>
      </c>
      <c r="R32" s="425">
        <v>3</v>
      </c>
      <c r="S32" s="421" t="s">
        <v>403</v>
      </c>
      <c r="T32" s="137" t="s">
        <v>402</v>
      </c>
      <c r="AA32" s="414" t="s">
        <v>404</v>
      </c>
      <c r="AB32" s="423">
        <v>0</v>
      </c>
      <c r="AC32" s="424">
        <v>1</v>
      </c>
      <c r="AD32" s="424">
        <v>2</v>
      </c>
      <c r="AE32" s="425">
        <v>3</v>
      </c>
      <c r="AF32" s="421" t="s">
        <v>403</v>
      </c>
      <c r="AG32" s="137" t="s">
        <v>402</v>
      </c>
      <c r="AM32" s="414" t="s">
        <v>404</v>
      </c>
      <c r="AN32" s="423">
        <v>0</v>
      </c>
      <c r="AO32" s="424">
        <v>1</v>
      </c>
      <c r="AP32" s="424">
        <v>2</v>
      </c>
      <c r="AQ32" s="425">
        <v>3</v>
      </c>
      <c r="AR32" s="421" t="s">
        <v>403</v>
      </c>
      <c r="AS32" s="137" t="s">
        <v>402</v>
      </c>
      <c r="AY32" s="414" t="s">
        <v>404</v>
      </c>
      <c r="AZ32" s="423">
        <v>0</v>
      </c>
      <c r="BA32" s="424">
        <v>1</v>
      </c>
      <c r="BB32" s="424">
        <v>2</v>
      </c>
      <c r="BC32" s="425">
        <v>3</v>
      </c>
      <c r="BD32" s="421" t="s">
        <v>403</v>
      </c>
      <c r="BE32" s="137" t="s">
        <v>402</v>
      </c>
    </row>
    <row r="33" spans="2:57" x14ac:dyDescent="0.3">
      <c r="B33" s="410">
        <v>0</v>
      </c>
      <c r="C33" s="426">
        <v>1</v>
      </c>
      <c r="D33" s="427">
        <v>2</v>
      </c>
      <c r="E33" s="428">
        <v>3</v>
      </c>
      <c r="F33" s="429">
        <v>4</v>
      </c>
      <c r="G33" s="422">
        <v>2.5</v>
      </c>
      <c r="H33" s="417">
        <v>1.5</v>
      </c>
      <c r="N33" s="410">
        <v>0</v>
      </c>
      <c r="O33" s="426">
        <v>1</v>
      </c>
      <c r="P33" s="427">
        <v>2</v>
      </c>
      <c r="Q33" s="428">
        <v>3</v>
      </c>
      <c r="R33" s="429">
        <v>4</v>
      </c>
      <c r="S33" s="422">
        <v>2.5</v>
      </c>
      <c r="T33" s="417">
        <v>1.5</v>
      </c>
      <c r="AA33" s="410">
        <v>0</v>
      </c>
      <c r="AB33" s="426">
        <v>1</v>
      </c>
      <c r="AC33" s="427">
        <v>2</v>
      </c>
      <c r="AD33" s="428">
        <v>3</v>
      </c>
      <c r="AE33" s="429">
        <v>4</v>
      </c>
      <c r="AF33" s="422">
        <v>2.5</v>
      </c>
      <c r="AG33" s="417">
        <v>1.5</v>
      </c>
      <c r="AM33" s="410">
        <v>0</v>
      </c>
      <c r="AN33" s="426">
        <v>1</v>
      </c>
      <c r="AO33" s="427">
        <v>2</v>
      </c>
      <c r="AP33" s="428">
        <v>3</v>
      </c>
      <c r="AQ33" s="429">
        <v>4</v>
      </c>
      <c r="AR33" s="422">
        <v>5</v>
      </c>
      <c r="AS33" s="417">
        <v>5</v>
      </c>
      <c r="AY33" s="410">
        <v>0</v>
      </c>
      <c r="AZ33" s="426">
        <v>1</v>
      </c>
      <c r="BA33" s="427">
        <v>2</v>
      </c>
      <c r="BB33" s="428">
        <v>3</v>
      </c>
      <c r="BC33" s="429">
        <v>4</v>
      </c>
      <c r="BD33" s="422">
        <v>2.5</v>
      </c>
      <c r="BE33" s="417">
        <v>1.5</v>
      </c>
    </row>
    <row r="34" spans="2:57" x14ac:dyDescent="0.3">
      <c r="B34" s="434">
        <v>1</v>
      </c>
      <c r="C34" s="435">
        <v>5</v>
      </c>
      <c r="D34" s="436">
        <v>6</v>
      </c>
      <c r="E34" s="436">
        <v>7</v>
      </c>
      <c r="F34" s="437">
        <v>8</v>
      </c>
      <c r="N34" s="434">
        <v>1</v>
      </c>
      <c r="O34" s="435">
        <v>5</v>
      </c>
      <c r="P34" s="436">
        <v>6</v>
      </c>
      <c r="Q34" s="436">
        <v>7</v>
      </c>
      <c r="R34" s="437">
        <v>8</v>
      </c>
      <c r="AA34" s="434">
        <v>1</v>
      </c>
      <c r="AB34" s="435">
        <v>5</v>
      </c>
      <c r="AC34" s="436">
        <v>6</v>
      </c>
      <c r="AD34" s="436">
        <v>7</v>
      </c>
      <c r="AE34" s="437">
        <v>8</v>
      </c>
      <c r="AM34" s="434">
        <v>1</v>
      </c>
      <c r="AN34" s="435">
        <v>5</v>
      </c>
      <c r="AO34" s="436">
        <v>6</v>
      </c>
      <c r="AP34" s="436">
        <v>7</v>
      </c>
      <c r="AQ34" s="437">
        <v>8</v>
      </c>
      <c r="AY34" s="434">
        <v>1</v>
      </c>
      <c r="AZ34" s="435">
        <v>5</v>
      </c>
      <c r="BA34" s="436">
        <v>6</v>
      </c>
      <c r="BB34" s="436">
        <v>7</v>
      </c>
      <c r="BC34" s="437">
        <v>8</v>
      </c>
    </row>
    <row r="35" spans="2:57" x14ac:dyDescent="0.3">
      <c r="B35" s="438">
        <v>2</v>
      </c>
      <c r="C35" s="435">
        <v>9</v>
      </c>
      <c r="D35" s="436">
        <v>10</v>
      </c>
      <c r="E35" s="436">
        <v>11</v>
      </c>
      <c r="F35" s="437">
        <v>12</v>
      </c>
      <c r="N35" s="438">
        <v>2</v>
      </c>
      <c r="O35" s="435">
        <v>9</v>
      </c>
      <c r="P35" s="436">
        <v>10</v>
      </c>
      <c r="Q35" s="436">
        <v>11</v>
      </c>
      <c r="R35" s="437">
        <v>12</v>
      </c>
      <c r="AA35" s="438">
        <v>2</v>
      </c>
      <c r="AB35" s="435">
        <v>9</v>
      </c>
      <c r="AC35" s="436">
        <v>10</v>
      </c>
      <c r="AD35" s="436">
        <v>11</v>
      </c>
      <c r="AE35" s="437">
        <v>12</v>
      </c>
      <c r="AM35" s="438">
        <v>2</v>
      </c>
      <c r="AN35" s="435">
        <v>9</v>
      </c>
      <c r="AO35" s="436">
        <v>10</v>
      </c>
      <c r="AP35" s="436">
        <v>11</v>
      </c>
      <c r="AQ35" s="437">
        <v>12</v>
      </c>
      <c r="AY35" s="438">
        <v>2</v>
      </c>
      <c r="AZ35" s="435">
        <v>9</v>
      </c>
      <c r="BA35" s="436">
        <v>10</v>
      </c>
      <c r="BB35" s="436">
        <v>11</v>
      </c>
      <c r="BC35" s="437">
        <v>12</v>
      </c>
    </row>
    <row r="36" spans="2:57" x14ac:dyDescent="0.3">
      <c r="B36" s="438">
        <v>3</v>
      </c>
      <c r="C36" s="435">
        <v>13</v>
      </c>
      <c r="D36" s="436">
        <v>14</v>
      </c>
      <c r="E36" s="436">
        <v>15</v>
      </c>
      <c r="F36" s="437">
        <v>16</v>
      </c>
      <c r="N36" s="438">
        <v>3</v>
      </c>
      <c r="O36" s="435">
        <v>13</v>
      </c>
      <c r="P36" s="436">
        <v>14</v>
      </c>
      <c r="Q36" s="436">
        <v>15</v>
      </c>
      <c r="R36" s="437">
        <v>16</v>
      </c>
      <c r="AA36" s="438">
        <v>3</v>
      </c>
      <c r="AB36" s="435">
        <v>13</v>
      </c>
      <c r="AC36" s="436">
        <v>14</v>
      </c>
      <c r="AD36" s="436">
        <v>15</v>
      </c>
      <c r="AE36" s="437">
        <v>16</v>
      </c>
      <c r="AM36" s="438">
        <v>3</v>
      </c>
      <c r="AN36" s="435">
        <v>13</v>
      </c>
      <c r="AO36" s="436">
        <v>14</v>
      </c>
      <c r="AP36" s="436">
        <v>15</v>
      </c>
      <c r="AQ36" s="437">
        <v>16</v>
      </c>
      <c r="AY36" s="438">
        <v>3</v>
      </c>
      <c r="AZ36" s="435">
        <v>13</v>
      </c>
      <c r="BA36" s="436">
        <v>14</v>
      </c>
      <c r="BB36" s="436">
        <v>15</v>
      </c>
      <c r="BC36" s="437">
        <v>16</v>
      </c>
    </row>
    <row r="37" spans="2:57" x14ac:dyDescent="0.3">
      <c r="B37" s="430">
        <v>4</v>
      </c>
      <c r="C37" s="431">
        <v>17</v>
      </c>
      <c r="D37" s="432">
        <v>18</v>
      </c>
      <c r="E37" s="432">
        <v>19</v>
      </c>
      <c r="F37" s="433">
        <v>20</v>
      </c>
      <c r="N37" s="430">
        <v>4</v>
      </c>
      <c r="O37" s="431">
        <v>17</v>
      </c>
      <c r="P37" s="432">
        <v>18</v>
      </c>
      <c r="Q37" s="432">
        <v>19</v>
      </c>
      <c r="R37" s="433">
        <v>20</v>
      </c>
      <c r="AA37" s="430">
        <v>4</v>
      </c>
      <c r="AB37" s="431">
        <v>17</v>
      </c>
      <c r="AC37" s="432">
        <v>18</v>
      </c>
      <c r="AD37" s="432">
        <v>19</v>
      </c>
      <c r="AE37" s="433">
        <v>20</v>
      </c>
      <c r="AM37" s="430">
        <v>4</v>
      </c>
      <c r="AN37" s="431">
        <v>17</v>
      </c>
      <c r="AO37" s="432">
        <v>18</v>
      </c>
      <c r="AP37" s="432">
        <v>19</v>
      </c>
      <c r="AQ37" s="433">
        <v>20</v>
      </c>
      <c r="AY37" s="430">
        <v>4</v>
      </c>
      <c r="AZ37" s="431">
        <v>17</v>
      </c>
      <c r="BA37" s="432">
        <v>18</v>
      </c>
      <c r="BB37" s="432">
        <v>19</v>
      </c>
      <c r="BC37" s="433">
        <v>20</v>
      </c>
    </row>
  </sheetData>
  <conditionalFormatting sqref="D8:D9">
    <cfRule type="cellIs" dxfId="253" priority="130" stopIfTrue="1" operator="equal">
      <formula>"ERROR"</formula>
    </cfRule>
    <cfRule type="cellIs" dxfId="252" priority="131" stopIfTrue="1" operator="equal">
      <formula>"OK"</formula>
    </cfRule>
    <cfRule type="cellIs" dxfId="251" priority="132" stopIfTrue="1" operator="equal">
      <formula>"WARNING"</formula>
    </cfRule>
  </conditionalFormatting>
  <conditionalFormatting sqref="C4">
    <cfRule type="cellIs" dxfId="250" priority="127" stopIfTrue="1" operator="equal">
      <formula>"ERROR"</formula>
    </cfRule>
    <cfRule type="cellIs" dxfId="249" priority="128" stopIfTrue="1" operator="equal">
      <formula>"OK"</formula>
    </cfRule>
    <cfRule type="cellIs" dxfId="248" priority="129" stopIfTrue="1" operator="equal">
      <formula>"WARNING"</formula>
    </cfRule>
  </conditionalFormatting>
  <conditionalFormatting sqref="C14">
    <cfRule type="cellIs" dxfId="247" priority="124" stopIfTrue="1" operator="equal">
      <formula>"ERROR"</formula>
    </cfRule>
  </conditionalFormatting>
  <conditionalFormatting sqref="C14">
    <cfRule type="cellIs" dxfId="246" priority="125" stopIfTrue="1" operator="equal">
      <formula>"OK"</formula>
    </cfRule>
  </conditionalFormatting>
  <conditionalFormatting sqref="C14">
    <cfRule type="cellIs" dxfId="245" priority="126" stopIfTrue="1" operator="equal">
      <formula>"WARNING"</formula>
    </cfRule>
  </conditionalFormatting>
  <conditionalFormatting sqref="H19">
    <cfRule type="cellIs" dxfId="244" priority="133" stopIfTrue="1" operator="equal">
      <formula>"ERROR"</formula>
    </cfRule>
    <cfRule type="cellIs" dxfId="243" priority="134" stopIfTrue="1" operator="equal">
      <formula>"OK"</formula>
    </cfRule>
    <cfRule type="cellIs" dxfId="242" priority="135" stopIfTrue="1" operator="equal">
      <formula>"WARNING"</formula>
    </cfRule>
  </conditionalFormatting>
  <conditionalFormatting sqref="C26">
    <cfRule type="cellIs" dxfId="241" priority="103" stopIfTrue="1" operator="equal">
      <formula>"ERROR"</formula>
    </cfRule>
  </conditionalFormatting>
  <conditionalFormatting sqref="C26">
    <cfRule type="cellIs" dxfId="240" priority="104" stopIfTrue="1" operator="equal">
      <formula>"OK"</formula>
    </cfRule>
  </conditionalFormatting>
  <conditionalFormatting sqref="C26">
    <cfRule type="cellIs" dxfId="239" priority="105" stopIfTrue="1" operator="equal">
      <formula>"WARNING"</formula>
    </cfRule>
  </conditionalFormatting>
  <conditionalFormatting sqref="P19">
    <cfRule type="cellIs" dxfId="238" priority="34" stopIfTrue="1" operator="equal">
      <formula>"ERROR"</formula>
    </cfRule>
    <cfRule type="cellIs" dxfId="237" priority="35" stopIfTrue="1" operator="equal">
      <formula>"OK"</formula>
    </cfRule>
    <cfRule type="cellIs" dxfId="236" priority="36" stopIfTrue="1" operator="equal">
      <formula>"WARNING"</formula>
    </cfRule>
  </conditionalFormatting>
  <conditionalFormatting sqref="Y19">
    <cfRule type="cellIs" dxfId="235" priority="31" stopIfTrue="1" operator="equal">
      <formula>"ERROR"</formula>
    </cfRule>
    <cfRule type="cellIs" dxfId="234" priority="32" stopIfTrue="1" operator="equal">
      <formula>"OK"</formula>
    </cfRule>
    <cfRule type="cellIs" dxfId="233" priority="33" stopIfTrue="1" operator="equal">
      <formula>"WARNING"</formula>
    </cfRule>
  </conditionalFormatting>
  <conditionalFormatting sqref="AG19">
    <cfRule type="cellIs" dxfId="232" priority="28" stopIfTrue="1" operator="equal">
      <formula>"ERROR"</formula>
    </cfRule>
    <cfRule type="cellIs" dxfId="231" priority="29" stopIfTrue="1" operator="equal">
      <formula>"OK"</formula>
    </cfRule>
    <cfRule type="cellIs" dxfId="230" priority="30" stopIfTrue="1" operator="equal">
      <formula>"WARNING"</formula>
    </cfRule>
  </conditionalFormatting>
  <conditionalFormatting sqref="AO19">
    <cfRule type="cellIs" dxfId="229" priority="25" stopIfTrue="1" operator="equal">
      <formula>"ERROR"</formula>
    </cfRule>
    <cfRule type="cellIs" dxfId="228" priority="26" stopIfTrue="1" operator="equal">
      <formula>"OK"</formula>
    </cfRule>
    <cfRule type="cellIs" dxfId="227" priority="27" stopIfTrue="1" operator="equal">
      <formula>"WARNING"</formula>
    </cfRule>
  </conditionalFormatting>
  <conditionalFormatting sqref="AW19">
    <cfRule type="cellIs" dxfId="226" priority="22" stopIfTrue="1" operator="equal">
      <formula>"ERROR"</formula>
    </cfRule>
    <cfRule type="cellIs" dxfId="225" priority="23" stopIfTrue="1" operator="equal">
      <formula>"OK"</formula>
    </cfRule>
    <cfRule type="cellIs" dxfId="224" priority="24" stopIfTrue="1" operator="equal">
      <formula>"WARNING"</formula>
    </cfRule>
  </conditionalFormatting>
  <conditionalFormatting sqref="BE19">
    <cfRule type="cellIs" dxfId="223" priority="19" stopIfTrue="1" operator="equal">
      <formula>"ERROR"</formula>
    </cfRule>
    <cfRule type="cellIs" dxfId="222" priority="20" stopIfTrue="1" operator="equal">
      <formula>"OK"</formula>
    </cfRule>
    <cfRule type="cellIs" dxfId="221" priority="21" stopIfTrue="1" operator="equal">
      <formula>"WARNING"</formula>
    </cfRule>
  </conditionalFormatting>
  <conditionalFormatting sqref="L31">
    <cfRule type="cellIs" dxfId="220" priority="13" stopIfTrue="1" operator="equal">
      <formula>"ERROR"</formula>
    </cfRule>
    <cfRule type="cellIs" dxfId="219" priority="14" stopIfTrue="1" operator="equal">
      <formula>"OK"</formula>
    </cfRule>
    <cfRule type="cellIs" dxfId="218" priority="15" stopIfTrue="1" operator="equal">
      <formula>"WARNING"</formula>
    </cfRule>
  </conditionalFormatting>
  <conditionalFormatting sqref="Y31">
    <cfRule type="cellIs" dxfId="217" priority="10" stopIfTrue="1" operator="equal">
      <formula>"ERROR"</formula>
    </cfRule>
    <cfRule type="cellIs" dxfId="216" priority="11" stopIfTrue="1" operator="equal">
      <formula>"OK"</formula>
    </cfRule>
    <cfRule type="cellIs" dxfId="215" priority="12" stopIfTrue="1" operator="equal">
      <formula>"WARNING"</formula>
    </cfRule>
  </conditionalFormatting>
  <conditionalFormatting sqref="AK31">
    <cfRule type="cellIs" dxfId="214" priority="7" stopIfTrue="1" operator="equal">
      <formula>"ERROR"</formula>
    </cfRule>
    <cfRule type="cellIs" dxfId="213" priority="8" stopIfTrue="1" operator="equal">
      <formula>"OK"</formula>
    </cfRule>
    <cfRule type="cellIs" dxfId="212" priority="9" stopIfTrue="1" operator="equal">
      <formula>"WARNING"</formula>
    </cfRule>
  </conditionalFormatting>
  <conditionalFormatting sqref="AW31">
    <cfRule type="cellIs" dxfId="211" priority="4" stopIfTrue="1" operator="equal">
      <formula>"ERROR"</formula>
    </cfRule>
    <cfRule type="cellIs" dxfId="210" priority="5" stopIfTrue="1" operator="equal">
      <formula>"OK"</formula>
    </cfRule>
    <cfRule type="cellIs" dxfId="209" priority="6" stopIfTrue="1" operator="equal">
      <formula>"WARNING"</formula>
    </cfRule>
  </conditionalFormatting>
  <conditionalFormatting sqref="BI31">
    <cfRule type="cellIs" dxfId="208" priority="1" stopIfTrue="1" operator="equal">
      <formula>"ERROR"</formula>
    </cfRule>
    <cfRule type="cellIs" dxfId="207" priority="2" stopIfTrue="1" operator="equal">
      <formula>"OK"</formula>
    </cfRule>
    <cfRule type="cellIs" dxfId="206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2:AL39"/>
  <sheetViews>
    <sheetView showGridLines="0" tabSelected="1" zoomScaleNormal="100" workbookViewId="0"/>
  </sheetViews>
  <sheetFormatPr defaultColWidth="14.77734375" defaultRowHeight="14.4" x14ac:dyDescent="0.3"/>
  <cols>
    <col min="1" max="1" width="3.77734375" customWidth="1"/>
    <col min="20" max="21" width="35.44140625" bestFit="1" customWidth="1"/>
    <col min="28" max="29" width="38.33203125" bestFit="1" customWidth="1"/>
    <col min="36" max="37" width="42.88671875" bestFit="1" customWidth="1"/>
  </cols>
  <sheetData>
    <row r="2" spans="1:38" ht="25.8" x14ac:dyDescent="0.5">
      <c r="B2" s="2" t="s">
        <v>415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</row>
    <row r="4" spans="1:38" x14ac:dyDescent="0.3">
      <c r="B4" s="59" t="s">
        <v>170</v>
      </c>
      <c r="C4" s="377" t="str" cm="1">
        <f t="array" ref="C4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38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38" x14ac:dyDescent="0.3">
      <c r="B8" s="238" t="s">
        <v>416</v>
      </c>
      <c r="C8" s="397"/>
      <c r="D8" s="377" t="str">
        <f>C15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38" x14ac:dyDescent="0.3">
      <c r="B9" s="238" t="s">
        <v>417</v>
      </c>
      <c r="C9" s="397"/>
      <c r="D9" s="377" t="str">
        <f>C28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0" spans="1:38" x14ac:dyDescent="0.3">
      <c r="B10" s="238" t="s">
        <v>418</v>
      </c>
      <c r="C10" s="397"/>
      <c r="D10" s="377" t="e">
        <f>#REF!</f>
        <v>#REF!</v>
      </c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</row>
    <row r="13" spans="1:38" s="375" customFormat="1" ht="18" x14ac:dyDescent="0.35">
      <c r="A13"/>
      <c r="B13" s="3" t="s">
        <v>416</v>
      </c>
      <c r="C13" s="383"/>
      <c r="D13" s="383"/>
      <c r="E13" s="383"/>
      <c r="F13" s="383"/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  <c r="AC13" s="383"/>
      <c r="AD13" s="383"/>
      <c r="AE13" s="383"/>
      <c r="AF13" s="383"/>
      <c r="AG13" s="383"/>
      <c r="AH13" s="383"/>
      <c r="AI13" s="383"/>
      <c r="AJ13" s="383"/>
      <c r="AK13" s="383"/>
      <c r="AL13" s="383"/>
    </row>
    <row r="15" spans="1:38" x14ac:dyDescent="0.3">
      <c r="B15" s="59" t="s">
        <v>170</v>
      </c>
      <c r="C15" s="377" t="str" cm="1">
        <f t="array" ref="C15">_xll.d.TestUtils_And(L20:N22,V20,AD20,AL20)</f>
        <v>OK</v>
      </c>
      <c r="D15" s="375"/>
      <c r="E15" s="375"/>
      <c r="F15" s="375"/>
      <c r="G15" s="375"/>
      <c r="H15" s="375"/>
      <c r="I15" s="375"/>
      <c r="J15" s="375"/>
      <c r="K15" s="375"/>
    </row>
    <row r="16" spans="1:38" x14ac:dyDescent="0.3">
      <c r="B16" s="375"/>
      <c r="C16" s="375"/>
      <c r="D16" s="375"/>
      <c r="E16" s="375"/>
      <c r="F16" s="375"/>
      <c r="G16" s="375"/>
      <c r="H16" s="375"/>
      <c r="I16" s="376"/>
      <c r="J16" s="376"/>
      <c r="K16" s="376"/>
    </row>
    <row r="17" spans="2:38" ht="15.6" x14ac:dyDescent="0.3">
      <c r="B17" s="4" t="s">
        <v>419</v>
      </c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4"/>
      <c r="N17" s="384"/>
      <c r="P17" s="4" t="s">
        <v>422</v>
      </c>
      <c r="Q17" s="384"/>
      <c r="R17" s="384"/>
      <c r="S17" s="384"/>
      <c r="T17" s="384"/>
      <c r="U17" s="384"/>
      <c r="V17" s="384"/>
      <c r="X17" s="4" t="s">
        <v>425</v>
      </c>
      <c r="Y17" s="384"/>
      <c r="Z17" s="384"/>
      <c r="AA17" s="384"/>
      <c r="AB17" s="384"/>
      <c r="AC17" s="384"/>
      <c r="AD17" s="384"/>
      <c r="AF17" s="4" t="s">
        <v>426</v>
      </c>
      <c r="AG17" s="384"/>
      <c r="AH17" s="384"/>
      <c r="AI17" s="384"/>
      <c r="AJ17" s="384"/>
      <c r="AK17" s="384"/>
      <c r="AL17" s="384"/>
    </row>
    <row r="18" spans="2:38" x14ac:dyDescent="0.3">
      <c r="B18" s="375"/>
      <c r="C18" s="375"/>
      <c r="D18" s="375"/>
      <c r="E18" s="375"/>
      <c r="F18" s="375"/>
      <c r="G18" s="375"/>
      <c r="H18" s="375"/>
      <c r="I18" s="376"/>
      <c r="J18" s="376"/>
      <c r="K18" s="376"/>
      <c r="P18" s="375"/>
      <c r="Q18" s="375"/>
      <c r="R18" s="375"/>
      <c r="S18" s="375"/>
      <c r="T18" s="375"/>
      <c r="U18" s="376"/>
      <c r="X18" s="375"/>
      <c r="Y18" s="375"/>
      <c r="Z18" s="375"/>
      <c r="AA18" s="375"/>
      <c r="AB18" s="375"/>
      <c r="AC18" s="376"/>
      <c r="AF18" s="375"/>
      <c r="AG18" s="375"/>
      <c r="AH18" s="375"/>
      <c r="AI18" s="375"/>
      <c r="AJ18" s="375"/>
      <c r="AK18" s="376"/>
    </row>
    <row r="19" spans="2:38" x14ac:dyDescent="0.3">
      <c r="B19" s="138" t="s">
        <v>267</v>
      </c>
      <c r="C19" s="231"/>
      <c r="D19" s="139"/>
      <c r="F19" s="138" t="s">
        <v>144</v>
      </c>
      <c r="G19" s="138"/>
      <c r="H19" s="138"/>
      <c r="I19" s="138" t="s">
        <v>269</v>
      </c>
      <c r="J19" s="138"/>
      <c r="K19" s="138"/>
      <c r="L19" s="138" t="s">
        <v>88</v>
      </c>
      <c r="M19" s="420"/>
      <c r="N19" s="420"/>
      <c r="P19" s="138" t="s">
        <v>267</v>
      </c>
      <c r="Q19" s="231"/>
      <c r="R19" s="139"/>
      <c r="T19" s="138" t="s">
        <v>144</v>
      </c>
      <c r="U19" s="138" t="s">
        <v>269</v>
      </c>
      <c r="V19" s="138" t="s">
        <v>88</v>
      </c>
      <c r="X19" s="138" t="s">
        <v>267</v>
      </c>
      <c r="Y19" s="231"/>
      <c r="Z19" s="139"/>
      <c r="AB19" s="138" t="s">
        <v>144</v>
      </c>
      <c r="AC19" s="138" t="s">
        <v>269</v>
      </c>
      <c r="AD19" s="138" t="s">
        <v>88</v>
      </c>
      <c r="AF19" s="138" t="s">
        <v>267</v>
      </c>
      <c r="AG19" s="231"/>
      <c r="AH19" s="139"/>
      <c r="AJ19" s="138" t="s">
        <v>144</v>
      </c>
      <c r="AK19" s="138" t="s">
        <v>269</v>
      </c>
      <c r="AL19" s="138" t="s">
        <v>88</v>
      </c>
    </row>
    <row r="20" spans="2:38" x14ac:dyDescent="0.3">
      <c r="B20" s="440" t="s">
        <v>420</v>
      </c>
      <c r="C20" s="441"/>
      <c r="D20" s="442"/>
      <c r="F20" s="439">
        <f t="array" ref="F20:H22">_xll.d.Stats_Cholesky(B21:D23)</f>
        <v>1</v>
      </c>
      <c r="G20" s="333">
        <v>0</v>
      </c>
      <c r="H20" s="334">
        <v>0</v>
      </c>
      <c r="I20" s="439">
        <v>1</v>
      </c>
      <c r="J20" s="333">
        <v>0</v>
      </c>
      <c r="K20" s="334">
        <v>0</v>
      </c>
      <c r="L20" s="387" t="str" cm="1">
        <f t="array" ref="L20">_xll.d.TestUtils_Equal(F20,I20)</f>
        <v>OK</v>
      </c>
      <c r="M20" s="387" t="str" cm="1">
        <f t="array" ref="M20">_xll.d.TestUtils_Equal(G20,J20)</f>
        <v>OK</v>
      </c>
      <c r="N20" s="387" t="str" cm="1">
        <f t="array" ref="N20">_xll.d.TestUtils_Equal(H20,K20)</f>
        <v>OK</v>
      </c>
      <c r="P20" s="440" t="s">
        <v>420</v>
      </c>
      <c r="Q20" s="441"/>
      <c r="R20" s="442"/>
      <c r="T20" s="449" t="str" cm="1">
        <f t="array" ref="T20">_xll.d.Stats_Cholesky(P21:R22)</f>
        <v>#∂Excel Error: Matrix supplied is not square.</v>
      </c>
      <c r="U20" s="449" t="s">
        <v>421</v>
      </c>
      <c r="V20" s="387" t="str" cm="1">
        <f t="array" ref="V20">_xll.d.TestUtils_Equal(T20,U20)</f>
        <v>OK</v>
      </c>
      <c r="X20" s="440" t="s">
        <v>420</v>
      </c>
      <c r="Y20" s="441"/>
      <c r="Z20" s="442"/>
      <c r="AB20" s="449" t="str" cm="1">
        <f t="array" ref="AB20">_xll.d.Stats_Cholesky(X21:Z23)</f>
        <v>#∂Excel Error: Matrix supplied is not symmetric.</v>
      </c>
      <c r="AC20" s="449" t="s">
        <v>423</v>
      </c>
      <c r="AD20" s="387" t="str" cm="1">
        <f t="array" ref="AD20">_xll.d.TestUtils_Equal(AB20,AC20)</f>
        <v>OK</v>
      </c>
      <c r="AF20" s="440" t="s">
        <v>420</v>
      </c>
      <c r="AG20" s="441"/>
      <c r="AH20" s="442"/>
      <c r="AJ20" s="449" t="str" cm="1">
        <f t="array" ref="AJ20">_xll.d.Stats_Cholesky(AF21:AH23)</f>
        <v>#∂Excel Error: Matrix supplied is not positive-definite.</v>
      </c>
      <c r="AK20" s="449" t="s">
        <v>424</v>
      </c>
      <c r="AL20" s="387" t="str" cm="1">
        <f t="array" ref="AL20">_xll.d.TestUtils_Equal(AJ20,AK20)</f>
        <v>OK</v>
      </c>
    </row>
    <row r="21" spans="2:38" x14ac:dyDescent="0.3">
      <c r="B21" s="439">
        <v>1</v>
      </c>
      <c r="C21" s="333">
        <v>0.75</v>
      </c>
      <c r="D21" s="334">
        <v>0.5</v>
      </c>
      <c r="E21" s="375"/>
      <c r="F21" s="446">
        <v>0.75</v>
      </c>
      <c r="G21" s="447">
        <v>0.66143782776614768</v>
      </c>
      <c r="H21" s="448">
        <v>0</v>
      </c>
      <c r="I21" s="446">
        <v>0.75</v>
      </c>
      <c r="J21" s="447">
        <v>0.66143782776614768</v>
      </c>
      <c r="K21" s="448">
        <v>0</v>
      </c>
      <c r="L21" s="387" t="str" cm="1">
        <f t="array" ref="L21">_xll.d.TestUtils_Equal(F21,I21)</f>
        <v>OK</v>
      </c>
      <c r="M21" s="387" t="str" cm="1">
        <f t="array" ref="M21">_xll.d.TestUtils_Equal(G21,J21)</f>
        <v>OK</v>
      </c>
      <c r="N21" s="387" t="str" cm="1">
        <f t="array" ref="N21">_xll.d.TestUtils_Equal(H21,K21)</f>
        <v>OK</v>
      </c>
      <c r="P21" s="439">
        <v>1</v>
      </c>
      <c r="Q21" s="333">
        <v>0.75</v>
      </c>
      <c r="R21" s="334">
        <v>0.5</v>
      </c>
      <c r="S21" s="375"/>
      <c r="X21" s="439">
        <v>1</v>
      </c>
      <c r="Y21" s="333">
        <v>0.75</v>
      </c>
      <c r="Z21" s="334">
        <v>10</v>
      </c>
      <c r="AA21" s="375"/>
      <c r="AF21" s="439">
        <v>1</v>
      </c>
      <c r="AG21" s="333">
        <v>2</v>
      </c>
      <c r="AH21" s="334">
        <v>3</v>
      </c>
      <c r="AI21" s="375"/>
    </row>
    <row r="22" spans="2:38" x14ac:dyDescent="0.3">
      <c r="B22" s="446">
        <v>0.75</v>
      </c>
      <c r="C22" s="447">
        <v>1</v>
      </c>
      <c r="D22" s="448">
        <v>0.75</v>
      </c>
      <c r="E22" s="375"/>
      <c r="F22" s="443">
        <v>0.5</v>
      </c>
      <c r="G22" s="444">
        <v>0.56694670951384085</v>
      </c>
      <c r="H22" s="445">
        <v>0.65465367070797709</v>
      </c>
      <c r="I22" s="443">
        <v>0.5</v>
      </c>
      <c r="J22" s="444">
        <v>0.56694670951384085</v>
      </c>
      <c r="K22" s="445">
        <v>0.65465367070797709</v>
      </c>
      <c r="L22" s="387" t="str" cm="1">
        <f t="array" ref="L22">_xll.d.TestUtils_Equal(F22,I22)</f>
        <v>OK</v>
      </c>
      <c r="M22" s="387" t="str" cm="1">
        <f t="array" ref="M22">_xll.d.TestUtils_Equal(G22,J22)</f>
        <v>OK</v>
      </c>
      <c r="N22" s="387" t="str" cm="1">
        <f t="array" ref="N22">_xll.d.TestUtils_Equal(H22,K22)</f>
        <v>OK</v>
      </c>
      <c r="P22" s="443">
        <v>0.75</v>
      </c>
      <c r="Q22" s="444">
        <v>1</v>
      </c>
      <c r="R22" s="445">
        <v>0.75</v>
      </c>
      <c r="S22" s="375"/>
      <c r="X22" s="446">
        <v>0.75</v>
      </c>
      <c r="Y22" s="447">
        <v>1</v>
      </c>
      <c r="Z22" s="448">
        <v>0.75</v>
      </c>
      <c r="AA22" s="375"/>
      <c r="AF22" s="446">
        <v>2</v>
      </c>
      <c r="AG22" s="447">
        <v>3</v>
      </c>
      <c r="AH22" s="448">
        <v>4</v>
      </c>
      <c r="AI22" s="375"/>
    </row>
    <row r="23" spans="2:38" x14ac:dyDescent="0.3">
      <c r="B23" s="443">
        <v>0.5</v>
      </c>
      <c r="C23" s="444">
        <v>0.75</v>
      </c>
      <c r="D23" s="445">
        <v>1</v>
      </c>
      <c r="X23" s="443">
        <v>0.5</v>
      </c>
      <c r="Y23" s="444">
        <v>0.75</v>
      </c>
      <c r="Z23" s="445">
        <v>1</v>
      </c>
      <c r="AF23" s="443">
        <v>3</v>
      </c>
      <c r="AG23" s="444">
        <v>4</v>
      </c>
      <c r="AH23" s="445">
        <v>5</v>
      </c>
    </row>
    <row r="26" spans="2:38" ht="18" x14ac:dyDescent="0.35">
      <c r="B26" s="3" t="s">
        <v>417</v>
      </c>
      <c r="C26" s="383"/>
      <c r="D26" s="383"/>
      <c r="E26" s="383"/>
      <c r="F26" s="383"/>
      <c r="G26" s="383"/>
      <c r="H26" s="383"/>
      <c r="I26" s="383"/>
      <c r="J26" s="383"/>
      <c r="K26" s="383"/>
      <c r="L26" s="383"/>
      <c r="M26" s="383"/>
      <c r="N26" s="383"/>
      <c r="O26" s="383"/>
      <c r="P26" s="383"/>
      <c r="Q26" s="383"/>
      <c r="R26" s="383"/>
      <c r="S26" s="383"/>
      <c r="T26" s="383"/>
      <c r="U26" s="383"/>
      <c r="V26" s="383"/>
      <c r="W26" s="383"/>
      <c r="X26" s="383"/>
      <c r="Y26" s="383"/>
      <c r="Z26" s="383"/>
      <c r="AA26" s="383"/>
      <c r="AB26" s="383"/>
      <c r="AC26" s="383"/>
      <c r="AD26" s="383"/>
      <c r="AE26" s="383"/>
      <c r="AF26" s="383"/>
      <c r="AG26" s="383"/>
      <c r="AH26" s="383"/>
      <c r="AI26" s="383"/>
      <c r="AJ26" s="383"/>
      <c r="AK26" s="383"/>
      <c r="AL26" s="383"/>
    </row>
    <row r="28" spans="2:38" x14ac:dyDescent="0.3">
      <c r="B28" s="59" t="s">
        <v>170</v>
      </c>
      <c r="C28" s="377" t="str" cm="1">
        <f t="array" ref="C28">_xll.d.TestUtils_And(L34:M35,AB34:AD36)</f>
        <v>OK</v>
      </c>
      <c r="D28" s="375"/>
      <c r="E28" s="375"/>
      <c r="F28" s="375"/>
      <c r="G28" s="375"/>
      <c r="H28" s="375"/>
      <c r="I28" s="375"/>
      <c r="J28" s="375"/>
      <c r="K28" s="375"/>
    </row>
    <row r="29" spans="2:38" x14ac:dyDescent="0.3">
      <c r="B29" s="375"/>
      <c r="C29" s="375"/>
      <c r="D29" s="375"/>
      <c r="E29" s="375"/>
      <c r="F29" s="375"/>
      <c r="G29" s="375"/>
      <c r="H29" s="375"/>
      <c r="I29" s="376"/>
      <c r="J29" s="376"/>
      <c r="K29" s="376"/>
    </row>
    <row r="30" spans="2:38" ht="15.6" x14ac:dyDescent="0.3">
      <c r="B30" s="4" t="s">
        <v>427</v>
      </c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4"/>
      <c r="O30" s="4" t="s">
        <v>429</v>
      </c>
      <c r="P30" s="384"/>
      <c r="Q30" s="384"/>
      <c r="R30" s="384"/>
      <c r="S30" s="384"/>
      <c r="T30" s="384"/>
      <c r="U30" s="384"/>
      <c r="V30" s="384"/>
      <c r="W30" s="384"/>
      <c r="X30" s="384"/>
      <c r="Y30" s="384"/>
      <c r="Z30" s="384"/>
    </row>
    <row r="31" spans="2:38" x14ac:dyDescent="0.3">
      <c r="B31" s="375"/>
      <c r="C31" s="375"/>
      <c r="D31" s="375"/>
      <c r="E31" s="375"/>
      <c r="F31" s="375"/>
      <c r="G31" s="375"/>
      <c r="H31" s="375"/>
      <c r="I31" s="376"/>
      <c r="J31" s="376"/>
      <c r="K31" s="376"/>
      <c r="O31" s="375"/>
      <c r="P31" s="375"/>
      <c r="Q31" s="375"/>
      <c r="R31" s="375"/>
      <c r="S31" s="375"/>
      <c r="T31" s="375"/>
      <c r="U31" s="375"/>
      <c r="V31" s="376"/>
      <c r="W31" s="376"/>
      <c r="X31" s="376"/>
    </row>
    <row r="32" spans="2:38" x14ac:dyDescent="0.3">
      <c r="B32" s="138" t="s">
        <v>267</v>
      </c>
      <c r="C32" s="231"/>
      <c r="E32" s="138" t="s">
        <v>144</v>
      </c>
      <c r="F32" s="138"/>
      <c r="G32" s="138"/>
      <c r="H32" s="138" t="s">
        <v>269</v>
      </c>
      <c r="I32" s="138"/>
      <c r="J32" s="138"/>
      <c r="K32" s="138" t="s">
        <v>88</v>
      </c>
      <c r="L32" s="420"/>
      <c r="M32" s="420"/>
      <c r="O32" s="138" t="s">
        <v>267</v>
      </c>
      <c r="P32" s="231"/>
      <c r="Q32" s="420"/>
      <c r="S32" s="138" t="s">
        <v>144</v>
      </c>
      <c r="T32" s="138"/>
      <c r="U32" s="138"/>
      <c r="V32" s="138"/>
      <c r="W32" s="138" t="s">
        <v>269</v>
      </c>
      <c r="X32" s="138"/>
      <c r="Y32" s="138"/>
      <c r="Z32" s="138"/>
      <c r="AA32" s="138" t="s">
        <v>88</v>
      </c>
      <c r="AB32" s="420"/>
      <c r="AC32" s="420"/>
      <c r="AD32" s="420"/>
    </row>
    <row r="33" spans="2:30" x14ac:dyDescent="0.3">
      <c r="B33" s="455" t="s">
        <v>403</v>
      </c>
      <c r="C33" s="456" t="s">
        <v>402</v>
      </c>
      <c r="E33" s="470"/>
      <c r="F33" s="468" t="s">
        <v>403</v>
      </c>
      <c r="G33" s="373" t="s">
        <v>402</v>
      </c>
      <c r="H33" s="470"/>
      <c r="I33" s="468" t="s">
        <v>403</v>
      </c>
      <c r="J33" s="373" t="s">
        <v>402</v>
      </c>
      <c r="K33" s="470"/>
      <c r="L33" s="468" t="s">
        <v>403</v>
      </c>
      <c r="M33" s="373" t="s">
        <v>402</v>
      </c>
      <c r="O33" s="455" t="s">
        <v>403</v>
      </c>
      <c r="P33" s="478" t="s">
        <v>402</v>
      </c>
      <c r="Q33" s="477" t="s">
        <v>428</v>
      </c>
      <c r="S33" s="470"/>
      <c r="T33" s="468" t="s">
        <v>403</v>
      </c>
      <c r="U33" s="481" t="s">
        <v>402</v>
      </c>
      <c r="V33" s="479" t="s">
        <v>428</v>
      </c>
      <c r="W33" s="470"/>
      <c r="X33" s="468" t="s">
        <v>403</v>
      </c>
      <c r="Y33" s="481" t="s">
        <v>402</v>
      </c>
      <c r="Z33" s="479" t="s">
        <v>428</v>
      </c>
      <c r="AA33" s="470"/>
      <c r="AB33" s="468" t="s">
        <v>403</v>
      </c>
      <c r="AC33" s="481" t="s">
        <v>402</v>
      </c>
      <c r="AD33" s="479" t="s">
        <v>428</v>
      </c>
    </row>
    <row r="34" spans="2:30" x14ac:dyDescent="0.3">
      <c r="B34" s="457">
        <v>1</v>
      </c>
      <c r="C34" s="458">
        <v>0.5</v>
      </c>
      <c r="D34" s="375"/>
      <c r="E34" s="469" t="s">
        <v>403</v>
      </c>
      <c r="F34" s="464" cm="1">
        <f t="array" ref="F34:G35">_xll.d.Stats_CorrelationMatrix(B34:C39)</f>
        <v>1</v>
      </c>
      <c r="G34" s="463">
        <v>0.9855793842654561</v>
      </c>
      <c r="H34" s="469" t="s">
        <v>403</v>
      </c>
      <c r="I34" s="464">
        <f>CORREL(B34:B39,B34:B39)</f>
        <v>1</v>
      </c>
      <c r="J34" s="463">
        <f>CORREL(B34:B39,C34:C39)</f>
        <v>0.98557938426545633</v>
      </c>
      <c r="K34" s="469" t="s">
        <v>403</v>
      </c>
      <c r="L34" s="387" t="str" cm="1">
        <f t="array" ref="L34">_xll.d.TestUtils_Equal(F34,I34)</f>
        <v>OK</v>
      </c>
      <c r="M34" s="387" t="str" cm="1">
        <f t="array" ref="M34">_xll.d.TestUtils_Equal(G34,J34)</f>
        <v>OK</v>
      </c>
      <c r="O34" s="457">
        <v>1</v>
      </c>
      <c r="P34" s="474">
        <v>0.5</v>
      </c>
      <c r="Q34" s="471">
        <v>6.5</v>
      </c>
      <c r="R34" s="375"/>
      <c r="S34" s="469" t="s">
        <v>403</v>
      </c>
      <c r="T34" s="464" cm="1">
        <f t="array" ref="T34:V36">_xll.d.Stats_CorrelationMatrix(O34:Q39)</f>
        <v>1</v>
      </c>
      <c r="U34" s="483">
        <v>0.9855793842654561</v>
      </c>
      <c r="V34" s="482">
        <v>-0.96679334300694564</v>
      </c>
      <c r="W34" s="469" t="s">
        <v>403</v>
      </c>
      <c r="X34" s="464">
        <f>CORREL($O$34:$O$39,O$34:O$39)</f>
        <v>1</v>
      </c>
      <c r="Y34" s="483">
        <f t="shared" ref="Y34:Z34" si="0">CORREL($O$34:$O$39,P$34:P$39)</f>
        <v>0.98557938426545633</v>
      </c>
      <c r="Z34" s="482">
        <f t="shared" si="0"/>
        <v>-0.96679334300694575</v>
      </c>
      <c r="AA34" s="469" t="s">
        <v>403</v>
      </c>
      <c r="AB34" s="387" t="str" cm="1">
        <f t="array" ref="AB34">_xll.d.TestUtils_Equal(T34,X34)</f>
        <v>OK</v>
      </c>
      <c r="AC34" s="387" t="str" cm="1">
        <f t="array" ref="AC34">_xll.d.TestUtils_Equal(U34,Y34)</f>
        <v>OK</v>
      </c>
      <c r="AD34" s="387" t="str" cm="1">
        <f t="array" ref="AD34">_xll.d.TestUtils_Equal(V34,Z34)</f>
        <v>OK</v>
      </c>
    </row>
    <row r="35" spans="2:30" x14ac:dyDescent="0.3">
      <c r="B35" s="459">
        <v>2</v>
      </c>
      <c r="C35" s="460">
        <v>2.2000000000000002</v>
      </c>
      <c r="D35" s="375"/>
      <c r="E35" s="362" t="s">
        <v>402</v>
      </c>
      <c r="F35" s="465">
        <v>0.9855793842654561</v>
      </c>
      <c r="G35" s="445">
        <v>1</v>
      </c>
      <c r="H35" s="362" t="s">
        <v>402</v>
      </c>
      <c r="I35" s="465">
        <f>CORREL(B34:B39,C34:C39)</f>
        <v>0.98557938426545633</v>
      </c>
      <c r="J35" s="445">
        <f>CORREL(C34:C39,C34:C39)</f>
        <v>1.0000000000000002</v>
      </c>
      <c r="K35" s="362" t="s">
        <v>402</v>
      </c>
      <c r="L35" s="387" t="str" cm="1">
        <f t="array" ref="L35">_xll.d.TestUtils_Equal(F35,I35)</f>
        <v>OK</v>
      </c>
      <c r="M35" s="387" t="str" cm="1">
        <f t="array" ref="M35">_xll.d.TestUtils_Equal(G35,J35)</f>
        <v>OK</v>
      </c>
      <c r="O35" s="459">
        <v>2</v>
      </c>
      <c r="P35" s="475">
        <v>2.2000000000000002</v>
      </c>
      <c r="Q35" s="472">
        <v>5.2</v>
      </c>
      <c r="R35" s="375"/>
      <c r="S35" s="466" t="s">
        <v>402</v>
      </c>
      <c r="T35" s="484">
        <v>0.9855793842654561</v>
      </c>
      <c r="U35" s="486">
        <v>1</v>
      </c>
      <c r="V35" s="487">
        <v>-0.9461544177169412</v>
      </c>
      <c r="W35" s="466" t="s">
        <v>402</v>
      </c>
      <c r="X35" s="484">
        <f>CORREL(O$34:O$39,$P$34:$P$39)</f>
        <v>0.98557938426545633</v>
      </c>
      <c r="Y35" s="486">
        <f t="shared" ref="Y35:Z35" si="1">CORREL(P$34:P$39,$P$34:$P$39)</f>
        <v>1.0000000000000002</v>
      </c>
      <c r="Z35" s="487">
        <f t="shared" si="1"/>
        <v>-0.94615441771694131</v>
      </c>
      <c r="AA35" s="466" t="s">
        <v>402</v>
      </c>
      <c r="AB35" s="387" t="str" cm="1">
        <f t="array" ref="AB35">_xll.d.TestUtils_Equal(T35,X35)</f>
        <v>OK</v>
      </c>
      <c r="AC35" s="387" t="str" cm="1">
        <f t="array" ref="AC35">_xll.d.TestUtils_Equal(U35,Y35)</f>
        <v>OK</v>
      </c>
      <c r="AD35" s="387" t="str" cm="1">
        <f t="array" ref="AD35">_xll.d.TestUtils_Equal(V35,Z35)</f>
        <v>OK</v>
      </c>
    </row>
    <row r="36" spans="2:30" x14ac:dyDescent="0.3">
      <c r="B36" s="459">
        <v>3</v>
      </c>
      <c r="C36" s="460">
        <v>2.9</v>
      </c>
      <c r="O36" s="459">
        <v>3</v>
      </c>
      <c r="P36" s="475">
        <v>2.9</v>
      </c>
      <c r="Q36" s="472">
        <v>4.9000000000000004</v>
      </c>
      <c r="S36" s="467" t="s">
        <v>428</v>
      </c>
      <c r="T36" s="465">
        <v>-0.96679334300694564</v>
      </c>
      <c r="U36" s="485">
        <v>-0.9461544177169412</v>
      </c>
      <c r="V36" s="480">
        <v>1</v>
      </c>
      <c r="W36" s="467" t="s">
        <v>428</v>
      </c>
      <c r="X36" s="465">
        <f>CORREL(O$34:O$39,$Q$34:$Q$39)</f>
        <v>-0.96679334300694575</v>
      </c>
      <c r="Y36" s="485">
        <f t="shared" ref="Y36:Z36" si="2">CORREL(P$34:P$39,$Q$34:$Q$39)</f>
        <v>-0.94615441771694131</v>
      </c>
      <c r="Z36" s="480">
        <f t="shared" si="2"/>
        <v>0.99999999999999978</v>
      </c>
      <c r="AA36" s="467" t="s">
        <v>428</v>
      </c>
      <c r="AB36" s="387" t="str" cm="1">
        <f t="array" ref="AB36">_xll.d.TestUtils_Equal(T36,X36)</f>
        <v>OK</v>
      </c>
      <c r="AC36" s="387" t="str" cm="1">
        <f t="array" ref="AC36">_xll.d.TestUtils_Equal(U36,Y36)</f>
        <v>OK</v>
      </c>
      <c r="AD36" s="387" t="str" cm="1">
        <f t="array" ref="AD36">_xll.d.TestUtils_Equal(V36,Z36)</f>
        <v>OK</v>
      </c>
    </row>
    <row r="37" spans="2:30" x14ac:dyDescent="0.3">
      <c r="B37" s="459">
        <v>4</v>
      </c>
      <c r="C37" s="460">
        <v>4.2</v>
      </c>
      <c r="O37" s="459">
        <v>4</v>
      </c>
      <c r="P37" s="475">
        <v>4.2</v>
      </c>
      <c r="Q37" s="472">
        <v>4</v>
      </c>
    </row>
    <row r="38" spans="2:30" x14ac:dyDescent="0.3">
      <c r="B38" s="459">
        <v>5</v>
      </c>
      <c r="C38" s="460">
        <v>5</v>
      </c>
      <c r="O38" s="459">
        <v>5</v>
      </c>
      <c r="P38" s="475">
        <v>5</v>
      </c>
      <c r="Q38" s="472">
        <v>3.8</v>
      </c>
    </row>
    <row r="39" spans="2:30" x14ac:dyDescent="0.3">
      <c r="B39" s="461">
        <v>6</v>
      </c>
      <c r="C39" s="462">
        <v>5.5</v>
      </c>
      <c r="O39" s="461">
        <v>6</v>
      </c>
      <c r="P39" s="476">
        <v>5.5</v>
      </c>
      <c r="Q39" s="473">
        <v>1.9</v>
      </c>
    </row>
  </sheetData>
  <conditionalFormatting sqref="D8:D9">
    <cfRule type="cellIs" dxfId="205" priority="73" stopIfTrue="1" operator="equal">
      <formula>"ERROR"</formula>
    </cfRule>
    <cfRule type="cellIs" dxfId="204" priority="74" stopIfTrue="1" operator="equal">
      <formula>"OK"</formula>
    </cfRule>
    <cfRule type="cellIs" dxfId="203" priority="75" stopIfTrue="1" operator="equal">
      <formula>"WARNING"</formula>
    </cfRule>
  </conditionalFormatting>
  <conditionalFormatting sqref="C4">
    <cfRule type="cellIs" dxfId="202" priority="70" stopIfTrue="1" operator="equal">
      <formula>"ERROR"</formula>
    </cfRule>
    <cfRule type="cellIs" dxfId="201" priority="71" stopIfTrue="1" operator="equal">
      <formula>"OK"</formula>
    </cfRule>
    <cfRule type="cellIs" dxfId="200" priority="72" stopIfTrue="1" operator="equal">
      <formula>"WARNING"</formula>
    </cfRule>
  </conditionalFormatting>
  <conditionalFormatting sqref="C15">
    <cfRule type="cellIs" dxfId="199" priority="67" stopIfTrue="1" operator="equal">
      <formula>"ERROR"</formula>
    </cfRule>
  </conditionalFormatting>
  <conditionalFormatting sqref="C15">
    <cfRule type="cellIs" dxfId="198" priority="68" stopIfTrue="1" operator="equal">
      <formula>"OK"</formula>
    </cfRule>
  </conditionalFormatting>
  <conditionalFormatting sqref="C15">
    <cfRule type="cellIs" dxfId="197" priority="69" stopIfTrue="1" operator="equal">
      <formula>"WARNING"</formula>
    </cfRule>
  </conditionalFormatting>
  <conditionalFormatting sqref="L20:N22">
    <cfRule type="cellIs" dxfId="196" priority="76" stopIfTrue="1" operator="equal">
      <formula>"ERROR"</formula>
    </cfRule>
    <cfRule type="cellIs" dxfId="195" priority="77" stopIfTrue="1" operator="equal">
      <formula>"OK"</formula>
    </cfRule>
    <cfRule type="cellIs" dxfId="194" priority="78" stopIfTrue="1" operator="equal">
      <formula>"WARNING"</formula>
    </cfRule>
  </conditionalFormatting>
  <conditionalFormatting sqref="D10">
    <cfRule type="cellIs" dxfId="193" priority="28" stopIfTrue="1" operator="equal">
      <formula>"ERROR"</formula>
    </cfRule>
    <cfRule type="cellIs" dxfId="192" priority="29" stopIfTrue="1" operator="equal">
      <formula>"OK"</formula>
    </cfRule>
    <cfRule type="cellIs" dxfId="191" priority="30" stopIfTrue="1" operator="equal">
      <formula>"WARNING"</formula>
    </cfRule>
  </conditionalFormatting>
  <conditionalFormatting sqref="V20">
    <cfRule type="cellIs" dxfId="190" priority="25" stopIfTrue="1" operator="equal">
      <formula>"ERROR"</formula>
    </cfRule>
    <cfRule type="cellIs" dxfId="189" priority="26" stopIfTrue="1" operator="equal">
      <formula>"OK"</formula>
    </cfRule>
    <cfRule type="cellIs" dxfId="188" priority="27" stopIfTrue="1" operator="equal">
      <formula>"WARNING"</formula>
    </cfRule>
  </conditionalFormatting>
  <conditionalFormatting sqref="AD20">
    <cfRule type="cellIs" dxfId="187" priority="22" stopIfTrue="1" operator="equal">
      <formula>"ERROR"</formula>
    </cfRule>
    <cfRule type="cellIs" dxfId="186" priority="23" stopIfTrue="1" operator="equal">
      <formula>"OK"</formula>
    </cfRule>
    <cfRule type="cellIs" dxfId="185" priority="24" stopIfTrue="1" operator="equal">
      <formula>"WARNING"</formula>
    </cfRule>
  </conditionalFormatting>
  <conditionalFormatting sqref="AL20">
    <cfRule type="cellIs" dxfId="184" priority="19" stopIfTrue="1" operator="equal">
      <formula>"ERROR"</formula>
    </cfRule>
    <cfRule type="cellIs" dxfId="183" priority="20" stopIfTrue="1" operator="equal">
      <formula>"OK"</formula>
    </cfRule>
    <cfRule type="cellIs" dxfId="182" priority="21" stopIfTrue="1" operator="equal">
      <formula>"WARNING"</formula>
    </cfRule>
  </conditionalFormatting>
  <conditionalFormatting sqref="C28">
    <cfRule type="cellIs" dxfId="181" priority="13" stopIfTrue="1" operator="equal">
      <formula>"ERROR"</formula>
    </cfRule>
  </conditionalFormatting>
  <conditionalFormatting sqref="C28">
    <cfRule type="cellIs" dxfId="180" priority="14" stopIfTrue="1" operator="equal">
      <formula>"OK"</formula>
    </cfRule>
  </conditionalFormatting>
  <conditionalFormatting sqref="C28">
    <cfRule type="cellIs" dxfId="179" priority="15" stopIfTrue="1" operator="equal">
      <formula>"WARNING"</formula>
    </cfRule>
  </conditionalFormatting>
  <conditionalFormatting sqref="L34:M35">
    <cfRule type="cellIs" dxfId="178" priority="16" stopIfTrue="1" operator="equal">
      <formula>"ERROR"</formula>
    </cfRule>
    <cfRule type="cellIs" dxfId="177" priority="17" stopIfTrue="1" operator="equal">
      <formula>"OK"</formula>
    </cfRule>
    <cfRule type="cellIs" dxfId="176" priority="18" stopIfTrue="1" operator="equal">
      <formula>"WARNING"</formula>
    </cfRule>
  </conditionalFormatting>
  <conditionalFormatting sqref="AB34:AD36">
    <cfRule type="cellIs" dxfId="175" priority="1" stopIfTrue="1" operator="equal">
      <formula>"ERROR"</formula>
    </cfRule>
    <cfRule type="cellIs" dxfId="174" priority="2" stopIfTrue="1" operator="equal">
      <formula>"OK"</formula>
    </cfRule>
    <cfRule type="cellIs" dxfId="173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Normal="100" workbookViewId="0">
      <selection activeCell="B2" sqref="B2"/>
    </sheetView>
  </sheetViews>
  <sheetFormatPr defaultRowHeight="14.4" x14ac:dyDescent="0.3"/>
  <cols>
    <col min="1" max="1" width="3.77734375" customWidth="1"/>
    <col min="2" max="2" width="17.33203125" customWidth="1"/>
    <col min="3" max="3" width="14.21875" customWidth="1"/>
    <col min="4" max="4" width="11.33203125" customWidth="1"/>
    <col min="5" max="6" width="10.77734375" customWidth="1"/>
    <col min="7" max="7" width="23.88671875" customWidth="1"/>
    <col min="8" max="8" width="22.88671875" customWidth="1"/>
    <col min="9" max="9" width="10" customWidth="1"/>
    <col min="10" max="10" width="17.88671875" customWidth="1"/>
    <col min="11" max="11" width="16.88671875" customWidth="1"/>
    <col min="12" max="12" width="10" customWidth="1"/>
    <col min="13" max="13" width="18" customWidth="1"/>
    <col min="14" max="14" width="16.88671875" customWidth="1"/>
    <col min="15" max="15" width="10" customWidth="1"/>
    <col min="17" max="17" width="44.88671875" customWidth="1"/>
    <col min="18" max="18" width="45.77734375" customWidth="1"/>
  </cols>
  <sheetData>
    <row r="2" spans="2:22" ht="25.8" x14ac:dyDescent="0.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3">
      <c r="B4" s="59" t="s">
        <v>170</v>
      </c>
    </row>
    <row r="10" spans="2:22" ht="18" x14ac:dyDescent="0.35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3">
      <c r="B12" s="66" t="s">
        <v>115</v>
      </c>
      <c r="C12" s="185" t="str">
        <f>G16</f>
        <v>OK</v>
      </c>
    </row>
    <row r="14" spans="2:22" ht="18" x14ac:dyDescent="0.35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3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3">
      <c r="Q17" s="27" t="s">
        <v>169</v>
      </c>
      <c r="R17" s="27"/>
      <c r="S17" s="27"/>
    </row>
    <row r="18" spans="2:19" x14ac:dyDescent="0.3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3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3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3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3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3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3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3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3">
      <c r="B26" s="17">
        <v>44562</v>
      </c>
      <c r="C26" s="71">
        <v>1</v>
      </c>
      <c r="E26" s="8"/>
    </row>
    <row r="27" spans="2:19" x14ac:dyDescent="0.3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3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3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3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3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3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3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3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3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3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3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3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3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3">
      <c r="D40" s="5"/>
      <c r="E40" s="5"/>
    </row>
    <row r="42" spans="2:9" x14ac:dyDescent="0.3">
      <c r="C42" s="1"/>
      <c r="D42" s="5"/>
    </row>
    <row r="43" spans="2:9" x14ac:dyDescent="0.3">
      <c r="E43" s="6"/>
    </row>
    <row r="44" spans="2:9" x14ac:dyDescent="0.3">
      <c r="B44" s="5"/>
      <c r="C44" s="5"/>
      <c r="D44" s="5"/>
      <c r="E44" s="5"/>
    </row>
    <row r="45" spans="2:9" x14ac:dyDescent="0.3">
      <c r="B45" s="5"/>
      <c r="C45" s="5"/>
      <c r="D45" s="5"/>
      <c r="E45" s="5"/>
    </row>
    <row r="46" spans="2:9" x14ac:dyDescent="0.3">
      <c r="B46" s="5"/>
      <c r="C46" s="5"/>
      <c r="D46" s="5"/>
      <c r="E46" s="5"/>
      <c r="F46" s="5"/>
      <c r="G46" s="5"/>
    </row>
    <row r="47" spans="2:9" x14ac:dyDescent="0.3">
      <c r="B47" s="5"/>
      <c r="C47" s="5"/>
      <c r="D47" s="5"/>
      <c r="E47" s="5"/>
      <c r="F47" s="5"/>
      <c r="G47" s="5"/>
    </row>
    <row r="48" spans="2:9" x14ac:dyDescent="0.3">
      <c r="F48" s="5"/>
      <c r="G48" s="5"/>
    </row>
    <row r="49" spans="6:7" x14ac:dyDescent="0.3">
      <c r="F49" s="5"/>
      <c r="G49" s="5"/>
    </row>
  </sheetData>
  <conditionalFormatting sqref="I29:I39">
    <cfRule type="cellIs" dxfId="172" priority="11" stopIfTrue="1" operator="equal">
      <formula>"OK"</formula>
    </cfRule>
    <cfRule type="cellIs" dxfId="171" priority="12" stopIfTrue="1" operator="equal">
      <formula>"ERROR"</formula>
    </cfRule>
  </conditionalFormatting>
  <conditionalFormatting sqref="G16">
    <cfRule type="cellIs" dxfId="170" priority="9" stopIfTrue="1" operator="equal">
      <formula>"OK"</formula>
    </cfRule>
    <cfRule type="cellIs" dxfId="169" priority="10" stopIfTrue="1" operator="equal">
      <formula>"ERROR"</formula>
    </cfRule>
  </conditionalFormatting>
  <conditionalFormatting sqref="C12">
    <cfRule type="cellIs" dxfId="168" priority="13" stopIfTrue="1" operator="equal">
      <formula>"OK"</formula>
    </cfRule>
    <cfRule type="cellIs" dxfId="167" priority="14" stopIfTrue="1" operator="equal">
      <formula>"ERROR"</formula>
    </cfRule>
  </conditionalFormatting>
  <conditionalFormatting sqref="I21:I2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L21:L25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O21:O2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S1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opLeftCell="XEM1" zoomScale="115" zoomScaleNormal="115" workbookViewId="0">
      <selection activeCell="XFD6" sqref="XFD6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  <col min="11" max="12" width="3.77734375" customWidth="1"/>
    <col min="13" max="13" width="17.77734375" customWidth="1"/>
    <col min="14" max="14" width="10" customWidth="1"/>
    <col min="15" max="15" width="11.21875" customWidth="1"/>
    <col min="16" max="16" width="11.88671875" customWidth="1"/>
    <col min="18" max="18" width="11.33203125" customWidth="1"/>
    <col min="19" max="19" width="22.44140625" customWidth="1"/>
    <col min="20" max="20" width="21.44140625" customWidth="1"/>
    <col min="21" max="21" width="13.44140625" bestFit="1" customWidth="1"/>
    <col min="22" max="23" width="3.77734375" customWidth="1"/>
    <col min="24" max="24" width="11.33203125" customWidth="1"/>
    <col min="26" max="26" width="11" customWidth="1"/>
    <col min="41" max="41" width="20.21875" customWidth="1"/>
  </cols>
  <sheetData>
    <row r="2" spans="2:25" ht="25.8" x14ac:dyDescent="0.5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3">
      <c r="B6" s="59" t="s">
        <v>170</v>
      </c>
      <c r="C6" s="185" t="str" cm="1">
        <f t="array" ref="C6">_xll.d.TestUtils_And(D10:D13)</f>
        <v>ERROR</v>
      </c>
    </row>
    <row r="8" spans="2:25" x14ac:dyDescent="0.3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3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3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3">
      <c r="K11" s="242"/>
      <c r="L11" s="243"/>
      <c r="V11" s="242"/>
      <c r="W11" s="243"/>
    </row>
    <row r="12" spans="2:25" x14ac:dyDescent="0.3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3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3">
      <c r="B14" s="238"/>
      <c r="C14" s="276"/>
      <c r="D14" s="185"/>
      <c r="K14" s="242"/>
      <c r="L14" s="243"/>
      <c r="V14" s="242"/>
      <c r="W14" s="243"/>
    </row>
    <row r="15" spans="2:25" x14ac:dyDescent="0.3">
      <c r="K15" s="242"/>
      <c r="L15" s="243"/>
      <c r="V15" s="242"/>
      <c r="W15" s="243"/>
    </row>
    <row r="16" spans="2:25" x14ac:dyDescent="0.3">
      <c r="K16" s="242"/>
      <c r="L16" s="243"/>
      <c r="V16" s="242"/>
      <c r="W16" s="243"/>
    </row>
    <row r="17" spans="2:50" ht="18" x14ac:dyDescent="0.35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3">
      <c r="K18" s="242"/>
      <c r="L18" s="243"/>
      <c r="V18" s="242"/>
      <c r="W18" s="243"/>
    </row>
    <row r="19" spans="2:50" ht="15.6" x14ac:dyDescent="0.3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3">
      <c r="K20" s="242"/>
      <c r="L20" s="243"/>
      <c r="V20" s="242"/>
      <c r="W20" s="243"/>
    </row>
    <row r="21" spans="2:50" x14ac:dyDescent="0.3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3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3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3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3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3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3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3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3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3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3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3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3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3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3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3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3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3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3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3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3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3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3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3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3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3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3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3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3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3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3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3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3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3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3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3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3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3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3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3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3">
      <c r="K61" s="242"/>
      <c r="L61" s="243"/>
      <c r="V61" s="242"/>
      <c r="W61" s="243"/>
    </row>
    <row r="62" spans="11:33" x14ac:dyDescent="0.3">
      <c r="K62" s="242"/>
      <c r="L62" s="243"/>
      <c r="V62" s="242"/>
      <c r="W62" s="243"/>
    </row>
    <row r="63" spans="11:33" x14ac:dyDescent="0.3">
      <c r="K63" s="242"/>
      <c r="L63" s="243"/>
      <c r="V63" s="242"/>
      <c r="W63" s="243"/>
    </row>
    <row r="64" spans="11:33" x14ac:dyDescent="0.3">
      <c r="K64" s="242"/>
      <c r="L64" s="243"/>
      <c r="V64" s="242"/>
      <c r="W64" s="243"/>
    </row>
    <row r="65" spans="11:23" x14ac:dyDescent="0.3">
      <c r="K65" s="242"/>
      <c r="L65" s="243"/>
      <c r="V65" s="242"/>
      <c r="W65" s="243"/>
    </row>
    <row r="66" spans="11:23" x14ac:dyDescent="0.3">
      <c r="K66" s="242"/>
      <c r="L66" s="243"/>
      <c r="V66" s="242"/>
      <c r="W66" s="243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4.4" x14ac:dyDescent="0.3"/>
  <cols>
    <col min="1" max="1" width="3.77734375" customWidth="1"/>
    <col min="2" max="2" width="15.44140625" customWidth="1"/>
    <col min="3" max="3" width="21.6640625" customWidth="1"/>
    <col min="4" max="4" width="15.88671875" customWidth="1"/>
    <col min="5" max="6" width="21" customWidth="1"/>
    <col min="7" max="7" width="15" customWidth="1"/>
    <col min="8" max="8" width="22.44140625" customWidth="1"/>
    <col min="9" max="9" width="21.44140625" customWidth="1"/>
    <col min="10" max="10" width="13.44140625" customWidth="1"/>
    <col min="11" max="11" width="17.88671875" customWidth="1"/>
    <col min="13" max="13" width="27.33203125" customWidth="1"/>
  </cols>
  <sheetData>
    <row r="2" spans="2:13" ht="25.8" x14ac:dyDescent="0.5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3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3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" x14ac:dyDescent="0.35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3">
      <c r="B8" s="60" t="s">
        <v>32</v>
      </c>
      <c r="C8" s="61" t="s">
        <v>33</v>
      </c>
      <c r="D8" s="64"/>
      <c r="E8" s="64"/>
    </row>
    <row r="9" spans="2:13" x14ac:dyDescent="0.3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3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3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3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3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3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3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3">
      <c r="B16" s="42" t="s">
        <v>56</v>
      </c>
      <c r="C16" s="54" t="s">
        <v>52</v>
      </c>
    </row>
    <row r="17" spans="2:9" x14ac:dyDescent="0.3">
      <c r="B17" s="42" t="s">
        <v>36</v>
      </c>
      <c r="C17" s="54" t="s">
        <v>60</v>
      </c>
    </row>
    <row r="18" spans="2:9" x14ac:dyDescent="0.3">
      <c r="E18" s="42"/>
      <c r="F18" s="54"/>
      <c r="H18" s="46"/>
    </row>
    <row r="19" spans="2:9" x14ac:dyDescent="0.3">
      <c r="B19" s="58" t="s">
        <v>58</v>
      </c>
      <c r="C19" s="59"/>
      <c r="H19" s="46"/>
      <c r="I19" s="46"/>
    </row>
    <row r="20" spans="2:9" x14ac:dyDescent="0.3">
      <c r="B20" s="60" t="s">
        <v>32</v>
      </c>
      <c r="C20" s="61" t="s">
        <v>33</v>
      </c>
      <c r="H20" s="46"/>
      <c r="I20" s="46"/>
    </row>
    <row r="21" spans="2:9" x14ac:dyDescent="0.3">
      <c r="B21" s="42" t="s">
        <v>56</v>
      </c>
      <c r="C21" s="54" t="s">
        <v>48</v>
      </c>
      <c r="I21" s="46"/>
    </row>
    <row r="22" spans="2:9" x14ac:dyDescent="0.3">
      <c r="B22" s="42" t="s">
        <v>36</v>
      </c>
      <c r="C22" s="54" t="s">
        <v>49</v>
      </c>
      <c r="H22" s="42"/>
    </row>
    <row r="23" spans="2:9" x14ac:dyDescent="0.3">
      <c r="H23" s="42"/>
      <c r="I23" s="46"/>
    </row>
    <row r="24" spans="2:9" x14ac:dyDescent="0.3">
      <c r="B24" s="12" t="s">
        <v>23</v>
      </c>
      <c r="C24" s="27"/>
      <c r="D24" s="13"/>
      <c r="E24" s="13"/>
      <c r="F24" s="13"/>
      <c r="G24" s="13"/>
      <c r="I24" s="46"/>
    </row>
    <row r="25" spans="2:9" x14ac:dyDescent="0.3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3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3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3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3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3">
      <c r="B31" s="12" t="s">
        <v>38</v>
      </c>
      <c r="C31" s="27"/>
      <c r="D31" s="13"/>
      <c r="E31" s="13"/>
      <c r="F31" s="13"/>
      <c r="G31" s="13"/>
    </row>
    <row r="32" spans="2:9" x14ac:dyDescent="0.3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3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3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3">
      <c r="B36" s="12" t="s">
        <v>46</v>
      </c>
      <c r="C36" s="27"/>
      <c r="D36" s="13"/>
      <c r="E36" s="13"/>
      <c r="F36" s="13"/>
      <c r="G36" s="13"/>
    </row>
    <row r="37" spans="2:7" x14ac:dyDescent="0.3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3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3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4.4" x14ac:dyDescent="0.3"/>
  <cols>
    <col min="1" max="1" width="3.6640625" customWidth="1"/>
    <col min="2" max="2" width="14.88671875" customWidth="1"/>
    <col min="3" max="3" width="15.44140625" customWidth="1"/>
    <col min="7" max="7" width="19.77734375" customWidth="1"/>
    <col min="8" max="8" width="11.88671875" customWidth="1"/>
    <col min="9" max="9" width="13.21875" customWidth="1"/>
    <col min="10" max="10" width="9.88671875" customWidth="1"/>
  </cols>
  <sheetData>
    <row r="2" spans="2:10" ht="25.8" x14ac:dyDescent="0.5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3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3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3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3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3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3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3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3">
      <c r="B13" s="18">
        <v>44773</v>
      </c>
      <c r="C13" s="21">
        <v>0.99979600000000002</v>
      </c>
    </row>
    <row r="14" spans="2:10" x14ac:dyDescent="0.3">
      <c r="B14" s="18">
        <v>44802</v>
      </c>
      <c r="C14" s="21">
        <v>0.99965800000000005</v>
      </c>
    </row>
    <row r="15" spans="2:10" ht="18" x14ac:dyDescent="0.35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3">
      <c r="B16" s="18">
        <v>44857</v>
      </c>
      <c r="C16" s="21">
        <v>0.999421</v>
      </c>
    </row>
    <row r="17" spans="2:9" x14ac:dyDescent="0.3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3">
      <c r="B18" s="18">
        <v>44920</v>
      </c>
      <c r="C18" s="21">
        <v>0.99921499999999996</v>
      </c>
    </row>
    <row r="19" spans="2:9" x14ac:dyDescent="0.3">
      <c r="B19" s="18">
        <v>44949</v>
      </c>
      <c r="C19" s="21">
        <v>0.99906200000000001</v>
      </c>
    </row>
    <row r="20" spans="2:9" x14ac:dyDescent="0.3">
      <c r="B20" s="18">
        <v>44979</v>
      </c>
      <c r="C20" s="21">
        <v>0.99885800000000002</v>
      </c>
    </row>
    <row r="21" spans="2:9" x14ac:dyDescent="0.3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3">
      <c r="B22" s="18">
        <v>45041</v>
      </c>
      <c r="C22" s="21">
        <v>0.99856400000000001</v>
      </c>
      <c r="G22" s="18"/>
      <c r="H22" s="21"/>
    </row>
    <row r="23" spans="2:9" x14ac:dyDescent="0.3">
      <c r="B23" s="18">
        <v>45071</v>
      </c>
      <c r="C23" s="21">
        <v>0.998309</v>
      </c>
      <c r="G23" s="19"/>
      <c r="H23" s="22"/>
    </row>
    <row r="24" spans="2:9" x14ac:dyDescent="0.3">
      <c r="B24" s="18">
        <v>45162</v>
      </c>
      <c r="C24" s="21">
        <v>0.99748499999999996</v>
      </c>
    </row>
    <row r="25" spans="2:9" x14ac:dyDescent="0.3">
      <c r="B25" s="18">
        <v>45252</v>
      </c>
      <c r="C25" s="21">
        <v>0.99626000000000003</v>
      </c>
    </row>
    <row r="26" spans="2:9" x14ac:dyDescent="0.3">
      <c r="B26" s="18">
        <v>45344</v>
      </c>
      <c r="C26" s="21">
        <v>0.99468800000000002</v>
      </c>
    </row>
    <row r="27" spans="2:9" x14ac:dyDescent="0.3">
      <c r="B27" s="18">
        <v>45438</v>
      </c>
      <c r="C27" s="21">
        <v>0.99261299999999997</v>
      </c>
    </row>
    <row r="28" spans="2:9" x14ac:dyDescent="0.3">
      <c r="B28" s="18">
        <v>45806</v>
      </c>
      <c r="C28" s="21">
        <v>0.98043999999999998</v>
      </c>
    </row>
    <row r="29" spans="2:9" x14ac:dyDescent="0.3">
      <c r="B29" s="18">
        <v>46173</v>
      </c>
      <c r="C29" s="21">
        <v>0.96520099999999998</v>
      </c>
    </row>
    <row r="30" spans="2:9" x14ac:dyDescent="0.3">
      <c r="B30" s="18">
        <v>46537</v>
      </c>
      <c r="C30" s="21">
        <v>0.94818400000000003</v>
      </c>
    </row>
    <row r="31" spans="2:9" x14ac:dyDescent="0.3">
      <c r="B31" s="18">
        <v>46901</v>
      </c>
      <c r="C31" s="21">
        <v>0.93045800000000001</v>
      </c>
    </row>
    <row r="32" spans="2:9" x14ac:dyDescent="0.3">
      <c r="B32" s="18">
        <v>47267</v>
      </c>
      <c r="C32" s="21">
        <v>0.91225999999999996</v>
      </c>
    </row>
    <row r="33" spans="2:3" x14ac:dyDescent="0.3">
      <c r="B33" s="18">
        <v>47632</v>
      </c>
      <c r="C33" s="21">
        <v>0.89427000000000001</v>
      </c>
    </row>
    <row r="34" spans="2:3" x14ac:dyDescent="0.3">
      <c r="B34" s="18">
        <v>47997</v>
      </c>
      <c r="C34" s="21">
        <v>0.87622500000000003</v>
      </c>
    </row>
    <row r="35" spans="2:3" x14ac:dyDescent="0.3">
      <c r="B35" s="18">
        <v>48364</v>
      </c>
      <c r="C35" s="21">
        <v>0.85857799999999995</v>
      </c>
    </row>
    <row r="36" spans="2:3" x14ac:dyDescent="0.3">
      <c r="B36" s="18">
        <v>49093</v>
      </c>
      <c r="C36" s="21">
        <v>0.82275399999999999</v>
      </c>
    </row>
    <row r="37" spans="2:3" x14ac:dyDescent="0.3">
      <c r="B37" s="18">
        <v>50191</v>
      </c>
      <c r="C37" s="21">
        <v>0.77304499999999998</v>
      </c>
    </row>
    <row r="38" spans="2:3" x14ac:dyDescent="0.3">
      <c r="B38" s="18">
        <v>52015</v>
      </c>
      <c r="C38" s="21">
        <v>0.69641399999999998</v>
      </c>
    </row>
    <row r="39" spans="2:3" x14ac:dyDescent="0.3">
      <c r="B39" s="18">
        <v>53841</v>
      </c>
      <c r="C39" s="21">
        <v>0.63234400000000002</v>
      </c>
    </row>
    <row r="40" spans="2:3" x14ac:dyDescent="0.3">
      <c r="B40" s="18">
        <v>55667</v>
      </c>
      <c r="C40" s="21">
        <v>0.57906999999999997</v>
      </c>
    </row>
    <row r="41" spans="2:3" x14ac:dyDescent="0.3">
      <c r="B41" s="19">
        <v>59320</v>
      </c>
      <c r="C41" s="22">
        <v>0.49973099999999998</v>
      </c>
    </row>
    <row r="42" spans="2:3" x14ac:dyDescent="0.3">
      <c r="B42" s="8"/>
    </row>
    <row r="55" spans="2:6" ht="18" x14ac:dyDescent="0.35">
      <c r="B55" s="3" t="s">
        <v>5</v>
      </c>
      <c r="C55" s="3"/>
    </row>
    <row r="57" spans="2:6" x14ac:dyDescent="0.3">
      <c r="B57" s="7" t="s">
        <v>10</v>
      </c>
      <c r="C57" s="7" t="s">
        <v>11</v>
      </c>
    </row>
    <row r="58" spans="2:6" x14ac:dyDescent="0.3">
      <c r="B58" t="s">
        <v>6</v>
      </c>
      <c r="C58" t="e" cm="1">
        <f t="array" aca="1" ref="C58" ca="1">_xll.d.And(F62:F64)</f>
        <v>#NAME?</v>
      </c>
    </row>
    <row r="60" spans="2:6" ht="15.6" x14ac:dyDescent="0.3">
      <c r="B60" s="4" t="s">
        <v>6</v>
      </c>
      <c r="C60" s="4"/>
    </row>
    <row r="62" spans="2:6" x14ac:dyDescent="0.3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3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6" x14ac:dyDescent="0.3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</cols>
  <sheetData>
    <row r="2" spans="2:10" ht="25.8" x14ac:dyDescent="0.5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3">
      <c r="B6" s="59" t="s">
        <v>170</v>
      </c>
      <c r="C6" s="185" t="str" cm="1">
        <f t="array" ref="C6">_xll.d.TestUtils_And(D10:D13)</f>
        <v>ERROR</v>
      </c>
    </row>
    <row r="8" spans="2:10" x14ac:dyDescent="0.3">
      <c r="B8" s="228" t="s">
        <v>10</v>
      </c>
      <c r="C8" s="228"/>
      <c r="D8" s="229" t="s">
        <v>11</v>
      </c>
    </row>
    <row r="9" spans="2:10" x14ac:dyDescent="0.3">
      <c r="B9" s="277" t="s">
        <v>226</v>
      </c>
      <c r="C9" s="278"/>
      <c r="D9" s="279"/>
    </row>
    <row r="10" spans="2:10" x14ac:dyDescent="0.3">
      <c r="B10" s="238" t="str">
        <f>B18</f>
        <v>Flat Curve, 3m JIBAR</v>
      </c>
      <c r="C10" s="276"/>
      <c r="D10" s="185" t="str">
        <f>C20</f>
        <v>ERROR</v>
      </c>
    </row>
    <row r="12" spans="2:10" x14ac:dyDescent="0.3">
      <c r="B12" s="277" t="s">
        <v>227</v>
      </c>
      <c r="C12" s="278"/>
      <c r="D12" s="279"/>
    </row>
    <row r="13" spans="2:10" x14ac:dyDescent="0.3">
      <c r="B13" s="238" t="e">
        <f>#REF!</f>
        <v>#REF!</v>
      </c>
      <c r="C13" s="276"/>
      <c r="D13" s="185" t="str">
        <f>C32</f>
        <v>ZAR</v>
      </c>
    </row>
    <row r="16" spans="2:10" ht="18" x14ac:dyDescent="0.35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6" x14ac:dyDescent="0.3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3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3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3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3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3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3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3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3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3">
      <c r="B28" s="303" t="s">
        <v>236</v>
      </c>
      <c r="C28" s="262">
        <v>44713</v>
      </c>
      <c r="E28" s="62"/>
    </row>
    <row r="29" spans="2:10" x14ac:dyDescent="0.3">
      <c r="B29" s="304" t="s">
        <v>237</v>
      </c>
      <c r="C29" s="283">
        <f>C28+365</f>
        <v>45078</v>
      </c>
      <c r="E29" s="62"/>
    </row>
    <row r="30" spans="2:10" x14ac:dyDescent="0.3">
      <c r="B30" s="305" t="s">
        <v>238</v>
      </c>
      <c r="C30" s="307" t="s">
        <v>241</v>
      </c>
    </row>
    <row r="31" spans="2:10" x14ac:dyDescent="0.3">
      <c r="B31" s="308" t="s">
        <v>242</v>
      </c>
      <c r="C31">
        <v>1000000</v>
      </c>
    </row>
    <row r="32" spans="2:10" x14ac:dyDescent="0.3">
      <c r="B32" s="308" t="s">
        <v>244</v>
      </c>
      <c r="C32" t="s">
        <v>71</v>
      </c>
      <c r="D32" t="s">
        <v>245</v>
      </c>
    </row>
    <row r="33" spans="2:3" x14ac:dyDescent="0.3">
      <c r="B33" s="308" t="s">
        <v>246</v>
      </c>
    </row>
    <row r="34" spans="2:3" x14ac:dyDescent="0.3">
      <c r="B34" s="308" t="s">
        <v>243</v>
      </c>
      <c r="C34" t="s">
        <v>26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4.4" x14ac:dyDescent="0.3"/>
  <cols>
    <col min="1" max="1" width="3.77734375" customWidth="1"/>
    <col min="2" max="2" width="10.77734375" bestFit="1" customWidth="1"/>
    <col min="3" max="3" width="11.6640625" customWidth="1"/>
    <col min="5" max="5" width="9.6640625" bestFit="1" customWidth="1"/>
    <col min="6" max="6" width="13.33203125" customWidth="1"/>
    <col min="9" max="9" width="12.77734375" customWidth="1"/>
    <col min="10" max="10" width="9.33203125" bestFit="1" customWidth="1"/>
    <col min="11" max="11" width="11.6640625" customWidth="1"/>
    <col min="12" max="12" width="13.33203125" customWidth="1"/>
    <col min="15" max="15" width="14.77734375" customWidth="1"/>
    <col min="16" max="16" width="13" customWidth="1"/>
    <col min="17" max="17" width="10.44140625" customWidth="1"/>
    <col min="18" max="18" width="18.21875" customWidth="1"/>
    <col min="21" max="21" width="17.77734375" customWidth="1"/>
  </cols>
  <sheetData>
    <row r="2" spans="2:23" ht="25.8" x14ac:dyDescent="0.5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3">
      <c r="B4" s="59" t="s">
        <v>170</v>
      </c>
      <c r="C4" s="185" t="str" cm="1">
        <f t="array" ref="C4">_xll.d.TestUtils_And(C7:C16)</f>
        <v>OK</v>
      </c>
    </row>
    <row r="6" spans="2:23" x14ac:dyDescent="0.3">
      <c r="B6" s="228" t="s">
        <v>10</v>
      </c>
      <c r="C6" s="229" t="s">
        <v>11</v>
      </c>
    </row>
    <row r="7" spans="2:23" x14ac:dyDescent="0.3">
      <c r="B7" s="238" t="s">
        <v>115</v>
      </c>
      <c r="C7" s="185" t="str">
        <f>C21</f>
        <v>OK</v>
      </c>
    </row>
    <row r="8" spans="2:23" x14ac:dyDescent="0.3">
      <c r="B8" s="238" t="s">
        <v>117</v>
      </c>
      <c r="C8" s="185" t="str">
        <f>C43</f>
        <v>OK</v>
      </c>
    </row>
    <row r="9" spans="2:23" x14ac:dyDescent="0.3">
      <c r="B9" s="238" t="s">
        <v>118</v>
      </c>
      <c r="C9" s="185" t="str">
        <f>C65</f>
        <v>OK</v>
      </c>
    </row>
    <row r="10" spans="2:23" x14ac:dyDescent="0.3">
      <c r="B10" s="238" t="s">
        <v>121</v>
      </c>
      <c r="C10" s="185" t="str">
        <f>C87</f>
        <v>OK</v>
      </c>
    </row>
    <row r="11" spans="2:23" x14ac:dyDescent="0.3">
      <c r="B11" s="238" t="s">
        <v>127</v>
      </c>
      <c r="C11" s="185" t="str">
        <f>C109</f>
        <v>OK</v>
      </c>
    </row>
    <row r="12" spans="2:23" x14ac:dyDescent="0.3">
      <c r="B12" s="238" t="s">
        <v>129</v>
      </c>
      <c r="C12" s="185" t="str">
        <f>C131</f>
        <v>OK</v>
      </c>
    </row>
    <row r="13" spans="2:23" x14ac:dyDescent="0.3">
      <c r="B13" s="238" t="s">
        <v>174</v>
      </c>
      <c r="C13" s="185" t="str">
        <f>C153</f>
        <v>OK</v>
      </c>
    </row>
    <row r="14" spans="2:23" x14ac:dyDescent="0.3">
      <c r="B14" s="238" t="s">
        <v>179</v>
      </c>
      <c r="C14" s="185" t="str">
        <f>C175</f>
        <v>OK</v>
      </c>
    </row>
    <row r="15" spans="2:23" x14ac:dyDescent="0.3">
      <c r="B15" s="238" t="s">
        <v>185</v>
      </c>
      <c r="C15" s="185" t="str">
        <f>C197</f>
        <v>OK</v>
      </c>
    </row>
    <row r="16" spans="2:23" x14ac:dyDescent="0.3">
      <c r="B16" s="238" t="s">
        <v>204</v>
      </c>
      <c r="C16" s="185" t="str">
        <f>C219</f>
        <v>OK</v>
      </c>
    </row>
    <row r="17" spans="2:23" x14ac:dyDescent="0.3">
      <c r="B17" s="238"/>
    </row>
    <row r="19" spans="2:23" ht="18" x14ac:dyDescent="0.35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3">
      <c r="B21" s="59" t="s">
        <v>136</v>
      </c>
      <c r="C21" s="185" t="str" cm="1">
        <f t="array" ref="C21">_xll.d.TestUtils_And(C27,F27,K27,P27)</f>
        <v>OK</v>
      </c>
    </row>
    <row r="23" spans="2:23" x14ac:dyDescent="0.3">
      <c r="B23" t="s">
        <v>195</v>
      </c>
    </row>
    <row r="25" spans="2:23" ht="15.6" x14ac:dyDescent="0.3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3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3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3">
      <c r="B30" s="186"/>
    </row>
    <row r="31" spans="2:23" x14ac:dyDescent="0.3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3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3">
      <c r="B33" s="186" t="s">
        <v>139</v>
      </c>
    </row>
    <row r="34" spans="2:23" x14ac:dyDescent="0.3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3">
      <c r="B35" s="186" t="s">
        <v>139</v>
      </c>
      <c r="E35" s="186" t="str" cm="1">
        <f t="array" ref="E35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3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3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3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3">
      <c r="C39" s="185"/>
    </row>
    <row r="41" spans="2:23" ht="18" x14ac:dyDescent="0.35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3">
      <c r="B43" s="59" t="s">
        <v>136</v>
      </c>
      <c r="C43" s="185" t="str" cm="1">
        <f t="array" ref="C43">_xll.d.TestUtils_And(C49,F49,K49,P49)</f>
        <v>OK</v>
      </c>
    </row>
    <row r="45" spans="2:23" x14ac:dyDescent="0.3">
      <c r="B45" t="s">
        <v>196</v>
      </c>
    </row>
    <row r="47" spans="2:23" ht="15.6" x14ac:dyDescent="0.3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3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3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3">
      <c r="B52" s="186"/>
    </row>
    <row r="53" spans="2:23" x14ac:dyDescent="0.3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3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3">
      <c r="B55" s="186" t="s">
        <v>139</v>
      </c>
    </row>
    <row r="56" spans="2:23" x14ac:dyDescent="0.3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3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3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3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3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" x14ac:dyDescent="0.35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3">
      <c r="B65" s="59" t="s">
        <v>136</v>
      </c>
      <c r="C65" s="185" t="str" cm="1">
        <f t="array" ref="C65">_xll.d.TestUtils_And(C71,F71,K71,P71)</f>
        <v>OK</v>
      </c>
    </row>
    <row r="67" spans="2:23" x14ac:dyDescent="0.3">
      <c r="B67" t="s">
        <v>197</v>
      </c>
    </row>
    <row r="69" spans="2:23" s="64" customFormat="1" ht="15.6" x14ac:dyDescent="0.3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3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3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3">
      <c r="B74" s="186"/>
    </row>
    <row r="75" spans="2:23" x14ac:dyDescent="0.3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3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3">
      <c r="B77" s="186" t="s">
        <v>139</v>
      </c>
    </row>
    <row r="78" spans="2:23" x14ac:dyDescent="0.3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3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3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3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3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" x14ac:dyDescent="0.35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">
      <c r="B87" s="59" t="s">
        <v>136</v>
      </c>
      <c r="C87" s="185" t="str" cm="1">
        <f t="array" ref="C87">_xll.d.TestUtils_And(C93,F93,K93,P93)</f>
        <v>OK</v>
      </c>
    </row>
    <row r="89" spans="2:23" x14ac:dyDescent="0.3">
      <c r="B89" t="s">
        <v>198</v>
      </c>
    </row>
    <row r="91" spans="2:23" ht="15.6" x14ac:dyDescent="0.3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3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3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3">
      <c r="B96" s="186"/>
    </row>
    <row r="97" spans="2:23" x14ac:dyDescent="0.3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3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3">
      <c r="B99" s="186" t="s">
        <v>149</v>
      </c>
    </row>
    <row r="100" spans="2:23" x14ac:dyDescent="0.3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3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3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3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3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" x14ac:dyDescent="0.35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3">
      <c r="B109" s="59" t="s">
        <v>136</v>
      </c>
      <c r="C109" s="185" t="str" cm="1">
        <f t="array" ref="C109">_xll.d.TestUtils_And(C115,F115,K115,P115)</f>
        <v>OK</v>
      </c>
    </row>
    <row r="111" spans="2:23" x14ac:dyDescent="0.3">
      <c r="B111" t="s">
        <v>199</v>
      </c>
    </row>
    <row r="113" spans="2:23" ht="15.6" x14ac:dyDescent="0.3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3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3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3">
      <c r="B118" s="186"/>
    </row>
    <row r="119" spans="2:23" x14ac:dyDescent="0.3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3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3">
      <c r="B121" s="186" t="s">
        <v>149</v>
      </c>
    </row>
    <row r="122" spans="2:23" x14ac:dyDescent="0.3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3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3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3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3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" x14ac:dyDescent="0.35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3">
      <c r="B131" s="59" t="s">
        <v>136</v>
      </c>
      <c r="C131" s="185" t="str" cm="1">
        <f t="array" ref="C131">_xll.d.TestUtils_And(C137,F137,K137,P137)</f>
        <v>OK</v>
      </c>
    </row>
    <row r="133" spans="2:23" x14ac:dyDescent="0.3">
      <c r="B133" t="s">
        <v>200</v>
      </c>
    </row>
    <row r="135" spans="2:23" ht="15.6" x14ac:dyDescent="0.3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3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3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3">
      <c r="B140" s="186"/>
    </row>
    <row r="141" spans="2:23" x14ac:dyDescent="0.3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3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3">
      <c r="B143" s="186" t="s">
        <v>149</v>
      </c>
    </row>
    <row r="144" spans="2:23" x14ac:dyDescent="0.3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3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3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3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3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" x14ac:dyDescent="0.35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3">
      <c r="B153" s="59" t="s">
        <v>136</v>
      </c>
      <c r="C153" s="185" t="str" cm="1">
        <f t="array" ref="C153">_xll.d.TestUtils_And(C159,F159,K159,P159)</f>
        <v>OK</v>
      </c>
    </row>
    <row r="155" spans="2:23" x14ac:dyDescent="0.3">
      <c r="B155" t="s">
        <v>201</v>
      </c>
    </row>
    <row r="157" spans="2:23" ht="15.6" x14ac:dyDescent="0.3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3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3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3">
      <c r="B162" s="186"/>
    </row>
    <row r="163" spans="2:23" x14ac:dyDescent="0.3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3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3">
      <c r="B165" s="186" t="s">
        <v>153</v>
      </c>
    </row>
    <row r="166" spans="2:23" x14ac:dyDescent="0.3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3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3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3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3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" x14ac:dyDescent="0.35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3">
      <c r="B175" s="59" t="s">
        <v>136</v>
      </c>
      <c r="C175" s="185" t="str" cm="1">
        <f t="array" ref="C175">_xll.d.TestUtils_And(C181,F181,K181,P181)</f>
        <v>OK</v>
      </c>
    </row>
    <row r="177" spans="2:23" x14ac:dyDescent="0.3">
      <c r="B177" t="s">
        <v>202</v>
      </c>
    </row>
    <row r="179" spans="2:23" ht="15.6" x14ac:dyDescent="0.3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3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3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3">
      <c r="B184" s="186"/>
    </row>
    <row r="185" spans="2:23" x14ac:dyDescent="0.3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3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3">
      <c r="B187" s="186" t="s">
        <v>153</v>
      </c>
    </row>
    <row r="188" spans="2:23" x14ac:dyDescent="0.3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3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3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3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3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" x14ac:dyDescent="0.35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3">
      <c r="B197" s="59" t="s">
        <v>136</v>
      </c>
      <c r="C197" s="185" t="str" cm="1">
        <f t="array" ref="C197">_xll.d.TestUtils_And(C203,F203,K203,P203)</f>
        <v>OK</v>
      </c>
    </row>
    <row r="199" spans="2:23" x14ac:dyDescent="0.3">
      <c r="B199" t="s">
        <v>203</v>
      </c>
    </row>
    <row r="201" spans="2:23" ht="15.6" x14ac:dyDescent="0.3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3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3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3">
      <c r="B206" s="186"/>
    </row>
    <row r="207" spans="2:23" x14ac:dyDescent="0.3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3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3">
      <c r="B209" s="186" t="s">
        <v>153</v>
      </c>
      <c r="C209" t="str">
        <v>WARNING</v>
      </c>
    </row>
    <row r="210" spans="2:23" x14ac:dyDescent="0.3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3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3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3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3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" x14ac:dyDescent="0.35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3">
      <c r="B219" s="59" t="s">
        <v>136</v>
      </c>
      <c r="C219" s="185" t="str" cm="1">
        <f t="array" ref="C219">_xll.d.TestUtils_And(C225,F225,I225,L225)</f>
        <v>OK</v>
      </c>
    </row>
    <row r="221" spans="2:23" x14ac:dyDescent="0.3">
      <c r="B221" t="s">
        <v>209</v>
      </c>
    </row>
    <row r="223" spans="2:23" ht="15.6" x14ac:dyDescent="0.3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3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3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3">
      <c r="B228" s="186"/>
    </row>
    <row r="229" spans="2:21" x14ac:dyDescent="0.3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3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3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3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3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3">
      <c r="H234" s="186"/>
      <c r="I234" s="186"/>
    </row>
    <row r="235" spans="2:21" x14ac:dyDescent="0.3">
      <c r="H235" s="186"/>
      <c r="I235" s="186"/>
      <c r="L235" s="186"/>
    </row>
    <row r="236" spans="2:21" x14ac:dyDescent="0.3">
      <c r="H236" s="186"/>
      <c r="I236" s="186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1:F9"/>
    </sheetView>
  </sheetViews>
  <sheetFormatPr defaultRowHeight="14.4" x14ac:dyDescent="0.3"/>
  <cols>
    <col min="1" max="1" width="3.77734375" customWidth="1"/>
    <col min="2" max="2" width="15.33203125" customWidth="1"/>
    <col min="3" max="3" width="13.109375" customWidth="1"/>
    <col min="5" max="5" width="12.77734375" bestFit="1" customWidth="1"/>
    <col min="6" max="6" width="10.88671875" customWidth="1"/>
    <col min="8" max="8" width="13.77734375" customWidth="1"/>
    <col min="9" max="9" width="12.44140625" customWidth="1"/>
    <col min="10" max="10" width="9.88671875" customWidth="1"/>
    <col min="14" max="14" width="11.44140625" bestFit="1" customWidth="1"/>
    <col min="18" max="18" width="10.88671875" customWidth="1"/>
  </cols>
  <sheetData>
    <row r="2" spans="2:56" ht="25.8" x14ac:dyDescent="0.5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3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3">
      <c r="E5" s="152" t="s">
        <v>123</v>
      </c>
      <c r="F5" s="153"/>
    </row>
    <row r="6" spans="2:56" x14ac:dyDescent="0.3">
      <c r="B6" s="228" t="s">
        <v>10</v>
      </c>
      <c r="C6" s="229" t="s">
        <v>11</v>
      </c>
      <c r="E6" s="154" t="s">
        <v>122</v>
      </c>
      <c r="F6" s="148"/>
    </row>
    <row r="7" spans="2:56" x14ac:dyDescent="0.3">
      <c r="B7" s="225" t="s">
        <v>115</v>
      </c>
      <c r="C7" s="185" t="str">
        <f ca="1">C30</f>
        <v>OK</v>
      </c>
    </row>
    <row r="8" spans="2:56" x14ac:dyDescent="0.3">
      <c r="B8" s="225" t="s">
        <v>117</v>
      </c>
      <c r="C8" s="185" t="str">
        <f ca="1">C54</f>
        <v>OK</v>
      </c>
    </row>
    <row r="9" spans="2:56" x14ac:dyDescent="0.3">
      <c r="B9" s="225" t="s">
        <v>118</v>
      </c>
      <c r="C9" s="185" t="str">
        <f ca="1">C78</f>
        <v>OK</v>
      </c>
    </row>
    <row r="10" spans="2:56" x14ac:dyDescent="0.3">
      <c r="B10" s="225" t="s">
        <v>121</v>
      </c>
      <c r="C10" s="185" t="str">
        <f ca="1">C114</f>
        <v>OK</v>
      </c>
    </row>
    <row r="11" spans="2:56" x14ac:dyDescent="0.3">
      <c r="B11" s="225" t="s">
        <v>127</v>
      </c>
      <c r="C11" s="185" t="str">
        <f ca="1">C150</f>
        <v>OK</v>
      </c>
    </row>
    <row r="12" spans="2:56" x14ac:dyDescent="0.3">
      <c r="B12" s="225" t="s">
        <v>129</v>
      </c>
      <c r="C12" s="185" t="str">
        <f ca="1">C172</f>
        <v>OK</v>
      </c>
    </row>
    <row r="13" spans="2:56" x14ac:dyDescent="0.3">
      <c r="B13" s="225" t="s">
        <v>174</v>
      </c>
      <c r="C13" s="185" t="str">
        <f ca="1">C192</f>
        <v>OK</v>
      </c>
    </row>
    <row r="14" spans="2:56" x14ac:dyDescent="0.3">
      <c r="B14" s="225" t="s">
        <v>179</v>
      </c>
      <c r="C14" s="185" t="str">
        <f ca="1">C209</f>
        <v>OK</v>
      </c>
    </row>
    <row r="17" spans="2:72" s="64" customFormat="1" x14ac:dyDescent="0.3">
      <c r="B17" s="64" t="s">
        <v>93</v>
      </c>
    </row>
    <row r="18" spans="2:72" x14ac:dyDescent="0.3">
      <c r="B18" t="s">
        <v>94</v>
      </c>
    </row>
    <row r="20" spans="2:72" x14ac:dyDescent="0.3">
      <c r="B20" t="s">
        <v>107</v>
      </c>
    </row>
    <row r="22" spans="2:72" x14ac:dyDescent="0.3">
      <c r="B22" s="84" t="s">
        <v>108</v>
      </c>
    </row>
    <row r="23" spans="2:72" x14ac:dyDescent="0.3">
      <c r="B23" s="85" t="s">
        <v>125</v>
      </c>
    </row>
    <row r="24" spans="2:72" x14ac:dyDescent="0.3">
      <c r="B24" s="357" t="s">
        <v>133</v>
      </c>
    </row>
    <row r="25" spans="2:72" x14ac:dyDescent="0.3">
      <c r="B25" s="85" t="s">
        <v>173</v>
      </c>
    </row>
    <row r="26" spans="2:72" x14ac:dyDescent="0.3">
      <c r="B26" s="357" t="s">
        <v>184</v>
      </c>
    </row>
    <row r="28" spans="2:72" ht="18" x14ac:dyDescent="0.35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3">
      <c r="B30" s="59" t="s">
        <v>136</v>
      </c>
      <c r="C30" s="185" t="str" cm="1">
        <f t="array" aca="1" ref="C30" ca="1">_xll.d.TestUtils_And(BD45:BT49)</f>
        <v>OK</v>
      </c>
    </row>
    <row r="32" spans="2:72" x14ac:dyDescent="0.3">
      <c r="B32" s="59" t="s">
        <v>116</v>
      </c>
      <c r="C32" s="59" t="s">
        <v>33</v>
      </c>
    </row>
    <row r="33" spans="2:72" x14ac:dyDescent="0.3">
      <c r="B33" s="98" t="s">
        <v>111</v>
      </c>
      <c r="C33" s="167" t="s">
        <v>131</v>
      </c>
    </row>
    <row r="34" spans="2:72" x14ac:dyDescent="0.3">
      <c r="B34" s="92" t="s">
        <v>112</v>
      </c>
      <c r="C34" s="168" t="s">
        <v>0</v>
      </c>
    </row>
    <row r="35" spans="2:72" x14ac:dyDescent="0.3">
      <c r="B35" s="94"/>
      <c r="C35" s="169" t="s">
        <v>113</v>
      </c>
    </row>
    <row r="36" spans="2:72" x14ac:dyDescent="0.3">
      <c r="B36" s="96"/>
      <c r="C36" s="170" t="s">
        <v>114</v>
      </c>
    </row>
    <row r="37" spans="2:72" x14ac:dyDescent="0.3">
      <c r="B37" s="166" t="s">
        <v>130</v>
      </c>
      <c r="C37" s="172">
        <v>2</v>
      </c>
    </row>
    <row r="38" spans="2:72" x14ac:dyDescent="0.3">
      <c r="B38" s="166" t="s">
        <v>131</v>
      </c>
      <c r="C38" s="172">
        <v>0</v>
      </c>
    </row>
    <row r="39" spans="2:72" x14ac:dyDescent="0.3">
      <c r="B39" s="146" t="s">
        <v>119</v>
      </c>
      <c r="C39" s="147"/>
    </row>
    <row r="41" spans="2:72" x14ac:dyDescent="0.3">
      <c r="B41" t="s">
        <v>95</v>
      </c>
    </row>
    <row r="43" spans="2:72" x14ac:dyDescent="0.3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3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3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3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3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3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3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" x14ac:dyDescent="0.35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3">
      <c r="B54" s="59" t="s">
        <v>136</v>
      </c>
      <c r="C54" s="185" t="str" cm="1">
        <f t="array" aca="1" ref="C54" ca="1">_xll.d.TestUtils_And(BD69:BT73)</f>
        <v>OK</v>
      </c>
    </row>
    <row r="56" spans="2:72" x14ac:dyDescent="0.3">
      <c r="B56" s="59" t="s">
        <v>116</v>
      </c>
      <c r="C56" s="59" t="s">
        <v>33</v>
      </c>
    </row>
    <row r="57" spans="2:72" x14ac:dyDescent="0.3">
      <c r="B57" s="98" t="s">
        <v>111</v>
      </c>
      <c r="C57" s="99" t="s">
        <v>130</v>
      </c>
    </row>
    <row r="58" spans="2:72" x14ac:dyDescent="0.3">
      <c r="B58" s="92" t="s">
        <v>112</v>
      </c>
      <c r="C58" s="93" t="s">
        <v>0</v>
      </c>
    </row>
    <row r="59" spans="2:72" x14ac:dyDescent="0.3">
      <c r="B59" s="94"/>
      <c r="C59" s="95" t="s">
        <v>113</v>
      </c>
    </row>
    <row r="60" spans="2:72" x14ac:dyDescent="0.3">
      <c r="B60" s="96"/>
      <c r="C60" s="97" t="s">
        <v>114</v>
      </c>
    </row>
    <row r="61" spans="2:72" x14ac:dyDescent="0.3">
      <c r="B61" s="166" t="s">
        <v>130</v>
      </c>
      <c r="C61" s="172">
        <v>2</v>
      </c>
    </row>
    <row r="62" spans="2:72" x14ac:dyDescent="0.3">
      <c r="B62" s="166" t="s">
        <v>131</v>
      </c>
      <c r="C62" s="172">
        <v>0</v>
      </c>
    </row>
    <row r="63" spans="2:72" x14ac:dyDescent="0.3">
      <c r="B63" s="146" t="s">
        <v>119</v>
      </c>
      <c r="C63" s="147"/>
    </row>
    <row r="64" spans="2:72" x14ac:dyDescent="0.3">
      <c r="B64" s="64"/>
      <c r="C64" s="64"/>
    </row>
    <row r="65" spans="2:72" x14ac:dyDescent="0.3">
      <c r="B65" t="s">
        <v>120</v>
      </c>
      <c r="C65" s="64"/>
    </row>
    <row r="66" spans="2:72" x14ac:dyDescent="0.3">
      <c r="B66" s="64"/>
      <c r="C66" s="64"/>
    </row>
    <row r="67" spans="2:72" x14ac:dyDescent="0.3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3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3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3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3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3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3">
      <c r="B74" s="64"/>
      <c r="C74" s="64"/>
    </row>
    <row r="75" spans="2:72" x14ac:dyDescent="0.3">
      <c r="B75" s="64"/>
      <c r="C75" s="64"/>
    </row>
    <row r="76" spans="2:72" ht="18" x14ac:dyDescent="0.35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3">
      <c r="B78" s="59" t="s">
        <v>136</v>
      </c>
      <c r="C78" s="185" t="str" cm="1">
        <f t="array" aca="1" ref="C78" ca="1">_xll.d.TestUtils_And(T93:X109)</f>
        <v>OK</v>
      </c>
    </row>
    <row r="80" spans="2:72" x14ac:dyDescent="0.3">
      <c r="B80" s="59" t="s">
        <v>116</v>
      </c>
      <c r="C80" s="59" t="s">
        <v>33</v>
      </c>
    </row>
    <row r="81" spans="2:24" x14ac:dyDescent="0.3">
      <c r="B81" s="98" t="s">
        <v>111</v>
      </c>
      <c r="C81" s="99" t="s">
        <v>131</v>
      </c>
    </row>
    <row r="82" spans="2:24" x14ac:dyDescent="0.3">
      <c r="B82" s="92" t="s">
        <v>112</v>
      </c>
      <c r="C82" s="93" t="s">
        <v>0</v>
      </c>
    </row>
    <row r="83" spans="2:24" x14ac:dyDescent="0.3">
      <c r="B83" s="94"/>
      <c r="C83" s="95" t="s">
        <v>113</v>
      </c>
    </row>
    <row r="84" spans="2:24" x14ac:dyDescent="0.3">
      <c r="B84" s="96"/>
      <c r="C84" s="97" t="s">
        <v>114</v>
      </c>
    </row>
    <row r="85" spans="2:24" x14ac:dyDescent="0.3">
      <c r="B85" s="166" t="s">
        <v>130</v>
      </c>
      <c r="C85" s="172">
        <v>0</v>
      </c>
    </row>
    <row r="86" spans="2:24" x14ac:dyDescent="0.3">
      <c r="B86" s="166" t="s">
        <v>131</v>
      </c>
      <c r="C86" s="172">
        <v>2</v>
      </c>
    </row>
    <row r="87" spans="2:24" x14ac:dyDescent="0.3">
      <c r="B87" s="149" t="s">
        <v>119</v>
      </c>
      <c r="C87" s="148"/>
    </row>
    <row r="89" spans="2:24" x14ac:dyDescent="0.3">
      <c r="B89" t="s">
        <v>95</v>
      </c>
    </row>
    <row r="91" spans="2:24" x14ac:dyDescent="0.3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3">
      <c r="B93" s="450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450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3">
      <c r="B94" s="451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51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3">
      <c r="B95" s="451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51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3">
      <c r="B96" s="451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51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3">
      <c r="B97" s="451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51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3">
      <c r="B98" s="451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51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3">
      <c r="B99" s="451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51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3">
      <c r="B100" s="451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51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3">
      <c r="B101" s="451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51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3">
      <c r="B102" s="451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51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3">
      <c r="B103" s="451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51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3">
      <c r="B104" s="451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51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3">
      <c r="B105" s="451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51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3">
      <c r="B106" s="451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51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3">
      <c r="B107" s="451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51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3">
      <c r="B108" s="451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51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3">
      <c r="B109" s="452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52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" x14ac:dyDescent="0.35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3">
      <c r="B114" s="59" t="s">
        <v>136</v>
      </c>
      <c r="C114" s="185" t="str" cm="1">
        <f t="array" aca="1" ref="C114" ca="1">_xll.d.TestUtils_And(T129:X145)</f>
        <v>OK</v>
      </c>
    </row>
    <row r="116" spans="2:20" x14ac:dyDescent="0.3">
      <c r="B116" s="59" t="s">
        <v>116</v>
      </c>
      <c r="C116" s="59" t="s">
        <v>33</v>
      </c>
    </row>
    <row r="117" spans="2:20" x14ac:dyDescent="0.3">
      <c r="B117" s="98" t="s">
        <v>111</v>
      </c>
      <c r="C117" s="99" t="s">
        <v>130</v>
      </c>
    </row>
    <row r="118" spans="2:20" x14ac:dyDescent="0.3">
      <c r="B118" s="92" t="s">
        <v>112</v>
      </c>
      <c r="C118" s="93" t="s">
        <v>0</v>
      </c>
    </row>
    <row r="119" spans="2:20" x14ac:dyDescent="0.3">
      <c r="B119" s="94"/>
      <c r="C119" s="95" t="s">
        <v>113</v>
      </c>
    </row>
    <row r="120" spans="2:20" x14ac:dyDescent="0.3">
      <c r="B120" s="96"/>
      <c r="C120" s="97" t="s">
        <v>114</v>
      </c>
    </row>
    <row r="121" spans="2:20" x14ac:dyDescent="0.3">
      <c r="B121" s="166" t="s">
        <v>130</v>
      </c>
      <c r="C121" s="172">
        <v>0</v>
      </c>
    </row>
    <row r="122" spans="2:20" x14ac:dyDescent="0.3">
      <c r="B122" s="166" t="s">
        <v>131</v>
      </c>
      <c r="C122" s="172">
        <v>2</v>
      </c>
    </row>
    <row r="123" spans="2:20" x14ac:dyDescent="0.3">
      <c r="B123" s="149" t="s">
        <v>119</v>
      </c>
      <c r="C123" s="150"/>
    </row>
    <row r="125" spans="2:20" x14ac:dyDescent="0.3">
      <c r="B125" t="s">
        <v>120</v>
      </c>
    </row>
    <row r="127" spans="2:20" x14ac:dyDescent="0.3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3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53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3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54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3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54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3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54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3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54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3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54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3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54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3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54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3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54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3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54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3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54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3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54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3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54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3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54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3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54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3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54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3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54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" x14ac:dyDescent="0.35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3">
      <c r="B150" s="59" t="s">
        <v>136</v>
      </c>
      <c r="C150" s="185" t="str" cm="1">
        <f t="array" aca="1" ref="C150" ca="1">_xll.d.TestUtils_And(K163:L166)</f>
        <v>OK</v>
      </c>
    </row>
    <row r="152" spans="2:55" x14ac:dyDescent="0.3">
      <c r="B152" s="59" t="s">
        <v>116</v>
      </c>
      <c r="C152" s="59" t="s">
        <v>33</v>
      </c>
    </row>
    <row r="153" spans="2:55" x14ac:dyDescent="0.3">
      <c r="B153" s="98" t="s">
        <v>111</v>
      </c>
      <c r="C153" s="99" t="s">
        <v>131</v>
      </c>
    </row>
    <row r="154" spans="2:55" x14ac:dyDescent="0.3">
      <c r="B154" s="92" t="s">
        <v>112</v>
      </c>
      <c r="C154" s="93" t="s">
        <v>128</v>
      </c>
    </row>
    <row r="155" spans="2:55" x14ac:dyDescent="0.3">
      <c r="B155" s="98" t="s">
        <v>130</v>
      </c>
      <c r="C155" s="171">
        <v>2</v>
      </c>
    </row>
    <row r="156" spans="2:55" x14ac:dyDescent="0.3">
      <c r="B156" s="166" t="s">
        <v>131</v>
      </c>
      <c r="C156" s="172">
        <v>0</v>
      </c>
    </row>
    <row r="157" spans="2:55" x14ac:dyDescent="0.3">
      <c r="B157" s="149" t="s">
        <v>119</v>
      </c>
      <c r="C157" s="150"/>
    </row>
    <row r="159" spans="2:55" x14ac:dyDescent="0.3">
      <c r="B159" t="s">
        <v>171</v>
      </c>
    </row>
    <row r="161" spans="2:55" x14ac:dyDescent="0.3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3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3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3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3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3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" x14ac:dyDescent="0.35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3">
      <c r="B172" s="59" t="s">
        <v>136</v>
      </c>
      <c r="C172" s="185" t="str" cm="1">
        <f t="array" aca="1" ref="C172" ca="1">_xll.d.TestUtils_And(K183:L187)</f>
        <v>OK</v>
      </c>
    </row>
    <row r="174" spans="2:55" x14ac:dyDescent="0.3">
      <c r="B174" s="59" t="s">
        <v>116</v>
      </c>
      <c r="C174" s="59" t="s">
        <v>33</v>
      </c>
    </row>
    <row r="175" spans="2:55" x14ac:dyDescent="0.3">
      <c r="B175" s="98" t="s">
        <v>111</v>
      </c>
      <c r="C175" s="99" t="s">
        <v>131</v>
      </c>
    </row>
    <row r="176" spans="2:55" x14ac:dyDescent="0.3">
      <c r="B176" s="92" t="s">
        <v>112</v>
      </c>
      <c r="C176" s="93" t="s">
        <v>128</v>
      </c>
    </row>
    <row r="177" spans="2:55" x14ac:dyDescent="0.3">
      <c r="B177" s="149" t="s">
        <v>119</v>
      </c>
      <c r="C177" s="150"/>
    </row>
    <row r="179" spans="2:55" x14ac:dyDescent="0.3">
      <c r="B179" t="s">
        <v>132</v>
      </c>
    </row>
    <row r="181" spans="2:55" x14ac:dyDescent="0.3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3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3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3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3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3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" x14ac:dyDescent="0.35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3">
      <c r="B192" s="59" t="s">
        <v>136</v>
      </c>
      <c r="C192" s="185" t="str" cm="1">
        <f t="array" aca="1" ref="C192" ca="1">_xll.d.TestUtils_And(T203:X204)</f>
        <v>OK</v>
      </c>
    </row>
    <row r="194" spans="2:55" x14ac:dyDescent="0.3">
      <c r="B194" s="59" t="s">
        <v>116</v>
      </c>
      <c r="C194" s="59" t="s">
        <v>33</v>
      </c>
    </row>
    <row r="195" spans="2:55" x14ac:dyDescent="0.3">
      <c r="B195" s="98" t="s">
        <v>111</v>
      </c>
      <c r="C195" s="99" t="s">
        <v>130</v>
      </c>
    </row>
    <row r="196" spans="2:55" x14ac:dyDescent="0.3">
      <c r="B196" s="92" t="s">
        <v>112</v>
      </c>
      <c r="C196" s="93" t="s">
        <v>128</v>
      </c>
    </row>
    <row r="197" spans="2:55" x14ac:dyDescent="0.3">
      <c r="B197" s="149" t="s">
        <v>119</v>
      </c>
      <c r="C197" s="150"/>
    </row>
    <row r="199" spans="2:55" x14ac:dyDescent="0.3">
      <c r="B199" t="s">
        <v>132</v>
      </c>
    </row>
    <row r="201" spans="2:55" x14ac:dyDescent="0.3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3">
      <c r="B202" s="155"/>
      <c r="C202" s="155"/>
      <c r="L202" s="156"/>
      <c r="M202" s="156"/>
    </row>
    <row r="203" spans="2:55" ht="15" customHeight="1" x14ac:dyDescent="0.3">
      <c r="B203" s="450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450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3">
      <c r="B204" s="452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52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" x14ac:dyDescent="0.35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3">
      <c r="B209" s="59" t="s">
        <v>136</v>
      </c>
      <c r="C209" s="185" t="str" cm="1">
        <f t="array" aca="1" ref="C209" ca="1">_xll.d.TestUtils_And(T223:X229)</f>
        <v>OK</v>
      </c>
    </row>
    <row r="211" spans="2:24" x14ac:dyDescent="0.3">
      <c r="B211" s="59" t="s">
        <v>116</v>
      </c>
      <c r="C211" s="59" t="s">
        <v>33</v>
      </c>
    </row>
    <row r="212" spans="2:24" x14ac:dyDescent="0.3">
      <c r="B212" s="92" t="s">
        <v>111</v>
      </c>
      <c r="C212" s="93" t="s">
        <v>261</v>
      </c>
    </row>
    <row r="213" spans="2:24" x14ac:dyDescent="0.3">
      <c r="B213" s="94"/>
      <c r="C213" s="95" t="s">
        <v>130</v>
      </c>
    </row>
    <row r="214" spans="2:24" x14ac:dyDescent="0.3">
      <c r="B214" s="98" t="s">
        <v>112</v>
      </c>
      <c r="C214" s="99" t="s">
        <v>113</v>
      </c>
    </row>
    <row r="215" spans="2:24" x14ac:dyDescent="0.3">
      <c r="B215" s="166" t="s">
        <v>130</v>
      </c>
      <c r="C215" s="172">
        <v>2</v>
      </c>
    </row>
    <row r="216" spans="2:24" x14ac:dyDescent="0.3">
      <c r="B216" s="166" t="s">
        <v>131</v>
      </c>
      <c r="C216" s="172">
        <v>2</v>
      </c>
    </row>
    <row r="217" spans="2:24" x14ac:dyDescent="0.3">
      <c r="B217" s="149" t="s">
        <v>119</v>
      </c>
      <c r="C217" s="150"/>
    </row>
    <row r="219" spans="2:24" x14ac:dyDescent="0.3">
      <c r="B219" t="s">
        <v>262</v>
      </c>
    </row>
    <row r="221" spans="2:24" x14ac:dyDescent="0.3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3">
      <c r="B222" s="155"/>
      <c r="C222" s="155"/>
      <c r="L222" s="156"/>
      <c r="M222" s="156"/>
    </row>
    <row r="223" spans="2:24" x14ac:dyDescent="0.3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3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3">
      <c r="B225" s="450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450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3">
      <c r="B226" s="451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51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3">
      <c r="B227" s="451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51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3">
      <c r="B228" s="451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51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3">
      <c r="B229" s="452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52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3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30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45:BT49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54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9:BT73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8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93:X109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14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9:X145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50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63:L167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83:L187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72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92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203:X204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9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23:X229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Summary</vt:lpstr>
      <vt:lpstr>Utilities</vt:lpstr>
      <vt:lpstr>Dates</vt:lpstr>
      <vt:lpstr>Mathematics</vt:lpstr>
      <vt:lpstr>Stats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Mathematics!Curves.Title</vt:lpstr>
      <vt:lpstr>Stats!Curves.Title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Rizzo, Massimo</cp:lastModifiedBy>
  <dcterms:created xsi:type="dcterms:W3CDTF">2022-05-06T13:34:18Z</dcterms:created>
  <dcterms:modified xsi:type="dcterms:W3CDTF">2022-11-25T07:04:32Z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