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851EB9C-8DF2-4B12-9EDB-D5BB1714A0AB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3" l="1" a="1"/>
  <c r="C4" i="13"/>
  <c r="D14" i="13"/>
  <c r="C121" i="13" a="1"/>
  <c r="C121" i="13"/>
  <c r="M127" i="13" a="1"/>
  <c r="M127" i="13"/>
  <c r="N127" i="13" a="1"/>
  <c r="N127" i="13"/>
  <c r="O127" i="13" a="1"/>
  <c r="O127" i="13"/>
  <c r="M128" i="13" a="1"/>
  <c r="M128" i="13"/>
  <c r="N128" i="13" a="1"/>
  <c r="N128" i="13"/>
  <c r="O128" i="13" a="1"/>
  <c r="O128" i="13"/>
  <c r="M129" i="13" a="1"/>
  <c r="M129" i="13"/>
  <c r="N129" i="13" a="1"/>
  <c r="N129" i="13"/>
  <c r="O129" i="13" a="1"/>
  <c r="O129" i="13"/>
  <c r="M130" i="13" a="1"/>
  <c r="M130" i="13"/>
  <c r="N130" i="13" a="1"/>
  <c r="N130" i="13"/>
  <c r="O130" i="13" a="1"/>
  <c r="O130" i="13"/>
  <c r="N126" i="13" a="1"/>
  <c r="N126" i="13"/>
  <c r="O126" i="13" a="1"/>
  <c r="O126" i="13"/>
  <c r="B126" i="13" a="1"/>
  <c r="B126" i="13"/>
  <c r="L130" i="13"/>
  <c r="L130" i="13" a="1"/>
  <c r="L129" i="13"/>
  <c r="L129" i="13" a="1"/>
  <c r="L128" i="13"/>
  <c r="L128" i="13" a="1"/>
  <c r="L127" i="13"/>
  <c r="L127" i="13" a="1"/>
  <c r="M126" i="13"/>
  <c r="M126" i="13" a="1"/>
  <c r="L126" i="13"/>
  <c r="L126" i="13" a="1"/>
  <c r="D13" i="13"/>
  <c r="C106" i="13" a="1"/>
  <c r="C106" i="13"/>
  <c r="I111" i="13" a="1"/>
  <c r="I111" i="13"/>
  <c r="I112" i="13" a="1"/>
  <c r="I112" i="13"/>
  <c r="I113" i="13" a="1"/>
  <c r="I113" i="13"/>
  <c r="I114" i="13" a="1"/>
  <c r="I114" i="13"/>
  <c r="I115" i="13" a="1"/>
  <c r="I115" i="13"/>
  <c r="H112" i="13" a="1"/>
  <c r="H112" i="13"/>
  <c r="H113" i="13" a="1"/>
  <c r="H113" i="13"/>
  <c r="H114" i="13" a="1"/>
  <c r="H114" i="13"/>
  <c r="H115" i="13" a="1"/>
  <c r="H115" i="13"/>
  <c r="H111" i="13" a="1"/>
  <c r="H111" i="13"/>
  <c r="B111" i="13" a="1"/>
  <c r="B111" i="13"/>
  <c r="C9" i="8"/>
  <c r="D12" i="13"/>
  <c r="C78" i="13" a="1"/>
  <c r="C78" i="13"/>
  <c r="S83" i="13" a="1"/>
  <c r="S83" i="13"/>
  <c r="U83" i="13"/>
  <c r="U83" i="13" a="1"/>
  <c r="C64" i="13" a="1"/>
  <c r="C64" i="13"/>
  <c r="Z69" i="13" a="1"/>
  <c r="Z69" i="13"/>
  <c r="AB69" i="13"/>
  <c r="AB69" i="13" a="1"/>
  <c r="S69" i="13" a="1"/>
  <c r="S69" i="13"/>
  <c r="U69" i="13"/>
  <c r="U69" i="13" a="1"/>
  <c r="N69" i="13" a="1"/>
  <c r="N69" i="13"/>
  <c r="L69" i="13" a="1"/>
  <c r="L69" i="13"/>
  <c r="D11" i="13"/>
  <c r="E35" i="9" a="1"/>
  <c r="E35" i="9"/>
  <c r="R33" i="3"/>
  <c r="R34" i="3"/>
  <c r="R35" i="3"/>
  <c r="R36" i="3"/>
  <c r="R37" i="3"/>
  <c r="R38" i="3"/>
  <c r="R39" i="3"/>
  <c r="D24" i="3" a="1"/>
  <c r="T107" i="5" a="1"/>
  <c r="T101" i="5" a="1"/>
  <c r="T95" i="5" a="1"/>
  <c r="T94" i="5" a="1"/>
  <c r="T105" i="5" a="1"/>
  <c r="T102" i="5" a="1"/>
  <c r="T106" i="5" a="1"/>
  <c r="T100" i="5" a="1"/>
  <c r="T99" i="5" a="1"/>
  <c r="T108" i="5" a="1"/>
  <c r="T104" i="5" a="1"/>
  <c r="T98" i="5" a="1"/>
  <c r="T109" i="5" a="1"/>
  <c r="T103" i="5" a="1"/>
  <c r="T97" i="5" a="1"/>
  <c r="T96" i="5" a="1"/>
  <c r="U229" i="5" a="1"/>
  <c r="V225" i="5" a="1"/>
  <c r="U225" i="5" a="1"/>
  <c r="V224" i="5" a="1"/>
  <c r="T225" i="5" a="1"/>
  <c r="V229" i="5" a="1"/>
  <c r="X224" i="5" a="1"/>
  <c r="X227" i="5" a="1"/>
  <c r="X223" i="5" a="1"/>
  <c r="V226" i="5" a="1"/>
  <c r="W226" i="5" a="1"/>
  <c r="X225" i="5" a="1"/>
  <c r="T227" i="5" a="1"/>
  <c r="V227" i="5" a="1"/>
  <c r="T226" i="5" a="1"/>
  <c r="U228" i="5" a="1"/>
  <c r="W229" i="5" a="1"/>
  <c r="T228" i="5" a="1"/>
  <c r="W224" i="5" a="1"/>
  <c r="X228" i="5" a="1"/>
  <c r="W227" i="5" a="1"/>
  <c r="U227" i="5" a="1"/>
  <c r="T229" i="5" a="1"/>
  <c r="U226" i="5" a="1"/>
  <c r="W223" i="5" a="1"/>
  <c r="V228" i="5" a="1"/>
  <c r="W228" i="5" a="1"/>
  <c r="X229" i="5" a="1"/>
  <c r="V223" i="5" a="1"/>
  <c r="X226" i="5" a="1"/>
  <c r="T223" i="5" a="1"/>
  <c r="T93" i="5" a="1"/>
  <c r="W225" i="5" a="1"/>
  <c r="U223" i="5" a="1"/>
  <c r="U224" i="5" a="1"/>
  <c r="T224" i="5" a="1"/>
  <c r="S24" i="13" a="1"/>
  <c r="E24" i="13" a="1"/>
  <c r="E83" i="13" a="1"/>
  <c r="G86" i="13" s="1" a="1"/>
  <c r="G87" i="13" a="1"/>
  <c r="G85" i="13" a="1"/>
  <c r="G91" i="13" a="1"/>
  <c r="Z24" i="13" a="1"/>
  <c r="L24" i="13" a="1"/>
  <c r="Z54" i="13" a="1"/>
  <c r="L39" i="13" a="1"/>
  <c r="Z39" i="13" a="1"/>
  <c r="L83" i="13" a="1"/>
  <c r="G88" i="13" a="1"/>
  <c r="G89" i="13" a="1"/>
  <c r="L54" i="13" a="1"/>
  <c r="G84" i="13" a="1"/>
  <c r="G90" i="13" a="1"/>
  <c r="S39" i="13" a="1"/>
  <c r="S54" i="13" a="1"/>
  <c r="E69" i="13" a="1"/>
  <c r="E39" i="13" a="1"/>
  <c r="E54" i="13" a="1"/>
  <c r="E69" i="13" l="1"/>
  <c r="S39" i="13"/>
  <c r="E54" i="13"/>
  <c r="E39" i="13"/>
  <c r="L54" i="13"/>
  <c r="S54" i="13"/>
  <c r="L83" i="13"/>
  <c r="Z39" i="13"/>
  <c r="L39" i="13"/>
  <c r="Z54" i="13"/>
  <c r="G86" i="13"/>
  <c r="G91" i="13"/>
  <c r="G85" i="13"/>
  <c r="G90" i="13"/>
  <c r="G84" i="13"/>
  <c r="G89" i="13"/>
  <c r="G88" i="13"/>
  <c r="G87" i="13"/>
  <c r="E83" i="13"/>
  <c r="Z24" i="13"/>
  <c r="S24" i="13"/>
  <c r="E24" i="13"/>
  <c r="L24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C209" i="5" a="1"/>
  <c r="G69" i="13" a="1"/>
  <c r="U39" i="13" a="1"/>
  <c r="N87" i="13" a="1"/>
  <c r="N97" i="13" a="1"/>
  <c r="N98" i="13" a="1"/>
  <c r="N89" i="13" a="1"/>
  <c r="N39" i="13" a="1"/>
  <c r="U24" i="13" a="1"/>
  <c r="N94" i="13" a="1"/>
  <c r="AB54" i="13" a="1"/>
  <c r="N54" i="13" a="1"/>
  <c r="N86" i="13" a="1"/>
  <c r="G54" i="13" a="1"/>
  <c r="G24" i="13" a="1"/>
  <c r="N88" i="13" a="1"/>
  <c r="N83" i="13" a="1"/>
  <c r="N24" i="13" a="1"/>
  <c r="N99" i="13" a="1"/>
  <c r="AB39" i="13" a="1"/>
  <c r="AB24" i="13" a="1"/>
  <c r="N93" i="13" a="1"/>
  <c r="N90" i="13" a="1"/>
  <c r="N95" i="13" a="1"/>
  <c r="N91" i="13" a="1"/>
  <c r="N84" i="13" a="1"/>
  <c r="N100" i="13" a="1"/>
  <c r="G39" i="13" a="1"/>
  <c r="N85" i="13" a="1"/>
  <c r="N96" i="13" a="1"/>
  <c r="U54" i="13" a="1"/>
  <c r="N92" i="13" a="1"/>
  <c r="G83" i="13" a="1"/>
  <c r="G69" i="13" l="1"/>
  <c r="G54" i="13"/>
  <c r="N39" i="13"/>
  <c r="N54" i="13"/>
  <c r="U39" i="13"/>
  <c r="AB54" i="13"/>
  <c r="AB39" i="13"/>
  <c r="U54" i="13"/>
  <c r="G39" i="13"/>
  <c r="N94" i="13"/>
  <c r="N89" i="13"/>
  <c r="N97" i="13"/>
  <c r="G83" i="13"/>
  <c r="N91" i="13"/>
  <c r="N95" i="13"/>
  <c r="N96" i="13"/>
  <c r="N99" i="13"/>
  <c r="N93" i="13"/>
  <c r="N83" i="13"/>
  <c r="N98" i="13"/>
  <c r="N87" i="13"/>
  <c r="N92" i="13"/>
  <c r="N86" i="13"/>
  <c r="N100" i="13"/>
  <c r="N85" i="13"/>
  <c r="N90" i="13"/>
  <c r="N84" i="13"/>
  <c r="AB24" i="13"/>
  <c r="N88" i="13"/>
  <c r="N24" i="13"/>
  <c r="G24" i="13"/>
  <c r="U24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49" i="13" a="1"/>
  <c r="C34" i="13" a="1"/>
  <c r="C19" i="13" a="1"/>
  <c r="C49" i="13" l="1"/>
  <c r="D10" i="13" s="1"/>
  <c r="C34" i="13"/>
  <c r="D9" i="13" s="1"/>
  <c r="C19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U32" i="3" l="1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V137" i="5" a="1"/>
  <c r="BS46" i="5" a="1"/>
  <c r="BI72" i="5" a="1"/>
  <c r="BH72" i="5" a="1"/>
  <c r="BQ73" i="5" a="1"/>
  <c r="BN45" i="5" a="1"/>
  <c r="BH73" i="5" a="1"/>
  <c r="BT69" i="5" a="1"/>
  <c r="U100" i="5" a="1"/>
  <c r="T129" i="5" a="1"/>
  <c r="U129" i="5" a="1"/>
  <c r="BO69" i="5" a="1"/>
  <c r="W105" i="5" a="1"/>
  <c r="BS47" i="5" a="1"/>
  <c r="BH47" i="5" a="1"/>
  <c r="BG72" i="5" a="1"/>
  <c r="W137" i="5" a="1"/>
  <c r="BK72" i="5" a="1"/>
  <c r="BD72" i="5" a="1"/>
  <c r="X102" i="5" a="1"/>
  <c r="BR69" i="5" a="1"/>
  <c r="BP73" i="5" a="1"/>
  <c r="BR72" i="5" a="1"/>
  <c r="BD69" i="5" a="1"/>
  <c r="X93" i="5" a="1"/>
  <c r="W94" i="5" a="1"/>
  <c r="BT47" i="5" a="1"/>
  <c r="V131" i="5" a="1"/>
  <c r="T142" i="5" a="1"/>
  <c r="U134" i="5" a="1"/>
  <c r="BT73" i="5" a="1"/>
  <c r="BF47" i="5" a="1"/>
  <c r="BQ49" i="5" a="1"/>
  <c r="BD71" i="5" a="1"/>
  <c r="U99" i="5" a="1"/>
  <c r="L185" i="5" a="1"/>
  <c r="U98" i="5" a="1"/>
  <c r="BP47" i="5" a="1"/>
  <c r="L164" i="5" a="1"/>
  <c r="BR49" i="5" a="1"/>
  <c r="W142" i="5" a="1"/>
  <c r="BL69" i="5" a="1"/>
  <c r="U137" i="5" a="1"/>
  <c r="W93" i="5" a="1"/>
  <c r="T144" i="5" a="1"/>
  <c r="BQ72" i="5" a="1"/>
  <c r="BL48" i="5" a="1"/>
  <c r="X144" i="5" a="1"/>
  <c r="W133" i="5" a="1"/>
  <c r="V144" i="5" a="1"/>
  <c r="BT70" i="5" a="1"/>
  <c r="W131" i="5" a="1"/>
  <c r="L165" i="5" a="1"/>
  <c r="BT71" i="5" a="1"/>
  <c r="BQ69" i="5" a="1"/>
  <c r="BS70" i="5" a="1"/>
  <c r="V109" i="5" a="1"/>
  <c r="BN73" i="5" a="1"/>
  <c r="BJ47" i="5" a="1"/>
  <c r="V96" i="5" a="1"/>
  <c r="X129" i="5" a="1"/>
  <c r="V107" i="5" a="1"/>
  <c r="BD46" i="5" a="1"/>
  <c r="U107" i="5" a="1"/>
  <c r="T132" i="5" a="1"/>
  <c r="BQ47" i="5" a="1"/>
  <c r="V94" i="5" a="1"/>
  <c r="BK71" i="5" a="1"/>
  <c r="BE69" i="5" a="1"/>
  <c r="V99" i="5" a="1"/>
  <c r="U204" i="5" a="1"/>
  <c r="BK49" i="5" a="1"/>
  <c r="U93" i="5" a="1"/>
  <c r="BM45" i="5" a="1"/>
  <c r="V140" i="5" a="1"/>
  <c r="BO46" i="5" a="1"/>
  <c r="W99" i="5" a="1"/>
  <c r="U101" i="5" a="1"/>
  <c r="U105" i="5" a="1"/>
  <c r="K167" i="5" a="1"/>
  <c r="V108" i="5" a="1"/>
  <c r="T141" i="5" a="1"/>
  <c r="T145" i="5" a="1"/>
  <c r="U97" i="5" a="1"/>
  <c r="BH46" i="5" a="1"/>
  <c r="BD47" i="5" a="1"/>
  <c r="BF69" i="5" a="1"/>
  <c r="U94" i="5" a="1"/>
  <c r="U108" i="5" a="1"/>
  <c r="X98" i="5" a="1"/>
  <c r="BO71" i="5" a="1"/>
  <c r="BI73" i="5" a="1"/>
  <c r="BL72" i="5" a="1"/>
  <c r="U135" i="5" a="1"/>
  <c r="W135" i="5" a="1"/>
  <c r="BG73" i="5" a="1"/>
  <c r="BO45" i="5" a="1"/>
  <c r="W103" i="5" a="1"/>
  <c r="U145" i="5" a="1"/>
  <c r="BD73" i="5" a="1"/>
  <c r="BL70" i="5" a="1"/>
  <c r="BD70" i="5" a="1"/>
  <c r="BP72" i="5" a="1"/>
  <c r="BJ69" i="5" a="1"/>
  <c r="BS71" i="5" a="1"/>
  <c r="BG45" i="5" a="1"/>
  <c r="V203" i="5" a="1"/>
  <c r="W100" i="5" a="1"/>
  <c r="BM47" i="5" a="1"/>
  <c r="T136" i="5" a="1"/>
  <c r="U138" i="5" a="1"/>
  <c r="W144" i="5" a="1"/>
  <c r="K184" i="5" a="1"/>
  <c r="BK69" i="5" a="1"/>
  <c r="BK47" i="5" a="1"/>
  <c r="T131" i="5" a="1"/>
  <c r="BE46" i="5" a="1"/>
  <c r="BJ70" i="5" a="1"/>
  <c r="X136" i="5" a="1"/>
  <c r="W106" i="5" a="1"/>
  <c r="BR48" i="5" a="1"/>
  <c r="X99" i="5" a="1"/>
  <c r="U132" i="5" a="1"/>
  <c r="W108" i="5" a="1"/>
  <c r="U95" i="5" a="1"/>
  <c r="V134" i="5" a="1"/>
  <c r="V139" i="5" a="1"/>
  <c r="BI70" i="5" a="1"/>
  <c r="K163" i="5" a="1"/>
  <c r="BL47" i="5" a="1"/>
  <c r="BE73" i="5" a="1"/>
  <c r="BD48" i="5" a="1"/>
  <c r="BG70" i="5" a="1"/>
  <c r="T138" i="5" a="1"/>
  <c r="U140" i="5" a="1"/>
  <c r="V103" i="5" a="1"/>
  <c r="BI46" i="5" a="1"/>
  <c r="BP49" i="5" a="1"/>
  <c r="BG48" i="5" a="1"/>
  <c r="X132" i="5" a="1"/>
  <c r="X142" i="5" a="1"/>
  <c r="BP69" i="5" a="1"/>
  <c r="BO48" i="5" a="1"/>
  <c r="U136" i="5" a="1"/>
  <c r="BR70" i="5" a="1"/>
  <c r="L186" i="5" a="1"/>
  <c r="V98" i="5" a="1"/>
  <c r="V132" i="5" a="1"/>
  <c r="BQ48" i="5" a="1"/>
  <c r="BJ72" i="5" a="1"/>
  <c r="BQ71" i="5" a="1"/>
  <c r="L187" i="5" a="1"/>
  <c r="BH48" i="5" a="1"/>
  <c r="BH70" i="5" a="1"/>
  <c r="U106" i="5" a="1"/>
  <c r="V101" i="5" a="1"/>
  <c r="BF72" i="5" a="1"/>
  <c r="X103" i="5" a="1"/>
  <c r="W129" i="5" a="1"/>
  <c r="K164" i="5" a="1"/>
  <c r="W109" i="5" a="1"/>
  <c r="X105" i="5" a="1"/>
  <c r="X204" i="5" a="1"/>
  <c r="BF46" i="5" a="1"/>
  <c r="X137" i="5" a="1"/>
  <c r="BH71" i="5" a="1"/>
  <c r="X139" i="5" a="1"/>
  <c r="BN46" i="5" a="1"/>
  <c r="BK46" i="5" a="1"/>
  <c r="BG49" i="5" a="1"/>
  <c r="T203" i="5" a="1"/>
  <c r="BJ45" i="5" a="1"/>
  <c r="W204" i="5" a="1"/>
  <c r="BS69" i="5" a="1"/>
  <c r="BD49" i="5" a="1"/>
  <c r="BE49" i="5" a="1"/>
  <c r="BP48" i="5" a="1"/>
  <c r="W132" i="5" a="1"/>
  <c r="W145" i="5" a="1"/>
  <c r="W134" i="5" a="1"/>
  <c r="W97" i="5" a="1"/>
  <c r="BM73" i="5" a="1"/>
  <c r="V136" i="5" a="1"/>
  <c r="K187" i="5" a="1"/>
  <c r="BP70" i="5" a="1"/>
  <c r="U133" i="5" a="1"/>
  <c r="T140" i="5" a="1"/>
  <c r="BQ46" i="5" a="1"/>
  <c r="BQ45" i="5" a="1"/>
  <c r="BG46" i="5" a="1"/>
  <c r="X145" i="5" a="1"/>
  <c r="BN70" i="5" a="1"/>
  <c r="BI45" i="5" a="1"/>
  <c r="X95" i="5" a="1"/>
  <c r="X107" i="5" a="1"/>
  <c r="X106" i="5" a="1"/>
  <c r="T143" i="5" a="1"/>
  <c r="BH49" i="5" a="1"/>
  <c r="U144" i="5" a="1"/>
  <c r="BK70" i="5" a="1"/>
  <c r="W96" i="5" a="1"/>
  <c r="L166" i="5" a="1"/>
  <c r="BN71" i="5" a="1"/>
  <c r="BO49" i="5" a="1"/>
  <c r="W95" i="5" a="1"/>
  <c r="V100" i="5" a="1"/>
  <c r="BG69" i="5" a="1"/>
  <c r="K183" i="5" a="1"/>
  <c r="BH69" i="5" a="1"/>
  <c r="U143" i="5" a="1"/>
  <c r="BM71" i="5" a="1"/>
  <c r="V104" i="5" a="1"/>
  <c r="V102" i="5" a="1"/>
  <c r="U109" i="5" a="1"/>
  <c r="BT48" i="5" a="1"/>
  <c r="X138" i="5" a="1"/>
  <c r="U103" i="5" a="1"/>
  <c r="U102" i="5" a="1"/>
  <c r="X94" i="5" a="1"/>
  <c r="BD45" i="5" a="1"/>
  <c r="BE70" i="5" a="1"/>
  <c r="W140" i="5" a="1"/>
  <c r="BJ71" i="5" a="1"/>
  <c r="BI48" i="5" a="1"/>
  <c r="BK48" i="5" a="1"/>
  <c r="X109" i="5" a="1"/>
  <c r="BO72" i="5" a="1"/>
  <c r="BN49" i="5" a="1"/>
  <c r="BT72" i="5" a="1"/>
  <c r="BK45" i="5" a="1"/>
  <c r="T134" i="5" a="1"/>
  <c r="BO70" i="5" a="1"/>
  <c r="W130" i="5" a="1"/>
  <c r="BJ49" i="5" a="1"/>
  <c r="L167" i="5" a="1"/>
  <c r="U203" i="5" a="1"/>
  <c r="BS72" i="5" a="1"/>
  <c r="BM46" i="5" a="1"/>
  <c r="BN72" i="5" a="1"/>
  <c r="BR73" i="5" a="1"/>
  <c r="W98" i="5" a="1"/>
  <c r="BR45" i="5" a="1"/>
  <c r="T137" i="5" a="1"/>
  <c r="X133" i="5" a="1"/>
  <c r="BP45" i="5" a="1"/>
  <c r="BI69" i="5" a="1"/>
  <c r="BL49" i="5" a="1"/>
  <c r="X131" i="5" a="1"/>
  <c r="BM70" i="5" a="1"/>
  <c r="BM69" i="5" a="1"/>
  <c r="BF71" i="5" a="1"/>
  <c r="V138" i="5" a="1"/>
  <c r="W104" i="5" a="1"/>
  <c r="T204" i="5" a="1"/>
  <c r="BF48" i="5" a="1"/>
  <c r="X100" i="5" a="1"/>
  <c r="W143" i="5" a="1"/>
  <c r="BF45" i="5" a="1"/>
  <c r="X135" i="5" a="1"/>
  <c r="V141" i="5" a="1"/>
  <c r="U131" i="5" a="1"/>
  <c r="BN69" i="5" a="1"/>
  <c r="BF70" i="5" a="1"/>
  <c r="BE72" i="5" a="1"/>
  <c r="BS49" i="5" a="1"/>
  <c r="BE45" i="5" a="1"/>
  <c r="BP71" i="5" a="1"/>
  <c r="W139" i="5" a="1"/>
  <c r="BS45" i="5" a="1"/>
  <c r="BF49" i="5" a="1"/>
  <c r="BP46" i="5" a="1"/>
  <c r="X141" i="5" a="1"/>
  <c r="W203" i="5" a="1"/>
  <c r="V130" i="5" a="1"/>
  <c r="V93" i="5" a="1"/>
  <c r="BI71" i="5" a="1"/>
  <c r="BT49" i="5" a="1"/>
  <c r="BM48" i="5" a="1"/>
  <c r="V143" i="5" a="1"/>
  <c r="T133" i="5" a="1"/>
  <c r="V135" i="5" a="1"/>
  <c r="K186" i="5" a="1"/>
  <c r="BG47" i="5" a="1"/>
  <c r="BE48" i="5" a="1"/>
  <c r="U139" i="5" a="1"/>
  <c r="BG71" i="5" a="1"/>
  <c r="V95" i="5" a="1"/>
  <c r="L183" i="5" a="1"/>
  <c r="U142" i="5" a="1"/>
  <c r="BF73" i="5" a="1"/>
  <c r="U104" i="5" a="1"/>
  <c r="X97" i="5" a="1"/>
  <c r="X140" i="5" a="1"/>
  <c r="L163" i="5" a="1"/>
  <c r="BQ70" i="5" a="1"/>
  <c r="V129" i="5" a="1"/>
  <c r="V145" i="5" a="1"/>
  <c r="X203" i="5" a="1"/>
  <c r="U130" i="5" a="1"/>
  <c r="BL45" i="5" a="1"/>
  <c r="U141" i="5" a="1"/>
  <c r="BH45" i="5" a="1"/>
  <c r="V97" i="5" a="1"/>
  <c r="BE47" i="5" a="1"/>
  <c r="BI49" i="5" a="1"/>
  <c r="X101" i="5" a="1"/>
  <c r="BJ48" i="5" a="1"/>
  <c r="K166" i="5" a="1"/>
  <c r="BL46" i="5" a="1"/>
  <c r="W102" i="5" a="1"/>
  <c r="BR46" i="5" a="1"/>
  <c r="BT46" i="5" a="1"/>
  <c r="BJ46" i="5" a="1"/>
  <c r="V142" i="5" a="1"/>
  <c r="BK73" i="5" a="1"/>
  <c r="W107" i="5" a="1"/>
  <c r="BM49" i="5" a="1"/>
  <c r="V133" i="5" a="1"/>
  <c r="X134" i="5" a="1"/>
  <c r="T135" i="5" a="1"/>
  <c r="BR47" i="5" a="1"/>
  <c r="BE71" i="5" a="1"/>
  <c r="V106" i="5" a="1"/>
  <c r="V204" i="5" a="1"/>
  <c r="BS73" i="5" a="1"/>
  <c r="V105" i="5" a="1"/>
  <c r="W138" i="5" a="1"/>
  <c r="BR71" i="5" a="1"/>
  <c r="BO73" i="5" a="1"/>
  <c r="BT45" i="5" a="1"/>
  <c r="W101" i="5" a="1"/>
  <c r="K165" i="5" a="1"/>
  <c r="W141" i="5" a="1"/>
  <c r="X96" i="5" a="1"/>
  <c r="X143" i="5" a="1"/>
  <c r="W136" i="5" a="1"/>
  <c r="BO47" i="5" a="1"/>
  <c r="BL71" i="5" a="1"/>
  <c r="BN48" i="5" a="1"/>
  <c r="X104" i="5" a="1"/>
  <c r="U96" i="5" a="1"/>
  <c r="BJ73" i="5" a="1"/>
  <c r="L184" i="5" a="1"/>
  <c r="BM72" i="5" a="1"/>
  <c r="K185" i="5" a="1"/>
  <c r="X108" i="5" a="1"/>
  <c r="BS48" i="5" a="1"/>
  <c r="BL73" i="5" a="1"/>
  <c r="X130" i="5" a="1"/>
  <c r="T139" i="5" a="1"/>
  <c r="BI47" i="5" a="1"/>
  <c r="BN47" i="5" a="1"/>
  <c r="T130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92" i="5" a="1"/>
  <c r="C30" i="5" a="1"/>
  <c r="C172" i="5" a="1"/>
  <c r="C150" i="5" a="1"/>
  <c r="C54" i="5" a="1"/>
  <c r="C114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9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<sst xmlns="http://schemas.openxmlformats.org/spreadsheetml/2006/main" count="1792" uniqueCount="314">
  <si>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</si>
  <si>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</si>
  <si>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</si>
  <si>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</si>
  <si>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</si>
  <si>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</si>
  <si>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</si>
  <si>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</si>
  <si>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</si>
  <si>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</si>
  <si>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</si>
  <si>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</si>
  <si>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</si>
  <si>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</si>
  <si>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</si>
  <si>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</si>
  <si>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</si>
  <si>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</si>
  <si>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</si>
  <si>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</si>
  <si>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</si>
  <si>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</si>
  <si>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</si>
  <si>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</si>
  <si>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</si>
  <si>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</si>
  <si>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</si>
  <si>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</si>
  <si>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</si>
  <si>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</si>
  <si>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</si>
  <si>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</si>
  <si>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</si>
  <si>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</si>
  <si>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</si>
  <si>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</si>
  <si>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</si>
  <si>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</si>
  <si>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</si>
  <si>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</si>
  <si>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</si>
  <si>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</si>
  <si>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</si>
  <si>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</si>
  <si>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</si>
  <si>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</si>
  <si>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</si>
  <si>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</si>
  <si>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</si>
  <si>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</si>
  <si>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</si>
  <si>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</si>
  <si>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</si>
  <si>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</si>
  <si>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</si>
  <si>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</si>
  <si>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</si>
  <si>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</si>
  <si>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</si>
  <si>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</si>
  <si>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</si>
  <si>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</si>
  <si>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</si>
  <si>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</si>
  <si>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</si>
  <si>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</si>
  <si>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</si>
  <si>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</si>
  <si>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</si>
  <si>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</si>
  <si>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</si>
  <si>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</si>
  <si>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</si>
  <si>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</si>
  <si>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</si>
  <si>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</si>
  <si>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</si>
  <si>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</si>
  <si>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</si>
  <si>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</si>
  <si>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</si>
  <si>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</si>
  <si>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</si>
  <si>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</si>
  <si>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</si>
  <si>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</si>
  <si>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</si>
  <si>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</si>
  <si>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</si>
  <si>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</si>
  <si>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</si>
  <si>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</si>
  <si>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</si>
  <si>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</si>
  <si>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</si>
  <si>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</si>
  <si>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</si>
  <si>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</si>
  <si>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</si>
  <si>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</si>
  <si>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</si>
  <si>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</si>
  <si>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</si>
  <si>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</si>
  <si>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</si>
  <si>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</si>
  <si>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</si>
  <si>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</si>
  <si>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</si>
  <si>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</si>
  <si>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</si>
  <si>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</si>
  <si>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</si>
  <si>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</si>
  <si>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</si>
  <si>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</si>
  <si>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</si>
  <si>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</si>
  <si>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</si>
  <si>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</si>
  <si>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</si>
  <si>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</si>
  <si>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</si>
  <si>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</si>
  <si>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</si>
  <si>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</si>
  <si>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</si>
  <si>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</si>
  <si>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</si>
  <si>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</si>
  <si>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</si>
  <si>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</si>
  <si>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</si>
  <si>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</si>
  <si>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</si>
  <si>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</si>
  <si>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</si>
  <si>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</si>
  <si>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</si>
  <si>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</si>
  <si>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</si>
  <si>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</si>
  <si>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</si>
  <si>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</si>
  <si>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</si>
  <si>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</si>
  <si>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</si>
  <si>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</si>
  <si>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</si>
  <si>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</si>
  <si>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</si>
  <si>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</si>
  <si>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</si>
  <si>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</si>
  <si>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</si>
  <si>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</si>
  <si>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</si>
  <si>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</si>
  <si>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</si>
  <si>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</si>
  <si>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</si>
  <si>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</si>
  <si>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</si>
  <si>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</si>
  <si>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</si>
  <si>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</si>
  <si>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</si>
  <si>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</si>
  <si>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</si>
  <si>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</si>
  <si>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</si>
  <si>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</si>
  <si>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</si>
  <si>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</si>
  <si>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</si>
  <si>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</si>
  <si>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</si>
  <si>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</si>
  <si>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</si>
  <si>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</si>
  <si>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</si>
  <si>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</si>
  <si>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</si>
  <si>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</si>
  <si>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</si>
  <si>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</si>
  <si>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</si>
  <si>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</si>
  <si>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</si>
  <si>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</si>
  <si>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</si>
  <si>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</si>
  <si>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</si>
  <si>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</si>
  <si>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</si>
  <si>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</si>
  <si>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</si>
  <si>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</si>
  <si>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</si>
  <si>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</si>
  <si>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</si>
  <si>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</si>
  <si>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</si>
  <si>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</si>
  <si>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</si>
  <si>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</si>
  <si>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</si>
  <si>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</si>
  <si>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</si>
  <si>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</si>
  <si>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</si>
  <si>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</si>
  <si>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</si>
  <si>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</si>
  <si>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</si>
  <si>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</si>
  <si>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</si>
  <si>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</si>
  <si>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</si>
  <si>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</si>
  <si>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</si>
  <si>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</si>
  <si>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</si>
  <si>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</si>
  <si>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</si>
  <si>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</si>
  <si>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</si>
  <si>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</si>
  <si>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</si>
  <si>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</si>
  <si>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</si>
  <si>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</si>
  <si>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</si>
  <si>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</si>
  <si>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</si>
  <si>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</si>
  <si>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</si>
  <si>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</si>
  <si>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</si>
  <si>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</si>
  <si>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</si>
  <si>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</si>
  <si>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</si>
  <si>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</si>
  <si>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</si>
  <si>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</si>
  <si>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</si>
  <si>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</si>
  <si>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</si>
  <si>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</si>
  <si>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</si>
  <si>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</si>
  <si>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</si>
  <si>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</si>
  <si>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</si>
  <si>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</si>
  <si>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</si>
  <si>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</si>
  <si>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</si>
  <si>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</si>
  <si>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</si>
  <si>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</si>
  <si>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</si>
  <si>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</si>
  <si>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</si>
  <si>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</si>
  <si>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</si>
  <si>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</si>
  <si>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</si>
  <si>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</si>
  <si>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</si>
  <si>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</si>
  <si>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</si>
  <si>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</si>
  <si>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</si>
  <si>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</si>
  <si>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</si>
  <si>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</si>
  <si>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</si>
  <si>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</si>
  <si>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</si>
  <si>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</si>
  <si>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</si>
  <si>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</si>
  <si>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#∂Excel Error: #∂Excel Error: Unknown calendar: WRE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</si>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</sst>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04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27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5"/>
  <sheetViews>
    <sheetView showGridLines="0" workbookViewId="0">
      <selection activeCell="D14" sqref="D1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26.25" x14ac:dyDescent="0.4">
      <c r="B2" s="2" t="s">
        <v>134</v>
      </c>
      <c r="C2" s="2"/>
    </row>
    <row r="4" spans="2:3" x14ac:dyDescent="0.25">
      <c r="B4" s="239" t="s">
        <v>124</v>
      </c>
      <c r="C4" s="240"/>
    </row>
    <row r="5" spans="2:3" x14ac:dyDescent="0.25">
      <c r="B5" s="241" t="s">
        <v>186</v>
      </c>
      <c r="C5" s="241"/>
    </row>
    <row r="6" spans="2:3" x14ac:dyDescent="0.25">
      <c r="B6" s="241" t="s">
        <v>187</v>
      </c>
      <c r="C6" s="241"/>
    </row>
    <row r="8" spans="2:3" ht="18.75" x14ac:dyDescent="0.3">
      <c r="B8" s="3" t="s">
        <v>289</v>
      </c>
      <c r="C8" s="3"/>
    </row>
    <row r="9" spans="2:3" x14ac:dyDescent="0.25">
      <c r="B9" s="224" t="s">
        <v>0</v>
      </c>
      <c r="C9" s="185" t="str">
        <f ca="1">Dates!C4</f>
        <v>OK</v>
      </c>
    </row>
    <row r="12" spans="2:3" ht="18.75" x14ac:dyDescent="0.3">
      <c r="B12" s="3" t="s">
        <v>288</v>
      </c>
      <c r="C12" s="3"/>
    </row>
    <row r="13" spans="2:3" x14ac:dyDescent="0.25">
      <c r="B13" s="224" t="s">
        <v>1</v>
      </c>
    </row>
    <row r="14" spans="2:3" x14ac:dyDescent="0.25">
      <c r="B14" t="s">
        <v>22</v>
      </c>
    </row>
    <row r="18" spans="2:5" ht="18.75" x14ac:dyDescent="0.3">
      <c r="B18" s="3" t="s">
        <v>135</v>
      </c>
      <c r="C18" s="3"/>
    </row>
    <row r="19" spans="2:5" x14ac:dyDescent="0.25">
      <c r="B19" s="224" t="s">
        <v>138</v>
      </c>
      <c r="C19" s="185" t="str">
        <f ca="1">'Test Utils'!C4</f>
        <v>OK</v>
      </c>
    </row>
    <row r="20" spans="2:5" x14ac:dyDescent="0.25">
      <c r="B20" s="224" t="s">
        <v>90</v>
      </c>
      <c r="C20" s="185" t="str">
        <f ca="1">'Table Formatting'!C4</f>
        <v>OK</v>
      </c>
    </row>
    <row r="25" spans="2:5" x14ac:dyDescent="0.25">
      <c r="E25" s="185"/>
    </row>
  </sheetData>
  <conditionalFormatting sqref="C19">
    <cfRule type="cellIs" dxfId="275" priority="1" stopIfTrue="1" operator="equal">
      <formula>"OK"</formula>
    </cfRule>
    <cfRule type="cellIs" dxfId="274" priority="2" stopIfTrue="1" operator="equal">
      <formula>"ERROR"</formula>
    </cfRule>
  </conditionalFormatting>
  <conditionalFormatting sqref="C20">
    <cfRule type="cellIs" dxfId="273" priority="3" stopIfTrue="1" operator="equal">
      <formula>"OK"</formula>
    </cfRule>
    <cfRule type="cellIs" dxfId="272" priority="4" stopIfTrue="1" operator="equal">
      <formula>"ERROR"</formula>
    </cfRule>
  </conditionalFormatting>
  <conditionalFormatting sqref="C9">
    <cfRule type="cellIs" dxfId="271" priority="5" stopIfTrue="1" operator="equal">
      <formula>"ERROR"</formula>
    </cfRule>
    <cfRule type="cellIs" dxfId="270" priority="6" stopIfTrue="1" operator="equal">
      <formula>"OK"</formula>
    </cfRule>
    <cfRule type="cellIs" dxfId="269" priority="7" stopIfTrue="1" operator="equal">
      <formula>"WARNING"</formula>
    </cfRule>
  </conditionalFormatting>
  <hyperlinks>
    <hyperlink ref="B13" location="Curves.Title" display="Curves" xr:uid="{55B00831-142E-4799-B620-B8B79F221D3E}"/>
    <hyperlink ref="B20" location="TableFormatting.Title" display="Table Formatting" xr:uid="{36F5A4C0-4058-4EAB-B9F0-3120B1D828EB}"/>
    <hyperlink ref="B19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30"/>
  <sheetViews>
    <sheetView showGridLines="0" tabSelected="1" zoomScaleNormal="100" workbookViewId="0">
      <selection activeCell="C5" sqref="C5"/>
    </sheetView>
  </sheetViews>
  <sheetFormatPr defaultRowHeight="12.75" x14ac:dyDescent="0.2"/>
  <cols>
    <col min="1" max="1" width="3.75" style="375" customWidth="1"/>
    <col min="2" max="2" width="18" style="375" customWidth="1"/>
    <col min="3" max="3" width="14.25" style="375" customWidth="1"/>
    <col min="4" max="4" width="11.375" style="375" customWidth="1"/>
    <col min="5" max="5" width="10.75" style="375" customWidth="1"/>
    <col min="6" max="6" width="13.875" style="375" bestFit="1" customWidth="1"/>
    <col min="7" max="7" width="12.375" style="375" customWidth="1"/>
    <col min="8" max="8" width="16.625" style="375" customWidth="1"/>
    <col min="9" max="9" width="17.625" style="375" customWidth="1"/>
    <col min="10" max="10" width="8.875" style="375" bestFit="1" customWidth="1"/>
    <col min="11" max="11" width="9.625" style="375" customWidth="1"/>
    <col min="12" max="12" width="8.875" style="375" bestFit="1" customWidth="1"/>
    <col min="13" max="13" width="13.875" style="375" bestFit="1" customWidth="1"/>
    <col min="14" max="14" width="9.375" style="375" customWidth="1"/>
    <col min="15" max="15" width="10" style="375" customWidth="1"/>
    <col min="16" max="16" width="9" style="375"/>
    <col min="17" max="17" width="8.875" style="375" bestFit="1" customWidth="1"/>
    <col min="18" max="18" width="10.625" style="375" customWidth="1"/>
    <col min="19" max="20" width="36" style="375" bestFit="1" customWidth="1"/>
    <col min="21" max="22" width="9" style="375"/>
    <col min="23" max="23" width="20.5" style="375" customWidth="1"/>
    <col min="24" max="25" width="9" style="375"/>
    <col min="26" max="27" width="37.125" style="375" bestFit="1" customWidth="1"/>
    <col min="28" max="16384" width="9" style="375"/>
  </cols>
  <sheetData>
    <row r="2" spans="2:28" ht="26.25" x14ac:dyDescent="0.4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2">
      <c r="B4" s="59" t="s">
        <v>170</v>
      </c>
      <c r="C4" s="377" t="str" cm="1">
        <f t="array" aca="1" ref="C4" ca="1">_xll.d.TestUtils_And(D8:D14)</f>
        <v>OK</v>
      </c>
    </row>
    <row r="7" spans="2:28" x14ac:dyDescent="0.2">
      <c r="B7" s="228" t="s">
        <v>247</v>
      </c>
      <c r="C7" s="228"/>
      <c r="D7" s="229" t="s">
        <v>11</v>
      </c>
    </row>
    <row r="8" spans="2:28" x14ac:dyDescent="0.2">
      <c r="B8" s="238" t="s">
        <v>265</v>
      </c>
      <c r="C8" s="402"/>
      <c r="D8" s="377" t="str">
        <f ca="1">C19</f>
        <v>OK</v>
      </c>
    </row>
    <row r="9" spans="2:28" x14ac:dyDescent="0.2">
      <c r="B9" s="238" t="s">
        <v>272</v>
      </c>
      <c r="C9" s="402"/>
      <c r="D9" s="377" t="str">
        <f ca="1">C34</f>
        <v>OK</v>
      </c>
    </row>
    <row r="10" spans="2:28" x14ac:dyDescent="0.2">
      <c r="B10" s="238" t="s">
        <v>273</v>
      </c>
      <c r="C10" s="402"/>
      <c r="D10" s="377" t="str">
        <f ca="1">C49</f>
        <v>OK</v>
      </c>
    </row>
    <row r="11" spans="2:28" x14ac:dyDescent="0.2">
      <c r="B11" s="238" t="s">
        <v>264</v>
      </c>
      <c r="C11" s="402"/>
      <c r="D11" s="377" t="str">
        <f ca="1">C64</f>
        <v>OK</v>
      </c>
    </row>
    <row r="12" spans="2:28" x14ac:dyDescent="0.2">
      <c r="B12" s="238" t="s">
        <v>275</v>
      </c>
      <c r="C12" s="402"/>
      <c r="D12" s="377" t="str">
        <f ca="1">C78</f>
        <v>OK</v>
      </c>
    </row>
    <row r="13" spans="2:28" x14ac:dyDescent="0.2">
      <c r="B13" s="238" t="s">
        <v>290</v>
      </c>
      <c r="C13" s="402"/>
      <c r="D13" s="377" t="str">
        <f ca="1">C106</f>
        <v>OK</v>
      </c>
    </row>
    <row r="14" spans="2:28" x14ac:dyDescent="0.2">
      <c r="B14" s="238" t="s">
        <v>301</v>
      </c>
      <c r="C14" s="402"/>
      <c r="D14" s="377" t="str">
        <f ca="1">C121</f>
        <v>OK</v>
      </c>
    </row>
    <row r="17" spans="2:28" ht="18.75" x14ac:dyDescent="0.3">
      <c r="B17" s="3" t="s">
        <v>265</v>
      </c>
      <c r="C17" s="383"/>
      <c r="D17" s="383"/>
      <c r="E17" s="383"/>
      <c r="F17" s="383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3"/>
      <c r="V17" s="383"/>
      <c r="W17" s="383"/>
      <c r="X17" s="383"/>
      <c r="Y17" s="383"/>
      <c r="Z17" s="383"/>
      <c r="AA17" s="383"/>
      <c r="AB17" s="383"/>
    </row>
    <row r="19" spans="2:28" x14ac:dyDescent="0.2">
      <c r="B19" s="59" t="s">
        <v>170</v>
      </c>
      <c r="C19" s="377" t="str" cm="1">
        <f t="array" aca="1" ref="C19" ca="1">_xll.d.TestUtils_And(G24,N24,U24,AB24)</f>
        <v>OK</v>
      </c>
    </row>
    <row r="20" spans="2:28" x14ac:dyDescent="0.2">
      <c r="G20" s="376"/>
    </row>
    <row r="21" spans="2:28" ht="15.75" x14ac:dyDescent="0.25">
      <c r="B21" s="4" t="s">
        <v>268</v>
      </c>
      <c r="C21" s="384"/>
      <c r="D21" s="384"/>
      <c r="E21" s="384"/>
      <c r="F21" s="384"/>
      <c r="G21" s="384"/>
      <c r="I21" s="4" t="s">
        <v>270</v>
      </c>
      <c r="J21" s="4"/>
      <c r="K21" s="384"/>
      <c r="L21" s="384"/>
      <c r="M21" s="384"/>
      <c r="N21" s="384"/>
      <c r="P21" s="4" t="s">
        <v>271</v>
      </c>
      <c r="Q21" s="384"/>
      <c r="R21" s="384"/>
      <c r="S21" s="384"/>
      <c r="T21" s="384"/>
      <c r="U21" s="384"/>
      <c r="W21" s="4" t="s">
        <v>280</v>
      </c>
      <c r="X21" s="384"/>
      <c r="Y21" s="384"/>
      <c r="Z21" s="384"/>
      <c r="AA21" s="384"/>
      <c r="AB21" s="384"/>
    </row>
    <row r="22" spans="2:28" x14ac:dyDescent="0.2">
      <c r="G22" s="376"/>
    </row>
    <row r="23" spans="2:28" x14ac:dyDescent="0.2">
      <c r="B23" s="138" t="s">
        <v>267</v>
      </c>
      <c r="C23" s="139"/>
      <c r="E23" s="138" t="s">
        <v>144</v>
      </c>
      <c r="F23" s="138" t="s">
        <v>269</v>
      </c>
      <c r="G23" s="138" t="s">
        <v>88</v>
      </c>
      <c r="I23" s="138" t="s">
        <v>267</v>
      </c>
      <c r="J23" s="139"/>
      <c r="L23" s="138" t="s">
        <v>144</v>
      </c>
      <c r="M23" s="138" t="s">
        <v>269</v>
      </c>
      <c r="N23" s="138" t="s">
        <v>88</v>
      </c>
      <c r="P23" s="138" t="s">
        <v>267</v>
      </c>
      <c r="Q23" s="139"/>
      <c r="S23" s="138" t="s">
        <v>144</v>
      </c>
      <c r="T23" s="138" t="s">
        <v>269</v>
      </c>
      <c r="U23" s="138" t="s">
        <v>88</v>
      </c>
      <c r="W23" s="138" t="s">
        <v>267</v>
      </c>
      <c r="X23" s="139"/>
      <c r="Z23" s="138" t="s">
        <v>144</v>
      </c>
      <c r="AA23" s="138" t="s">
        <v>269</v>
      </c>
      <c r="AB23" s="138" t="s">
        <v>88</v>
      </c>
    </row>
    <row r="24" spans="2:28" x14ac:dyDescent="0.2">
      <c r="B24" s="380" t="s">
        <v>35</v>
      </c>
      <c r="C24" s="381">
        <v>44742</v>
      </c>
      <c r="E24" s="385" cm="1">
        <f t="array" aca="1" ref="E24" ca="1">_xll.d.Date_FolDay(C24,B26:B28)</f>
        <v>44743</v>
      </c>
      <c r="F24" s="386">
        <v>44743</v>
      </c>
      <c r="G24" s="387" t="str" cm="1">
        <f t="array" aca="1" ref="G24" ca="1">_xll.d.TestUtils_Equal(E24,F24)</f>
        <v>OK</v>
      </c>
      <c r="I24" s="140" t="s">
        <v>35</v>
      </c>
      <c r="J24" s="378">
        <v>44728</v>
      </c>
      <c r="L24" s="385" cm="1">
        <f t="array" aca="1" ref="L24" ca="1">_xll.d.Date_FolDay(J24,J25)</f>
        <v>44729</v>
      </c>
      <c r="M24" s="386">
        <v>44729</v>
      </c>
      <c r="N24" s="387" t="str" cm="1">
        <f t="array" aca="1" ref="N24" ca="1">_xll.d.TestUtils_Equal(L24,M24)</f>
        <v>OK</v>
      </c>
      <c r="P24" s="140" t="s">
        <v>35</v>
      </c>
      <c r="Q24" s="378">
        <v>44746</v>
      </c>
      <c r="S24" s="385" cm="1">
        <f t="array" aca="1" ref="S24" ca="1">_xll.d.Date_FolDay(Q24,Q25)</f>
        <v>44747</v>
      </c>
      <c r="T24" s="386">
        <v>44747</v>
      </c>
      <c r="U24" s="387" t="str" cm="1">
        <f t="array" aca="1" ref="U24" ca="1">_xll.d.TestUtils_Equal(S24,T24)</f>
        <v>OK</v>
      </c>
      <c r="W24" s="140" t="s">
        <v>35</v>
      </c>
      <c r="X24" s="378">
        <v>44746</v>
      </c>
      <c r="Z24" s="385" t="str" cm="1">
        <f t="array" aca="1" ref="Z24" ca="1">_xll.d.Date_FolDay(X24,X25)</f>
        <v>#∂Excel Error: Unknown calendar: WRE</v>
      </c>
      <c r="AA24" s="386" t="s">
        <v>282</v>
      </c>
      <c r="AB24" s="387" t="str" cm="1">
        <f t="array" aca="1" ref="AB24" ca="1">_xll.d.TestUtils_Equal(Z24,AA24)</f>
        <v>OK</v>
      </c>
    </row>
    <row r="25" spans="2:28" x14ac:dyDescent="0.2">
      <c r="G25" s="376"/>
      <c r="I25" s="144" t="s">
        <v>253</v>
      </c>
      <c r="J25" s="145" t="s">
        <v>71</v>
      </c>
      <c r="P25" s="144" t="s">
        <v>253</v>
      </c>
      <c r="Q25" s="145" t="s">
        <v>274</v>
      </c>
      <c r="W25" s="144" t="s">
        <v>253</v>
      </c>
      <c r="X25" s="145" t="s">
        <v>281</v>
      </c>
    </row>
    <row r="26" spans="2:28" x14ac:dyDescent="0.2">
      <c r="B26" s="379" t="s">
        <v>266</v>
      </c>
      <c r="G26" s="376"/>
    </row>
    <row r="27" spans="2:28" x14ac:dyDescent="0.2">
      <c r="B27" s="388">
        <v>44742</v>
      </c>
    </row>
    <row r="28" spans="2:28" x14ac:dyDescent="0.2">
      <c r="B28" s="389">
        <v>44920</v>
      </c>
      <c r="G28" s="376"/>
    </row>
    <row r="29" spans="2:28" x14ac:dyDescent="0.2">
      <c r="G29" s="376"/>
    </row>
    <row r="30" spans="2:28" x14ac:dyDescent="0.2">
      <c r="G30" s="376"/>
    </row>
    <row r="31" spans="2:28" x14ac:dyDescent="0.2">
      <c r="G31" s="376"/>
    </row>
    <row r="32" spans="2:28" ht="18.75" x14ac:dyDescent="0.3">
      <c r="B32" s="3" t="s">
        <v>272</v>
      </c>
      <c r="C32" s="383"/>
      <c r="D32" s="383"/>
      <c r="E32" s="383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3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</row>
    <row r="34" spans="2:28" x14ac:dyDescent="0.2">
      <c r="B34" s="59" t="s">
        <v>170</v>
      </c>
      <c r="C34" s="377" t="str" cm="1">
        <f t="array" aca="1" ref="C34" ca="1">_xll.d.TestUtils_And(G39,N39,U39,AB39)</f>
        <v>OK</v>
      </c>
    </row>
    <row r="36" spans="2:28" ht="15.75" x14ac:dyDescent="0.25">
      <c r="B36" s="4" t="s">
        <v>268</v>
      </c>
      <c r="C36" s="384"/>
      <c r="D36" s="384"/>
      <c r="E36" s="384"/>
      <c r="F36" s="384"/>
      <c r="G36" s="384"/>
      <c r="I36" s="4" t="s">
        <v>270</v>
      </c>
      <c r="J36" s="4"/>
      <c r="K36" s="384"/>
      <c r="L36" s="384"/>
      <c r="M36" s="384"/>
      <c r="N36" s="384"/>
      <c r="P36" s="4" t="s">
        <v>271</v>
      </c>
      <c r="Q36" s="384"/>
      <c r="R36" s="384"/>
      <c r="S36" s="384"/>
      <c r="T36" s="384"/>
      <c r="U36" s="384"/>
      <c r="W36" s="4" t="s">
        <v>280</v>
      </c>
      <c r="X36" s="384"/>
      <c r="Y36" s="384"/>
      <c r="Z36" s="384"/>
      <c r="AA36" s="384"/>
      <c r="AB36" s="384"/>
    </row>
    <row r="37" spans="2:28" x14ac:dyDescent="0.2">
      <c r="G37" s="376"/>
    </row>
    <row r="38" spans="2:28" x14ac:dyDescent="0.2">
      <c r="B38" s="138" t="s">
        <v>267</v>
      </c>
      <c r="C38" s="139"/>
      <c r="E38" s="138" t="s">
        <v>144</v>
      </c>
      <c r="F38" s="138" t="s">
        <v>269</v>
      </c>
      <c r="G38" s="138" t="s">
        <v>88</v>
      </c>
      <c r="I38" s="138" t="s">
        <v>267</v>
      </c>
      <c r="J38" s="139"/>
      <c r="L38" s="138" t="s">
        <v>144</v>
      </c>
      <c r="M38" s="138" t="s">
        <v>269</v>
      </c>
      <c r="N38" s="138" t="s">
        <v>88</v>
      </c>
      <c r="P38" s="138" t="s">
        <v>267</v>
      </c>
      <c r="Q38" s="139"/>
      <c r="S38" s="138" t="s">
        <v>144</v>
      </c>
      <c r="T38" s="138" t="s">
        <v>269</v>
      </c>
      <c r="U38" s="138" t="s">
        <v>88</v>
      </c>
      <c r="W38" s="138" t="s">
        <v>267</v>
      </c>
      <c r="X38" s="139"/>
      <c r="Z38" s="138" t="s">
        <v>144</v>
      </c>
      <c r="AA38" s="138" t="s">
        <v>269</v>
      </c>
      <c r="AB38" s="138" t="s">
        <v>88</v>
      </c>
    </row>
    <row r="39" spans="2:28" x14ac:dyDescent="0.2">
      <c r="B39" s="380" t="s">
        <v>35</v>
      </c>
      <c r="C39" s="381">
        <v>44742</v>
      </c>
      <c r="E39" s="385" cm="1">
        <f t="array" aca="1" ref="E39" ca="1">_xll.d.Date_ModFolDay(C39,B41:B43)</f>
        <v>44741</v>
      </c>
      <c r="F39" s="386">
        <v>44741</v>
      </c>
      <c r="G39" s="387" t="str" cm="1">
        <f t="array" aca="1" ref="G39" ca="1">_xll.d.TestUtils_Equal(E39,F39)</f>
        <v>OK</v>
      </c>
      <c r="I39" s="140" t="s">
        <v>35</v>
      </c>
      <c r="J39" s="378">
        <v>44728</v>
      </c>
      <c r="L39" s="385" cm="1">
        <f t="array" aca="1" ref="L39" ca="1">_xll.d.Date_ModFolDay(J39,J40)</f>
        <v>44729</v>
      </c>
      <c r="M39" s="386">
        <v>44729</v>
      </c>
      <c r="N39" s="387" t="str" cm="1">
        <f t="array" aca="1" ref="N39" ca="1">_xll.d.TestUtils_Equal(L39,M39)</f>
        <v>OK</v>
      </c>
      <c r="P39" s="140" t="s">
        <v>35</v>
      </c>
      <c r="Q39" s="378">
        <v>44746</v>
      </c>
      <c r="S39" s="385" cm="1">
        <f t="array" aca="1" ref="S39" ca="1">_xll.d.Date_ModFolDay(Q39,Q40)</f>
        <v>44747</v>
      </c>
      <c r="T39" s="386">
        <v>44747</v>
      </c>
      <c r="U39" s="387" t="str" cm="1">
        <f t="array" aca="1" ref="U39" ca="1">_xll.d.TestUtils_Equal(S39,T39)</f>
        <v>OK</v>
      </c>
      <c r="W39" s="140" t="s">
        <v>35</v>
      </c>
      <c r="X39" s="378">
        <v>44746</v>
      </c>
      <c r="Z39" s="385" t="str" cm="1">
        <f t="array" aca="1" ref="Z39" ca="1">_xll.d.Date_ModFolDay(X39,X40)</f>
        <v>#∂Excel Error: Unknown calendar: WRE</v>
      </c>
      <c r="AA39" s="386" t="s">
        <v>282</v>
      </c>
      <c r="AB39" s="387" t="str" cm="1">
        <f t="array" aca="1" ref="AB39" ca="1">_xll.d.TestUtils_Equal(Z39,AA39)</f>
        <v>OK</v>
      </c>
    </row>
    <row r="40" spans="2:28" x14ac:dyDescent="0.2">
      <c r="G40" s="376"/>
      <c r="I40" s="144" t="s">
        <v>253</v>
      </c>
      <c r="J40" s="145" t="s">
        <v>71</v>
      </c>
      <c r="P40" s="144" t="s">
        <v>253</v>
      </c>
      <c r="Q40" s="145" t="s">
        <v>274</v>
      </c>
      <c r="W40" s="144" t="s">
        <v>253</v>
      </c>
      <c r="X40" s="145" t="s">
        <v>281</v>
      </c>
    </row>
    <row r="41" spans="2:28" x14ac:dyDescent="0.2">
      <c r="B41" s="379" t="s">
        <v>266</v>
      </c>
      <c r="G41" s="376"/>
    </row>
    <row r="42" spans="2:28" x14ac:dyDescent="0.2">
      <c r="B42" s="388">
        <v>44742</v>
      </c>
    </row>
    <row r="43" spans="2:28" x14ac:dyDescent="0.2">
      <c r="B43" s="389">
        <v>44920</v>
      </c>
      <c r="G43" s="376"/>
    </row>
    <row r="44" spans="2:28" x14ac:dyDescent="0.2">
      <c r="G44" s="376"/>
    </row>
    <row r="45" spans="2:28" x14ac:dyDescent="0.2">
      <c r="G45" s="376"/>
    </row>
    <row r="46" spans="2:28" x14ac:dyDescent="0.2">
      <c r="G46" s="376"/>
    </row>
    <row r="47" spans="2:28" ht="18.75" x14ac:dyDescent="0.3">
      <c r="B47" s="3" t="s">
        <v>273</v>
      </c>
      <c r="C47" s="383"/>
      <c r="D47" s="383"/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</row>
    <row r="49" spans="2:28" x14ac:dyDescent="0.2">
      <c r="B49" s="59" t="s">
        <v>170</v>
      </c>
      <c r="C49" s="377" t="str" cm="1">
        <f t="array" aca="1" ref="C49" ca="1">_xll.d.TestUtils_And(G54,N54,U54,AB54)</f>
        <v>OK</v>
      </c>
    </row>
    <row r="50" spans="2:28" x14ac:dyDescent="0.2">
      <c r="G50" s="376"/>
    </row>
    <row r="51" spans="2:28" ht="15.75" x14ac:dyDescent="0.25">
      <c r="B51" s="4" t="s">
        <v>268</v>
      </c>
      <c r="C51" s="384"/>
      <c r="D51" s="384"/>
      <c r="E51" s="384"/>
      <c r="F51" s="384"/>
      <c r="G51" s="384"/>
      <c r="I51" s="4" t="s">
        <v>270</v>
      </c>
      <c r="J51" s="4"/>
      <c r="K51" s="384"/>
      <c r="L51" s="384"/>
      <c r="M51" s="384"/>
      <c r="N51" s="384"/>
      <c r="P51" s="4" t="s">
        <v>271</v>
      </c>
      <c r="Q51" s="384"/>
      <c r="R51" s="384"/>
      <c r="S51" s="384"/>
      <c r="T51" s="384"/>
      <c r="U51" s="384"/>
      <c r="W51" s="4" t="s">
        <v>280</v>
      </c>
      <c r="X51" s="384"/>
      <c r="Y51" s="384"/>
      <c r="Z51" s="384"/>
      <c r="AA51" s="384"/>
      <c r="AB51" s="384"/>
    </row>
    <row r="52" spans="2:28" x14ac:dyDescent="0.2">
      <c r="G52" s="376"/>
    </row>
    <row r="53" spans="2:28" x14ac:dyDescent="0.2">
      <c r="B53" s="138" t="s">
        <v>267</v>
      </c>
      <c r="C53" s="139"/>
      <c r="E53" s="138" t="s">
        <v>144</v>
      </c>
      <c r="F53" s="138" t="s">
        <v>269</v>
      </c>
      <c r="G53" s="138" t="s">
        <v>88</v>
      </c>
      <c r="I53" s="138" t="s">
        <v>267</v>
      </c>
      <c r="J53" s="139"/>
      <c r="L53" s="138" t="s">
        <v>144</v>
      </c>
      <c r="M53" s="138" t="s">
        <v>269</v>
      </c>
      <c r="N53" s="138" t="s">
        <v>88</v>
      </c>
      <c r="P53" s="138" t="s">
        <v>267</v>
      </c>
      <c r="Q53" s="139"/>
      <c r="S53" s="138" t="s">
        <v>144</v>
      </c>
      <c r="T53" s="138" t="s">
        <v>269</v>
      </c>
      <c r="U53" s="138" t="s">
        <v>88</v>
      </c>
      <c r="W53" s="138" t="s">
        <v>267</v>
      </c>
      <c r="X53" s="139"/>
      <c r="Z53" s="138" t="s">
        <v>144</v>
      </c>
      <c r="AA53" s="138" t="s">
        <v>269</v>
      </c>
      <c r="AB53" s="138" t="s">
        <v>88</v>
      </c>
    </row>
    <row r="54" spans="2:28" x14ac:dyDescent="0.2">
      <c r="B54" s="380" t="s">
        <v>35</v>
      </c>
      <c r="C54" s="381">
        <v>44742</v>
      </c>
      <c r="E54" s="385" cm="1">
        <f t="array" aca="1" ref="E54" ca="1">_xll.d.Date_PrevDay(C54,B56:B58)</f>
        <v>44741</v>
      </c>
      <c r="F54" s="386">
        <v>44741</v>
      </c>
      <c r="G54" s="387" t="str" cm="1">
        <f t="array" aca="1" ref="G54" ca="1">_xll.d.TestUtils_Equal(E54,F54)</f>
        <v>OK</v>
      </c>
      <c r="I54" s="140" t="s">
        <v>35</v>
      </c>
      <c r="J54" s="378">
        <v>44728</v>
      </c>
      <c r="L54" s="385" cm="1">
        <f t="array" aca="1" ref="L54" ca="1">_xll.d.Date_PrevDay(J54,J55)</f>
        <v>44727</v>
      </c>
      <c r="M54" s="386">
        <v>44727</v>
      </c>
      <c r="N54" s="387" t="str" cm="1">
        <f t="array" aca="1" ref="N54" ca="1">_xll.d.TestUtils_Equal(L54,M54)</f>
        <v>OK</v>
      </c>
      <c r="P54" s="140" t="s">
        <v>35</v>
      </c>
      <c r="Q54" s="378">
        <v>44746</v>
      </c>
      <c r="S54" s="385" cm="1">
        <f t="array" aca="1" ref="S54" ca="1">_xll.d.Date_PrevDay(Q54,Q55)</f>
        <v>44743</v>
      </c>
      <c r="T54" s="386">
        <v>44743</v>
      </c>
      <c r="U54" s="387" t="str" cm="1">
        <f t="array" aca="1" ref="U54" ca="1">_xll.d.TestUtils_Equal(S54,T54)</f>
        <v>OK</v>
      </c>
      <c r="W54" s="140" t="s">
        <v>35</v>
      </c>
      <c r="X54" s="378">
        <v>44746</v>
      </c>
      <c r="Z54" s="385" t="str" cm="1">
        <f t="array" aca="1" ref="Z54" ca="1">_xll.d.Date_PrevDay(X54,X55)</f>
        <v>#∂Excel Error: Unknown calendar: WRE</v>
      </c>
      <c r="AA54" s="386" t="s">
        <v>282</v>
      </c>
      <c r="AB54" s="387" t="str" cm="1">
        <f t="array" aca="1" ref="AB54" ca="1">_xll.d.TestUtils_Equal(Z54,AA54)</f>
        <v>OK</v>
      </c>
    </row>
    <row r="55" spans="2:28" x14ac:dyDescent="0.2">
      <c r="G55" s="376"/>
      <c r="I55" s="144" t="s">
        <v>253</v>
      </c>
      <c r="J55" s="145" t="s">
        <v>71</v>
      </c>
      <c r="P55" s="144" t="s">
        <v>253</v>
      </c>
      <c r="Q55" s="145" t="s">
        <v>274</v>
      </c>
      <c r="W55" s="144" t="s">
        <v>253</v>
      </c>
      <c r="X55" s="145" t="s">
        <v>281</v>
      </c>
    </row>
    <row r="56" spans="2:28" x14ac:dyDescent="0.2">
      <c r="B56" s="379" t="s">
        <v>266</v>
      </c>
      <c r="G56" s="376"/>
    </row>
    <row r="57" spans="2:28" x14ac:dyDescent="0.2">
      <c r="B57" s="388">
        <v>44742</v>
      </c>
    </row>
    <row r="58" spans="2:28" x14ac:dyDescent="0.2">
      <c r="B58" s="389">
        <v>44920</v>
      </c>
      <c r="G58" s="376"/>
    </row>
    <row r="59" spans="2:28" x14ac:dyDescent="0.2">
      <c r="G59" s="376"/>
    </row>
    <row r="60" spans="2:28" x14ac:dyDescent="0.2">
      <c r="G60" s="376"/>
    </row>
    <row r="61" spans="2:28" x14ac:dyDescent="0.2">
      <c r="G61" s="376"/>
    </row>
    <row r="62" spans="2:28" ht="18.75" x14ac:dyDescent="0.3">
      <c r="B62" s="3" t="s">
        <v>264</v>
      </c>
      <c r="C62" s="383"/>
      <c r="D62" s="383"/>
      <c r="E62" s="383"/>
      <c r="F62" s="383"/>
      <c r="G62" s="383"/>
      <c r="H62" s="383"/>
      <c r="I62" s="383"/>
      <c r="J62" s="383"/>
      <c r="K62" s="383"/>
      <c r="L62" s="383"/>
      <c r="M62" s="383"/>
      <c r="N62" s="383"/>
      <c r="O62" s="383"/>
      <c r="P62" s="383"/>
      <c r="Q62" s="383"/>
      <c r="R62" s="383"/>
      <c r="S62" s="383"/>
      <c r="T62" s="383"/>
      <c r="U62" s="383"/>
      <c r="V62" s="383"/>
      <c r="W62" s="383"/>
      <c r="X62" s="383"/>
      <c r="Y62" s="383"/>
      <c r="Z62" s="383"/>
      <c r="AA62" s="383"/>
      <c r="AB62" s="383"/>
    </row>
    <row r="64" spans="2:28" x14ac:dyDescent="0.2">
      <c r="B64" s="59" t="s">
        <v>170</v>
      </c>
      <c r="C64" s="377" t="str" cm="1">
        <f t="array" aca="1" ref="C64" ca="1">_xll.d.TestUtils_And(G69,N69,U69,AB69)</f>
        <v>OK</v>
      </c>
    </row>
    <row r="66" spans="2:28" ht="15.75" x14ac:dyDescent="0.25">
      <c r="B66" s="4" t="s">
        <v>278</v>
      </c>
      <c r="C66" s="384"/>
      <c r="D66" s="384"/>
      <c r="E66" s="384"/>
      <c r="F66" s="384"/>
      <c r="G66" s="384"/>
      <c r="I66" s="4" t="s">
        <v>279</v>
      </c>
      <c r="J66" s="384"/>
      <c r="K66" s="384"/>
      <c r="L66" s="384"/>
      <c r="M66" s="384"/>
      <c r="N66" s="384"/>
      <c r="P66" s="4" t="s">
        <v>283</v>
      </c>
      <c r="Q66" s="384"/>
      <c r="R66" s="384"/>
      <c r="S66" s="384"/>
      <c r="T66" s="384"/>
      <c r="U66" s="384"/>
      <c r="W66" s="4" t="s">
        <v>285</v>
      </c>
      <c r="X66" s="384"/>
      <c r="Y66" s="384"/>
      <c r="Z66" s="384"/>
      <c r="AA66" s="384"/>
      <c r="AB66" s="384"/>
    </row>
    <row r="68" spans="2:28" x14ac:dyDescent="0.2">
      <c r="B68" s="138" t="s">
        <v>267</v>
      </c>
      <c r="C68" s="139"/>
      <c r="E68" s="12" t="s">
        <v>144</v>
      </c>
      <c r="F68" s="27" t="s">
        <v>269</v>
      </c>
      <c r="G68" s="139" t="s">
        <v>88</v>
      </c>
      <c r="I68" s="138" t="s">
        <v>267</v>
      </c>
      <c r="J68" s="139"/>
      <c r="L68" s="12" t="s">
        <v>144</v>
      </c>
      <c r="M68" s="27" t="s">
        <v>269</v>
      </c>
      <c r="N68" s="139" t="s">
        <v>88</v>
      </c>
      <c r="P68" s="138" t="s">
        <v>267</v>
      </c>
      <c r="Q68" s="139"/>
      <c r="S68" s="12" t="s">
        <v>144</v>
      </c>
      <c r="T68" s="27" t="s">
        <v>269</v>
      </c>
      <c r="U68" s="139" t="s">
        <v>88</v>
      </c>
      <c r="W68" s="138" t="s">
        <v>267</v>
      </c>
      <c r="X68" s="139"/>
      <c r="Z68" s="12" t="s">
        <v>144</v>
      </c>
      <c r="AA68" s="27" t="s">
        <v>269</v>
      </c>
      <c r="AB68" s="139" t="s">
        <v>88</v>
      </c>
    </row>
    <row r="69" spans="2:28" x14ac:dyDescent="0.2">
      <c r="B69" s="140" t="s">
        <v>35</v>
      </c>
      <c r="C69" s="378">
        <v>44562</v>
      </c>
      <c r="E69" s="385" cm="1">
        <f t="array" aca="1" ref="E69" ca="1">_xll.d.Date_AddTenorToDate(C69,C70,C71,C72)</f>
        <v>44652</v>
      </c>
      <c r="F69" s="386">
        <v>44652</v>
      </c>
      <c r="G69" s="387" t="str" cm="1">
        <f t="array" aca="1" ref="G69" ca="1">_xll.d.TestUtils_Equal(E69,F69)</f>
        <v>OK</v>
      </c>
      <c r="I69" s="140" t="s">
        <v>35</v>
      </c>
      <c r="J69" s="378">
        <v>44562</v>
      </c>
      <c r="L69" s="385" cm="1">
        <f t="array" aca="1" ref="L69" ca="1">_xll.d.Date_AddTenorToDate(J69,J70,J71,J72)</f>
        <v>44652</v>
      </c>
      <c r="M69" s="386">
        <v>44652</v>
      </c>
      <c r="N69" s="387" t="str" cm="1">
        <f t="array" aca="1" ref="N69" ca="1">_xll.d.TestUtils_Equal(L69,M69)</f>
        <v>OK</v>
      </c>
      <c r="P69" s="140" t="s">
        <v>35</v>
      </c>
      <c r="Q69" s="378">
        <v>44562</v>
      </c>
      <c r="S69" s="385" t="str" cm="1">
        <f t="array" aca="1" ref="S69" ca="1">_xll.d.Date_AddTenorToDate(Q69,Q70,Q71,Q72)</f>
        <v>#∂Excel Error: #∂Excel Error: Unknown calendar: WRE</v>
      </c>
      <c r="T69" s="386" t="s">
        <v>284</v>
      </c>
      <c r="U69" s="387" t="str" cm="1">
        <f t="array" aca="1" ref="U69" ca="1">_xll.d.TestUtils_Equal(S69,T69)</f>
        <v>OK</v>
      </c>
      <c r="W69" s="140" t="s">
        <v>35</v>
      </c>
      <c r="X69" s="378">
        <v>44562</v>
      </c>
      <c r="Z69" s="385" t="str" cm="1">
        <f t="array" aca="1" ref="Z69" ca="1">_xll.d.Date_AddTenorToDate(X69,X70,X71,X72)</f>
        <v>#∂Excel Error: Unknown business day convention: ASD</v>
      </c>
      <c r="AA69" s="386" t="s">
        <v>287</v>
      </c>
      <c r="AB69" s="387" t="str" cm="1">
        <f t="array" aca="1" ref="AB69" ca="1">_xll.d.TestUtils_Equal(Z69,AA69)</f>
        <v>OK</v>
      </c>
    </row>
    <row r="70" spans="2:28" x14ac:dyDescent="0.2">
      <c r="B70" s="142" t="s">
        <v>24</v>
      </c>
      <c r="C70" s="390" t="s">
        <v>26</v>
      </c>
      <c r="I70" s="142" t="s">
        <v>24</v>
      </c>
      <c r="J70" s="390" t="s">
        <v>26</v>
      </c>
      <c r="P70" s="142" t="s">
        <v>24</v>
      </c>
      <c r="Q70" s="390" t="s">
        <v>26</v>
      </c>
      <c r="W70" s="142" t="s">
        <v>24</v>
      </c>
      <c r="X70" s="390" t="s">
        <v>26</v>
      </c>
    </row>
    <row r="71" spans="2:28" x14ac:dyDescent="0.2">
      <c r="B71" s="142" t="s">
        <v>253</v>
      </c>
      <c r="C71" s="390" t="s">
        <v>71</v>
      </c>
      <c r="I71" s="142" t="s">
        <v>253</v>
      </c>
      <c r="J71" s="390" t="s">
        <v>274</v>
      </c>
      <c r="P71" s="142" t="s">
        <v>253</v>
      </c>
      <c r="Q71" s="390" t="s">
        <v>281</v>
      </c>
      <c r="W71" s="142" t="s">
        <v>253</v>
      </c>
      <c r="X71" s="390" t="s">
        <v>274</v>
      </c>
    </row>
    <row r="72" spans="2:28" x14ac:dyDescent="0.2">
      <c r="B72" s="144" t="s">
        <v>254</v>
      </c>
      <c r="C72" s="145" t="s">
        <v>255</v>
      </c>
      <c r="I72" s="144" t="s">
        <v>254</v>
      </c>
      <c r="J72" s="145" t="s">
        <v>255</v>
      </c>
      <c r="P72" s="144" t="s">
        <v>254</v>
      </c>
      <c r="Q72" s="145" t="s">
        <v>255</v>
      </c>
      <c r="W72" s="144" t="s">
        <v>254</v>
      </c>
      <c r="X72" s="145" t="s">
        <v>286</v>
      </c>
    </row>
    <row r="73" spans="2:28" x14ac:dyDescent="0.2">
      <c r="B73" s="238"/>
    </row>
    <row r="74" spans="2:28" x14ac:dyDescent="0.2">
      <c r="B74" s="238"/>
    </row>
    <row r="76" spans="2:28" ht="18.75" x14ac:dyDescent="0.3">
      <c r="B76" s="3" t="s">
        <v>275</v>
      </c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  <c r="S76" s="383"/>
      <c r="T76" s="383"/>
      <c r="U76" s="383"/>
    </row>
    <row r="78" spans="2:28" x14ac:dyDescent="0.2">
      <c r="B78" s="59" t="s">
        <v>170</v>
      </c>
      <c r="C78" s="377" t="str" cm="1">
        <f t="array" aca="1" ref="C78" ca="1">_xll.d.TestUtils_And(G83:G91,N83:N100,U83)</f>
        <v>OK</v>
      </c>
    </row>
    <row r="80" spans="2:28" ht="15.75" x14ac:dyDescent="0.25">
      <c r="B80" s="4" t="s">
        <v>278</v>
      </c>
      <c r="C80" s="384"/>
      <c r="D80" s="384"/>
      <c r="E80" s="384"/>
      <c r="F80" s="384"/>
      <c r="G80" s="384"/>
      <c r="I80" s="4" t="s">
        <v>279</v>
      </c>
      <c r="J80" s="384"/>
      <c r="K80" s="384"/>
      <c r="L80" s="384"/>
      <c r="M80" s="384"/>
      <c r="N80" s="384"/>
      <c r="P80" s="4" t="s">
        <v>283</v>
      </c>
      <c r="Q80" s="384"/>
      <c r="R80" s="384"/>
      <c r="S80" s="384"/>
      <c r="T80" s="384"/>
      <c r="U80" s="384"/>
    </row>
    <row r="81" spans="2:21" x14ac:dyDescent="0.2">
      <c r="G81" s="376"/>
      <c r="N81" s="376"/>
    </row>
    <row r="82" spans="2:21" x14ac:dyDescent="0.2">
      <c r="B82" s="138" t="s">
        <v>267</v>
      </c>
      <c r="C82" s="139"/>
      <c r="E82" s="12" t="s">
        <v>144</v>
      </c>
      <c r="F82" s="27" t="s">
        <v>269</v>
      </c>
      <c r="G82" s="139" t="s">
        <v>88</v>
      </c>
      <c r="I82" s="138" t="s">
        <v>267</v>
      </c>
      <c r="J82" s="139"/>
      <c r="L82" s="12" t="s">
        <v>144</v>
      </c>
      <c r="M82" s="27" t="s">
        <v>269</v>
      </c>
      <c r="N82" s="139" t="s">
        <v>88</v>
      </c>
      <c r="P82" s="138" t="s">
        <v>267</v>
      </c>
      <c r="Q82" s="139"/>
      <c r="S82" s="12" t="s">
        <v>144</v>
      </c>
      <c r="T82" s="27" t="s">
        <v>269</v>
      </c>
      <c r="U82" s="139" t="s">
        <v>88</v>
      </c>
    </row>
    <row r="83" spans="2:21" x14ac:dyDescent="0.2">
      <c r="B83" s="140" t="s">
        <v>276</v>
      </c>
      <c r="C83" s="378">
        <v>44562</v>
      </c>
      <c r="E83" s="391" cm="1">
        <f t="array" aca="1" ref="E83:E91" ca="1">_xll.d.Date_GetListOfHolidays(C83,C84,C85)</f>
        <v>44641</v>
      </c>
      <c r="F83" s="392">
        <v>44641</v>
      </c>
      <c r="G83" s="141" t="str" cm="1">
        <f t="array" aca="1" ref="G83" ca="1">_xll.d.TestUtils_Equal(E83,F83)</f>
        <v>OK</v>
      </c>
      <c r="I83" s="140" t="s">
        <v>276</v>
      </c>
      <c r="J83" s="378">
        <v>44562</v>
      </c>
      <c r="L83" s="391" cm="1">
        <f t="array" aca="1" ref="L83:L100" ca="1">_xll.d.Date_GetListOfHolidays(J83,J84,J85)</f>
        <v>44578</v>
      </c>
      <c r="M83" s="392">
        <v>44578</v>
      </c>
      <c r="N83" s="141" t="str" cm="1">
        <f t="array" aca="1" ref="N83" ca="1">_xll.d.TestUtils_Equal(L83,M83)</f>
        <v>OK</v>
      </c>
      <c r="P83" s="140" t="s">
        <v>276</v>
      </c>
      <c r="Q83" s="378">
        <v>44562</v>
      </c>
      <c r="S83" s="385" t="str" cm="1">
        <f t="array" aca="1" ref="S83" ca="1">_xll.d.Date_GetListOfHolidays(Q83,Q84,Q85)</f>
        <v>#∂Excel Error: Unknown calendar: WRE</v>
      </c>
      <c r="T83" s="386" t="s">
        <v>282</v>
      </c>
      <c r="U83" s="387" t="str" cm="1">
        <f t="array" aca="1" ref="U83" ca="1">_xll.d.TestUtils_Equal(S83,T83)</f>
        <v>OK</v>
      </c>
    </row>
    <row r="84" spans="2:21" x14ac:dyDescent="0.2">
      <c r="B84" s="142" t="s">
        <v>277</v>
      </c>
      <c r="C84" s="390">
        <v>44926</v>
      </c>
      <c r="E84" s="393">
        <f ca="1"/>
        <v>44666</v>
      </c>
      <c r="F84" s="394">
        <v>44666</v>
      </c>
      <c r="G84" s="143" t="str" cm="1">
        <f t="array" aca="1" ref="G84" ca="1">_xll.d.TestUtils_Equal(E84,F84)</f>
        <v>OK</v>
      </c>
      <c r="I84" s="142" t="s">
        <v>277</v>
      </c>
      <c r="J84" s="390">
        <v>44926</v>
      </c>
      <c r="L84" s="393">
        <f ca="1"/>
        <v>44613</v>
      </c>
      <c r="M84" s="394">
        <v>44613</v>
      </c>
      <c r="N84" s="143" t="str" cm="1">
        <f t="array" aca="1" ref="N84" ca="1">_xll.d.TestUtils_Equal(L84,M84)</f>
        <v>OK</v>
      </c>
      <c r="P84" s="142" t="s">
        <v>277</v>
      </c>
      <c r="Q84" s="390">
        <v>44926</v>
      </c>
    </row>
    <row r="85" spans="2:21" x14ac:dyDescent="0.2">
      <c r="B85" s="144" t="s">
        <v>253</v>
      </c>
      <c r="C85" s="145" t="s">
        <v>71</v>
      </c>
      <c r="E85" s="393">
        <f ca="1"/>
        <v>44669</v>
      </c>
      <c r="F85" s="394">
        <v>44669</v>
      </c>
      <c r="G85" s="143" t="str" cm="1">
        <f t="array" aca="1" ref="G85" ca="1">_xll.d.TestUtils_Equal(E85,F85)</f>
        <v>OK</v>
      </c>
      <c r="I85" s="144" t="s">
        <v>253</v>
      </c>
      <c r="J85" s="145" t="s">
        <v>274</v>
      </c>
      <c r="L85" s="393">
        <f ca="1"/>
        <v>44641</v>
      </c>
      <c r="M85" s="394">
        <v>44641</v>
      </c>
      <c r="N85" s="143" t="str" cm="1">
        <f t="array" aca="1" ref="N85" ca="1">_xll.d.TestUtils_Equal(L85,M85)</f>
        <v>OK</v>
      </c>
      <c r="P85" s="144" t="s">
        <v>253</v>
      </c>
      <c r="Q85" s="145" t="s">
        <v>281</v>
      </c>
    </row>
    <row r="86" spans="2:21" x14ac:dyDescent="0.2">
      <c r="E86" s="393">
        <f ca="1"/>
        <v>44678</v>
      </c>
      <c r="F86" s="394">
        <v>44678</v>
      </c>
      <c r="G86" s="143" t="str" cm="1">
        <f t="array" aca="1" ref="G86" ca="1">_xll.d.TestUtils_Equal(E86,F86)</f>
        <v>OK</v>
      </c>
      <c r="L86" s="393">
        <f ca="1"/>
        <v>44666</v>
      </c>
      <c r="M86" s="394">
        <v>44666</v>
      </c>
      <c r="N86" s="143" t="str" cm="1">
        <f t="array" aca="1" ref="N86" ca="1">_xll.d.TestUtils_Equal(L86,M86)</f>
        <v>OK</v>
      </c>
    </row>
    <row r="87" spans="2:21" x14ac:dyDescent="0.2">
      <c r="E87" s="393">
        <f ca="1"/>
        <v>44683</v>
      </c>
      <c r="F87" s="394">
        <v>44683</v>
      </c>
      <c r="G87" s="143" t="str" cm="1">
        <f t="array" aca="1" ref="G87" ca="1">_xll.d.TestUtils_Equal(E87,F87)</f>
        <v>OK</v>
      </c>
      <c r="L87" s="393">
        <f ca="1"/>
        <v>44669</v>
      </c>
      <c r="M87" s="394">
        <v>44669</v>
      </c>
      <c r="N87" s="143" t="str" cm="1">
        <f t="array" aca="1" ref="N87" ca="1">_xll.d.TestUtils_Equal(L87,M87)</f>
        <v>OK</v>
      </c>
    </row>
    <row r="88" spans="2:21" x14ac:dyDescent="0.2">
      <c r="E88" s="393">
        <f ca="1"/>
        <v>44728</v>
      </c>
      <c r="F88" s="394">
        <v>44728</v>
      </c>
      <c r="G88" s="143" t="str" cm="1">
        <f t="array" aca="1" ref="G88" ca="1">_xll.d.TestUtils_Equal(E88,F88)</f>
        <v>OK</v>
      </c>
      <c r="L88" s="393">
        <f ca="1"/>
        <v>44678</v>
      </c>
      <c r="M88" s="394">
        <v>44678</v>
      </c>
      <c r="N88" s="143" t="str" cm="1">
        <f t="array" aca="1" ref="N88" ca="1">_xll.d.TestUtils_Equal(L88,M88)</f>
        <v>OK</v>
      </c>
    </row>
    <row r="89" spans="2:21" x14ac:dyDescent="0.2">
      <c r="E89" s="393">
        <f ca="1"/>
        <v>44782</v>
      </c>
      <c r="F89" s="394">
        <v>44782</v>
      </c>
      <c r="G89" s="143" t="str" cm="1">
        <f t="array" aca="1" ref="G89" ca="1">_xll.d.TestUtils_Equal(E89,F89)</f>
        <v>OK</v>
      </c>
      <c r="L89" s="393">
        <f ca="1"/>
        <v>44683</v>
      </c>
      <c r="M89" s="394">
        <v>44683</v>
      </c>
      <c r="N89" s="143" t="str" cm="1">
        <f t="array" aca="1" ref="N89" ca="1">_xll.d.TestUtils_Equal(L89,M89)</f>
        <v>OK</v>
      </c>
    </row>
    <row r="90" spans="2:21" x14ac:dyDescent="0.2">
      <c r="E90" s="393">
        <f ca="1"/>
        <v>44911</v>
      </c>
      <c r="F90" s="394">
        <v>44911</v>
      </c>
      <c r="G90" s="143" t="str" cm="1">
        <f t="array" aca="1" ref="G90" ca="1">_xll.d.TestUtils_Equal(E90,F90)</f>
        <v>OK</v>
      </c>
      <c r="L90" s="393">
        <f ca="1"/>
        <v>44711</v>
      </c>
      <c r="M90" s="394">
        <v>44711</v>
      </c>
      <c r="N90" s="143" t="str" cm="1">
        <f t="array" aca="1" ref="N90" ca="1">_xll.d.TestUtils_Equal(L90,M90)</f>
        <v>OK</v>
      </c>
    </row>
    <row r="91" spans="2:21" x14ac:dyDescent="0.2">
      <c r="E91" s="395">
        <f ca="1"/>
        <v>44921</v>
      </c>
      <c r="F91" s="396">
        <v>44921</v>
      </c>
      <c r="G91" s="145" t="str" cm="1">
        <f t="array" aca="1" ref="G91" ca="1">_xll.d.TestUtils_Equal(E91,F91)</f>
        <v>OK</v>
      </c>
      <c r="L91" s="393">
        <f ca="1"/>
        <v>44728</v>
      </c>
      <c r="M91" s="394">
        <v>44728</v>
      </c>
      <c r="N91" s="143" t="str" cm="1">
        <f t="array" aca="1" ref="N91" ca="1">_xll.d.TestUtils_Equal(L91,M91)</f>
        <v>OK</v>
      </c>
    </row>
    <row r="92" spans="2:21" x14ac:dyDescent="0.2">
      <c r="G92" s="376"/>
      <c r="L92" s="393">
        <f ca="1"/>
        <v>44732</v>
      </c>
      <c r="M92" s="394">
        <v>44732</v>
      </c>
      <c r="N92" s="143" t="str" cm="1">
        <f t="array" aca="1" ref="N92" ca="1">_xll.d.TestUtils_Equal(L92,M92)</f>
        <v>OK</v>
      </c>
    </row>
    <row r="93" spans="2:21" x14ac:dyDescent="0.2">
      <c r="G93" s="376"/>
      <c r="L93" s="393">
        <f ca="1"/>
        <v>44746</v>
      </c>
      <c r="M93" s="394">
        <v>44746</v>
      </c>
      <c r="N93" s="143" t="str" cm="1">
        <f t="array" aca="1" ref="N93" ca="1">_xll.d.TestUtils_Equal(L93,M93)</f>
        <v>OK</v>
      </c>
    </row>
    <row r="94" spans="2:21" x14ac:dyDescent="0.2">
      <c r="G94" s="376"/>
      <c r="L94" s="393">
        <f ca="1"/>
        <v>44782</v>
      </c>
      <c r="M94" s="394">
        <v>44782</v>
      </c>
      <c r="N94" s="143" t="str" cm="1">
        <f t="array" aca="1" ref="N94" ca="1">_xll.d.TestUtils_Equal(L94,M94)</f>
        <v>OK</v>
      </c>
    </row>
    <row r="95" spans="2:21" x14ac:dyDescent="0.2">
      <c r="G95" s="376"/>
      <c r="L95" s="393">
        <f ca="1"/>
        <v>44809</v>
      </c>
      <c r="M95" s="394">
        <v>44809</v>
      </c>
      <c r="N95" s="143" t="str" cm="1">
        <f t="array" aca="1" ref="N95" ca="1">_xll.d.TestUtils_Equal(L95,M95)</f>
        <v>OK</v>
      </c>
    </row>
    <row r="96" spans="2:21" x14ac:dyDescent="0.2">
      <c r="G96" s="376"/>
      <c r="L96" s="393">
        <f ca="1"/>
        <v>44844</v>
      </c>
      <c r="M96" s="394">
        <v>44844</v>
      </c>
      <c r="N96" s="143" t="str" cm="1">
        <f t="array" aca="1" ref="N96" ca="1">_xll.d.TestUtils_Equal(L96,M96)</f>
        <v>OK</v>
      </c>
    </row>
    <row r="97" spans="2:21" x14ac:dyDescent="0.2">
      <c r="G97" s="376"/>
      <c r="L97" s="393">
        <f ca="1"/>
        <v>44876</v>
      </c>
      <c r="M97" s="394">
        <v>44876</v>
      </c>
      <c r="N97" s="143" t="str" cm="1">
        <f t="array" aca="1" ref="N97" ca="1">_xll.d.TestUtils_Equal(L97,M97)</f>
        <v>OK</v>
      </c>
    </row>
    <row r="98" spans="2:21" x14ac:dyDescent="0.2">
      <c r="G98" s="376"/>
      <c r="L98" s="393">
        <f ca="1"/>
        <v>44889</v>
      </c>
      <c r="M98" s="394">
        <v>44889</v>
      </c>
      <c r="N98" s="143" t="str" cm="1">
        <f t="array" aca="1" ref="N98" ca="1">_xll.d.TestUtils_Equal(L98,M98)</f>
        <v>OK</v>
      </c>
    </row>
    <row r="99" spans="2:21" x14ac:dyDescent="0.2">
      <c r="G99" s="376"/>
      <c r="L99" s="393">
        <f ca="1"/>
        <v>44911</v>
      </c>
      <c r="M99" s="394">
        <v>44911</v>
      </c>
      <c r="N99" s="143" t="str" cm="1">
        <f t="array" aca="1" ref="N99" ca="1">_xll.d.TestUtils_Equal(L99,M99)</f>
        <v>OK</v>
      </c>
    </row>
    <row r="100" spans="2:21" x14ac:dyDescent="0.2">
      <c r="G100" s="376"/>
      <c r="L100" s="395">
        <f ca="1"/>
        <v>44921</v>
      </c>
      <c r="M100" s="396">
        <v>44921</v>
      </c>
      <c r="N100" s="145" t="str" cm="1">
        <f t="array" aca="1" ref="N100" ca="1">_xll.d.TestUtils_Equal(L100,M100)</f>
        <v>OK</v>
      </c>
    </row>
    <row r="104" spans="2:21" ht="18.75" x14ac:dyDescent="0.3">
      <c r="B104" s="3" t="s">
        <v>290</v>
      </c>
      <c r="C104" s="383"/>
      <c r="D104" s="383"/>
      <c r="E104" s="383"/>
      <c r="F104" s="383"/>
      <c r="G104" s="383"/>
      <c r="H104" s="383"/>
      <c r="I104" s="383"/>
      <c r="J104" s="383"/>
      <c r="K104" s="383"/>
      <c r="L104" s="383"/>
      <c r="M104" s="383"/>
      <c r="N104" s="383"/>
      <c r="O104" s="383"/>
      <c r="P104" s="383"/>
      <c r="Q104" s="383"/>
      <c r="R104" s="383"/>
      <c r="S104" s="383"/>
      <c r="T104" s="383"/>
      <c r="U104" s="383"/>
    </row>
    <row r="106" spans="2:21" x14ac:dyDescent="0.2">
      <c r="B106" s="59" t="s">
        <v>170</v>
      </c>
      <c r="C106" s="377" t="str" cm="1">
        <f t="array" aca="1" ref="C106" ca="1">_xll.d.TestUtils_And(H111:I115)</f>
        <v>OK</v>
      </c>
    </row>
    <row r="108" spans="2:21" ht="15.75" x14ac:dyDescent="0.25">
      <c r="B108" s="4" t="s">
        <v>115</v>
      </c>
      <c r="C108" s="384"/>
      <c r="D108" s="384"/>
      <c r="E108" s="384"/>
      <c r="F108" s="384"/>
      <c r="G108" s="384"/>
      <c r="H108" s="384"/>
      <c r="I108" s="384"/>
    </row>
    <row r="110" spans="2:21" x14ac:dyDescent="0.2">
      <c r="B110" s="138" t="s">
        <v>144</v>
      </c>
      <c r="C110" s="139"/>
      <c r="E110" s="138" t="s">
        <v>144</v>
      </c>
      <c r="F110" s="139"/>
      <c r="H110" s="138" t="s">
        <v>88</v>
      </c>
      <c r="I110" s="139"/>
    </row>
    <row r="111" spans="2:21" x14ac:dyDescent="0.2">
      <c r="B111" s="136" t="str" cm="1">
        <f t="array" aca="1" ref="B111:C115" ca="1">_xll.d.Date_GetAvailableBusinessDayConventions()</f>
        <v>Variant 1</v>
      </c>
      <c r="C111" s="137" t="str">
        <f ca="1"/>
        <v>Variant 2</v>
      </c>
      <c r="E111" s="136" t="s">
        <v>291</v>
      </c>
      <c r="F111" s="137" t="s">
        <v>292</v>
      </c>
      <c r="H111" s="377" t="str" cm="1">
        <f t="array" aca="1" ref="H111" ca="1">_xll.d.TestUtils_Equal(B111,E111)</f>
        <v>OK</v>
      </c>
      <c r="I111" s="377" t="str" cm="1">
        <f t="array" ref="I111">_xll.d.TestUtils_Equal(C111,F111)</f>
        <v>OK</v>
      </c>
    </row>
    <row r="112" spans="2:21" x14ac:dyDescent="0.2">
      <c r="B112" s="140" t="str">
        <f ca="1"/>
        <v>Fol</v>
      </c>
      <c r="C112" s="141" t="str">
        <f ca="1"/>
        <v>Following</v>
      </c>
      <c r="E112" s="140" t="s">
        <v>293</v>
      </c>
      <c r="F112" s="141" t="s">
        <v>294</v>
      </c>
      <c r="H112" s="377" t="str" cm="1">
        <f t="array" ref="H112">_xll.d.TestUtils_Equal(B112,E112)</f>
        <v>OK</v>
      </c>
      <c r="I112" s="377" t="str" cm="1">
        <f t="array" ref="I112">_xll.d.TestUtils_Equal(C112,F112)</f>
        <v>OK</v>
      </c>
    </row>
    <row r="113" spans="2:21" x14ac:dyDescent="0.2">
      <c r="B113" s="142" t="str">
        <f ca="1"/>
        <v>ModFol</v>
      </c>
      <c r="C113" s="143" t="str">
        <f ca="1"/>
        <v>ModifiedFollowing</v>
      </c>
      <c r="E113" s="142" t="s">
        <v>295</v>
      </c>
      <c r="F113" s="143" t="s">
        <v>296</v>
      </c>
      <c r="H113" s="377" t="str" cm="1">
        <f t="array" ref="H113">_xll.d.TestUtils_Equal(B113,E113)</f>
        <v>OK</v>
      </c>
      <c r="I113" s="377" t="str" cm="1">
        <f t="array" ref="I113">_xll.d.TestUtils_Equal(C113,F113)</f>
        <v>OK</v>
      </c>
    </row>
    <row r="114" spans="2:21" x14ac:dyDescent="0.2">
      <c r="B114" s="142" t="str">
        <f ca="1"/>
        <v>ModPrec</v>
      </c>
      <c r="C114" s="143" t="str">
        <f ca="1"/>
        <v>ModPreceding</v>
      </c>
      <c r="E114" s="142" t="s">
        <v>297</v>
      </c>
      <c r="F114" s="143" t="s">
        <v>298</v>
      </c>
      <c r="H114" s="377" t="str" cm="1">
        <f t="array" ref="H114">_xll.d.TestUtils_Equal(B114,E114)</f>
        <v>OK</v>
      </c>
      <c r="I114" s="377" t="str" cm="1">
        <f t="array" ref="I114">_xll.d.TestUtils_Equal(C114,F114)</f>
        <v>OK</v>
      </c>
    </row>
    <row r="115" spans="2:21" x14ac:dyDescent="0.2">
      <c r="B115" s="144" t="str">
        <f ca="1"/>
        <v>Prec</v>
      </c>
      <c r="C115" s="145" t="str">
        <f ca="1"/>
        <v>Preceding</v>
      </c>
      <c r="E115" s="144" t="s">
        <v>299</v>
      </c>
      <c r="F115" s="145" t="s">
        <v>300</v>
      </c>
      <c r="H115" s="377" t="str" cm="1">
        <f t="array" ref="H115">_xll.d.TestUtils_Equal(B115,E115)</f>
        <v>OK</v>
      </c>
      <c r="I115" s="377" t="str" cm="1">
        <f t="array" ref="I115">_xll.d.TestUtils_Equal(C115,F115)</f>
        <v>OK</v>
      </c>
    </row>
    <row r="119" spans="2:21" ht="18.75" x14ac:dyDescent="0.3">
      <c r="B119" s="3" t="s">
        <v>301</v>
      </c>
      <c r="C119" s="383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  <c r="S119" s="383"/>
      <c r="T119" s="383"/>
      <c r="U119" s="383"/>
    </row>
    <row r="121" spans="2:21" x14ac:dyDescent="0.2">
      <c r="B121" s="59" t="s">
        <v>170</v>
      </c>
      <c r="C121" s="377" t="str" cm="1">
        <f t="array" aca="1" ref="C121" ca="1">_xll.d.TestUtils_And(L126:O130)</f>
        <v>OK</v>
      </c>
    </row>
    <row r="123" spans="2:21" ht="15.75" x14ac:dyDescent="0.25">
      <c r="B123" s="4" t="s">
        <v>115</v>
      </c>
      <c r="C123" s="384"/>
      <c r="D123" s="384"/>
      <c r="E123" s="384"/>
      <c r="F123" s="384"/>
      <c r="G123" s="384"/>
      <c r="H123" s="384"/>
      <c r="I123" s="384"/>
    </row>
    <row r="125" spans="2:21" x14ac:dyDescent="0.2">
      <c r="B125" s="138" t="s">
        <v>144</v>
      </c>
      <c r="C125" s="231"/>
      <c r="D125" s="231"/>
      <c r="E125" s="139"/>
      <c r="G125" s="138" t="s">
        <v>144</v>
      </c>
      <c r="H125" s="231"/>
      <c r="I125" s="231"/>
      <c r="J125" s="139"/>
      <c r="L125" s="138" t="s">
        <v>88</v>
      </c>
      <c r="M125" s="139"/>
      <c r="N125" s="139"/>
      <c r="O125" s="139"/>
    </row>
    <row r="126" spans="2:21" x14ac:dyDescent="0.2">
      <c r="B126" s="136" t="str" cm="1">
        <f t="array" aca="1" ref="B126:E130" ca="1">_xll.d.Date_GetAvailableDayCountConventions()</f>
        <v>Variant 1</v>
      </c>
      <c r="C126" s="344" t="str">
        <f ca="1"/>
        <v>Variant 2</v>
      </c>
      <c r="D126" s="344" t="str">
        <f ca="1"/>
        <v>Variant 3</v>
      </c>
      <c r="E126" s="137" t="str">
        <f ca="1"/>
        <v>Variant 4</v>
      </c>
      <c r="G126" s="136" t="s">
        <v>291</v>
      </c>
      <c r="H126" s="344" t="s">
        <v>292</v>
      </c>
      <c r="I126" s="344" t="s">
        <v>302</v>
      </c>
      <c r="J126" s="137" t="s">
        <v>303</v>
      </c>
      <c r="L126" s="377" t="str" cm="1">
        <f t="array" ref="L126">_xll.d.TestUtils_Equal(B126,G126)</f>
        <v>OK</v>
      </c>
      <c r="M126" s="377" t="str" cm="1">
        <f t="array" ref="M126">_xll.d.TestUtils_Equal(C126,H126)</f>
        <v>OK</v>
      </c>
      <c r="N126" s="377" t="str" cm="1">
        <f t="array" ref="N126">_xll.d.TestUtils_Equal(D126,I126)</f>
        <v>OK</v>
      </c>
      <c r="O126" s="377" t="str" cm="1">
        <f t="array" ref="O126">_xll.d.TestUtils_Equal(E126,J126)</f>
        <v>OK</v>
      </c>
    </row>
    <row r="127" spans="2:21" x14ac:dyDescent="0.2">
      <c r="B127" s="140" t="str">
        <f ca="1"/>
        <v>Act360</v>
      </c>
      <c r="C127" s="403" t="str">
        <f ca="1"/>
        <v>Actual360</v>
      </c>
      <c r="D127" s="403" t="str">
        <f ca="1"/>
        <v/>
      </c>
      <c r="E127" s="141" t="str">
        <f ca="1"/>
        <v/>
      </c>
      <c r="G127" s="140" t="s">
        <v>304</v>
      </c>
      <c r="H127" s="403" t="s">
        <v>305</v>
      </c>
      <c r="I127" s="403" t="s">
        <v>306</v>
      </c>
      <c r="J127" s="141" t="s">
        <v>306</v>
      </c>
      <c r="L127" s="377" t="str" cm="1">
        <f t="array" ref="L127">_xll.d.TestUtils_Equal(B127,G127)</f>
        <v>OK</v>
      </c>
      <c r="M127" s="377" t="str" cm="1">
        <f t="array" ref="M127">_xll.d.TestUtils_Equal(C127,H127)</f>
        <v>OK</v>
      </c>
      <c r="N127" s="377" t="str" cm="1">
        <f t="array" ref="N127">_xll.d.TestUtils_Equal(D127,I127)</f>
        <v>OK</v>
      </c>
      <c r="O127" s="377" t="str" cm="1">
        <f t="array" ref="O127">_xll.d.TestUtils_Equal(E127,J127)</f>
        <v>OK</v>
      </c>
    </row>
    <row r="128" spans="2:21" x14ac:dyDescent="0.2">
      <c r="B128" s="142" t="str">
        <f ca="1"/>
        <v>Act365</v>
      </c>
      <c r="C128" s="332" t="str">
        <f ca="1"/>
        <v>Act365F</v>
      </c>
      <c r="D128" s="332" t="str">
        <f ca="1"/>
        <v>Actual365</v>
      </c>
      <c r="E128" s="143" t="str">
        <f ca="1"/>
        <v>Actual365F</v>
      </c>
      <c r="G128" s="142" t="s">
        <v>307</v>
      </c>
      <c r="H128" s="332" t="s">
        <v>308</v>
      </c>
      <c r="I128" s="332" t="s">
        <v>73</v>
      </c>
      <c r="J128" s="143" t="s">
        <v>309</v>
      </c>
      <c r="L128" s="377" t="str" cm="1">
        <f t="array" ref="L128">_xll.d.TestUtils_Equal(B128,G128)</f>
        <v>OK</v>
      </c>
      <c r="M128" s="377" t="str" cm="1">
        <f t="array" ref="M128">_xll.d.TestUtils_Equal(C128,H128)</f>
        <v>OK</v>
      </c>
      <c r="N128" s="377" t="str" cm="1">
        <f t="array" ref="N128">_xll.d.TestUtils_Equal(D128,I128)</f>
        <v>OK</v>
      </c>
      <c r="O128" s="377" t="str" cm="1">
        <f t="array" ref="O128">_xll.d.TestUtils_Equal(E128,J128)</f>
        <v>OK</v>
      </c>
    </row>
    <row r="129" spans="2:15" x14ac:dyDescent="0.2">
      <c r="B129" s="142" t="str">
        <f ca="1"/>
        <v>ActAct</v>
      </c>
      <c r="C129" s="332" t="str">
        <f ca="1"/>
        <v>ActualActual</v>
      </c>
      <c r="D129" s="332" t="str">
        <f ca="1"/>
        <v/>
      </c>
      <c r="E129" s="143" t="str">
        <f ca="1"/>
        <v/>
      </c>
      <c r="G129" s="142" t="s">
        <v>310</v>
      </c>
      <c r="H129" s="332" t="s">
        <v>311</v>
      </c>
      <c r="I129" s="332" t="s">
        <v>306</v>
      </c>
      <c r="J129" s="143" t="s">
        <v>306</v>
      </c>
      <c r="L129" s="377" t="str" cm="1">
        <f t="array" ref="L129">_xll.d.TestUtils_Equal(B129,G129)</f>
        <v>OK</v>
      </c>
      <c r="M129" s="377" t="str" cm="1">
        <f t="array" ref="M129">_xll.d.TestUtils_Equal(C129,H129)</f>
        <v>OK</v>
      </c>
      <c r="N129" s="377" t="str" cm="1">
        <f t="array" ref="N129">_xll.d.TestUtils_Equal(D129,I129)</f>
        <v>OK</v>
      </c>
      <c r="O129" s="377" t="str" cm="1">
        <f t="array" ref="O129">_xll.d.TestUtils_Equal(E129,J129)</f>
        <v>OK</v>
      </c>
    </row>
    <row r="130" spans="2:15" x14ac:dyDescent="0.2">
      <c r="B130" s="144" t="str">
        <f ca="1"/>
        <v>Bus252</v>
      </c>
      <c r="C130" s="230" t="str">
        <f ca="1"/>
        <v>Business252</v>
      </c>
      <c r="D130" s="230" t="str">
        <f ca="1"/>
        <v/>
      </c>
      <c r="E130" s="145" t="str">
        <f ca="1"/>
        <v/>
      </c>
      <c r="G130" s="144" t="s">
        <v>312</v>
      </c>
      <c r="H130" s="230" t="s">
        <v>313</v>
      </c>
      <c r="I130" s="230" t="s">
        <v>306</v>
      </c>
      <c r="J130" s="145" t="s">
        <v>306</v>
      </c>
      <c r="L130" s="377" t="str" cm="1">
        <f t="array" ref="L130">_xll.d.TestUtils_Equal(B130,G130)</f>
        <v>OK</v>
      </c>
      <c r="M130" s="377" t="str" cm="1">
        <f t="array" ref="M130">_xll.d.TestUtils_Equal(C130,H130)</f>
        <v>OK</v>
      </c>
      <c r="N130" s="377" t="str" cm="1">
        <f t="array" ref="N130">_xll.d.TestUtils_Equal(D130,I130)</f>
        <v>OK</v>
      </c>
      <c r="O130" s="377" t="str" cm="1">
        <f t="array" ref="O130">_xll.d.TestUtils_Equal(E130,J130)</f>
        <v>OK</v>
      </c>
    </row>
  </sheetData>
  <conditionalFormatting sqref="D8:D12">
    <cfRule type="cellIs" dxfId="268" priority="108" stopIfTrue="1" operator="equal">
      <formula>"ERROR"</formula>
    </cfRule>
    <cfRule type="cellIs" dxfId="267" priority="109" stopIfTrue="1" operator="equal">
      <formula>"OK"</formula>
    </cfRule>
    <cfRule type="cellIs" dxfId="266" priority="110" stopIfTrue="1" operator="equal">
      <formula>"WARNING"</formula>
    </cfRule>
  </conditionalFormatting>
  <conditionalFormatting sqref="C4">
    <cfRule type="cellIs" dxfId="265" priority="82" stopIfTrue="1" operator="equal">
      <formula>"ERROR"</formula>
    </cfRule>
    <cfRule type="cellIs" dxfId="264" priority="83" stopIfTrue="1" operator="equal">
      <formula>"OK"</formula>
    </cfRule>
    <cfRule type="cellIs" dxfId="263" priority="84" stopIfTrue="1" operator="equal">
      <formula>"WARNING"</formula>
    </cfRule>
  </conditionalFormatting>
  <conditionalFormatting sqref="C19">
    <cfRule type="cellIs" dxfId="262" priority="76" stopIfTrue="1" operator="equal">
      <formula>"ERROR"</formula>
    </cfRule>
  </conditionalFormatting>
  <conditionalFormatting sqref="C19">
    <cfRule type="cellIs" dxfId="261" priority="77" stopIfTrue="1" operator="equal">
      <formula>"OK"</formula>
    </cfRule>
  </conditionalFormatting>
  <conditionalFormatting sqref="C19">
    <cfRule type="cellIs" dxfId="260" priority="78" stopIfTrue="1" operator="equal">
      <formula>"WARNING"</formula>
    </cfRule>
  </conditionalFormatting>
  <conditionalFormatting sqref="G24">
    <cfRule type="cellIs" dxfId="259" priority="111" stopIfTrue="1" operator="equal">
      <formula>"ERROR"</formula>
    </cfRule>
    <cfRule type="cellIs" dxfId="258" priority="112" stopIfTrue="1" operator="equal">
      <formula>"OK"</formula>
    </cfRule>
    <cfRule type="cellIs" dxfId="257" priority="113" stopIfTrue="1" operator="equal">
      <formula>"WARNING"</formula>
    </cfRule>
  </conditionalFormatting>
  <conditionalFormatting sqref="N24">
    <cfRule type="cellIs" dxfId="256" priority="73" stopIfTrue="1" operator="equal">
      <formula>"ERROR"</formula>
    </cfRule>
    <cfRule type="cellIs" dxfId="255" priority="74" stopIfTrue="1" operator="equal">
      <formula>"OK"</formula>
    </cfRule>
    <cfRule type="cellIs" dxfId="254" priority="75" stopIfTrue="1" operator="equal">
      <formula>"WARNING"</formula>
    </cfRule>
  </conditionalFormatting>
  <conditionalFormatting sqref="U24">
    <cfRule type="cellIs" dxfId="253" priority="70" stopIfTrue="1" operator="equal">
      <formula>"ERROR"</formula>
    </cfRule>
    <cfRule type="cellIs" dxfId="252" priority="71" stopIfTrue="1" operator="equal">
      <formula>"OK"</formula>
    </cfRule>
    <cfRule type="cellIs" dxfId="251" priority="72" stopIfTrue="1" operator="equal">
      <formula>"WARNING"</formula>
    </cfRule>
  </conditionalFormatting>
  <conditionalFormatting sqref="G83:G91">
    <cfRule type="cellIs" dxfId="250" priority="114" stopIfTrue="1" operator="equal">
      <formula>"ERROR"</formula>
    </cfRule>
    <cfRule type="cellIs" dxfId="249" priority="115" stopIfTrue="1" operator="equal">
      <formula>"OK"</formula>
    </cfRule>
    <cfRule type="cellIs" dxfId="248" priority="116" stopIfTrue="1" operator="equal">
      <formula>"WARNING"</formula>
    </cfRule>
  </conditionalFormatting>
  <conditionalFormatting sqref="C78">
    <cfRule type="cellIs" dxfId="247" priority="67" stopIfTrue="1" operator="equal">
      <formula>"ERROR"</formula>
    </cfRule>
  </conditionalFormatting>
  <conditionalFormatting sqref="C78">
    <cfRule type="cellIs" dxfId="246" priority="68" stopIfTrue="1" operator="equal">
      <formula>"OK"</formula>
    </cfRule>
  </conditionalFormatting>
  <conditionalFormatting sqref="C78">
    <cfRule type="cellIs" dxfId="245" priority="69" stopIfTrue="1" operator="equal">
      <formula>"WARNING"</formula>
    </cfRule>
  </conditionalFormatting>
  <conditionalFormatting sqref="N83:N100">
    <cfRule type="cellIs" dxfId="244" priority="64" stopIfTrue="1" operator="equal">
      <formula>"ERROR"</formula>
    </cfRule>
    <cfRule type="cellIs" dxfId="243" priority="65" stopIfTrue="1" operator="equal">
      <formula>"OK"</formula>
    </cfRule>
    <cfRule type="cellIs" dxfId="242" priority="66" stopIfTrue="1" operator="equal">
      <formula>"WARNING"</formula>
    </cfRule>
  </conditionalFormatting>
  <conditionalFormatting sqref="AB24">
    <cfRule type="cellIs" dxfId="241" priority="61" stopIfTrue="1" operator="equal">
      <formula>"ERROR"</formula>
    </cfRule>
    <cfRule type="cellIs" dxfId="240" priority="62" stopIfTrue="1" operator="equal">
      <formula>"OK"</formula>
    </cfRule>
    <cfRule type="cellIs" dxfId="239" priority="63" stopIfTrue="1" operator="equal">
      <formula>"WARNING"</formula>
    </cfRule>
  </conditionalFormatting>
  <conditionalFormatting sqref="C34">
    <cfRule type="cellIs" dxfId="238" priority="55" stopIfTrue="1" operator="equal">
      <formula>"ERROR"</formula>
    </cfRule>
  </conditionalFormatting>
  <conditionalFormatting sqref="C34">
    <cfRule type="cellIs" dxfId="237" priority="56" stopIfTrue="1" operator="equal">
      <formula>"OK"</formula>
    </cfRule>
  </conditionalFormatting>
  <conditionalFormatting sqref="C34">
    <cfRule type="cellIs" dxfId="236" priority="57" stopIfTrue="1" operator="equal">
      <formula>"WARNING"</formula>
    </cfRule>
  </conditionalFormatting>
  <conditionalFormatting sqref="G39">
    <cfRule type="cellIs" dxfId="235" priority="58" stopIfTrue="1" operator="equal">
      <formula>"ERROR"</formula>
    </cfRule>
    <cfRule type="cellIs" dxfId="234" priority="59" stopIfTrue="1" operator="equal">
      <formula>"OK"</formula>
    </cfRule>
    <cfRule type="cellIs" dxfId="233" priority="60" stopIfTrue="1" operator="equal">
      <formula>"WARNING"</formula>
    </cfRule>
  </conditionalFormatting>
  <conditionalFormatting sqref="N39">
    <cfRule type="cellIs" dxfId="232" priority="52" stopIfTrue="1" operator="equal">
      <formula>"ERROR"</formula>
    </cfRule>
    <cfRule type="cellIs" dxfId="231" priority="53" stopIfTrue="1" operator="equal">
      <formula>"OK"</formula>
    </cfRule>
    <cfRule type="cellIs" dxfId="230" priority="54" stopIfTrue="1" operator="equal">
      <formula>"WARNING"</formula>
    </cfRule>
  </conditionalFormatting>
  <conditionalFormatting sqref="U39">
    <cfRule type="cellIs" dxfId="229" priority="49" stopIfTrue="1" operator="equal">
      <formula>"ERROR"</formula>
    </cfRule>
    <cfRule type="cellIs" dxfId="228" priority="50" stopIfTrue="1" operator="equal">
      <formula>"OK"</formula>
    </cfRule>
    <cfRule type="cellIs" dxfId="227" priority="51" stopIfTrue="1" operator="equal">
      <formula>"WARNING"</formula>
    </cfRule>
  </conditionalFormatting>
  <conditionalFormatting sqref="AB39">
    <cfRule type="cellIs" dxfId="226" priority="46" stopIfTrue="1" operator="equal">
      <formula>"ERROR"</formula>
    </cfRule>
    <cfRule type="cellIs" dxfId="225" priority="47" stopIfTrue="1" operator="equal">
      <formula>"OK"</formula>
    </cfRule>
    <cfRule type="cellIs" dxfId="224" priority="48" stopIfTrue="1" operator="equal">
      <formula>"WARNING"</formula>
    </cfRule>
  </conditionalFormatting>
  <conditionalFormatting sqref="C49">
    <cfRule type="cellIs" dxfId="223" priority="40" stopIfTrue="1" operator="equal">
      <formula>"ERROR"</formula>
    </cfRule>
  </conditionalFormatting>
  <conditionalFormatting sqref="C49">
    <cfRule type="cellIs" dxfId="222" priority="41" stopIfTrue="1" operator="equal">
      <formula>"OK"</formula>
    </cfRule>
  </conditionalFormatting>
  <conditionalFormatting sqref="C49">
    <cfRule type="cellIs" dxfId="221" priority="42" stopIfTrue="1" operator="equal">
      <formula>"WARNING"</formula>
    </cfRule>
  </conditionalFormatting>
  <conditionalFormatting sqref="G54">
    <cfRule type="cellIs" dxfId="220" priority="43" stopIfTrue="1" operator="equal">
      <formula>"ERROR"</formula>
    </cfRule>
    <cfRule type="cellIs" dxfId="219" priority="44" stopIfTrue="1" operator="equal">
      <formula>"OK"</formula>
    </cfRule>
    <cfRule type="cellIs" dxfId="218" priority="45" stopIfTrue="1" operator="equal">
      <formula>"WARNING"</formula>
    </cfRule>
  </conditionalFormatting>
  <conditionalFormatting sqref="N54">
    <cfRule type="cellIs" dxfId="217" priority="37" stopIfTrue="1" operator="equal">
      <formula>"ERROR"</formula>
    </cfRule>
    <cfRule type="cellIs" dxfId="216" priority="38" stopIfTrue="1" operator="equal">
      <formula>"OK"</formula>
    </cfRule>
    <cfRule type="cellIs" dxfId="215" priority="39" stopIfTrue="1" operator="equal">
      <formula>"WARNING"</formula>
    </cfRule>
  </conditionalFormatting>
  <conditionalFormatting sqref="U54">
    <cfRule type="cellIs" dxfId="214" priority="34" stopIfTrue="1" operator="equal">
      <formula>"ERROR"</formula>
    </cfRule>
    <cfRule type="cellIs" dxfId="213" priority="35" stopIfTrue="1" operator="equal">
      <formula>"OK"</formula>
    </cfRule>
    <cfRule type="cellIs" dxfId="212" priority="36" stopIfTrue="1" operator="equal">
      <formula>"WARNING"</formula>
    </cfRule>
  </conditionalFormatting>
  <conditionalFormatting sqref="AB54">
    <cfRule type="cellIs" dxfId="211" priority="31" stopIfTrue="1" operator="equal">
      <formula>"ERROR"</formula>
    </cfRule>
    <cfRule type="cellIs" dxfId="210" priority="32" stopIfTrue="1" operator="equal">
      <formula>"OK"</formula>
    </cfRule>
    <cfRule type="cellIs" dxfId="209" priority="33" stopIfTrue="1" operator="equal">
      <formula>"WARNING"</formula>
    </cfRule>
  </conditionalFormatting>
  <conditionalFormatting sqref="G69">
    <cfRule type="cellIs" dxfId="208" priority="25" stopIfTrue="1" operator="equal">
      <formula>"ERROR"</formula>
    </cfRule>
    <cfRule type="cellIs" dxfId="207" priority="26" stopIfTrue="1" operator="equal">
      <formula>"OK"</formula>
    </cfRule>
    <cfRule type="cellIs" dxfId="206" priority="27" stopIfTrue="1" operator="equal">
      <formula>"WARNING"</formula>
    </cfRule>
  </conditionalFormatting>
  <conditionalFormatting sqref="C64">
    <cfRule type="cellIs" dxfId="205" priority="22" stopIfTrue="1" operator="equal">
      <formula>"ERROR"</formula>
    </cfRule>
  </conditionalFormatting>
  <conditionalFormatting sqref="C64">
    <cfRule type="cellIs" dxfId="204" priority="23" stopIfTrue="1" operator="equal">
      <formula>"OK"</formula>
    </cfRule>
  </conditionalFormatting>
  <conditionalFormatting sqref="C64">
    <cfRule type="cellIs" dxfId="203" priority="24" stopIfTrue="1" operator="equal">
      <formula>"WARNING"</formula>
    </cfRule>
  </conditionalFormatting>
  <conditionalFormatting sqref="N69">
    <cfRule type="cellIs" dxfId="202" priority="19" stopIfTrue="1" operator="equal">
      <formula>"ERROR"</formula>
    </cfRule>
    <cfRule type="cellIs" dxfId="201" priority="20" stopIfTrue="1" operator="equal">
      <formula>"OK"</formula>
    </cfRule>
    <cfRule type="cellIs" dxfId="200" priority="21" stopIfTrue="1" operator="equal">
      <formula>"WARNING"</formula>
    </cfRule>
  </conditionalFormatting>
  <conditionalFormatting sqref="U69">
    <cfRule type="cellIs" dxfId="199" priority="16" stopIfTrue="1" operator="equal">
      <formula>"ERROR"</formula>
    </cfRule>
    <cfRule type="cellIs" dxfId="198" priority="17" stopIfTrue="1" operator="equal">
      <formula>"OK"</formula>
    </cfRule>
    <cfRule type="cellIs" dxfId="197" priority="18" stopIfTrue="1" operator="equal">
      <formula>"WARNING"</formula>
    </cfRule>
  </conditionalFormatting>
  <conditionalFormatting sqref="AB69">
    <cfRule type="cellIs" dxfId="196" priority="13" stopIfTrue="1" operator="equal">
      <formula>"ERROR"</formula>
    </cfRule>
    <cfRule type="cellIs" dxfId="195" priority="14" stopIfTrue="1" operator="equal">
      <formula>"OK"</formula>
    </cfRule>
    <cfRule type="cellIs" dxfId="194" priority="15" stopIfTrue="1" operator="equal">
      <formula>"WARNING"</formula>
    </cfRule>
  </conditionalFormatting>
  <conditionalFormatting sqref="U83">
    <cfRule type="cellIs" dxfId="193" priority="10" stopIfTrue="1" operator="equal">
      <formula>"ERROR"</formula>
    </cfRule>
    <cfRule type="cellIs" dxfId="192" priority="11" stopIfTrue="1" operator="equal">
      <formula>"OK"</formula>
    </cfRule>
    <cfRule type="cellIs" dxfId="191" priority="12" stopIfTrue="1" operator="equal">
      <formula>"WARNING"</formula>
    </cfRule>
  </conditionalFormatting>
  <conditionalFormatting sqref="C106">
    <cfRule type="cellIs" dxfId="190" priority="7" stopIfTrue="1" operator="equal">
      <formula>"ERROR"</formula>
    </cfRule>
  </conditionalFormatting>
  <conditionalFormatting sqref="C106">
    <cfRule type="cellIs" dxfId="189" priority="8" stopIfTrue="1" operator="equal">
      <formula>"OK"</formula>
    </cfRule>
  </conditionalFormatting>
  <conditionalFormatting sqref="C106">
    <cfRule type="cellIs" dxfId="188" priority="9" stopIfTrue="1" operator="equal">
      <formula>"WARNING"</formula>
    </cfRule>
  </conditionalFormatting>
  <conditionalFormatting sqref="H111:I115">
    <cfRule type="cellIs" dxfId="187" priority="117" stopIfTrue="1" operator="equal">
      <formula>"ERROR"</formula>
    </cfRule>
  </conditionalFormatting>
  <conditionalFormatting sqref="H111:I115">
    <cfRule type="cellIs" dxfId="186" priority="118" stopIfTrue="1" operator="equal">
      <formula>"OK"</formula>
    </cfRule>
  </conditionalFormatting>
  <conditionalFormatting sqref="H111:I115">
    <cfRule type="cellIs" dxfId="185" priority="119" stopIfTrue="1" operator="equal">
      <formula>"WARNING"</formula>
    </cfRule>
  </conditionalFormatting>
  <conditionalFormatting sqref="D12">
    <cfRule type="cellIs" dxfId="184" priority="120" stopIfTrue="1" operator="equal">
      <formula>"ERROR"</formula>
    </cfRule>
    <cfRule type="cellIs" dxfId="183" priority="121" stopIfTrue="1" operator="equal">
      <formula>"OK"</formula>
    </cfRule>
    <cfRule type="cellIs" dxfId="182" priority="122" stopIfTrue="1" operator="equal">
      <formula>"WARNING"</formula>
    </cfRule>
  </conditionalFormatting>
  <conditionalFormatting sqref="D13:D14">
    <cfRule type="cellIs" dxfId="181" priority="123" stopIfTrue="1" operator="equal">
      <formula>"ERROR"</formula>
    </cfRule>
    <cfRule type="cellIs" dxfId="180" priority="124" stopIfTrue="1" operator="equal">
      <formula>"OK"</formula>
    </cfRule>
    <cfRule type="cellIs" dxfId="179" priority="125" stopIfTrue="1" operator="equal">
      <formula>"WARNING"</formula>
    </cfRule>
  </conditionalFormatting>
  <conditionalFormatting sqref="C121">
    <cfRule type="cellIs" dxfId="178" priority="1" stopIfTrue="1" operator="equal">
      <formula>"ERROR"</formula>
    </cfRule>
  </conditionalFormatting>
  <conditionalFormatting sqref="C121">
    <cfRule type="cellIs" dxfId="177" priority="2" stopIfTrue="1" operator="equal">
      <formula>"OK"</formula>
    </cfRule>
  </conditionalFormatting>
  <conditionalFormatting sqref="C121">
    <cfRule type="cellIs" dxfId="176" priority="3" stopIfTrue="1" operator="equal">
      <formula>"WARNING"</formula>
    </cfRule>
  </conditionalFormatting>
  <conditionalFormatting sqref="L126:O130">
    <cfRule type="cellIs" dxfId="175" priority="4" stopIfTrue="1" operator="equal">
      <formula>"ERROR"</formula>
    </cfRule>
  </conditionalFormatting>
  <conditionalFormatting sqref="L126:O130">
    <cfRule type="cellIs" dxfId="174" priority="5" stopIfTrue="1" operator="equal">
      <formula>"OK"</formula>
    </cfRule>
  </conditionalFormatting>
  <conditionalFormatting sqref="L126:O130">
    <cfRule type="cellIs" dxfId="173" priority="6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85" zoomScaleNormal="85" workbookViewId="0">
      <selection activeCell="B2" sqref="B2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170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85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25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25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25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25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25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25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72" priority="11" stopIfTrue="1" operator="equal">
      <formula>"OK"</formula>
    </cfRule>
    <cfRule type="cellIs" dxfId="171" priority="12" stopIfTrue="1" operator="equal">
      <formula>"ERROR"</formula>
    </cfRule>
  </conditionalFormatting>
  <conditionalFormatting sqref="G16">
    <cfRule type="cellIs" dxfId="170" priority="9" stopIfTrue="1" operator="equal">
      <formula>"OK"</formula>
    </cfRule>
    <cfRule type="cellIs" dxfId="169" priority="10" stopIfTrue="1" operator="equal">
      <formula>"ERROR"</formula>
    </cfRule>
  </conditionalFormatting>
  <conditionalFormatting sqref="C12">
    <cfRule type="cellIs" dxfId="168" priority="13" stopIfTrue="1" operator="equal">
      <formula>"OK"</formula>
    </cfRule>
    <cfRule type="cellIs" dxfId="167" priority="14" stopIfTrue="1" operator="equal">
      <formula>"ERROR"</formula>
    </cfRule>
  </conditionalFormatting>
  <conditionalFormatting sqref="I21:I2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L21:L25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O21:O2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S1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opLeftCell="XEM1" zoomScale="115" zoomScaleNormal="115" workbookViewId="0">
      <selection activeCell="XFD6" sqref="XFD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170</v>
      </c>
      <c r="C6" s="185" t="str" cm="1">
        <f t="array" ref="C6">_xll.d.TestUtils_And(D10:D13)</f>
        <v>ERROR</v>
      </c>
    </row>
    <row r="8" spans="2:25" x14ac:dyDescent="0.25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25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25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25">
      <c r="K11" s="242"/>
      <c r="L11" s="243"/>
      <c r="V11" s="242"/>
      <c r="W11" s="243"/>
    </row>
    <row r="12" spans="2:25" x14ac:dyDescent="0.25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25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25">
      <c r="B14" s="238"/>
      <c r="C14" s="276"/>
      <c r="D14" s="185"/>
      <c r="K14" s="242"/>
      <c r="L14" s="243"/>
      <c r="V14" s="242"/>
      <c r="W14" s="243"/>
    </row>
    <row r="15" spans="2:25" x14ac:dyDescent="0.25">
      <c r="K15" s="242"/>
      <c r="L15" s="243"/>
      <c r="V15" s="242"/>
      <c r="W15" s="243"/>
    </row>
    <row r="16" spans="2:25" x14ac:dyDescent="0.25">
      <c r="K16" s="242"/>
      <c r="L16" s="243"/>
      <c r="V16" s="242"/>
      <c r="W16" s="243"/>
    </row>
    <row r="17" spans="2:50" ht="18.75" x14ac:dyDescent="0.3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42"/>
      <c r="L18" s="243"/>
      <c r="V18" s="242"/>
      <c r="W18" s="243"/>
    </row>
    <row r="19" spans="2:50" ht="15.75" x14ac:dyDescent="0.25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25">
      <c r="K20" s="242"/>
      <c r="L20" s="243"/>
      <c r="V20" s="242"/>
      <c r="W20" s="243"/>
    </row>
    <row r="21" spans="2:50" x14ac:dyDescent="0.25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25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25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25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25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25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25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25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25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25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42"/>
      <c r="L61" s="243"/>
      <c r="V61" s="242"/>
      <c r="W61" s="243"/>
    </row>
    <row r="62" spans="11:33" x14ac:dyDescent="0.25">
      <c r="K62" s="242"/>
      <c r="L62" s="243"/>
      <c r="V62" s="242"/>
      <c r="W62" s="243"/>
    </row>
    <row r="63" spans="11:33" x14ac:dyDescent="0.25">
      <c r="K63" s="242"/>
      <c r="L63" s="243"/>
      <c r="V63" s="242"/>
      <c r="W63" s="243"/>
    </row>
    <row r="64" spans="11:33" x14ac:dyDescent="0.25">
      <c r="K64" s="242"/>
      <c r="L64" s="243"/>
      <c r="V64" s="242"/>
      <c r="W64" s="243"/>
    </row>
    <row r="65" spans="11:23" x14ac:dyDescent="0.25">
      <c r="K65" s="242"/>
      <c r="L65" s="243"/>
      <c r="V65" s="242"/>
      <c r="W65" s="243"/>
    </row>
    <row r="66" spans="11:23" x14ac:dyDescent="0.25">
      <c r="K66" s="242"/>
      <c r="L66" s="243"/>
      <c r="V66" s="242"/>
      <c r="W66" s="243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170</v>
      </c>
      <c r="C6" s="185" t="str" cm="1">
        <f t="array" ref="C6">_xll.d.TestUtils_And(D10:D13)</f>
        <v>ERROR</v>
      </c>
    </row>
    <row r="8" spans="2:10" x14ac:dyDescent="0.25">
      <c r="B8" s="228" t="s">
        <v>10</v>
      </c>
      <c r="C8" s="228"/>
      <c r="D8" s="229" t="s">
        <v>11</v>
      </c>
    </row>
    <row r="9" spans="2:10" x14ac:dyDescent="0.25">
      <c r="B9" s="277" t="s">
        <v>226</v>
      </c>
      <c r="C9" s="278"/>
      <c r="D9" s="279"/>
    </row>
    <row r="10" spans="2:10" x14ac:dyDescent="0.25">
      <c r="B10" s="238" t="str">
        <f>B18</f>
        <v>Flat Curve, 3m JIBAR</v>
      </c>
      <c r="C10" s="276"/>
      <c r="D10" s="185" t="str">
        <f>C20</f>
        <v>ERROR</v>
      </c>
    </row>
    <row r="12" spans="2:10" x14ac:dyDescent="0.25">
      <c r="B12" s="277" t="s">
        <v>227</v>
      </c>
      <c r="C12" s="278"/>
      <c r="D12" s="279"/>
    </row>
    <row r="13" spans="2:10" x14ac:dyDescent="0.25">
      <c r="B13" s="238" t="e">
        <f>#REF!</f>
        <v>#REF!</v>
      </c>
      <c r="C13" s="276"/>
      <c r="D13" s="185" t="str">
        <f>C32</f>
        <v>ZAR</v>
      </c>
    </row>
    <row r="16" spans="2:10" ht="18.75" x14ac:dyDescent="0.3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25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25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25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25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25">
      <c r="B28" s="303" t="s">
        <v>236</v>
      </c>
      <c r="C28" s="262">
        <v>44713</v>
      </c>
      <c r="E28" s="62"/>
    </row>
    <row r="29" spans="2:10" x14ac:dyDescent="0.25">
      <c r="B29" s="304" t="s">
        <v>237</v>
      </c>
      <c r="C29" s="283">
        <f>C28+365</f>
        <v>45078</v>
      </c>
      <c r="E29" s="62"/>
    </row>
    <row r="30" spans="2:10" x14ac:dyDescent="0.25">
      <c r="B30" s="305" t="s">
        <v>238</v>
      </c>
      <c r="C30" s="307" t="s">
        <v>241</v>
      </c>
    </row>
    <row r="31" spans="2:10" x14ac:dyDescent="0.25">
      <c r="B31" s="308" t="s">
        <v>242</v>
      </c>
      <c r="C31">
        <v>1000000</v>
      </c>
    </row>
    <row r="32" spans="2:10" x14ac:dyDescent="0.25">
      <c r="B32" s="308" t="s">
        <v>244</v>
      </c>
      <c r="C32" t="s">
        <v>71</v>
      </c>
      <c r="D32" t="s">
        <v>245</v>
      </c>
    </row>
    <row r="33" spans="2:3" x14ac:dyDescent="0.25">
      <c r="B33" s="308" t="s">
        <v>246</v>
      </c>
    </row>
    <row r="34" spans="2:3" x14ac:dyDescent="0.25">
      <c r="B34" s="308" t="s">
        <v>243</v>
      </c>
      <c r="C34" t="s">
        <v>26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170</v>
      </c>
      <c r="C4" s="185" t="str" cm="1">
        <f t="array" ref="C4">_xll.d.TestUtils_And(C7:C16)</f>
        <v>OK</v>
      </c>
    </row>
    <row r="6" spans="2:23" x14ac:dyDescent="0.25">
      <c r="B6" s="228" t="s">
        <v>10</v>
      </c>
      <c r="C6" s="229" t="s">
        <v>11</v>
      </c>
    </row>
    <row r="7" spans="2:23" x14ac:dyDescent="0.25">
      <c r="B7" s="238" t="s">
        <v>115</v>
      </c>
      <c r="C7" s="185" t="str">
        <f>C21</f>
        <v>OK</v>
      </c>
    </row>
    <row r="8" spans="2:23" x14ac:dyDescent="0.25">
      <c r="B8" s="238" t="s">
        <v>117</v>
      </c>
      <c r="C8" s="185" t="str">
        <f>C43</f>
        <v>OK</v>
      </c>
    </row>
    <row r="9" spans="2:23" x14ac:dyDescent="0.25">
      <c r="B9" s="238" t="s">
        <v>118</v>
      </c>
      <c r="C9" s="185" t="str">
        <f>C65</f>
        <v>OK</v>
      </c>
    </row>
    <row r="10" spans="2:23" x14ac:dyDescent="0.25">
      <c r="B10" s="238" t="s">
        <v>121</v>
      </c>
      <c r="C10" s="185" t="str">
        <f>C87</f>
        <v>OK</v>
      </c>
    </row>
    <row r="11" spans="2:23" x14ac:dyDescent="0.25">
      <c r="B11" s="238" t="s">
        <v>127</v>
      </c>
      <c r="C11" s="185" t="str">
        <f>C109</f>
        <v>OK</v>
      </c>
    </row>
    <row r="12" spans="2:23" x14ac:dyDescent="0.25">
      <c r="B12" s="238" t="s">
        <v>129</v>
      </c>
      <c r="C12" s="185" t="str">
        <f>C131</f>
        <v>OK</v>
      </c>
    </row>
    <row r="13" spans="2:23" x14ac:dyDescent="0.25">
      <c r="B13" s="238" t="s">
        <v>174</v>
      </c>
      <c r="C13" s="185" t="str">
        <f>C153</f>
        <v>OK</v>
      </c>
    </row>
    <row r="14" spans="2:23" x14ac:dyDescent="0.25">
      <c r="B14" s="238" t="s">
        <v>179</v>
      </c>
      <c r="C14" s="185" t="str">
        <f>C175</f>
        <v>OK</v>
      </c>
    </row>
    <row r="15" spans="2:23" x14ac:dyDescent="0.25">
      <c r="B15" s="238" t="s">
        <v>185</v>
      </c>
      <c r="C15" s="185" t="str">
        <f>C197</f>
        <v>OK</v>
      </c>
    </row>
    <row r="16" spans="2:23" x14ac:dyDescent="0.25">
      <c r="B16" s="238" t="s">
        <v>204</v>
      </c>
      <c r="C16" s="185" t="str">
        <f>C219</f>
        <v>OK</v>
      </c>
    </row>
    <row r="17" spans="2:23" x14ac:dyDescent="0.25">
      <c r="B17" s="238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85" t="str" cm="1">
        <f t="array" ref="C21">_xll.d.TestUtils_And(C27,F27,K27,P27)</f>
        <v>OK</v>
      </c>
    </row>
    <row r="23" spans="2:23" x14ac:dyDescent="0.25">
      <c r="B23" t="s">
        <v>195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25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25">
      <c r="B30" s="186"/>
    </row>
    <row r="31" spans="2:23" x14ac:dyDescent="0.25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25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25">
      <c r="B33" s="186" t="s">
        <v>139</v>
      </c>
    </row>
    <row r="34" spans="2:23" x14ac:dyDescent="0.25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25">
      <c r="B35" s="186" t="s">
        <v>139</v>
      </c>
      <c r="E35" s="186" t="str" cm="1">
        <f t="array" aca="1" ref="E35" ca="1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25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25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25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25">
      <c r="C39" s="185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85" t="str" cm="1">
        <f t="array" ref="C43">_xll.d.TestUtils_And(C49,F49,K49,P49)</f>
        <v>OK</v>
      </c>
    </row>
    <row r="45" spans="2:23" x14ac:dyDescent="0.25">
      <c r="B45" t="s">
        <v>196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25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25">
      <c r="B52" s="186"/>
    </row>
    <row r="53" spans="2:23" x14ac:dyDescent="0.25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25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25">
      <c r="B55" s="186" t="s">
        <v>139</v>
      </c>
    </row>
    <row r="56" spans="2:23" x14ac:dyDescent="0.25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25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25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25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25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85" t="str" cm="1">
        <f t="array" ref="C65">_xll.d.TestUtils_And(C71,F71,K71,P71)</f>
        <v>OK</v>
      </c>
    </row>
    <row r="67" spans="2:23" x14ac:dyDescent="0.25">
      <c r="B67" t="s">
        <v>197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25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25">
      <c r="B74" s="186"/>
    </row>
    <row r="75" spans="2:23" x14ac:dyDescent="0.25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25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25">
      <c r="B77" s="186" t="s">
        <v>139</v>
      </c>
    </row>
    <row r="78" spans="2:23" x14ac:dyDescent="0.25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25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25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25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25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85" t="str" cm="1">
        <f t="array" ref="C87">_xll.d.TestUtils_And(C93,F93,K93,P93)</f>
        <v>OK</v>
      </c>
    </row>
    <row r="89" spans="2:23" x14ac:dyDescent="0.25">
      <c r="B89" t="s">
        <v>198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25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25">
      <c r="B96" s="186"/>
    </row>
    <row r="97" spans="2:23" x14ac:dyDescent="0.25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25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25">
      <c r="B99" s="186" t="s">
        <v>149</v>
      </c>
    </row>
    <row r="100" spans="2:23" x14ac:dyDescent="0.25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25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25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25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25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85" t="str" cm="1">
        <f t="array" ref="C109">_xll.d.TestUtils_And(C115,F115,K115,P115)</f>
        <v>OK</v>
      </c>
    </row>
    <row r="111" spans="2:23" x14ac:dyDescent="0.25">
      <c r="B111" t="s">
        <v>199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25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25">
      <c r="B118" s="186"/>
    </row>
    <row r="119" spans="2:23" x14ac:dyDescent="0.25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25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25">
      <c r="B121" s="186" t="s">
        <v>149</v>
      </c>
    </row>
    <row r="122" spans="2:23" x14ac:dyDescent="0.25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25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25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25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25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85" t="str" cm="1">
        <f t="array" ref="C131">_xll.d.TestUtils_And(C137,F137,K137,P137)</f>
        <v>OK</v>
      </c>
    </row>
    <row r="133" spans="2:23" x14ac:dyDescent="0.25">
      <c r="B133" t="s">
        <v>200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25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25">
      <c r="B140" s="186"/>
    </row>
    <row r="141" spans="2:23" x14ac:dyDescent="0.25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25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25">
      <c r="B143" s="186" t="s">
        <v>149</v>
      </c>
    </row>
    <row r="144" spans="2:23" x14ac:dyDescent="0.25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25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25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25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25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.75" x14ac:dyDescent="0.3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85" t="str" cm="1">
        <f t="array" ref="C153">_xll.d.TestUtils_And(C159,F159,K159,P159)</f>
        <v>OK</v>
      </c>
    </row>
    <row r="155" spans="2:23" x14ac:dyDescent="0.25">
      <c r="B155" t="s">
        <v>201</v>
      </c>
    </row>
    <row r="157" spans="2:23" ht="15.75" x14ac:dyDescent="0.25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25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25">
      <c r="B162" s="186"/>
    </row>
    <row r="163" spans="2:23" x14ac:dyDescent="0.25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25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25">
      <c r="B165" s="186" t="s">
        <v>153</v>
      </c>
    </row>
    <row r="166" spans="2:23" x14ac:dyDescent="0.25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25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25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25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25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.75" x14ac:dyDescent="0.3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85" t="str" cm="1">
        <f t="array" ref="C175">_xll.d.TestUtils_And(C181,F181,K181,P181)</f>
        <v>OK</v>
      </c>
    </row>
    <row r="177" spans="2:23" x14ac:dyDescent="0.25">
      <c r="B177" t="s">
        <v>202</v>
      </c>
    </row>
    <row r="179" spans="2:23" ht="15.75" x14ac:dyDescent="0.25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25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25">
      <c r="B184" s="186"/>
    </row>
    <row r="185" spans="2:23" x14ac:dyDescent="0.25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25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25">
      <c r="B187" s="186" t="s">
        <v>153</v>
      </c>
    </row>
    <row r="188" spans="2:23" x14ac:dyDescent="0.25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25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25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25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25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.75" x14ac:dyDescent="0.3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85" t="str" cm="1">
        <f t="array" ref="C197">_xll.d.TestUtils_And(C203,F203,K203,P203)</f>
        <v>OK</v>
      </c>
    </row>
    <row r="199" spans="2:23" x14ac:dyDescent="0.25">
      <c r="B199" t="s">
        <v>203</v>
      </c>
    </row>
    <row r="201" spans="2:23" ht="15.75" x14ac:dyDescent="0.25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25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25">
      <c r="B206" s="186"/>
    </row>
    <row r="207" spans="2:23" x14ac:dyDescent="0.25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25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25">
      <c r="B209" s="186" t="s">
        <v>153</v>
      </c>
      <c r="C209" t="str">
        <v>WARNING</v>
      </c>
    </row>
    <row r="210" spans="2:23" x14ac:dyDescent="0.25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25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25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25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25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.75" x14ac:dyDescent="0.3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85" t="str" cm="1">
        <f t="array" ref="C219">_xll.d.TestUtils_And(C225,F225,I225,L225)</f>
        <v>OK</v>
      </c>
    </row>
    <row r="221" spans="2:23" x14ac:dyDescent="0.25">
      <c r="B221" t="s">
        <v>209</v>
      </c>
    </row>
    <row r="223" spans="2:23" ht="15.75" x14ac:dyDescent="0.25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25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25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25">
      <c r="B228" s="186"/>
    </row>
    <row r="229" spans="2:21" x14ac:dyDescent="0.25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25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25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25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25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25">
      <c r="H234" s="186"/>
      <c r="I234" s="186"/>
    </row>
    <row r="235" spans="2:21" x14ac:dyDescent="0.25">
      <c r="H235" s="186"/>
      <c r="I235" s="186"/>
      <c r="L235" s="186"/>
    </row>
    <row r="236" spans="2:21" x14ac:dyDescent="0.25">
      <c r="H236" s="186"/>
      <c r="I236" s="186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1:F9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28" t="s">
        <v>10</v>
      </c>
      <c r="C6" s="229" t="s">
        <v>11</v>
      </c>
      <c r="E6" s="154" t="s">
        <v>122</v>
      </c>
      <c r="F6" s="148"/>
    </row>
    <row r="7" spans="2:56" x14ac:dyDescent="0.25">
      <c r="B7" s="225" t="s">
        <v>115</v>
      </c>
      <c r="C7" s="185" t="str">
        <f ca="1">C30</f>
        <v>OK</v>
      </c>
    </row>
    <row r="8" spans="2:56" x14ac:dyDescent="0.25">
      <c r="B8" s="225" t="s">
        <v>117</v>
      </c>
      <c r="C8" s="185" t="str">
        <f ca="1">C54</f>
        <v>OK</v>
      </c>
    </row>
    <row r="9" spans="2:56" x14ac:dyDescent="0.25">
      <c r="B9" s="225" t="s">
        <v>118</v>
      </c>
      <c r="C9" s="185" t="str">
        <f ca="1">C78</f>
        <v>OK</v>
      </c>
    </row>
    <row r="10" spans="2:56" x14ac:dyDescent="0.25">
      <c r="B10" s="225" t="s">
        <v>121</v>
      </c>
      <c r="C10" s="185" t="str">
        <f ca="1">C114</f>
        <v>OK</v>
      </c>
    </row>
    <row r="11" spans="2:56" x14ac:dyDescent="0.25">
      <c r="B11" s="225" t="s">
        <v>127</v>
      </c>
      <c r="C11" s="185" t="str">
        <f ca="1">C150</f>
        <v>OK</v>
      </c>
    </row>
    <row r="12" spans="2:56" x14ac:dyDescent="0.25">
      <c r="B12" s="225" t="s">
        <v>129</v>
      </c>
      <c r="C12" s="185" t="str">
        <f ca="1">C172</f>
        <v>OK</v>
      </c>
    </row>
    <row r="13" spans="2:56" x14ac:dyDescent="0.25">
      <c r="B13" s="225" t="s">
        <v>174</v>
      </c>
      <c r="C13" s="185" t="str">
        <f ca="1">C192</f>
        <v>OK</v>
      </c>
    </row>
    <row r="14" spans="2:56" x14ac:dyDescent="0.25">
      <c r="B14" s="225" t="s">
        <v>179</v>
      </c>
      <c r="C14" s="185" t="str">
        <f ca="1">C209</f>
        <v>OK</v>
      </c>
    </row>
    <row r="17" spans="2:72" s="64" customFormat="1" x14ac:dyDescent="0.25">
      <c r="B17" s="64" t="s">
        <v>93</v>
      </c>
    </row>
    <row r="18" spans="2:72" x14ac:dyDescent="0.25">
      <c r="B18" t="s">
        <v>94</v>
      </c>
    </row>
    <row r="20" spans="2:72" x14ac:dyDescent="0.25">
      <c r="B20" t="s">
        <v>107</v>
      </c>
    </row>
    <row r="22" spans="2:72" x14ac:dyDescent="0.25">
      <c r="B22" s="84" t="s">
        <v>108</v>
      </c>
    </row>
    <row r="23" spans="2:72" x14ac:dyDescent="0.25">
      <c r="B23" s="85" t="s">
        <v>125</v>
      </c>
    </row>
    <row r="24" spans="2:72" x14ac:dyDescent="0.25">
      <c r="B24" s="357" t="s">
        <v>133</v>
      </c>
    </row>
    <row r="25" spans="2:72" x14ac:dyDescent="0.25">
      <c r="B25" s="85" t="s">
        <v>173</v>
      </c>
    </row>
    <row r="26" spans="2:72" x14ac:dyDescent="0.25">
      <c r="B26" s="357" t="s">
        <v>184</v>
      </c>
    </row>
    <row r="28" spans="2:72" ht="18.75" x14ac:dyDescent="0.3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25">
      <c r="B30" s="59" t="s">
        <v>136</v>
      </c>
      <c r="C30" s="185" t="str" cm="1">
        <f t="array" aca="1" ref="C30" ca="1">_xll.d.TestUtils_And(BD45:BT49)</f>
        <v>OK</v>
      </c>
    </row>
    <row r="32" spans="2:72" x14ac:dyDescent="0.25">
      <c r="B32" s="59" t="s">
        <v>116</v>
      </c>
      <c r="C32" s="59" t="s">
        <v>33</v>
      </c>
    </row>
    <row r="33" spans="2:72" x14ac:dyDescent="0.25">
      <c r="B33" s="98" t="s">
        <v>111</v>
      </c>
      <c r="C33" s="167" t="s">
        <v>131</v>
      </c>
    </row>
    <row r="34" spans="2:72" x14ac:dyDescent="0.25">
      <c r="B34" s="92" t="s">
        <v>112</v>
      </c>
      <c r="C34" s="168" t="s">
        <v>0</v>
      </c>
    </row>
    <row r="35" spans="2:72" x14ac:dyDescent="0.25">
      <c r="B35" s="94"/>
      <c r="C35" s="169" t="s">
        <v>113</v>
      </c>
    </row>
    <row r="36" spans="2:72" x14ac:dyDescent="0.25">
      <c r="B36" s="96"/>
      <c r="C36" s="170" t="s">
        <v>114</v>
      </c>
    </row>
    <row r="37" spans="2:72" x14ac:dyDescent="0.25">
      <c r="B37" s="166" t="s">
        <v>130</v>
      </c>
      <c r="C37" s="172">
        <v>2</v>
      </c>
    </row>
    <row r="38" spans="2:72" x14ac:dyDescent="0.25">
      <c r="B38" s="166" t="s">
        <v>131</v>
      </c>
      <c r="C38" s="172">
        <v>0</v>
      </c>
    </row>
    <row r="39" spans="2:72" x14ac:dyDescent="0.25">
      <c r="B39" s="146" t="s">
        <v>119</v>
      </c>
      <c r="C39" s="147"/>
    </row>
    <row r="41" spans="2:72" x14ac:dyDescent="0.25">
      <c r="B41" t="s">
        <v>95</v>
      </c>
    </row>
    <row r="43" spans="2:72" x14ac:dyDescent="0.25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25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25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25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25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25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25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.75" x14ac:dyDescent="0.3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25">
      <c r="B54" s="59" t="s">
        <v>136</v>
      </c>
      <c r="C54" s="185" t="str" cm="1">
        <f t="array" aca="1" ref="C54" ca="1">_xll.d.TestUtils_And(BD69:BT73)</f>
        <v>OK</v>
      </c>
    </row>
    <row r="56" spans="2:72" x14ac:dyDescent="0.25">
      <c r="B56" s="59" t="s">
        <v>116</v>
      </c>
      <c r="C56" s="59" t="s">
        <v>33</v>
      </c>
    </row>
    <row r="57" spans="2:72" x14ac:dyDescent="0.25">
      <c r="B57" s="98" t="s">
        <v>111</v>
      </c>
      <c r="C57" s="99" t="s">
        <v>130</v>
      </c>
    </row>
    <row r="58" spans="2:72" x14ac:dyDescent="0.25">
      <c r="B58" s="92" t="s">
        <v>112</v>
      </c>
      <c r="C58" s="93" t="s">
        <v>0</v>
      </c>
    </row>
    <row r="59" spans="2:72" x14ac:dyDescent="0.25">
      <c r="B59" s="94"/>
      <c r="C59" s="95" t="s">
        <v>113</v>
      </c>
    </row>
    <row r="60" spans="2:72" x14ac:dyDescent="0.25">
      <c r="B60" s="96"/>
      <c r="C60" s="97" t="s">
        <v>114</v>
      </c>
    </row>
    <row r="61" spans="2:72" x14ac:dyDescent="0.25">
      <c r="B61" s="166" t="s">
        <v>130</v>
      </c>
      <c r="C61" s="172">
        <v>2</v>
      </c>
    </row>
    <row r="62" spans="2:72" x14ac:dyDescent="0.25">
      <c r="B62" s="166" t="s">
        <v>131</v>
      </c>
      <c r="C62" s="172">
        <v>0</v>
      </c>
    </row>
    <row r="63" spans="2:72" x14ac:dyDescent="0.25">
      <c r="B63" s="146" t="s">
        <v>119</v>
      </c>
      <c r="C63" s="147"/>
    </row>
    <row r="64" spans="2:72" x14ac:dyDescent="0.25">
      <c r="B64" s="64"/>
      <c r="C64" s="64"/>
    </row>
    <row r="65" spans="2:72" x14ac:dyDescent="0.25">
      <c r="B65" t="s">
        <v>120</v>
      </c>
      <c r="C65" s="64"/>
    </row>
    <row r="66" spans="2:72" x14ac:dyDescent="0.25">
      <c r="B66" s="64"/>
      <c r="C66" s="64"/>
    </row>
    <row r="67" spans="2:72" x14ac:dyDescent="0.25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25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25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25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25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25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25">
      <c r="B74" s="64"/>
      <c r="C74" s="64"/>
    </row>
    <row r="75" spans="2:72" x14ac:dyDescent="0.25">
      <c r="B75" s="64"/>
      <c r="C75" s="64"/>
    </row>
    <row r="76" spans="2:72" ht="18.75" x14ac:dyDescent="0.3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25">
      <c r="B78" s="59" t="s">
        <v>136</v>
      </c>
      <c r="C78" s="185" t="str" cm="1">
        <f t="array" aca="1" ref="C78" ca="1">_xll.d.TestUtils_And(T93:X109)</f>
        <v>OK</v>
      </c>
    </row>
    <row r="80" spans="2:72" x14ac:dyDescent="0.25">
      <c r="B80" s="59" t="s">
        <v>116</v>
      </c>
      <c r="C80" s="59" t="s">
        <v>33</v>
      </c>
    </row>
    <row r="81" spans="2:24" x14ac:dyDescent="0.25">
      <c r="B81" s="98" t="s">
        <v>111</v>
      </c>
      <c r="C81" s="99" t="s">
        <v>131</v>
      </c>
    </row>
    <row r="82" spans="2:24" x14ac:dyDescent="0.25">
      <c r="B82" s="92" t="s">
        <v>112</v>
      </c>
      <c r="C82" s="93" t="s">
        <v>0</v>
      </c>
    </row>
    <row r="83" spans="2:24" x14ac:dyDescent="0.25">
      <c r="B83" s="94"/>
      <c r="C83" s="95" t="s">
        <v>113</v>
      </c>
    </row>
    <row r="84" spans="2:24" x14ac:dyDescent="0.25">
      <c r="B84" s="96"/>
      <c r="C84" s="97" t="s">
        <v>114</v>
      </c>
    </row>
    <row r="85" spans="2:24" x14ac:dyDescent="0.25">
      <c r="B85" s="166" t="s">
        <v>130</v>
      </c>
      <c r="C85" s="172">
        <v>0</v>
      </c>
    </row>
    <row r="86" spans="2:24" x14ac:dyDescent="0.25">
      <c r="B86" s="166" t="s">
        <v>131</v>
      </c>
      <c r="C86" s="172">
        <v>2</v>
      </c>
    </row>
    <row r="87" spans="2:24" x14ac:dyDescent="0.25">
      <c r="B87" s="149" t="s">
        <v>119</v>
      </c>
      <c r="C87" s="148"/>
    </row>
    <row r="89" spans="2:24" x14ac:dyDescent="0.25">
      <c r="B89" t="s">
        <v>95</v>
      </c>
    </row>
    <row r="91" spans="2:24" x14ac:dyDescent="0.25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25">
      <c r="B93" s="397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397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25">
      <c r="B94" s="398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398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25">
      <c r="B95" s="398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398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25">
      <c r="B96" s="398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398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25">
      <c r="B97" s="398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398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25">
      <c r="B98" s="398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398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25">
      <c r="B99" s="398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398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25">
      <c r="B100" s="398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398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25">
      <c r="B101" s="398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398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25">
      <c r="B102" s="398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398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25">
      <c r="B103" s="398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398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25">
      <c r="B104" s="398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398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25">
      <c r="B105" s="398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398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25">
      <c r="B106" s="398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398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25">
      <c r="B107" s="398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398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25">
      <c r="B108" s="398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398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25">
      <c r="B109" s="399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399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.75" x14ac:dyDescent="0.3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25">
      <c r="B114" s="59" t="s">
        <v>136</v>
      </c>
      <c r="C114" s="185" t="str" cm="1">
        <f t="array" aca="1" ref="C114" ca="1">_xll.d.TestUtils_And(T129:X145)</f>
        <v>OK</v>
      </c>
    </row>
    <row r="116" spans="2:20" x14ac:dyDescent="0.25">
      <c r="B116" s="59" t="s">
        <v>116</v>
      </c>
      <c r="C116" s="59" t="s">
        <v>33</v>
      </c>
    </row>
    <row r="117" spans="2:20" x14ac:dyDescent="0.25">
      <c r="B117" s="98" t="s">
        <v>111</v>
      </c>
      <c r="C117" s="99" t="s">
        <v>130</v>
      </c>
    </row>
    <row r="118" spans="2:20" x14ac:dyDescent="0.25">
      <c r="B118" s="92" t="s">
        <v>112</v>
      </c>
      <c r="C118" s="93" t="s">
        <v>0</v>
      </c>
    </row>
    <row r="119" spans="2:20" x14ac:dyDescent="0.25">
      <c r="B119" s="94"/>
      <c r="C119" s="95" t="s">
        <v>113</v>
      </c>
    </row>
    <row r="120" spans="2:20" x14ac:dyDescent="0.25">
      <c r="B120" s="96"/>
      <c r="C120" s="97" t="s">
        <v>114</v>
      </c>
    </row>
    <row r="121" spans="2:20" x14ac:dyDescent="0.25">
      <c r="B121" s="166" t="s">
        <v>130</v>
      </c>
      <c r="C121" s="172">
        <v>0</v>
      </c>
    </row>
    <row r="122" spans="2:20" x14ac:dyDescent="0.25">
      <c r="B122" s="166" t="s">
        <v>131</v>
      </c>
      <c r="C122" s="172">
        <v>2</v>
      </c>
    </row>
    <row r="123" spans="2:20" x14ac:dyDescent="0.25">
      <c r="B123" s="149" t="s">
        <v>119</v>
      </c>
      <c r="C123" s="150"/>
    </row>
    <row r="125" spans="2:20" x14ac:dyDescent="0.25">
      <c r="B125" t="s">
        <v>120</v>
      </c>
    </row>
    <row r="127" spans="2:20" x14ac:dyDescent="0.25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25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00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01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01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01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01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01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01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01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01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01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01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01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01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01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01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01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25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01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.75" x14ac:dyDescent="0.3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25">
      <c r="B150" s="59" t="s">
        <v>136</v>
      </c>
      <c r="C150" s="185" t="str" cm="1">
        <f t="array" aca="1" ref="C150" ca="1">_xll.d.TestUtils_And(K163:L166)</f>
        <v>OK</v>
      </c>
    </row>
    <row r="152" spans="2:55" x14ac:dyDescent="0.25">
      <c r="B152" s="59" t="s">
        <v>116</v>
      </c>
      <c r="C152" s="59" t="s">
        <v>33</v>
      </c>
    </row>
    <row r="153" spans="2:55" x14ac:dyDescent="0.25">
      <c r="B153" s="98" t="s">
        <v>111</v>
      </c>
      <c r="C153" s="99" t="s">
        <v>131</v>
      </c>
    </row>
    <row r="154" spans="2:55" x14ac:dyDescent="0.25">
      <c r="B154" s="92" t="s">
        <v>112</v>
      </c>
      <c r="C154" s="93" t="s">
        <v>128</v>
      </c>
    </row>
    <row r="155" spans="2:55" x14ac:dyDescent="0.25">
      <c r="B155" s="98" t="s">
        <v>130</v>
      </c>
      <c r="C155" s="171">
        <v>2</v>
      </c>
    </row>
    <row r="156" spans="2:55" x14ac:dyDescent="0.25">
      <c r="B156" s="166" t="s">
        <v>131</v>
      </c>
      <c r="C156" s="172">
        <v>0</v>
      </c>
    </row>
    <row r="157" spans="2:55" x14ac:dyDescent="0.25">
      <c r="B157" s="149" t="s">
        <v>119</v>
      </c>
      <c r="C157" s="150"/>
    </row>
    <row r="159" spans="2:55" x14ac:dyDescent="0.25">
      <c r="B159" t="s">
        <v>171</v>
      </c>
    </row>
    <row r="161" spans="2:55" x14ac:dyDescent="0.25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25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25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25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25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25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.75" x14ac:dyDescent="0.3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25">
      <c r="B172" s="59" t="s">
        <v>136</v>
      </c>
      <c r="C172" s="185" t="str" cm="1">
        <f t="array" aca="1" ref="C172" ca="1">_xll.d.TestUtils_And(K183:L187)</f>
        <v>OK</v>
      </c>
    </row>
    <row r="174" spans="2:55" x14ac:dyDescent="0.25">
      <c r="B174" s="59" t="s">
        <v>116</v>
      </c>
      <c r="C174" s="59" t="s">
        <v>33</v>
      </c>
    </row>
    <row r="175" spans="2:55" x14ac:dyDescent="0.25">
      <c r="B175" s="98" t="s">
        <v>111</v>
      </c>
      <c r="C175" s="99" t="s">
        <v>131</v>
      </c>
    </row>
    <row r="176" spans="2:55" x14ac:dyDescent="0.25">
      <c r="B176" s="92" t="s">
        <v>112</v>
      </c>
      <c r="C176" s="93" t="s">
        <v>128</v>
      </c>
    </row>
    <row r="177" spans="2:55" x14ac:dyDescent="0.25">
      <c r="B177" s="149" t="s">
        <v>119</v>
      </c>
      <c r="C177" s="150"/>
    </row>
    <row r="179" spans="2:55" x14ac:dyDescent="0.25">
      <c r="B179" t="s">
        <v>132</v>
      </c>
    </row>
    <row r="181" spans="2:55" x14ac:dyDescent="0.25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25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25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25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25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25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.75" x14ac:dyDescent="0.3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25">
      <c r="B192" s="59" t="s">
        <v>136</v>
      </c>
      <c r="C192" s="185" t="str" cm="1">
        <f t="array" aca="1" ref="C192" ca="1">_xll.d.TestUtils_And(T203:X204)</f>
        <v>OK</v>
      </c>
    </row>
    <row r="194" spans="2:55" x14ac:dyDescent="0.25">
      <c r="B194" s="59" t="s">
        <v>116</v>
      </c>
      <c r="C194" s="59" t="s">
        <v>33</v>
      </c>
    </row>
    <row r="195" spans="2:55" x14ac:dyDescent="0.25">
      <c r="B195" s="98" t="s">
        <v>111</v>
      </c>
      <c r="C195" s="99" t="s">
        <v>130</v>
      </c>
    </row>
    <row r="196" spans="2:55" x14ac:dyDescent="0.25">
      <c r="B196" s="92" t="s">
        <v>112</v>
      </c>
      <c r="C196" s="93" t="s">
        <v>128</v>
      </c>
    </row>
    <row r="197" spans="2:55" x14ac:dyDescent="0.25">
      <c r="B197" s="149" t="s">
        <v>119</v>
      </c>
      <c r="C197" s="150"/>
    </row>
    <row r="199" spans="2:55" x14ac:dyDescent="0.25">
      <c r="B199" t="s">
        <v>132</v>
      </c>
    </row>
    <row r="201" spans="2:55" x14ac:dyDescent="0.25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25">
      <c r="B202" s="155"/>
      <c r="C202" s="155"/>
      <c r="L202" s="156"/>
      <c r="M202" s="156"/>
    </row>
    <row r="203" spans="2:55" ht="15" customHeight="1" x14ac:dyDescent="0.25">
      <c r="B203" s="397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397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25">
      <c r="B204" s="399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399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.75" x14ac:dyDescent="0.3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25">
      <c r="B209" s="59" t="s">
        <v>136</v>
      </c>
      <c r="C209" s="185" t="str" cm="1">
        <f t="array" aca="1" ref="C209" ca="1">_xll.d.TestUtils_And(T223:X229)</f>
        <v>OK</v>
      </c>
    </row>
    <row r="211" spans="2:24" x14ac:dyDescent="0.25">
      <c r="B211" s="59" t="s">
        <v>116</v>
      </c>
      <c r="C211" s="59" t="s">
        <v>33</v>
      </c>
    </row>
    <row r="212" spans="2:24" x14ac:dyDescent="0.25">
      <c r="B212" s="92" t="s">
        <v>111</v>
      </c>
      <c r="C212" s="93" t="s">
        <v>261</v>
      </c>
    </row>
    <row r="213" spans="2:24" x14ac:dyDescent="0.25">
      <c r="B213" s="94"/>
      <c r="C213" s="95" t="s">
        <v>130</v>
      </c>
    </row>
    <row r="214" spans="2:24" x14ac:dyDescent="0.25">
      <c r="B214" s="98" t="s">
        <v>112</v>
      </c>
      <c r="C214" s="99" t="s">
        <v>113</v>
      </c>
    </row>
    <row r="215" spans="2:24" x14ac:dyDescent="0.25">
      <c r="B215" s="166" t="s">
        <v>130</v>
      </c>
      <c r="C215" s="172">
        <v>2</v>
      </c>
    </row>
    <row r="216" spans="2:24" x14ac:dyDescent="0.25">
      <c r="B216" s="166" t="s">
        <v>131</v>
      </c>
      <c r="C216" s="172">
        <v>2</v>
      </c>
    </row>
    <row r="217" spans="2:24" x14ac:dyDescent="0.25">
      <c r="B217" s="149" t="s">
        <v>119</v>
      </c>
      <c r="C217" s="150"/>
    </row>
    <row r="219" spans="2:24" x14ac:dyDescent="0.25">
      <c r="B219" t="s">
        <v>262</v>
      </c>
    </row>
    <row r="221" spans="2:24" x14ac:dyDescent="0.25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25">
      <c r="B222" s="155"/>
      <c r="C222" s="155"/>
      <c r="L222" s="156"/>
      <c r="M222" s="156"/>
    </row>
    <row r="223" spans="2:24" x14ac:dyDescent="0.25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25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25">
      <c r="B225" s="397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397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25">
      <c r="B226" s="398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398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25">
      <c r="B227" s="398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398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25">
      <c r="B228" s="398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398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25">
      <c r="B229" s="399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399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25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30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45:BT49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54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9:BT73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8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93:X109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14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9:X145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50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63:L167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83:L187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72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92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203:X204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9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23:X229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46</vt:i4>
      </vt:variant>
    </vt:vector>
  </HeadingPairs>
  <TitlesOfParts>
    <vt:vector size="5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2022-11-22T13:01:16Z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