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4559F89-B53F-4228-991B-20F03579B9FE}" xr6:coauthVersionLast="47" xr6:coauthVersionMax="47" xr10:uidLastSave="{00000000-0000-0000-0000-000000000000}"/>
  <bookViews>
    <workbookView xWindow="-120" yWindow="-120" windowWidth="20730" windowHeight="11160" tabRatio="721" firstSheet="4" activeTab="12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Curves" sheetId="1" r:id="rId12"/>
    <sheet name="Curve Bootstrapping" sheetId="3" r:id="rId13"/>
    <sheet name="Interest Rate Pricers" sheetId="20" r:id="rId14"/>
    <sheet name="Rate Utils" sheetId="17" r:id="rId15"/>
    <sheet name="HullWhite" sheetId="2" r:id="rId16"/>
    <sheet name="Fixed Income Instruments" sheetId="10" r:id="rId17"/>
    <sheet name="Interest Rate Swaps" sheetId="11" r:id="rId18"/>
    <sheet name="Other" sheetId="7" r:id="rId19"/>
    <sheet name="Fix EMS Links Utils" sheetId="25" r:id="rId20"/>
    <sheet name="Hyperlink Utils" sheetId="24" r:id="rId21"/>
    <sheet name="Test Utils" sheetId="9" r:id="rId22"/>
    <sheet name="Table Formatting" sheetId="5" r:id="rId23"/>
  </sheets>
  <externalReferences>
    <externalReference r:id="rId24"/>
    <externalReference r:id="rId25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4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19">'Fix EMS Links Utils'!#REF!</definedName>
    <definedName name="HyperlinkUtils.Test4.ActionCheck">'Hyperlink Utils'!$E$59</definedName>
    <definedName name="HyperlinkUtils.Test4.Actual" localSheetId="19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19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19">'Fix EMS Links Utils'!$B$2</definedName>
    <definedName name="HyperlinkUtils.Title.HyperlinkUtils">'Hyperlink Utils'!$B$2</definedName>
    <definedName name="HyperlinkUtils.Title.MyHeading" localSheetId="19">'Fix EMS Links Utils'!#REF!</definedName>
    <definedName name="HyperlinkUtils.Title.MyHeading">'Hyperlink Utils'!$T$11</definedName>
    <definedName name="HyperlinkUtils.Title.Test" localSheetId="19">'Fix EMS Links Utils'!#REF!</definedName>
    <definedName name="HyperlinkUtils.Title.Test">'Hyperlink Utils'!$M$8</definedName>
    <definedName name="HyperlinkUtils.Title.Test1" localSheetId="19">'Fix EMS Links Utils'!#REF!</definedName>
    <definedName name="HyperlinkUtils.Title.Test1">'Hyperlink Utils'!$B$14</definedName>
    <definedName name="HyperlinkUtils.Title.Test1SingleCellHeadingwithSingleWord" localSheetId="19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8" l="1" a="1"/>
  <c r="B10" i="8"/>
  <c r="C4" i="13" a="1"/>
  <c r="C4" i="13"/>
  <c r="B92" i="3" a="1"/>
  <c r="B92" i="3"/>
  <c r="B112" i="3" a="1"/>
  <c r="B112" i="3"/>
  <c r="C68" i="3" a="1"/>
  <c r="C68" i="3"/>
  <c r="C72" i="3" a="1"/>
  <c r="C72" i="3"/>
  <c r="D27" i="3" a="1"/>
  <c r="D27" i="3"/>
  <c r="K112" i="3" a="1"/>
  <c r="K112" i="3"/>
  <c r="L112" i="3" a="1"/>
  <c r="L112" i="3"/>
  <c r="M112" i="3" a="1"/>
  <c r="M112" i="3"/>
  <c r="K113" i="3" a="1"/>
  <c r="K113" i="3"/>
  <c r="L113" i="3" a="1"/>
  <c r="L113" i="3"/>
  <c r="M113" i="3" a="1"/>
  <c r="M113" i="3"/>
  <c r="K114" i="3" a="1"/>
  <c r="K114" i="3"/>
  <c r="L114" i="3" a="1"/>
  <c r="L114" i="3"/>
  <c r="M114" i="3" a="1"/>
  <c r="M114" i="3"/>
  <c r="K115" i="3" a="1"/>
  <c r="K115" i="3"/>
  <c r="L115" i="3" a="1"/>
  <c r="L115" i="3"/>
  <c r="M115" i="3" a="1"/>
  <c r="M115" i="3"/>
  <c r="K116" i="3" a="1"/>
  <c r="K116" i="3"/>
  <c r="L116" i="3" a="1"/>
  <c r="L116" i="3"/>
  <c r="M116" i="3" a="1"/>
  <c r="M116" i="3"/>
  <c r="K117" i="3" a="1"/>
  <c r="K117" i="3"/>
  <c r="L117" i="3" a="1"/>
  <c r="L117" i="3"/>
  <c r="M117" i="3" a="1"/>
  <c r="M117" i="3"/>
  <c r="K118" i="3" a="1"/>
  <c r="K118" i="3"/>
  <c r="L118" i="3" a="1"/>
  <c r="L118" i="3"/>
  <c r="M118" i="3" a="1"/>
  <c r="M118" i="3"/>
  <c r="K119" i="3" a="1"/>
  <c r="K119" i="3"/>
  <c r="L119" i="3" a="1"/>
  <c r="L119" i="3"/>
  <c r="M119" i="3" a="1"/>
  <c r="M119" i="3"/>
  <c r="K120" i="3" a="1"/>
  <c r="K120" i="3"/>
  <c r="L120" i="3" a="1"/>
  <c r="L120" i="3"/>
  <c r="M120" i="3" a="1"/>
  <c r="M120" i="3"/>
  <c r="K121" i="3" a="1"/>
  <c r="K121" i="3"/>
  <c r="L121" i="3" a="1"/>
  <c r="L121" i="3"/>
  <c r="M121" i="3" a="1"/>
  <c r="M121" i="3"/>
  <c r="K122" i="3" a="1"/>
  <c r="K122" i="3"/>
  <c r="L122" i="3" a="1"/>
  <c r="L122" i="3"/>
  <c r="M122" i="3" a="1"/>
  <c r="M122" i="3"/>
  <c r="K123" i="3" a="1"/>
  <c r="K123" i="3"/>
  <c r="L123" i="3" a="1"/>
  <c r="L123" i="3"/>
  <c r="M123" i="3" a="1"/>
  <c r="M123" i="3"/>
  <c r="K124" i="3" a="1"/>
  <c r="K124" i="3"/>
  <c r="L124" i="3" a="1"/>
  <c r="L124" i="3"/>
  <c r="M124" i="3" a="1"/>
  <c r="M124" i="3"/>
  <c r="K125" i="3" a="1"/>
  <c r="K125" i="3"/>
  <c r="L125" i="3" a="1"/>
  <c r="L125" i="3"/>
  <c r="M125" i="3" a="1"/>
  <c r="M125" i="3"/>
  <c r="K126" i="3" a="1"/>
  <c r="K126" i="3"/>
  <c r="L126" i="3" a="1"/>
  <c r="L126" i="3"/>
  <c r="M126" i="3" a="1"/>
  <c r="M126" i="3"/>
  <c r="K127" i="3" a="1"/>
  <c r="K127" i="3"/>
  <c r="L127" i="3" a="1"/>
  <c r="L127" i="3"/>
  <c r="M127" i="3" a="1"/>
  <c r="M127" i="3"/>
  <c r="K128" i="3" a="1"/>
  <c r="K128" i="3"/>
  <c r="L128" i="3" a="1"/>
  <c r="L128" i="3"/>
  <c r="M128" i="3" a="1"/>
  <c r="M128" i="3"/>
  <c r="K129" i="3" a="1"/>
  <c r="K129" i="3"/>
  <c r="L129" i="3" a="1"/>
  <c r="L129" i="3"/>
  <c r="M129" i="3" a="1"/>
  <c r="M129" i="3"/>
  <c r="K130" i="3" a="1"/>
  <c r="K130" i="3"/>
  <c r="L130" i="3" a="1"/>
  <c r="L130" i="3"/>
  <c r="M130" i="3" a="1"/>
  <c r="M130" i="3"/>
  <c r="K131" i="3" a="1"/>
  <c r="K131" i="3"/>
  <c r="L131" i="3" a="1"/>
  <c r="L131" i="3"/>
  <c r="M131" i="3" a="1"/>
  <c r="M131" i="3"/>
  <c r="K132" i="3" a="1"/>
  <c r="K132" i="3"/>
  <c r="L132" i="3" a="1"/>
  <c r="L132" i="3"/>
  <c r="M132" i="3" a="1"/>
  <c r="M132" i="3"/>
  <c r="K133" i="3" a="1"/>
  <c r="K133" i="3"/>
  <c r="L133" i="3" a="1"/>
  <c r="L133" i="3"/>
  <c r="M133" i="3" a="1"/>
  <c r="M133" i="3"/>
  <c r="K134" i="3" a="1"/>
  <c r="K134" i="3"/>
  <c r="L134" i="3" a="1"/>
  <c r="L134" i="3"/>
  <c r="M134" i="3" a="1"/>
  <c r="M134" i="3"/>
  <c r="K135" i="3" a="1"/>
  <c r="K135" i="3"/>
  <c r="L135" i="3" a="1"/>
  <c r="L135" i="3"/>
  <c r="M135" i="3" a="1"/>
  <c r="M135" i="3"/>
  <c r="K136" i="3" a="1"/>
  <c r="K136" i="3"/>
  <c r="L136" i="3" a="1"/>
  <c r="L136" i="3"/>
  <c r="M136" i="3" a="1"/>
  <c r="M136" i="3"/>
  <c r="K137" i="3" a="1"/>
  <c r="K137" i="3"/>
  <c r="L137" i="3" a="1"/>
  <c r="L137" i="3"/>
  <c r="M137" i="3" a="1"/>
  <c r="M137" i="3"/>
  <c r="K138" i="3" a="1"/>
  <c r="K138" i="3"/>
  <c r="L138" i="3" a="1"/>
  <c r="L138" i="3"/>
  <c r="M138" i="3" a="1"/>
  <c r="M138" i="3"/>
  <c r="K139" i="3" a="1"/>
  <c r="K139" i="3"/>
  <c r="L139" i="3" a="1"/>
  <c r="L139" i="3"/>
  <c r="M139" i="3" a="1"/>
  <c r="M139" i="3"/>
  <c r="K140" i="3" a="1"/>
  <c r="K140" i="3"/>
  <c r="L140" i="3" a="1"/>
  <c r="L140" i="3"/>
  <c r="M140" i="3" a="1"/>
  <c r="M140" i="3"/>
  <c r="K141" i="3" a="1"/>
  <c r="K141" i="3"/>
  <c r="L141" i="3" a="1"/>
  <c r="L141" i="3"/>
  <c r="M141" i="3" a="1"/>
  <c r="M141" i="3"/>
  <c r="K142" i="3" a="1"/>
  <c r="K142" i="3"/>
  <c r="L142" i="3" a="1"/>
  <c r="L142" i="3"/>
  <c r="M142" i="3" a="1"/>
  <c r="M142" i="3"/>
  <c r="J113" i="3" a="1"/>
  <c r="J113" i="3"/>
  <c r="J114" i="3" a="1"/>
  <c r="J114" i="3"/>
  <c r="J115" i="3" a="1"/>
  <c r="J115" i="3"/>
  <c r="J116" i="3" a="1"/>
  <c r="J116" i="3"/>
  <c r="J117" i="3" a="1"/>
  <c r="J117" i="3"/>
  <c r="J118" i="3" a="1"/>
  <c r="J118" i="3"/>
  <c r="J119" i="3" a="1"/>
  <c r="J119" i="3"/>
  <c r="J120" i="3" a="1"/>
  <c r="J120" i="3"/>
  <c r="J121" i="3" a="1"/>
  <c r="J121" i="3"/>
  <c r="J122" i="3" a="1"/>
  <c r="J122" i="3"/>
  <c r="J123" i="3" a="1"/>
  <c r="J123" i="3"/>
  <c r="J124" i="3" a="1"/>
  <c r="J124" i="3"/>
  <c r="J125" i="3" a="1"/>
  <c r="J125" i="3"/>
  <c r="J126" i="3" a="1"/>
  <c r="J126" i="3"/>
  <c r="J127" i="3" a="1"/>
  <c r="J127" i="3"/>
  <c r="J128" i="3" a="1"/>
  <c r="J128" i="3"/>
  <c r="J129" i="3" a="1"/>
  <c r="J129" i="3"/>
  <c r="J130" i="3" a="1"/>
  <c r="J130" i="3"/>
  <c r="J131" i="3" a="1"/>
  <c r="J131" i="3"/>
  <c r="J132" i="3" a="1"/>
  <c r="J132" i="3"/>
  <c r="J133" i="3" a="1"/>
  <c r="J133" i="3"/>
  <c r="J134" i="3" a="1"/>
  <c r="J134" i="3"/>
  <c r="J135" i="3" a="1"/>
  <c r="J135" i="3"/>
  <c r="J136" i="3" a="1"/>
  <c r="J136" i="3"/>
  <c r="J137" i="3" a="1"/>
  <c r="J137" i="3"/>
  <c r="J138" i="3" a="1"/>
  <c r="J138" i="3"/>
  <c r="J139" i="3" a="1"/>
  <c r="J139" i="3"/>
  <c r="J140" i="3" a="1"/>
  <c r="J140" i="3"/>
  <c r="J141" i="3" a="1"/>
  <c r="J141" i="3"/>
  <c r="J142" i="3" a="1"/>
  <c r="J142" i="3"/>
  <c r="J112" i="3" a="1"/>
  <c r="J112" i="3"/>
  <c r="C6" i="3" a="1"/>
  <c r="C6" i="3"/>
  <c r="BO36" i="3" a="1"/>
  <c r="BO36" i="3"/>
  <c r="BO35" i="3" a="1"/>
  <c r="BO35" i="3"/>
  <c r="BO34" i="3" a="1"/>
  <c r="BO34" i="3"/>
  <c r="BO33" i="3" a="1"/>
  <c r="BO33" i="3"/>
  <c r="BP36" i="3" a="1"/>
  <c r="BP36" i="3"/>
  <c r="BP35" i="3" a="1"/>
  <c r="BP35" i="3"/>
  <c r="BP34" i="3" a="1"/>
  <c r="BP34" i="3"/>
  <c r="BP33" i="3" a="1"/>
  <c r="BP33" i="3"/>
  <c r="BP32" i="3" a="1"/>
  <c r="BP32" i="3"/>
  <c r="BP31" i="3" a="1"/>
  <c r="BP31" i="3"/>
  <c r="BP30" i="3" a="1"/>
  <c r="BP30" i="3"/>
  <c r="BP29" i="3" a="1"/>
  <c r="BP29" i="3"/>
  <c r="BP28" i="3" a="1"/>
  <c r="BP28" i="3"/>
  <c r="BP27" i="3" a="1"/>
  <c r="BP27" i="3"/>
  <c r="BP26" i="3" a="1"/>
  <c r="BP26" i="3"/>
  <c r="BJ27" i="3" a="1"/>
  <c r="BJ27" i="3"/>
  <c r="AU27" i="3" a="1"/>
  <c r="AU27" i="3"/>
  <c r="D11" i="3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52" i="25"/>
  <c r="C52" i="25"/>
  <c r="D52" i="25"/>
  <c r="B45" i="25" a="1"/>
  <c r="C45" i="25" s="1"/>
  <c r="D42" i="25" a="1"/>
  <c r="D42" i="25" s="1"/>
  <c r="D39" i="25" a="1"/>
  <c r="D39" i="25"/>
  <c r="AF31" i="25" a="1"/>
  <c r="AF31" i="25" s="1"/>
  <c r="AH33" i="25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/>
  <c r="C16" i="24" a="1"/>
  <c r="C16" i="24" l="1"/>
  <c r="B45" i="25"/>
  <c r="D28" i="25"/>
  <c r="B33" i="25"/>
  <c r="AF33" i="25"/>
  <c r="D47" i="25"/>
  <c r="D32" i="25"/>
  <c r="D51" i="25"/>
  <c r="B28" i="25"/>
  <c r="C32" i="25"/>
  <c r="AF28" i="25"/>
  <c r="AG32" i="25"/>
  <c r="B47" i="25"/>
  <c r="C51" i="25"/>
  <c r="D33" i="25"/>
  <c r="C33" i="25"/>
  <c r="AH31" i="25"/>
  <c r="B26" i="25"/>
  <c r="AF26" i="25"/>
  <c r="AG33" i="25"/>
  <c r="AH28" i="25"/>
  <c r="C28" i="25"/>
  <c r="AG28" i="25"/>
  <c r="AH32" i="25"/>
  <c r="C47" i="25"/>
  <c r="D27" i="25"/>
  <c r="B32" i="25"/>
  <c r="AH27" i="25"/>
  <c r="AF32" i="25"/>
  <c r="D46" i="25"/>
  <c r="B51" i="25"/>
  <c r="C27" i="25"/>
  <c r="D31" i="25"/>
  <c r="AG27" i="25"/>
  <c r="C46" i="25"/>
  <c r="D50" i="25"/>
  <c r="B27" i="25"/>
  <c r="C31" i="25"/>
  <c r="AF27" i="25"/>
  <c r="AG31" i="25"/>
  <c r="B46" i="25"/>
  <c r="C50" i="25"/>
  <c r="D26" i="25"/>
  <c r="AH26" i="25"/>
  <c r="D45" i="25"/>
  <c r="B72" i="3" l="1"/>
  <c r="D72" i="3" s="1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B73" i="3"/>
  <c r="D73" i="3" s="1"/>
  <c r="B74" i="3"/>
  <c r="D74" i="3" s="1"/>
  <c r="B75" i="3"/>
  <c r="B76" i="3" s="1"/>
  <c r="O27" i="3" a="1"/>
  <c r="AE27" i="3" a="1"/>
  <c r="B77" i="3" l="1"/>
  <c r="D76" i="3"/>
  <c r="D75" i="3"/>
  <c r="AE27" i="3"/>
  <c r="O27" i="3"/>
  <c r="I28" i="3" a="1"/>
  <c r="I29" i="3" a="1"/>
  <c r="D77" i="3" l="1"/>
  <c r="B78" i="3"/>
  <c r="I28" i="3"/>
  <c r="I29" i="3"/>
  <c r="D78" i="3" l="1"/>
  <c r="B79" i="3"/>
  <c r="D79" i="3" l="1"/>
  <c r="B80" i="3"/>
  <c r="D80" i="3" l="1"/>
  <c r="B81" i="3"/>
  <c r="B82" i="3" l="1"/>
  <c r="D81" i="3"/>
  <c r="B83" i="3" l="1"/>
  <c r="D82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26" i="3" s="1"/>
  <c r="BS36" i="3" s="1"/>
  <c r="BN33" i="3" a="1"/>
  <c r="BN35" i="3" a="1"/>
  <c r="BN27" i="3" a="1"/>
  <c r="BN29" i="3" a="1"/>
  <c r="BN30" i="3" a="1"/>
  <c r="BN40" i="3" a="1"/>
  <c r="BN32" i="3" a="1"/>
  <c r="BN36" i="3" a="1"/>
  <c r="BN34" i="3" a="1"/>
  <c r="BN31" i="3" a="1"/>
  <c r="BN28" i="3" a="1"/>
  <c r="C19" i="1" a="1"/>
  <c r="B84" i="3" l="1"/>
  <c r="D83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43" i="3" a="1"/>
  <c r="BO62" i="3" a="1"/>
  <c r="BO71" i="3" a="1"/>
  <c r="BO56" i="3" a="1"/>
  <c r="BO65" i="3" a="1"/>
  <c r="BO54" i="3" a="1"/>
  <c r="BO29" i="3" a="1"/>
  <c r="BO46" i="3" a="1"/>
  <c r="BO64" i="3" a="1"/>
  <c r="BO41" i="3" a="1"/>
  <c r="BO58" i="3" a="1"/>
  <c r="BO69" i="3" a="1"/>
  <c r="BO48" i="3" a="1"/>
  <c r="BO42" i="3" a="1"/>
  <c r="BO60" i="3" a="1"/>
  <c r="BO72" i="3" a="1"/>
  <c r="BO51" i="3" a="1"/>
  <c r="BO50" i="3" a="1"/>
  <c r="BO49" i="3" a="1"/>
  <c r="BO53" i="3" a="1"/>
  <c r="BO45" i="3" a="1"/>
  <c r="BO67" i="3" a="1"/>
  <c r="BO28" i="3" a="1"/>
  <c r="BO68" i="3" a="1"/>
  <c r="BO63" i="3" a="1"/>
  <c r="BO47" i="3" a="1"/>
  <c r="BO52" i="3" a="1"/>
  <c r="BO27" i="3" a="1"/>
  <c r="BO66" i="3" a="1"/>
  <c r="BO57" i="3" a="1"/>
  <c r="BO44" i="3" a="1"/>
  <c r="BO55" i="3" a="1"/>
  <c r="BO70" i="3" a="1"/>
  <c r="BO59" i="3" a="1"/>
  <c r="BO61" i="3" a="1"/>
  <c r="J101" i="3" a="1"/>
  <c r="H94" i="3" a="1"/>
  <c r="J105" i="3" a="1"/>
  <c r="H107" i="3" a="1"/>
  <c r="B94" i="1" a="1"/>
  <c r="J99" i="3" a="1"/>
  <c r="J104" i="3" a="1"/>
  <c r="I94" i="3" a="1"/>
  <c r="I106" i="3" a="1"/>
  <c r="I102" i="3" a="1"/>
  <c r="I95" i="3" a="1"/>
  <c r="H99" i="3" a="1"/>
  <c r="J96" i="3" a="1"/>
  <c r="H106" i="3" a="1"/>
  <c r="I93" i="3" a="1"/>
  <c r="H97" i="3" a="1"/>
  <c r="I100" i="3" a="1"/>
  <c r="J92" i="3" a="1"/>
  <c r="H95" i="3" a="1"/>
  <c r="I92" i="3" a="1"/>
  <c r="J97" i="3" a="1"/>
  <c r="I99" i="3" a="1"/>
  <c r="H98" i="3" a="1"/>
  <c r="J98" i="3" a="1"/>
  <c r="J94" i="3" a="1"/>
  <c r="J93" i="3" a="1"/>
  <c r="I97" i="3" a="1"/>
  <c r="H96" i="3" a="1"/>
  <c r="H93" i="3" a="1"/>
  <c r="J106" i="3" a="1"/>
  <c r="J102" i="3" a="1"/>
  <c r="I103" i="3" a="1"/>
  <c r="J100" i="3" a="1"/>
  <c r="J107" i="3" a="1"/>
  <c r="I104" i="3" a="1"/>
  <c r="I98" i="3" a="1"/>
  <c r="I96" i="3" a="1"/>
  <c r="H102" i="3" a="1"/>
  <c r="I105" i="3" a="1"/>
  <c r="J95" i="3" a="1"/>
  <c r="H103" i="3" a="1"/>
  <c r="H101" i="3" a="1"/>
  <c r="J103" i="3" a="1"/>
  <c r="H104" i="3" a="1"/>
  <c r="H100" i="3" a="1"/>
  <c r="I107" i="3" a="1"/>
  <c r="H105" i="3" a="1"/>
  <c r="I101" i="3" a="1"/>
  <c r="D84" i="3" l="1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AV31" i="3" a="1"/>
  <c r="BO30" i="3" a="1"/>
  <c r="H92" i="3" a="1"/>
  <c r="BT36" i="3" a="1"/>
  <c r="K94" i="1" a="1"/>
  <c r="F72" i="3" a="1"/>
  <c r="F72" i="3" l="1"/>
  <c r="H92" i="3"/>
  <c r="K94" i="1"/>
  <c r="C90" i="1" s="1"/>
  <c r="C10" i="1" s="1"/>
  <c r="BT36" i="3"/>
  <c r="BO30" i="3"/>
  <c r="AV31" i="3"/>
  <c r="AX27" i="3" s="1"/>
  <c r="AY27" i="3" a="1"/>
  <c r="BO31" i="3" a="1"/>
  <c r="BQ27" i="3" a="1"/>
  <c r="BQ28" i="3" a="1"/>
  <c r="BQ26" i="3" a="1"/>
  <c r="BQ30" i="3" a="1"/>
  <c r="BQ29" i="3" a="1"/>
  <c r="C61" i="3" a="1"/>
  <c r="C89" i="3" a="1"/>
  <c r="BE26" i="3" a="1"/>
  <c r="BF34" i="3" a="1"/>
  <c r="BF28" i="3" a="1"/>
  <c r="BF47" i="3" a="1"/>
  <c r="BF44" i="3" a="1"/>
  <c r="BF46" i="3" a="1"/>
  <c r="BF39" i="3" a="1"/>
  <c r="BF31" i="3" a="1"/>
  <c r="BF40" i="3" a="1"/>
  <c r="BF42" i="3" a="1"/>
  <c r="BF45" i="3" a="1"/>
  <c r="BF38" i="3" a="1"/>
  <c r="BF35" i="3" a="1"/>
  <c r="BF32" i="3" a="1"/>
  <c r="BF29" i="3" a="1"/>
  <c r="BF43" i="3" a="1"/>
  <c r="BF33" i="3" a="1"/>
  <c r="BF41" i="3" a="1"/>
  <c r="BF30" i="3" a="1"/>
  <c r="BF37" i="3" a="1"/>
  <c r="BF36" i="3" a="1"/>
  <c r="BF27" i="3" a="1"/>
  <c r="C61" i="3" l="1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O32" i="3" a="1"/>
  <c r="AY28" i="3" a="1"/>
  <c r="BQ31" i="3" a="1"/>
  <c r="BF26" i="3" a="1"/>
  <c r="BQ31" i="3" l="1"/>
  <c r="BO32" i="3"/>
  <c r="BF26" i="3"/>
  <c r="AY28" i="3"/>
  <c r="AX29" i="3"/>
  <c r="AY29" i="3" a="1"/>
  <c r="BQ32" i="3" a="1"/>
  <c r="BQ32" i="3" l="1"/>
  <c r="AY29" i="3"/>
  <c r="AX30" i="3"/>
  <c r="AY30" i="3" a="1"/>
  <c r="BQ33" i="3" a="1"/>
  <c r="BQ33" i="3" l="1"/>
  <c r="AY30" i="3"/>
  <c r="AX31" i="3"/>
  <c r="AY31" i="3" a="1"/>
  <c r="BQ34" i="3" a="1"/>
  <c r="BQ34" i="3" l="1"/>
  <c r="AY31" i="3"/>
  <c r="AX32" i="3"/>
  <c r="AY32" i="3" a="1"/>
  <c r="BQ35" i="3" a="1"/>
  <c r="AZ26" i="3" a="1"/>
  <c r="BA28" i="3" a="1"/>
  <c r="BA30" i="3" a="1"/>
  <c r="BA29" i="3" a="1"/>
  <c r="BA27" i="3" a="1"/>
  <c r="BQ35" i="3" l="1"/>
  <c r="BA27" i="3"/>
  <c r="BA28" i="3"/>
  <c r="BA29" i="3"/>
  <c r="BA30" i="3"/>
  <c r="AY32" i="3"/>
  <c r="AZ26" i="3"/>
  <c r="BQ36" i="3" a="1"/>
  <c r="BA31" i="3" a="1"/>
  <c r="BA26" i="3" a="1"/>
  <c r="BA32" i="3" a="1"/>
  <c r="BA31" i="3" l="1"/>
  <c r="BQ36" i="3"/>
  <c r="BA26" i="3"/>
  <c r="BA32" i="3"/>
  <c r="AZ56" i="3" l="1"/>
  <c r="AZ55" i="3"/>
  <c r="AZ54" i="3"/>
  <c r="AZ53" i="3"/>
  <c r="AZ52" i="3"/>
  <c r="AZ51" i="3"/>
  <c r="E67" i="23" l="1" a="1"/>
  <c r="AX36" i="3" a="1"/>
  <c r="AX42" i="3" l="1"/>
  <c r="AX39" i="3"/>
  <c r="AX41" i="3"/>
  <c r="AX38" i="3"/>
  <c r="AX44" i="3"/>
  <c r="AX37" i="3"/>
  <c r="AX40" i="3"/>
  <c r="AX36" i="3"/>
  <c r="AX43" i="3"/>
  <c r="E67" i="23"/>
  <c r="AY44" i="3" a="1"/>
  <c r="AY43" i="3" a="1"/>
  <c r="AY40" i="3" a="1"/>
  <c r="AY42" i="3" a="1"/>
  <c r="AY39" i="3" a="1"/>
  <c r="AY38" i="3" a="1"/>
  <c r="AY41" i="3" a="1"/>
  <c r="AY37" i="3" a="1"/>
  <c r="AY42" i="3" l="1"/>
  <c r="AY39" i="3"/>
  <c r="AY40" i="3"/>
  <c r="AY43" i="3"/>
  <c r="AY44" i="3"/>
  <c r="AY37" i="3"/>
  <c r="AY41" i="3"/>
  <c r="AY38" i="3"/>
  <c r="AO46" i="3" a="1"/>
  <c r="AO47" i="3" a="1"/>
  <c r="AO43" i="3" a="1"/>
  <c r="AO45" i="3" a="1"/>
  <c r="AO44" i="3" a="1"/>
  <c r="AO43" i="3" l="1"/>
  <c r="AO45" i="3"/>
  <c r="AO47" i="3"/>
  <c r="AO44" i="3"/>
  <c r="AO46" i="3"/>
  <c r="BI24" i="3" a="1"/>
  <c r="AP47" i="3" a="1"/>
  <c r="AP46" i="3" a="1"/>
  <c r="AP43" i="3" a="1"/>
  <c r="AP44" i="3" a="1"/>
  <c r="AP45" i="3" a="1"/>
  <c r="BI24" i="3" l="1"/>
  <c r="AP45" i="3"/>
  <c r="AP43" i="3"/>
  <c r="AP46" i="3"/>
  <c r="AP44" i="3"/>
  <c r="AP47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R38" i="3" a="1"/>
  <c r="R42" i="3" a="1"/>
  <c r="AF31" i="3" a="1"/>
  <c r="R36" i="3" a="1"/>
  <c r="R34" i="3" a="1"/>
  <c r="R35" i="3" a="1"/>
  <c r="R37" i="3" a="1"/>
  <c r="AF31" i="3" l="1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5" i="3" a="1"/>
  <c r="S63" i="3" a="1"/>
  <c r="S59" i="3" a="1"/>
  <c r="S61" i="3" a="1"/>
  <c r="S66" i="3" a="1"/>
  <c r="AH36" i="3" a="1"/>
  <c r="S74" i="3" a="1"/>
  <c r="S58" i="3" a="1"/>
  <c r="S68" i="3" a="1"/>
  <c r="S55" i="3" a="1"/>
  <c r="S73" i="3" a="1"/>
  <c r="S69" i="3" a="1"/>
  <c r="S57" i="3" a="1"/>
  <c r="S67" i="3" a="1"/>
  <c r="S60" i="3" a="1"/>
  <c r="S52" i="3" a="1"/>
  <c r="S71" i="3" a="1"/>
  <c r="S62" i="3" a="1"/>
  <c r="S64" i="3" a="1"/>
  <c r="S72" i="3" a="1"/>
  <c r="S70" i="3" a="1"/>
  <c r="S56" i="3" a="1"/>
  <c r="AO30" i="3" a="1"/>
  <c r="D48" i="1" a="1"/>
  <c r="AJ27" i="3" a="1"/>
  <c r="AO36" i="3" a="1"/>
  <c r="AO41" i="3" a="1"/>
  <c r="AO34" i="3" a="1"/>
  <c r="AO39" i="3" a="1"/>
  <c r="AO27" i="3" a="1"/>
  <c r="AO38" i="3" a="1"/>
  <c r="Y36" i="3" a="1"/>
  <c r="AO40" i="3" a="1"/>
  <c r="AO37" i="3" a="1"/>
  <c r="U43" i="3" a="1"/>
  <c r="T43" i="3" a="1"/>
  <c r="AO31" i="3" a="1"/>
  <c r="AO29" i="3" a="1"/>
  <c r="AO42" i="3" a="1"/>
  <c r="AO35" i="3" a="1"/>
  <c r="AO33" i="3" a="1"/>
  <c r="AO28" i="3" a="1"/>
  <c r="AO32" i="3" a="1"/>
  <c r="AJ27" i="3" l="1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28" i="3" a="1"/>
  <c r="AP39" i="3" a="1"/>
  <c r="AP37" i="3" a="1"/>
  <c r="AP32" i="3" a="1"/>
  <c r="AP29" i="3" a="1"/>
  <c r="AP38" i="3" a="1"/>
  <c r="AP35" i="3" a="1"/>
  <c r="AP42" i="3" a="1"/>
  <c r="AP31" i="3" a="1"/>
  <c r="AP36" i="3" a="1"/>
  <c r="AP34" i="3" a="1"/>
  <c r="AP41" i="3" a="1"/>
  <c r="AP27" i="3" a="1"/>
  <c r="AP33" i="3" a="1"/>
  <c r="AP40" i="3" a="1"/>
  <c r="Z36" i="3" a="1"/>
  <c r="AP30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0" i="3" a="1"/>
  <c r="R31" i="3" a="1"/>
  <c r="S29" i="3" a="1"/>
  <c r="R33" i="3" a="1"/>
  <c r="R32" i="3" a="1"/>
  <c r="S29" i="3" l="1"/>
  <c r="R31" i="3"/>
  <c r="R32" i="3"/>
  <c r="R30" i="3"/>
  <c r="R33" i="3"/>
  <c r="S51" i="3" a="1"/>
  <c r="S47" i="3" a="1"/>
  <c r="S53" i="3" a="1"/>
  <c r="S30" i="3" a="1"/>
  <c r="S46" i="3" a="1"/>
  <c r="S44" i="3" a="1"/>
  <c r="S45" i="3" a="1"/>
  <c r="S48" i="3" a="1"/>
  <c r="S43" i="3" a="1"/>
  <c r="S31" i="3" a="1"/>
  <c r="S50" i="3" a="1"/>
  <c r="S49" i="3" a="1"/>
  <c r="S54" i="3" a="1"/>
  <c r="T31" i="3" a="1"/>
  <c r="T30" i="3" a="1"/>
  <c r="Y39" i="3" a="1"/>
  <c r="Y34" i="3" a="1"/>
  <c r="Y41" i="3" a="1"/>
  <c r="T38" i="3" a="1"/>
  <c r="T29" i="3" a="1"/>
  <c r="T32" i="3" a="1"/>
  <c r="T37" i="3" a="1"/>
  <c r="T28" i="3" a="1"/>
  <c r="T33" i="3" a="1"/>
  <c r="Y32" i="3" a="1"/>
  <c r="Y33" i="3" a="1"/>
  <c r="T35" i="3" a="1"/>
  <c r="Y43" i="3" a="1"/>
  <c r="Y31" i="3" a="1"/>
  <c r="AO26" i="3" a="1"/>
  <c r="Y28" i="3" a="1"/>
  <c r="T34" i="3" a="1"/>
  <c r="T36" i="3" a="1"/>
  <c r="Y42" i="3" a="1"/>
  <c r="Y37" i="3" a="1"/>
  <c r="Y40" i="3" a="1"/>
  <c r="Y44" i="3" a="1"/>
  <c r="Y30" i="3" a="1"/>
  <c r="Y35" i="3" a="1"/>
  <c r="Y38" i="3" a="1"/>
  <c r="Y29" i="3" a="1"/>
  <c r="AO26" i="3" l="1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0" i="3"/>
  <c r="T37" i="3"/>
  <c r="T38" i="3"/>
  <c r="T36" i="3"/>
  <c r="T34" i="3"/>
  <c r="T35" i="3"/>
  <c r="T31" i="3"/>
  <c r="T33" i="3"/>
  <c r="T32" i="3"/>
  <c r="S30" i="3"/>
  <c r="S31" i="3"/>
  <c r="T29" i="3"/>
  <c r="T28" i="3"/>
  <c r="S47" i="3"/>
  <c r="S48" i="3"/>
  <c r="S50" i="3"/>
  <c r="S51" i="3"/>
  <c r="S49" i="3"/>
  <c r="S53" i="3"/>
  <c r="S54" i="3"/>
  <c r="S43" i="3"/>
  <c r="S45" i="3"/>
  <c r="S44" i="3"/>
  <c r="S46" i="3"/>
  <c r="S32" i="3" a="1"/>
  <c r="U30" i="3" a="1"/>
  <c r="AP26" i="3" a="1"/>
  <c r="Z38" i="3" a="1"/>
  <c r="Z32" i="3" a="1"/>
  <c r="U28" i="3" a="1"/>
  <c r="Z42" i="3" a="1"/>
  <c r="Z33" i="3" a="1"/>
  <c r="Z41" i="3" a="1"/>
  <c r="Z30" i="3" a="1"/>
  <c r="Z39" i="3" a="1"/>
  <c r="Z37" i="3" a="1"/>
  <c r="Z34" i="3" a="1"/>
  <c r="Z35" i="3" a="1"/>
  <c r="U31" i="3" a="1"/>
  <c r="Z44" i="3" a="1"/>
  <c r="Z43" i="3" a="1"/>
  <c r="Z31" i="3" a="1"/>
  <c r="Z28" i="3" a="1"/>
  <c r="Z29" i="3" a="1"/>
  <c r="Z40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S33" i="3" a="1"/>
  <c r="U32" i="3" a="1"/>
  <c r="U83" i="3" a="1"/>
  <c r="U81" i="3" a="1"/>
  <c r="U79" i="3" a="1"/>
  <c r="U80" i="3" a="1"/>
  <c r="U82" i="3" a="1"/>
  <c r="U84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CU33" i="3"/>
  <c r="AI29" i="3" a="1"/>
  <c r="AI31" i="3" a="1"/>
  <c r="AI32" i="3" a="1"/>
  <c r="S35" i="3" a="1"/>
  <c r="AI30" i="3" a="1"/>
  <c r="AI27" i="3" a="1"/>
  <c r="AI28" i="3" a="1"/>
  <c r="AJ28" i="3" a="1"/>
  <c r="AJ26" i="3" a="1"/>
  <c r="AJ29" i="3" a="1"/>
  <c r="AJ32" i="3" a="1"/>
  <c r="U34" i="3" a="1"/>
  <c r="CW33" i="3" a="1"/>
  <c r="AJ31" i="3" a="1"/>
  <c r="AJ30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S36" i="3" a="1"/>
  <c r="AK28" i="3" a="1"/>
  <c r="U35" i="3" a="1"/>
  <c r="AK32" i="3" a="1"/>
  <c r="AK29" i="3" a="1"/>
  <c r="AK26" i="3" a="1"/>
  <c r="AK27" i="3" a="1"/>
  <c r="AK31" i="3" a="1"/>
  <c r="CX33" i="3" a="1"/>
  <c r="AK30" i="3" a="1"/>
  <c r="AK27" i="3" l="1"/>
  <c r="AK30" i="3"/>
  <c r="AK28" i="3"/>
  <c r="AK29" i="3"/>
  <c r="S36" i="3"/>
  <c r="U35" i="3"/>
  <c r="AK26" i="3"/>
  <c r="CX33" i="3"/>
  <c r="AK31" i="3"/>
  <c r="AK32" i="3"/>
  <c r="AF31" i="14" a="1"/>
  <c r="R31" i="14" a="1"/>
  <c r="S37" i="3" a="1"/>
  <c r="U36" i="3" a="1"/>
  <c r="S37" i="3" l="1"/>
  <c r="U36" i="3"/>
  <c r="R31" i="14"/>
  <c r="AF31" i="14"/>
  <c r="AL31" i="14" a="1"/>
  <c r="X31" i="14" a="1"/>
  <c r="S38" i="3" a="1"/>
  <c r="U37" i="3" a="1"/>
  <c r="S38" i="3" l="1"/>
  <c r="U37" i="3"/>
  <c r="AL31" i="14"/>
  <c r="X31" i="14"/>
  <c r="J42" i="25" a="1"/>
  <c r="Y39" i="25" a="1"/>
  <c r="Y45" i="25" a="1"/>
  <c r="Y50" i="25" a="1"/>
  <c r="Y23" i="25" a="1"/>
  <c r="J23" i="25" a="1"/>
  <c r="Y20" i="25" a="1"/>
  <c r="J20" i="25" a="1"/>
  <c r="Y31" i="25" a="1"/>
  <c r="Y42" i="25" a="1"/>
  <c r="U38" i="3" a="1"/>
  <c r="Y26" i="25" a="1"/>
  <c r="J39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7" i="25" a="1"/>
  <c r="I51" i="25" a="1"/>
  <c r="J51" i="25" a="1"/>
  <c r="J32" i="25" a="1"/>
  <c r="J45" i="25" a="1"/>
  <c r="H28" i="25" a="1"/>
  <c r="I47" i="25" a="1"/>
  <c r="I31" i="25" a="1"/>
  <c r="H52" i="25" a="1"/>
  <c r="I27" i="25" a="1"/>
  <c r="I46" i="25" a="1"/>
  <c r="J52" i="25" a="1"/>
  <c r="I28" i="25" a="1"/>
  <c r="J33" i="25" a="1"/>
  <c r="J47" i="25" a="1"/>
  <c r="H46" i="25" a="1"/>
  <c r="H27" i="25" a="1"/>
  <c r="J27" i="25" a="1"/>
  <c r="H32" i="25" a="1"/>
  <c r="J31" i="25" a="1"/>
  <c r="I50" i="25" a="1"/>
  <c r="I45" i="25" a="1"/>
  <c r="I26" i="25" a="1"/>
  <c r="I52" i="25" a="1"/>
  <c r="I33" i="25" a="1"/>
  <c r="J46" i="25" a="1"/>
  <c r="J28" i="25" a="1"/>
  <c r="H45" i="25" a="1"/>
  <c r="H51" i="25" a="1"/>
  <c r="H33" i="25" a="1"/>
  <c r="J26" i="25" a="1"/>
  <c r="H31" i="25" a="1"/>
  <c r="H50" i="25" a="1"/>
  <c r="H26" i="25" a="1"/>
  <c r="I32" i="25" a="1"/>
  <c r="J50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C9" i="25" l="1"/>
  <c r="C8" i="25"/>
  <c r="D6" i="8"/>
  <c r="I31" i="14"/>
  <c r="H31" i="14" a="1"/>
  <c r="C4" i="25" a="1"/>
  <c r="C4" i="25" l="1"/>
  <c r="C38" i="8" s="1"/>
  <c r="H31" i="14"/>
  <c r="J31" i="14" a="1"/>
  <c r="J31" i="14" l="1"/>
  <c r="C26" i="14" a="1"/>
  <c r="C26" i="14" l="1"/>
  <c r="D8" i="14" s="1"/>
  <c r="I53" i="3" l="1"/>
  <c r="I52" i="3"/>
  <c r="E124" i="13" a="1"/>
  <c r="G36" i="3" a="1"/>
  <c r="CK24" i="3" a="1"/>
  <c r="CU24" i="3" a="1"/>
  <c r="D50" i="15" a="1"/>
  <c r="H116" i="15" a="1"/>
  <c r="H125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0" i="3" a="1"/>
  <c r="H38" i="3" a="1"/>
  <c r="H41" i="3" a="1"/>
  <c r="H37" i="3" a="1"/>
  <c r="H47" i="3" a="1"/>
  <c r="H48" i="3" a="1"/>
  <c r="H43" i="3" a="1"/>
  <c r="H46" i="3" a="1"/>
  <c r="H44" i="3" a="1"/>
  <c r="H39" i="3" a="1"/>
  <c r="H42" i="3" a="1"/>
  <c r="H45" i="3" a="1"/>
  <c r="J3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E210" i="13" a="1"/>
  <c r="S22" i="17" a="1"/>
  <c r="BO19" i="14" a="1"/>
  <c r="U24" i="17" a="1"/>
  <c r="F40" i="17" a="1"/>
  <c r="U21" i="17" a="1"/>
  <c r="AI79" i="13" a="1"/>
  <c r="C258" i="13" a="1"/>
  <c r="R26" i="17" a="1"/>
  <c r="U22" i="17" a="1"/>
  <c r="Q24" i="17" a="1"/>
  <c r="Q23" i="17" a="1"/>
  <c r="T24" i="17" a="1"/>
  <c r="R24" i="17" a="1"/>
  <c r="C261" i="13" a="1"/>
  <c r="X17" i="23" a="1"/>
  <c r="D255" i="13" a="1"/>
  <c r="S24" i="17" a="1"/>
  <c r="F39" i="17" a="1"/>
  <c r="P25" i="17" a="1"/>
  <c r="D261" i="13" a="1"/>
  <c r="E79" i="13" a="1"/>
  <c r="R21" i="17" a="1"/>
  <c r="Q21" i="17" a="1"/>
  <c r="D260" i="13" a="1"/>
  <c r="E183" i="13" a="1"/>
  <c r="P21" i="17" a="1"/>
  <c r="Z79" i="13" a="1"/>
  <c r="C255" i="13" a="1"/>
  <c r="E55" i="13" a="1"/>
  <c r="BA19" i="14" a="1"/>
  <c r="AV20" i="17" a="1"/>
  <c r="T23" i="17" a="1"/>
  <c r="N17" i="23" a="1"/>
  <c r="F38" i="17" a="1"/>
  <c r="P23" i="17" a="1"/>
  <c r="AG17" i="23" a="1"/>
  <c r="Q25" i="17" a="1"/>
  <c r="U23" i="17" a="1"/>
  <c r="U26" i="17" a="1"/>
  <c r="AE100" i="15" a="1"/>
  <c r="P26" i="17" a="1"/>
  <c r="T26" i="17" a="1"/>
  <c r="P22" i="17" a="1"/>
  <c r="O17" i="20" a="1"/>
  <c r="D256" i="13" a="1"/>
  <c r="C260" i="13" a="1"/>
  <c r="E43" i="13" a="1"/>
  <c r="C259" i="13" a="1"/>
  <c r="E17" i="21" a="1"/>
  <c r="R22" i="17" a="1"/>
  <c r="F43" i="17" a="1"/>
  <c r="C257" i="13" a="1"/>
  <c r="X17" i="21" a="1"/>
  <c r="AJ20" i="17" a="1"/>
  <c r="R23" i="17" a="1"/>
  <c r="D258" i="13" a="1"/>
  <c r="R100" i="15" a="1"/>
  <c r="E31" i="13" a="1"/>
  <c r="U25" i="17" a="1"/>
  <c r="C50" i="13" a="1"/>
  <c r="R21" i="23" a="1"/>
  <c r="T22" i="17" a="1"/>
  <c r="F42" i="17" a="1"/>
  <c r="D259" i="13" a="1"/>
  <c r="C38" i="13" a="1"/>
  <c r="C256" i="13" a="1"/>
  <c r="N17" i="21" a="1"/>
  <c r="S23" i="17" a="1"/>
  <c r="E17" i="20" a="1"/>
  <c r="E17" i="23" a="1"/>
  <c r="S17" i="23" a="1"/>
  <c r="Q22" i="17" a="1"/>
  <c r="F41" i="17" a="1"/>
  <c r="P24" i="17" a="1"/>
  <c r="S21" i="17" a="1"/>
  <c r="T21" i="17" a="1"/>
  <c r="R25" i="17" a="1"/>
  <c r="M38" i="17" a="1"/>
  <c r="V17" i="20" a="1"/>
  <c r="E100" i="15" a="1"/>
  <c r="Q26" i="17" a="1"/>
  <c r="L79" i="13" a="1"/>
  <c r="S26" i="17" a="1"/>
  <c r="R18" i="23" a="1"/>
  <c r="AG17" i="21" a="1"/>
  <c r="D257" i="13" a="1"/>
  <c r="AG17" i="20" a="1"/>
  <c r="S79" i="13" a="1"/>
  <c r="S25" i="17" a="1"/>
  <c r="T25" i="17" a="1"/>
  <c r="S21" i="23" a="1"/>
  <c r="E67" i="13" a="1"/>
  <c r="S20" i="23" a="1"/>
  <c r="R20" i="23" a="1"/>
  <c r="R19" i="23" a="1"/>
  <c r="S19" i="23" a="1"/>
  <c r="R19" i="21" a="1"/>
  <c r="R18" i="21" a="1"/>
  <c r="S17" i="21" a="1"/>
  <c r="S20" i="21" a="1"/>
  <c r="S19" i="21" a="1"/>
  <c r="X50" i="15" a="1"/>
  <c r="BD63" i="5" a="1"/>
  <c r="BG40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Z23" i="17" a="1"/>
  <c r="I19" i="20" a="1"/>
  <c r="I17" i="21" a="1"/>
  <c r="AA24" i="17" a="1"/>
  <c r="H43" i="17" a="1"/>
  <c r="AD26" i="17" a="1"/>
  <c r="Z26" i="17" a="1"/>
  <c r="AA26" i="17" a="1"/>
  <c r="I17" i="23" a="1"/>
  <c r="AB23" i="17" a="1"/>
  <c r="AC23" i="17" a="1"/>
  <c r="G55" i="13" a="1"/>
  <c r="AB26" i="17" a="1"/>
  <c r="AB22" i="17" a="1"/>
  <c r="AA25" i="17" a="1"/>
  <c r="AB25" i="17" a="1"/>
  <c r="Y25" i="17" a="1"/>
  <c r="R20" i="21" a="1"/>
  <c r="Y21" i="17" a="1"/>
  <c r="G67" i="13" a="1"/>
  <c r="Y23" i="17" a="1"/>
  <c r="BB20" i="17" a="1"/>
  <c r="AA22" i="17" a="1"/>
  <c r="H40" i="17" a="1"/>
  <c r="Z24" i="17" a="1"/>
  <c r="R17" i="23" a="1"/>
  <c r="Z25" i="17" a="1"/>
  <c r="AJ100" i="15" a="1"/>
  <c r="Y22" i="17" a="1"/>
  <c r="I17" i="20" a="1"/>
  <c r="AB21" i="17" a="1"/>
  <c r="AB17" i="20" a="1"/>
  <c r="J18" i="20" a="1"/>
  <c r="AK17" i="23" a="1"/>
  <c r="AC26" i="17" a="1"/>
  <c r="AC24" i="17" a="1"/>
  <c r="S18" i="21" a="1"/>
  <c r="J19" i="20" a="1"/>
  <c r="H39" i="17" a="1"/>
  <c r="I20" i="20" a="1"/>
  <c r="AD21" i="17" a="1"/>
  <c r="AD25" i="17" a="1"/>
  <c r="H41" i="17" a="1"/>
  <c r="AD24" i="17" a="1"/>
  <c r="AP20" i="17" a="1"/>
  <c r="G43" i="13" a="1"/>
  <c r="AA21" i="17" a="1"/>
  <c r="AA23" i="17" a="1"/>
  <c r="AC25" i="17" a="1"/>
  <c r="AB17" i="21" a="1"/>
  <c r="Z22" i="17" a="1"/>
  <c r="U100" i="15" a="1"/>
  <c r="J20" i="20" a="1"/>
  <c r="Y24" i="17" a="1"/>
  <c r="AK17" i="21" a="1"/>
  <c r="H38" i="17" a="1"/>
  <c r="S38" i="17" a="1"/>
  <c r="H42" i="17" a="1"/>
  <c r="AM17" i="20" a="1"/>
  <c r="AD23" i="17" a="1"/>
  <c r="J100" i="15" a="1"/>
  <c r="R17" i="21" a="1"/>
  <c r="BI19" i="14" a="1"/>
  <c r="I18" i="20" a="1"/>
  <c r="S18" i="23" a="1"/>
  <c r="AD22" i="17" a="1"/>
  <c r="Z21" i="17" a="1"/>
  <c r="AC22" i="17" a="1"/>
  <c r="AB17" i="23" a="1"/>
  <c r="BW19" i="14" a="1"/>
  <c r="Y26" i="17" a="1"/>
  <c r="N79" i="13" a="1"/>
  <c r="AB24" i="17" a="1"/>
  <c r="AC21" i="17" a="1"/>
  <c r="AQ79" i="13" a="1"/>
  <c r="G31" i="13" a="1"/>
  <c r="D85" i="1" a="1"/>
  <c r="D50" i="1" a="1"/>
  <c r="E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26" i="13" a="1"/>
  <c r="E260" i="13" a="1"/>
  <c r="C95" i="15" a="1"/>
  <c r="E256" i="13" a="1"/>
  <c r="C35" i="17" a="1"/>
  <c r="E258" i="13" a="1"/>
  <c r="J17" i="20" a="1"/>
  <c r="E257" i="13" a="1"/>
  <c r="C62" i="13" a="1"/>
  <c r="E261" i="13" a="1"/>
  <c r="C12" i="23" a="1"/>
  <c r="E259" i="13" a="1"/>
  <c r="C12" i="21" a="1"/>
  <c r="E255" i="13" a="1"/>
  <c r="Q85" i="1" a="1"/>
  <c r="T85" i="1" a="1"/>
  <c r="AD53" i="15" a="1"/>
  <c r="F85" i="1" a="1"/>
  <c r="W85" i="1" a="1"/>
  <c r="J85" i="1" a="1"/>
  <c r="N85" i="1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4" i="23" a="1"/>
  <c r="C250" i="13" a="1"/>
  <c r="C4" i="21" a="1"/>
  <c r="Q17" i="20" a="1"/>
  <c r="C4" i="24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34" i="15" a="1"/>
  <c r="AA210" i="13" a="1"/>
  <c r="G184" i="13" a="1"/>
  <c r="E17" i="19" a="1"/>
  <c r="F19" i="14" a="1"/>
  <c r="N19" i="14" a="1"/>
  <c r="AF20" i="15" a="1"/>
  <c r="BM43" i="14" a="1"/>
  <c r="AR20" i="15" a="1"/>
  <c r="G191" i="13" a="1"/>
  <c r="G185" i="13" a="1"/>
  <c r="E109" i="13" a="1"/>
  <c r="L94" i="13" a="1"/>
  <c r="W43" i="14" a="1"/>
  <c r="F20" i="15" a="1"/>
  <c r="AU43" i="14" a="1"/>
  <c r="AI43" i="14" a="1"/>
  <c r="C4" i="20" a="1"/>
  <c r="B138" i="13" a="1"/>
  <c r="CC19" i="14" a="1"/>
  <c r="L146" i="13" a="1"/>
  <c r="M156" i="13" a="1"/>
  <c r="U124" i="13" a="1"/>
  <c r="O167" i="13" a="1"/>
  <c r="M151" i="13" a="1"/>
  <c r="L169" i="13" a="1"/>
  <c r="T34" i="15" a="1"/>
  <c r="S183" i="13" a="1"/>
  <c r="L143" i="13" a="1"/>
  <c r="L156" i="13" a="1"/>
  <c r="L147" i="13" a="1"/>
  <c r="N147" i="13" a="1"/>
  <c r="N162" i="13" a="1"/>
  <c r="N161" i="13" a="1"/>
  <c r="M157" i="13" a="1"/>
  <c r="N165" i="13" a="1"/>
  <c r="L210" i="13" a="1"/>
  <c r="L141" i="13" a="1"/>
  <c r="L159" i="13" a="1"/>
  <c r="AD36" i="15" a="1"/>
  <c r="N145" i="13" a="1"/>
  <c r="E94" i="13" a="1"/>
  <c r="L142" i="13" a="1"/>
  <c r="N171" i="13" a="1"/>
  <c r="O165" i="13" a="1"/>
  <c r="L172" i="13" a="1"/>
  <c r="AM19" i="14" a="1"/>
  <c r="N138" i="13" a="1"/>
  <c r="O161" i="13" a="1"/>
  <c r="N168" i="13" a="1"/>
  <c r="AI124" i="13" a="1"/>
  <c r="O164" i="13" a="1"/>
  <c r="J43" i="14" a="1"/>
  <c r="O140" i="13" a="1"/>
  <c r="AB94" i="13" a="1"/>
  <c r="G188" i="13" a="1"/>
  <c r="L152" i="13" a="1"/>
  <c r="M168" i="13" a="1"/>
  <c r="M141" i="13" a="1"/>
  <c r="L170" i="13" a="1"/>
  <c r="O169" i="13" a="1"/>
  <c r="N142" i="13" a="1"/>
  <c r="AC35" i="15" a="1"/>
  <c r="O138" i="13" a="1"/>
  <c r="N158" i="13" a="1"/>
  <c r="L167" i="13" a="1"/>
  <c r="L155" i="13" a="1"/>
  <c r="W19" i="14" a="1"/>
  <c r="N157" i="13" a="1"/>
  <c r="B226" i="13" a="1"/>
  <c r="AB109" i="13" a="1"/>
  <c r="M124" i="13" a="1"/>
  <c r="O155" i="13" a="1"/>
  <c r="L145" i="13" a="1"/>
  <c r="L157" i="13" a="1"/>
  <c r="M149" i="13" a="1"/>
  <c r="L153" i="13" a="1"/>
  <c r="AE19" i="14" a="1"/>
  <c r="N163" i="13" a="1"/>
  <c r="G187" i="13" a="1"/>
  <c r="O144" i="13" a="1"/>
  <c r="T20" i="15" a="1"/>
  <c r="S210" i="13" a="1"/>
  <c r="N159" i="13" a="1"/>
  <c r="N149" i="13" a="1"/>
  <c r="L154" i="13" a="1"/>
  <c r="G190" i="13" a="1"/>
  <c r="L183" i="13" a="1"/>
  <c r="L150" i="13" a="1"/>
  <c r="L109" i="13" a="1"/>
  <c r="M140" i="13" a="1"/>
  <c r="O162" i="13" a="1"/>
  <c r="O166" i="13" a="1"/>
  <c r="O152" i="13" a="1"/>
  <c r="O156" i="13" a="1"/>
  <c r="G189" i="13" a="1"/>
  <c r="N150" i="13" a="1"/>
  <c r="L164" i="13" a="1"/>
  <c r="M146" i="13" a="1"/>
  <c r="M139" i="13" a="1"/>
  <c r="M144" i="13" a="1"/>
  <c r="B241" i="13" a="1"/>
  <c r="M167" i="13" a="1"/>
  <c r="O143" i="13" a="1"/>
  <c r="S109" i="13" a="1"/>
  <c r="O151" i="13" a="1"/>
  <c r="O244" i="13" a="1"/>
  <c r="N152" i="13" a="1"/>
  <c r="M138" i="13" a="1"/>
  <c r="S94" i="13" a="1"/>
  <c r="E35" i="9" a="1"/>
  <c r="L161" i="13" a="1"/>
  <c r="O146" i="13" a="1"/>
  <c r="M171" i="13" a="1"/>
  <c r="O147" i="13" a="1"/>
  <c r="M243" i="13" a="1"/>
  <c r="N160" i="13" a="1"/>
  <c r="O172" i="13" a="1"/>
  <c r="L140" i="13" a="1"/>
  <c r="N139" i="13" a="1"/>
  <c r="M147" i="13" a="1"/>
  <c r="O154" i="13" a="1"/>
  <c r="L160" i="13" a="1"/>
  <c r="L144" i="13" a="1"/>
  <c r="M161" i="13" a="1"/>
  <c r="O153" i="13" a="1"/>
  <c r="M143" i="13" a="1"/>
  <c r="N172" i="13" a="1"/>
  <c r="L151" i="13" a="1"/>
  <c r="L166" i="13" a="1"/>
  <c r="L168" i="13" a="1"/>
  <c r="N167" i="13" a="1"/>
  <c r="O150" i="13" a="1"/>
  <c r="M172" i="13" a="1"/>
  <c r="O141" i="13" a="1"/>
  <c r="M152" i="13" a="1"/>
  <c r="N155" i="13" a="1"/>
  <c r="O145" i="13" a="1"/>
  <c r="N141" i="13" a="1"/>
  <c r="M154" i="13" a="1"/>
  <c r="O158" i="13" a="1"/>
  <c r="M164" i="13" a="1"/>
  <c r="O159" i="13" a="1"/>
  <c r="L148" i="13" a="1"/>
  <c r="O168" i="13" a="1"/>
  <c r="M163" i="13" a="1"/>
  <c r="L163" i="13" a="1"/>
  <c r="L149" i="13" a="1"/>
  <c r="N148" i="13" a="1"/>
  <c r="N146" i="13" a="1"/>
  <c r="N156" i="13" a="1"/>
  <c r="L158" i="13" a="1"/>
  <c r="M158" i="13" a="1"/>
  <c r="M153" i="13" a="1"/>
  <c r="M169" i="13" a="1"/>
  <c r="M165" i="13" a="1"/>
  <c r="M145" i="13" a="1"/>
  <c r="N166" i="13" a="1"/>
  <c r="L171" i="13" a="1"/>
  <c r="M162" i="13" a="1"/>
  <c r="O142" i="13" a="1"/>
  <c r="O157" i="13" a="1"/>
  <c r="L162" i="13" a="1"/>
  <c r="O163" i="13" a="1"/>
  <c r="M155" i="13" a="1"/>
  <c r="N169" i="13" a="1"/>
  <c r="N170" i="13" a="1"/>
  <c r="O171" i="13" a="1"/>
  <c r="N154" i="13" a="1"/>
  <c r="M166" i="13" a="1"/>
  <c r="N151" i="13" a="1"/>
  <c r="O139" i="13" a="1"/>
  <c r="N140" i="13" a="1"/>
  <c r="N153" i="13" a="1"/>
  <c r="O148" i="13" a="1"/>
  <c r="O170" i="13" a="1"/>
  <c r="L165" i="13" a="1"/>
  <c r="N164" i="13" a="1"/>
  <c r="M142" i="13" a="1"/>
  <c r="M159" i="13" a="1"/>
  <c r="N144" i="13" a="1"/>
  <c r="M150" i="13" a="1"/>
  <c r="M148" i="13" a="1"/>
  <c r="L139" i="13" a="1"/>
  <c r="M160" i="13" a="1"/>
  <c r="O149" i="13" a="1"/>
  <c r="O160" i="13" a="1"/>
  <c r="M170" i="13" a="1"/>
  <c r="N245" i="13" a="1"/>
  <c r="O241" i="13" a="1"/>
  <c r="L244" i="13" a="1"/>
  <c r="M245" i="13" a="1"/>
  <c r="N242" i="13" a="1"/>
  <c r="N244" i="13" a="1"/>
  <c r="L243" i="13" a="1"/>
  <c r="L245" i="13" a="1"/>
  <c r="O242" i="13" a="1"/>
  <c r="L242" i="13" a="1"/>
  <c r="N243" i="13" a="1"/>
  <c r="M241" i="13" a="1"/>
  <c r="M242" i="13" a="1"/>
  <c r="O243" i="13" a="1"/>
  <c r="M244" i="13" a="1"/>
  <c r="O245" i="13" a="1"/>
  <c r="U219" i="5" a="1"/>
  <c r="T103" i="5" a="1"/>
  <c r="W220" i="5" a="1"/>
  <c r="X217" i="5" a="1"/>
  <c r="W217" i="5" a="1"/>
  <c r="V219" i="5" a="1"/>
  <c r="T90" i="5" a="1"/>
  <c r="T95" i="5" a="1"/>
  <c r="X223" i="5" a="1"/>
  <c r="U218" i="5" a="1"/>
  <c r="W221" i="5" a="1"/>
  <c r="V223" i="5" a="1"/>
  <c r="M50" i="15" a="1"/>
  <c r="T222" i="5" a="1"/>
  <c r="U220" i="5" a="1"/>
  <c r="T94" i="5" a="1"/>
  <c r="X220" i="5" a="1"/>
  <c r="T88" i="5" a="1"/>
  <c r="T102" i="5" a="1"/>
  <c r="V218" i="5" a="1"/>
  <c r="T92" i="5" a="1"/>
  <c r="W223" i="5" a="1"/>
  <c r="V220" i="5" a="1"/>
  <c r="T223" i="5" a="1"/>
  <c r="T91" i="5" a="1"/>
  <c r="X218" i="5" a="1"/>
  <c r="T221" i="5" a="1"/>
  <c r="T96" i="5" a="1"/>
  <c r="T217" i="5" a="1"/>
  <c r="T97" i="5" a="1"/>
  <c r="U217" i="5" a="1"/>
  <c r="U221" i="5" a="1"/>
  <c r="W219" i="5" a="1"/>
  <c r="T218" i="5" a="1"/>
  <c r="V222" i="5" a="1"/>
  <c r="T87" i="5" a="1"/>
  <c r="W222" i="5" a="1"/>
  <c r="T89" i="5" a="1"/>
  <c r="T219" i="5" a="1"/>
  <c r="V217" i="5" a="1"/>
  <c r="T220" i="5" a="1"/>
  <c r="T98" i="5" a="1"/>
  <c r="T93" i="5" a="1"/>
  <c r="W218" i="5" a="1"/>
  <c r="T100" i="5" a="1"/>
  <c r="T101" i="5" a="1"/>
  <c r="X219" i="5" a="1"/>
  <c r="T99" i="5" a="1"/>
  <c r="U223" i="5" a="1"/>
  <c r="U222" i="5" a="1"/>
  <c r="X221" i="5" a="1"/>
  <c r="V221" i="5" a="1"/>
  <c r="X222" i="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11" i="13" a="1"/>
  <c r="N143" i="13" a="1"/>
  <c r="AS124" i="13" a="1"/>
  <c r="AZ20" i="15" a="1"/>
  <c r="N188" i="13" a="1"/>
  <c r="Q17" i="19" a="1"/>
  <c r="N22" i="15" a="1"/>
  <c r="L35" i="15" a="1"/>
  <c r="I230" i="13" a="1"/>
  <c r="AA183" i="13" a="1"/>
  <c r="AD34" i="15" a="1"/>
  <c r="I227" i="13" a="1"/>
  <c r="AU19" i="14" a="1"/>
  <c r="N185" i="13" a="1"/>
  <c r="Y19" i="14" a="1"/>
  <c r="AB36" i="15" a="1"/>
  <c r="M35" i="15" a="1"/>
  <c r="M20" i="15" a="1"/>
  <c r="BC43" i="14" a="1"/>
  <c r="G212" i="13" a="1"/>
  <c r="N213" i="13" a="1"/>
  <c r="AC124" i="13" a="1"/>
  <c r="N210" i="13" a="1"/>
  <c r="L20" i="15" a="1"/>
  <c r="Z20" i="15" a="1"/>
  <c r="N199" i="13" a="1"/>
  <c r="U79" i="13" a="1"/>
  <c r="AK43" i="14" a="1"/>
  <c r="AC36" i="15" a="1"/>
  <c r="N195" i="13" a="1"/>
  <c r="L21" i="15" a="1"/>
  <c r="AL20" i="15" a="1"/>
  <c r="U213" i="13" a="1"/>
  <c r="N186" i="13" a="1"/>
  <c r="G210" i="13" a="1"/>
  <c r="AG19" i="14" a="1"/>
  <c r="H228" i="13" a="1"/>
  <c r="L43" i="14" a="1"/>
  <c r="M34" i="15" a="1"/>
  <c r="H226" i="13" a="1"/>
  <c r="G79" i="13" a="1"/>
  <c r="AD35" i="15" a="1"/>
  <c r="AB34" i="15" a="1"/>
  <c r="U211" i="13" a="1"/>
  <c r="Y43" i="14" a="1"/>
  <c r="N241" i="13" a="1"/>
  <c r="L138" i="13" a="1"/>
  <c r="W109" i="13" a="1"/>
  <c r="N183" i="13" a="1"/>
  <c r="BU43" i="14" a="1"/>
  <c r="AD79" i="13" a="1"/>
  <c r="G183" i="13" a="1"/>
  <c r="N20" i="15" a="1"/>
  <c r="P19" i="14" a="1"/>
  <c r="AC34" i="15" a="1"/>
  <c r="G186" i="13" a="1"/>
  <c r="N21" i="15" a="1"/>
  <c r="N197" i="13" a="1"/>
  <c r="N184" i="13" a="1"/>
  <c r="G214" i="13" a="1"/>
  <c r="U212" i="13" a="1"/>
  <c r="I229" i="13" a="1"/>
  <c r="M22" i="15" a="1"/>
  <c r="CI19" i="14" a="1"/>
  <c r="N194" i="13" a="1"/>
  <c r="G211" i="13" a="1"/>
  <c r="N190" i="13" a="1"/>
  <c r="L34" i="15" a="1"/>
  <c r="N193" i="13" a="1"/>
  <c r="X17" i="19" a="1"/>
  <c r="G213" i="13" a="1"/>
  <c r="N212" i="13" a="1"/>
  <c r="N191" i="13" a="1"/>
  <c r="L22" i="15" a="1"/>
  <c r="U214" i="13" a="1"/>
  <c r="AI210" i="13" a="1"/>
  <c r="H229" i="13" a="1"/>
  <c r="I226" i="13" a="1"/>
  <c r="H17" i="19" a="1"/>
  <c r="H19" i="14" a="1"/>
  <c r="N189" i="13" a="1"/>
  <c r="O124" i="13" a="1"/>
  <c r="AJ109" i="13" a="1"/>
  <c r="M21" i="15" a="1"/>
  <c r="L241" i="13" a="1"/>
  <c r="AJ94" i="13" a="1"/>
  <c r="H230" i="13" a="1"/>
  <c r="N198" i="13" a="1"/>
  <c r="N214" i="13" a="1"/>
  <c r="N196" i="13" a="1"/>
  <c r="G124" i="13" a="1"/>
  <c r="G109" i="13" a="1"/>
  <c r="N94" i="13" a="1"/>
  <c r="N200" i="13" a="1"/>
  <c r="H227" i="13" a="1"/>
  <c r="AB35" i="15" a="1"/>
  <c r="N109" i="13" a="1"/>
  <c r="G94" i="13" a="1"/>
  <c r="W94" i="13" a="1"/>
  <c r="N192" i="13" a="1"/>
  <c r="U210" i="13" a="1"/>
  <c r="N187" i="13" a="1"/>
  <c r="I228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38" i="14" a="1"/>
  <c r="Z17" i="19" a="1"/>
  <c r="C89" i="13" a="1"/>
  <c r="C74" i="13" a="1"/>
  <c r="C104" i="13" a="1"/>
  <c r="C28" i="15" a="1"/>
  <c r="C178" i="13" a="1"/>
  <c r="S17" i="19" a="1"/>
  <c r="C133" i="13" a="1"/>
  <c r="C221" i="13" a="1"/>
  <c r="C236" i="13" a="1"/>
  <c r="C17" i="17" a="1"/>
  <c r="C14" i="14" a="1"/>
  <c r="C205" i="13" a="1"/>
  <c r="C15" i="15" a="1"/>
  <c r="C119" i="13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12" i="19" a="1"/>
  <c r="C13" i="17" a="1"/>
  <c r="C44" i="15" a="1"/>
  <c r="C13" i="17" l="1"/>
  <c r="D7" i="17" s="1"/>
  <c r="C4" i="14"/>
  <c r="C20" i="8" s="1"/>
  <c r="C19" i="8"/>
  <c r="C44" i="15"/>
  <c r="E9" i="15" s="1"/>
  <c r="C12" i="19"/>
  <c r="D7" i="19" s="1"/>
  <c r="C4" i="17" a="1"/>
  <c r="C4" i="19" a="1"/>
  <c r="C4" i="15" a="1"/>
  <c r="C4" i="15" l="1"/>
  <c r="C21" i="8" s="1"/>
  <c r="C4" i="17"/>
  <c r="C33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J54" i="9" a="1"/>
  <c r="O230" i="9" a="1"/>
  <c r="J32" i="9" a="1"/>
  <c r="C208" i="9" a="1"/>
  <c r="C164" i="9" a="1"/>
  <c r="J164" i="9" a="1"/>
  <c r="C54" i="9" a="1"/>
  <c r="O54" i="9" a="1"/>
  <c r="C32" i="9" a="1"/>
  <c r="O120" i="9" a="1"/>
  <c r="O98" i="9" a="1"/>
  <c r="F230" i="9" a="1"/>
  <c r="C186" i="9" a="1"/>
  <c r="L230" i="9" a="1"/>
  <c r="O32" i="9" a="1"/>
  <c r="E208" i="9" a="1"/>
  <c r="C98" i="9" a="1"/>
  <c r="E54" i="9" a="1"/>
  <c r="E186" i="9" a="1"/>
  <c r="J208" i="9" a="1"/>
  <c r="U230" i="9" a="1"/>
  <c r="O142" i="9" a="1"/>
  <c r="O76" i="9" a="1"/>
  <c r="J186" i="9" a="1"/>
  <c r="C120" i="9" a="1"/>
  <c r="C230" i="9" a="1"/>
  <c r="O186" i="9" a="1"/>
  <c r="O208" i="9" a="1"/>
  <c r="E76" i="9" a="1"/>
  <c r="R230" i="9" a="1"/>
  <c r="C76" i="9" a="1"/>
  <c r="J76" i="9" a="1"/>
  <c r="C6" i="2" a="1"/>
  <c r="J98" i="9" a="1"/>
  <c r="C142" i="9" a="1"/>
  <c r="E164" i="9" a="1"/>
  <c r="E142" i="9" a="1"/>
  <c r="I230" i="9" a="1"/>
  <c r="J120" i="9" a="1"/>
  <c r="J142" i="9" a="1"/>
  <c r="E98" i="9" a="1"/>
  <c r="E120" i="9" a="1"/>
  <c r="O164" i="9" a="1"/>
  <c r="U136" i="5" a="1"/>
  <c r="BO66" i="5" a="1"/>
  <c r="BE40" i="5" a="1"/>
  <c r="BF65" i="5" a="1"/>
  <c r="T138" i="5" a="1"/>
  <c r="U134" i="5" a="1"/>
  <c r="BL40" i="5" a="1"/>
  <c r="V128" i="5" a="1"/>
  <c r="K69" i="1" a="1"/>
  <c r="V127" i="5" a="1"/>
  <c r="BG64" i="5" a="1"/>
  <c r="BI43" i="5" a="1"/>
  <c r="U89" i="5" a="1"/>
  <c r="L179" i="5" a="1"/>
  <c r="BN43" i="5" a="1"/>
  <c r="BL66" i="5" a="1"/>
  <c r="V126" i="5" a="1"/>
  <c r="U123" i="5" a="1"/>
  <c r="X129" i="5" a="1"/>
  <c r="BQ40" i="5" a="1"/>
  <c r="I27" i="11" a="1"/>
  <c r="BN66" i="5" a="1"/>
  <c r="BO63" i="5" a="1"/>
  <c r="U133" i="5" a="1"/>
  <c r="K70" i="1" a="1"/>
  <c r="BP63" i="5" a="1"/>
  <c r="U198" i="5" a="1"/>
  <c r="U103" i="5" a="1"/>
  <c r="BE64" i="5" a="1"/>
  <c r="U132" i="5" a="1"/>
  <c r="T126" i="5" a="1"/>
  <c r="BR41" i="5" a="1"/>
  <c r="X99" i="5" a="1"/>
  <c r="U87" i="5" a="1"/>
  <c r="BK65" i="5" a="1"/>
  <c r="BF39" i="5" a="1"/>
  <c r="BT64" i="5" a="1"/>
  <c r="BP66" i="5" a="1"/>
  <c r="V94" i="5" a="1"/>
  <c r="BD64" i="5" a="1"/>
  <c r="BK39" i="5" a="1"/>
  <c r="BL65" i="5" a="1"/>
  <c r="X100" i="5" a="1"/>
  <c r="BL39" i="5" a="1"/>
  <c r="BN40" i="5" a="1"/>
  <c r="U98" i="5" a="1"/>
  <c r="BM67" i="5" a="1"/>
  <c r="BG66" i="5" a="1"/>
  <c r="BT39" i="5" a="1"/>
  <c r="W102" i="5" a="1"/>
  <c r="BR66" i="5" a="1"/>
  <c r="X126" i="5" a="1"/>
  <c r="BI42" i="5" a="1"/>
  <c r="BH41" i="5" a="1"/>
  <c r="BQ39" i="5" a="1"/>
  <c r="T130" i="5" a="1"/>
  <c r="BR65" i="5" a="1"/>
  <c r="BM40" i="5" a="1"/>
  <c r="K157" i="5" a="1"/>
  <c r="X128" i="5" a="1"/>
  <c r="W128" i="5" a="1"/>
  <c r="U197" i="5" a="1"/>
  <c r="BJ41" i="5" a="1"/>
  <c r="BE42" i="5" a="1"/>
  <c r="BO39" i="5" a="1"/>
  <c r="BO43" i="5" a="1"/>
  <c r="X138" i="5" a="1"/>
  <c r="BF64" i="5" a="1"/>
  <c r="U94" i="5" a="1"/>
  <c r="BG63" i="5" a="1"/>
  <c r="V87" i="5" a="1"/>
  <c r="BH63" i="5" a="1"/>
  <c r="BH40" i="5" a="1"/>
  <c r="W137" i="5" a="1"/>
  <c r="U99" i="5" a="1"/>
  <c r="BI65" i="5" a="1"/>
  <c r="U125" i="5" a="1"/>
  <c r="BN39" i="5" a="1"/>
  <c r="X198" i="5" a="1"/>
  <c r="BP40" i="5" a="1"/>
  <c r="K161" i="5" a="1"/>
  <c r="W132" i="5" a="1"/>
  <c r="BS64" i="5" a="1"/>
  <c r="L158" i="5" a="1"/>
  <c r="U124" i="5" a="1"/>
  <c r="L157" i="5" a="1"/>
  <c r="T123" i="5" a="1"/>
  <c r="BJ39" i="5" a="1"/>
  <c r="BK41" i="5" a="1"/>
  <c r="BM66" i="5" a="1"/>
  <c r="W139" i="5" a="1"/>
  <c r="V137" i="5" a="1"/>
  <c r="BT43" i="5" a="1"/>
  <c r="U93" i="5" a="1"/>
  <c r="BE67" i="5" a="1"/>
  <c r="U97" i="5" a="1"/>
  <c r="V91" i="5" a="1"/>
  <c r="BL41" i="5" a="1"/>
  <c r="G69" i="1" a="1"/>
  <c r="L180" i="5" a="1"/>
  <c r="V124" i="5" a="1"/>
  <c r="BN63" i="5" a="1"/>
  <c r="W103" i="5" a="1"/>
  <c r="U92" i="5" a="1"/>
  <c r="BP64" i="5" a="1"/>
  <c r="X88" i="5" a="1"/>
  <c r="W126" i="5" a="1"/>
  <c r="BH66" i="5" a="1"/>
  <c r="BM65" i="5" a="1"/>
  <c r="BQ64" i="5" a="1"/>
  <c r="V103" i="5" a="1"/>
  <c r="BH64" i="5" a="1"/>
  <c r="K68" i="1" a="1"/>
  <c r="T133" i="5" a="1"/>
  <c r="K67" i="1" a="1"/>
  <c r="BL42" i="5" a="1"/>
  <c r="BJ40" i="5" a="1"/>
  <c r="BO40" i="5" a="1"/>
  <c r="X131" i="5" a="1"/>
  <c r="X95" i="5" a="1"/>
  <c r="X127" i="5" a="1"/>
  <c r="X98" i="5" a="1"/>
  <c r="V132" i="5" a="1"/>
  <c r="BR43" i="5" a="1"/>
  <c r="BE41" i="5" a="1"/>
  <c r="T128" i="5" a="1"/>
  <c r="W90" i="5" a="1"/>
  <c r="L181" i="5" a="1"/>
  <c r="K177" i="5" a="1"/>
  <c r="V198" i="5" a="1"/>
  <c r="V95" i="5" a="1"/>
  <c r="T137" i="5" a="1"/>
  <c r="X94" i="5" a="1"/>
  <c r="X96" i="5" a="1"/>
  <c r="BO41" i="5" a="1"/>
  <c r="BQ41" i="5" a="1"/>
  <c r="X97" i="5" a="1"/>
  <c r="U127" i="5" a="1"/>
  <c r="U69" i="1" a="1"/>
  <c r="BI66" i="5" a="1"/>
  <c r="BO64" i="5" a="1"/>
  <c r="BM41" i="5" a="1"/>
  <c r="X139" i="5" a="1"/>
  <c r="W100" i="5" a="1"/>
  <c r="W101" i="5" a="1"/>
  <c r="BF43" i="5" a="1"/>
  <c r="BF41" i="5" a="1"/>
  <c r="X136" i="5" a="1"/>
  <c r="BH67" i="5" a="1"/>
  <c r="W134" i="5" a="1"/>
  <c r="W99" i="5" a="1"/>
  <c r="X125" i="5" a="1"/>
  <c r="K178" i="5" a="1"/>
  <c r="D51" i="1" a="1"/>
  <c r="U137" i="5" a="1"/>
  <c r="V93" i="5" a="1"/>
  <c r="L159" i="5" a="1"/>
  <c r="W91" i="5" a="1"/>
  <c r="U95" i="5" a="1"/>
  <c r="L178" i="5" a="1"/>
  <c r="T132" i="5" a="1"/>
  <c r="V130" i="5" a="1"/>
  <c r="X197" i="5" a="1"/>
  <c r="T139" i="5" a="1"/>
  <c r="BL43" i="5" a="1"/>
  <c r="BT63" i="5" a="1"/>
  <c r="G67" i="1" a="1"/>
  <c r="BJ65" i="5" a="1"/>
  <c r="BH43" i="5" a="1"/>
  <c r="BS43" i="5" a="1"/>
  <c r="BR64" i="5" a="1"/>
  <c r="V102" i="5" a="1"/>
  <c r="V123" i="5" a="1"/>
  <c r="T125" i="5" a="1"/>
  <c r="K160" i="5" a="1"/>
  <c r="BK63" i="5" a="1"/>
  <c r="BD41" i="5" a="1"/>
  <c r="K159" i="5" a="1"/>
  <c r="G70" i="1" a="1"/>
  <c r="BM39" i="5" a="1"/>
  <c r="V139" i="5" a="1"/>
  <c r="BF67" i="5" a="1"/>
  <c r="U139" i="5" a="1"/>
  <c r="X89" i="5" a="1"/>
  <c r="V96" i="5" a="1"/>
  <c r="BQ42" i="5" a="1"/>
  <c r="W136" i="5" a="1"/>
  <c r="V134" i="5" a="1"/>
  <c r="BG39" i="5" a="1"/>
  <c r="V88" i="5" a="1"/>
  <c r="G68" i="1" a="1"/>
  <c r="V197" i="5" a="1"/>
  <c r="BN42" i="5" a="1"/>
  <c r="V92" i="5" a="1"/>
  <c r="X135" i="5" a="1"/>
  <c r="BG41" i="5" a="1"/>
  <c r="W87" i="5" a="1"/>
  <c r="W131" i="5" a="1"/>
  <c r="V125" i="5" a="1"/>
  <c r="BS67" i="5" a="1"/>
  <c r="BQ43" i="5" a="1"/>
  <c r="BP67" i="5" a="1"/>
  <c r="BS39" i="5" a="1"/>
  <c r="BE43" i="5" a="1"/>
  <c r="BO65" i="5" a="1"/>
  <c r="X92" i="5" a="1"/>
  <c r="BI67" i="5" a="1"/>
  <c r="BM63" i="5" a="1"/>
  <c r="U70" i="1" a="1"/>
  <c r="X123" i="5" a="1"/>
  <c r="BK40" i="5" a="1"/>
  <c r="BI39" i="5" a="1"/>
  <c r="BR42" i="5" a="1"/>
  <c r="K179" i="5" a="1"/>
  <c r="BP39" i="5" a="1"/>
  <c r="BF40" i="5" a="1"/>
  <c r="U101" i="5" a="1"/>
  <c r="V99" i="5" a="1"/>
  <c r="G47" i="1" a="1"/>
  <c r="BS40" i="5" a="1"/>
  <c r="BJ66" i="5" a="1"/>
  <c r="BF42" i="5" a="1"/>
  <c r="X91" i="5" a="1"/>
  <c r="W95" i="5" a="1"/>
  <c r="W135" i="5" a="1"/>
  <c r="W92" i="5" a="1"/>
  <c r="W88" i="5" a="1"/>
  <c r="BL63" i="5" a="1"/>
  <c r="W133" i="5" a="1"/>
  <c r="K71" i="1" a="1"/>
  <c r="BP41" i="5" a="1"/>
  <c r="U129" i="5" a="1"/>
  <c r="U138" i="5" a="1"/>
  <c r="BF66" i="5" a="1"/>
  <c r="BT65" i="5" a="1"/>
  <c r="BJ42" i="5" a="1"/>
  <c r="U130" i="5" a="1"/>
  <c r="BL64" i="5" a="1"/>
  <c r="V97" i="5" a="1"/>
  <c r="BP43" i="5" a="1"/>
  <c r="V133" i="5" a="1"/>
  <c r="BG43" i="5" a="1"/>
  <c r="BG65" i="5" a="1"/>
  <c r="T197" i="5" a="1"/>
  <c r="BT41" i="5" a="1"/>
  <c r="U71" i="1" a="1"/>
  <c r="BS42" i="5" a="1"/>
  <c r="BH39" i="5" a="1"/>
  <c r="BT42" i="5" a="1"/>
  <c r="BT66" i="5" a="1"/>
  <c r="X134" i="5" a="1"/>
  <c r="BG67" i="5" a="1"/>
  <c r="U102" i="5" a="1"/>
  <c r="U126" i="5" a="1"/>
  <c r="T124" i="5" a="1"/>
  <c r="BD40" i="5" a="1"/>
  <c r="L177" i="5" a="1"/>
  <c r="U128" i="5" a="1"/>
  <c r="BD43" i="5" a="1"/>
  <c r="L160" i="5" a="1"/>
  <c r="W94" i="5" a="1"/>
  <c r="K158" i="5" a="1"/>
  <c r="BI64" i="5" a="1"/>
  <c r="X102" i="5" a="1"/>
  <c r="U88" i="5" a="1"/>
  <c r="BT67" i="5" a="1"/>
  <c r="W125" i="5" a="1"/>
  <c r="BS65" i="5" a="1"/>
  <c r="V90" i="5" a="1"/>
  <c r="BG42" i="5" a="1"/>
  <c r="BL67" i="5" a="1"/>
  <c r="BE63" i="5" a="1"/>
  <c r="BP65" i="5" a="1"/>
  <c r="X93" i="5" a="1"/>
  <c r="T134" i="5" a="1"/>
  <c r="X124" i="5" a="1"/>
  <c r="G71" i="1" a="1"/>
  <c r="W96" i="5" a="1"/>
  <c r="BE65" i="5" a="1"/>
  <c r="T129" i="5" a="1"/>
  <c r="BR67" i="5" a="1"/>
  <c r="W127" i="5" a="1"/>
  <c r="U100" i="5" a="1"/>
  <c r="W197" i="5" a="1"/>
  <c r="BN65" i="5" a="1"/>
  <c r="BQ67" i="5" a="1"/>
  <c r="V89" i="5" a="1"/>
  <c r="D49" i="1" a="1"/>
  <c r="I22" i="11" a="1"/>
  <c r="BJ63" i="5" a="1"/>
  <c r="BJ67" i="5" a="1"/>
  <c r="BD67" i="5" a="1"/>
  <c r="V98" i="5" a="1"/>
  <c r="X87" i="5" a="1"/>
  <c r="T135" i="5" a="1"/>
  <c r="BK67" i="5" a="1"/>
  <c r="BS66" i="5" a="1"/>
  <c r="V100" i="5" a="1"/>
  <c r="BR40" i="5" a="1"/>
  <c r="V129" i="5" a="1"/>
  <c r="U67" i="1" a="1"/>
  <c r="BN64" i="5" a="1"/>
  <c r="BE39" i="5" a="1"/>
  <c r="W124" i="5" a="1"/>
  <c r="BM42" i="5" a="1"/>
  <c r="BI40" i="5" a="1"/>
  <c r="X130" i="5" a="1"/>
  <c r="BH65" i="5" a="1"/>
  <c r="V101" i="5" a="1"/>
  <c r="BI41" i="5" a="1"/>
  <c r="W123" i="5" a="1"/>
  <c r="K180" i="5" a="1"/>
  <c r="X133" i="5" a="1"/>
  <c r="X137" i="5" a="1"/>
  <c r="U90" i="5" a="1"/>
  <c r="D47" i="1" a="1"/>
  <c r="BD66" i="5" a="1"/>
  <c r="BO67" i="5" a="1"/>
  <c r="BK43" i="5" a="1"/>
  <c r="BT40" i="5" a="1"/>
  <c r="V135" i="5" a="1"/>
  <c r="W198" i="5" a="1"/>
  <c r="BP42" i="5" a="1"/>
  <c r="X103" i="5" a="1"/>
  <c r="BH42" i="5" a="1"/>
  <c r="V136" i="5" a="1"/>
  <c r="BD42" i="5" a="1"/>
  <c r="U135" i="5" a="1"/>
  <c r="X132" i="5" a="1"/>
  <c r="BS63" i="5" a="1"/>
  <c r="BF63" i="5" a="1"/>
  <c r="BN41" i="5" a="1"/>
  <c r="T131" i="5" a="1"/>
  <c r="W129" i="5" a="1"/>
  <c r="BR63" i="5" a="1"/>
  <c r="BN67" i="5" a="1"/>
  <c r="X90" i="5" a="1"/>
  <c r="T127" i="5" a="1"/>
  <c r="BD39" i="5" a="1"/>
  <c r="K181" i="5" a="1"/>
  <c r="X101" i="5" a="1"/>
  <c r="W89" i="5" a="1"/>
  <c r="U96" i="5" a="1"/>
  <c r="V131" i="5" a="1"/>
  <c r="BK66" i="5" a="1"/>
  <c r="BK42" i="5" a="1"/>
  <c r="BO42" i="5" a="1"/>
  <c r="BK64" i="5" a="1"/>
  <c r="BI63" i="5" a="1"/>
  <c r="BJ64" i="5" a="1"/>
  <c r="BR39" i="5" a="1"/>
  <c r="BQ63" i="5" a="1"/>
  <c r="W98" i="5" a="1"/>
  <c r="W138" i="5" a="1"/>
  <c r="T136" i="5" a="1"/>
  <c r="W130" i="5" a="1"/>
  <c r="I26" i="3" a="1"/>
  <c r="W97" i="5" a="1"/>
  <c r="BM64" i="5" a="1"/>
  <c r="U68" i="1" a="1"/>
  <c r="BM43" i="5" a="1"/>
  <c r="U131" i="5" a="1"/>
  <c r="L161" i="5" a="1"/>
  <c r="BE66" i="5" a="1"/>
  <c r="U91" i="5" a="1"/>
  <c r="BQ66" i="5" a="1"/>
  <c r="W93" i="5" a="1"/>
  <c r="BD65" i="5" a="1"/>
  <c r="V138" i="5" a="1"/>
  <c r="BJ43" i="5" a="1"/>
  <c r="BS41" i="5" a="1"/>
  <c r="T198" i="5" a="1"/>
  <c r="BQ65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D64" i="2" a="1"/>
  <c r="D62" i="2" a="1"/>
  <c r="K49" i="9" a="1"/>
  <c r="K203" i="9" a="1"/>
  <c r="K181" i="9" a="1"/>
  <c r="P115" i="9" a="1"/>
  <c r="F27" i="9" a="1"/>
  <c r="C71" i="9" a="1"/>
  <c r="P71" i="9" a="1"/>
  <c r="F71" i="9" a="1"/>
  <c r="F203" i="9" a="1"/>
  <c r="P93" i="9" a="1"/>
  <c r="P159" i="9" a="1"/>
  <c r="K71" i="9" a="1"/>
  <c r="H17" i="2" a="1"/>
  <c r="K115" i="9" a="1"/>
  <c r="F225" i="9" a="1"/>
  <c r="F137" i="9" a="1"/>
  <c r="C203" i="9" a="1"/>
  <c r="O225" i="9" a="1"/>
  <c r="F159" i="9" a="1"/>
  <c r="F115" i="9" a="1"/>
  <c r="C159" i="9" a="1"/>
  <c r="P181" i="9" a="1"/>
  <c r="U225" i="9" a="1"/>
  <c r="P49" i="9" a="1"/>
  <c r="I225" i="9" a="1"/>
  <c r="C27" i="9" a="1"/>
  <c r="K137" i="9" a="1"/>
  <c r="F181" i="9" a="1"/>
  <c r="K93" i="9" a="1"/>
  <c r="C137" i="9" a="1"/>
  <c r="K159" i="9" a="1"/>
  <c r="F49" i="9" a="1"/>
  <c r="R225" i="9" a="1"/>
  <c r="F93" i="9" a="1"/>
  <c r="C225" i="9" a="1"/>
  <c r="P27" i="9" a="1"/>
  <c r="C49" i="9" a="1"/>
  <c r="L225" i="9" a="1"/>
  <c r="C115" i="9" a="1"/>
  <c r="P203" i="9" a="1"/>
  <c r="C181" i="9" a="1"/>
  <c r="P137" i="9" a="1"/>
  <c r="K27" i="9" a="1"/>
  <c r="C93" i="9" a="1"/>
  <c r="D56" i="1" a="1"/>
  <c r="D83" i="1" a="1"/>
  <c r="I24" i="11" a="1"/>
  <c r="O67" i="1" a="1"/>
  <c r="C186" i="5" a="1"/>
  <c r="C166" i="5" a="1"/>
  <c r="R69" i="1" a="1"/>
  <c r="I30" i="3" a="1"/>
  <c r="V68" i="1" a="1"/>
  <c r="I31" i="3" a="1"/>
  <c r="V71" i="1" a="1"/>
  <c r="R68" i="1" a="1"/>
  <c r="V70" i="1" a="1"/>
  <c r="V69" i="1" a="1"/>
  <c r="I26" i="11" a="1"/>
  <c r="R67" i="1" a="1"/>
  <c r="O69" i="1" a="1"/>
  <c r="U29" i="3" a="1"/>
  <c r="I23" i="11" a="1"/>
  <c r="O68" i="1" a="1"/>
  <c r="C72" i="5" a="1"/>
  <c r="M47" i="1" a="1"/>
  <c r="D82" i="1" a="1"/>
  <c r="I67" i="1" a="1"/>
  <c r="J26" i="3" a="1"/>
  <c r="I68" i="1" a="1"/>
  <c r="I70" i="1" a="1"/>
  <c r="C24" i="5" a="1"/>
  <c r="V67" i="1" a="1"/>
  <c r="D52" i="1" a="1"/>
  <c r="R70" i="1" a="1"/>
  <c r="O70" i="1" a="1"/>
  <c r="O71" i="1" a="1"/>
  <c r="C48" i="5" a="1"/>
  <c r="M67" i="1" a="1"/>
  <c r="J22" i="11" a="1"/>
  <c r="C144" i="5" a="1"/>
  <c r="M70" i="1" a="1"/>
  <c r="I69" i="1" a="1"/>
  <c r="I71" i="1" a="1"/>
  <c r="I25" i="11" a="1"/>
  <c r="C108" i="5" a="1"/>
  <c r="M71" i="1" a="1"/>
  <c r="M68" i="1" a="1"/>
  <c r="M69" i="1" a="1"/>
  <c r="D53" i="1" a="1"/>
  <c r="D55" i="1" a="1"/>
  <c r="D57" i="1" a="1"/>
  <c r="D54" i="1" a="1"/>
  <c r="I27" i="3" a="1"/>
  <c r="R71" i="1" a="1"/>
  <c r="D81" i="1" a="1"/>
  <c r="D84" i="1" a="1"/>
  <c r="I27" i="3" l="1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2" i="2" a="1"/>
  <c r="F64" i="2" a="1"/>
  <c r="C109" i="9" a="1"/>
  <c r="C153" i="9" a="1"/>
  <c r="G21" i="2" a="1"/>
  <c r="C87" i="9" a="1"/>
  <c r="C175" i="9" a="1"/>
  <c r="C65" i="9" a="1"/>
  <c r="C21" i="9" a="1"/>
  <c r="C219" i="9" a="1"/>
  <c r="C131" i="9" a="1"/>
  <c r="C43" i="9" a="1"/>
  <c r="C197" i="9" a="1"/>
  <c r="E51" i="1" a="1"/>
  <c r="J26" i="11" a="1"/>
  <c r="E55" i="1" a="1"/>
  <c r="S71" i="1" a="1"/>
  <c r="P69" i="1" a="1"/>
  <c r="P70" i="1" a="1"/>
  <c r="J28" i="3" a="1"/>
  <c r="J29" i="3" a="1"/>
  <c r="P68" i="1" a="1"/>
  <c r="E52" i="1" a="1"/>
  <c r="S67" i="1" a="1"/>
  <c r="K81" i="1" a="1"/>
  <c r="E56" i="1" a="1"/>
  <c r="E57" i="1" a="1"/>
  <c r="C4" i="5" a="1"/>
  <c r="N24" i="3" a="1"/>
  <c r="S68" i="1" a="1"/>
  <c r="O81" i="1" a="1"/>
  <c r="S69" i="1" a="1"/>
  <c r="J27" i="3" a="1"/>
  <c r="P67" i="1" a="1"/>
  <c r="J24" i="11" a="1"/>
  <c r="E47" i="1" a="1"/>
  <c r="X81" i="1" a="1"/>
  <c r="G81" i="1" a="1"/>
  <c r="J23" i="11" a="1"/>
  <c r="E54" i="1" a="1"/>
  <c r="E49" i="1" a="1"/>
  <c r="E81" i="1" a="1"/>
  <c r="E48" i="1" a="1"/>
  <c r="E50" i="1" a="1"/>
  <c r="U81" i="1" a="1"/>
  <c r="E84" i="1" a="1"/>
  <c r="E82" i="1" a="1"/>
  <c r="R81" i="1" a="1"/>
  <c r="S70" i="1" a="1"/>
  <c r="E83" i="1" a="1"/>
  <c r="E53" i="1" a="1"/>
  <c r="P71" i="1" a="1"/>
  <c r="J25" i="1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0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81" i="1" a="1"/>
  <c r="W81" i="1" a="1"/>
  <c r="Q84" i="1" a="1"/>
  <c r="J30" i="3" a="1"/>
  <c r="W83" i="1" a="1"/>
  <c r="T84" i="1" a="1"/>
  <c r="Y85" i="1" a="1"/>
  <c r="F82" i="1" a="1"/>
  <c r="M85" i="1" a="1"/>
  <c r="I85" i="1" a="1"/>
  <c r="W84" i="1" a="1"/>
  <c r="Q81" i="1" a="1"/>
  <c r="N83" i="1" a="1"/>
  <c r="N84" i="1" a="1"/>
  <c r="W82" i="1" a="1"/>
  <c r="T83" i="1" a="1"/>
  <c r="J82" i="1" a="1"/>
  <c r="Q83" i="1" a="1"/>
  <c r="J27" i="11" a="1"/>
  <c r="P85" i="1" a="1"/>
  <c r="N81" i="1" a="1"/>
  <c r="J83" i="1" a="1"/>
  <c r="F83" i="1" a="1"/>
  <c r="C43" i="1" a="1"/>
  <c r="F84" i="1" a="1"/>
  <c r="S85" i="1" a="1"/>
  <c r="J84" i="1" a="1"/>
  <c r="V85" i="1" a="1"/>
  <c r="Q82" i="1" a="1"/>
  <c r="T81" i="1" a="1"/>
  <c r="N82" i="1" a="1"/>
  <c r="F81" i="1" a="1"/>
  <c r="T82" i="1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1" i="8" s="1"/>
  <c r="C58" i="2"/>
  <c r="P84" i="1" a="1"/>
  <c r="S84" i="1" a="1"/>
  <c r="M81" i="1" a="1"/>
  <c r="I82" i="1" a="1"/>
  <c r="V84" i="1" a="1"/>
  <c r="S82" i="1" a="1"/>
  <c r="M82" i="1" a="1"/>
  <c r="S81" i="1" a="1"/>
  <c r="C20" i="11" a="1"/>
  <c r="I84" i="1" a="1"/>
  <c r="S83" i="1" a="1"/>
  <c r="M84" i="1" a="1"/>
  <c r="C39" i="1" a="1"/>
  <c r="I83" i="1" a="1"/>
  <c r="P83" i="1" a="1"/>
  <c r="V83" i="1" a="1"/>
  <c r="P82" i="1" a="1"/>
  <c r="V82" i="1" a="1"/>
  <c r="C15" i="1" a="1"/>
  <c r="Y83" i="1" a="1"/>
  <c r="Y81" i="1" a="1"/>
  <c r="Y84" i="1" a="1"/>
  <c r="V81" i="1" a="1"/>
  <c r="P81" i="1" a="1"/>
  <c r="J31" i="3" a="1"/>
  <c r="Y82" i="1" a="1"/>
  <c r="I81" i="1" a="1"/>
  <c r="M83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71" i="1" a="1"/>
  <c r="E70" i="1" a="1"/>
  <c r="E69" i="1" a="1"/>
  <c r="E67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5" i="3" a="1"/>
  <c r="AK51" i="3" a="1"/>
  <c r="AK52" i="3" a="1"/>
  <c r="AK53" i="3" a="1"/>
  <c r="AK54" i="3" a="1"/>
  <c r="AK56" i="3" a="1"/>
  <c r="AK51" i="3" l="1"/>
  <c r="AK56" i="3"/>
  <c r="AK55" i="3"/>
  <c r="AK53" i="3"/>
  <c r="AK52" i="3"/>
  <c r="AK54" i="3"/>
  <c r="AD24" i="3" a="1"/>
  <c r="AD24" i="3" l="1"/>
  <c r="H16" i="3" s="1"/>
  <c r="C34" i="8" l="1"/>
  <c r="AZ37" i="3" l="1" a="1"/>
  <c r="BA37" i="3" a="1"/>
  <c r="BA42" i="3" l="1"/>
  <c r="BA44" i="3"/>
  <c r="BA43" i="3"/>
  <c r="BA41" i="3"/>
  <c r="BA37" i="3"/>
  <c r="BA39" i="3"/>
  <c r="BA40" i="3"/>
  <c r="BA38" i="3"/>
  <c r="AZ37" i="3"/>
  <c r="AZ38" i="3"/>
  <c r="AZ40" i="3"/>
  <c r="AZ42" i="3"/>
  <c r="AZ39" i="3"/>
  <c r="AZ43" i="3"/>
  <c r="AZ44" i="3"/>
  <c r="AZ41" i="3"/>
  <c r="AY55" i="3" l="1"/>
  <c r="AY53" i="3"/>
  <c r="AY56" i="3"/>
  <c r="AY51" i="3"/>
  <c r="AY52" i="3" a="1"/>
  <c r="AY52" i="3" s="1"/>
  <c r="AY54" i="3"/>
  <c r="BA52" i="3" a="1"/>
  <c r="BA56" i="3" a="1"/>
  <c r="BA54" i="3" a="1"/>
  <c r="BA51" i="3" a="1"/>
  <c r="BA55" i="3" a="1"/>
  <c r="BA53" i="3" a="1"/>
  <c r="BA55" i="3" l="1"/>
  <c r="BA54" i="3"/>
  <c r="BA56" i="3"/>
  <c r="BA53" i="3"/>
  <c r="BA51" i="3"/>
  <c r="BA52" i="3"/>
  <c r="AT24" i="3" a="1"/>
  <c r="AT24" i="3" l="1"/>
  <c r="BP41" i="3" a="1"/>
  <c r="BQ41" i="3" a="1"/>
  <c r="BP54" i="3" l="1"/>
  <c r="BP56" i="3"/>
  <c r="BP64" i="3"/>
  <c r="BP66" i="3"/>
  <c r="BP68" i="3"/>
  <c r="BP51" i="3"/>
  <c r="BP55" i="3"/>
  <c r="BP53" i="3"/>
  <c r="BP43" i="3"/>
  <c r="BP47" i="3"/>
  <c r="BP63" i="3"/>
  <c r="BP59" i="3"/>
  <c r="BP67" i="3"/>
  <c r="BP71" i="3"/>
  <c r="BP52" i="3"/>
  <c r="BP44" i="3"/>
  <c r="BP60" i="3"/>
  <c r="BP70" i="3"/>
  <c r="BP62" i="3"/>
  <c r="BP45" i="3"/>
  <c r="BP49" i="3"/>
  <c r="BP41" i="3"/>
  <c r="BP57" i="3"/>
  <c r="BP61" i="3"/>
  <c r="BP65" i="3"/>
  <c r="BP69" i="3"/>
  <c r="BP48" i="3"/>
  <c r="BP42" i="3"/>
  <c r="BP46" i="3"/>
  <c r="BP72" i="3"/>
  <c r="BP58" i="3"/>
  <c r="BP50" i="3"/>
  <c r="BQ47" i="3"/>
  <c r="BQ41" i="3"/>
  <c r="BQ49" i="3"/>
  <c r="BQ53" i="3"/>
  <c r="BQ65" i="3"/>
  <c r="BQ45" i="3"/>
  <c r="BQ61" i="3"/>
  <c r="BQ57" i="3"/>
  <c r="BQ59" i="3"/>
  <c r="BQ42" i="3"/>
  <c r="BQ69" i="3"/>
  <c r="BQ71" i="3"/>
  <c r="BQ54" i="3"/>
  <c r="BQ48" i="3"/>
  <c r="BQ64" i="3"/>
  <c r="BQ55" i="3"/>
  <c r="BQ63" i="3"/>
  <c r="BQ46" i="3"/>
  <c r="BQ50" i="3"/>
  <c r="BQ66" i="3"/>
  <c r="BQ58" i="3"/>
  <c r="BQ62" i="3"/>
  <c r="BQ43" i="3"/>
  <c r="BQ70" i="3"/>
  <c r="BQ52" i="3"/>
  <c r="BQ56" i="3"/>
  <c r="BQ44" i="3"/>
  <c r="BQ60" i="3"/>
  <c r="BQ67" i="3"/>
  <c r="BQ68" i="3"/>
  <c r="BQ72" i="3"/>
  <c r="BQ51" i="3"/>
  <c r="BO82" i="3" l="1"/>
  <c r="BO78" i="3"/>
  <c r="BO77" i="3"/>
  <c r="BO79" i="3"/>
  <c r="BO81" i="3"/>
  <c r="BO80" i="3"/>
  <c r="BQ81" i="3" a="1"/>
  <c r="BQ78" i="3" a="1"/>
  <c r="BQ82" i="3" a="1"/>
  <c r="BQ80" i="3" a="1"/>
  <c r="BQ77" i="3" a="1"/>
  <c r="BQ79" i="3" a="1"/>
  <c r="BQ77" i="3" l="1"/>
  <c r="BQ78" i="3"/>
  <c r="BQ80" i="3"/>
  <c r="BQ81" i="3"/>
  <c r="BQ79" i="3"/>
  <c r="BQ8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<sst xmlns="http://schemas.openxmlformats.org/spreadsheetml/2006/main" count="4632" uniqueCount="675">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</sst>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</numFmts>
  <fonts count="10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8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</borders>
  <cellStyleXfs count="64">
    <xf numFmtId="0" fontId="0" fillId="0" borderId="0"/>
    <xf numFmtId="0" fontId="23" fillId="0" borderId="1" applyNumberFormat="0" applyFill="0" applyAlignment="0" applyProtection="0"/>
    <xf numFmtId="0" fontId="37" fillId="0" borderId="83" applyNumberFormat="0" applyFill="0" applyAlignment="0" applyProtection="0"/>
    <xf numFmtId="0" fontId="38" fillId="0" borderId="84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0" applyNumberFormat="0" applyAlignment="0" applyProtection="0"/>
    <xf numFmtId="0" fontId="73" fillId="15" borderId="173" applyNumberFormat="0" applyAlignment="0" applyProtection="0"/>
    <xf numFmtId="43" fontId="45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0" applyNumberFormat="0" applyAlignment="0" applyProtection="0"/>
    <xf numFmtId="0" fontId="87" fillId="0" borderId="172" applyNumberFormat="0" applyFill="0" applyAlignment="0" applyProtection="0"/>
    <xf numFmtId="0" fontId="88" fillId="12" borderId="0" applyNumberFormat="0" applyBorder="0" applyAlignment="0" applyProtection="0"/>
    <xf numFmtId="0" fontId="89" fillId="14" borderId="171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4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</cellStyleXfs>
  <cellXfs count="904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3" xfId="2"/>
    <xf numFmtId="0" fontId="38" fillId="0" borderId="84" xfId="3"/>
    <xf numFmtId="166" fontId="0" fillId="0" borderId="0" xfId="0" applyNumberFormat="1"/>
    <xf numFmtId="167" fontId="0" fillId="0" borderId="0" xfId="0" applyNumberFormat="1"/>
    <xf numFmtId="0" fontId="2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9" fontId="25" fillId="0" borderId="10" xfId="0" applyNumberFormat="1" applyFont="1" applyBorder="1" applyAlignment="1">
      <alignment horizontal="right" vertical="center"/>
    </xf>
    <xf numFmtId="169" fontId="25" fillId="0" borderId="12" xfId="0" applyNumberFormat="1" applyFont="1" applyBorder="1" applyAlignment="1">
      <alignment horizontal="right" vertical="center"/>
    </xf>
    <xf numFmtId="169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8" fontId="25" fillId="0" borderId="0" xfId="0" applyNumberFormat="1" applyFont="1"/>
    <xf numFmtId="169" fontId="25" fillId="0" borderId="15" xfId="0" applyNumberFormat="1" applyFont="1" applyBorder="1" applyAlignment="1">
      <alignment horizontal="right" vertical="center"/>
    </xf>
    <xf numFmtId="169" fontId="25" fillId="0" borderId="16" xfId="0" applyNumberFormat="1" applyFont="1" applyBorder="1" applyAlignment="1">
      <alignment horizontal="right" vertical="center"/>
    </xf>
    <xf numFmtId="0" fontId="26" fillId="3" borderId="23" xfId="0" applyFont="1" applyFill="1" applyBorder="1" applyAlignment="1">
      <alignment horizontal="centerContinuous" vertical="center"/>
    </xf>
    <xf numFmtId="0" fontId="26" fillId="3" borderId="24" xfId="0" applyFont="1" applyFill="1" applyBorder="1" applyAlignment="1">
      <alignment horizontal="centerContinuous" vertical="center"/>
    </xf>
    <xf numFmtId="0" fontId="26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4" fontId="25" fillId="0" borderId="0" xfId="0" applyNumberFormat="1" applyFont="1"/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28" xfId="0" applyFont="1" applyFill="1" applyBorder="1" applyAlignment="1">
      <alignment horizontal="center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0" fontId="23" fillId="0" borderId="1" xfId="1" applyFont="1"/>
    <xf numFmtId="9" fontId="25" fillId="0" borderId="34" xfId="0" applyNumberFormat="1" applyFont="1" applyBorder="1" applyAlignment="1">
      <alignment horizontal="right"/>
    </xf>
    <xf numFmtId="9" fontId="25" fillId="0" borderId="36" xfId="0" applyNumberFormat="1" applyFont="1" applyBorder="1" applyAlignment="1">
      <alignment horizontal="right"/>
    </xf>
    <xf numFmtId="168" fontId="25" fillId="0" borderId="31" xfId="0" applyNumberFormat="1" applyFont="1" applyBorder="1"/>
    <xf numFmtId="168" fontId="25" fillId="0" borderId="33" xfId="0" applyNumberFormat="1" applyFont="1" applyBorder="1"/>
    <xf numFmtId="168" fontId="25" fillId="0" borderId="37" xfId="0" applyNumberFormat="1" applyFont="1" applyBorder="1"/>
    <xf numFmtId="168" fontId="25" fillId="0" borderId="38" xfId="0" applyNumberFormat="1" applyFont="1" applyBorder="1"/>
    <xf numFmtId="0" fontId="0" fillId="0" borderId="38" xfId="0" applyBorder="1"/>
    <xf numFmtId="9" fontId="25" fillId="0" borderId="38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0" fontId="31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1" fillId="0" borderId="44" xfId="0" applyFont="1" applyBorder="1"/>
    <xf numFmtId="0" fontId="0" fillId="0" borderId="45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46" xfId="0" applyFont="1" applyFill="1" applyBorder="1" applyAlignment="1">
      <alignment horizontal="center" vertical="center"/>
    </xf>
    <xf numFmtId="0" fontId="26" fillId="4" borderId="47" xfId="0" applyFont="1" applyFill="1" applyBorder="1" applyAlignment="1">
      <alignment horizontal="center" vertical="center"/>
    </xf>
    <xf numFmtId="0" fontId="26" fillId="4" borderId="48" xfId="0" applyFont="1" applyFill="1" applyBorder="1" applyAlignment="1">
      <alignment horizontal="center" vertical="center"/>
    </xf>
    <xf numFmtId="168" fontId="25" fillId="0" borderId="32" xfId="0" applyNumberFormat="1" applyFont="1" applyBorder="1"/>
    <xf numFmtId="168" fontId="25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5" fillId="0" borderId="33" xfId="0" applyNumberFormat="1" applyFont="1" applyBorder="1" applyAlignment="1">
      <alignment horizontal="right"/>
    </xf>
    <xf numFmtId="9" fontId="25" fillId="0" borderId="35" xfId="0" applyNumberFormat="1" applyFont="1" applyBorder="1" applyAlignment="1">
      <alignment horizontal="right"/>
    </xf>
    <xf numFmtId="171" fontId="34" fillId="0" borderId="15" xfId="0" applyNumberFormat="1" applyFont="1" applyBorder="1" applyAlignment="1">
      <alignment horizontal="right" vertical="center"/>
    </xf>
    <xf numFmtId="171" fontId="34" fillId="0" borderId="16" xfId="0" applyNumberFormat="1" applyFont="1" applyBorder="1" applyAlignment="1">
      <alignment horizontal="right" vertical="center"/>
    </xf>
    <xf numFmtId="171" fontId="34" fillId="0" borderId="17" xfId="0" applyNumberFormat="1" applyFont="1" applyBorder="1" applyAlignment="1">
      <alignment horizontal="right" vertical="center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74" fontId="34" fillId="0" borderId="15" xfId="0" applyNumberFormat="1" applyFont="1" applyBorder="1" applyAlignment="1">
      <alignment horizontal="right" vertical="center"/>
    </xf>
    <xf numFmtId="174" fontId="34" fillId="0" borderId="16" xfId="0" applyNumberFormat="1" applyFont="1" applyBorder="1" applyAlignment="1">
      <alignment horizontal="right" vertical="center"/>
    </xf>
    <xf numFmtId="174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168" fontId="22" fillId="0" borderId="15" xfId="0" applyNumberFormat="1" applyFont="1" applyBorder="1" applyAlignment="1">
      <alignment horizontal="right" vertical="center"/>
    </xf>
    <xf numFmtId="168" fontId="22" fillId="0" borderId="16" xfId="0" applyNumberFormat="1" applyFont="1" applyBorder="1" applyAlignment="1">
      <alignment horizontal="right" vertical="center"/>
    </xf>
    <xf numFmtId="168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28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2" xfId="4" applyBorder="1" applyAlignment="1">
      <alignment horizontal="centerContinuous" vertical="center"/>
    </xf>
    <xf numFmtId="0" fontId="42" fillId="0" borderId="43" xfId="4" applyBorder="1" applyAlignment="1">
      <alignment horizontal="centerContinuous" vertical="center"/>
    </xf>
    <xf numFmtId="0" fontId="42" fillId="0" borderId="45" xfId="4" applyBorder="1" applyAlignment="1">
      <alignment horizontal="centerContinuous" vertical="center"/>
    </xf>
    <xf numFmtId="0" fontId="42" fillId="0" borderId="44" xfId="4" applyFill="1" applyBorder="1" applyAlignment="1">
      <alignment horizontal="centerContinuous"/>
    </xf>
    <xf numFmtId="0" fontId="42" fillId="0" borderId="45" xfId="4" applyFill="1" applyBorder="1" applyAlignment="1">
      <alignment horizontal="centerContinuous"/>
    </xf>
    <xf numFmtId="0" fontId="26" fillId="3" borderId="49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0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3" fillId="5" borderId="16" xfId="0" applyNumberFormat="1" applyFont="1" applyFill="1" applyBorder="1" applyAlignment="1">
      <alignment horizontal="right" vertical="center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74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8" fontId="33" fillId="5" borderId="9" xfId="0" applyNumberFormat="1" applyFont="1" applyFill="1" applyBorder="1" applyAlignment="1">
      <alignment horizontal="right" vertical="center"/>
    </xf>
    <xf numFmtId="168" fontId="33" fillId="5" borderId="11" xfId="0" applyNumberFormat="1" applyFont="1" applyFill="1" applyBorder="1" applyAlignment="1">
      <alignment horizontal="right" vertical="center"/>
    </xf>
    <xf numFmtId="168" fontId="33" fillId="5" borderId="15" xfId="0" applyNumberFormat="1" applyFont="1" applyFill="1" applyBorder="1" applyAlignment="1">
      <alignment horizontal="right" vertical="center"/>
    </xf>
    <xf numFmtId="168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2" xfId="0" applyNumberFormat="1" applyFont="1" applyFill="1" applyBorder="1" applyAlignment="1">
      <alignment horizontal="center" vertical="center"/>
    </xf>
    <xf numFmtId="4" fontId="35" fillId="4" borderId="53" xfId="0" applyNumberFormat="1" applyFont="1" applyFill="1" applyBorder="1" applyAlignment="1">
      <alignment horizontal="center" vertical="center"/>
    </xf>
    <xf numFmtId="4" fontId="35" fillId="4" borderId="54" xfId="0" applyNumberFormat="1" applyFont="1" applyFill="1" applyBorder="1" applyAlignment="1">
      <alignment horizontal="center" vertical="center"/>
    </xf>
    <xf numFmtId="171" fontId="33" fillId="5" borderId="11" xfId="0" applyNumberFormat="1" applyFont="1" applyFill="1" applyBorder="1" applyAlignment="1">
      <alignment horizontal="right" vertical="center"/>
    </xf>
    <xf numFmtId="171" fontId="33" fillId="5" borderId="12" xfId="0" applyNumberFormat="1" applyFont="1" applyFill="1" applyBorder="1" applyAlignment="1">
      <alignment horizontal="right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74" fontId="33" fillId="5" borderId="11" xfId="0" applyNumberFormat="1" applyFont="1" applyFill="1" applyBorder="1" applyAlignment="1">
      <alignment horizontal="right" vertical="center"/>
    </xf>
    <xf numFmtId="174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8" fontId="33" fillId="5" borderId="10" xfId="0" applyNumberFormat="1" applyFont="1" applyFill="1" applyBorder="1" applyAlignment="1">
      <alignment horizontal="right" vertical="center"/>
    </xf>
    <xf numFmtId="168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9" fontId="25" fillId="6" borderId="16" xfId="0" applyNumberFormat="1" applyFont="1" applyFill="1" applyBorder="1" applyAlignment="1">
      <alignment horizontal="right" vertical="center"/>
    </xf>
    <xf numFmtId="169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56" xfId="0" applyFont="1" applyFill="1" applyBorder="1" applyAlignment="1">
      <alignment horizontal="centerContinuous" vertical="center"/>
    </xf>
    <xf numFmtId="0" fontId="36" fillId="3" borderId="57" xfId="0" applyFont="1" applyFill="1" applyBorder="1" applyAlignment="1">
      <alignment horizontal="center" vertical="center"/>
    </xf>
    <xf numFmtId="0" fontId="26" fillId="3" borderId="58" xfId="0" applyFont="1" applyFill="1" applyBorder="1" applyAlignment="1">
      <alignment horizontal="centerContinuous" vertical="center"/>
    </xf>
    <xf numFmtId="0" fontId="26" fillId="3" borderId="45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8" fontId="18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0" fontId="16" fillId="0" borderId="0" xfId="0" applyFont="1"/>
    <xf numFmtId="168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8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1" xfId="0" applyFont="1" applyFill="1" applyBorder="1" applyAlignment="1">
      <alignment horizontal="centerContinuous" vertical="center"/>
    </xf>
    <xf numFmtId="0" fontId="26" fillId="4" borderId="62" xfId="0" applyFont="1" applyFill="1" applyBorder="1" applyAlignment="1">
      <alignment horizontal="centerContinuous" vertical="center"/>
    </xf>
    <xf numFmtId="0" fontId="26" fillId="4" borderId="63" xfId="0" applyFont="1" applyFill="1" applyBorder="1" applyAlignment="1">
      <alignment horizontal="centerContinuous" vertical="center"/>
    </xf>
    <xf numFmtId="169" fontId="15" fillId="0" borderId="15" xfId="0" applyNumberFormat="1" applyFont="1" applyBorder="1" applyAlignment="1">
      <alignment horizontal="center" vertical="center"/>
    </xf>
    <xf numFmtId="169" fontId="15" fillId="0" borderId="16" xfId="0" applyNumberFormat="1" applyFont="1" applyBorder="1" applyAlignment="1">
      <alignment horizontal="center" vertical="center"/>
    </xf>
    <xf numFmtId="169" fontId="15" fillId="0" borderId="17" xfId="0" applyNumberFormat="1" applyFont="1" applyBorder="1" applyAlignment="1">
      <alignment horizontal="center" vertical="center"/>
    </xf>
    <xf numFmtId="168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4" xfId="0" applyNumberFormat="1" applyFont="1" applyBorder="1" applyAlignment="1">
      <alignment horizontal="center" vertical="center"/>
    </xf>
    <xf numFmtId="10" fontId="15" fillId="0" borderId="65" xfId="0" applyNumberFormat="1" applyFont="1" applyBorder="1" applyAlignment="1">
      <alignment horizontal="right" vertical="center"/>
    </xf>
    <xf numFmtId="4" fontId="15" fillId="0" borderId="66" xfId="0" applyNumberFormat="1" applyFont="1" applyBorder="1" applyAlignment="1">
      <alignment horizontal="center" vertical="center"/>
    </xf>
    <xf numFmtId="4" fontId="15" fillId="0" borderId="67" xfId="0" applyNumberFormat="1" applyFont="1" applyBorder="1" applyAlignment="1">
      <alignment horizontal="center" vertical="center"/>
    </xf>
    <xf numFmtId="4" fontId="15" fillId="0" borderId="68" xfId="0" applyNumberFormat="1" applyFont="1" applyBorder="1" applyAlignment="1">
      <alignment horizontal="center" vertical="center"/>
    </xf>
    <xf numFmtId="4" fontId="15" fillId="0" borderId="69" xfId="0" applyNumberFormat="1" applyFont="1" applyBorder="1" applyAlignment="1">
      <alignment horizontal="center" vertical="center"/>
    </xf>
    <xf numFmtId="10" fontId="15" fillId="0" borderId="70" xfId="0" applyNumberFormat="1" applyFont="1" applyBorder="1" applyAlignment="1">
      <alignment horizontal="right" vertical="center"/>
    </xf>
    <xf numFmtId="4" fontId="15" fillId="0" borderId="7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5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6" fontId="11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0" fillId="0" borderId="15" xfId="0" applyNumberFormat="1" applyFont="1" applyBorder="1" applyAlignment="1">
      <alignment horizontal="right" vertical="center"/>
    </xf>
    <xf numFmtId="170" fontId="20" fillId="0" borderId="16" xfId="0" applyNumberFormat="1" applyFont="1" applyBorder="1" applyAlignment="1">
      <alignment horizontal="right" vertical="center"/>
    </xf>
    <xf numFmtId="170" fontId="20" fillId="0" borderId="17" xfId="0" applyNumberFormat="1" applyFont="1" applyBorder="1" applyAlignment="1">
      <alignment horizontal="right" vertical="center"/>
    </xf>
    <xf numFmtId="178" fontId="1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5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76" xfId="0" applyNumberFormat="1" applyFont="1" applyBorder="1" applyAlignment="1">
      <alignment horizontal="center" vertical="center"/>
    </xf>
    <xf numFmtId="4" fontId="34" fillId="0" borderId="77" xfId="0" applyNumberFormat="1" applyFont="1" applyBorder="1" applyAlignment="1">
      <alignment horizontal="center" vertical="center"/>
    </xf>
    <xf numFmtId="4" fontId="34" fillId="0" borderId="78" xfId="0" applyNumberFormat="1" applyFont="1" applyBorder="1" applyAlignment="1">
      <alignment horizontal="center" vertical="center"/>
    </xf>
    <xf numFmtId="0" fontId="35" fillId="4" borderId="72" xfId="0" applyFont="1" applyFill="1" applyBorder="1" applyAlignment="1">
      <alignment horizontal="center" vertical="center"/>
    </xf>
    <xf numFmtId="0" fontId="35" fillId="4" borderId="73" xfId="0" applyFont="1" applyFill="1" applyBorder="1" applyAlignment="1">
      <alignment horizontal="center" vertical="center"/>
    </xf>
    <xf numFmtId="0" fontId="35" fillId="4" borderId="74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4" fontId="35" fillId="4" borderId="74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8" fontId="34" fillId="0" borderId="10" xfId="0" applyNumberFormat="1" applyFont="1" applyBorder="1" applyAlignment="1">
      <alignment horizontal="center" vertical="center"/>
    </xf>
    <xf numFmtId="0" fontId="26" fillId="4" borderId="79" xfId="0" applyFont="1" applyFill="1" applyBorder="1" applyAlignment="1">
      <alignment horizontal="center" vertical="center"/>
    </xf>
    <xf numFmtId="4" fontId="34" fillId="0" borderId="61" xfId="0" applyNumberFormat="1" applyFont="1" applyBorder="1" applyAlignment="1">
      <alignment horizontal="center" vertical="center"/>
    </xf>
    <xf numFmtId="168" fontId="34" fillId="0" borderId="63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3" xfId="2" applyFont="1"/>
    <xf numFmtId="0" fontId="41" fillId="0" borderId="84" xfId="3" applyFont="1"/>
    <xf numFmtId="168" fontId="34" fillId="0" borderId="44" xfId="0" applyNumberFormat="1" applyFont="1" applyBorder="1" applyAlignment="1">
      <alignment horizontal="center"/>
    </xf>
    <xf numFmtId="168" fontId="34" fillId="0" borderId="82" xfId="0" applyNumberFormat="1" applyFont="1" applyBorder="1" applyAlignment="1">
      <alignment horizontal="center"/>
    </xf>
    <xf numFmtId="0" fontId="34" fillId="0" borderId="45" xfId="0" applyFont="1" applyBorder="1" applyAlignment="1">
      <alignment horizontal="center" vertical="center"/>
    </xf>
    <xf numFmtId="168" fontId="9" fillId="0" borderId="80" xfId="0" applyNumberFormat="1" applyFont="1" applyBorder="1" applyAlignment="1">
      <alignment horizontal="center" vertical="center"/>
    </xf>
    <xf numFmtId="168" fontId="9" fillId="0" borderId="81" xfId="0" applyNumberFormat="1" applyFont="1" applyBorder="1" applyAlignment="1">
      <alignment horizontal="center" vertical="center"/>
    </xf>
    <xf numFmtId="168" fontId="34" fillId="0" borderId="12" xfId="0" applyNumberFormat="1" applyFont="1" applyBorder="1" applyAlignment="1">
      <alignment horizontal="center" vertical="center"/>
    </xf>
    <xf numFmtId="168" fontId="34" fillId="0" borderId="9" xfId="0" applyNumberFormat="1" applyFont="1" applyBorder="1" applyAlignment="1">
      <alignment horizontal="center" vertical="center"/>
    </xf>
    <xf numFmtId="168" fontId="34" fillId="0" borderId="15" xfId="0" applyNumberFormat="1" applyFont="1" applyBorder="1" applyAlignment="1">
      <alignment horizontal="center" vertical="center"/>
    </xf>
    <xf numFmtId="168" fontId="34" fillId="0" borderId="11" xfId="0" applyNumberFormat="1" applyFont="1" applyBorder="1" applyAlignment="1">
      <alignment horizontal="center" vertical="center"/>
    </xf>
    <xf numFmtId="168" fontId="34" fillId="0" borderId="16" xfId="0" applyNumberFormat="1" applyFont="1" applyBorder="1" applyAlignment="1">
      <alignment horizontal="center" vertical="center"/>
    </xf>
    <xf numFmtId="168" fontId="34" fillId="0" borderId="13" xfId="0" applyNumberFormat="1" applyFont="1" applyBorder="1" applyAlignment="1">
      <alignment horizontal="center" vertical="center"/>
    </xf>
    <xf numFmtId="168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8" fontId="34" fillId="0" borderId="14" xfId="0" applyNumberFormat="1" applyFont="1" applyBorder="1" applyAlignment="1">
      <alignment horizontal="center" vertical="center"/>
    </xf>
    <xf numFmtId="4" fontId="35" fillId="4" borderId="28" xfId="0" applyNumberFormat="1" applyFont="1" applyFill="1" applyBorder="1" applyAlignment="1">
      <alignment horizontal="center" vertical="center"/>
    </xf>
    <xf numFmtId="168" fontId="35" fillId="4" borderId="29" xfId="0" applyNumberFormat="1" applyFont="1" applyFill="1" applyBorder="1" applyAlignment="1">
      <alignment horizontal="center" vertical="center"/>
    </xf>
    <xf numFmtId="4" fontId="34" fillId="0" borderId="85" xfId="0" applyNumberFormat="1" applyFont="1" applyBorder="1" applyAlignment="1">
      <alignment horizontal="center" vertical="center"/>
    </xf>
    <xf numFmtId="2" fontId="34" fillId="0" borderId="44" xfId="0" applyNumberFormat="1" applyFont="1" applyBorder="1" applyAlignment="1">
      <alignment horizontal="center"/>
    </xf>
    <xf numFmtId="2" fontId="34" fillId="0" borderId="82" xfId="0" applyNumberFormat="1" applyFont="1" applyBorder="1" applyAlignment="1">
      <alignment horizontal="center"/>
    </xf>
    <xf numFmtId="4" fontId="34" fillId="0" borderId="86" xfId="0" applyNumberFormat="1" applyFont="1" applyBorder="1" applyAlignment="1">
      <alignment horizontal="center" vertical="center"/>
    </xf>
    <xf numFmtId="4" fontId="34" fillId="0" borderId="71" xfId="0" applyNumberFormat="1" applyFont="1" applyBorder="1" applyAlignment="1">
      <alignment horizontal="center" vertical="center"/>
    </xf>
    <xf numFmtId="4" fontId="34" fillId="0" borderId="88" xfId="0" applyNumberFormat="1" applyFont="1" applyBorder="1" applyAlignment="1">
      <alignment horizontal="center" vertical="center"/>
    </xf>
    <xf numFmtId="4" fontId="34" fillId="0" borderId="87" xfId="0" applyNumberFormat="1" applyFont="1" applyBorder="1" applyAlignment="1">
      <alignment horizontal="center" vertical="center"/>
    </xf>
    <xf numFmtId="2" fontId="36" fillId="4" borderId="52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89" xfId="0" applyFont="1" applyFill="1" applyBorder="1" applyAlignment="1">
      <alignment horizontal="centerContinuous" vertical="center"/>
    </xf>
    <xf numFmtId="0" fontId="36" fillId="3" borderId="51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0" xfId="0" applyFont="1" applyFill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28" xfId="0" applyNumberFormat="1" applyFont="1" applyFill="1" applyBorder="1" applyAlignment="1">
      <alignment horizontal="center" vertical="center"/>
    </xf>
    <xf numFmtId="2" fontId="36" fillId="4" borderId="29" xfId="0" applyNumberFormat="1" applyFont="1" applyFill="1" applyBorder="1" applyAlignment="1">
      <alignment horizontal="center" vertical="center"/>
    </xf>
    <xf numFmtId="2" fontId="36" fillId="4" borderId="30" xfId="0" applyNumberFormat="1" applyFont="1" applyFill="1" applyBorder="1" applyAlignment="1">
      <alignment horizontal="center" vertical="center"/>
    </xf>
    <xf numFmtId="2" fontId="34" fillId="0" borderId="31" xfId="0" applyNumberFormat="1" applyFont="1" applyBorder="1" applyAlignment="1">
      <alignment horizontal="center"/>
    </xf>
    <xf numFmtId="2" fontId="34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6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6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6" fillId="4" borderId="96" xfId="0" applyNumberFormat="1" applyFont="1" applyFill="1" applyBorder="1" applyAlignment="1">
      <alignment horizontal="center" vertical="center"/>
    </xf>
    <xf numFmtId="4" fontId="34" fillId="0" borderId="97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98" xfId="0" applyNumberFormat="1" applyFont="1" applyBorder="1" applyAlignment="1">
      <alignment horizontal="center" vertical="center"/>
    </xf>
    <xf numFmtId="4" fontId="34" fillId="0" borderId="99" xfId="0" applyNumberFormat="1" applyFont="1" applyBorder="1" applyAlignment="1">
      <alignment horizontal="center" vertical="center"/>
    </xf>
    <xf numFmtId="4" fontId="34" fillId="0" borderId="100" xfId="0" applyNumberFormat="1" applyFont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0" fontId="36" fillId="4" borderId="28" xfId="0" applyFont="1" applyFill="1" applyBorder="1" applyAlignment="1">
      <alignment horizontal="center" vertical="center"/>
    </xf>
    <xf numFmtId="0" fontId="36" fillId="4" borderId="30" xfId="0" applyFont="1" applyFill="1" applyBorder="1" applyAlignment="1">
      <alignment horizontal="center" vertical="center"/>
    </xf>
    <xf numFmtId="4" fontId="34" fillId="0" borderId="64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4" fontId="34" fillId="0" borderId="108" xfId="0" applyNumberFormat="1" applyFont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4" fillId="0" borderId="11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5" fillId="4" borderId="114" xfId="0" applyNumberFormat="1" applyFont="1" applyFill="1" applyBorder="1" applyAlignment="1">
      <alignment horizontal="center" vertical="center"/>
    </xf>
    <xf numFmtId="4" fontId="35" fillId="4" borderId="106" xfId="0" applyNumberFormat="1" applyFont="1" applyFill="1" applyBorder="1" applyAlignment="1">
      <alignment horizontal="center" vertical="center"/>
    </xf>
    <xf numFmtId="4" fontId="35" fillId="4" borderId="91" xfId="0" applyNumberFormat="1" applyFont="1" applyFill="1" applyBorder="1" applyAlignment="1">
      <alignment horizontal="center" vertical="center"/>
    </xf>
    <xf numFmtId="4" fontId="35" fillId="4" borderId="115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4" fillId="0" borderId="43" xfId="0" applyNumberFormat="1" applyFont="1" applyBorder="1" applyAlignment="1">
      <alignment horizontal="center" vertical="center"/>
    </xf>
    <xf numFmtId="4" fontId="34" fillId="0" borderId="118" xfId="0" applyNumberFormat="1" applyFont="1" applyBorder="1" applyAlignment="1">
      <alignment horizontal="center" vertical="center"/>
    </xf>
    <xf numFmtId="4" fontId="34" fillId="0" borderId="119" xfId="0" applyNumberFormat="1" applyFont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1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5" fillId="4" borderId="122" xfId="0" applyNumberFormat="1" applyFont="1" applyFill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5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6" xfId="0" applyNumberFormat="1" applyFont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0" fontId="35" fillId="3" borderId="49" xfId="0" applyFont="1" applyFill="1" applyBorder="1" applyAlignment="1">
      <alignment horizontal="centerContinuous" vertical="center"/>
    </xf>
    <xf numFmtId="0" fontId="35" fillId="4" borderId="49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57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4" xfId="4" applyFill="1" applyBorder="1" applyAlignment="1">
      <alignment horizontal="centerContinuous" vertical="center"/>
    </xf>
    <xf numFmtId="0" fontId="42" fillId="0" borderId="45" xfId="4" applyFill="1" applyBorder="1" applyAlignment="1">
      <alignment horizontal="centerContinuous" vertical="center"/>
    </xf>
    <xf numFmtId="4" fontId="42" fillId="0" borderId="50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8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8" fontId="46" fillId="0" borderId="16" xfId="6" applyNumberFormat="1" applyFont="1" applyBorder="1" applyAlignment="1">
      <alignment horizontal="right" vertical="center"/>
    </xf>
    <xf numFmtId="168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0" xfId="0" applyFont="1" applyFill="1" applyBorder="1" applyAlignment="1">
      <alignment horizontal="centerContinuous" vertical="center"/>
    </xf>
    <xf numFmtId="0" fontId="36" fillId="3" borderId="45" xfId="0" applyFont="1" applyFill="1" applyBorder="1" applyAlignment="1">
      <alignment horizontal="centerContinuous" vertical="center"/>
    </xf>
    <xf numFmtId="180" fontId="34" fillId="0" borderId="44" xfId="0" applyNumberFormat="1" applyFont="1" applyBorder="1" applyAlignment="1">
      <alignment horizontal="center"/>
    </xf>
    <xf numFmtId="180" fontId="34" fillId="0" borderId="82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79" fontId="34" fillId="0" borderId="12" xfId="0" applyNumberFormat="1" applyFont="1" applyBorder="1" applyAlignment="1">
      <alignment horizontal="center" vertical="center"/>
    </xf>
    <xf numFmtId="179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8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0" fontId="34" fillId="0" borderId="76" xfId="0" applyNumberFormat="1" applyFont="1" applyBorder="1" applyAlignment="1">
      <alignment horizontal="center" vertical="center"/>
    </xf>
    <xf numFmtId="170" fontId="34" fillId="0" borderId="77" xfId="0" applyNumberFormat="1" applyFont="1" applyBorder="1" applyAlignment="1">
      <alignment horizontal="center" vertical="center"/>
    </xf>
    <xf numFmtId="170" fontId="34" fillId="0" borderId="78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1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27" xfId="0" applyNumberFormat="1" applyFont="1" applyBorder="1" applyAlignment="1">
      <alignment horizontal="centerContinuous" vertical="center"/>
    </xf>
    <xf numFmtId="180" fontId="34" fillId="0" borderId="10" xfId="0" applyNumberFormat="1" applyFont="1" applyBorder="1" applyAlignment="1">
      <alignment horizontal="center" vertical="center"/>
    </xf>
    <xf numFmtId="169" fontId="34" fillId="0" borderId="10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5" fillId="3" borderId="89" xfId="0" applyFont="1" applyFill="1" applyBorder="1" applyAlignment="1">
      <alignment horizontal="centerContinuous" vertical="center"/>
    </xf>
    <xf numFmtId="0" fontId="35" fillId="3" borderId="130" xfId="0" applyFont="1" applyFill="1" applyBorder="1" applyAlignment="1">
      <alignment horizontal="centerContinuous" vertical="center"/>
    </xf>
    <xf numFmtId="0" fontId="35" fillId="3" borderId="106" xfId="0" applyFont="1" applyFill="1" applyBorder="1" applyAlignment="1">
      <alignment horizontal="centerContinuous" vertical="center"/>
    </xf>
    <xf numFmtId="170" fontId="46" fillId="0" borderId="9" xfId="0" applyNumberFormat="1" applyFont="1" applyFill="1" applyBorder="1" applyAlignment="1">
      <alignment horizontal="center" vertical="center"/>
    </xf>
    <xf numFmtId="170" fontId="46" fillId="0" borderId="15" xfId="0" applyNumberFormat="1" applyFont="1" applyFill="1" applyBorder="1" applyAlignment="1">
      <alignment horizontal="center" vertical="center"/>
    </xf>
    <xf numFmtId="170" fontId="46" fillId="0" borderId="10" xfId="0" applyNumberFormat="1" applyFont="1" applyFill="1" applyBorder="1" applyAlignment="1">
      <alignment horizontal="center" vertical="center"/>
    </xf>
    <xf numFmtId="170" fontId="46" fillId="0" borderId="11" xfId="0" applyNumberFormat="1" applyFont="1" applyFill="1" applyBorder="1" applyAlignment="1">
      <alignment horizontal="center" vertical="center"/>
    </xf>
    <xf numFmtId="170" fontId="46" fillId="0" borderId="16" xfId="0" applyNumberFormat="1" applyFont="1" applyFill="1" applyBorder="1" applyAlignment="1">
      <alignment horizontal="center" vertical="center"/>
    </xf>
    <xf numFmtId="170" fontId="46" fillId="0" borderId="12" xfId="0" applyNumberFormat="1" applyFont="1" applyFill="1" applyBorder="1" applyAlignment="1">
      <alignment horizontal="center" vertical="center"/>
    </xf>
    <xf numFmtId="170" fontId="46" fillId="0" borderId="13" xfId="0" applyNumberFormat="1" applyFont="1" applyFill="1" applyBorder="1" applyAlignment="1">
      <alignment horizontal="center" vertical="center"/>
    </xf>
    <xf numFmtId="170" fontId="46" fillId="0" borderId="17" xfId="0" applyNumberFormat="1" applyFont="1" applyFill="1" applyBorder="1" applyAlignment="1">
      <alignment horizontal="center" vertical="center"/>
    </xf>
    <xf numFmtId="170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4" fillId="0" borderId="28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170" fontId="34" fillId="0" borderId="30" xfId="0" applyNumberFormat="1" applyFont="1" applyBorder="1" applyAlignment="1">
      <alignment horizontal="center" vertical="center"/>
    </xf>
    <xf numFmtId="2" fontId="34" fillId="0" borderId="132" xfId="0" applyNumberFormat="1" applyFont="1" applyBorder="1" applyAlignment="1">
      <alignment horizontal="center" vertical="center"/>
    </xf>
    <xf numFmtId="170" fontId="34" fillId="0" borderId="55" xfId="0" applyNumberFormat="1" applyFont="1" applyBorder="1" applyAlignment="1">
      <alignment horizontal="center" vertical="center"/>
    </xf>
    <xf numFmtId="170" fontId="34" fillId="0" borderId="75" xfId="0" applyNumberFormat="1" applyFont="1" applyBorder="1" applyAlignment="1">
      <alignment horizontal="center" vertical="center"/>
    </xf>
    <xf numFmtId="170" fontId="34" fillId="0" borderId="16" xfId="0" applyNumberFormat="1" applyFont="1" applyBorder="1" applyAlignment="1">
      <alignment horizontal="center" vertical="center"/>
    </xf>
    <xf numFmtId="170" fontId="34" fillId="0" borderId="12" xfId="0" applyNumberFormat="1" applyFont="1" applyBorder="1" applyAlignment="1">
      <alignment horizontal="center" vertical="center"/>
    </xf>
    <xf numFmtId="170" fontId="34" fillId="0" borderId="17" xfId="0" applyNumberFormat="1" applyFont="1" applyBorder="1" applyAlignment="1">
      <alignment horizontal="center" vertical="center"/>
    </xf>
    <xf numFmtId="170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2" fontId="7" fillId="0" borderId="0" xfId="0" applyNumberFormat="1" applyFont="1" applyFill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28" xfId="0" applyNumberFormat="1" applyFont="1" applyFill="1" applyBorder="1" applyAlignment="1">
      <alignment horizontal="center" vertical="center"/>
    </xf>
    <xf numFmtId="4" fontId="26" fillId="4" borderId="29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8" fontId="7" fillId="0" borderId="9" xfId="0" applyNumberFormat="1" applyFont="1" applyBorder="1" applyAlignment="1">
      <alignment horizontal="right" vertical="center"/>
    </xf>
    <xf numFmtId="168" fontId="7" fillId="0" borderId="15" xfId="0" applyNumberFormat="1" applyFont="1" applyBorder="1" applyAlignment="1">
      <alignment horizontal="right" vertical="center"/>
    </xf>
    <xf numFmtId="168" fontId="7" fillId="0" borderId="16" xfId="0" applyNumberFormat="1" applyFont="1" applyBorder="1" applyAlignment="1">
      <alignment horizontal="right" vertical="center"/>
    </xf>
    <xf numFmtId="168" fontId="7" fillId="0" borderId="17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8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4" fillId="0" borderId="44" xfId="0" applyNumberFormat="1" applyFont="1" applyBorder="1" applyAlignment="1">
      <alignment horizontal="center"/>
    </xf>
    <xf numFmtId="169" fontId="34" fillId="0" borderId="82" xfId="0" applyNumberFormat="1" applyFont="1" applyBorder="1" applyAlignment="1">
      <alignment horizontal="center"/>
    </xf>
    <xf numFmtId="168" fontId="34" fillId="0" borderId="44" xfId="0" applyNumberFormat="1" applyFont="1" applyBorder="1" applyAlignment="1">
      <alignment horizontal="centerContinuous"/>
    </xf>
    <xf numFmtId="168" fontId="34" fillId="0" borderId="82" xfId="0" applyNumberFormat="1" applyFont="1" applyBorder="1" applyAlignment="1">
      <alignment horizontal="centerContinuous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34" xfId="0" applyNumberFormat="1" applyFont="1" applyBorder="1" applyAlignment="1">
      <alignment horizontal="centerContinuous" vertical="center"/>
    </xf>
    <xf numFmtId="4" fontId="34" fillId="0" borderId="135" xfId="0" applyNumberFormat="1" applyFont="1" applyBorder="1" applyAlignment="1">
      <alignment horizontal="centerContinuous" vertical="center"/>
    </xf>
    <xf numFmtId="168" fontId="34" fillId="0" borderId="61" xfId="0" applyNumberFormat="1" applyFont="1" applyBorder="1" applyAlignment="1">
      <alignment horizontal="centerContinuous" vertical="center"/>
    </xf>
    <xf numFmtId="168" fontId="34" fillId="0" borderId="82" xfId="0" applyNumberFormat="1" applyFont="1" applyBorder="1" applyAlignment="1">
      <alignment horizontal="centerContinuous" vertical="center"/>
    </xf>
    <xf numFmtId="168" fontId="34" fillId="0" borderId="63" xfId="0" applyNumberFormat="1" applyFont="1" applyBorder="1" applyAlignment="1">
      <alignment horizontal="centerContinuous" vertical="center"/>
    </xf>
    <xf numFmtId="168" fontId="34" fillId="0" borderId="45" xfId="0" applyNumberFormat="1" applyFont="1" applyBorder="1" applyAlignment="1">
      <alignment horizontal="centerContinuous" vertical="center"/>
    </xf>
    <xf numFmtId="4" fontId="34" fillId="0" borderId="104" xfId="0" applyNumberFormat="1" applyFont="1" applyBorder="1" applyAlignment="1">
      <alignment horizontal="centerContinuous" vertical="center"/>
    </xf>
    <xf numFmtId="4" fontId="34" fillId="0" borderId="129" xfId="0" applyNumberFormat="1" applyFont="1" applyBorder="1" applyAlignment="1">
      <alignment horizontal="centerContinuous" vertical="center"/>
    </xf>
    <xf numFmtId="4" fontId="34" fillId="0" borderId="136" xfId="0" applyNumberFormat="1" applyFont="1" applyBorder="1" applyAlignment="1">
      <alignment horizontal="centerContinuous" vertical="center"/>
    </xf>
    <xf numFmtId="4" fontId="34" fillId="0" borderId="61" xfId="0" applyNumberFormat="1" applyFont="1" applyBorder="1" applyAlignment="1">
      <alignment horizontal="centerContinuous" vertical="center"/>
    </xf>
    <xf numFmtId="4" fontId="34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4" fillId="0" borderId="138" xfId="0" applyNumberFormat="1" applyFont="1" applyBorder="1" applyAlignment="1">
      <alignment horizontal="centerContinuous" vertical="center"/>
    </xf>
    <xf numFmtId="168" fontId="34" fillId="0" borderId="0" xfId="0" applyNumberFormat="1" applyFont="1"/>
    <xf numFmtId="168" fontId="9" fillId="0" borderId="139" xfId="0" applyNumberFormat="1" applyFont="1" applyBorder="1" applyAlignment="1">
      <alignment horizontal="center" vertical="center"/>
    </xf>
    <xf numFmtId="168" fontId="9" fillId="0" borderId="140" xfId="0" applyNumberFormat="1" applyFont="1" applyBorder="1" applyAlignment="1">
      <alignment horizontal="center" vertical="center"/>
    </xf>
    <xf numFmtId="168" fontId="9" fillId="0" borderId="141" xfId="0" applyNumberFormat="1" applyFont="1" applyBorder="1" applyAlignment="1">
      <alignment horizontal="center" vertical="center"/>
    </xf>
    <xf numFmtId="168" fontId="9" fillId="0" borderId="142" xfId="0" applyNumberFormat="1" applyFont="1" applyBorder="1" applyAlignment="1">
      <alignment horizontal="center" vertical="center"/>
    </xf>
    <xf numFmtId="0" fontId="26" fillId="4" borderId="143" xfId="0" applyFont="1" applyFill="1" applyBorder="1" applyAlignment="1">
      <alignment horizontal="center" vertical="center"/>
    </xf>
    <xf numFmtId="0" fontId="26" fillId="4" borderId="144" xfId="0" applyFont="1" applyFill="1" applyBorder="1" applyAlignment="1">
      <alignment horizontal="center" vertical="center"/>
    </xf>
    <xf numFmtId="4" fontId="34" fillId="0" borderId="145" xfId="0" applyNumberFormat="1" applyFont="1" applyBorder="1" applyAlignment="1">
      <alignment horizontal="center" vertical="center"/>
    </xf>
    <xf numFmtId="2" fontId="34" fillId="0" borderId="44" xfId="0" applyNumberFormat="1" applyFont="1" applyBorder="1" applyAlignment="1">
      <alignment horizontal="centerContinuous"/>
    </xf>
    <xf numFmtId="2" fontId="34" fillId="0" borderId="82" xfId="0" applyNumberFormat="1" applyFont="1" applyBorder="1" applyAlignment="1">
      <alignment horizontal="centerContinuous"/>
    </xf>
    <xf numFmtId="0" fontId="35" fillId="4" borderId="50" xfId="0" applyFont="1" applyFill="1" applyBorder="1" applyAlignment="1">
      <alignment horizontal="centerContinuous" vertical="center"/>
    </xf>
    <xf numFmtId="0" fontId="35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4" fillId="0" borderId="147" xfId="0" applyNumberFormat="1" applyFont="1" applyBorder="1" applyAlignment="1">
      <alignment horizontal="centerContinuous" vertical="center"/>
    </xf>
    <xf numFmtId="4" fontId="34" fillId="0" borderId="62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97" xfId="4" applyNumberFormat="1" applyBorder="1" applyAlignment="1">
      <alignment horizontal="center" vertical="center"/>
    </xf>
    <xf numFmtId="175" fontId="34" fillId="0" borderId="14" xfId="0" applyNumberFormat="1" applyFont="1" applyBorder="1" applyAlignment="1">
      <alignment horizontal="center" vertical="center"/>
    </xf>
    <xf numFmtId="176" fontId="34" fillId="0" borderId="10" xfId="0" applyNumberFormat="1" applyFont="1" applyBorder="1" applyAlignment="1">
      <alignment horizontal="center" vertical="center"/>
    </xf>
    <xf numFmtId="176" fontId="34" fillId="0" borderId="12" xfId="0" applyNumberFormat="1" applyFont="1" applyBorder="1" applyAlignment="1">
      <alignment horizontal="center" vertical="center"/>
    </xf>
    <xf numFmtId="176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5" fontId="34" fillId="0" borderId="13" xfId="0" applyNumberFormat="1" applyFont="1" applyBorder="1" applyAlignment="1">
      <alignment horizontal="center" vertical="center"/>
    </xf>
    <xf numFmtId="0" fontId="35" fillId="3" borderId="44" xfId="0" applyFont="1" applyFill="1" applyBorder="1" applyAlignment="1">
      <alignment horizontal="centerContinuous" vertical="center"/>
    </xf>
    <xf numFmtId="0" fontId="35" fillId="3" borderId="148" xfId="0" applyFont="1" applyFill="1" applyBorder="1" applyAlignment="1">
      <alignment horizontal="centerContinuous" vertical="center"/>
    </xf>
    <xf numFmtId="0" fontId="35" fillId="3" borderId="146" xfId="0" applyFont="1" applyFill="1" applyBorder="1" applyAlignment="1">
      <alignment horizontal="centerContinuous" vertical="center"/>
    </xf>
    <xf numFmtId="0" fontId="35" fillId="3" borderId="82" xfId="0" applyFont="1" applyFill="1" applyBorder="1" applyAlignment="1">
      <alignment horizontal="centerContinuous" vertical="center"/>
    </xf>
    <xf numFmtId="175" fontId="34" fillId="0" borderId="13" xfId="0" applyNumberFormat="1" applyFont="1" applyBorder="1" applyAlignment="1">
      <alignment horizontal="centerContinuous" vertical="center"/>
    </xf>
    <xf numFmtId="175" fontId="34" fillId="0" borderId="135" xfId="0" applyNumberFormat="1" applyFont="1" applyBorder="1" applyAlignment="1">
      <alignment horizontal="centerContinuous" vertical="center"/>
    </xf>
    <xf numFmtId="175" fontId="34" fillId="0" borderId="149" xfId="0" applyNumberFormat="1" applyFont="1" applyBorder="1" applyAlignment="1">
      <alignment horizontal="centerContinuous" vertical="center"/>
    </xf>
    <xf numFmtId="175" fontId="34" fillId="0" borderId="150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1" xfId="4" applyNumberFormat="1" applyBorder="1" applyAlignment="1">
      <alignment horizontal="center" vertical="center"/>
    </xf>
    <xf numFmtId="0" fontId="42" fillId="0" borderId="152" xfId="4" applyFill="1" applyBorder="1" applyAlignment="1">
      <alignment horizontal="centerContinuous" vertical="center"/>
    </xf>
    <xf numFmtId="0" fontId="42" fillId="0" borderId="153" xfId="4" applyFill="1" applyBorder="1" applyAlignment="1">
      <alignment horizontal="centerContinuous" vertical="center"/>
    </xf>
    <xf numFmtId="4" fontId="42" fillId="0" borderId="154" xfId="4" applyNumberFormat="1" applyBorder="1" applyAlignment="1">
      <alignment horizontal="centerContinuous" vertical="center"/>
    </xf>
    <xf numFmtId="0" fontId="42" fillId="0" borderId="155" xfId="4" applyBorder="1" applyAlignment="1">
      <alignment horizontal="centerContinuous" vertical="center"/>
    </xf>
    <xf numFmtId="0" fontId="42" fillId="0" borderId="46" xfId="4" applyFill="1" applyBorder="1" applyAlignment="1">
      <alignment horizontal="center"/>
    </xf>
    <xf numFmtId="0" fontId="42" fillId="0" borderId="48" xfId="4" applyFill="1" applyBorder="1" applyAlignment="1">
      <alignment horizontal="center"/>
    </xf>
    <xf numFmtId="3" fontId="0" fillId="0" borderId="0" xfId="0" applyNumberFormat="1"/>
    <xf numFmtId="0" fontId="42" fillId="0" borderId="156" xfId="4" applyBorder="1" applyAlignment="1">
      <alignment horizontal="centerContinuous"/>
    </xf>
    <xf numFmtId="0" fontId="42" fillId="0" borderId="157" xfId="4" applyBorder="1" applyAlignment="1">
      <alignment horizontal="centerContinuous"/>
    </xf>
    <xf numFmtId="0" fontId="42" fillId="0" borderId="158" xfId="4" applyBorder="1" applyAlignment="1">
      <alignment horizontal="centerContinuous"/>
    </xf>
    <xf numFmtId="0" fontId="42" fillId="0" borderId="155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5" fillId="0" borderId="159" xfId="0" applyNumberFormat="1" applyFont="1" applyBorder="1" applyAlignment="1">
      <alignment horizontal="right" vertical="center"/>
    </xf>
    <xf numFmtId="169" fontId="25" fillId="0" borderId="160" xfId="0" applyNumberFormat="1" applyFont="1" applyBorder="1" applyAlignment="1">
      <alignment horizontal="center" vertical="center"/>
    </xf>
    <xf numFmtId="168" fontId="25" fillId="6" borderId="67" xfId="0" applyNumberFormat="1" applyFont="1" applyFill="1" applyBorder="1" applyAlignment="1">
      <alignment horizontal="right" vertical="center"/>
    </xf>
    <xf numFmtId="168" fontId="25" fillId="0" borderId="67" xfId="0" applyNumberFormat="1" applyFont="1" applyBorder="1" applyAlignment="1">
      <alignment horizontal="right" vertical="center"/>
    </xf>
    <xf numFmtId="168" fontId="25" fillId="0" borderId="69" xfId="0" applyNumberFormat="1" applyFont="1" applyBorder="1" applyAlignment="1">
      <alignment horizontal="right" vertical="center"/>
    </xf>
    <xf numFmtId="169" fontId="25" fillId="0" borderId="70" xfId="0" applyNumberFormat="1" applyFont="1" applyBorder="1" applyAlignment="1">
      <alignment horizontal="right" vertical="center"/>
    </xf>
    <xf numFmtId="169" fontId="25" fillId="0" borderId="26" xfId="0" applyNumberFormat="1" applyFont="1" applyBorder="1" applyAlignment="1">
      <alignment horizontal="center" vertical="center"/>
    </xf>
    <xf numFmtId="4" fontId="35" fillId="4" borderId="29" xfId="0" applyNumberFormat="1" applyFont="1" applyFill="1" applyBorder="1" applyAlignment="1">
      <alignment horizontal="center" vertical="center"/>
    </xf>
    <xf numFmtId="4" fontId="35" fillId="4" borderId="30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6" fillId="4" borderId="89" xfId="0" applyNumberFormat="1" applyFont="1" applyFill="1" applyBorder="1" applyAlignment="1">
      <alignment horizontal="centerContinuous" vertical="center"/>
    </xf>
    <xf numFmtId="0" fontId="34" fillId="0" borderId="134" xfId="0" applyFont="1" applyBorder="1" applyAlignment="1">
      <alignment horizontal="center" vertical="center"/>
    </xf>
    <xf numFmtId="0" fontId="34" fillId="0" borderId="161" xfId="0" applyFont="1" applyBorder="1" applyAlignment="1">
      <alignment horizontal="center" vertical="center"/>
    </xf>
    <xf numFmtId="0" fontId="26" fillId="4" borderId="58" xfId="0" applyFont="1" applyFill="1" applyBorder="1" applyAlignment="1">
      <alignment horizontal="centerContinuous" vertical="center"/>
    </xf>
    <xf numFmtId="0" fontId="34" fillId="0" borderId="162" xfId="0" applyFont="1" applyBorder="1" applyAlignment="1">
      <alignment horizontal="centerContinuous"/>
    </xf>
    <xf numFmtId="0" fontId="34" fillId="0" borderId="153" xfId="0" applyFont="1" applyBorder="1" applyAlignment="1">
      <alignment horizontal="centerContinuous"/>
    </xf>
    <xf numFmtId="0" fontId="34" fillId="0" borderId="163" xfId="0" applyFont="1" applyBorder="1" applyAlignment="1">
      <alignment horizontal="centerContinuous"/>
    </xf>
    <xf numFmtId="0" fontId="34" fillId="0" borderId="155" xfId="0" applyFont="1" applyBorder="1" applyAlignment="1">
      <alignment horizontal="centerContinuous"/>
    </xf>
    <xf numFmtId="168" fontId="35" fillId="4" borderId="29" xfId="0" applyNumberFormat="1" applyFont="1" applyFill="1" applyBorder="1" applyAlignment="1">
      <alignment horizontal="centerContinuous" vertical="center"/>
    </xf>
    <xf numFmtId="168" fontId="35" fillId="4" borderId="164" xfId="0" applyNumberFormat="1" applyFont="1" applyFill="1" applyBorder="1" applyAlignment="1">
      <alignment horizontal="centerContinuous" vertical="center"/>
    </xf>
    <xf numFmtId="4" fontId="34" fillId="0" borderId="70" xfId="0" applyNumberFormat="1" applyFont="1" applyBorder="1" applyAlignment="1">
      <alignment horizontal="center" vertical="center"/>
    </xf>
    <xf numFmtId="170" fontId="34" fillId="0" borderId="9" xfId="0" applyNumberFormat="1" applyFont="1" applyBorder="1" applyAlignment="1">
      <alignment horizontal="center" vertical="center"/>
    </xf>
    <xf numFmtId="170" fontId="34" fillId="0" borderId="15" xfId="0" applyNumberFormat="1" applyFont="1" applyBorder="1" applyAlignment="1">
      <alignment horizontal="center" vertical="center"/>
    </xf>
    <xf numFmtId="170" fontId="34" fillId="0" borderId="11" xfId="0" applyNumberFormat="1" applyFont="1" applyBorder="1" applyAlignment="1">
      <alignment horizontal="center" vertical="center"/>
    </xf>
    <xf numFmtId="184" fontId="8" fillId="0" borderId="0" xfId="0" applyNumberFormat="1" applyFont="1"/>
    <xf numFmtId="170" fontId="34" fillId="0" borderId="160" xfId="0" applyNumberFormat="1" applyFont="1" applyBorder="1" applyAlignment="1">
      <alignment horizontal="center" vertical="center"/>
    </xf>
    <xf numFmtId="170" fontId="34" fillId="0" borderId="68" xfId="0" applyNumberFormat="1" applyFont="1" applyBorder="1" applyAlignment="1">
      <alignment horizontal="center" vertical="center"/>
    </xf>
    <xf numFmtId="170" fontId="34" fillId="0" borderId="86" xfId="0" applyNumberFormat="1" applyFont="1" applyBorder="1" applyAlignment="1">
      <alignment horizontal="center" vertical="center"/>
    </xf>
    <xf numFmtId="170" fontId="34" fillId="0" borderId="70" xfId="0" applyNumberFormat="1" applyFont="1" applyBorder="1" applyAlignment="1">
      <alignment horizontal="center" vertical="center"/>
    </xf>
    <xf numFmtId="170" fontId="34" fillId="0" borderId="71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1" xfId="0" applyFont="1" applyBorder="1" applyAlignment="1">
      <alignment horizontal="centerContinuous"/>
    </xf>
    <xf numFmtId="0" fontId="34" fillId="0" borderId="165" xfId="0" applyFont="1" applyBorder="1" applyAlignment="1">
      <alignment horizontal="centerContinuous"/>
    </xf>
    <xf numFmtId="0" fontId="34" fillId="0" borderId="35" xfId="0" applyFont="1" applyBorder="1" applyAlignment="1">
      <alignment horizontal="centerContinuous"/>
    </xf>
    <xf numFmtId="0" fontId="34" fillId="0" borderId="166" xfId="0" applyFont="1" applyBorder="1" applyAlignment="1">
      <alignment horizontal="centerContinuous"/>
    </xf>
    <xf numFmtId="3" fontId="34" fillId="0" borderId="23" xfId="0" applyNumberFormat="1" applyFont="1" applyBorder="1"/>
    <xf numFmtId="3" fontId="34" fillId="0" borderId="56" xfId="0" applyNumberFormat="1" applyFont="1" applyBorder="1"/>
    <xf numFmtId="3" fontId="34" fillId="0" borderId="24" xfId="0" applyNumberFormat="1" applyFont="1" applyBorder="1"/>
    <xf numFmtId="3" fontId="34" fillId="0" borderId="40" xfId="0" applyNumberFormat="1" applyFont="1" applyBorder="1"/>
    <xf numFmtId="3" fontId="34" fillId="0" borderId="0" xfId="0" applyNumberFormat="1" applyFont="1" applyBorder="1"/>
    <xf numFmtId="3" fontId="34" fillId="0" borderId="41" xfId="0" applyNumberFormat="1" applyFont="1" applyBorder="1"/>
    <xf numFmtId="3" fontId="34" fillId="0" borderId="42" xfId="0" applyNumberFormat="1" applyFont="1" applyBorder="1"/>
    <xf numFmtId="3" fontId="34" fillId="0" borderId="129" xfId="0" applyNumberFormat="1" applyFont="1" applyBorder="1"/>
    <xf numFmtId="3" fontId="34" fillId="0" borderId="43" xfId="0" applyNumberFormat="1" applyFont="1" applyBorder="1"/>
    <xf numFmtId="3" fontId="34" fillId="0" borderId="44" xfId="0" applyNumberFormat="1" applyFont="1" applyBorder="1"/>
    <xf numFmtId="3" fontId="34" fillId="0" borderId="82" xfId="0" applyNumberFormat="1" applyFont="1" applyBorder="1"/>
    <xf numFmtId="3" fontId="34" fillId="0" borderId="45" xfId="0" applyNumberFormat="1" applyFont="1" applyBorder="1"/>
    <xf numFmtId="4" fontId="34" fillId="9" borderId="44" xfId="0" applyNumberFormat="1" applyFont="1" applyFill="1" applyBorder="1" applyAlignment="1">
      <alignment horizontal="center" vertical="center"/>
    </xf>
    <xf numFmtId="4" fontId="34" fillId="9" borderId="45" xfId="0" applyNumberFormat="1" applyFont="1" applyFill="1" applyBorder="1" applyAlignment="1">
      <alignment horizontal="center" vertical="center"/>
    </xf>
    <xf numFmtId="0" fontId="34" fillId="0" borderId="44" xfId="0" applyFont="1" applyBorder="1"/>
    <xf numFmtId="0" fontId="34" fillId="0" borderId="82" xfId="0" applyFont="1" applyBorder="1"/>
    <xf numFmtId="0" fontId="34" fillId="0" borderId="45" xfId="0" applyFont="1" applyBorder="1"/>
    <xf numFmtId="0" fontId="34" fillId="0" borderId="56" xfId="0" applyFont="1" applyBorder="1"/>
    <xf numFmtId="0" fontId="34" fillId="0" borderId="24" xfId="0" applyFont="1" applyBorder="1"/>
    <xf numFmtId="0" fontId="34" fillId="0" borderId="0" xfId="0" applyFont="1" applyBorder="1"/>
    <xf numFmtId="0" fontId="34" fillId="0" borderId="41" xfId="0" applyFont="1" applyBorder="1"/>
    <xf numFmtId="0" fontId="34" fillId="0" borderId="129" xfId="0" applyFont="1" applyBorder="1"/>
    <xf numFmtId="0" fontId="34" fillId="0" borderId="43" xfId="0" applyFont="1" applyBorder="1"/>
    <xf numFmtId="0" fontId="34" fillId="0" borderId="23" xfId="0" applyFont="1" applyBorder="1"/>
    <xf numFmtId="0" fontId="34" fillId="0" borderId="40" xfId="0" applyFont="1" applyBorder="1"/>
    <xf numFmtId="0" fontId="34" fillId="0" borderId="42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1" fontId="33" fillId="5" borderId="15" xfId="0" applyNumberFormat="1" applyFont="1" applyFill="1" applyBorder="1" applyAlignment="1">
      <alignment horizontal="right" vertical="center"/>
    </xf>
    <xf numFmtId="171" fontId="33" fillId="5" borderId="17" xfId="0" applyNumberFormat="1" applyFont="1" applyFill="1" applyBorder="1" applyAlignment="1">
      <alignment horizontal="right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74" fontId="33" fillId="5" borderId="15" xfId="0" applyNumberFormat="1" applyFont="1" applyFill="1" applyBorder="1" applyAlignment="1">
      <alignment horizontal="right" vertical="center"/>
    </xf>
    <xf numFmtId="174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8" fontId="33" fillId="5" borderId="13" xfId="0" applyNumberFormat="1" applyFont="1" applyFill="1" applyBorder="1" applyAlignment="1">
      <alignment horizontal="right" vertical="center"/>
    </xf>
    <xf numFmtId="168" fontId="33" fillId="5" borderId="17" xfId="0" applyNumberFormat="1" applyFont="1" applyFill="1" applyBorder="1" applyAlignment="1">
      <alignment horizontal="right" vertical="center"/>
    </xf>
    <xf numFmtId="4" fontId="35" fillId="4" borderId="72" xfId="0" applyNumberFormat="1" applyFont="1" applyFill="1" applyBorder="1" applyAlignment="1">
      <alignment horizontal="center" vertical="center"/>
    </xf>
    <xf numFmtId="4" fontId="35" fillId="4" borderId="73" xfId="0" applyNumberFormat="1" applyFont="1" applyFill="1" applyBorder="1" applyAlignment="1">
      <alignment horizontal="center" vertical="center"/>
    </xf>
    <xf numFmtId="4" fontId="33" fillId="5" borderId="55" xfId="0" applyNumberFormat="1" applyFont="1" applyFill="1" applyBorder="1" applyAlignment="1">
      <alignment horizontal="center" vertical="center"/>
    </xf>
    <xf numFmtId="4" fontId="33" fillId="5" borderId="75" xfId="0" applyNumberFormat="1" applyFont="1" applyFill="1" applyBorder="1" applyAlignment="1">
      <alignment horizontal="center" vertical="center"/>
    </xf>
    <xf numFmtId="4" fontId="33" fillId="5" borderId="76" xfId="0" applyNumberFormat="1" applyFont="1" applyFill="1" applyBorder="1" applyAlignment="1">
      <alignment horizontal="center" vertical="center"/>
    </xf>
    <xf numFmtId="4" fontId="33" fillId="5" borderId="77" xfId="0" applyNumberFormat="1" applyFont="1" applyFill="1" applyBorder="1" applyAlignment="1">
      <alignment horizontal="center" vertical="center"/>
    </xf>
    <xf numFmtId="4" fontId="33" fillId="5" borderId="78" xfId="0" applyNumberFormat="1" applyFont="1" applyFill="1" applyBorder="1" applyAlignment="1">
      <alignment horizontal="center" vertical="center"/>
    </xf>
    <xf numFmtId="4" fontId="5" fillId="0" borderId="64" xfId="0" applyNumberFormat="1" applyFont="1" applyBorder="1" applyAlignment="1">
      <alignment horizontal="center" vertical="center"/>
    </xf>
    <xf numFmtId="180" fontId="15" fillId="0" borderId="65" xfId="0" applyNumberFormat="1" applyFont="1" applyBorder="1" applyAlignment="1">
      <alignment horizontal="right" vertical="center"/>
    </xf>
    <xf numFmtId="180" fontId="15" fillId="0" borderId="16" xfId="0" applyNumberFormat="1" applyFont="1" applyBorder="1" applyAlignment="1">
      <alignment horizontal="right" vertical="center"/>
    </xf>
    <xf numFmtId="180" fontId="15" fillId="0" borderId="70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80" fontId="14" fillId="0" borderId="15" xfId="0" applyNumberFormat="1" applyFont="1" applyBorder="1" applyAlignment="1">
      <alignment horizontal="right" vertical="center"/>
    </xf>
    <xf numFmtId="180" fontId="14" fillId="0" borderId="16" xfId="0" applyNumberFormat="1" applyFont="1" applyBorder="1" applyAlignment="1">
      <alignment horizontal="right" vertical="center"/>
    </xf>
    <xf numFmtId="180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80" fontId="15" fillId="0" borderId="15" xfId="0" applyNumberFormat="1" applyFont="1" applyBorder="1" applyAlignment="1">
      <alignment horizontal="right" vertical="center"/>
    </xf>
    <xf numFmtId="180" fontId="15" fillId="0" borderId="17" xfId="0" applyNumberFormat="1" applyFont="1" applyBorder="1" applyAlignment="1">
      <alignment horizontal="right" vertical="center"/>
    </xf>
    <xf numFmtId="10" fontId="34" fillId="0" borderId="55" xfId="0" applyNumberFormat="1" applyFont="1" applyBorder="1" applyAlignment="1">
      <alignment horizontal="right" vertical="center"/>
    </xf>
    <xf numFmtId="4" fontId="34" fillId="9" borderId="167" xfId="0" applyNumberFormat="1" applyFont="1" applyFill="1" applyBorder="1" applyAlignment="1">
      <alignment horizontal="center" vertical="center"/>
    </xf>
    <xf numFmtId="168" fontId="34" fillId="0" borderId="64" xfId="0" applyNumberFormat="1" applyFont="1" applyBorder="1" applyAlignment="1">
      <alignment horizontal="right" vertical="center"/>
    </xf>
    <xf numFmtId="4" fontId="34" fillId="9" borderId="168" xfId="0" applyNumberFormat="1" applyFont="1" applyFill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4" fontId="34" fillId="0" borderId="169" xfId="0" applyNumberFormat="1" applyFont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168" fontId="34" fillId="0" borderId="69" xfId="0" applyNumberFormat="1" applyFont="1" applyBorder="1" applyAlignment="1">
      <alignment horizontal="right" vertical="center"/>
    </xf>
    <xf numFmtId="10" fontId="34" fillId="0" borderId="70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5" fontId="15" fillId="0" borderId="16" xfId="0" applyNumberFormat="1" applyFont="1" applyBorder="1" applyAlignment="1">
      <alignment horizontal="center" vertical="center"/>
    </xf>
    <xf numFmtId="175" fontId="15" fillId="0" borderId="17" xfId="0" applyNumberFormat="1" applyFont="1" applyBorder="1" applyAlignment="1">
      <alignment horizontal="center" vertical="center"/>
    </xf>
    <xf numFmtId="175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0" fontId="33" fillId="5" borderId="15" xfId="0" applyNumberFormat="1" applyFont="1" applyFill="1" applyBorder="1" applyAlignment="1">
      <alignment horizontal="center" vertical="center"/>
    </xf>
    <xf numFmtId="170" fontId="33" fillId="5" borderId="17" xfId="0" applyNumberFormat="1" applyFont="1" applyFill="1" applyBorder="1" applyAlignment="1">
      <alignment horizontal="centerContinuous" vertical="center"/>
    </xf>
    <xf numFmtId="175" fontId="11" fillId="0" borderId="15" xfId="0" applyNumberFormat="1" applyFont="1" applyBorder="1" applyAlignment="1">
      <alignment horizontal="center" vertical="center"/>
    </xf>
    <xf numFmtId="175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70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70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4" fillId="0" borderId="9" xfId="9" applyNumberFormat="1" applyFont="1" applyBorder="1" applyAlignment="1" applyProtection="1">
      <alignment horizontal="right" vertical="center"/>
      <protection hidden="1"/>
    </xf>
    <xf numFmtId="168" fontId="4" fillId="0" borderId="11" xfId="9" applyNumberFormat="1" applyFont="1" applyBorder="1" applyAlignment="1" applyProtection="1">
      <alignment horizontal="right" vertical="center"/>
      <protection hidden="1"/>
    </xf>
    <xf numFmtId="168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4" xfId="0" applyFont="1" applyFill="1" applyBorder="1" applyAlignment="1">
      <alignment horizontal="centerContinuous" vertical="center"/>
    </xf>
    <xf numFmtId="0" fontId="35" fillId="3" borderId="90" xfId="0" applyFont="1" applyFill="1" applyBorder="1" applyAlignment="1">
      <alignment horizontal="centerContinuous" vertical="center"/>
    </xf>
    <xf numFmtId="169" fontId="4" fillId="0" borderId="15" xfId="37" applyNumberFormat="1" applyFont="1" applyBorder="1" applyAlignment="1" applyProtection="1">
      <alignment horizontal="center" vertical="center"/>
      <protection hidden="1"/>
    </xf>
    <xf numFmtId="169" fontId="4" fillId="0" borderId="15" xfId="0" applyNumberFormat="1" applyFont="1" applyBorder="1" applyAlignment="1">
      <alignment horizontal="center" vertical="center"/>
    </xf>
    <xf numFmtId="169" fontId="4" fillId="0" borderId="16" xfId="37" applyNumberFormat="1" applyFont="1" applyBorder="1" applyAlignment="1" applyProtection="1">
      <alignment horizontal="center" vertical="center"/>
      <protection hidden="1"/>
    </xf>
    <xf numFmtId="169" fontId="4" fillId="0" borderId="16" xfId="0" applyNumberFormat="1" applyFont="1" applyBorder="1" applyAlignment="1">
      <alignment horizontal="center" vertical="center"/>
    </xf>
    <xf numFmtId="169" fontId="4" fillId="0" borderId="17" xfId="37" applyNumberFormat="1" applyFont="1" applyBorder="1" applyAlignment="1" applyProtection="1">
      <alignment horizontal="center" vertical="center"/>
      <protection hidden="1"/>
    </xf>
    <xf numFmtId="169" fontId="4" fillId="0" borderId="17" xfId="0" applyNumberFormat="1" applyFont="1" applyBorder="1" applyAlignment="1">
      <alignment horizontal="center" vertical="center"/>
    </xf>
    <xf numFmtId="168" fontId="10" fillId="0" borderId="10" xfId="0" applyNumberFormat="1" applyFont="1" applyBorder="1" applyAlignment="1">
      <alignment horizontal="center" vertical="center"/>
    </xf>
    <xf numFmtId="0" fontId="26" fillId="4" borderId="175" xfId="0" applyFont="1" applyFill="1" applyBorder="1" applyAlignment="1">
      <alignment horizontal="center" vertical="center"/>
    </xf>
    <xf numFmtId="0" fontId="26" fillId="4" borderId="176" xfId="0" applyFont="1" applyFill="1" applyBorder="1" applyAlignment="1">
      <alignment horizontal="center" vertical="center"/>
    </xf>
    <xf numFmtId="0" fontId="26" fillId="4" borderId="177" xfId="0" applyFont="1" applyFill="1" applyBorder="1" applyAlignment="1">
      <alignment horizontal="center" vertical="center"/>
    </xf>
    <xf numFmtId="168" fontId="11" fillId="0" borderId="159" xfId="0" applyNumberFormat="1" applyFont="1" applyBorder="1" applyAlignment="1">
      <alignment horizontal="right" vertical="center"/>
    </xf>
    <xf numFmtId="4" fontId="11" fillId="0" borderId="160" xfId="0" applyNumberFormat="1" applyFont="1" applyBorder="1" applyAlignment="1">
      <alignment horizontal="center" vertical="center"/>
    </xf>
    <xf numFmtId="168" fontId="11" fillId="0" borderId="67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68" fontId="11" fillId="0" borderId="69" xfId="0" applyNumberFormat="1" applyFont="1" applyBorder="1" applyAlignment="1">
      <alignment horizontal="right" vertical="center"/>
    </xf>
    <xf numFmtId="175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3" fillId="0" borderId="9" xfId="0" applyNumberFormat="1" applyFont="1" applyBorder="1" applyAlignment="1">
      <alignment horizontal="right" vertical="center"/>
    </xf>
    <xf numFmtId="168" fontId="3" fillId="0" borderId="11" xfId="0" applyNumberFormat="1" applyFont="1" applyBorder="1" applyAlignment="1">
      <alignment horizontal="right" vertical="center"/>
    </xf>
    <xf numFmtId="168" fontId="3" fillId="0" borderId="13" xfId="0" applyNumberFormat="1" applyFont="1" applyBorder="1" applyAlignment="1">
      <alignment horizontal="right" vertical="center"/>
    </xf>
    <xf numFmtId="168" fontId="34" fillId="0" borderId="58" xfId="0" applyNumberFormat="1" applyFont="1" applyBorder="1" applyAlignment="1">
      <alignment horizontal="right" vertical="center"/>
    </xf>
    <xf numFmtId="168" fontId="4" fillId="0" borderId="64" xfId="9" applyNumberFormat="1" applyFont="1" applyBorder="1" applyAlignment="1" applyProtection="1">
      <alignment horizontal="right" vertical="center"/>
      <protection hidden="1"/>
    </xf>
    <xf numFmtId="169" fontId="4" fillId="0" borderId="65" xfId="0" applyNumberFormat="1" applyFont="1" applyBorder="1" applyAlignment="1">
      <alignment horizontal="center" vertical="center"/>
    </xf>
    <xf numFmtId="169" fontId="4" fillId="0" borderId="66" xfId="0" applyNumberFormat="1" applyFont="1" applyBorder="1" applyAlignment="1">
      <alignment horizontal="center" vertical="center"/>
    </xf>
    <xf numFmtId="168" fontId="4" fillId="0" borderId="67" xfId="9" applyNumberFormat="1" applyFont="1" applyBorder="1" applyAlignment="1" applyProtection="1">
      <alignment horizontal="right" vertical="center"/>
      <protection hidden="1"/>
    </xf>
    <xf numFmtId="169" fontId="4" fillId="0" borderId="68" xfId="0" applyNumberFormat="1" applyFont="1" applyBorder="1" applyAlignment="1">
      <alignment horizontal="center" vertical="center"/>
    </xf>
    <xf numFmtId="168" fontId="4" fillId="0" borderId="69" xfId="9" applyNumberFormat="1" applyFont="1" applyBorder="1" applyAlignment="1" applyProtection="1">
      <alignment horizontal="right" vertical="center"/>
      <protection hidden="1"/>
    </xf>
    <xf numFmtId="169" fontId="4" fillId="0" borderId="70" xfId="0" applyNumberFormat="1" applyFont="1" applyBorder="1" applyAlignment="1">
      <alignment horizontal="center" vertical="center"/>
    </xf>
    <xf numFmtId="169" fontId="4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5" fillId="0" borderId="2" xfId="0" applyNumberFormat="1" applyFont="1" applyBorder="1" applyAlignment="1">
      <alignment horizontal="center" vertical="center"/>
    </xf>
    <xf numFmtId="0" fontId="94" fillId="0" borderId="23" xfId="6" applyFont="1" applyBorder="1" applyAlignment="1">
      <alignment horizontal="centerContinuous" vertical="center"/>
    </xf>
    <xf numFmtId="0" fontId="94" fillId="0" borderId="24" xfId="6" applyFont="1" applyBorder="1" applyAlignment="1">
      <alignment horizontal="centerContinuous" vertical="center"/>
    </xf>
    <xf numFmtId="0" fontId="94" fillId="0" borderId="42" xfId="6" applyFont="1" applyBorder="1" applyAlignment="1">
      <alignment horizontal="centerContinuous" vertical="center"/>
    </xf>
    <xf numFmtId="0" fontId="96" fillId="0" borderId="0" xfId="6" applyFont="1" applyAlignment="1">
      <alignment horizontal="center" wrapText="1"/>
    </xf>
    <xf numFmtId="43" fontId="95" fillId="40" borderId="58" xfId="7" applyFont="1" applyFill="1" applyBorder="1" applyProtection="1">
      <protection hidden="1"/>
    </xf>
    <xf numFmtId="43" fontId="95" fillId="40" borderId="46" xfId="7" applyFont="1" applyFill="1" applyBorder="1" applyProtection="1">
      <protection hidden="1"/>
    </xf>
    <xf numFmtId="0" fontId="97" fillId="0" borderId="40" xfId="6" applyFont="1" applyBorder="1" applyAlignment="1">
      <alignment wrapText="1"/>
    </xf>
    <xf numFmtId="0" fontId="97" fillId="0" borderId="0" xfId="6" applyFont="1" applyAlignment="1">
      <alignment wrapText="1"/>
    </xf>
    <xf numFmtId="15" fontId="98" fillId="0" borderId="0" xfId="6" applyNumberFormat="1" applyFont="1" applyProtection="1">
      <protection hidden="1"/>
    </xf>
    <xf numFmtId="43" fontId="98" fillId="0" borderId="0" xfId="62" applyFont="1" applyBorder="1" applyProtection="1">
      <protection hidden="1"/>
    </xf>
    <xf numFmtId="0" fontId="97" fillId="41" borderId="0" xfId="6" applyFont="1" applyFill="1" applyAlignment="1">
      <alignment wrapText="1"/>
    </xf>
    <xf numFmtId="0" fontId="97" fillId="41" borderId="41" xfId="6" applyFont="1" applyFill="1" applyBorder="1" applyAlignment="1">
      <alignment wrapText="1"/>
    </xf>
    <xf numFmtId="43" fontId="95" fillId="40" borderId="47" xfId="7" applyFont="1" applyFill="1" applyBorder="1" applyProtection="1">
      <protection hidden="1"/>
    </xf>
    <xf numFmtId="0" fontId="97" fillId="0" borderId="41" xfId="6" applyFont="1" applyBorder="1" applyAlignment="1">
      <alignment wrapText="1"/>
    </xf>
    <xf numFmtId="0" fontId="97" fillId="0" borderId="40" xfId="6" applyFont="1" applyBorder="1"/>
    <xf numFmtId="0" fontId="97" fillId="0" borderId="0" xfId="6" applyFont="1"/>
    <xf numFmtId="0" fontId="97" fillId="0" borderId="41" xfId="6" applyFont="1" applyBorder="1"/>
    <xf numFmtId="43" fontId="95" fillId="40" borderId="48" xfId="7" applyFont="1" applyFill="1" applyBorder="1" applyProtection="1">
      <protection hidden="1"/>
    </xf>
    <xf numFmtId="0" fontId="97" fillId="0" borderId="42" xfId="6" applyFont="1" applyBorder="1"/>
    <xf numFmtId="0" fontId="97" fillId="0" borderId="129" xfId="6" applyFont="1" applyBorder="1"/>
    <xf numFmtId="15" fontId="98" fillId="0" borderId="129" xfId="6" applyNumberFormat="1" applyFont="1" applyBorder="1" applyProtection="1">
      <protection hidden="1"/>
    </xf>
    <xf numFmtId="43" fontId="98" fillId="0" borderId="129" xfId="62" applyFont="1" applyBorder="1" applyProtection="1">
      <protection hidden="1"/>
    </xf>
    <xf numFmtId="0" fontId="97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1" fillId="0" borderId="64" xfId="0" applyNumberFormat="1" applyFont="1" applyBorder="1" applyAlignment="1">
      <alignment horizontal="right" vertical="center"/>
    </xf>
    <xf numFmtId="175" fontId="11" fillId="0" borderId="65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168" fontId="2" fillId="0" borderId="12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168" fontId="15" fillId="0" borderId="159" xfId="0" applyNumberFormat="1" applyFont="1" applyBorder="1" applyAlignment="1">
      <alignment horizontal="right" vertical="center"/>
    </xf>
    <xf numFmtId="4" fontId="15" fillId="0" borderId="160" xfId="0" applyNumberFormat="1" applyFont="1" applyBorder="1" applyAlignment="1">
      <alignment horizontal="center" vertical="center"/>
    </xf>
    <xf numFmtId="168" fontId="15" fillId="0" borderId="67" xfId="0" applyNumberFormat="1" applyFont="1" applyBorder="1" applyAlignment="1">
      <alignment horizontal="right" vertical="center"/>
    </xf>
    <xf numFmtId="168" fontId="15" fillId="0" borderId="69" xfId="0" applyNumberFormat="1" applyFont="1" applyBorder="1" applyAlignment="1">
      <alignment horizontal="right" vertical="center"/>
    </xf>
    <xf numFmtId="175" fontId="15" fillId="0" borderId="70" xfId="0" applyNumberFormat="1" applyFont="1" applyBorder="1" applyAlignment="1">
      <alignment horizontal="center" vertical="center"/>
    </xf>
    <xf numFmtId="0" fontId="35" fillId="3" borderId="23" xfId="2" applyFont="1" applyFill="1" applyBorder="1" applyAlignment="1">
      <alignment horizontal="centerContinuous" vertical="center"/>
    </xf>
    <xf numFmtId="0" fontId="35" fillId="3" borderId="56" xfId="2" applyFont="1" applyFill="1" applyBorder="1" applyAlignment="1">
      <alignment horizontal="centerContinuous" vertical="center"/>
    </xf>
    <xf numFmtId="0" fontId="35" fillId="3" borderId="24" xfId="2" applyFont="1" applyFill="1" applyBorder="1" applyAlignment="1">
      <alignment horizontal="centerContinuous" vertical="center"/>
    </xf>
    <xf numFmtId="4" fontId="15" fillId="0" borderId="26" xfId="0" applyNumberFormat="1" applyFont="1" applyBorder="1" applyAlignment="1">
      <alignment horizontal="center" vertical="center"/>
    </xf>
    <xf numFmtId="0" fontId="27" fillId="2" borderId="23" xfId="0" applyFont="1" applyFill="1" applyBorder="1" applyAlignment="1">
      <alignment horizontal="centerContinuous" vertical="center"/>
    </xf>
    <xf numFmtId="0" fontId="27" fillId="2" borderId="56" xfId="0" applyFont="1" applyFill="1" applyBorder="1" applyAlignment="1">
      <alignment horizontal="centerContinuous" vertical="center"/>
    </xf>
    <xf numFmtId="0" fontId="27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7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4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6" fillId="3" borderId="183" xfId="0" applyFont="1" applyFill="1" applyBorder="1" applyAlignment="1">
      <alignment horizontal="centerContinuous" vertical="center"/>
    </xf>
    <xf numFmtId="0" fontId="26" fillId="4" borderId="61" xfId="0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26" fillId="4" borderId="137" xfId="0" applyFont="1" applyFill="1" applyBorder="1" applyAlignment="1">
      <alignment horizontal="center" vertical="center"/>
    </xf>
    <xf numFmtId="0" fontId="26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95" fillId="2" borderId="44" xfId="6" applyFont="1" applyFill="1" applyBorder="1" applyAlignment="1">
      <alignment horizontal="center"/>
    </xf>
    <xf numFmtId="0" fontId="95" fillId="2" borderId="82" xfId="6" applyFont="1" applyFill="1" applyBorder="1" applyAlignment="1">
      <alignment horizontal="center"/>
    </xf>
    <xf numFmtId="0" fontId="95" fillId="2" borderId="45" xfId="6" applyFont="1" applyFill="1" applyBorder="1" applyAlignment="1">
      <alignment horizontal="center"/>
    </xf>
    <xf numFmtId="0" fontId="95" fillId="2" borderId="24" xfId="6" applyFont="1" applyFill="1" applyBorder="1" applyAlignment="1" applyProtection="1">
      <alignment horizontal="center" vertical="center" textRotation="90" wrapText="1"/>
      <protection hidden="1"/>
    </xf>
    <xf numFmtId="0" fontId="95" fillId="2" borderId="41" xfId="6" applyFont="1" applyFill="1" applyBorder="1" applyAlignment="1" applyProtection="1">
      <alignment horizontal="center" vertical="center" textRotation="90" wrapText="1"/>
      <protection hidden="1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1" xfId="0" applyFont="1" applyFill="1" applyBorder="1" applyAlignment="1">
      <alignment horizontal="center" vertical="center" textRotation="90"/>
    </xf>
    <xf numFmtId="0" fontId="26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68" fontId="68" fillId="0" borderId="0" xfId="0" applyNumberFormat="1" applyFont="1" applyAlignment="1">
      <alignment horizontal="left"/>
    </xf>
    <xf numFmtId="0" fontId="71" fillId="0" borderId="0" xfId="0" applyFont="1"/>
    <xf numFmtId="0" fontId="99" fillId="7" borderId="23" xfId="0" applyFont="1" applyFill="1" applyBorder="1" applyAlignment="1">
      <alignment horizontal="centerContinuous"/>
    </xf>
    <xf numFmtId="0" fontId="99" fillId="7" borderId="56" xfId="0" applyFont="1" applyFill="1" applyBorder="1" applyAlignment="1">
      <alignment horizontal="centerContinuous"/>
    </xf>
    <xf numFmtId="0" fontId="99" fillId="7" borderId="42" xfId="0" applyFont="1" applyFill="1" applyBorder="1" applyAlignment="1">
      <alignment horizontal="centerContinuous"/>
    </xf>
    <xf numFmtId="0" fontId="99" fillId="7" borderId="129" xfId="0" applyFont="1" applyFill="1" applyBorder="1" applyAlignment="1">
      <alignment horizontal="centerContinuous"/>
    </xf>
    <xf numFmtId="0" fontId="34" fillId="0" borderId="24" xfId="0" applyFont="1" applyBorder="1" applyAlignment="1">
      <alignment horizontal="center"/>
    </xf>
    <xf numFmtId="0" fontId="34" fillId="0" borderId="43" xfId="0" applyFont="1" applyBorder="1" applyAlignment="1">
      <alignment horizontal="center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87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3"/>
  <sheetViews>
    <sheetView showGridLines="0" zoomScaleNormal="100" workbookViewId="0">
      <selection activeCell="D6" sqref="D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106</v>
      </c>
      <c r="C2" s="2"/>
      <c r="D2" s="2"/>
    </row>
    <row r="3" spans="2:9" x14ac:dyDescent="0.25">
      <c r="B3" s="437" t="str">
        <f ca="1">IF(D6="Error","!!!Note: This workbook was tested against a different version of ∂Excel to what you have installed. This may resulted in unexpected behaviour.!!!","")</f>
        <v/>
      </c>
    </row>
    <row r="4" spans="2:9" s="417" customFormat="1" x14ac:dyDescent="0.25">
      <c r="B4" s="898" t="s">
        <v>411</v>
      </c>
      <c r="C4" s="899"/>
      <c r="D4" s="902" t="s">
        <v>672</v>
      </c>
      <c r="I4" s="439"/>
    </row>
    <row r="5" spans="2:9" s="417" customFormat="1" x14ac:dyDescent="0.25">
      <c r="B5" s="900" t="s">
        <v>412</v>
      </c>
      <c r="C5" s="901"/>
      <c r="D5" s="903" t="str" cm="1">
        <f t="array" ref="D5">_xll.d.Debug_GetAssemblyVersion()</f>
        <v>0.1.4</v>
      </c>
      <c r="I5" s="439"/>
    </row>
    <row r="6" spans="2:9" s="417" customFormat="1" x14ac:dyDescent="0.25">
      <c r="B6" s="332" t="s">
        <v>413</v>
      </c>
      <c r="C6" s="454"/>
      <c r="D6" s="164" t="str" cm="1">
        <f t="array" aca="1" ref="D6" ca="1">_xll.d.TestUtils_Equal(D4,D5,,TRUE)</f>
        <v>Warning</v>
      </c>
      <c r="I6" s="439"/>
    </row>
    <row r="7" spans="2:9" s="417" customFormat="1" x14ac:dyDescent="0.25"/>
    <row r="8" spans="2:9" s="417" customFormat="1" x14ac:dyDescent="0.25"/>
    <row r="9" spans="2:9" s="439" customFormat="1" x14ac:dyDescent="0.25">
      <c r="B9" s="200" t="s">
        <v>448</v>
      </c>
      <c r="C9" s="200"/>
    </row>
    <row r="10" spans="2:9" s="439" customFormat="1" ht="18.75" customHeight="1" x14ac:dyDescent="0.25">
      <c r="B10" s="881" t="str" cm="1">
        <f t="array" aca="1" ref="B10" ca="1">_xll.d.TestUtils_And(C19:C21,C24:C25,C28,C31:C34,C38:C41)</f>
        <v>Ok</v>
      </c>
      <c r="C10" s="881"/>
      <c r="D10" s="613" t="s">
        <v>670</v>
      </c>
    </row>
    <row r="11" spans="2:9" s="439" customFormat="1" ht="15" customHeight="1" x14ac:dyDescent="0.25">
      <c r="B11" s="882"/>
      <c r="C11" s="882"/>
      <c r="D11" s="897" t="s">
        <v>671</v>
      </c>
    </row>
    <row r="12" spans="2:9" s="439" customFormat="1" x14ac:dyDescent="0.25"/>
    <row r="13" spans="2:9" s="439" customFormat="1" x14ac:dyDescent="0.25"/>
    <row r="14" spans="2:9" x14ac:dyDescent="0.25">
      <c r="B14" s="332" t="s">
        <v>98</v>
      </c>
      <c r="C14" s="201"/>
    </row>
    <row r="15" spans="2:9" x14ac:dyDescent="0.25">
      <c r="B15" s="603" t="s">
        <v>551</v>
      </c>
      <c r="C15" s="604"/>
    </row>
    <row r="16" spans="2:9" x14ac:dyDescent="0.25">
      <c r="B16" s="605" t="s">
        <v>552</v>
      </c>
      <c r="C16" s="606"/>
    </row>
    <row r="18" spans="2:9" x14ac:dyDescent="0.25">
      <c r="B18" s="121" t="s">
        <v>244</v>
      </c>
      <c r="C18" s="122"/>
    </row>
    <row r="19" spans="2:9" x14ac:dyDescent="0.25">
      <c r="B19" s="412" t="s">
        <v>0</v>
      </c>
      <c r="C19" s="124" t="str">
        <f ca="1">Dates!C4</f>
        <v>Ok</v>
      </c>
    </row>
    <row r="20" spans="2:9" x14ac:dyDescent="0.25">
      <c r="B20" s="413" t="s">
        <v>340</v>
      </c>
      <c r="C20" s="126" t="str">
        <f>Mathematics!C4</f>
        <v>Ok</v>
      </c>
      <c r="I20" s="439"/>
    </row>
    <row r="21" spans="2:9" x14ac:dyDescent="0.25">
      <c r="B21" s="414" t="s">
        <v>363</v>
      </c>
      <c r="C21" s="128" t="str">
        <f ca="1">Stats!C4</f>
        <v>Ok</v>
      </c>
      <c r="I21" s="439"/>
    </row>
    <row r="22" spans="2:9" x14ac:dyDescent="0.25">
      <c r="I22" s="439"/>
    </row>
    <row r="23" spans="2:9" x14ac:dyDescent="0.25">
      <c r="B23" s="428" t="s">
        <v>393</v>
      </c>
      <c r="C23" s="429"/>
    </row>
    <row r="24" spans="2:9" x14ac:dyDescent="0.25">
      <c r="B24" s="595" t="s">
        <v>519</v>
      </c>
      <c r="C24" s="300" t="str">
        <f>'Equity Pricers'!C4</f>
        <v>Ok</v>
      </c>
    </row>
    <row r="25" spans="2:9" s="439" customFormat="1" x14ac:dyDescent="0.25">
      <c r="B25" s="414" t="s">
        <v>394</v>
      </c>
      <c r="C25" s="300" t="str">
        <f>'Equity Utils'!C4</f>
        <v>Ok</v>
      </c>
    </row>
    <row r="26" spans="2:9" x14ac:dyDescent="0.25">
      <c r="C26" s="298"/>
      <c r="D26" s="439"/>
    </row>
    <row r="27" spans="2:9" s="439" customFormat="1" x14ac:dyDescent="0.25">
      <c r="B27" s="428" t="s">
        <v>523</v>
      </c>
      <c r="C27" s="429"/>
    </row>
    <row r="28" spans="2:9" s="439" customFormat="1" x14ac:dyDescent="0.25">
      <c r="B28" s="483" t="s">
        <v>522</v>
      </c>
      <c r="C28" s="300" t="str">
        <f>'FX Pricers'!C4</f>
        <v>Ok</v>
      </c>
    </row>
    <row r="29" spans="2:9" s="439" customFormat="1" x14ac:dyDescent="0.25"/>
    <row r="30" spans="2:9" x14ac:dyDescent="0.25">
      <c r="B30" s="121" t="s">
        <v>243</v>
      </c>
      <c r="C30" s="192"/>
      <c r="D30" s="439"/>
    </row>
    <row r="31" spans="2:9" x14ac:dyDescent="0.25">
      <c r="B31" s="412" t="s">
        <v>1</v>
      </c>
      <c r="C31" s="320" t="str">
        <f ca="1">Curves!C4</f>
        <v>Ok</v>
      </c>
      <c r="D31" s="439"/>
    </row>
    <row r="32" spans="2:9" s="439" customFormat="1" x14ac:dyDescent="0.25">
      <c r="B32" s="574" t="s">
        <v>505</v>
      </c>
      <c r="C32" s="280" t="str">
        <f>'Interest Rate Pricers'!C4</f>
        <v>Ok</v>
      </c>
    </row>
    <row r="33" spans="2:5" x14ac:dyDescent="0.25">
      <c r="B33" s="413" t="s">
        <v>390</v>
      </c>
      <c r="C33" s="279" t="str">
        <f>'Rate Utils'!C4</f>
        <v>Ok</v>
      </c>
      <c r="D33" s="439"/>
    </row>
    <row r="34" spans="2:5" x14ac:dyDescent="0.25">
      <c r="B34" s="482" t="s">
        <v>651</v>
      </c>
      <c r="C34" s="279" t="str">
        <f ca="1">'Curve Bootstrapping'!C6</f>
        <v>Ok</v>
      </c>
      <c r="D34" s="439"/>
    </row>
    <row r="35" spans="2:5" x14ac:dyDescent="0.25">
      <c r="B35" s="483" t="s">
        <v>11</v>
      </c>
      <c r="C35" s="191" t="s">
        <v>225</v>
      </c>
      <c r="D35" s="613" t="s">
        <v>673</v>
      </c>
    </row>
    <row r="36" spans="2:5" x14ac:dyDescent="0.25">
      <c r="D36" s="298"/>
    </row>
    <row r="37" spans="2:5" x14ac:dyDescent="0.25">
      <c r="B37" s="121" t="s">
        <v>107</v>
      </c>
      <c r="C37" s="122"/>
      <c r="D37" s="298"/>
    </row>
    <row r="38" spans="2:5" x14ac:dyDescent="0.25">
      <c r="B38" s="650" t="s">
        <v>565</v>
      </c>
      <c r="C38" s="320" t="str">
        <f ca="1">'Fix EMS Links Utils'!C4</f>
        <v>Ok</v>
      </c>
      <c r="D38" s="613"/>
    </row>
    <row r="39" spans="2:5" x14ac:dyDescent="0.25">
      <c r="B39" s="482" t="s">
        <v>538</v>
      </c>
      <c r="C39" s="279" t="str">
        <f ca="1">'Hyperlink Utils'!C4</f>
        <v>Ok</v>
      </c>
      <c r="D39" s="613" t="s">
        <v>674</v>
      </c>
    </row>
    <row r="40" spans="2:5" x14ac:dyDescent="0.25">
      <c r="B40" s="482" t="s">
        <v>70</v>
      </c>
      <c r="C40" s="631" t="str">
        <f ca="1">'Table Formatting'!C4</f>
        <v>Ok</v>
      </c>
      <c r="D40" s="613" t="s">
        <v>674</v>
      </c>
    </row>
    <row r="41" spans="2:5" x14ac:dyDescent="0.25">
      <c r="B41" s="414" t="s">
        <v>155</v>
      </c>
      <c r="C41" s="632" t="str">
        <f>'Test Utils'!C4</f>
        <v>Ok</v>
      </c>
    </row>
    <row r="43" spans="2:5" x14ac:dyDescent="0.25">
      <c r="E43" s="164"/>
    </row>
  </sheetData>
  <mergeCells count="1">
    <mergeCell ref="B10:C11"/>
  </mergeCells>
  <conditionalFormatting sqref="C19 C25">
    <cfRule type="cellIs" dxfId="873" priority="41" stopIfTrue="1" operator="equal">
      <formula>"ERROR"</formula>
    </cfRule>
    <cfRule type="cellIs" dxfId="872" priority="42" stopIfTrue="1" operator="equal">
      <formula>"OK"</formula>
    </cfRule>
    <cfRule type="cellIs" dxfId="871" priority="43" stopIfTrue="1" operator="equal">
      <formula>"WARNING"</formula>
    </cfRule>
  </conditionalFormatting>
  <conditionalFormatting sqref="C20">
    <cfRule type="cellIs" dxfId="870" priority="34" stopIfTrue="1" operator="equal">
      <formula>"ERROR"</formula>
    </cfRule>
    <cfRule type="cellIs" dxfId="869" priority="35" stopIfTrue="1" operator="equal">
      <formula>"OK"</formula>
    </cfRule>
    <cfRule type="cellIs" dxfId="868" priority="36" stopIfTrue="1" operator="equal">
      <formula>"WARNING"</formula>
    </cfRule>
  </conditionalFormatting>
  <conditionalFormatting sqref="C21">
    <cfRule type="cellIs" dxfId="867" priority="31" stopIfTrue="1" operator="equal">
      <formula>"ERROR"</formula>
    </cfRule>
    <cfRule type="cellIs" dxfId="866" priority="32" stopIfTrue="1" operator="equal">
      <formula>"OK"</formula>
    </cfRule>
    <cfRule type="cellIs" dxfId="865" priority="33" stopIfTrue="1" operator="equal">
      <formula>"WARNING"</formula>
    </cfRule>
  </conditionalFormatting>
  <conditionalFormatting sqref="D6">
    <cfRule type="cellIs" dxfId="864" priority="47" stopIfTrue="1" operator="equal">
      <formula>"ERROR"</formula>
    </cfRule>
    <cfRule type="cellIs" dxfId="863" priority="48" stopIfTrue="1" operator="equal">
      <formula>"OK"</formula>
    </cfRule>
    <cfRule type="cellIs" dxfId="862" priority="49" stopIfTrue="1" operator="equal">
      <formula>"WARNING"</formula>
    </cfRule>
  </conditionalFormatting>
  <conditionalFormatting sqref="C33">
    <cfRule type="cellIs" dxfId="861" priority="28" stopIfTrue="1" operator="equal">
      <formula>"ERROR"</formula>
    </cfRule>
    <cfRule type="cellIs" dxfId="860" priority="29" stopIfTrue="1" operator="equal">
      <formula>"OK"</formula>
    </cfRule>
    <cfRule type="cellIs" dxfId="859" priority="30" stopIfTrue="1" operator="equal">
      <formula>"WARNING"</formula>
    </cfRule>
  </conditionalFormatting>
  <conditionalFormatting sqref="B10:C11">
    <cfRule type="cellIs" dxfId="858" priority="25" stopIfTrue="1" operator="equal">
      <formula>"ERROR"</formula>
    </cfRule>
    <cfRule type="cellIs" dxfId="857" priority="26" stopIfTrue="1" operator="equal">
      <formula>"OK"</formula>
    </cfRule>
    <cfRule type="cellIs" dxfId="856" priority="27" stopIfTrue="1" operator="equal">
      <formula>"WARNING"</formula>
    </cfRule>
  </conditionalFormatting>
  <conditionalFormatting sqref="C31:C32">
    <cfRule type="cellIs" dxfId="855" priority="50" stopIfTrue="1" operator="equal">
      <formula>"ERROR"</formula>
    </cfRule>
    <cfRule type="cellIs" dxfId="854" priority="51" stopIfTrue="1" operator="equal">
      <formula>"OK"</formula>
    </cfRule>
    <cfRule type="cellIs" dxfId="853" priority="52" stopIfTrue="1" operator="equal">
      <formula>"WARNING"</formula>
    </cfRule>
  </conditionalFormatting>
  <conditionalFormatting sqref="C34">
    <cfRule type="cellIs" dxfId="852" priority="53" stopIfTrue="1" operator="equal">
      <formula>"ERROR"</formula>
    </cfRule>
    <cfRule type="cellIs" dxfId="851" priority="54" stopIfTrue="1" operator="equal">
      <formula>"OK"</formula>
    </cfRule>
    <cfRule type="cellIs" dxfId="850" priority="55" stopIfTrue="1" operator="equal">
      <formula>"WARNING"</formula>
    </cfRule>
  </conditionalFormatting>
  <conditionalFormatting sqref="C24">
    <cfRule type="cellIs" dxfId="849" priority="13" stopIfTrue="1" operator="equal">
      <formula>"ERROR"</formula>
    </cfRule>
    <cfRule type="cellIs" dxfId="848" priority="14" stopIfTrue="1" operator="equal">
      <formula>"OK"</formula>
    </cfRule>
    <cfRule type="cellIs" dxfId="847" priority="15" stopIfTrue="1" operator="equal">
      <formula>"WARNING"</formula>
    </cfRule>
  </conditionalFormatting>
  <conditionalFormatting sqref="C28">
    <cfRule type="cellIs" dxfId="846" priority="10" stopIfTrue="1" operator="equal">
      <formula>"ERROR"</formula>
    </cfRule>
    <cfRule type="cellIs" dxfId="845" priority="11" stopIfTrue="1" operator="equal">
      <formula>"OK"</formula>
    </cfRule>
    <cfRule type="cellIs" dxfId="844" priority="12" stopIfTrue="1" operator="equal">
      <formula>"WARNING"</formula>
    </cfRule>
  </conditionalFormatting>
  <conditionalFormatting sqref="C38:C39">
    <cfRule type="cellIs" dxfId="843" priority="7" stopIfTrue="1" operator="equal">
      <formula>"ERROR"</formula>
    </cfRule>
    <cfRule type="cellIs" dxfId="842" priority="8" stopIfTrue="1" operator="equal">
      <formula>"OK"</formula>
    </cfRule>
    <cfRule type="cellIs" dxfId="841" priority="9" stopIfTrue="1" operator="equal">
      <formula>"WARNING"</formula>
    </cfRule>
  </conditionalFormatting>
  <conditionalFormatting sqref="C41">
    <cfRule type="cellIs" dxfId="840" priority="4" stopIfTrue="1" operator="equal">
      <formula>"ERROR"</formula>
    </cfRule>
    <cfRule type="cellIs" dxfId="839" priority="5" stopIfTrue="1" operator="equal">
      <formula>"OK"</formula>
    </cfRule>
    <cfRule type="cellIs" dxfId="838" priority="6" stopIfTrue="1" operator="equal">
      <formula>"WARNING"</formula>
    </cfRule>
  </conditionalFormatting>
  <conditionalFormatting sqref="C40">
    <cfRule type="cellIs" dxfId="837" priority="1" stopIfTrue="1" operator="equal">
      <formula>"ERROR"</formula>
    </cfRule>
    <cfRule type="cellIs" dxfId="836" priority="2" stopIfTrue="1" operator="equal">
      <formula>"OK"</formula>
    </cfRule>
    <cfRule type="cellIs" dxfId="835" priority="3" stopIfTrue="1" operator="equal">
      <formula>"WARNING"</formula>
    </cfRule>
  </conditionalFormatting>
  <hyperlinks>
    <hyperlink ref="B31" location="Curves.Title" display="Curves" xr:uid="{55B00831-142E-4799-B620-B8B79F221D3E}"/>
    <hyperlink ref="B40" location="TableFormatting.Title" display="Table Formatting" xr:uid="{36F5A4C0-4058-4EAB-B9F0-3120B1D828EB}"/>
    <hyperlink ref="B41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5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  <hyperlink ref="B38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C5" sqref="C5"/>
    </sheetView>
  </sheetViews>
  <sheetFormatPr defaultColWidth="9" defaultRowHeight="12.75" x14ac:dyDescent="0.2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 x14ac:dyDescent="0.2">
      <c r="B1" s="408" t="s">
        <v>389</v>
      </c>
    </row>
    <row r="2" spans="2:43" ht="26.25" x14ac:dyDescent="0.4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 x14ac:dyDescent="0.2">
      <c r="B4" s="50" t="s">
        <v>141</v>
      </c>
      <c r="C4" s="300" t="str" cm="1">
        <f t="array" aca="1" ref="C4" ca="1">_xll.d.TestUtils_And(D7:D20)</f>
        <v>Ok</v>
      </c>
    </row>
    <row r="6" spans="2:43" x14ac:dyDescent="0.2">
      <c r="B6" s="189" t="s">
        <v>211</v>
      </c>
      <c r="C6" s="189"/>
      <c r="D6" s="190" t="s">
        <v>10</v>
      </c>
    </row>
    <row r="7" spans="2:43" x14ac:dyDescent="0.2">
      <c r="B7" s="415" t="s">
        <v>498</v>
      </c>
      <c r="C7" s="415"/>
      <c r="D7" s="300" t="str">
        <f>C26</f>
        <v>Ok</v>
      </c>
    </row>
    <row r="8" spans="2:43" x14ac:dyDescent="0.2">
      <c r="B8" s="415" t="s">
        <v>464</v>
      </c>
      <c r="C8" s="415"/>
      <c r="D8" s="300" t="str">
        <f>C38</f>
        <v>Ok</v>
      </c>
    </row>
    <row r="9" spans="2:43" x14ac:dyDescent="0.2">
      <c r="B9" s="415" t="s">
        <v>468</v>
      </c>
      <c r="C9" s="415"/>
      <c r="D9" s="300" t="str">
        <f>C50</f>
        <v>Ok</v>
      </c>
    </row>
    <row r="10" spans="2:43" x14ac:dyDescent="0.2">
      <c r="B10" s="415" t="s">
        <v>462</v>
      </c>
      <c r="C10" s="415"/>
      <c r="D10" s="300" t="str">
        <f>C62</f>
        <v>Ok</v>
      </c>
    </row>
    <row r="11" spans="2:43" x14ac:dyDescent="0.2">
      <c r="B11" s="415" t="s">
        <v>380</v>
      </c>
      <c r="C11" s="415"/>
      <c r="D11" s="300" t="str">
        <f>C74</f>
        <v>Ok</v>
      </c>
    </row>
    <row r="12" spans="2:43" x14ac:dyDescent="0.2">
      <c r="B12" s="415" t="s">
        <v>381</v>
      </c>
      <c r="C12" s="415"/>
      <c r="D12" s="300" t="str">
        <f>C89</f>
        <v>Ok</v>
      </c>
    </row>
    <row r="13" spans="2:43" x14ac:dyDescent="0.2">
      <c r="B13" s="415" t="s">
        <v>382</v>
      </c>
      <c r="C13" s="415"/>
      <c r="D13" s="300" t="str">
        <f>C104</f>
        <v>Ok</v>
      </c>
    </row>
    <row r="14" spans="2:43" x14ac:dyDescent="0.2">
      <c r="B14" s="415" t="s">
        <v>383</v>
      </c>
      <c r="C14" s="415"/>
      <c r="D14" s="300" t="str">
        <f>C119</f>
        <v>Ok</v>
      </c>
    </row>
    <row r="15" spans="2:43" x14ac:dyDescent="0.2">
      <c r="B15" s="415" t="s">
        <v>384</v>
      </c>
      <c r="C15" s="415"/>
      <c r="D15" s="300" t="str">
        <f>C133</f>
        <v>Ok</v>
      </c>
    </row>
    <row r="16" spans="2:43" x14ac:dyDescent="0.2">
      <c r="B16" s="415" t="s">
        <v>385</v>
      </c>
      <c r="C16" s="415"/>
      <c r="D16" s="300" t="str">
        <f>C178</f>
        <v>Ok</v>
      </c>
    </row>
    <row r="17" spans="2:7" x14ac:dyDescent="0.2">
      <c r="B17" s="415" t="s">
        <v>386</v>
      </c>
      <c r="C17" s="415"/>
      <c r="D17" s="300" t="str">
        <f>C205</f>
        <v>Ok</v>
      </c>
    </row>
    <row r="18" spans="2:7" x14ac:dyDescent="0.2">
      <c r="B18" s="415" t="s">
        <v>387</v>
      </c>
      <c r="C18" s="415"/>
      <c r="D18" s="300" t="str">
        <f>C221</f>
        <v>Ok</v>
      </c>
    </row>
    <row r="19" spans="2:7" x14ac:dyDescent="0.2">
      <c r="B19" s="415" t="s">
        <v>388</v>
      </c>
      <c r="C19" s="415"/>
      <c r="D19" s="300" t="str">
        <f>C236</f>
        <v>Ok</v>
      </c>
    </row>
    <row r="20" spans="2:7" x14ac:dyDescent="0.2">
      <c r="B20" s="415" t="s">
        <v>455</v>
      </c>
      <c r="C20" s="415"/>
      <c r="D20" s="300" t="str">
        <f>C250</f>
        <v>Ok</v>
      </c>
    </row>
    <row r="24" spans="2:7" ht="18.75" x14ac:dyDescent="0.3">
      <c r="B24" s="3" t="s">
        <v>498</v>
      </c>
      <c r="C24" s="306"/>
      <c r="D24" s="306"/>
      <c r="E24" s="306"/>
      <c r="F24" s="306"/>
      <c r="G24" s="306"/>
    </row>
    <row r="26" spans="2:7" x14ac:dyDescent="0.2">
      <c r="B26" s="50" t="s">
        <v>141</v>
      </c>
      <c r="C26" s="300" t="str" cm="1">
        <f t="array" ref="C26">_xll.d.TestUtils_And(G31)</f>
        <v>Ok</v>
      </c>
    </row>
    <row r="27" spans="2:7" x14ac:dyDescent="0.2">
      <c r="G27" s="299"/>
    </row>
    <row r="28" spans="2:7" ht="15.75" x14ac:dyDescent="0.25">
      <c r="B28" s="4" t="s">
        <v>91</v>
      </c>
      <c r="C28" s="307"/>
      <c r="D28" s="307"/>
      <c r="E28" s="307"/>
      <c r="F28" s="307"/>
      <c r="G28" s="307"/>
    </row>
    <row r="30" spans="2:7" x14ac:dyDescent="0.2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 x14ac:dyDescent="0.2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 x14ac:dyDescent="0.2">
      <c r="B32" s="127" t="s">
        <v>234</v>
      </c>
      <c r="C32" s="321">
        <f>EDATE(C31,3)</f>
        <v>44834</v>
      </c>
    </row>
    <row r="36" spans="2:7" ht="18.75" x14ac:dyDescent="0.3">
      <c r="B36" s="3" t="s">
        <v>464</v>
      </c>
      <c r="C36" s="306"/>
      <c r="D36" s="306"/>
      <c r="E36" s="306"/>
      <c r="F36" s="306"/>
      <c r="G36" s="306"/>
    </row>
    <row r="38" spans="2:7" x14ac:dyDescent="0.2">
      <c r="B38" s="50" t="s">
        <v>141</v>
      </c>
      <c r="C38" s="300" t="str" cm="1">
        <f t="array" ref="C38">_xll.d.TestUtils_And(G46,N46,U46,AB46)</f>
        <v>Ok</v>
      </c>
    </row>
    <row r="39" spans="2:7" x14ac:dyDescent="0.2">
      <c r="G39" s="299"/>
    </row>
    <row r="40" spans="2:7" ht="15.75" x14ac:dyDescent="0.25">
      <c r="B40" s="4" t="s">
        <v>91</v>
      </c>
      <c r="C40" s="307"/>
      <c r="D40" s="307"/>
      <c r="E40" s="307"/>
      <c r="F40" s="307"/>
      <c r="G40" s="307"/>
    </row>
    <row r="42" spans="2:7" x14ac:dyDescent="0.2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 x14ac:dyDescent="0.2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 x14ac:dyDescent="0.2">
      <c r="B44" s="127" t="s">
        <v>234</v>
      </c>
      <c r="C44" s="321">
        <f>EDATE(C43,3)</f>
        <v>44834</v>
      </c>
    </row>
    <row r="48" spans="2:7" ht="18.75" x14ac:dyDescent="0.3">
      <c r="B48" s="3" t="s">
        <v>468</v>
      </c>
      <c r="C48" s="306"/>
      <c r="D48" s="306"/>
      <c r="E48" s="306"/>
      <c r="F48" s="306"/>
      <c r="G48" s="306"/>
    </row>
    <row r="50" spans="2:7" x14ac:dyDescent="0.2">
      <c r="B50" s="50" t="s">
        <v>141</v>
      </c>
      <c r="C50" s="300" t="str" cm="1">
        <f t="array" ref="C50">_xll.d.TestUtils_And(G58,N58,U58,AB58)</f>
        <v>Ok</v>
      </c>
    </row>
    <row r="51" spans="2:7" x14ac:dyDescent="0.2">
      <c r="G51" s="299"/>
    </row>
    <row r="52" spans="2:7" ht="15.75" x14ac:dyDescent="0.25">
      <c r="B52" s="4" t="s">
        <v>91</v>
      </c>
      <c r="C52" s="307"/>
      <c r="D52" s="307"/>
      <c r="E52" s="307"/>
      <c r="F52" s="307"/>
      <c r="G52" s="307"/>
    </row>
    <row r="54" spans="2:7" x14ac:dyDescent="0.2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 x14ac:dyDescent="0.2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 x14ac:dyDescent="0.2">
      <c r="B56" s="127" t="s">
        <v>234</v>
      </c>
      <c r="C56" s="321">
        <f>EDATE(C55,3)</f>
        <v>44834</v>
      </c>
    </row>
    <row r="60" spans="2:7" ht="18.75" x14ac:dyDescent="0.3">
      <c r="B60" s="3" t="s">
        <v>462</v>
      </c>
      <c r="C60" s="306"/>
      <c r="D60" s="306"/>
      <c r="E60" s="306"/>
      <c r="F60" s="306"/>
      <c r="G60" s="306"/>
    </row>
    <row r="62" spans="2:7" x14ac:dyDescent="0.2">
      <c r="B62" s="50" t="s">
        <v>141</v>
      </c>
      <c r="C62" s="300" t="str" cm="1">
        <f t="array" ref="C62">_xll.d.TestUtils_And(G67,N67,U67,AB67)</f>
        <v>Ok</v>
      </c>
    </row>
    <row r="63" spans="2:7" x14ac:dyDescent="0.2">
      <c r="G63" s="299"/>
    </row>
    <row r="64" spans="2:7" ht="15.75" x14ac:dyDescent="0.25">
      <c r="B64" s="4" t="s">
        <v>91</v>
      </c>
      <c r="C64" s="307"/>
      <c r="D64" s="307"/>
      <c r="E64" s="307"/>
      <c r="F64" s="307"/>
      <c r="G64" s="307"/>
    </row>
    <row r="66" spans="2:43" x14ac:dyDescent="0.2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 x14ac:dyDescent="0.2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 x14ac:dyDescent="0.2">
      <c r="B68" s="127" t="s">
        <v>234</v>
      </c>
      <c r="C68" s="321">
        <f>EDATE(C67,3)</f>
        <v>44834</v>
      </c>
    </row>
    <row r="72" spans="2:43" ht="18.75" x14ac:dyDescent="0.3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</row>
    <row r="74" spans="2:43" x14ac:dyDescent="0.2">
      <c r="B74" s="50" t="s">
        <v>141</v>
      </c>
      <c r="C74" s="300" t="str" cm="1">
        <f t="array" ref="C74">_xll.d.TestUtils_And(G79,N79,U79,AD79,AQ79)</f>
        <v>Ok</v>
      </c>
    </row>
    <row r="75" spans="2:43" x14ac:dyDescent="0.2">
      <c r="G75" s="299"/>
    </row>
    <row r="76" spans="2:43" ht="15.75" x14ac:dyDescent="0.25">
      <c r="B76" s="4" t="s">
        <v>228</v>
      </c>
      <c r="C76" s="307"/>
      <c r="D76" s="307"/>
      <c r="E76" s="307"/>
      <c r="F76" s="307"/>
      <c r="G76" s="307"/>
      <c r="I76" s="4" t="s">
        <v>477</v>
      </c>
      <c r="J76" s="307"/>
      <c r="K76" s="307"/>
      <c r="L76" s="307"/>
      <c r="M76" s="307"/>
      <c r="N76" s="307"/>
      <c r="P76" s="4" t="s">
        <v>475</v>
      </c>
      <c r="Q76" s="4"/>
      <c r="R76" s="307"/>
      <c r="S76" s="307"/>
      <c r="T76" s="307"/>
      <c r="U76" s="307"/>
      <c r="W76" s="4" t="s">
        <v>476</v>
      </c>
      <c r="X76" s="307"/>
      <c r="Y76" s="307"/>
      <c r="Z76" s="307"/>
      <c r="AA76" s="307"/>
      <c r="AB76" s="307"/>
      <c r="AC76" s="307"/>
      <c r="AD76" s="307"/>
      <c r="AF76" s="4" t="s">
        <v>474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 x14ac:dyDescent="0.2">
      <c r="G77" s="299"/>
    </row>
    <row r="78" spans="2:43" x14ac:dyDescent="0.2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 x14ac:dyDescent="0.2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465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 x14ac:dyDescent="0.2">
      <c r="G80" s="299"/>
      <c r="I80" s="450" t="s">
        <v>478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 x14ac:dyDescent="0.2">
      <c r="B81" s="302" t="s">
        <v>226</v>
      </c>
      <c r="G81" s="299"/>
      <c r="I81" s="557" t="s">
        <v>472</v>
      </c>
      <c r="J81" s="558" t="s">
        <v>473</v>
      </c>
    </row>
    <row r="82" spans="2:36" x14ac:dyDescent="0.2">
      <c r="B82" s="311">
        <v>44742</v>
      </c>
      <c r="I82" s="553">
        <v>44742</v>
      </c>
      <c r="J82" s="554">
        <v>44743</v>
      </c>
    </row>
    <row r="83" spans="2:36" x14ac:dyDescent="0.2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 x14ac:dyDescent="0.2">
      <c r="G84" s="299"/>
      <c r="S84" s="552"/>
      <c r="T84" s="552"/>
      <c r="U84" s="552"/>
      <c r="W84" s="552"/>
      <c r="X84" s="552"/>
    </row>
    <row r="85" spans="2:36" x14ac:dyDescent="0.2">
      <c r="G85" s="299"/>
      <c r="S85" s="552"/>
      <c r="T85" s="552"/>
      <c r="U85" s="552"/>
      <c r="W85" s="552"/>
      <c r="X85" s="552"/>
    </row>
    <row r="86" spans="2:36" x14ac:dyDescent="0.2">
      <c r="G86" s="299"/>
      <c r="U86" s="552"/>
    </row>
    <row r="87" spans="2:36" ht="18.75" x14ac:dyDescent="0.3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</row>
    <row r="89" spans="2:36" x14ac:dyDescent="0.2">
      <c r="B89" s="50" t="s">
        <v>141</v>
      </c>
      <c r="C89" s="300" t="str" cm="1">
        <f t="array" ref="C89">_xll.d.TestUtils_And(G94,N94,W94,AJ94)</f>
        <v>Ok</v>
      </c>
    </row>
    <row r="91" spans="2:36" ht="15.75" x14ac:dyDescent="0.2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 x14ac:dyDescent="0.2">
      <c r="G92" s="299"/>
    </row>
    <row r="93" spans="2:36" x14ac:dyDescent="0.2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 x14ac:dyDescent="0.2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465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 x14ac:dyDescent="0.2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 x14ac:dyDescent="0.2">
      <c r="B96" s="302" t="s">
        <v>226</v>
      </c>
      <c r="G96" s="299"/>
    </row>
    <row r="97" spans="2:36" x14ac:dyDescent="0.2">
      <c r="B97" s="311">
        <v>44742</v>
      </c>
      <c r="D97" s="552"/>
      <c r="E97" s="552"/>
      <c r="F97" s="552"/>
      <c r="G97" s="552"/>
    </row>
    <row r="98" spans="2:36" x14ac:dyDescent="0.2">
      <c r="B98" s="312">
        <v>44920</v>
      </c>
      <c r="D98" s="552"/>
      <c r="E98" s="552"/>
      <c r="F98" s="552"/>
      <c r="G98" s="299"/>
    </row>
    <row r="99" spans="2:36" x14ac:dyDescent="0.2">
      <c r="D99" s="552"/>
      <c r="E99" s="552"/>
      <c r="F99" s="552"/>
      <c r="G99" s="299"/>
    </row>
    <row r="100" spans="2:36" x14ac:dyDescent="0.2">
      <c r="G100" s="299"/>
    </row>
    <row r="101" spans="2:36" x14ac:dyDescent="0.2">
      <c r="G101" s="299"/>
    </row>
    <row r="102" spans="2:36" ht="18.75" x14ac:dyDescent="0.3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 x14ac:dyDescent="0.2">
      <c r="B104" s="50" t="s">
        <v>141</v>
      </c>
      <c r="C104" s="300" t="str" cm="1">
        <f t="array" ref="C104">_xll.d.TestUtils_And(G109,N109,W109,AJ109)</f>
        <v>Ok</v>
      </c>
    </row>
    <row r="105" spans="2:36" x14ac:dyDescent="0.2">
      <c r="G105" s="299"/>
    </row>
    <row r="106" spans="2:36" ht="15.75" x14ac:dyDescent="0.2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 x14ac:dyDescent="0.2">
      <c r="G107" s="299"/>
    </row>
    <row r="108" spans="2:36" x14ac:dyDescent="0.2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 x14ac:dyDescent="0.2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465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 x14ac:dyDescent="0.2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 x14ac:dyDescent="0.2">
      <c r="B111" s="302" t="s">
        <v>226</v>
      </c>
      <c r="G111" s="299"/>
    </row>
    <row r="112" spans="2:36" x14ac:dyDescent="0.2">
      <c r="B112" s="311">
        <v>44742</v>
      </c>
    </row>
    <row r="113" spans="2:45" x14ac:dyDescent="0.2">
      <c r="B113" s="312">
        <v>44920</v>
      </c>
      <c r="G113" s="299"/>
    </row>
    <row r="114" spans="2:45" x14ac:dyDescent="0.2">
      <c r="G114" s="299"/>
    </row>
    <row r="115" spans="2:45" x14ac:dyDescent="0.2">
      <c r="G115" s="299"/>
    </row>
    <row r="116" spans="2:45" x14ac:dyDescent="0.2">
      <c r="G116" s="299"/>
    </row>
    <row r="117" spans="2:45" ht="18.75" x14ac:dyDescent="0.3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 x14ac:dyDescent="0.2">
      <c r="B119" s="50" t="s">
        <v>141</v>
      </c>
      <c r="C119" s="300" t="str" cm="1">
        <f t="array" ref="C119">_xll.d.TestUtils_And(G124,O124,AC124,AS124)</f>
        <v>Ok</v>
      </c>
    </row>
    <row r="121" spans="2:45" ht="15.75" x14ac:dyDescent="0.2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 x14ac:dyDescent="0.2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 x14ac:dyDescent="0.2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465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466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 x14ac:dyDescent="0.2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 x14ac:dyDescent="0.2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 x14ac:dyDescent="0.2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 x14ac:dyDescent="0.2">
      <c r="B133" s="50" t="s">
        <v>141</v>
      </c>
      <c r="C133" s="300" t="str" cm="1">
        <f t="array" ref="C133">_xll.d.TestUtils_And(L138:O172)</f>
        <v>Ok</v>
      </c>
    </row>
    <row r="135" spans="2:30" ht="15.75" x14ac:dyDescent="0.2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 x14ac:dyDescent="0.2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 x14ac:dyDescent="0.2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 x14ac:dyDescent="0.2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 x14ac:dyDescent="0.2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 x14ac:dyDescent="0.2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 x14ac:dyDescent="0.2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 x14ac:dyDescent="0.2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 x14ac:dyDescent="0.2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 x14ac:dyDescent="0.2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 x14ac:dyDescent="0.2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 x14ac:dyDescent="0.2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 x14ac:dyDescent="0.2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 x14ac:dyDescent="0.2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 x14ac:dyDescent="0.2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 x14ac:dyDescent="0.2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 x14ac:dyDescent="0.2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 x14ac:dyDescent="0.2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 x14ac:dyDescent="0.2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 x14ac:dyDescent="0.2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 x14ac:dyDescent="0.2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 x14ac:dyDescent="0.2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 x14ac:dyDescent="0.2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 x14ac:dyDescent="0.2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 x14ac:dyDescent="0.2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 x14ac:dyDescent="0.2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 x14ac:dyDescent="0.2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 x14ac:dyDescent="0.2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 x14ac:dyDescent="0.2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 x14ac:dyDescent="0.2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 x14ac:dyDescent="0.2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 x14ac:dyDescent="0.2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 x14ac:dyDescent="0.2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 x14ac:dyDescent="0.2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 x14ac:dyDescent="0.2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 x14ac:dyDescent="0.2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467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 x14ac:dyDescent="0.2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 x14ac:dyDescent="0.3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 x14ac:dyDescent="0.2">
      <c r="B178" s="50" t="s">
        <v>141</v>
      </c>
      <c r="C178" s="300" t="str" cm="1">
        <f t="array" ref="C178">_xll.d.TestUtils_And(G183:G191,N183:N200,AA183)</f>
        <v>Ok</v>
      </c>
    </row>
    <row r="180" spans="2:27" ht="15.75" x14ac:dyDescent="0.2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 x14ac:dyDescent="0.2">
      <c r="G181" s="299"/>
      <c r="N181" s="299"/>
    </row>
    <row r="182" spans="2:27" x14ac:dyDescent="0.2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 x14ac:dyDescent="0.2">
      <c r="B183" s="123" t="s">
        <v>233</v>
      </c>
      <c r="C183" s="301">
        <v>44562</v>
      </c>
      <c r="E183" s="314" cm="1">
        <f t="array" ref="E183:E191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0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465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 x14ac:dyDescent="0.2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 x14ac:dyDescent="0.2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 x14ac:dyDescent="0.2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 x14ac:dyDescent="0.2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 x14ac:dyDescent="0.2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 x14ac:dyDescent="0.2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 x14ac:dyDescent="0.2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 x14ac:dyDescent="0.2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 x14ac:dyDescent="0.2"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 x14ac:dyDescent="0.2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 x14ac:dyDescent="0.2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 x14ac:dyDescent="0.2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 x14ac:dyDescent="0.2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 x14ac:dyDescent="0.2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 x14ac:dyDescent="0.2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 x14ac:dyDescent="0.2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 x14ac:dyDescent="0.2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3" spans="2:35" ht="18.75" x14ac:dyDescent="0.3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 x14ac:dyDescent="0.2">
      <c r="B205" s="50" t="s">
        <v>141</v>
      </c>
      <c r="C205" s="300" t="str" cm="1">
        <f t="array" ref="C205">_xll.d.TestUtils_And(G210:G214,N210:N214,U210:U214)</f>
        <v>Ok</v>
      </c>
    </row>
    <row r="207" spans="2:35" ht="15.75" x14ac:dyDescent="0.2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 x14ac:dyDescent="0.2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 x14ac:dyDescent="0.2">
      <c r="B210" s="123" t="s">
        <v>233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233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233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 x14ac:dyDescent="0.2">
      <c r="B211" s="125" t="s">
        <v>234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234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234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57" t="s">
        <v>234</v>
      </c>
      <c r="X211" s="539"/>
      <c r="Y211" s="313">
        <v>45108</v>
      </c>
    </row>
    <row r="212" spans="2:35" x14ac:dyDescent="0.2">
      <c r="B212" s="125" t="s">
        <v>331</v>
      </c>
      <c r="C212" s="126" t="s">
        <v>24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331</v>
      </c>
      <c r="J212" s="126" t="s">
        <v>24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331</v>
      </c>
      <c r="Q212" s="126" t="s">
        <v>24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57" t="s">
        <v>331</v>
      </c>
      <c r="X212" s="539"/>
      <c r="Y212" s="126" t="s">
        <v>24</v>
      </c>
    </row>
    <row r="213" spans="2:35" x14ac:dyDescent="0.2">
      <c r="B213" s="125" t="s">
        <v>332</v>
      </c>
      <c r="C213" s="126" t="s">
        <v>232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332</v>
      </c>
      <c r="J213" s="126" t="s">
        <v>232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332</v>
      </c>
      <c r="Q213" s="126" t="s">
        <v>232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57" t="s">
        <v>332</v>
      </c>
      <c r="X213" s="539"/>
      <c r="Y213" s="126" t="s">
        <v>238</v>
      </c>
    </row>
    <row r="214" spans="2:35" x14ac:dyDescent="0.2">
      <c r="B214" s="125" t="s">
        <v>217</v>
      </c>
      <c r="C214" s="126" t="s">
        <v>218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217</v>
      </c>
      <c r="J214" s="126" t="s">
        <v>218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217</v>
      </c>
      <c r="Q214" s="126" t="s">
        <v>218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57" t="s">
        <v>217</v>
      </c>
      <c r="X214" s="539"/>
      <c r="Y214" s="126" t="s">
        <v>218</v>
      </c>
    </row>
    <row r="215" spans="2:35" x14ac:dyDescent="0.2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 x14ac:dyDescent="0.3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 x14ac:dyDescent="0.2">
      <c r="B221" s="50" t="s">
        <v>141</v>
      </c>
      <c r="C221" s="300" t="str" cm="1">
        <f t="array" ref="C221">_xll.d.TestUtils_And(H226:I230)</f>
        <v>Ok</v>
      </c>
    </row>
    <row r="223" spans="2:35" ht="15.75" x14ac:dyDescent="0.2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 x14ac:dyDescent="0.2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 x14ac:dyDescent="0.2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 x14ac:dyDescent="0.2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 x14ac:dyDescent="0.2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 x14ac:dyDescent="0.2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 x14ac:dyDescent="0.2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 x14ac:dyDescent="0.3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 x14ac:dyDescent="0.2">
      <c r="B236" s="50" t="s">
        <v>141</v>
      </c>
      <c r="C236" s="300" t="str" cm="1">
        <f t="array" ref="C236">_xll.d.TestUtils_And(L241:O245)</f>
        <v>Ok</v>
      </c>
    </row>
    <row r="238" spans="2:21" ht="15.75" x14ac:dyDescent="0.2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 x14ac:dyDescent="0.2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 x14ac:dyDescent="0.2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 x14ac:dyDescent="0.2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 x14ac:dyDescent="0.2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 x14ac:dyDescent="0.2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 x14ac:dyDescent="0.2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 x14ac:dyDescent="0.3">
      <c r="B248" s="3" t="s">
        <v>455</v>
      </c>
      <c r="C248" s="306"/>
      <c r="D248" s="306"/>
      <c r="E248" s="306"/>
    </row>
    <row r="250" spans="2:15" x14ac:dyDescent="0.2">
      <c r="B250" s="50" t="s">
        <v>141</v>
      </c>
      <c r="C250" s="300" t="str" cm="1">
        <f t="array" ref="C250">_xll.d.TestUtils_And(E255:E261)</f>
        <v>Ok</v>
      </c>
    </row>
    <row r="252" spans="2:15" ht="15.75" x14ac:dyDescent="0.25">
      <c r="B252" s="4" t="s">
        <v>91</v>
      </c>
      <c r="C252" s="307"/>
      <c r="D252" s="307"/>
      <c r="E252" s="307"/>
    </row>
    <row r="254" spans="2:15" x14ac:dyDescent="0.2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 x14ac:dyDescent="0.2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 x14ac:dyDescent="0.2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 x14ac:dyDescent="0.2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 x14ac:dyDescent="0.2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 x14ac:dyDescent="0.2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 x14ac:dyDescent="0.2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 x14ac:dyDescent="0.2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 x14ac:dyDescent="0.2">
      <c r="D271" s="552"/>
      <c r="E271" s="552"/>
    </row>
    <row r="272" spans="2:5" x14ac:dyDescent="0.2">
      <c r="D272" s="552"/>
      <c r="E272" s="552"/>
    </row>
    <row r="273" spans="2:5" x14ac:dyDescent="0.2">
      <c r="B273" s="552"/>
      <c r="D273" s="552"/>
      <c r="E273" s="552"/>
    </row>
    <row r="274" spans="2:5" x14ac:dyDescent="0.2">
      <c r="B274" s="552"/>
      <c r="D274" s="552"/>
      <c r="E274" s="552"/>
    </row>
    <row r="275" spans="2:5" x14ac:dyDescent="0.2">
      <c r="D275" s="552"/>
      <c r="E275" s="552"/>
    </row>
    <row r="276" spans="2:5" x14ac:dyDescent="0.2">
      <c r="E276" s="552"/>
    </row>
  </sheetData>
  <conditionalFormatting sqref="D11:D17">
    <cfRule type="cellIs" dxfId="834" priority="165" stopIfTrue="1" operator="equal">
      <formula>"ERROR"</formula>
    </cfRule>
    <cfRule type="cellIs" dxfId="833" priority="166" stopIfTrue="1" operator="equal">
      <formula>"OK"</formula>
    </cfRule>
    <cfRule type="cellIs" dxfId="832" priority="167" stopIfTrue="1" operator="equal">
      <formula>"WARNING"</formula>
    </cfRule>
  </conditionalFormatting>
  <conditionalFormatting sqref="C4">
    <cfRule type="cellIs" dxfId="831" priority="139" stopIfTrue="1" operator="equal">
      <formula>"ERROR"</formula>
    </cfRule>
    <cfRule type="cellIs" dxfId="830" priority="140" stopIfTrue="1" operator="equal">
      <formula>"OK"</formula>
    </cfRule>
    <cfRule type="cellIs" dxfId="829" priority="141" stopIfTrue="1" operator="equal">
      <formula>"WARNING"</formula>
    </cfRule>
  </conditionalFormatting>
  <conditionalFormatting sqref="C74">
    <cfRule type="cellIs" dxfId="828" priority="133" stopIfTrue="1" operator="equal">
      <formula>"ERROR"</formula>
    </cfRule>
  </conditionalFormatting>
  <conditionalFormatting sqref="C74">
    <cfRule type="cellIs" dxfId="827" priority="134" stopIfTrue="1" operator="equal">
      <formula>"OK"</formula>
    </cfRule>
  </conditionalFormatting>
  <conditionalFormatting sqref="C74">
    <cfRule type="cellIs" dxfId="826" priority="135" stopIfTrue="1" operator="equal">
      <formula>"WARNING"</formula>
    </cfRule>
  </conditionalFormatting>
  <conditionalFormatting sqref="G79">
    <cfRule type="cellIs" dxfId="825" priority="168" stopIfTrue="1" operator="equal">
      <formula>"ERROR"</formula>
    </cfRule>
    <cfRule type="cellIs" dxfId="824" priority="169" stopIfTrue="1" operator="equal">
      <formula>"OK"</formula>
    </cfRule>
    <cfRule type="cellIs" dxfId="823" priority="170" stopIfTrue="1" operator="equal">
      <formula>"WARNING"</formula>
    </cfRule>
  </conditionalFormatting>
  <conditionalFormatting sqref="U79">
    <cfRule type="cellIs" dxfId="822" priority="130" stopIfTrue="1" operator="equal">
      <formula>"ERROR"</formula>
    </cfRule>
    <cfRule type="cellIs" dxfId="821" priority="131" stopIfTrue="1" operator="equal">
      <formula>"OK"</formula>
    </cfRule>
    <cfRule type="cellIs" dxfId="820" priority="132" stopIfTrue="1" operator="equal">
      <formula>"WARNING"</formula>
    </cfRule>
  </conditionalFormatting>
  <conditionalFormatting sqref="AD79">
    <cfRule type="cellIs" dxfId="819" priority="127" stopIfTrue="1" operator="equal">
      <formula>"ERROR"</formula>
    </cfRule>
    <cfRule type="cellIs" dxfId="818" priority="128" stopIfTrue="1" operator="equal">
      <formula>"OK"</formula>
    </cfRule>
    <cfRule type="cellIs" dxfId="817" priority="129" stopIfTrue="1" operator="equal">
      <formula>"WARNING"</formula>
    </cfRule>
  </conditionalFormatting>
  <conditionalFormatting sqref="G183:G191">
    <cfRule type="cellIs" dxfId="816" priority="171" stopIfTrue="1" operator="equal">
      <formula>"ERROR"</formula>
    </cfRule>
    <cfRule type="cellIs" dxfId="815" priority="172" stopIfTrue="1" operator="equal">
      <formula>"OK"</formula>
    </cfRule>
    <cfRule type="cellIs" dxfId="814" priority="173" stopIfTrue="1" operator="equal">
      <formula>"WARNING"</formula>
    </cfRule>
  </conditionalFormatting>
  <conditionalFormatting sqref="C178">
    <cfRule type="cellIs" dxfId="813" priority="124" stopIfTrue="1" operator="equal">
      <formula>"ERROR"</formula>
    </cfRule>
  </conditionalFormatting>
  <conditionalFormatting sqref="C178">
    <cfRule type="cellIs" dxfId="812" priority="125" stopIfTrue="1" operator="equal">
      <formula>"OK"</formula>
    </cfRule>
  </conditionalFormatting>
  <conditionalFormatting sqref="C178">
    <cfRule type="cellIs" dxfId="811" priority="126" stopIfTrue="1" operator="equal">
      <formula>"WARNING"</formula>
    </cfRule>
  </conditionalFormatting>
  <conditionalFormatting sqref="N183:N200">
    <cfRule type="cellIs" dxfId="810" priority="121" stopIfTrue="1" operator="equal">
      <formula>"ERROR"</formula>
    </cfRule>
    <cfRule type="cellIs" dxfId="809" priority="122" stopIfTrue="1" operator="equal">
      <formula>"OK"</formula>
    </cfRule>
    <cfRule type="cellIs" dxfId="808" priority="123" stopIfTrue="1" operator="equal">
      <formula>"WARNING"</formula>
    </cfRule>
  </conditionalFormatting>
  <conditionalFormatting sqref="AQ79">
    <cfRule type="cellIs" dxfId="807" priority="118" stopIfTrue="1" operator="equal">
      <formula>"ERROR"</formula>
    </cfRule>
    <cfRule type="cellIs" dxfId="806" priority="119" stopIfTrue="1" operator="equal">
      <formula>"OK"</formula>
    </cfRule>
    <cfRule type="cellIs" dxfId="805" priority="120" stopIfTrue="1" operator="equal">
      <formula>"WARNING"</formula>
    </cfRule>
  </conditionalFormatting>
  <conditionalFormatting sqref="C89">
    <cfRule type="cellIs" dxfId="804" priority="112" stopIfTrue="1" operator="equal">
      <formula>"ERROR"</formula>
    </cfRule>
  </conditionalFormatting>
  <conditionalFormatting sqref="C89">
    <cfRule type="cellIs" dxfId="803" priority="113" stopIfTrue="1" operator="equal">
      <formula>"OK"</formula>
    </cfRule>
  </conditionalFormatting>
  <conditionalFormatting sqref="C89">
    <cfRule type="cellIs" dxfId="802" priority="114" stopIfTrue="1" operator="equal">
      <formula>"WARNING"</formula>
    </cfRule>
  </conditionalFormatting>
  <conditionalFormatting sqref="G94">
    <cfRule type="cellIs" dxfId="801" priority="115" stopIfTrue="1" operator="equal">
      <formula>"ERROR"</formula>
    </cfRule>
    <cfRule type="cellIs" dxfId="800" priority="116" stopIfTrue="1" operator="equal">
      <formula>"OK"</formula>
    </cfRule>
    <cfRule type="cellIs" dxfId="799" priority="117" stopIfTrue="1" operator="equal">
      <formula>"WARNING"</formula>
    </cfRule>
  </conditionalFormatting>
  <conditionalFormatting sqref="N94">
    <cfRule type="cellIs" dxfId="798" priority="109" stopIfTrue="1" operator="equal">
      <formula>"ERROR"</formula>
    </cfRule>
    <cfRule type="cellIs" dxfId="797" priority="110" stopIfTrue="1" operator="equal">
      <formula>"OK"</formula>
    </cfRule>
    <cfRule type="cellIs" dxfId="796" priority="111" stopIfTrue="1" operator="equal">
      <formula>"WARNING"</formula>
    </cfRule>
  </conditionalFormatting>
  <conditionalFormatting sqref="W94">
    <cfRule type="cellIs" dxfId="795" priority="106" stopIfTrue="1" operator="equal">
      <formula>"ERROR"</formula>
    </cfRule>
    <cfRule type="cellIs" dxfId="794" priority="107" stopIfTrue="1" operator="equal">
      <formula>"OK"</formula>
    </cfRule>
    <cfRule type="cellIs" dxfId="793" priority="108" stopIfTrue="1" operator="equal">
      <formula>"WARNING"</formula>
    </cfRule>
  </conditionalFormatting>
  <conditionalFormatting sqref="AJ94">
    <cfRule type="cellIs" dxfId="792" priority="103" stopIfTrue="1" operator="equal">
      <formula>"ERROR"</formula>
    </cfRule>
    <cfRule type="cellIs" dxfId="791" priority="104" stopIfTrue="1" operator="equal">
      <formula>"OK"</formula>
    </cfRule>
    <cfRule type="cellIs" dxfId="790" priority="105" stopIfTrue="1" operator="equal">
      <formula>"WARNING"</formula>
    </cfRule>
  </conditionalFormatting>
  <conditionalFormatting sqref="C104">
    <cfRule type="cellIs" dxfId="789" priority="97" stopIfTrue="1" operator="equal">
      <formula>"ERROR"</formula>
    </cfRule>
  </conditionalFormatting>
  <conditionalFormatting sqref="C104">
    <cfRule type="cellIs" dxfId="788" priority="98" stopIfTrue="1" operator="equal">
      <formula>"OK"</formula>
    </cfRule>
  </conditionalFormatting>
  <conditionalFormatting sqref="C104">
    <cfRule type="cellIs" dxfId="787" priority="99" stopIfTrue="1" operator="equal">
      <formula>"WARNING"</formula>
    </cfRule>
  </conditionalFormatting>
  <conditionalFormatting sqref="G109">
    <cfRule type="cellIs" dxfId="786" priority="100" stopIfTrue="1" operator="equal">
      <formula>"ERROR"</formula>
    </cfRule>
    <cfRule type="cellIs" dxfId="785" priority="101" stopIfTrue="1" operator="equal">
      <formula>"OK"</formula>
    </cfRule>
    <cfRule type="cellIs" dxfId="784" priority="102" stopIfTrue="1" operator="equal">
      <formula>"WARNING"</formula>
    </cfRule>
  </conditionalFormatting>
  <conditionalFormatting sqref="N109">
    <cfRule type="cellIs" dxfId="783" priority="94" stopIfTrue="1" operator="equal">
      <formula>"ERROR"</formula>
    </cfRule>
    <cfRule type="cellIs" dxfId="782" priority="95" stopIfTrue="1" operator="equal">
      <formula>"OK"</formula>
    </cfRule>
    <cfRule type="cellIs" dxfId="781" priority="96" stopIfTrue="1" operator="equal">
      <formula>"WARNING"</formula>
    </cfRule>
  </conditionalFormatting>
  <conditionalFormatting sqref="W109">
    <cfRule type="cellIs" dxfId="780" priority="91" stopIfTrue="1" operator="equal">
      <formula>"ERROR"</formula>
    </cfRule>
    <cfRule type="cellIs" dxfId="779" priority="92" stopIfTrue="1" operator="equal">
      <formula>"OK"</formula>
    </cfRule>
    <cfRule type="cellIs" dxfId="778" priority="93" stopIfTrue="1" operator="equal">
      <formula>"WARNING"</formula>
    </cfRule>
  </conditionalFormatting>
  <conditionalFormatting sqref="AJ109">
    <cfRule type="cellIs" dxfId="777" priority="88" stopIfTrue="1" operator="equal">
      <formula>"ERROR"</formula>
    </cfRule>
    <cfRule type="cellIs" dxfId="776" priority="89" stopIfTrue="1" operator="equal">
      <formula>"OK"</formula>
    </cfRule>
    <cfRule type="cellIs" dxfId="775" priority="90" stopIfTrue="1" operator="equal">
      <formula>"WARNING"</formula>
    </cfRule>
  </conditionalFormatting>
  <conditionalFormatting sqref="G124">
    <cfRule type="cellIs" dxfId="774" priority="82" stopIfTrue="1" operator="equal">
      <formula>"ERROR"</formula>
    </cfRule>
    <cfRule type="cellIs" dxfId="773" priority="83" stopIfTrue="1" operator="equal">
      <formula>"OK"</formula>
    </cfRule>
    <cfRule type="cellIs" dxfId="772" priority="84" stopIfTrue="1" operator="equal">
      <formula>"WARNING"</formula>
    </cfRule>
  </conditionalFormatting>
  <conditionalFormatting sqref="C119">
    <cfRule type="cellIs" dxfId="771" priority="79" stopIfTrue="1" operator="equal">
      <formula>"ERROR"</formula>
    </cfRule>
  </conditionalFormatting>
  <conditionalFormatting sqref="C119">
    <cfRule type="cellIs" dxfId="770" priority="80" stopIfTrue="1" operator="equal">
      <formula>"OK"</formula>
    </cfRule>
  </conditionalFormatting>
  <conditionalFormatting sqref="C119">
    <cfRule type="cellIs" dxfId="769" priority="81" stopIfTrue="1" operator="equal">
      <formula>"WARNING"</formula>
    </cfRule>
  </conditionalFormatting>
  <conditionalFormatting sqref="O124">
    <cfRule type="cellIs" dxfId="768" priority="76" stopIfTrue="1" operator="equal">
      <formula>"ERROR"</formula>
    </cfRule>
    <cfRule type="cellIs" dxfId="767" priority="77" stopIfTrue="1" operator="equal">
      <formula>"OK"</formula>
    </cfRule>
    <cfRule type="cellIs" dxfId="766" priority="78" stopIfTrue="1" operator="equal">
      <formula>"WARNING"</formula>
    </cfRule>
  </conditionalFormatting>
  <conditionalFormatting sqref="AC124">
    <cfRule type="cellIs" dxfId="765" priority="73" stopIfTrue="1" operator="equal">
      <formula>"ERROR"</formula>
    </cfRule>
    <cfRule type="cellIs" dxfId="764" priority="74" stopIfTrue="1" operator="equal">
      <formula>"OK"</formula>
    </cfRule>
    <cfRule type="cellIs" dxfId="763" priority="75" stopIfTrue="1" operator="equal">
      <formula>"WARNING"</formula>
    </cfRule>
  </conditionalFormatting>
  <conditionalFormatting sqref="AS124">
    <cfRule type="cellIs" dxfId="762" priority="70" stopIfTrue="1" operator="equal">
      <formula>"ERROR"</formula>
    </cfRule>
    <cfRule type="cellIs" dxfId="761" priority="71" stopIfTrue="1" operator="equal">
      <formula>"OK"</formula>
    </cfRule>
    <cfRule type="cellIs" dxfId="760" priority="72" stopIfTrue="1" operator="equal">
      <formula>"WARNING"</formula>
    </cfRule>
  </conditionalFormatting>
  <conditionalFormatting sqref="AA183">
    <cfRule type="cellIs" dxfId="759" priority="67" stopIfTrue="1" operator="equal">
      <formula>"ERROR"</formula>
    </cfRule>
    <cfRule type="cellIs" dxfId="758" priority="68" stopIfTrue="1" operator="equal">
      <formula>"OK"</formula>
    </cfRule>
    <cfRule type="cellIs" dxfId="757" priority="69" stopIfTrue="1" operator="equal">
      <formula>"WARNING"</formula>
    </cfRule>
  </conditionalFormatting>
  <conditionalFormatting sqref="C221">
    <cfRule type="cellIs" dxfId="756" priority="64" stopIfTrue="1" operator="equal">
      <formula>"ERROR"</formula>
    </cfRule>
  </conditionalFormatting>
  <conditionalFormatting sqref="C221">
    <cfRule type="cellIs" dxfId="755" priority="65" stopIfTrue="1" operator="equal">
      <formula>"OK"</formula>
    </cfRule>
  </conditionalFormatting>
  <conditionalFormatting sqref="C221">
    <cfRule type="cellIs" dxfId="754" priority="66" stopIfTrue="1" operator="equal">
      <formula>"WARNING"</formula>
    </cfRule>
  </conditionalFormatting>
  <conditionalFormatting sqref="H226:I230">
    <cfRule type="cellIs" dxfId="753" priority="174" stopIfTrue="1" operator="equal">
      <formula>"ERROR"</formula>
    </cfRule>
  </conditionalFormatting>
  <conditionalFormatting sqref="H226:I230">
    <cfRule type="cellIs" dxfId="752" priority="175" stopIfTrue="1" operator="equal">
      <formula>"OK"</formula>
    </cfRule>
  </conditionalFormatting>
  <conditionalFormatting sqref="H226:I230">
    <cfRule type="cellIs" dxfId="751" priority="176" stopIfTrue="1" operator="equal">
      <formula>"WARNING"</formula>
    </cfRule>
  </conditionalFormatting>
  <conditionalFormatting sqref="D16:D17">
    <cfRule type="cellIs" dxfId="750" priority="177" stopIfTrue="1" operator="equal">
      <formula>"ERROR"</formula>
    </cfRule>
    <cfRule type="cellIs" dxfId="749" priority="178" stopIfTrue="1" operator="equal">
      <formula>"OK"</formula>
    </cfRule>
    <cfRule type="cellIs" dxfId="748" priority="179" stopIfTrue="1" operator="equal">
      <formula>"WARNING"</formula>
    </cfRule>
  </conditionalFormatting>
  <conditionalFormatting sqref="D18:D19">
    <cfRule type="cellIs" dxfId="747" priority="180" stopIfTrue="1" operator="equal">
      <formula>"ERROR"</formula>
    </cfRule>
    <cfRule type="cellIs" dxfId="746" priority="181" stopIfTrue="1" operator="equal">
      <formula>"OK"</formula>
    </cfRule>
    <cfRule type="cellIs" dxfId="745" priority="182" stopIfTrue="1" operator="equal">
      <formula>"WARNING"</formula>
    </cfRule>
  </conditionalFormatting>
  <conditionalFormatting sqref="C236">
    <cfRule type="cellIs" dxfId="744" priority="58" stopIfTrue="1" operator="equal">
      <formula>"ERROR"</formula>
    </cfRule>
  </conditionalFormatting>
  <conditionalFormatting sqref="C236">
    <cfRule type="cellIs" dxfId="743" priority="59" stopIfTrue="1" operator="equal">
      <formula>"OK"</formula>
    </cfRule>
  </conditionalFormatting>
  <conditionalFormatting sqref="C236">
    <cfRule type="cellIs" dxfId="742" priority="60" stopIfTrue="1" operator="equal">
      <formula>"WARNING"</formula>
    </cfRule>
  </conditionalFormatting>
  <conditionalFormatting sqref="L241:O245">
    <cfRule type="cellIs" dxfId="741" priority="61" stopIfTrue="1" operator="equal">
      <formula>"ERROR"</formula>
    </cfRule>
  </conditionalFormatting>
  <conditionalFormatting sqref="L241:O245">
    <cfRule type="cellIs" dxfId="740" priority="62" stopIfTrue="1" operator="equal">
      <formula>"OK"</formula>
    </cfRule>
  </conditionalFormatting>
  <conditionalFormatting sqref="L241:O245">
    <cfRule type="cellIs" dxfId="739" priority="63" stopIfTrue="1" operator="equal">
      <formula>"WARNING"</formula>
    </cfRule>
  </conditionalFormatting>
  <conditionalFormatting sqref="C133">
    <cfRule type="cellIs" dxfId="738" priority="55" stopIfTrue="1" operator="equal">
      <formula>"ERROR"</formula>
    </cfRule>
  </conditionalFormatting>
  <conditionalFormatting sqref="C133">
    <cfRule type="cellIs" dxfId="737" priority="56" stopIfTrue="1" operator="equal">
      <formula>"OK"</formula>
    </cfRule>
  </conditionalFormatting>
  <conditionalFormatting sqref="C133">
    <cfRule type="cellIs" dxfId="736" priority="57" stopIfTrue="1" operator="equal">
      <formula>"WARNING"</formula>
    </cfRule>
  </conditionalFormatting>
  <conditionalFormatting sqref="L138:O172">
    <cfRule type="cellIs" dxfId="735" priority="183" stopIfTrue="1" operator="equal">
      <formula>"ERROR"</formula>
    </cfRule>
  </conditionalFormatting>
  <conditionalFormatting sqref="L138:O172">
    <cfRule type="cellIs" dxfId="734" priority="184" stopIfTrue="1" operator="equal">
      <formula>"OK"</formula>
    </cfRule>
  </conditionalFormatting>
  <conditionalFormatting sqref="L138:O172">
    <cfRule type="cellIs" dxfId="733" priority="185" stopIfTrue="1" operator="equal">
      <formula>"WARNING"</formula>
    </cfRule>
  </conditionalFormatting>
  <conditionalFormatting sqref="C205">
    <cfRule type="cellIs" dxfId="732" priority="52" stopIfTrue="1" operator="equal">
      <formula>"ERROR"</formula>
    </cfRule>
  </conditionalFormatting>
  <conditionalFormatting sqref="C205">
    <cfRule type="cellIs" dxfId="731" priority="53" stopIfTrue="1" operator="equal">
      <formula>"OK"</formula>
    </cfRule>
  </conditionalFormatting>
  <conditionalFormatting sqref="C205">
    <cfRule type="cellIs" dxfId="730" priority="54" stopIfTrue="1" operator="equal">
      <formula>"WARNING"</formula>
    </cfRule>
  </conditionalFormatting>
  <conditionalFormatting sqref="G210:G214">
    <cfRule type="cellIs" dxfId="729" priority="186" stopIfTrue="1" operator="equal">
      <formula>"ERROR"</formula>
    </cfRule>
  </conditionalFormatting>
  <conditionalFormatting sqref="G210:G214">
    <cfRule type="cellIs" dxfId="728" priority="187" stopIfTrue="1" operator="equal">
      <formula>"OK"</formula>
    </cfRule>
  </conditionalFormatting>
  <conditionalFormatting sqref="G210:G214">
    <cfRule type="cellIs" dxfId="727" priority="188" stopIfTrue="1" operator="equal">
      <formula>"WARNING"</formula>
    </cfRule>
  </conditionalFormatting>
  <conditionalFormatting sqref="N210:N214">
    <cfRule type="cellIs" dxfId="726" priority="49" stopIfTrue="1" operator="equal">
      <formula>"ERROR"</formula>
    </cfRule>
  </conditionalFormatting>
  <conditionalFormatting sqref="N210:N214">
    <cfRule type="cellIs" dxfId="725" priority="50" stopIfTrue="1" operator="equal">
      <formula>"OK"</formula>
    </cfRule>
  </conditionalFormatting>
  <conditionalFormatting sqref="N210:N214">
    <cfRule type="cellIs" dxfId="724" priority="51" stopIfTrue="1" operator="equal">
      <formula>"WARNING"</formula>
    </cfRule>
  </conditionalFormatting>
  <conditionalFormatting sqref="U210:U214">
    <cfRule type="cellIs" dxfId="723" priority="46" stopIfTrue="1" operator="equal">
      <formula>"ERROR"</formula>
    </cfRule>
  </conditionalFormatting>
  <conditionalFormatting sqref="U210:U214">
    <cfRule type="cellIs" dxfId="722" priority="47" stopIfTrue="1" operator="equal">
      <formula>"OK"</formula>
    </cfRule>
  </conditionalFormatting>
  <conditionalFormatting sqref="U210:U214">
    <cfRule type="cellIs" dxfId="721" priority="48" stopIfTrue="1" operator="equal">
      <formula>"WARNING"</formula>
    </cfRule>
  </conditionalFormatting>
  <conditionalFormatting sqref="AI210">
    <cfRule type="cellIs" dxfId="720" priority="43" stopIfTrue="1" operator="equal">
      <formula>"ERROR"</formula>
    </cfRule>
  </conditionalFormatting>
  <conditionalFormatting sqref="AI210">
    <cfRule type="cellIs" dxfId="719" priority="44" stopIfTrue="1" operator="equal">
      <formula>"OK"</formula>
    </cfRule>
  </conditionalFormatting>
  <conditionalFormatting sqref="AI210">
    <cfRule type="cellIs" dxfId="718" priority="45" stopIfTrue="1" operator="equal">
      <formula>"WARNING"</formula>
    </cfRule>
  </conditionalFormatting>
  <conditionalFormatting sqref="C250">
    <cfRule type="cellIs" dxfId="717" priority="40" stopIfTrue="1" operator="equal">
      <formula>"ERROR"</formula>
    </cfRule>
  </conditionalFormatting>
  <conditionalFormatting sqref="C250">
    <cfRule type="cellIs" dxfId="716" priority="41" stopIfTrue="1" operator="equal">
      <formula>"OK"</formula>
    </cfRule>
  </conditionalFormatting>
  <conditionalFormatting sqref="C250">
    <cfRule type="cellIs" dxfId="715" priority="42" stopIfTrue="1" operator="equal">
      <formula>"WARNING"</formula>
    </cfRule>
  </conditionalFormatting>
  <conditionalFormatting sqref="E255:E261">
    <cfRule type="cellIs" dxfId="714" priority="189" stopIfTrue="1" operator="equal">
      <formula>"ERROR"</formula>
    </cfRule>
  </conditionalFormatting>
  <conditionalFormatting sqref="E255:E261">
    <cfRule type="cellIs" dxfId="713" priority="190" stopIfTrue="1" operator="equal">
      <formula>"OK"</formula>
    </cfRule>
  </conditionalFormatting>
  <conditionalFormatting sqref="E255:E261">
    <cfRule type="cellIs" dxfId="712" priority="191" stopIfTrue="1" operator="equal">
      <formula>"WARNING"</formula>
    </cfRule>
  </conditionalFormatting>
  <conditionalFormatting sqref="D20">
    <cfRule type="cellIs" dxfId="711" priority="37" stopIfTrue="1" operator="equal">
      <formula>"ERROR"</formula>
    </cfRule>
    <cfRule type="cellIs" dxfId="710" priority="38" stopIfTrue="1" operator="equal">
      <formula>"OK"</formula>
    </cfRule>
    <cfRule type="cellIs" dxfId="709" priority="39" stopIfTrue="1" operator="equal">
      <formula>"WARNING"</formula>
    </cfRule>
  </conditionalFormatting>
  <conditionalFormatting sqref="C62">
    <cfRule type="cellIs" dxfId="708" priority="34" stopIfTrue="1" operator="equal">
      <formula>"ERROR"</formula>
    </cfRule>
  </conditionalFormatting>
  <conditionalFormatting sqref="C62">
    <cfRule type="cellIs" dxfId="707" priority="35" stopIfTrue="1" operator="equal">
      <formula>"OK"</formula>
    </cfRule>
  </conditionalFormatting>
  <conditionalFormatting sqref="C62">
    <cfRule type="cellIs" dxfId="706" priority="36" stopIfTrue="1" operator="equal">
      <formula>"WARNING"</formula>
    </cfRule>
  </conditionalFormatting>
  <conditionalFormatting sqref="G67">
    <cfRule type="cellIs" dxfId="705" priority="31" stopIfTrue="1" operator="equal">
      <formula>"ERROR"</formula>
    </cfRule>
    <cfRule type="cellIs" dxfId="704" priority="32" stopIfTrue="1" operator="equal">
      <formula>"OK"</formula>
    </cfRule>
    <cfRule type="cellIs" dxfId="703" priority="33" stopIfTrue="1" operator="equal">
      <formula>"WARNING"</formula>
    </cfRule>
  </conditionalFormatting>
  <conditionalFormatting sqref="C38">
    <cfRule type="cellIs" dxfId="702" priority="28" stopIfTrue="1" operator="equal">
      <formula>"ERROR"</formula>
    </cfRule>
  </conditionalFormatting>
  <conditionalFormatting sqref="C38">
    <cfRule type="cellIs" dxfId="701" priority="29" stopIfTrue="1" operator="equal">
      <formula>"OK"</formula>
    </cfRule>
  </conditionalFormatting>
  <conditionalFormatting sqref="C38">
    <cfRule type="cellIs" dxfId="700" priority="30" stopIfTrue="1" operator="equal">
      <formula>"WARNING"</formula>
    </cfRule>
  </conditionalFormatting>
  <conditionalFormatting sqref="G43">
    <cfRule type="cellIs" dxfId="699" priority="25" stopIfTrue="1" operator="equal">
      <formula>"ERROR"</formula>
    </cfRule>
    <cfRule type="cellIs" dxfId="698" priority="26" stopIfTrue="1" operator="equal">
      <formula>"OK"</formula>
    </cfRule>
    <cfRule type="cellIs" dxfId="697" priority="27" stopIfTrue="1" operator="equal">
      <formula>"WARNING"</formula>
    </cfRule>
  </conditionalFormatting>
  <conditionalFormatting sqref="D8:D10">
    <cfRule type="cellIs" dxfId="696" priority="22" stopIfTrue="1" operator="equal">
      <formula>"ERROR"</formula>
    </cfRule>
    <cfRule type="cellIs" dxfId="695" priority="23" stopIfTrue="1" operator="equal">
      <formula>"OK"</formula>
    </cfRule>
    <cfRule type="cellIs" dxfId="694" priority="24" stopIfTrue="1" operator="equal">
      <formula>"WARNING"</formula>
    </cfRule>
  </conditionalFormatting>
  <conditionalFormatting sqref="C50">
    <cfRule type="cellIs" dxfId="693" priority="19" stopIfTrue="1" operator="equal">
      <formula>"ERROR"</formula>
    </cfRule>
  </conditionalFormatting>
  <conditionalFormatting sqref="C50">
    <cfRule type="cellIs" dxfId="692" priority="20" stopIfTrue="1" operator="equal">
      <formula>"OK"</formula>
    </cfRule>
  </conditionalFormatting>
  <conditionalFormatting sqref="C50">
    <cfRule type="cellIs" dxfId="691" priority="21" stopIfTrue="1" operator="equal">
      <formula>"WARNING"</formula>
    </cfRule>
  </conditionalFormatting>
  <conditionalFormatting sqref="G55">
    <cfRule type="cellIs" dxfId="690" priority="16" stopIfTrue="1" operator="equal">
      <formula>"ERROR"</formula>
    </cfRule>
    <cfRule type="cellIs" dxfId="689" priority="17" stopIfTrue="1" operator="equal">
      <formula>"OK"</formula>
    </cfRule>
    <cfRule type="cellIs" dxfId="688" priority="18" stopIfTrue="1" operator="equal">
      <formula>"WARNING"</formula>
    </cfRule>
  </conditionalFormatting>
  <conditionalFormatting sqref="N79">
    <cfRule type="cellIs" dxfId="687" priority="13" stopIfTrue="1" operator="equal">
      <formula>"ERROR"</formula>
    </cfRule>
    <cfRule type="cellIs" dxfId="686" priority="14" stopIfTrue="1" operator="equal">
      <formula>"OK"</formula>
    </cfRule>
    <cfRule type="cellIs" dxfId="685" priority="15" stopIfTrue="1" operator="equal">
      <formula>"WARNING"</formula>
    </cfRule>
  </conditionalFormatting>
  <conditionalFormatting sqref="C26">
    <cfRule type="cellIs" dxfId="684" priority="10" stopIfTrue="1" operator="equal">
      <formula>"ERROR"</formula>
    </cfRule>
  </conditionalFormatting>
  <conditionalFormatting sqref="C26">
    <cfRule type="cellIs" dxfId="683" priority="11" stopIfTrue="1" operator="equal">
      <formula>"OK"</formula>
    </cfRule>
  </conditionalFormatting>
  <conditionalFormatting sqref="C26">
    <cfRule type="cellIs" dxfId="682" priority="12" stopIfTrue="1" operator="equal">
      <formula>"WARNING"</formula>
    </cfRule>
  </conditionalFormatting>
  <conditionalFormatting sqref="G31">
    <cfRule type="cellIs" dxfId="681" priority="7" stopIfTrue="1" operator="equal">
      <formula>"ERROR"</formula>
    </cfRule>
    <cfRule type="cellIs" dxfId="680" priority="8" stopIfTrue="1" operator="equal">
      <formula>"OK"</formula>
    </cfRule>
    <cfRule type="cellIs" dxfId="679" priority="9" stopIfTrue="1" operator="equal">
      <formula>"WARNING"</formula>
    </cfRule>
  </conditionalFormatting>
  <conditionalFormatting sqref="D7">
    <cfRule type="cellIs" dxfId="678" priority="1" stopIfTrue="1" operator="equal">
      <formula>"ERROR"</formula>
    </cfRule>
    <cfRule type="cellIs" dxfId="677" priority="2" stopIfTrue="1" operator="equal">
      <formula>"OK"</formula>
    </cfRule>
    <cfRule type="cellIs" dxfId="676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8" t="s">
        <v>389</v>
      </c>
    </row>
    <row r="2" spans="1:87" ht="26.25" x14ac:dyDescent="0.4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 x14ac:dyDescent="0.25">
      <c r="BR3" s="439"/>
      <c r="BS3" s="439"/>
      <c r="BT3" s="439"/>
      <c r="BU3" s="439"/>
      <c r="BV3" s="439"/>
      <c r="BW3" s="439"/>
    </row>
    <row r="4" spans="1:87" x14ac:dyDescent="0.25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 x14ac:dyDescent="0.25">
      <c r="BR5" s="439"/>
      <c r="BS5" s="439"/>
      <c r="BT5" s="439"/>
      <c r="BU5" s="439"/>
      <c r="BV5" s="439"/>
      <c r="BW5" s="439"/>
    </row>
    <row r="6" spans="1:87" x14ac:dyDescent="0.25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 x14ac:dyDescent="0.25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 x14ac:dyDescent="0.25">
      <c r="B8" s="407" t="s">
        <v>570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 x14ac:dyDescent="0.25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 x14ac:dyDescent="0.25">
      <c r="BR10" s="439"/>
      <c r="BS10" s="439"/>
      <c r="BT10" s="439"/>
      <c r="BU10" s="439"/>
      <c r="BV10" s="439"/>
      <c r="BW10" s="439"/>
    </row>
    <row r="11" spans="1:87" x14ac:dyDescent="0.25">
      <c r="BR11" s="439"/>
      <c r="BS11" s="439"/>
      <c r="BT11" s="439"/>
      <c r="BU11" s="439"/>
      <c r="BV11" s="439"/>
      <c r="BW11" s="439"/>
    </row>
    <row r="12" spans="1:87" s="298" customFormat="1" ht="18.75" x14ac:dyDescent="0.3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 x14ac:dyDescent="0.25">
      <c r="BR13" s="439"/>
      <c r="BS13" s="439"/>
      <c r="BT13" s="439"/>
      <c r="BU13" s="439"/>
      <c r="BV13" s="439"/>
      <c r="BW13" s="439"/>
    </row>
    <row r="14" spans="1:87" x14ac:dyDescent="0.25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 x14ac:dyDescent="0.25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 x14ac:dyDescent="0.2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481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482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485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 x14ac:dyDescent="0.25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 x14ac:dyDescent="0.25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 x14ac:dyDescent="0.25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479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480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483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469</v>
      </c>
      <c r="CG19" s="561"/>
      <c r="CH19" s="561"/>
      <c r="CI19" s="310" t="str" cm="1">
        <f t="array" ref="CI19">_xll.d.TestUtils_Equal(CC19,CF19)</f>
        <v>Ok</v>
      </c>
    </row>
    <row r="20" spans="2:87" x14ac:dyDescent="0.25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 x14ac:dyDescent="0.25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 x14ac:dyDescent="0.25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 x14ac:dyDescent="0.25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 x14ac:dyDescent="0.3">
      <c r="B24" s="3" t="s">
        <v>570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 x14ac:dyDescent="0.25"/>
    <row r="26" spans="2:87" s="439" customFormat="1" x14ac:dyDescent="0.25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 x14ac:dyDescent="0.25">
      <c r="B27" s="298"/>
      <c r="C27" s="298"/>
      <c r="D27" s="298"/>
      <c r="E27" s="298"/>
      <c r="F27" s="298"/>
      <c r="G27" s="299"/>
    </row>
    <row r="28" spans="2:87" s="439" customFormat="1" ht="15.75" x14ac:dyDescent="0.2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584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586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 x14ac:dyDescent="0.25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 x14ac:dyDescent="0.25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 x14ac:dyDescent="0.25">
      <c r="B31" s="322" t="s">
        <v>343</v>
      </c>
      <c r="C31" s="638" t="s">
        <v>571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571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585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571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587</v>
      </c>
      <c r="AJ31" s="561"/>
      <c r="AK31" s="561"/>
      <c r="AL31" s="310" t="str" cm="1">
        <f t="array" ref="AL31">_xll.d.TestUtils_Equal(AF31,AI31)</f>
        <v>Ok</v>
      </c>
    </row>
    <row r="32" spans="2:87" s="439" customFormat="1" x14ac:dyDescent="0.25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 x14ac:dyDescent="0.25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 x14ac:dyDescent="0.25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 x14ac:dyDescent="0.25">
      <c r="B35" s="298"/>
      <c r="C35" s="298"/>
      <c r="D35" s="298"/>
      <c r="E35" s="298"/>
      <c r="F35" s="298"/>
      <c r="G35" s="299"/>
    </row>
    <row r="36" spans="1:82" s="298" customFormat="1" ht="18.75" x14ac:dyDescent="0.3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 x14ac:dyDescent="0.25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 x14ac:dyDescent="0.25">
      <c r="A38"/>
      <c r="B38" s="50" t="s">
        <v>141</v>
      </c>
      <c r="C38" s="300" t="str" cm="1">
        <f t="array" ref="C38">_xll.d.TestUtils_And(L43,Y43,AK43,BC43,BU43)</f>
        <v>Ok</v>
      </c>
    </row>
    <row r="39" spans="1:82" x14ac:dyDescent="0.25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 x14ac:dyDescent="0.2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 x14ac:dyDescent="0.25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 x14ac:dyDescent="0.25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 x14ac:dyDescent="0.25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469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 x14ac:dyDescent="0.25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 x14ac:dyDescent="0.25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 x14ac:dyDescent="0.25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 x14ac:dyDescent="0.25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 x14ac:dyDescent="0.25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 x14ac:dyDescent="0.25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 x14ac:dyDescent="0.25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 x14ac:dyDescent="0.25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 x14ac:dyDescent="0.25">
      <c r="AZ52" s="439"/>
      <c r="BA52" s="439"/>
      <c r="BB52" s="439"/>
      <c r="BS52" s="439"/>
      <c r="BT52" s="439"/>
      <c r="BU52" s="439"/>
    </row>
    <row r="53" spans="2:73" x14ac:dyDescent="0.25">
      <c r="AZ53" s="439"/>
      <c r="BA53" s="439"/>
      <c r="BB53" s="439"/>
      <c r="BS53" s="439"/>
      <c r="BT53" s="439"/>
      <c r="BU53" s="439"/>
    </row>
    <row r="54" spans="2:73" x14ac:dyDescent="0.25">
      <c r="AZ54" s="439"/>
      <c r="BA54" s="439"/>
      <c r="BB54" s="439"/>
    </row>
    <row r="55" spans="2:73" x14ac:dyDescent="0.25">
      <c r="AZ55" s="439"/>
      <c r="BA55" s="439"/>
      <c r="BB55" s="439"/>
    </row>
    <row r="56" spans="2:73" x14ac:dyDescent="0.25">
      <c r="AZ56" s="439"/>
      <c r="BA56" s="439"/>
      <c r="BB56" s="439"/>
    </row>
  </sheetData>
  <conditionalFormatting sqref="D7:D9">
    <cfRule type="cellIs" dxfId="675" priority="145" stopIfTrue="1" operator="equal">
      <formula>"ERROR"</formula>
    </cfRule>
    <cfRule type="cellIs" dxfId="674" priority="146" stopIfTrue="1" operator="equal">
      <formula>"OK"</formula>
    </cfRule>
    <cfRule type="cellIs" dxfId="673" priority="147" stopIfTrue="1" operator="equal">
      <formula>"WARNING"</formula>
    </cfRule>
  </conditionalFormatting>
  <conditionalFormatting sqref="C4">
    <cfRule type="cellIs" dxfId="672" priority="142" stopIfTrue="1" operator="equal">
      <formula>"ERROR"</formula>
    </cfRule>
    <cfRule type="cellIs" dxfId="671" priority="143" stopIfTrue="1" operator="equal">
      <formula>"OK"</formula>
    </cfRule>
    <cfRule type="cellIs" dxfId="670" priority="144" stopIfTrue="1" operator="equal">
      <formula>"WARNING"</formula>
    </cfRule>
  </conditionalFormatting>
  <conditionalFormatting sqref="C14">
    <cfRule type="cellIs" dxfId="669" priority="139" stopIfTrue="1" operator="equal">
      <formula>"ERROR"</formula>
    </cfRule>
  </conditionalFormatting>
  <conditionalFormatting sqref="C14">
    <cfRule type="cellIs" dxfId="668" priority="140" stopIfTrue="1" operator="equal">
      <formula>"OK"</formula>
    </cfRule>
  </conditionalFormatting>
  <conditionalFormatting sqref="C14">
    <cfRule type="cellIs" dxfId="667" priority="141" stopIfTrue="1" operator="equal">
      <formula>"WARNING"</formula>
    </cfRule>
  </conditionalFormatting>
  <conditionalFormatting sqref="H19">
    <cfRule type="cellIs" dxfId="666" priority="148" stopIfTrue="1" operator="equal">
      <formula>"ERROR"</formula>
    </cfRule>
    <cfRule type="cellIs" dxfId="665" priority="149" stopIfTrue="1" operator="equal">
      <formula>"OK"</formula>
    </cfRule>
    <cfRule type="cellIs" dxfId="664" priority="150" stopIfTrue="1" operator="equal">
      <formula>"WARNING"</formula>
    </cfRule>
  </conditionalFormatting>
  <conditionalFormatting sqref="C38">
    <cfRule type="cellIs" dxfId="663" priority="118" stopIfTrue="1" operator="equal">
      <formula>"ERROR"</formula>
    </cfRule>
  </conditionalFormatting>
  <conditionalFormatting sqref="C38">
    <cfRule type="cellIs" dxfId="662" priority="119" stopIfTrue="1" operator="equal">
      <formula>"OK"</formula>
    </cfRule>
  </conditionalFormatting>
  <conditionalFormatting sqref="C38">
    <cfRule type="cellIs" dxfId="661" priority="120" stopIfTrue="1" operator="equal">
      <formula>"WARNING"</formula>
    </cfRule>
  </conditionalFormatting>
  <conditionalFormatting sqref="P19">
    <cfRule type="cellIs" dxfId="660" priority="49" stopIfTrue="1" operator="equal">
      <formula>"ERROR"</formula>
    </cfRule>
    <cfRule type="cellIs" dxfId="659" priority="50" stopIfTrue="1" operator="equal">
      <formula>"OK"</formula>
    </cfRule>
    <cfRule type="cellIs" dxfId="658" priority="51" stopIfTrue="1" operator="equal">
      <formula>"WARNING"</formula>
    </cfRule>
  </conditionalFormatting>
  <conditionalFormatting sqref="Y19">
    <cfRule type="cellIs" dxfId="657" priority="46" stopIfTrue="1" operator="equal">
      <formula>"ERROR"</formula>
    </cfRule>
    <cfRule type="cellIs" dxfId="656" priority="47" stopIfTrue="1" operator="equal">
      <formula>"OK"</formula>
    </cfRule>
    <cfRule type="cellIs" dxfId="655" priority="48" stopIfTrue="1" operator="equal">
      <formula>"WARNING"</formula>
    </cfRule>
  </conditionalFormatting>
  <conditionalFormatting sqref="AG19">
    <cfRule type="cellIs" dxfId="654" priority="43" stopIfTrue="1" operator="equal">
      <formula>"ERROR"</formula>
    </cfRule>
    <cfRule type="cellIs" dxfId="653" priority="44" stopIfTrue="1" operator="equal">
      <formula>"OK"</formula>
    </cfRule>
    <cfRule type="cellIs" dxfId="652" priority="45" stopIfTrue="1" operator="equal">
      <formula>"WARNING"</formula>
    </cfRule>
  </conditionalFormatting>
  <conditionalFormatting sqref="AU19">
    <cfRule type="cellIs" dxfId="651" priority="40" stopIfTrue="1" operator="equal">
      <formula>"ERROR"</formula>
    </cfRule>
    <cfRule type="cellIs" dxfId="650" priority="41" stopIfTrue="1" operator="equal">
      <formula>"OK"</formula>
    </cfRule>
    <cfRule type="cellIs" dxfId="649" priority="42" stopIfTrue="1" operator="equal">
      <formula>"WARNING"</formula>
    </cfRule>
  </conditionalFormatting>
  <conditionalFormatting sqref="BI19">
    <cfRule type="cellIs" dxfId="648" priority="37" stopIfTrue="1" operator="equal">
      <formula>"ERROR"</formula>
    </cfRule>
    <cfRule type="cellIs" dxfId="647" priority="38" stopIfTrue="1" operator="equal">
      <formula>"OK"</formula>
    </cfRule>
    <cfRule type="cellIs" dxfId="646" priority="39" stopIfTrue="1" operator="equal">
      <formula>"WARNING"</formula>
    </cfRule>
  </conditionalFormatting>
  <conditionalFormatting sqref="CI19">
    <cfRule type="cellIs" dxfId="645" priority="34" stopIfTrue="1" operator="equal">
      <formula>"ERROR"</formula>
    </cfRule>
    <cfRule type="cellIs" dxfId="644" priority="35" stopIfTrue="1" operator="equal">
      <formula>"OK"</formula>
    </cfRule>
    <cfRule type="cellIs" dxfId="643" priority="36" stopIfTrue="1" operator="equal">
      <formula>"WARNING"</formula>
    </cfRule>
  </conditionalFormatting>
  <conditionalFormatting sqref="L43">
    <cfRule type="cellIs" dxfId="642" priority="28" stopIfTrue="1" operator="equal">
      <formula>"ERROR"</formula>
    </cfRule>
    <cfRule type="cellIs" dxfId="641" priority="29" stopIfTrue="1" operator="equal">
      <formula>"OK"</formula>
    </cfRule>
    <cfRule type="cellIs" dxfId="640" priority="30" stopIfTrue="1" operator="equal">
      <formula>"WARNING"</formula>
    </cfRule>
  </conditionalFormatting>
  <conditionalFormatting sqref="Y43">
    <cfRule type="cellIs" dxfId="639" priority="25" stopIfTrue="1" operator="equal">
      <formula>"ERROR"</formula>
    </cfRule>
    <cfRule type="cellIs" dxfId="638" priority="26" stopIfTrue="1" operator="equal">
      <formula>"OK"</formula>
    </cfRule>
    <cfRule type="cellIs" dxfId="637" priority="27" stopIfTrue="1" operator="equal">
      <formula>"WARNING"</formula>
    </cfRule>
  </conditionalFormatting>
  <conditionalFormatting sqref="AK43">
    <cfRule type="cellIs" dxfId="636" priority="22" stopIfTrue="1" operator="equal">
      <formula>"ERROR"</formula>
    </cfRule>
    <cfRule type="cellIs" dxfId="635" priority="23" stopIfTrue="1" operator="equal">
      <formula>"OK"</formula>
    </cfRule>
    <cfRule type="cellIs" dxfId="634" priority="24" stopIfTrue="1" operator="equal">
      <formula>"WARNING"</formula>
    </cfRule>
  </conditionalFormatting>
  <conditionalFormatting sqref="BC43">
    <cfRule type="cellIs" dxfId="633" priority="19" stopIfTrue="1" operator="equal">
      <formula>"ERROR"</formula>
    </cfRule>
    <cfRule type="cellIs" dxfId="632" priority="20" stopIfTrue="1" operator="equal">
      <formula>"OK"</formula>
    </cfRule>
    <cfRule type="cellIs" dxfId="631" priority="21" stopIfTrue="1" operator="equal">
      <formula>"WARNING"</formula>
    </cfRule>
  </conditionalFormatting>
  <conditionalFormatting sqref="BU43">
    <cfRule type="cellIs" dxfId="630" priority="16" stopIfTrue="1" operator="equal">
      <formula>"ERROR"</formula>
    </cfRule>
    <cfRule type="cellIs" dxfId="629" priority="17" stopIfTrue="1" operator="equal">
      <formula>"OK"</formula>
    </cfRule>
    <cfRule type="cellIs" dxfId="628" priority="18" stopIfTrue="1" operator="equal">
      <formula>"WARNING"</formula>
    </cfRule>
  </conditionalFormatting>
  <conditionalFormatting sqref="BW19">
    <cfRule type="cellIs" dxfId="627" priority="13" stopIfTrue="1" operator="equal">
      <formula>"ERROR"</formula>
    </cfRule>
    <cfRule type="cellIs" dxfId="626" priority="14" stopIfTrue="1" operator="equal">
      <formula>"OK"</formula>
    </cfRule>
    <cfRule type="cellIs" dxfId="625" priority="15" stopIfTrue="1" operator="equal">
      <formula>"WARNING"</formula>
    </cfRule>
  </conditionalFormatting>
  <conditionalFormatting sqref="C26">
    <cfRule type="cellIs" dxfId="624" priority="7" stopIfTrue="1" operator="equal">
      <formula>"ERROR"</formula>
    </cfRule>
  </conditionalFormatting>
  <conditionalFormatting sqref="C26">
    <cfRule type="cellIs" dxfId="623" priority="8" stopIfTrue="1" operator="equal">
      <formula>"OK"</formula>
    </cfRule>
  </conditionalFormatting>
  <conditionalFormatting sqref="C26">
    <cfRule type="cellIs" dxfId="622" priority="9" stopIfTrue="1" operator="equal">
      <formula>"WARNING"</formula>
    </cfRule>
  </conditionalFormatting>
  <conditionalFormatting sqref="J31">
    <cfRule type="cellIs" dxfId="621" priority="10" stopIfTrue="1" operator="equal">
      <formula>"ERROR"</formula>
    </cfRule>
    <cfRule type="cellIs" dxfId="620" priority="11" stopIfTrue="1" operator="equal">
      <formula>"OK"</formula>
    </cfRule>
    <cfRule type="cellIs" dxfId="619" priority="12" stopIfTrue="1" operator="equal">
      <formula>"WARNING"</formula>
    </cfRule>
  </conditionalFormatting>
  <conditionalFormatting sqref="X31">
    <cfRule type="cellIs" dxfId="618" priority="4" stopIfTrue="1" operator="equal">
      <formula>"ERROR"</formula>
    </cfRule>
    <cfRule type="cellIs" dxfId="617" priority="5" stopIfTrue="1" operator="equal">
      <formula>"OK"</formula>
    </cfRule>
    <cfRule type="cellIs" dxfId="616" priority="6" stopIfTrue="1" operator="equal">
      <formula>"WARNING"</formula>
    </cfRule>
  </conditionalFormatting>
  <conditionalFormatting sqref="AL31">
    <cfRule type="cellIs" dxfId="615" priority="1" stopIfTrue="1" operator="equal">
      <formula>"ERROR"</formula>
    </cfRule>
    <cfRule type="cellIs" dxfId="614" priority="2" stopIfTrue="1" operator="equal">
      <formula>"OK"</formula>
    </cfRule>
    <cfRule type="cellIs" dxfId="613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8" t="s">
        <v>389</v>
      </c>
    </row>
    <row r="2" spans="1:52" ht="26.25" x14ac:dyDescent="0.4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 x14ac:dyDescent="0.25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 x14ac:dyDescent="0.25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 x14ac:dyDescent="0.25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 x14ac:dyDescent="0.25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 x14ac:dyDescent="0.25">
      <c r="B10" s="202" t="s">
        <v>490</v>
      </c>
      <c r="C10" s="202"/>
      <c r="D10" s="202"/>
      <c r="E10" s="300" t="str">
        <f>C95</f>
        <v>Ok</v>
      </c>
    </row>
    <row r="11" spans="1:52" s="439" customFormat="1" x14ac:dyDescent="0.25"/>
    <row r="13" spans="1:52" s="298" customFormat="1" ht="18.75" x14ac:dyDescent="0.3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 x14ac:dyDescent="0.25">
      <c r="AX14" s="439"/>
    </row>
    <row r="15" spans="1:52" x14ac:dyDescent="0.25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 x14ac:dyDescent="0.25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 x14ac:dyDescent="0.2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 x14ac:dyDescent="0.25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 x14ac:dyDescent="0.25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 x14ac:dyDescent="0.25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470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471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496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 x14ac:dyDescent="0.25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 x14ac:dyDescent="0.25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 x14ac:dyDescent="0.25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 x14ac:dyDescent="0.25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 x14ac:dyDescent="0.25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 x14ac:dyDescent="0.3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 x14ac:dyDescent="0.25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 x14ac:dyDescent="0.25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 x14ac:dyDescent="0.2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 x14ac:dyDescent="0.25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 x14ac:dyDescent="0.25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 x14ac:dyDescent="0.25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 x14ac:dyDescent="0.25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 x14ac:dyDescent="0.25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 x14ac:dyDescent="0.25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 x14ac:dyDescent="0.25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 x14ac:dyDescent="0.25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 x14ac:dyDescent="0.25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 x14ac:dyDescent="0.3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 x14ac:dyDescent="0.25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 x14ac:dyDescent="0.25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 x14ac:dyDescent="0.2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484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 x14ac:dyDescent="0.25">
      <c r="B47" s="481" t="s">
        <v>489</v>
      </c>
      <c r="V47" s="481" t="s">
        <v>488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 x14ac:dyDescent="0.25">
      <c r="B48" s="481" t="s">
        <v>486</v>
      </c>
      <c r="V48" s="481" t="s">
        <v>487</v>
      </c>
    </row>
    <row r="49" spans="2:31" x14ac:dyDescent="0.25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 x14ac:dyDescent="0.25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 x14ac:dyDescent="0.25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 x14ac:dyDescent="0.25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 x14ac:dyDescent="0.25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 x14ac:dyDescent="0.25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 x14ac:dyDescent="0.25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 x14ac:dyDescent="0.25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 x14ac:dyDescent="0.25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 x14ac:dyDescent="0.25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 x14ac:dyDescent="0.25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 x14ac:dyDescent="0.25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 x14ac:dyDescent="0.25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 x14ac:dyDescent="0.25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 x14ac:dyDescent="0.25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 x14ac:dyDescent="0.25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 x14ac:dyDescent="0.25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 x14ac:dyDescent="0.25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 x14ac:dyDescent="0.25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 x14ac:dyDescent="0.25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 x14ac:dyDescent="0.25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 x14ac:dyDescent="0.25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 x14ac:dyDescent="0.25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 x14ac:dyDescent="0.25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 x14ac:dyDescent="0.25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 x14ac:dyDescent="0.25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 x14ac:dyDescent="0.25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 x14ac:dyDescent="0.25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 x14ac:dyDescent="0.25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 x14ac:dyDescent="0.25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 x14ac:dyDescent="0.25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 x14ac:dyDescent="0.25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 x14ac:dyDescent="0.25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 x14ac:dyDescent="0.25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 x14ac:dyDescent="0.25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 x14ac:dyDescent="0.25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 x14ac:dyDescent="0.25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 x14ac:dyDescent="0.25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 x14ac:dyDescent="0.25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 x14ac:dyDescent="0.3">
      <c r="B93" s="3" t="s">
        <v>490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 x14ac:dyDescent="0.25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 x14ac:dyDescent="0.25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 x14ac:dyDescent="0.25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 x14ac:dyDescent="0.25">
      <c r="B97" s="4" t="s">
        <v>495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494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497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 x14ac:dyDescent="0.25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 x14ac:dyDescent="0.25">
      <c r="B99" s="403" t="s">
        <v>227</v>
      </c>
      <c r="C99" s="439"/>
      <c r="D99" s="439"/>
      <c r="E99" s="121" t="s">
        <v>115</v>
      </c>
      <c r="F99" s="122"/>
      <c r="H99" s="122" t="s">
        <v>493</v>
      </c>
      <c r="I99" s="121" t="s">
        <v>492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 x14ac:dyDescent="0.25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470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496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 x14ac:dyDescent="0.25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 x14ac:dyDescent="0.25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 x14ac:dyDescent="0.25">
      <c r="B103" s="562" t="s">
        <v>491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491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491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 x14ac:dyDescent="0.25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 x14ac:dyDescent="0.25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 x14ac:dyDescent="0.25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 x14ac:dyDescent="0.25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 x14ac:dyDescent="0.25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 x14ac:dyDescent="0.25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 x14ac:dyDescent="0.25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 x14ac:dyDescent="0.25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 x14ac:dyDescent="0.25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 x14ac:dyDescent="0.25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 x14ac:dyDescent="0.25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 x14ac:dyDescent="0.25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 x14ac:dyDescent="0.25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 x14ac:dyDescent="0.25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 x14ac:dyDescent="0.25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 x14ac:dyDescent="0.25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 x14ac:dyDescent="0.25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 x14ac:dyDescent="0.25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 x14ac:dyDescent="0.25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 x14ac:dyDescent="0.25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 x14ac:dyDescent="0.25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 x14ac:dyDescent="0.25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 x14ac:dyDescent="0.25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 x14ac:dyDescent="0.25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 x14ac:dyDescent="0.25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 x14ac:dyDescent="0.25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 x14ac:dyDescent="0.25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 x14ac:dyDescent="0.25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 x14ac:dyDescent="0.25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 x14ac:dyDescent="0.25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 x14ac:dyDescent="0.25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612" priority="106" stopIfTrue="1" operator="equal">
      <formula>"ERROR"</formula>
    </cfRule>
    <cfRule type="cellIs" dxfId="611" priority="107" stopIfTrue="1" operator="equal">
      <formula>"OK"</formula>
    </cfRule>
    <cfRule type="cellIs" dxfId="610" priority="108" stopIfTrue="1" operator="equal">
      <formula>"WARNING"</formula>
    </cfRule>
  </conditionalFormatting>
  <conditionalFormatting sqref="C4">
    <cfRule type="cellIs" dxfId="609" priority="103" stopIfTrue="1" operator="equal">
      <formula>"ERROR"</formula>
    </cfRule>
    <cfRule type="cellIs" dxfId="608" priority="104" stopIfTrue="1" operator="equal">
      <formula>"OK"</formula>
    </cfRule>
    <cfRule type="cellIs" dxfId="607" priority="105" stopIfTrue="1" operator="equal">
      <formula>"WARNING"</formula>
    </cfRule>
  </conditionalFormatting>
  <conditionalFormatting sqref="C15">
    <cfRule type="cellIs" dxfId="606" priority="100" stopIfTrue="1" operator="equal">
      <formula>"ERROR"</formula>
    </cfRule>
  </conditionalFormatting>
  <conditionalFormatting sqref="C15">
    <cfRule type="cellIs" dxfId="605" priority="101" stopIfTrue="1" operator="equal">
      <formula>"OK"</formula>
    </cfRule>
  </conditionalFormatting>
  <conditionalFormatting sqref="C15">
    <cfRule type="cellIs" dxfId="604" priority="102" stopIfTrue="1" operator="equal">
      <formula>"WARNING"</formula>
    </cfRule>
  </conditionalFormatting>
  <conditionalFormatting sqref="L20:N22">
    <cfRule type="cellIs" dxfId="603" priority="109" stopIfTrue="1" operator="equal">
      <formula>"ERROR"</formula>
    </cfRule>
    <cfRule type="cellIs" dxfId="602" priority="110" stopIfTrue="1" operator="equal">
      <formula>"OK"</formula>
    </cfRule>
    <cfRule type="cellIs" dxfId="601" priority="111" stopIfTrue="1" operator="equal">
      <formula>"WARNING"</formula>
    </cfRule>
  </conditionalFormatting>
  <conditionalFormatting sqref="E9">
    <cfRule type="cellIs" dxfId="600" priority="61" stopIfTrue="1" operator="equal">
      <formula>"ERROR"</formula>
    </cfRule>
    <cfRule type="cellIs" dxfId="599" priority="62" stopIfTrue="1" operator="equal">
      <formula>"OK"</formula>
    </cfRule>
    <cfRule type="cellIs" dxfId="598" priority="63" stopIfTrue="1" operator="equal">
      <formula>"WARNING"</formula>
    </cfRule>
  </conditionalFormatting>
  <conditionalFormatting sqref="Z20">
    <cfRule type="cellIs" dxfId="597" priority="58" stopIfTrue="1" operator="equal">
      <formula>"ERROR"</formula>
    </cfRule>
    <cfRule type="cellIs" dxfId="596" priority="59" stopIfTrue="1" operator="equal">
      <formula>"OK"</formula>
    </cfRule>
    <cfRule type="cellIs" dxfId="595" priority="60" stopIfTrue="1" operator="equal">
      <formula>"WARNING"</formula>
    </cfRule>
  </conditionalFormatting>
  <conditionalFormatting sqref="AL20">
    <cfRule type="cellIs" dxfId="594" priority="55" stopIfTrue="1" operator="equal">
      <formula>"ERROR"</formula>
    </cfRule>
    <cfRule type="cellIs" dxfId="593" priority="56" stopIfTrue="1" operator="equal">
      <formula>"OK"</formula>
    </cfRule>
    <cfRule type="cellIs" dxfId="592" priority="57" stopIfTrue="1" operator="equal">
      <formula>"WARNING"</formula>
    </cfRule>
  </conditionalFormatting>
  <conditionalFormatting sqref="AZ20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28">
    <cfRule type="cellIs" dxfId="588" priority="46" stopIfTrue="1" operator="equal">
      <formula>"ERROR"</formula>
    </cfRule>
  </conditionalFormatting>
  <conditionalFormatting sqref="C28">
    <cfRule type="cellIs" dxfId="587" priority="47" stopIfTrue="1" operator="equal">
      <formula>"OK"</formula>
    </cfRule>
  </conditionalFormatting>
  <conditionalFormatting sqref="C28">
    <cfRule type="cellIs" dxfId="586" priority="48" stopIfTrue="1" operator="equal">
      <formula>"WARNING"</formula>
    </cfRule>
  </conditionalFormatting>
  <conditionalFormatting sqref="L34:M35">
    <cfRule type="cellIs" dxfId="585" priority="49" stopIfTrue="1" operator="equal">
      <formula>"ERROR"</formula>
    </cfRule>
    <cfRule type="cellIs" dxfId="584" priority="50" stopIfTrue="1" operator="equal">
      <formula>"OK"</formula>
    </cfRule>
    <cfRule type="cellIs" dxfId="583" priority="51" stopIfTrue="1" operator="equal">
      <formula>"WARNING"</formula>
    </cfRule>
  </conditionalFormatting>
  <conditionalFormatting sqref="AB34:AD36">
    <cfRule type="cellIs" dxfId="582" priority="34" stopIfTrue="1" operator="equal">
      <formula>"ERROR"</formula>
    </cfRule>
    <cfRule type="cellIs" dxfId="581" priority="35" stopIfTrue="1" operator="equal">
      <formula>"OK"</formula>
    </cfRule>
    <cfRule type="cellIs" dxfId="580" priority="36" stopIfTrue="1" operator="equal">
      <formula>"WARNING"</formula>
    </cfRule>
  </conditionalFormatting>
  <conditionalFormatting sqref="C44">
    <cfRule type="cellIs" dxfId="579" priority="31" stopIfTrue="1" operator="equal">
      <formula>"ERROR"</formula>
    </cfRule>
  </conditionalFormatting>
  <conditionalFormatting sqref="C44">
    <cfRule type="cellIs" dxfId="578" priority="32" stopIfTrue="1" operator="equal">
      <formula>"OK"</formula>
    </cfRule>
  </conditionalFormatting>
  <conditionalFormatting sqref="C44">
    <cfRule type="cellIs" dxfId="577" priority="33" stopIfTrue="1" operator="equal">
      <formula>"WARNING"</formula>
    </cfRule>
  </conditionalFormatting>
  <conditionalFormatting sqref="J53:K53">
    <cfRule type="cellIs" dxfId="576" priority="28" stopIfTrue="1" operator="equal">
      <formula>"ERROR"</formula>
    </cfRule>
    <cfRule type="cellIs" dxfId="575" priority="29" stopIfTrue="1" operator="equal">
      <formula>"OK"</formula>
    </cfRule>
    <cfRule type="cellIs" dxfId="574" priority="30" stopIfTrue="1" operator="equal">
      <formula>"WARNING"</formula>
    </cfRule>
  </conditionalFormatting>
  <conditionalFormatting sqref="S53:T53">
    <cfRule type="cellIs" dxfId="573" priority="25" stopIfTrue="1" operator="equal">
      <formula>"ERROR"</formula>
    </cfRule>
    <cfRule type="cellIs" dxfId="572" priority="26" stopIfTrue="1" operator="equal">
      <formula>"OK"</formula>
    </cfRule>
    <cfRule type="cellIs" dxfId="571" priority="27" stopIfTrue="1" operator="equal">
      <formula>"WARNING"</formula>
    </cfRule>
  </conditionalFormatting>
  <conditionalFormatting sqref="AD53:AE53">
    <cfRule type="cellIs" dxfId="570" priority="16" stopIfTrue="1" operator="equal">
      <formula>"ERROR"</formula>
    </cfRule>
    <cfRule type="cellIs" dxfId="569" priority="17" stopIfTrue="1" operator="equal">
      <formula>"OK"</formula>
    </cfRule>
    <cfRule type="cellIs" dxfId="568" priority="18" stopIfTrue="1" operator="equal">
      <formula>"WARNING"</formula>
    </cfRule>
  </conditionalFormatting>
  <conditionalFormatting sqref="C95">
    <cfRule type="cellIs" dxfId="567" priority="13" stopIfTrue="1" operator="equal">
      <formula>"ERROR"</formula>
    </cfRule>
  </conditionalFormatting>
  <conditionalFormatting sqref="C95">
    <cfRule type="cellIs" dxfId="566" priority="14" stopIfTrue="1" operator="equal">
      <formula>"OK"</formula>
    </cfRule>
  </conditionalFormatting>
  <conditionalFormatting sqref="C95">
    <cfRule type="cellIs" dxfId="565" priority="15" stopIfTrue="1" operator="equal">
      <formula>"WARNING"</formula>
    </cfRule>
  </conditionalFormatting>
  <conditionalFormatting sqref="S103 U100">
    <cfRule type="cellIs" dxfId="564" priority="7" stopIfTrue="1" operator="equal">
      <formula>"ERROR"</formula>
    </cfRule>
    <cfRule type="cellIs" dxfId="563" priority="8" stopIfTrue="1" operator="equal">
      <formula>"OK"</formula>
    </cfRule>
    <cfRule type="cellIs" dxfId="562" priority="9" stopIfTrue="1" operator="equal">
      <formula>"WARNING"</formula>
    </cfRule>
  </conditionalFormatting>
  <conditionalFormatting sqref="E10">
    <cfRule type="cellIs" dxfId="561" priority="4" stopIfTrue="1" operator="equal">
      <formula>"ERROR"</formula>
    </cfRule>
    <cfRule type="cellIs" dxfId="560" priority="5" stopIfTrue="1" operator="equal">
      <formula>"OK"</formula>
    </cfRule>
    <cfRule type="cellIs" dxfId="559" priority="6" stopIfTrue="1" operator="equal">
      <formula>"WARNING"</formula>
    </cfRule>
  </conditionalFormatting>
  <conditionalFormatting sqref="AD103 AJ100">
    <cfRule type="cellIs" dxfId="558" priority="1" stopIfTrue="1" operator="equal">
      <formula>"ERROR"</formula>
    </cfRule>
    <cfRule type="cellIs" dxfId="557" priority="2" stopIfTrue="1" operator="equal">
      <formula>"OK"</formula>
    </cfRule>
    <cfRule type="cellIs" dxfId="556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topLeftCell="L1" zoomScaleNormal="100" workbookViewId="0">
      <selection activeCell="I14" sqref="I13:U14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389</v>
      </c>
    </row>
    <row r="2" spans="1:72" ht="26.25" x14ac:dyDescent="0.4">
      <c r="B2" s="2" t="s">
        <v>519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520</v>
      </c>
      <c r="C14" s="307"/>
      <c r="D14" s="307"/>
      <c r="E14" s="307"/>
      <c r="F14" s="307"/>
      <c r="G14" s="307"/>
      <c r="H14" s="307"/>
      <c r="I14" s="307"/>
      <c r="K14" s="4" t="s">
        <v>521</v>
      </c>
      <c r="L14" s="307"/>
      <c r="M14" s="307"/>
      <c r="N14" s="307"/>
      <c r="O14" s="307"/>
      <c r="P14" s="307"/>
      <c r="Q14" s="307"/>
      <c r="R14" s="307"/>
      <c r="S14" s="307"/>
      <c r="U14" s="4" t="s">
        <v>513</v>
      </c>
      <c r="V14" s="307"/>
      <c r="W14" s="307"/>
      <c r="X14" s="307"/>
      <c r="Y14" s="307"/>
      <c r="Z14" s="307"/>
      <c r="AA14" s="307"/>
      <c r="AB14" s="307"/>
      <c r="AD14" s="4" t="s">
        <v>517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227</v>
      </c>
      <c r="C16" s="122"/>
      <c r="D16" s="298"/>
      <c r="E16" s="121" t="s">
        <v>67</v>
      </c>
      <c r="F16" s="121" t="s">
        <v>425</v>
      </c>
      <c r="G16" s="121" t="s">
        <v>426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 x14ac:dyDescent="0.25">
      <c r="B17" s="441" t="s">
        <v>422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422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507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422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514</v>
      </c>
      <c r="AA17" s="462"/>
      <c r="AB17" s="338" t="str" cm="1">
        <f t="array" ref="AB17">_xll.d.TestUtils_Equal(X17,Z17)</f>
        <v>Ok</v>
      </c>
      <c r="AD17" s="441" t="s">
        <v>422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518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423</v>
      </c>
      <c r="C18" s="126">
        <v>100</v>
      </c>
      <c r="D18" s="298"/>
      <c r="K18" s="442" t="s">
        <v>423</v>
      </c>
      <c r="L18" s="126">
        <v>100</v>
      </c>
      <c r="M18" s="298"/>
      <c r="N18" s="125" t="str">
        <v>d1</v>
      </c>
      <c r="O18" s="577">
        <v>1.0422804977154678</v>
      </c>
      <c r="P18" s="125" t="s">
        <v>508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423</v>
      </c>
      <c r="V18" s="126">
        <v>100</v>
      </c>
      <c r="W18" s="298"/>
      <c r="AD18" s="442" t="s">
        <v>423</v>
      </c>
      <c r="AE18" s="126">
        <v>100</v>
      </c>
      <c r="AF18" s="298"/>
    </row>
    <row r="19" spans="2:37" x14ac:dyDescent="0.25">
      <c r="B19" s="442" t="s">
        <v>432</v>
      </c>
      <c r="C19" s="126">
        <v>0.1</v>
      </c>
      <c r="D19" s="298"/>
      <c r="K19" s="442" t="s">
        <v>432</v>
      </c>
      <c r="L19" s="126">
        <v>0.1</v>
      </c>
      <c r="M19" s="298"/>
      <c r="N19" s="125" t="str">
        <v>d2</v>
      </c>
      <c r="O19" s="577">
        <v>0.29817029082404245</v>
      </c>
      <c r="P19" s="125" t="s">
        <v>509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432</v>
      </c>
      <c r="V19" s="126">
        <v>0.1</v>
      </c>
      <c r="W19" s="298"/>
      <c r="AD19" s="442" t="s">
        <v>432</v>
      </c>
      <c r="AE19" s="126">
        <v>0.1</v>
      </c>
      <c r="AF19" s="298"/>
    </row>
    <row r="20" spans="2:37" x14ac:dyDescent="0.25">
      <c r="B20" s="442" t="s">
        <v>431</v>
      </c>
      <c r="C20" s="126">
        <v>0.03</v>
      </c>
      <c r="D20" s="298"/>
      <c r="E20" s="299"/>
      <c r="K20" s="442" t="s">
        <v>431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510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431</v>
      </c>
      <c r="V20" s="126">
        <v>0.03</v>
      </c>
      <c r="W20" s="298"/>
      <c r="AD20" s="442" t="s">
        <v>431</v>
      </c>
      <c r="AE20" s="126">
        <v>0.03</v>
      </c>
      <c r="AF20" s="298"/>
    </row>
    <row r="21" spans="2:37" x14ac:dyDescent="0.25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 x14ac:dyDescent="0.25">
      <c r="B22" s="442" t="s">
        <v>424</v>
      </c>
      <c r="C22" s="126">
        <v>4.5199999999999996</v>
      </c>
      <c r="D22" s="298"/>
      <c r="E22" s="299"/>
      <c r="K22" s="442" t="s">
        <v>424</v>
      </c>
      <c r="L22" s="126">
        <v>4.5199999999999996</v>
      </c>
      <c r="M22" s="298"/>
      <c r="U22" s="442" t="s">
        <v>424</v>
      </c>
      <c r="V22" s="126">
        <v>4.5199999999999996</v>
      </c>
      <c r="W22" s="298"/>
      <c r="AD22" s="442" t="s">
        <v>424</v>
      </c>
      <c r="AE22" s="126">
        <v>4.5199999999999996</v>
      </c>
      <c r="AF22" s="298"/>
    </row>
    <row r="23" spans="2:37" x14ac:dyDescent="0.25">
      <c r="B23" s="442" t="s">
        <v>421</v>
      </c>
      <c r="C23" s="126" t="s">
        <v>428</v>
      </c>
      <c r="D23" s="298"/>
      <c r="E23" s="299"/>
      <c r="K23" s="442" t="s">
        <v>421</v>
      </c>
      <c r="L23" s="126" t="s">
        <v>428</v>
      </c>
      <c r="M23" s="298"/>
      <c r="U23" s="442" t="s">
        <v>421</v>
      </c>
      <c r="V23" s="126" t="s">
        <v>512</v>
      </c>
      <c r="W23" s="298"/>
      <c r="AD23" s="442" t="s">
        <v>421</v>
      </c>
      <c r="AE23" s="126" t="s">
        <v>428</v>
      </c>
      <c r="AF23" s="298"/>
    </row>
    <row r="24" spans="2:37" x14ac:dyDescent="0.25">
      <c r="B24" s="443" t="s">
        <v>427</v>
      </c>
      <c r="C24" s="128" t="s">
        <v>429</v>
      </c>
      <c r="D24" s="298"/>
      <c r="E24" s="299"/>
      <c r="F24" s="299"/>
      <c r="G24" s="299"/>
      <c r="K24" s="443" t="s">
        <v>427</v>
      </c>
      <c r="L24" s="128" t="s">
        <v>429</v>
      </c>
      <c r="M24" s="298"/>
      <c r="U24" s="443" t="s">
        <v>427</v>
      </c>
      <c r="V24" s="128" t="s">
        <v>429</v>
      </c>
      <c r="W24" s="298"/>
      <c r="AD24" s="443" t="s">
        <v>427</v>
      </c>
      <c r="AE24" s="128" t="s">
        <v>512</v>
      </c>
      <c r="AF24" s="298"/>
    </row>
    <row r="25" spans="2:37" x14ac:dyDescent="0.25">
      <c r="D25" s="298"/>
      <c r="E25" s="299"/>
      <c r="F25" s="299"/>
      <c r="G25" s="299"/>
    </row>
    <row r="26" spans="2:37" x14ac:dyDescent="0.25">
      <c r="D26" s="298"/>
      <c r="E26" s="299"/>
      <c r="F26" s="299"/>
      <c r="G26" s="299"/>
    </row>
    <row r="27" spans="2:37" x14ac:dyDescent="0.25">
      <c r="E27" s="299"/>
      <c r="F27" s="299"/>
      <c r="G27" s="299"/>
    </row>
  </sheetData>
  <conditionalFormatting sqref="D7">
    <cfRule type="cellIs" dxfId="555" priority="52" stopIfTrue="1" operator="equal">
      <formula>"ERROR"</formula>
    </cfRule>
    <cfRule type="cellIs" dxfId="554" priority="53" stopIfTrue="1" operator="equal">
      <formula>"OK"</formula>
    </cfRule>
    <cfRule type="cellIs" dxfId="553" priority="54" stopIfTrue="1" operator="equal">
      <formula>"WARNING"</formula>
    </cfRule>
  </conditionalFormatting>
  <conditionalFormatting sqref="C4">
    <cfRule type="cellIs" dxfId="552" priority="49" stopIfTrue="1" operator="equal">
      <formula>"ERROR"</formula>
    </cfRule>
    <cfRule type="cellIs" dxfId="551" priority="50" stopIfTrue="1" operator="equal">
      <formula>"OK"</formula>
    </cfRule>
    <cfRule type="cellIs" dxfId="550" priority="51" stopIfTrue="1" operator="equal">
      <formula>"WARNING"</formula>
    </cfRule>
  </conditionalFormatting>
  <conditionalFormatting sqref="C12">
    <cfRule type="cellIs" dxfId="549" priority="46" stopIfTrue="1" operator="equal">
      <formula>"ERROR"</formula>
    </cfRule>
  </conditionalFormatting>
  <conditionalFormatting sqref="C12">
    <cfRule type="cellIs" dxfId="548" priority="47" stopIfTrue="1" operator="equal">
      <formula>"OK"</formula>
    </cfRule>
  </conditionalFormatting>
  <conditionalFormatting sqref="C12">
    <cfRule type="cellIs" dxfId="547" priority="48" stopIfTrue="1" operator="equal">
      <formula>"WARNING"</formula>
    </cfRule>
  </conditionalFormatting>
  <conditionalFormatting sqref="I17:J17 T17">
    <cfRule type="cellIs" dxfId="546" priority="58" stopIfTrue="1" operator="equal">
      <formula>"ERROR"</formula>
    </cfRule>
    <cfRule type="cellIs" dxfId="545" priority="59" stopIfTrue="1" operator="equal">
      <formula>"OK"</formula>
    </cfRule>
    <cfRule type="cellIs" dxfId="544" priority="60" stopIfTrue="1" operator="equal">
      <formula>"WARNING"</formula>
    </cfRule>
  </conditionalFormatting>
  <conditionalFormatting sqref="AB17">
    <cfRule type="cellIs" dxfId="543" priority="34" stopIfTrue="1" operator="equal">
      <formula>"ERROR"</formula>
    </cfRule>
    <cfRule type="cellIs" dxfId="542" priority="35" stopIfTrue="1" operator="equal">
      <formula>"OK"</formula>
    </cfRule>
    <cfRule type="cellIs" dxfId="541" priority="36" stopIfTrue="1" operator="equal">
      <formula>"WARNING"</formula>
    </cfRule>
  </conditionalFormatting>
  <conditionalFormatting sqref="AK17">
    <cfRule type="cellIs" dxfId="540" priority="28" stopIfTrue="1" operator="equal">
      <formula>"ERROR"</formula>
    </cfRule>
    <cfRule type="cellIs" dxfId="539" priority="29" stopIfTrue="1" operator="equal">
      <formula>"OK"</formula>
    </cfRule>
    <cfRule type="cellIs" dxfId="538" priority="30" stopIfTrue="1" operator="equal">
      <formula>"WARNING"</formula>
    </cfRule>
  </conditionalFormatting>
  <conditionalFormatting sqref="R17:S20">
    <cfRule type="cellIs" dxfId="537" priority="22" stopIfTrue="1" operator="equal">
      <formula>"ERROR"</formula>
    </cfRule>
    <cfRule type="cellIs" dxfId="536" priority="23" stopIfTrue="1" operator="equal">
      <formula>"OK"</formula>
    </cfRule>
    <cfRule type="cellIs" dxfId="535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F19" sqref="F19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08" t="s">
        <v>389</v>
      </c>
    </row>
    <row r="2" spans="1:65" ht="26.25" x14ac:dyDescent="0.4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 x14ac:dyDescent="0.2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 x14ac:dyDescent="0.2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 x14ac:dyDescent="0.2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 x14ac:dyDescent="0.2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 x14ac:dyDescent="0.2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 x14ac:dyDescent="0.25">
      <c r="G9" s="298"/>
      <c r="H9" s="298"/>
      <c r="I9" s="298"/>
    </row>
    <row r="10" spans="1:65" s="298" customFormat="1" ht="18.75" x14ac:dyDescent="0.3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 x14ac:dyDescent="0.25">
      <c r="A12"/>
      <c r="B12" s="50" t="s">
        <v>141</v>
      </c>
      <c r="C12" s="300" t="str" cm="1">
        <f t="array" ref="C12">_xll.d.TestUtils_And(H17,S17,Z17)</f>
        <v>Ok</v>
      </c>
    </row>
    <row r="13" spans="1:65" x14ac:dyDescent="0.2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 x14ac:dyDescent="0.25">
      <c r="B14" s="4" t="s">
        <v>414</v>
      </c>
      <c r="C14" s="307"/>
      <c r="D14" s="307"/>
      <c r="E14" s="307"/>
      <c r="F14" s="307"/>
      <c r="G14" s="307"/>
      <c r="H14" s="307"/>
      <c r="I14" s="417"/>
      <c r="J14" s="4" t="s">
        <v>415</v>
      </c>
      <c r="K14" s="4"/>
      <c r="L14" s="4"/>
      <c r="M14" s="417"/>
      <c r="N14" s="4" t="s">
        <v>418</v>
      </c>
      <c r="O14" s="307"/>
      <c r="P14" s="307"/>
      <c r="Q14" s="307"/>
      <c r="R14" s="307"/>
      <c r="S14" s="307"/>
      <c r="T14" s="417"/>
      <c r="U14" s="4" t="s">
        <v>419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 x14ac:dyDescent="0.25">
      <c r="B15" s="298"/>
      <c r="C15" s="298"/>
      <c r="D15" s="298"/>
      <c r="E15" s="298"/>
      <c r="F15" s="298"/>
      <c r="G15" s="416" t="s">
        <v>407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 x14ac:dyDescent="0.2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575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 x14ac:dyDescent="0.2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576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417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420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 x14ac:dyDescent="0.25">
      <c r="B18" s="125" t="s">
        <v>399</v>
      </c>
      <c r="C18" s="313">
        <v>45930</v>
      </c>
      <c r="E18" s="298"/>
      <c r="F18" s="896" t="s">
        <v>669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 x14ac:dyDescent="0.25">
      <c r="B19" s="125" t="s">
        <v>408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408</v>
      </c>
      <c r="O19" s="436">
        <f>C19</f>
        <v>250</v>
      </c>
      <c r="P19" s="417"/>
      <c r="Q19" s="417"/>
      <c r="R19" s="417"/>
      <c r="S19" s="417"/>
      <c r="T19" s="417"/>
      <c r="U19" s="125" t="s">
        <v>408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 x14ac:dyDescent="0.25">
      <c r="B20" s="125" t="s">
        <v>409</v>
      </c>
      <c r="C20" s="313" t="s">
        <v>430</v>
      </c>
      <c r="N20" s="125" t="s">
        <v>409</v>
      </c>
      <c r="O20" s="313" t="s">
        <v>416</v>
      </c>
      <c r="U20" s="125" t="s">
        <v>409</v>
      </c>
      <c r="V20" s="313" t="s">
        <v>410</v>
      </c>
    </row>
    <row r="21" spans="2:65" s="417" customFormat="1" x14ac:dyDescent="0.25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 x14ac:dyDescent="0.25"/>
    <row r="23" spans="2:65" s="417" customFormat="1" x14ac:dyDescent="0.25"/>
    <row r="24" spans="2:65" x14ac:dyDescent="0.2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 x14ac:dyDescent="0.2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 x14ac:dyDescent="0.2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 x14ac:dyDescent="0.2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 x14ac:dyDescent="0.2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 x14ac:dyDescent="0.2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 x14ac:dyDescent="0.2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 x14ac:dyDescent="0.2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 x14ac:dyDescent="0.2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 x14ac:dyDescent="0.25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 x14ac:dyDescent="0.25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 x14ac:dyDescent="0.25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 x14ac:dyDescent="0.25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 x14ac:dyDescent="0.25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 x14ac:dyDescent="0.25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 x14ac:dyDescent="0.25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 x14ac:dyDescent="0.25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 x14ac:dyDescent="0.25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 x14ac:dyDescent="0.25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 x14ac:dyDescent="0.25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 x14ac:dyDescent="0.25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 x14ac:dyDescent="0.25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 x14ac:dyDescent="0.25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 x14ac:dyDescent="0.25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 x14ac:dyDescent="0.25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 x14ac:dyDescent="0.25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 x14ac:dyDescent="0.25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 x14ac:dyDescent="0.25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 x14ac:dyDescent="0.25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 x14ac:dyDescent="0.25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 x14ac:dyDescent="0.25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 x14ac:dyDescent="0.25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 x14ac:dyDescent="0.25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 x14ac:dyDescent="0.25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 x14ac:dyDescent="0.25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 x14ac:dyDescent="0.25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 x14ac:dyDescent="0.25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 x14ac:dyDescent="0.25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 x14ac:dyDescent="0.25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 x14ac:dyDescent="0.25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 x14ac:dyDescent="0.25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 x14ac:dyDescent="0.25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 x14ac:dyDescent="0.25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 x14ac:dyDescent="0.25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 x14ac:dyDescent="0.25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 x14ac:dyDescent="0.25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 x14ac:dyDescent="0.25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 x14ac:dyDescent="0.25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 x14ac:dyDescent="0.25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 x14ac:dyDescent="0.25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 x14ac:dyDescent="0.25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 x14ac:dyDescent="0.25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 x14ac:dyDescent="0.25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 x14ac:dyDescent="0.25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 x14ac:dyDescent="0.25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 x14ac:dyDescent="0.25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 x14ac:dyDescent="0.25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 x14ac:dyDescent="0.25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 x14ac:dyDescent="0.25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 x14ac:dyDescent="0.25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 x14ac:dyDescent="0.25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 x14ac:dyDescent="0.25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 x14ac:dyDescent="0.25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 x14ac:dyDescent="0.25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 x14ac:dyDescent="0.25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 x14ac:dyDescent="0.25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 x14ac:dyDescent="0.25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 x14ac:dyDescent="0.25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 x14ac:dyDescent="0.25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 x14ac:dyDescent="0.25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 x14ac:dyDescent="0.25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 x14ac:dyDescent="0.25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 x14ac:dyDescent="0.25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 x14ac:dyDescent="0.25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 x14ac:dyDescent="0.25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 x14ac:dyDescent="0.25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 x14ac:dyDescent="0.25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 x14ac:dyDescent="0.25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 x14ac:dyDescent="0.25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 x14ac:dyDescent="0.25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 x14ac:dyDescent="0.25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 x14ac:dyDescent="0.25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 x14ac:dyDescent="0.25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 x14ac:dyDescent="0.25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 x14ac:dyDescent="0.25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 x14ac:dyDescent="0.25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 x14ac:dyDescent="0.25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 x14ac:dyDescent="0.25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 x14ac:dyDescent="0.25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 x14ac:dyDescent="0.25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 x14ac:dyDescent="0.25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 x14ac:dyDescent="0.25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 x14ac:dyDescent="0.25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 x14ac:dyDescent="0.25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 x14ac:dyDescent="0.25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 x14ac:dyDescent="0.25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 x14ac:dyDescent="0.25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 x14ac:dyDescent="0.25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 x14ac:dyDescent="0.25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 x14ac:dyDescent="0.25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 x14ac:dyDescent="0.25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 x14ac:dyDescent="0.25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 x14ac:dyDescent="0.25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 x14ac:dyDescent="0.25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 x14ac:dyDescent="0.25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 x14ac:dyDescent="0.25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 x14ac:dyDescent="0.25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 x14ac:dyDescent="0.25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 x14ac:dyDescent="0.25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 x14ac:dyDescent="0.25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 x14ac:dyDescent="0.25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 x14ac:dyDescent="0.25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 x14ac:dyDescent="0.25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 x14ac:dyDescent="0.25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 x14ac:dyDescent="0.25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 x14ac:dyDescent="0.25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 x14ac:dyDescent="0.25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 x14ac:dyDescent="0.25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 x14ac:dyDescent="0.25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 x14ac:dyDescent="0.25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 x14ac:dyDescent="0.25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 x14ac:dyDescent="0.25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 x14ac:dyDescent="0.25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 x14ac:dyDescent="0.25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 x14ac:dyDescent="0.25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 x14ac:dyDescent="0.25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 x14ac:dyDescent="0.25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 x14ac:dyDescent="0.25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 x14ac:dyDescent="0.25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 x14ac:dyDescent="0.25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 x14ac:dyDescent="0.25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 x14ac:dyDescent="0.25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 x14ac:dyDescent="0.25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 x14ac:dyDescent="0.25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 x14ac:dyDescent="0.25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 x14ac:dyDescent="0.25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 x14ac:dyDescent="0.25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 x14ac:dyDescent="0.25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 x14ac:dyDescent="0.25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 x14ac:dyDescent="0.25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 x14ac:dyDescent="0.25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 x14ac:dyDescent="0.25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 x14ac:dyDescent="0.25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 x14ac:dyDescent="0.25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 x14ac:dyDescent="0.25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 x14ac:dyDescent="0.25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 x14ac:dyDescent="0.25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 x14ac:dyDescent="0.25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 x14ac:dyDescent="0.25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 x14ac:dyDescent="0.25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 x14ac:dyDescent="0.25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 x14ac:dyDescent="0.25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 x14ac:dyDescent="0.25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 x14ac:dyDescent="0.25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 x14ac:dyDescent="0.25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 x14ac:dyDescent="0.25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 x14ac:dyDescent="0.25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 x14ac:dyDescent="0.25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 x14ac:dyDescent="0.25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 x14ac:dyDescent="0.25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 x14ac:dyDescent="0.25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 x14ac:dyDescent="0.25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 x14ac:dyDescent="0.25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 x14ac:dyDescent="0.25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 x14ac:dyDescent="0.25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 x14ac:dyDescent="0.25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 x14ac:dyDescent="0.25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 x14ac:dyDescent="0.25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 x14ac:dyDescent="0.25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 x14ac:dyDescent="0.25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 x14ac:dyDescent="0.25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 x14ac:dyDescent="0.25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 x14ac:dyDescent="0.25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 x14ac:dyDescent="0.25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 x14ac:dyDescent="0.25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 x14ac:dyDescent="0.25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 x14ac:dyDescent="0.25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 x14ac:dyDescent="0.25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 x14ac:dyDescent="0.25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 x14ac:dyDescent="0.25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 x14ac:dyDescent="0.25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 x14ac:dyDescent="0.25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 x14ac:dyDescent="0.25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 x14ac:dyDescent="0.25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 x14ac:dyDescent="0.25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 x14ac:dyDescent="0.25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 x14ac:dyDescent="0.25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 x14ac:dyDescent="0.25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 x14ac:dyDescent="0.25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 x14ac:dyDescent="0.25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 x14ac:dyDescent="0.25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 x14ac:dyDescent="0.25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 x14ac:dyDescent="0.25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 x14ac:dyDescent="0.25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 x14ac:dyDescent="0.25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 x14ac:dyDescent="0.25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 x14ac:dyDescent="0.25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 x14ac:dyDescent="0.25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 x14ac:dyDescent="0.25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 x14ac:dyDescent="0.25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 x14ac:dyDescent="0.25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 x14ac:dyDescent="0.25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 x14ac:dyDescent="0.25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 x14ac:dyDescent="0.25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 x14ac:dyDescent="0.25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 x14ac:dyDescent="0.25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 x14ac:dyDescent="0.25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 x14ac:dyDescent="0.25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 x14ac:dyDescent="0.25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 x14ac:dyDescent="0.25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 x14ac:dyDescent="0.25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 x14ac:dyDescent="0.25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 x14ac:dyDescent="0.25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 x14ac:dyDescent="0.25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 x14ac:dyDescent="0.25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 x14ac:dyDescent="0.25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 x14ac:dyDescent="0.25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 x14ac:dyDescent="0.25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 x14ac:dyDescent="0.25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 x14ac:dyDescent="0.25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 x14ac:dyDescent="0.25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 x14ac:dyDescent="0.25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 x14ac:dyDescent="0.25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 x14ac:dyDescent="0.25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 x14ac:dyDescent="0.25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 x14ac:dyDescent="0.25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 x14ac:dyDescent="0.25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 x14ac:dyDescent="0.25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 x14ac:dyDescent="0.25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 x14ac:dyDescent="0.25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 x14ac:dyDescent="0.25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 x14ac:dyDescent="0.25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 x14ac:dyDescent="0.25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 x14ac:dyDescent="0.25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 x14ac:dyDescent="0.25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 x14ac:dyDescent="0.25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 x14ac:dyDescent="0.25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 x14ac:dyDescent="0.25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 x14ac:dyDescent="0.25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 x14ac:dyDescent="0.25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 x14ac:dyDescent="0.25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 x14ac:dyDescent="0.25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 x14ac:dyDescent="0.25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 x14ac:dyDescent="0.25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 x14ac:dyDescent="0.25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 x14ac:dyDescent="0.25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 x14ac:dyDescent="0.25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 x14ac:dyDescent="0.25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 x14ac:dyDescent="0.25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 x14ac:dyDescent="0.25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 x14ac:dyDescent="0.25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 x14ac:dyDescent="0.25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 x14ac:dyDescent="0.25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 x14ac:dyDescent="0.25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 x14ac:dyDescent="0.25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 x14ac:dyDescent="0.25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 x14ac:dyDescent="0.25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 x14ac:dyDescent="0.25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 x14ac:dyDescent="0.25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 x14ac:dyDescent="0.25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 x14ac:dyDescent="0.25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 x14ac:dyDescent="0.25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 x14ac:dyDescent="0.25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 x14ac:dyDescent="0.25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 x14ac:dyDescent="0.25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 x14ac:dyDescent="0.25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 x14ac:dyDescent="0.25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 x14ac:dyDescent="0.25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 x14ac:dyDescent="0.25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 x14ac:dyDescent="0.25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 x14ac:dyDescent="0.25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 x14ac:dyDescent="0.25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 x14ac:dyDescent="0.25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 x14ac:dyDescent="0.25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 x14ac:dyDescent="0.25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 x14ac:dyDescent="0.25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 x14ac:dyDescent="0.25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 x14ac:dyDescent="0.25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 x14ac:dyDescent="0.25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 x14ac:dyDescent="0.25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 x14ac:dyDescent="0.25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 x14ac:dyDescent="0.25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 x14ac:dyDescent="0.25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 x14ac:dyDescent="0.25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 x14ac:dyDescent="0.25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 x14ac:dyDescent="0.25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 x14ac:dyDescent="0.25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 x14ac:dyDescent="0.25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 x14ac:dyDescent="0.25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 x14ac:dyDescent="0.25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 x14ac:dyDescent="0.25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 x14ac:dyDescent="0.25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 x14ac:dyDescent="0.25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 x14ac:dyDescent="0.25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 x14ac:dyDescent="0.25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 x14ac:dyDescent="0.25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 x14ac:dyDescent="0.25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 x14ac:dyDescent="0.25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 x14ac:dyDescent="0.25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 x14ac:dyDescent="0.25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 x14ac:dyDescent="0.25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 x14ac:dyDescent="0.25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 x14ac:dyDescent="0.25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 x14ac:dyDescent="0.25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 x14ac:dyDescent="0.25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 x14ac:dyDescent="0.25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 x14ac:dyDescent="0.25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 x14ac:dyDescent="0.25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 x14ac:dyDescent="0.25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 x14ac:dyDescent="0.25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 x14ac:dyDescent="0.25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 x14ac:dyDescent="0.25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 x14ac:dyDescent="0.25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 x14ac:dyDescent="0.25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 x14ac:dyDescent="0.25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 x14ac:dyDescent="0.25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 x14ac:dyDescent="0.25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 x14ac:dyDescent="0.25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 x14ac:dyDescent="0.25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 x14ac:dyDescent="0.25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 x14ac:dyDescent="0.25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 x14ac:dyDescent="0.25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 x14ac:dyDescent="0.25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 x14ac:dyDescent="0.25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 x14ac:dyDescent="0.25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 x14ac:dyDescent="0.25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 x14ac:dyDescent="0.25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 x14ac:dyDescent="0.25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 x14ac:dyDescent="0.25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 x14ac:dyDescent="0.25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 x14ac:dyDescent="0.25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 x14ac:dyDescent="0.25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 x14ac:dyDescent="0.25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 x14ac:dyDescent="0.25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 x14ac:dyDescent="0.25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 x14ac:dyDescent="0.25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 x14ac:dyDescent="0.25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 x14ac:dyDescent="0.25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 x14ac:dyDescent="0.25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 x14ac:dyDescent="0.25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 x14ac:dyDescent="0.25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 x14ac:dyDescent="0.25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 x14ac:dyDescent="0.25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 x14ac:dyDescent="0.25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 x14ac:dyDescent="0.25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 x14ac:dyDescent="0.25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 x14ac:dyDescent="0.25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 x14ac:dyDescent="0.25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 x14ac:dyDescent="0.25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 x14ac:dyDescent="0.25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 x14ac:dyDescent="0.25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 x14ac:dyDescent="0.25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 x14ac:dyDescent="0.25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 x14ac:dyDescent="0.25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 x14ac:dyDescent="0.25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 x14ac:dyDescent="0.25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 x14ac:dyDescent="0.25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 x14ac:dyDescent="0.25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 x14ac:dyDescent="0.25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 x14ac:dyDescent="0.25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 x14ac:dyDescent="0.25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 x14ac:dyDescent="0.25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 x14ac:dyDescent="0.25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 x14ac:dyDescent="0.25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 x14ac:dyDescent="0.25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 x14ac:dyDescent="0.25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 x14ac:dyDescent="0.25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 x14ac:dyDescent="0.25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 x14ac:dyDescent="0.25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 x14ac:dyDescent="0.25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 x14ac:dyDescent="0.25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 x14ac:dyDescent="0.25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 x14ac:dyDescent="0.25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 x14ac:dyDescent="0.25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 x14ac:dyDescent="0.25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 x14ac:dyDescent="0.25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 x14ac:dyDescent="0.25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 x14ac:dyDescent="0.25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 x14ac:dyDescent="0.25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 x14ac:dyDescent="0.25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 x14ac:dyDescent="0.25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 x14ac:dyDescent="0.25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 x14ac:dyDescent="0.25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 x14ac:dyDescent="0.25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 x14ac:dyDescent="0.25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 x14ac:dyDescent="0.25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 x14ac:dyDescent="0.25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 x14ac:dyDescent="0.25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 x14ac:dyDescent="0.25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 x14ac:dyDescent="0.25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 x14ac:dyDescent="0.25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 x14ac:dyDescent="0.25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 x14ac:dyDescent="0.25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 x14ac:dyDescent="0.25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 x14ac:dyDescent="0.25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 x14ac:dyDescent="0.25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 x14ac:dyDescent="0.25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 x14ac:dyDescent="0.25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 x14ac:dyDescent="0.25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 x14ac:dyDescent="0.25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 x14ac:dyDescent="0.25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 x14ac:dyDescent="0.25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 x14ac:dyDescent="0.25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 x14ac:dyDescent="0.25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 x14ac:dyDescent="0.25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 x14ac:dyDescent="0.25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 x14ac:dyDescent="0.25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 x14ac:dyDescent="0.25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 x14ac:dyDescent="0.25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 x14ac:dyDescent="0.25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 x14ac:dyDescent="0.25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 x14ac:dyDescent="0.25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 x14ac:dyDescent="0.25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 x14ac:dyDescent="0.25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 x14ac:dyDescent="0.25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 x14ac:dyDescent="0.25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 x14ac:dyDescent="0.25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 x14ac:dyDescent="0.25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 x14ac:dyDescent="0.25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 x14ac:dyDescent="0.25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 x14ac:dyDescent="0.25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 x14ac:dyDescent="0.25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 x14ac:dyDescent="0.25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 x14ac:dyDescent="0.25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 x14ac:dyDescent="0.25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 x14ac:dyDescent="0.25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 x14ac:dyDescent="0.25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 x14ac:dyDescent="0.25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 x14ac:dyDescent="0.25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 x14ac:dyDescent="0.25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 x14ac:dyDescent="0.25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 x14ac:dyDescent="0.25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 x14ac:dyDescent="0.25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 x14ac:dyDescent="0.25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 x14ac:dyDescent="0.25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 x14ac:dyDescent="0.25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 x14ac:dyDescent="0.25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 x14ac:dyDescent="0.25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 x14ac:dyDescent="0.25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 x14ac:dyDescent="0.25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 x14ac:dyDescent="0.25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 x14ac:dyDescent="0.25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 x14ac:dyDescent="0.25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 x14ac:dyDescent="0.25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 x14ac:dyDescent="0.25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 x14ac:dyDescent="0.25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 x14ac:dyDescent="0.25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 x14ac:dyDescent="0.25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 x14ac:dyDescent="0.25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 x14ac:dyDescent="0.25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 x14ac:dyDescent="0.25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 x14ac:dyDescent="0.25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 x14ac:dyDescent="0.25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 x14ac:dyDescent="0.25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 x14ac:dyDescent="0.25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 x14ac:dyDescent="0.25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 x14ac:dyDescent="0.25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 x14ac:dyDescent="0.25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 x14ac:dyDescent="0.25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 x14ac:dyDescent="0.25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 x14ac:dyDescent="0.25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 x14ac:dyDescent="0.25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 x14ac:dyDescent="0.25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 x14ac:dyDescent="0.25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 x14ac:dyDescent="0.25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 x14ac:dyDescent="0.25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 x14ac:dyDescent="0.25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 x14ac:dyDescent="0.25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 x14ac:dyDescent="0.25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 x14ac:dyDescent="0.25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 x14ac:dyDescent="0.25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 x14ac:dyDescent="0.25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 x14ac:dyDescent="0.25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 x14ac:dyDescent="0.25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 x14ac:dyDescent="0.25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 x14ac:dyDescent="0.25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 x14ac:dyDescent="0.25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 x14ac:dyDescent="0.25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 x14ac:dyDescent="0.25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 x14ac:dyDescent="0.25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 x14ac:dyDescent="0.25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 x14ac:dyDescent="0.25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 x14ac:dyDescent="0.25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 x14ac:dyDescent="0.25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 x14ac:dyDescent="0.25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 x14ac:dyDescent="0.25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 x14ac:dyDescent="0.25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 x14ac:dyDescent="0.25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 x14ac:dyDescent="0.25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 x14ac:dyDescent="0.25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 x14ac:dyDescent="0.25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 x14ac:dyDescent="0.25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 x14ac:dyDescent="0.25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 x14ac:dyDescent="0.25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 x14ac:dyDescent="0.25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 x14ac:dyDescent="0.25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 x14ac:dyDescent="0.25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 x14ac:dyDescent="0.25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 x14ac:dyDescent="0.25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 x14ac:dyDescent="0.25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 x14ac:dyDescent="0.25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 x14ac:dyDescent="0.25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 x14ac:dyDescent="0.25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 x14ac:dyDescent="0.25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 x14ac:dyDescent="0.25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 x14ac:dyDescent="0.25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 x14ac:dyDescent="0.25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 x14ac:dyDescent="0.25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 x14ac:dyDescent="0.25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 x14ac:dyDescent="0.25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 x14ac:dyDescent="0.25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 x14ac:dyDescent="0.25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 x14ac:dyDescent="0.25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 x14ac:dyDescent="0.25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 x14ac:dyDescent="0.25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 x14ac:dyDescent="0.25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 x14ac:dyDescent="0.25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 x14ac:dyDescent="0.25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 x14ac:dyDescent="0.25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 x14ac:dyDescent="0.25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 x14ac:dyDescent="0.25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 x14ac:dyDescent="0.25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 x14ac:dyDescent="0.25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 x14ac:dyDescent="0.25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 x14ac:dyDescent="0.25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 x14ac:dyDescent="0.25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 x14ac:dyDescent="0.25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 x14ac:dyDescent="0.25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 x14ac:dyDescent="0.25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 x14ac:dyDescent="0.25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 x14ac:dyDescent="0.25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 x14ac:dyDescent="0.25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 x14ac:dyDescent="0.25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 x14ac:dyDescent="0.25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 x14ac:dyDescent="0.25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 x14ac:dyDescent="0.25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 x14ac:dyDescent="0.25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 x14ac:dyDescent="0.25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 x14ac:dyDescent="0.25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 x14ac:dyDescent="0.25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 x14ac:dyDescent="0.25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 x14ac:dyDescent="0.25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 x14ac:dyDescent="0.25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 x14ac:dyDescent="0.25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 x14ac:dyDescent="0.25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 x14ac:dyDescent="0.25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 x14ac:dyDescent="0.25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 x14ac:dyDescent="0.25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 x14ac:dyDescent="0.25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 x14ac:dyDescent="0.25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 x14ac:dyDescent="0.25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 x14ac:dyDescent="0.25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 x14ac:dyDescent="0.25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 x14ac:dyDescent="0.25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 x14ac:dyDescent="0.25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 x14ac:dyDescent="0.25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 x14ac:dyDescent="0.25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 x14ac:dyDescent="0.25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 x14ac:dyDescent="0.25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 x14ac:dyDescent="0.25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 x14ac:dyDescent="0.25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 x14ac:dyDescent="0.25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 x14ac:dyDescent="0.25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 x14ac:dyDescent="0.25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 x14ac:dyDescent="0.25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 x14ac:dyDescent="0.25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 x14ac:dyDescent="0.25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 x14ac:dyDescent="0.25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 x14ac:dyDescent="0.25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 x14ac:dyDescent="0.25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 x14ac:dyDescent="0.25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 x14ac:dyDescent="0.25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 x14ac:dyDescent="0.25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 x14ac:dyDescent="0.25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 x14ac:dyDescent="0.25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 x14ac:dyDescent="0.25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 x14ac:dyDescent="0.25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 x14ac:dyDescent="0.25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 x14ac:dyDescent="0.25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 x14ac:dyDescent="0.25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 x14ac:dyDescent="0.25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 x14ac:dyDescent="0.25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 x14ac:dyDescent="0.25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 x14ac:dyDescent="0.25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 x14ac:dyDescent="0.25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 x14ac:dyDescent="0.25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 x14ac:dyDescent="0.25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 x14ac:dyDescent="0.25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 x14ac:dyDescent="0.25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 x14ac:dyDescent="0.25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 x14ac:dyDescent="0.25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 x14ac:dyDescent="0.25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 x14ac:dyDescent="0.25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 x14ac:dyDescent="0.25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 x14ac:dyDescent="0.25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 x14ac:dyDescent="0.25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 x14ac:dyDescent="0.25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 x14ac:dyDescent="0.25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 x14ac:dyDescent="0.25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 x14ac:dyDescent="0.25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 x14ac:dyDescent="0.25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 x14ac:dyDescent="0.25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 x14ac:dyDescent="0.25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 x14ac:dyDescent="0.25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 x14ac:dyDescent="0.25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 x14ac:dyDescent="0.25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 x14ac:dyDescent="0.25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 x14ac:dyDescent="0.25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 x14ac:dyDescent="0.25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 x14ac:dyDescent="0.25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 x14ac:dyDescent="0.25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 x14ac:dyDescent="0.25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 x14ac:dyDescent="0.25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 x14ac:dyDescent="0.25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 x14ac:dyDescent="0.25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 x14ac:dyDescent="0.25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 x14ac:dyDescent="0.25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 x14ac:dyDescent="0.25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 x14ac:dyDescent="0.25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 x14ac:dyDescent="0.25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 x14ac:dyDescent="0.25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 x14ac:dyDescent="0.25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 x14ac:dyDescent="0.25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 x14ac:dyDescent="0.25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 x14ac:dyDescent="0.25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 x14ac:dyDescent="0.25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 x14ac:dyDescent="0.25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 x14ac:dyDescent="0.25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 x14ac:dyDescent="0.25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 x14ac:dyDescent="0.25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 x14ac:dyDescent="0.25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 x14ac:dyDescent="0.25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 x14ac:dyDescent="0.25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 x14ac:dyDescent="0.25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 x14ac:dyDescent="0.25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 x14ac:dyDescent="0.25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 x14ac:dyDescent="0.25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 x14ac:dyDescent="0.25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 x14ac:dyDescent="0.25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 x14ac:dyDescent="0.25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 x14ac:dyDescent="0.25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 x14ac:dyDescent="0.25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 x14ac:dyDescent="0.25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 x14ac:dyDescent="0.25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 x14ac:dyDescent="0.25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 x14ac:dyDescent="0.25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 x14ac:dyDescent="0.25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 x14ac:dyDescent="0.25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 x14ac:dyDescent="0.25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 x14ac:dyDescent="0.25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 x14ac:dyDescent="0.25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 x14ac:dyDescent="0.25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 x14ac:dyDescent="0.25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 x14ac:dyDescent="0.25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 x14ac:dyDescent="0.25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 x14ac:dyDescent="0.25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 x14ac:dyDescent="0.25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 x14ac:dyDescent="0.25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 x14ac:dyDescent="0.25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 x14ac:dyDescent="0.25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 x14ac:dyDescent="0.25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 x14ac:dyDescent="0.25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 x14ac:dyDescent="0.25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 x14ac:dyDescent="0.25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 x14ac:dyDescent="0.25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 x14ac:dyDescent="0.25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 x14ac:dyDescent="0.25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 x14ac:dyDescent="0.25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 x14ac:dyDescent="0.25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 x14ac:dyDescent="0.25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 x14ac:dyDescent="0.25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 x14ac:dyDescent="0.25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 x14ac:dyDescent="0.25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 x14ac:dyDescent="0.25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 x14ac:dyDescent="0.25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 x14ac:dyDescent="0.25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 x14ac:dyDescent="0.25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 x14ac:dyDescent="0.25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 x14ac:dyDescent="0.25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 x14ac:dyDescent="0.25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 x14ac:dyDescent="0.25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 x14ac:dyDescent="0.25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 x14ac:dyDescent="0.25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 x14ac:dyDescent="0.25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 x14ac:dyDescent="0.25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 x14ac:dyDescent="0.25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 x14ac:dyDescent="0.25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 x14ac:dyDescent="0.25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 x14ac:dyDescent="0.25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 x14ac:dyDescent="0.25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 x14ac:dyDescent="0.25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 x14ac:dyDescent="0.25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 x14ac:dyDescent="0.25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 x14ac:dyDescent="0.25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 x14ac:dyDescent="0.25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 x14ac:dyDescent="0.25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 x14ac:dyDescent="0.25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 x14ac:dyDescent="0.25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 x14ac:dyDescent="0.25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 x14ac:dyDescent="0.25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 x14ac:dyDescent="0.25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 x14ac:dyDescent="0.25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 x14ac:dyDescent="0.25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 x14ac:dyDescent="0.25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 x14ac:dyDescent="0.25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 x14ac:dyDescent="0.25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 x14ac:dyDescent="0.25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 x14ac:dyDescent="0.25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 x14ac:dyDescent="0.25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 x14ac:dyDescent="0.25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 x14ac:dyDescent="0.25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 x14ac:dyDescent="0.25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 x14ac:dyDescent="0.25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 x14ac:dyDescent="0.25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 x14ac:dyDescent="0.25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 x14ac:dyDescent="0.25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 x14ac:dyDescent="0.25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 x14ac:dyDescent="0.25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 x14ac:dyDescent="0.25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 x14ac:dyDescent="0.25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 x14ac:dyDescent="0.25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 x14ac:dyDescent="0.25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 x14ac:dyDescent="0.25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 x14ac:dyDescent="0.25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 x14ac:dyDescent="0.25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 x14ac:dyDescent="0.25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 x14ac:dyDescent="0.25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 x14ac:dyDescent="0.25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 x14ac:dyDescent="0.25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 x14ac:dyDescent="0.25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 x14ac:dyDescent="0.25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 x14ac:dyDescent="0.25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 x14ac:dyDescent="0.25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 x14ac:dyDescent="0.25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 x14ac:dyDescent="0.25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 x14ac:dyDescent="0.25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 x14ac:dyDescent="0.25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 x14ac:dyDescent="0.25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 x14ac:dyDescent="0.25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 x14ac:dyDescent="0.25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 x14ac:dyDescent="0.25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 x14ac:dyDescent="0.25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 x14ac:dyDescent="0.25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 x14ac:dyDescent="0.25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 x14ac:dyDescent="0.25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 x14ac:dyDescent="0.25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 x14ac:dyDescent="0.25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 x14ac:dyDescent="0.25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 x14ac:dyDescent="0.25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 x14ac:dyDescent="0.25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 x14ac:dyDescent="0.25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 x14ac:dyDescent="0.25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 x14ac:dyDescent="0.25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 x14ac:dyDescent="0.25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 x14ac:dyDescent="0.25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 x14ac:dyDescent="0.25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 x14ac:dyDescent="0.25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 x14ac:dyDescent="0.25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 x14ac:dyDescent="0.25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 x14ac:dyDescent="0.25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 x14ac:dyDescent="0.25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 x14ac:dyDescent="0.25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 x14ac:dyDescent="0.25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 x14ac:dyDescent="0.25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 x14ac:dyDescent="0.25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 x14ac:dyDescent="0.25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 x14ac:dyDescent="0.25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 x14ac:dyDescent="0.25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 x14ac:dyDescent="0.25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 x14ac:dyDescent="0.25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 x14ac:dyDescent="0.25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 x14ac:dyDescent="0.25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 x14ac:dyDescent="0.25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 x14ac:dyDescent="0.25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 x14ac:dyDescent="0.25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 x14ac:dyDescent="0.25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 x14ac:dyDescent="0.25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 x14ac:dyDescent="0.25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 x14ac:dyDescent="0.25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 x14ac:dyDescent="0.25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 x14ac:dyDescent="0.25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 x14ac:dyDescent="0.25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 x14ac:dyDescent="0.25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 x14ac:dyDescent="0.25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 x14ac:dyDescent="0.25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 x14ac:dyDescent="0.25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 x14ac:dyDescent="0.25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 x14ac:dyDescent="0.25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 x14ac:dyDescent="0.25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 x14ac:dyDescent="0.25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 x14ac:dyDescent="0.25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 x14ac:dyDescent="0.25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 x14ac:dyDescent="0.25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 x14ac:dyDescent="0.25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 x14ac:dyDescent="0.25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 x14ac:dyDescent="0.25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 x14ac:dyDescent="0.25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 x14ac:dyDescent="0.25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 x14ac:dyDescent="0.25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 x14ac:dyDescent="0.25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 x14ac:dyDescent="0.25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 x14ac:dyDescent="0.25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 x14ac:dyDescent="0.25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 x14ac:dyDescent="0.25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 x14ac:dyDescent="0.25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 x14ac:dyDescent="0.25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 x14ac:dyDescent="0.25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 x14ac:dyDescent="0.25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 x14ac:dyDescent="0.25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 x14ac:dyDescent="0.25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 x14ac:dyDescent="0.25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 x14ac:dyDescent="0.25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 x14ac:dyDescent="0.25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 x14ac:dyDescent="0.25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 x14ac:dyDescent="0.25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 x14ac:dyDescent="0.25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 x14ac:dyDescent="0.25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 x14ac:dyDescent="0.25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 x14ac:dyDescent="0.25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 x14ac:dyDescent="0.25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 x14ac:dyDescent="0.25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 x14ac:dyDescent="0.25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 x14ac:dyDescent="0.25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 x14ac:dyDescent="0.25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 x14ac:dyDescent="0.25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 x14ac:dyDescent="0.25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 x14ac:dyDescent="0.25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 x14ac:dyDescent="0.25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 x14ac:dyDescent="0.25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 x14ac:dyDescent="0.25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 x14ac:dyDescent="0.25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 x14ac:dyDescent="0.25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 x14ac:dyDescent="0.25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 x14ac:dyDescent="0.25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 x14ac:dyDescent="0.25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 x14ac:dyDescent="0.25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 x14ac:dyDescent="0.25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 x14ac:dyDescent="0.25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 x14ac:dyDescent="0.25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 x14ac:dyDescent="0.25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 x14ac:dyDescent="0.25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 x14ac:dyDescent="0.25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 x14ac:dyDescent="0.25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 x14ac:dyDescent="0.25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 x14ac:dyDescent="0.25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 x14ac:dyDescent="0.25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 x14ac:dyDescent="0.25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 x14ac:dyDescent="0.25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 x14ac:dyDescent="0.25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 x14ac:dyDescent="0.25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 x14ac:dyDescent="0.25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 x14ac:dyDescent="0.25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 x14ac:dyDescent="0.25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 x14ac:dyDescent="0.25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 x14ac:dyDescent="0.25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 x14ac:dyDescent="0.25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 x14ac:dyDescent="0.25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 x14ac:dyDescent="0.25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 x14ac:dyDescent="0.25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 x14ac:dyDescent="0.25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 x14ac:dyDescent="0.25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 x14ac:dyDescent="0.25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 x14ac:dyDescent="0.25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 x14ac:dyDescent="0.25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 x14ac:dyDescent="0.25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 x14ac:dyDescent="0.25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 x14ac:dyDescent="0.25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 x14ac:dyDescent="0.25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 x14ac:dyDescent="0.25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 x14ac:dyDescent="0.25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 x14ac:dyDescent="0.25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 x14ac:dyDescent="0.25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 x14ac:dyDescent="0.25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 x14ac:dyDescent="0.25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 x14ac:dyDescent="0.25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 x14ac:dyDescent="0.25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 x14ac:dyDescent="0.25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 x14ac:dyDescent="0.25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 x14ac:dyDescent="0.25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 x14ac:dyDescent="0.25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 x14ac:dyDescent="0.25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 x14ac:dyDescent="0.25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 x14ac:dyDescent="0.25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 x14ac:dyDescent="0.25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 x14ac:dyDescent="0.25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 x14ac:dyDescent="0.25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 x14ac:dyDescent="0.25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 x14ac:dyDescent="0.25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 x14ac:dyDescent="0.25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 x14ac:dyDescent="0.25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 x14ac:dyDescent="0.25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 x14ac:dyDescent="0.25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 x14ac:dyDescent="0.25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 x14ac:dyDescent="0.25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 x14ac:dyDescent="0.25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 x14ac:dyDescent="0.25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 x14ac:dyDescent="0.25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 x14ac:dyDescent="0.25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 x14ac:dyDescent="0.25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 x14ac:dyDescent="0.25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 x14ac:dyDescent="0.25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 x14ac:dyDescent="0.25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 x14ac:dyDescent="0.25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 x14ac:dyDescent="0.25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 x14ac:dyDescent="0.25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 x14ac:dyDescent="0.25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 x14ac:dyDescent="0.25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 x14ac:dyDescent="0.25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 x14ac:dyDescent="0.25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 x14ac:dyDescent="0.25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 x14ac:dyDescent="0.25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 x14ac:dyDescent="0.25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 x14ac:dyDescent="0.25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 x14ac:dyDescent="0.25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 x14ac:dyDescent="0.25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 x14ac:dyDescent="0.25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 x14ac:dyDescent="0.25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 x14ac:dyDescent="0.25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 x14ac:dyDescent="0.25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 x14ac:dyDescent="0.25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 x14ac:dyDescent="0.25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 x14ac:dyDescent="0.25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 x14ac:dyDescent="0.25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 x14ac:dyDescent="0.25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 x14ac:dyDescent="0.25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 x14ac:dyDescent="0.25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 x14ac:dyDescent="0.25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 x14ac:dyDescent="0.25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 x14ac:dyDescent="0.25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 x14ac:dyDescent="0.25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 x14ac:dyDescent="0.25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 x14ac:dyDescent="0.25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 x14ac:dyDescent="0.25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 x14ac:dyDescent="0.25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 x14ac:dyDescent="0.25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 x14ac:dyDescent="0.25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 x14ac:dyDescent="0.25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 x14ac:dyDescent="0.25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 x14ac:dyDescent="0.25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 x14ac:dyDescent="0.25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 x14ac:dyDescent="0.25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 x14ac:dyDescent="0.25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 x14ac:dyDescent="0.25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 x14ac:dyDescent="0.25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 x14ac:dyDescent="0.25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 x14ac:dyDescent="0.25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 x14ac:dyDescent="0.25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 x14ac:dyDescent="0.25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 x14ac:dyDescent="0.25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 x14ac:dyDescent="0.25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 x14ac:dyDescent="0.25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 x14ac:dyDescent="0.25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 x14ac:dyDescent="0.25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 x14ac:dyDescent="0.25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 x14ac:dyDescent="0.25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 x14ac:dyDescent="0.25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 x14ac:dyDescent="0.25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 x14ac:dyDescent="0.25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 x14ac:dyDescent="0.25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 x14ac:dyDescent="0.25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 x14ac:dyDescent="0.25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 x14ac:dyDescent="0.25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 x14ac:dyDescent="0.25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 x14ac:dyDescent="0.25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 x14ac:dyDescent="0.25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 x14ac:dyDescent="0.25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 x14ac:dyDescent="0.25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 x14ac:dyDescent="0.25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 x14ac:dyDescent="0.25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 x14ac:dyDescent="0.25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 x14ac:dyDescent="0.25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 x14ac:dyDescent="0.25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 x14ac:dyDescent="0.25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 x14ac:dyDescent="0.25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 x14ac:dyDescent="0.25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 x14ac:dyDescent="0.25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 x14ac:dyDescent="0.25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 x14ac:dyDescent="0.25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 x14ac:dyDescent="0.25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 x14ac:dyDescent="0.25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 x14ac:dyDescent="0.25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 x14ac:dyDescent="0.25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 x14ac:dyDescent="0.25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 x14ac:dyDescent="0.25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 x14ac:dyDescent="0.25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 x14ac:dyDescent="0.25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 x14ac:dyDescent="0.25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 x14ac:dyDescent="0.25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 x14ac:dyDescent="0.25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 x14ac:dyDescent="0.25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 x14ac:dyDescent="0.25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 x14ac:dyDescent="0.25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 x14ac:dyDescent="0.25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 x14ac:dyDescent="0.25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 x14ac:dyDescent="0.25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 x14ac:dyDescent="0.25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 x14ac:dyDescent="0.25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 x14ac:dyDescent="0.25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 x14ac:dyDescent="0.25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 x14ac:dyDescent="0.25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 x14ac:dyDescent="0.25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 x14ac:dyDescent="0.25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 x14ac:dyDescent="0.25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 x14ac:dyDescent="0.25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 x14ac:dyDescent="0.25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 x14ac:dyDescent="0.25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 x14ac:dyDescent="0.25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 x14ac:dyDescent="0.25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 x14ac:dyDescent="0.25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 x14ac:dyDescent="0.25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 x14ac:dyDescent="0.25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 x14ac:dyDescent="0.25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 x14ac:dyDescent="0.25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 x14ac:dyDescent="0.25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 x14ac:dyDescent="0.25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 x14ac:dyDescent="0.25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 x14ac:dyDescent="0.25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 x14ac:dyDescent="0.25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 x14ac:dyDescent="0.25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 x14ac:dyDescent="0.25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 x14ac:dyDescent="0.25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 x14ac:dyDescent="0.25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 x14ac:dyDescent="0.25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 x14ac:dyDescent="0.25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 x14ac:dyDescent="0.25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 x14ac:dyDescent="0.25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 x14ac:dyDescent="0.25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 x14ac:dyDescent="0.25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 x14ac:dyDescent="0.25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 x14ac:dyDescent="0.25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 x14ac:dyDescent="0.25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 x14ac:dyDescent="0.25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 x14ac:dyDescent="0.25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 x14ac:dyDescent="0.25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 x14ac:dyDescent="0.25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 x14ac:dyDescent="0.25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 x14ac:dyDescent="0.25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 x14ac:dyDescent="0.25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 x14ac:dyDescent="0.25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 x14ac:dyDescent="0.25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 x14ac:dyDescent="0.25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 x14ac:dyDescent="0.25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 x14ac:dyDescent="0.25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 x14ac:dyDescent="0.25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 x14ac:dyDescent="0.25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 x14ac:dyDescent="0.25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 x14ac:dyDescent="0.25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 x14ac:dyDescent="0.25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 x14ac:dyDescent="0.25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 x14ac:dyDescent="0.25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 x14ac:dyDescent="0.25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 x14ac:dyDescent="0.25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 x14ac:dyDescent="0.25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 x14ac:dyDescent="0.25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 x14ac:dyDescent="0.25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 x14ac:dyDescent="0.25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 x14ac:dyDescent="0.25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 x14ac:dyDescent="0.25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 x14ac:dyDescent="0.25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 x14ac:dyDescent="0.25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 x14ac:dyDescent="0.25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 x14ac:dyDescent="0.25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 x14ac:dyDescent="0.25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 x14ac:dyDescent="0.25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 x14ac:dyDescent="0.25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 x14ac:dyDescent="0.25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 x14ac:dyDescent="0.25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 x14ac:dyDescent="0.25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 x14ac:dyDescent="0.25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 x14ac:dyDescent="0.25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 x14ac:dyDescent="0.25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 x14ac:dyDescent="0.25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 x14ac:dyDescent="0.25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 x14ac:dyDescent="0.25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 x14ac:dyDescent="0.25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 x14ac:dyDescent="0.25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 x14ac:dyDescent="0.25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 x14ac:dyDescent="0.25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 x14ac:dyDescent="0.25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 x14ac:dyDescent="0.25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 x14ac:dyDescent="0.25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 x14ac:dyDescent="0.25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 x14ac:dyDescent="0.25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 x14ac:dyDescent="0.25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 x14ac:dyDescent="0.25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 x14ac:dyDescent="0.25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 x14ac:dyDescent="0.25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 x14ac:dyDescent="0.25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 x14ac:dyDescent="0.25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 x14ac:dyDescent="0.25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 x14ac:dyDescent="0.25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 x14ac:dyDescent="0.25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 x14ac:dyDescent="0.25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 x14ac:dyDescent="0.25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 x14ac:dyDescent="0.25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 x14ac:dyDescent="0.25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 x14ac:dyDescent="0.25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 x14ac:dyDescent="0.25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 x14ac:dyDescent="0.25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 x14ac:dyDescent="0.25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 x14ac:dyDescent="0.25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 x14ac:dyDescent="0.25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 x14ac:dyDescent="0.25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 x14ac:dyDescent="0.25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 x14ac:dyDescent="0.25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 x14ac:dyDescent="0.25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 x14ac:dyDescent="0.25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 x14ac:dyDescent="0.25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 x14ac:dyDescent="0.25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 x14ac:dyDescent="0.25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 x14ac:dyDescent="0.25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 x14ac:dyDescent="0.25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 x14ac:dyDescent="0.25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 x14ac:dyDescent="0.25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 x14ac:dyDescent="0.25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 x14ac:dyDescent="0.25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 x14ac:dyDescent="0.25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 x14ac:dyDescent="0.25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 x14ac:dyDescent="0.25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 x14ac:dyDescent="0.25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 x14ac:dyDescent="0.25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 x14ac:dyDescent="0.25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 x14ac:dyDescent="0.25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 x14ac:dyDescent="0.25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 x14ac:dyDescent="0.25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 x14ac:dyDescent="0.25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 x14ac:dyDescent="0.25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 x14ac:dyDescent="0.25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 x14ac:dyDescent="0.25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 x14ac:dyDescent="0.25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 x14ac:dyDescent="0.25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 x14ac:dyDescent="0.25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 x14ac:dyDescent="0.25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 x14ac:dyDescent="0.25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 x14ac:dyDescent="0.25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 x14ac:dyDescent="0.25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 x14ac:dyDescent="0.25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 x14ac:dyDescent="0.25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 x14ac:dyDescent="0.25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 x14ac:dyDescent="0.25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 x14ac:dyDescent="0.25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 x14ac:dyDescent="0.25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 x14ac:dyDescent="0.25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 x14ac:dyDescent="0.25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 x14ac:dyDescent="0.25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 x14ac:dyDescent="0.25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 x14ac:dyDescent="0.25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 x14ac:dyDescent="0.25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 x14ac:dyDescent="0.25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 x14ac:dyDescent="0.25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 x14ac:dyDescent="0.25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 x14ac:dyDescent="0.25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 x14ac:dyDescent="0.25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 x14ac:dyDescent="0.25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 x14ac:dyDescent="0.25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 x14ac:dyDescent="0.25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 x14ac:dyDescent="0.25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 x14ac:dyDescent="0.25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 x14ac:dyDescent="0.25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 x14ac:dyDescent="0.25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 x14ac:dyDescent="0.25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 x14ac:dyDescent="0.25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 x14ac:dyDescent="0.25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 x14ac:dyDescent="0.25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 x14ac:dyDescent="0.25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 x14ac:dyDescent="0.25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 x14ac:dyDescent="0.25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 x14ac:dyDescent="0.25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 x14ac:dyDescent="0.25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 x14ac:dyDescent="0.25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 x14ac:dyDescent="0.25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 x14ac:dyDescent="0.25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 x14ac:dyDescent="0.25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 x14ac:dyDescent="0.25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 x14ac:dyDescent="0.25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 x14ac:dyDescent="0.25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 x14ac:dyDescent="0.25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 x14ac:dyDescent="0.25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 x14ac:dyDescent="0.25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 x14ac:dyDescent="0.25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 x14ac:dyDescent="0.25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 x14ac:dyDescent="0.25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 x14ac:dyDescent="0.25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 x14ac:dyDescent="0.25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 x14ac:dyDescent="0.25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 x14ac:dyDescent="0.25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 x14ac:dyDescent="0.25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 x14ac:dyDescent="0.25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 x14ac:dyDescent="0.25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 x14ac:dyDescent="0.25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 x14ac:dyDescent="0.25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 x14ac:dyDescent="0.25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 x14ac:dyDescent="0.25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 x14ac:dyDescent="0.25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 x14ac:dyDescent="0.25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 x14ac:dyDescent="0.25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 x14ac:dyDescent="0.25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 x14ac:dyDescent="0.25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 x14ac:dyDescent="0.25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 x14ac:dyDescent="0.25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 x14ac:dyDescent="0.25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 x14ac:dyDescent="0.25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 x14ac:dyDescent="0.25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 x14ac:dyDescent="0.25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 x14ac:dyDescent="0.25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 x14ac:dyDescent="0.25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 x14ac:dyDescent="0.25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 x14ac:dyDescent="0.25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 x14ac:dyDescent="0.25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 x14ac:dyDescent="0.25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 x14ac:dyDescent="0.25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 x14ac:dyDescent="0.25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 x14ac:dyDescent="0.25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 x14ac:dyDescent="0.25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 x14ac:dyDescent="0.25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 x14ac:dyDescent="0.25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 x14ac:dyDescent="0.25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 x14ac:dyDescent="0.25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 x14ac:dyDescent="0.25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 x14ac:dyDescent="0.25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 x14ac:dyDescent="0.25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 x14ac:dyDescent="0.25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 x14ac:dyDescent="0.25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 x14ac:dyDescent="0.25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 x14ac:dyDescent="0.25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 x14ac:dyDescent="0.25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 x14ac:dyDescent="0.25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 x14ac:dyDescent="0.25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 x14ac:dyDescent="0.25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 x14ac:dyDescent="0.25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 x14ac:dyDescent="0.25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 x14ac:dyDescent="0.25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 x14ac:dyDescent="0.25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 x14ac:dyDescent="0.25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 x14ac:dyDescent="0.25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 x14ac:dyDescent="0.25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 x14ac:dyDescent="0.25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 x14ac:dyDescent="0.25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 x14ac:dyDescent="0.25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 x14ac:dyDescent="0.25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 x14ac:dyDescent="0.25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 x14ac:dyDescent="0.25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 x14ac:dyDescent="0.25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 x14ac:dyDescent="0.25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 x14ac:dyDescent="0.25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 x14ac:dyDescent="0.25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 x14ac:dyDescent="0.25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 x14ac:dyDescent="0.25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 x14ac:dyDescent="0.25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 x14ac:dyDescent="0.25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34" priority="55" stopIfTrue="1" operator="equal">
      <formula>"ERROR"</formula>
    </cfRule>
    <cfRule type="cellIs" dxfId="533" priority="56" stopIfTrue="1" operator="equal">
      <formula>"OK"</formula>
    </cfRule>
    <cfRule type="cellIs" dxfId="532" priority="57" stopIfTrue="1" operator="equal">
      <formula>"WARNING"</formula>
    </cfRule>
  </conditionalFormatting>
  <conditionalFormatting sqref="C4">
    <cfRule type="cellIs" dxfId="531" priority="52" stopIfTrue="1" operator="equal">
      <formula>"ERROR"</formula>
    </cfRule>
    <cfRule type="cellIs" dxfId="530" priority="53" stopIfTrue="1" operator="equal">
      <formula>"OK"</formula>
    </cfRule>
    <cfRule type="cellIs" dxfId="529" priority="54" stopIfTrue="1" operator="equal">
      <formula>"WARNING"</formula>
    </cfRule>
  </conditionalFormatting>
  <conditionalFormatting sqref="H17">
    <cfRule type="cellIs" dxfId="528" priority="58" stopIfTrue="1" operator="equal">
      <formula>"ERROR"</formula>
    </cfRule>
    <cfRule type="cellIs" dxfId="527" priority="59" stopIfTrue="1" operator="equal">
      <formula>"OK"</formula>
    </cfRule>
    <cfRule type="cellIs" dxfId="526" priority="60" stopIfTrue="1" operator="equal">
      <formula>"WARNING"</formula>
    </cfRule>
  </conditionalFormatting>
  <conditionalFormatting sqref="C12">
    <cfRule type="cellIs" dxfId="525" priority="46" stopIfTrue="1" operator="equal">
      <formula>"ERROR"</formula>
    </cfRule>
  </conditionalFormatting>
  <conditionalFormatting sqref="C12">
    <cfRule type="cellIs" dxfId="524" priority="47" stopIfTrue="1" operator="equal">
      <formula>"OK"</formula>
    </cfRule>
  </conditionalFormatting>
  <conditionalFormatting sqref="C12">
    <cfRule type="cellIs" dxfId="523" priority="48" stopIfTrue="1" operator="equal">
      <formula>"WARNING"</formula>
    </cfRule>
  </conditionalFormatting>
  <conditionalFormatting sqref="S17">
    <cfRule type="cellIs" dxfId="522" priority="10" stopIfTrue="1" operator="equal">
      <formula>"ERROR"</formula>
    </cfRule>
    <cfRule type="cellIs" dxfId="521" priority="11" stopIfTrue="1" operator="equal">
      <formula>"OK"</formula>
    </cfRule>
    <cfRule type="cellIs" dxfId="520" priority="12" stopIfTrue="1" operator="equal">
      <formula>"WARNING"</formula>
    </cfRule>
  </conditionalFormatting>
  <conditionalFormatting sqref="Z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39" customWidth="1"/>
    <col min="2" max="16384" width="9" style="439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="85" zoomScaleNormal="85" workbookViewId="0">
      <selection activeCell="B6" sqref="B6:E7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389</v>
      </c>
    </row>
    <row r="2" spans="1:72" ht="26.25" x14ac:dyDescent="0.4">
      <c r="B2" s="2" t="s">
        <v>522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524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524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520</v>
      </c>
      <c r="C14" s="307"/>
      <c r="D14" s="307"/>
      <c r="E14" s="307"/>
      <c r="F14" s="307"/>
      <c r="G14" s="307"/>
      <c r="H14" s="307"/>
      <c r="I14" s="307"/>
      <c r="K14" s="4" t="s">
        <v>521</v>
      </c>
      <c r="L14" s="307"/>
      <c r="M14" s="307"/>
      <c r="N14" s="307"/>
      <c r="O14" s="307"/>
      <c r="P14" s="307"/>
      <c r="Q14" s="307"/>
      <c r="R14" s="307"/>
      <c r="S14" s="307"/>
      <c r="U14" s="4" t="s">
        <v>513</v>
      </c>
      <c r="V14" s="307"/>
      <c r="W14" s="307"/>
      <c r="X14" s="307"/>
      <c r="Y14" s="307"/>
      <c r="Z14" s="307"/>
      <c r="AA14" s="307"/>
      <c r="AB14" s="307"/>
      <c r="AD14" s="4" t="s">
        <v>517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227</v>
      </c>
      <c r="C16" s="122"/>
      <c r="D16" s="298"/>
      <c r="E16" s="121" t="s">
        <v>67</v>
      </c>
      <c r="F16" s="121" t="s">
        <v>425</v>
      </c>
      <c r="G16" s="121" t="s">
        <v>426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 x14ac:dyDescent="0.25">
      <c r="B17" s="441" t="s">
        <v>527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527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507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527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514</v>
      </c>
      <c r="AA17" s="462"/>
      <c r="AB17" s="338" t="str" cm="1">
        <f t="array" ref="AB17">_xll.d.TestUtils_Equal(X17,Z17)</f>
        <v>Ok</v>
      </c>
      <c r="AD17" s="441" t="s">
        <v>527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518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528</v>
      </c>
      <c r="C18" s="126">
        <v>100</v>
      </c>
      <c r="D18" s="298"/>
      <c r="K18" s="442" t="s">
        <v>528</v>
      </c>
      <c r="L18" s="126">
        <v>100</v>
      </c>
      <c r="M18" s="298"/>
      <c r="N18" s="125" t="str">
        <v>d1</v>
      </c>
      <c r="O18" s="577">
        <v>1.0422804977154678</v>
      </c>
      <c r="P18" s="125" t="s">
        <v>508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528</v>
      </c>
      <c r="V18" s="126">
        <v>100</v>
      </c>
      <c r="W18" s="298"/>
      <c r="AD18" s="442" t="s">
        <v>528</v>
      </c>
      <c r="AE18" s="126">
        <v>100</v>
      </c>
      <c r="AF18" s="298"/>
    </row>
    <row r="19" spans="2:37" x14ac:dyDescent="0.25">
      <c r="B19" s="442" t="s">
        <v>525</v>
      </c>
      <c r="C19" s="126">
        <v>0.1</v>
      </c>
      <c r="D19" s="298"/>
      <c r="K19" s="442" t="s">
        <v>525</v>
      </c>
      <c r="L19" s="126">
        <v>0.1</v>
      </c>
      <c r="M19" s="298"/>
      <c r="N19" s="125" t="str">
        <v>d2</v>
      </c>
      <c r="O19" s="577">
        <v>0.29817029082404245</v>
      </c>
      <c r="P19" s="125" t="s">
        <v>509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525</v>
      </c>
      <c r="V19" s="126">
        <v>0.1</v>
      </c>
      <c r="W19" s="298"/>
      <c r="AD19" s="442" t="s">
        <v>525</v>
      </c>
      <c r="AE19" s="126">
        <v>0.1</v>
      </c>
      <c r="AF19" s="298"/>
    </row>
    <row r="20" spans="2:37" x14ac:dyDescent="0.25">
      <c r="B20" s="442" t="s">
        <v>526</v>
      </c>
      <c r="C20" s="126">
        <v>0.03</v>
      </c>
      <c r="D20" s="298"/>
      <c r="E20" s="299"/>
      <c r="K20" s="442" t="s">
        <v>526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529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526</v>
      </c>
      <c r="V20" s="126">
        <v>0.03</v>
      </c>
      <c r="W20" s="298"/>
      <c r="AD20" s="442" t="s">
        <v>526</v>
      </c>
      <c r="AE20" s="126">
        <v>0.03</v>
      </c>
      <c r="AF20" s="298"/>
    </row>
    <row r="21" spans="2:37" x14ac:dyDescent="0.25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530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 x14ac:dyDescent="0.25">
      <c r="B22" s="442" t="s">
        <v>424</v>
      </c>
      <c r="C22" s="126">
        <v>4.5199999999999996</v>
      </c>
      <c r="D22" s="298"/>
      <c r="E22" s="299"/>
      <c r="K22" s="442" t="s">
        <v>424</v>
      </c>
      <c r="L22" s="126">
        <v>4.5199999999999996</v>
      </c>
      <c r="M22" s="298"/>
      <c r="U22" s="442" t="s">
        <v>424</v>
      </c>
      <c r="V22" s="126">
        <v>4.5199999999999996</v>
      </c>
      <c r="W22" s="298"/>
      <c r="AD22" s="442" t="s">
        <v>424</v>
      </c>
      <c r="AE22" s="126">
        <v>4.5199999999999996</v>
      </c>
      <c r="AF22" s="298"/>
    </row>
    <row r="23" spans="2:37" x14ac:dyDescent="0.25">
      <c r="B23" s="442" t="s">
        <v>421</v>
      </c>
      <c r="C23" s="126" t="s">
        <v>428</v>
      </c>
      <c r="D23" s="298"/>
      <c r="E23" s="299"/>
      <c r="K23" s="442" t="s">
        <v>421</v>
      </c>
      <c r="L23" s="126" t="s">
        <v>428</v>
      </c>
      <c r="M23" s="298"/>
      <c r="U23" s="442" t="s">
        <v>421</v>
      </c>
      <c r="V23" s="126" t="s">
        <v>512</v>
      </c>
      <c r="W23" s="298"/>
      <c r="AD23" s="442" t="s">
        <v>421</v>
      </c>
      <c r="AE23" s="126" t="s">
        <v>428</v>
      </c>
      <c r="AF23" s="298"/>
    </row>
    <row r="24" spans="2:37" x14ac:dyDescent="0.25">
      <c r="B24" s="443" t="s">
        <v>427</v>
      </c>
      <c r="C24" s="128" t="s">
        <v>429</v>
      </c>
      <c r="D24" s="298"/>
      <c r="E24" s="299"/>
      <c r="K24" s="443" t="s">
        <v>427</v>
      </c>
      <c r="L24" s="128" t="s">
        <v>429</v>
      </c>
      <c r="M24" s="298"/>
      <c r="U24" s="443" t="s">
        <v>427</v>
      </c>
      <c r="V24" s="128" t="s">
        <v>429</v>
      </c>
      <c r="W24" s="298"/>
      <c r="AD24" s="443" t="s">
        <v>427</v>
      </c>
      <c r="AE24" s="128" t="s">
        <v>512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44" spans="9:9" x14ac:dyDescent="0.25">
      <c r="I44" s="439">
        <v>100</v>
      </c>
    </row>
    <row r="49" spans="2:17" x14ac:dyDescent="0.25">
      <c r="B49" s="790" t="s">
        <v>616</v>
      </c>
      <c r="C49" s="791"/>
      <c r="D49" s="883" t="s">
        <v>617</v>
      </c>
      <c r="E49" s="884"/>
      <c r="F49" s="884"/>
      <c r="G49" s="884"/>
      <c r="H49" s="884"/>
      <c r="I49" s="884"/>
      <c r="J49" s="884"/>
      <c r="K49" s="884"/>
      <c r="L49" s="884"/>
      <c r="M49" s="884"/>
      <c r="N49" s="884"/>
      <c r="O49" s="884"/>
      <c r="P49" s="884"/>
      <c r="Q49" s="885"/>
    </row>
    <row r="50" spans="2:17" x14ac:dyDescent="0.25">
      <c r="B50" s="792"/>
      <c r="C50" s="793"/>
      <c r="D50" s="794" t="s">
        <v>618</v>
      </c>
      <c r="E50" s="794" t="s">
        <v>22</v>
      </c>
      <c r="F50" s="794" t="s">
        <v>619</v>
      </c>
      <c r="G50" s="794" t="s">
        <v>0</v>
      </c>
      <c r="H50" s="794" t="s">
        <v>620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 x14ac:dyDescent="0.25">
      <c r="B51" s="886" t="s">
        <v>22</v>
      </c>
      <c r="C51" s="795" t="s">
        <v>621</v>
      </c>
      <c r="D51" s="796" t="s">
        <v>622</v>
      </c>
      <c r="E51" s="797" t="s">
        <v>623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 x14ac:dyDescent="0.25">
      <c r="B52" s="887"/>
      <c r="C52" s="802" t="s">
        <v>624</v>
      </c>
      <c r="D52" s="796" t="s">
        <v>625</v>
      </c>
      <c r="E52" s="797" t="s">
        <v>626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 x14ac:dyDescent="0.25">
      <c r="B53" s="887"/>
      <c r="C53" s="802" t="s">
        <v>627</v>
      </c>
      <c r="D53" s="796" t="s">
        <v>625</v>
      </c>
      <c r="E53" s="797" t="s">
        <v>626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 x14ac:dyDescent="0.25">
      <c r="B54" s="887"/>
      <c r="C54" s="802" t="s">
        <v>628</v>
      </c>
      <c r="D54" s="796" t="s">
        <v>625</v>
      </c>
      <c r="E54" s="797" t="s">
        <v>626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 x14ac:dyDescent="0.25">
      <c r="B55" s="887"/>
      <c r="C55" s="802" t="s">
        <v>629</v>
      </c>
      <c r="D55" s="796" t="s">
        <v>630</v>
      </c>
      <c r="E55" s="797" t="s">
        <v>631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 x14ac:dyDescent="0.25">
      <c r="B56" s="887"/>
      <c r="C56" s="802" t="s">
        <v>632</v>
      </c>
      <c r="D56" s="796" t="s">
        <v>630</v>
      </c>
      <c r="E56" s="797" t="s">
        <v>631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 x14ac:dyDescent="0.25">
      <c r="B57" s="887"/>
      <c r="C57" s="802" t="s">
        <v>633</v>
      </c>
      <c r="D57" s="796" t="s">
        <v>630</v>
      </c>
      <c r="E57" s="797" t="s">
        <v>631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 x14ac:dyDescent="0.25">
      <c r="B58" s="887"/>
      <c r="C58" s="802" t="s">
        <v>634</v>
      </c>
      <c r="D58" s="796" t="s">
        <v>630</v>
      </c>
      <c r="E58" s="797" t="s">
        <v>631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 x14ac:dyDescent="0.25">
      <c r="B59" s="887"/>
      <c r="C59" s="802" t="s">
        <v>635</v>
      </c>
      <c r="D59" s="796" t="s">
        <v>352</v>
      </c>
      <c r="E59" s="797" t="s">
        <v>636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 x14ac:dyDescent="0.25">
      <c r="B60" s="887"/>
      <c r="C60" s="802" t="s">
        <v>637</v>
      </c>
      <c r="D60" s="804" t="s">
        <v>630</v>
      </c>
      <c r="E60" s="805" t="s">
        <v>631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 x14ac:dyDescent="0.25">
      <c r="B61" s="887"/>
      <c r="C61" s="807" t="s">
        <v>638</v>
      </c>
      <c r="D61" s="808" t="s">
        <v>352</v>
      </c>
      <c r="E61" s="809" t="s">
        <v>636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 x14ac:dyDescent="0.2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16" priority="16" stopIfTrue="1" operator="equal">
      <formula>"ERROR"</formula>
    </cfRule>
    <cfRule type="cellIs" dxfId="515" priority="17" stopIfTrue="1" operator="equal">
      <formula>"OK"</formula>
    </cfRule>
    <cfRule type="cellIs" dxfId="514" priority="18" stopIfTrue="1" operator="equal">
      <formula>"WARNING"</formula>
    </cfRule>
  </conditionalFormatting>
  <conditionalFormatting sqref="C4">
    <cfRule type="cellIs" dxfId="513" priority="13" stopIfTrue="1" operator="equal">
      <formula>"ERROR"</formula>
    </cfRule>
    <cfRule type="cellIs" dxfId="512" priority="14" stopIfTrue="1" operator="equal">
      <formula>"OK"</formula>
    </cfRule>
    <cfRule type="cellIs" dxfId="511" priority="15" stopIfTrue="1" operator="equal">
      <formula>"WARNING"</formula>
    </cfRule>
  </conditionalFormatting>
  <conditionalFormatting sqref="C12">
    <cfRule type="cellIs" dxfId="510" priority="10" stopIfTrue="1" operator="equal">
      <formula>"ERROR"</formula>
    </cfRule>
  </conditionalFormatting>
  <conditionalFormatting sqref="C12">
    <cfRule type="cellIs" dxfId="509" priority="11" stopIfTrue="1" operator="equal">
      <formula>"OK"</formula>
    </cfRule>
  </conditionalFormatting>
  <conditionalFormatting sqref="C12">
    <cfRule type="cellIs" dxfId="508" priority="12" stopIfTrue="1" operator="equal">
      <formula>"WARNING"</formula>
    </cfRule>
  </conditionalFormatting>
  <conditionalFormatting sqref="I17:J17 T17">
    <cfRule type="cellIs" dxfId="507" priority="19" stopIfTrue="1" operator="equal">
      <formula>"ERROR"</formula>
    </cfRule>
    <cfRule type="cellIs" dxfId="506" priority="20" stopIfTrue="1" operator="equal">
      <formula>"OK"</formula>
    </cfRule>
    <cfRule type="cellIs" dxfId="505" priority="21" stopIfTrue="1" operator="equal">
      <formula>"WARNING"</formula>
    </cfRule>
  </conditionalFormatting>
  <conditionalFormatting sqref="AB17">
    <cfRule type="cellIs" dxfId="504" priority="7" stopIfTrue="1" operator="equal">
      <formula>"ERROR"</formula>
    </cfRule>
    <cfRule type="cellIs" dxfId="503" priority="8" stopIfTrue="1" operator="equal">
      <formula>"OK"</formula>
    </cfRule>
    <cfRule type="cellIs" dxfId="502" priority="9" stopIfTrue="1" operator="equal">
      <formula>"WARNING"</formula>
    </cfRule>
  </conditionalFormatting>
  <conditionalFormatting sqref="AK17">
    <cfRule type="cellIs" dxfId="501" priority="4" stopIfTrue="1" operator="equal">
      <formula>"ERROR"</formula>
    </cfRule>
    <cfRule type="cellIs" dxfId="500" priority="5" stopIfTrue="1" operator="equal">
      <formula>"OK"</formula>
    </cfRule>
    <cfRule type="cellIs" dxfId="499" priority="6" stopIfTrue="1" operator="equal">
      <formula>"WARNING"</formula>
    </cfRule>
  </conditionalFormatting>
  <conditionalFormatting sqref="R17:S21">
    <cfRule type="cellIs" dxfId="498" priority="1" stopIfTrue="1" operator="equal">
      <formula>"ERROR"</formula>
    </cfRule>
    <cfRule type="cellIs" dxfId="497" priority="2" stopIfTrue="1" operator="equal">
      <formula>"OK"</formula>
    </cfRule>
    <cfRule type="cellIs" dxfId="496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45" zoomScale="70" zoomScaleNormal="70" workbookViewId="0">
      <selection activeCell="B94" sqref="B94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8" t="s">
        <v>389</v>
      </c>
      <c r="C1" s="495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 x14ac:dyDescent="0.25">
      <c r="B4" s="56" t="s">
        <v>141</v>
      </c>
      <c r="C4" s="164" t="str" cm="1">
        <f t="array" aca="1" ref="C4" ca="1">_xll.d.TestUtils_And(C7:C10)</f>
        <v>Ok</v>
      </c>
    </row>
    <row r="5" spans="2:22" s="439" customFormat="1" x14ac:dyDescent="0.25"/>
    <row r="6" spans="2:22" x14ac:dyDescent="0.25">
      <c r="B6" s="50" t="s">
        <v>141</v>
      </c>
      <c r="C6" s="50"/>
    </row>
    <row r="7" spans="2:22" x14ac:dyDescent="0.25">
      <c r="B7" s="480" t="s">
        <v>450</v>
      </c>
      <c r="C7" s="164" t="str">
        <f ca="1">C15</f>
        <v>Ok</v>
      </c>
    </row>
    <row r="8" spans="2:22" x14ac:dyDescent="0.25">
      <c r="B8" s="480" t="s">
        <v>451</v>
      </c>
      <c r="C8" s="164" t="str">
        <f ca="1">C62</f>
        <v>Ok</v>
      </c>
      <c r="E8" s="495"/>
    </row>
    <row r="9" spans="2:22" x14ac:dyDescent="0.25">
      <c r="B9" s="480" t="s">
        <v>457</v>
      </c>
      <c r="C9" s="164" t="str">
        <f ca="1">C76</f>
        <v>Ok</v>
      </c>
    </row>
    <row r="10" spans="2:22" s="439" customFormat="1" x14ac:dyDescent="0.25">
      <c r="B10" s="480" t="s">
        <v>643</v>
      </c>
      <c r="C10" s="838" t="str">
        <f ca="1">C90</f>
        <v>Ok</v>
      </c>
    </row>
    <row r="13" spans="2:22" ht="18.75" x14ac:dyDescent="0.3">
      <c r="B13" s="3" t="s">
        <v>450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 x14ac:dyDescent="0.25">
      <c r="B15" s="56" t="s">
        <v>141</v>
      </c>
      <c r="C15" s="164" t="str" cm="1">
        <f t="array" aca="1" ref="C15" ca="1">_xll.d.TestUtils_And(C43,M47)</f>
        <v>Ok</v>
      </c>
    </row>
    <row r="16" spans="2:22" x14ac:dyDescent="0.25">
      <c r="M16" s="439"/>
      <c r="N16" s="439"/>
      <c r="O16" s="439"/>
      <c r="P16" s="439"/>
      <c r="Q16" s="439"/>
    </row>
    <row r="17" spans="2:17" ht="15.75" x14ac:dyDescent="0.2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 x14ac:dyDescent="0.25">
      <c r="M18" s="439"/>
      <c r="N18" s="439"/>
      <c r="O18" s="439"/>
      <c r="P18" s="439"/>
      <c r="Q18" s="439"/>
    </row>
    <row r="19" spans="2:17" x14ac:dyDescent="0.25">
      <c r="B19" s="56" t="s">
        <v>3</v>
      </c>
      <c r="C19" s="55" t="str" cm="1">
        <f t="array" aca="1" ref="C19" ca="1">_xll.d.Curve_Create("ExampleCurve",B22:C25,B29:B34,C29:C34)</f>
        <v>@@ExampleCurve::17:59:32</v>
      </c>
      <c r="D19" s="26"/>
      <c r="M19" s="439"/>
      <c r="N19" s="439"/>
      <c r="O19" s="439"/>
      <c r="P19" s="439"/>
      <c r="Q19" s="439"/>
    </row>
    <row r="20" spans="2:17" x14ac:dyDescent="0.25">
      <c r="M20" s="439"/>
      <c r="N20" s="439"/>
      <c r="O20" s="439"/>
      <c r="P20" s="439"/>
      <c r="Q20" s="439"/>
    </row>
    <row r="21" spans="2:17" x14ac:dyDescent="0.25">
      <c r="B21" s="12" t="s">
        <v>48</v>
      </c>
      <c r="C21" s="137"/>
      <c r="M21" s="439"/>
      <c r="N21" s="439"/>
      <c r="O21" s="439"/>
      <c r="P21" s="439"/>
      <c r="Q21" s="439"/>
    </row>
    <row r="22" spans="2:17" x14ac:dyDescent="0.25">
      <c r="B22" s="62" t="s">
        <v>29</v>
      </c>
      <c r="C22" s="138" t="s">
        <v>30</v>
      </c>
    </row>
    <row r="23" spans="2:17" x14ac:dyDescent="0.25">
      <c r="B23" s="139" t="s">
        <v>58</v>
      </c>
      <c r="C23" s="140" t="s">
        <v>55</v>
      </c>
    </row>
    <row r="24" spans="2:17" x14ac:dyDescent="0.25">
      <c r="B24" s="141" t="s">
        <v>56</v>
      </c>
      <c r="C24" s="142" t="s">
        <v>57</v>
      </c>
      <c r="E24" s="144"/>
    </row>
    <row r="25" spans="2:17" x14ac:dyDescent="0.25">
      <c r="B25" s="143" t="s">
        <v>43</v>
      </c>
      <c r="C25" s="496" t="s">
        <v>456</v>
      </c>
      <c r="D25" s="1"/>
    </row>
    <row r="27" spans="2:17" x14ac:dyDescent="0.25">
      <c r="E27" s="10"/>
    </row>
    <row r="28" spans="2:17" x14ac:dyDescent="0.25">
      <c r="B28" s="12" t="s">
        <v>0</v>
      </c>
      <c r="C28" s="13" t="s">
        <v>2</v>
      </c>
      <c r="E28" s="11"/>
    </row>
    <row r="29" spans="2:17" x14ac:dyDescent="0.25">
      <c r="B29" s="17">
        <v>44562</v>
      </c>
      <c r="C29" s="59">
        <v>1</v>
      </c>
      <c r="E29" s="8"/>
    </row>
    <row r="30" spans="2:17" x14ac:dyDescent="0.25">
      <c r="B30" s="18">
        <v>44593</v>
      </c>
      <c r="C30" s="60">
        <v>0.99</v>
      </c>
      <c r="E30" s="8"/>
    </row>
    <row r="31" spans="2:17" x14ac:dyDescent="0.25">
      <c r="B31" s="18">
        <v>44621</v>
      </c>
      <c r="C31" s="60">
        <v>0.98</v>
      </c>
    </row>
    <row r="32" spans="2:17" x14ac:dyDescent="0.25">
      <c r="B32" s="18">
        <v>44652</v>
      </c>
      <c r="C32" s="60">
        <v>0.97</v>
      </c>
      <c r="D32" s="1"/>
    </row>
    <row r="33" spans="2:20" x14ac:dyDescent="0.25">
      <c r="B33" s="18">
        <v>44682</v>
      </c>
      <c r="C33" s="60">
        <v>0.96</v>
      </c>
    </row>
    <row r="34" spans="2:20" x14ac:dyDescent="0.25">
      <c r="B34" s="19">
        <v>46022</v>
      </c>
      <c r="C34" s="61">
        <v>0.62</v>
      </c>
    </row>
    <row r="35" spans="2:20" x14ac:dyDescent="0.25">
      <c r="D35" s="5"/>
      <c r="E35" s="5"/>
    </row>
    <row r="36" spans="2:20" s="439" customFormat="1" x14ac:dyDescent="0.25">
      <c r="D36" s="5"/>
      <c r="E36" s="5"/>
    </row>
    <row r="37" spans="2:20" ht="18.75" x14ac:dyDescent="0.3">
      <c r="B37" s="3" t="s">
        <v>463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 x14ac:dyDescent="0.25">
      <c r="B38"/>
      <c r="C38"/>
      <c r="D38"/>
      <c r="E38"/>
      <c r="F38"/>
    </row>
    <row r="39" spans="2:20" s="439" customFormat="1" x14ac:dyDescent="0.25">
      <c r="B39" s="50" t="s">
        <v>108</v>
      </c>
      <c r="C39" s="164" t="str" cm="1">
        <f t="array" aca="1" ref="C39" ca="1">_xll.d.TestUtils_And(C43,H43)</f>
        <v>Ok</v>
      </c>
    </row>
    <row r="40" spans="2:20" s="439" customFormat="1" x14ac:dyDescent="0.25"/>
    <row r="41" spans="2:20" s="439" customFormat="1" ht="15.75" x14ac:dyDescent="0.2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 x14ac:dyDescent="0.25">
      <c r="G42"/>
    </row>
    <row r="43" spans="2:20" s="439" customFormat="1" x14ac:dyDescent="0.25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 x14ac:dyDescent="0.25">
      <c r="B44"/>
      <c r="C44"/>
      <c r="D44"/>
      <c r="E44"/>
      <c r="F44"/>
      <c r="G44"/>
      <c r="J44"/>
      <c r="K44"/>
    </row>
    <row r="45" spans="2:20" s="439" customFormat="1" x14ac:dyDescent="0.25">
      <c r="B45" s="58" t="s">
        <v>2</v>
      </c>
      <c r="C45"/>
      <c r="D45" s="479" t="s">
        <v>449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 x14ac:dyDescent="0.25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 x14ac:dyDescent="0.25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559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 x14ac:dyDescent="0.25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 x14ac:dyDescent="0.25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 x14ac:dyDescent="0.25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 x14ac:dyDescent="0.25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 x14ac:dyDescent="0.25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 x14ac:dyDescent="0.25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 x14ac:dyDescent="0.25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 x14ac:dyDescent="0.25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 x14ac:dyDescent="0.25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 x14ac:dyDescent="0.25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 x14ac:dyDescent="0.25">
      <c r="F58"/>
    </row>
    <row r="59" spans="2:22" s="439" customFormat="1" x14ac:dyDescent="0.25"/>
    <row r="60" spans="2:22" ht="18.75" x14ac:dyDescent="0.3">
      <c r="B60" s="3" t="s">
        <v>451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39"/>
      <c r="K63" s="439"/>
      <c r="M63" s="439"/>
    </row>
    <row r="64" spans="2:22" x14ac:dyDescent="0.25">
      <c r="F64" s="5"/>
      <c r="G64" s="5"/>
      <c r="H64" s="5"/>
      <c r="J64" s="439"/>
      <c r="K64" s="439"/>
      <c r="M64" s="439"/>
    </row>
    <row r="65" spans="2:25" x14ac:dyDescent="0.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 x14ac:dyDescent="0.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 x14ac:dyDescent="0.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 x14ac:dyDescent="0.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 x14ac:dyDescent="0.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 x14ac:dyDescent="0.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 x14ac:dyDescent="0.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 x14ac:dyDescent="0.3">
      <c r="B74" s="3" t="s">
        <v>457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 x14ac:dyDescent="0.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 x14ac:dyDescent="0.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 x14ac:dyDescent="0.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 x14ac:dyDescent="0.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 x14ac:dyDescent="0.25">
      <c r="B80" s="503" t="s">
        <v>233</v>
      </c>
      <c r="C80" s="504" t="s">
        <v>234</v>
      </c>
      <c r="D80" s="504" t="s">
        <v>459</v>
      </c>
      <c r="E80" s="504" t="s">
        <v>460</v>
      </c>
      <c r="F80" s="504" t="s">
        <v>458</v>
      </c>
      <c r="G80" s="504" t="s">
        <v>461</v>
      </c>
      <c r="H80" s="504"/>
      <c r="I80" s="504" t="s">
        <v>69</v>
      </c>
      <c r="J80" s="504" t="s">
        <v>458</v>
      </c>
      <c r="K80" s="504" t="s">
        <v>461</v>
      </c>
      <c r="L80" s="504"/>
      <c r="M80" s="504" t="s">
        <v>69</v>
      </c>
      <c r="N80" s="504" t="s">
        <v>458</v>
      </c>
      <c r="O80" s="504" t="s">
        <v>461</v>
      </c>
      <c r="P80" s="504" t="s">
        <v>69</v>
      </c>
      <c r="Q80" s="504" t="s">
        <v>458</v>
      </c>
      <c r="R80" s="504" t="s">
        <v>461</v>
      </c>
      <c r="S80" s="504" t="s">
        <v>69</v>
      </c>
      <c r="T80" s="504" t="s">
        <v>458</v>
      </c>
      <c r="U80" s="504" t="s">
        <v>461</v>
      </c>
      <c r="V80" s="504" t="s">
        <v>69</v>
      </c>
      <c r="W80" s="504" t="s">
        <v>458</v>
      </c>
      <c r="X80" s="504" t="s">
        <v>461</v>
      </c>
      <c r="Y80" s="138" t="s">
        <v>69</v>
      </c>
    </row>
    <row r="81" spans="2:25" x14ac:dyDescent="0.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 x14ac:dyDescent="0.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 x14ac:dyDescent="0.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 x14ac:dyDescent="0.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 x14ac:dyDescent="0.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 x14ac:dyDescent="0.25">
      <c r="C86" s="439"/>
      <c r="D86" s="439"/>
      <c r="E86" s="439"/>
    </row>
    <row r="87" spans="2:25" x14ac:dyDescent="0.25">
      <c r="C87" s="439"/>
      <c r="D87" s="439"/>
      <c r="E87" s="439"/>
      <c r="F87" s="497"/>
    </row>
    <row r="88" spans="2:25" ht="18.75" x14ac:dyDescent="0.3">
      <c r="B88" s="3" t="s">
        <v>643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 x14ac:dyDescent="0.25">
      <c r="C89" s="439"/>
      <c r="D89" s="439"/>
      <c r="E89" s="439"/>
    </row>
    <row r="90" spans="2:25" x14ac:dyDescent="0.25">
      <c r="B90" s="56" t="s">
        <v>141</v>
      </c>
      <c r="C90" s="838" t="str">
        <f ca="1">K94</f>
        <v>Ok</v>
      </c>
      <c r="D90" s="439"/>
      <c r="E90" s="439"/>
    </row>
    <row r="91" spans="2:25" x14ac:dyDescent="0.25">
      <c r="B91" s="479" t="s">
        <v>645</v>
      </c>
      <c r="C91" s="439"/>
    </row>
    <row r="92" spans="2:25" x14ac:dyDescent="0.25">
      <c r="B92" s="479" t="s">
        <v>646</v>
      </c>
    </row>
    <row r="93" spans="2:25" x14ac:dyDescent="0.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 x14ac:dyDescent="0.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644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142"/>
  <sheetViews>
    <sheetView showGridLines="0" tabSelected="1" topLeftCell="A127" zoomScale="85" zoomScaleNormal="85" workbookViewId="0">
      <selection activeCell="F147" sqref="F147"/>
    </sheetView>
  </sheetViews>
  <sheetFormatPr defaultRowHeight="15" x14ac:dyDescent="0.2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 x14ac:dyDescent="0.25">
      <c r="B1" s="408" t="s">
        <v>389</v>
      </c>
    </row>
    <row r="2" spans="2:112" ht="26.25" x14ac:dyDescent="0.4">
      <c r="B2" s="2" t="s">
        <v>651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 x14ac:dyDescent="0.3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 x14ac:dyDescent="0.25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 x14ac:dyDescent="0.25">
      <c r="K7" s="203"/>
      <c r="L7" s="204"/>
    </row>
    <row r="8" spans="2:112" s="439" customFormat="1" ht="15.75" x14ac:dyDescent="0.25">
      <c r="B8" s="4" t="s">
        <v>652</v>
      </c>
      <c r="C8" s="4"/>
      <c r="D8" s="4"/>
      <c r="F8" s="4" t="s">
        <v>653</v>
      </c>
      <c r="G8" s="4"/>
      <c r="H8" s="4"/>
      <c r="K8" s="203"/>
      <c r="L8" s="204"/>
    </row>
    <row r="9" spans="2:112" s="439" customFormat="1" x14ac:dyDescent="0.25">
      <c r="K9" s="203"/>
      <c r="L9" s="204"/>
    </row>
    <row r="10" spans="2:112" x14ac:dyDescent="0.25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 x14ac:dyDescent="0.25">
      <c r="B11" s="202" t="s">
        <v>647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 x14ac:dyDescent="0.25">
      <c r="B12" s="415" t="s">
        <v>643</v>
      </c>
      <c r="C12" s="415"/>
      <c r="D12" s="300" t="str">
        <f ca="1">C89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 x14ac:dyDescent="0.25">
      <c r="F13" s="202" t="s">
        <v>588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 x14ac:dyDescent="0.25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 x14ac:dyDescent="0.25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 x14ac:dyDescent="0.25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 x14ac:dyDescent="0.25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 x14ac:dyDescent="0.25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 x14ac:dyDescent="0.25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 x14ac:dyDescent="0.3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639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 x14ac:dyDescent="0.25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 x14ac:dyDescent="0.2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588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606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606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493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 x14ac:dyDescent="0.25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 x14ac:dyDescent="0.25">
      <c r="B24" s="50" t="s">
        <v>108</v>
      </c>
      <c r="C24" s="164" t="str" cm="1">
        <f t="array" aca="1" ref="C24" ca="1">_xll.d.TestUtils_And(J26:J31,J52:J53)</f>
        <v>Ok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Ok</v>
      </c>
      <c r="V24" s="740"/>
      <c r="W24" s="121" t="s">
        <v>493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Ok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Ok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Error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str" cm="1">
        <f t="array" ref="CK24">_xll.d.Curve_SingleCurveBootstrap("CurveMissingBaseDate",CI28:CJ30,CI35:CK40,CI42:CK45,CI47:CK50)</f>
        <v>#∂Excel Error: Curve parameter missing: 'BASEDATE'.</v>
      </c>
      <c r="CL24" s="39"/>
      <c r="CM24" s="39"/>
      <c r="CN24" s="39"/>
      <c r="CO24" s="209"/>
      <c r="CS24" s="56" t="s">
        <v>37</v>
      </c>
      <c r="CT24" s="56"/>
      <c r="CU24" s="208" t="str" cm="1">
        <f t="array" ref="CU24">_xll.d.Curve_SingleCurveBootstrap("CurveMissingRateIndex",CS28:CT30,CS35:CU40,CS42:CU45,CS47:CU50)</f>
        <v>#∂Excel Error: Curve parameter missing: 'RATEINDEXTENOR'.</v>
      </c>
      <c r="CV24" s="209"/>
      <c r="DD24" s="56" t="s">
        <v>37</v>
      </c>
      <c r="DE24" s="56"/>
      <c r="DF24" s="208"/>
      <c r="DG24" s="209"/>
    </row>
    <row r="25" spans="2:111" x14ac:dyDescent="0.25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604</v>
      </c>
      <c r="AO25" s="44" t="s">
        <v>605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604</v>
      </c>
      <c r="BE25" s="44" t="s">
        <v>605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 x14ac:dyDescent="0.25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0.99996233814505087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Error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 x14ac:dyDescent="0.25">
      <c r="B27" s="56" t="s">
        <v>37</v>
      </c>
      <c r="C27" s="56"/>
      <c r="D27" s="208" t="str" cm="1">
        <f t="array" aca="1" ref="D27" ca="1">_xll.d.Curve_Bootstrap("ZARFlatCurve",B30:C35,,B38:D42,B44:D48,B50:D53)</f>
        <v>@@ZARFlatCurve::07:44:26</v>
      </c>
      <c r="E27" s="209"/>
      <c r="G27" s="229">
        <f>EDATE(G26,1)</f>
        <v>44743</v>
      </c>
      <c r="H27" s="239">
        <f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@@ZARRealCurve::17:56:31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604</v>
      </c>
      <c r="Y27" s="44" t="s">
        <v>605</v>
      </c>
      <c r="Z27" s="755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@@USDOIS::17:56:32</v>
      </c>
      <c r="AF27" s="209"/>
      <c r="AH27" s="770">
        <f>EDATE(AF31,1)</f>
        <v>43953</v>
      </c>
      <c r="AI27" s="739" cm="1">
        <f t="array" ref="AI27">1/(1+AD44*_xll.d.Dates_Act360($AH$26,AH27))</f>
        <v>0.99993778164914182</v>
      </c>
      <c r="AJ27" s="739" cm="1">
        <f t="array" aca="1" ref="AJ27" ca="1">_xll.d.Curve_GetDiscountFactors($AE$27,AH27)</f>
        <v>0.99993750383066682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0.99999388903101261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aca="1" ref="AU27" ca="1">_xll.d.Curve_Bootstrap("USDOIS-Dual",AS30:AT35,,AS38:AU40,AS42:AU63)</f>
        <v>@@USDOIS-Dual::18:12:09</v>
      </c>
      <c r="AV27" s="209"/>
      <c r="AX27" s="770">
        <f>EDATE(AV31,1)</f>
        <v>44685</v>
      </c>
      <c r="AY27" s="739" cm="1">
        <f t="array" ref="AY27">1/(1+AT44*_xll.d.Dates_Act360($AX$26,AX27))</f>
        <v>0.99967710429531254</v>
      </c>
      <c r="AZ27" s="739">
        <f ca="1"/>
        <v>0.99967743007747889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0.99995283990139072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aca="1" ref="BJ27" ca="1">_xll.d.Curve_Bootstrap("USDSwap-Dual",BH30:BI36,,BH38:BJ42,BH44:BJ51,BH54:BJ68)</f>
        <v>@@USDSwap-Dual::18:12:24</v>
      </c>
      <c r="BK27" s="209"/>
      <c r="BL27" s="54"/>
      <c r="BN27" s="825" cm="1">
        <f t="array" ref="BN27">_xll.d.Dates_AddTenorToDate($BI$32,BH40,"USD","ModFol")</f>
        <v>44652</v>
      </c>
      <c r="BO27" s="731" cm="1">
        <f t="array" ref="BO27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Error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 x14ac:dyDescent="0.25">
      <c r="G28" s="229">
        <f>EDATE(G26,2)</f>
        <v>44774</v>
      </c>
      <c r="H28" s="239">
        <f>1/(1+YEARFRAC($G$26,G28,3)*C41)</f>
        <v>0.98356238210724867</v>
      </c>
      <c r="I28" s="239" cm="1">
        <f t="array" aca="1" ref="I28" ca="1">_xll.d.Curve_GetDiscountFactors($D$27,G28)</f>
        <v>0.98356238210724878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>EDATE(AH27,1)</f>
        <v>43984</v>
      </c>
      <c r="AI28" s="739" cm="1">
        <f t="array" ref="AI28">1/(1+AD45*_xll.d.Dates_Act360($AH$26,AH28))</f>
        <v>0.99987576543614454</v>
      </c>
      <c r="AJ28" s="739" cm="1">
        <f t="array" aca="1" ref="AJ28" ca="1">_xll.d.Curve_GetDiscountFactors($AE$27,AH28)</f>
        <v>0.99987554282230828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0.99993361531335445</v>
      </c>
      <c r="AP28" s="749" t="str" cm="1">
        <f t="array" aca="1" ref="AP28" ca="1">_xll.d.TestUtils_Equal(AN28,AO28,0.0001)</f>
        <v>Ok</v>
      </c>
      <c r="AQ28" s="203"/>
      <c r="AR28" s="204"/>
      <c r="AX28" s="770">
        <f>EDATE(AX27,1)</f>
        <v>44716</v>
      </c>
      <c r="AY28" s="739" cm="1">
        <f t="array" ref="AY28">1/(1+AT45*_xll.d.Dates_Act360($AX$26,AX28))</f>
        <v>0.99898090073390411</v>
      </c>
      <c r="AZ28" s="739">
        <f ca="1"/>
        <v>0.99901718357838565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0.99967743007747878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ref="BN28">_xll.d.Dates_AddTenorToDate($BI$32,BH41,"USD","ModFol")</f>
        <v>44680</v>
      </c>
      <c r="BO28" s="731" cm="1">
        <f t="array" ref="BO28">1/(1+_xll.d.Dates_Act360($BN$26,BN28)*BI41)</f>
        <v>0.99963602141753505</v>
      </c>
      <c r="BP28" s="731" cm="1">
        <f t="array" aca="1" ref="BP28" ca="1">_xll.d.Curve_GetDiscountFactors($BJ$27,BN28)</f>
        <v>0.99964995069796314</v>
      </c>
      <c r="BQ28" s="824" t="str" cm="1">
        <f t="array" aca="1" ref="BQ28" ca="1">_xll.d.TestUtils_Equal(BO28,BP28,$BO$22)</f>
        <v>Error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 x14ac:dyDescent="0.25">
      <c r="G29" s="229">
        <f>EDATE(G26,3)</f>
        <v>44805</v>
      </c>
      <c r="H29" s="239">
        <f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ref="S29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>EDATE(AH28,1)</f>
        <v>44014</v>
      </c>
      <c r="AI29" s="739" cm="1">
        <f t="array" ref="AI29">1/(1+AD46*_xll.d.Dates_Act360($AH$26,AH29))</f>
        <v>0.99982436418669129</v>
      </c>
      <c r="AJ29" s="739" cm="1">
        <f t="array" aca="1" ref="AJ29" ca="1">_xll.d.Curve_GetDiscountFactors($AE$27,AH29)</f>
        <v>0.99982397477286578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0.99987554282230839</v>
      </c>
      <c r="AP29" s="749" t="str" cm="1">
        <f t="array" aca="1" ref="AP29" ca="1">_xll.d.TestUtils_Equal(AN29,AO29,0.0001)</f>
        <v>Ok</v>
      </c>
      <c r="AQ29" s="203"/>
      <c r="AR29" s="204"/>
      <c r="AX29" s="770">
        <f>EDATE(AX28,1)</f>
        <v>44746</v>
      </c>
      <c r="AY29" s="739" cm="1">
        <f t="array" ref="AY29">1/(1+AT46*_xll.d.Dates_Act360($AX$26,AX29))</f>
        <v>0.99810886096094031</v>
      </c>
      <c r="AZ29" s="739">
        <f ca="1"/>
        <v>0.99815996092047998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0.99897460200731625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ref="BN29">_xll.d.Dates_AddTenorToDate($BI$32,BH42,"USD","ModFol")</f>
        <v>44742</v>
      </c>
      <c r="BO29" s="731" cm="1">
        <f t="array" ref="BO29">1/(1+_xll.d.Dates_Act360($BN$26,BN29)*BI42)</f>
        <v>0.99757525838473171</v>
      </c>
      <c r="BP29" s="731" cm="1">
        <f t="array" aca="1" ref="BP29" ca="1">_xll.d.Curve_GetDiscountFactors($BJ$27,BN29)</f>
        <v>0.99767266761427376</v>
      </c>
      <c r="BQ29" s="824" t="str" cm="1">
        <f t="array" aca="1" ref="BQ29" ca="1">_xll.d.TestUtils_Equal(BO29,BP29,$BO$22)</f>
        <v>Error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 x14ac:dyDescent="0.25">
      <c r="B30" s="12" t="s">
        <v>48</v>
      </c>
      <c r="C30" s="13"/>
      <c r="G30" s="229">
        <f>EDATE(G26,6)</f>
        <v>44896</v>
      </c>
      <c r="H30" s="239">
        <f>H29*1/(1+YEARFRAC($G$29,G30,3)*C46)</f>
        <v>0.95168722053898536</v>
      </c>
      <c r="I30" s="239" cm="1">
        <f t="array" aca="1" ref="I30" ca="1">_xll.d.Curve_GetDiscountFactors($D$27,G30)</f>
        <v>0.95168722053898525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ref="R30">_xll.d.Dates_AddTenorToDate($N$32,M41,"ZAR","ModFol")</f>
        <v>43889</v>
      </c>
      <c r="S30" s="731" cm="1">
        <f t="array" ref="S30">1/(1+_xll.d.Dates_Act365($R$28,R30)*N41)</f>
        <v>0.99512731140810684</v>
      </c>
      <c r="T30" s="731" cm="1">
        <f t="array" aca="1" ref="T30" ca="1">_xll.d.Curve_GetDiscountFactors($O$27,R30)</f>
        <v>0.99512731140810673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0.99459025791532141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615</v>
      </c>
      <c r="AH30" s="770">
        <f>EDATE(AH29,1)</f>
        <v>44045</v>
      </c>
      <c r="AI30" s="739" cm="1">
        <f t="array" ref="AI30">1/(1+AD47*_xll.d.Dates_Act360($AH$26,AH30))</f>
        <v>0.99976927546831706</v>
      </c>
      <c r="AJ30" s="739" cm="1">
        <f t="array" aca="1" ref="AJ30" ca="1">_xll.d.Curve_GetDiscountFactors($AE$27,AH30)</f>
        <v>0.99976875143010868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0.99982397477286578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615</v>
      </c>
      <c r="AX30" s="770">
        <f>EDATE(AX29,1)</f>
        <v>44777</v>
      </c>
      <c r="AY30" s="739" cm="1">
        <f t="array" ref="AY30">1/(1+AT47*_xll.d.Dates_Act360($AX$26,AX30))</f>
        <v>0.99701294920418426</v>
      </c>
      <c r="AZ30" s="739">
        <f ca="1"/>
        <v>0.99706994900852708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0.9981308788857266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ref="BN30">_xll.d.Dates_AddTenorToDate($BI$32,BM30,"USD","ModFol")</f>
        <v>44834</v>
      </c>
      <c r="BO30" s="731" cm="1">
        <f t="array" ref="BO30">1/(1+_xll.d.Dates_Act360(BN29,BN30)*BI46)*BO29</f>
        <v>0.9933460324656187</v>
      </c>
      <c r="BP30" s="731" cm="1">
        <f t="array" aca="1" ref="BP30" ca="1">_xll.d.Curve_GetDiscountFactors($BJ$27,BN30)</f>
        <v>0.99350971852344139</v>
      </c>
      <c r="BQ30" s="824" t="str" cm="1">
        <f t="array" aca="1" ref="BQ30" ca="1">_xll.d.TestUtils_Equal(BO30,BP30,$BO$22)</f>
        <v>Error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 x14ac:dyDescent="0.25">
      <c r="B31" s="62" t="s">
        <v>29</v>
      </c>
      <c r="C31" s="64" t="s">
        <v>30</v>
      </c>
      <c r="G31" s="230">
        <f>EDATE(G26,9)</f>
        <v>44986</v>
      </c>
      <c r="H31" s="240">
        <f>H30*1/(1+C47*YEARFRAC(G30,G31,3))</f>
        <v>0.92878565640836808</v>
      </c>
      <c r="I31" s="240" cm="1">
        <f t="array" aca="1" ref="I31" ca="1">_xll.d.Curve_GetDiscountFactors($D$27,G31)</f>
        <v>0.92878565640836819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ref="R31">_xll.d.Dates_AddTenorToDate($N$32,M42,"ZAR","ModFol")</f>
        <v>43951</v>
      </c>
      <c r="S31" s="731" cm="1">
        <f t="array" ref="S31">1/(1+_xll.d.Dates_Act365($R$28,R31)*N42)</f>
        <v>0.98408691024210704</v>
      </c>
      <c r="T31" s="731" cm="1">
        <f t="array" aca="1" ref="T31" ca="1">_xll.d.Curve_GetDiscountFactors($O$27,R31)</f>
        <v>0.98408691024210693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0.98408691024210693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ref="AF31">_xll.d.Dates_AddTenorToDate(AD32,"2d","USD","MODFOL")</f>
        <v>43923</v>
      </c>
      <c r="AH31" s="770">
        <f>EDATE(AH30,1)</f>
        <v>44076</v>
      </c>
      <c r="AI31" s="739" cm="1">
        <f t="array" ref="AI31">1/(1+AD48*_xll.d.Dates_Act360($AH$26,AH31))</f>
        <v>0.99971591406108762</v>
      </c>
      <c r="AJ31" s="739" cm="1">
        <f t="array" aca="1" ref="AJ31" ca="1">_xll.d.Curve_GetDiscountFactors($AE$27,AH31)</f>
        <v>0.99971541323156254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0.99976697008273918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ref="AV31">_xll.d.Dates_AddTenorToDate(AT32,"2d","USD","MODFOL")</f>
        <v>44655</v>
      </c>
      <c r="AX31" s="770">
        <f>EDATE(AX30,1)</f>
        <v>44808</v>
      </c>
      <c r="AY31" s="739" cm="1">
        <f t="array" ref="AY31">1/(1+AT48*_xll.d.Dates_Act360($AX$26,AX31))</f>
        <v>0.99561891723511198</v>
      </c>
      <c r="AZ31" s="739">
        <f ca="1"/>
        <v>0.99572377438897075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0.99706994900852708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ref="BN31">_xll.d.Dates_AddTenorToDate($BI$32,BM31,"USD","ModFol")</f>
        <v>44925</v>
      </c>
      <c r="BO31" s="731" cm="1">
        <f t="array" ref="BO31">1/(1+_xll.d.Dates_Act360(BN30,BN31)*BI47)*BO30</f>
        <v>0.98760768614641792</v>
      </c>
      <c r="BP31" s="731" cm="1">
        <f t="array" aca="1" ref="BP31" ca="1">_xll.d.Curve_GetDiscountFactors($BJ$27,BN31)</f>
        <v>0.98784044938306637</v>
      </c>
      <c r="BQ31" s="824" t="str" cm="1">
        <f t="array" aca="1" ref="BQ31" ca="1">_xll.d.TestUtils_Equal(BO31,BP31,$BO$22)</f>
        <v>Error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 x14ac:dyDescent="0.25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ref="R32">_xll.d.Dates_AddTenorToDate($N$32,Q32,"ZAR","ModFol")</f>
        <v>44043</v>
      </c>
      <c r="S32" s="731">
        <f t="array" ref="S32">1/(1+_xll.d.Dates_Act365($R$31,R32)*N46)*S31</f>
        <v>0.96832000758706194</v>
      </c>
      <c r="T32" s="731" cm="1">
        <f t="array" aca="1" ref="T32" ca="1">_xll.d.Curve_GetDiscountFactors($O$27,R32)</f>
        <v>0.96832386496355916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0.96848867052013532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>EDATE(AH31,1)</f>
        <v>44106</v>
      </c>
      <c r="AI32" s="773" cm="1">
        <f t="array" ref="AI32">1/(1+AD49*_xll.d.Dates_Act360($AH$26,AH32))</f>
        <v>0.99966094832835872</v>
      </c>
      <c r="AJ32" s="773" cm="1">
        <f t="array" aca="1" ref="AJ32" ca="1">_xll.d.Curve_GetDiscountFactors($AE$27,AH32)</f>
        <v>0.99966044732489656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0.99971541323156254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>EDATE(AX31,1)</f>
        <v>44838</v>
      </c>
      <c r="AY32" s="773" cm="1">
        <f t="array" ref="AY32">1/(1+AT49*_xll.d.Dates_Act360($AX$26,AX32))</f>
        <v>0.9942261421490407</v>
      </c>
      <c r="AZ32" s="773">
        <f ca="1"/>
        <v>0.99431150017099568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0.99563698685175417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594</v>
      </c>
      <c r="BN32" s="825" cm="1">
        <f t="array" ref="BN32">_xll.d.Dates_AddTenorToDate($BI$32,BM32,"USD","ModFol")</f>
        <v>45016</v>
      </c>
      <c r="BO32" s="731" cm="1">
        <f t="array" ref="BO32">1/(1+_xll.d.Dates_Act360(BN31,BN32)*BI48)*BO31</f>
        <v>0.98075265823113977</v>
      </c>
      <c r="BP32" s="731" cm="1">
        <f t="array" aca="1" ref="BP32" ca="1">_xll.d.Curve_GetDiscountFactors($BJ$27,BN32)</f>
        <v>0.98104672661130488</v>
      </c>
      <c r="BQ32" s="824" t="str" cm="1">
        <f t="array" aca="1" ref="BQ32" ca="1">_xll.d.TestUtils_Equal(BO32,BP32,$BO$22)</f>
        <v>Error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 x14ac:dyDescent="0.25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ref="R33">_xll.d.Dates_AddTenorToDate($N$32,Q33,"ZAR","ModFol")</f>
        <v>44134</v>
      </c>
      <c r="S33" s="731" cm="1">
        <f t="array" ref="S33">1/(1+_xll.d.Dates_Act365(R32,R33)*N47)*S32</f>
        <v>0.95343955884482767</v>
      </c>
      <c r="T33" s="731" cm="1">
        <f t="array" aca="1" ref="T33" ca="1">_xll.d.Curve_GetDiscountFactors($O$27,R33)</f>
        <v>0.95344335694392413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0.95344335694392413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0.99966044732489656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0.99431150017099579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595</v>
      </c>
      <c r="BN33" s="825" cm="1">
        <f t="array" ref="BN33">_xll.d.Dates_AddTenorToDate($BI$32,BM33,"USD","ModFol")</f>
        <v>45107</v>
      </c>
      <c r="BO33" s="731" cm="1">
        <f t="array" aca="1" ref="BO33" ca="1">1/(1+_xll.d.Dates_Act360(BN32,BN33)*BI49)*BO32</f>
        <v>0.97323697089520322</v>
      </c>
      <c r="BP33" s="731" cm="1">
        <f t="array" aca="1" ref="BP33" ca="1">_xll.d.Curve_GetDiscountFactors($BJ$27,BN33)</f>
        <v>0.97356020619852268</v>
      </c>
      <c r="BQ33" s="824" t="str" cm="1">
        <f t="array" aca="1" ref="BQ33" ca="1">_xll.d.TestUtils_Equal(BO33,BP33,$BO$22)</f>
        <v>Error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 x14ac:dyDescent="0.25">
      <c r="B34" s="269" t="s">
        <v>45</v>
      </c>
      <c r="C34" s="221" t="s">
        <v>24</v>
      </c>
      <c r="G34" s="121" t="s">
        <v>557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594</v>
      </c>
      <c r="R34" s="229" cm="1">
        <f t="array" ref="R34">_xll.d.Dates_AddTenorToDate($N$32,Q34,"ZAR","ModFol")</f>
        <v>44225</v>
      </c>
      <c r="S34" s="731" cm="1">
        <f t="array" ref="S34">1/(1+_xll.d.Dates_Act365(R33,R34)*N48)*S33</f>
        <v>0.93890302491578215</v>
      </c>
      <c r="T34" s="731" cm="1">
        <f t="array" aca="1" ref="T34" ca="1">_xll.d.Curve_GetDiscountFactors($O$27,R34)</f>
        <v>0.93890676510748883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0.9382758891525903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557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0.99948825995029578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557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0.98894793056834585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597</v>
      </c>
      <c r="BN34" s="825" cm="1">
        <f t="array" ref="BN34">_xll.d.Dates_AddTenorToDate($BI$32,BM34,"USD","ModFol")</f>
        <v>45198</v>
      </c>
      <c r="BO34" s="731" cm="1">
        <f t="array" aca="1" ref="BO34" ca="1">1/(1+_xll.d.Dates_Act360(BN33,BN34)*BI50)*BO33</f>
        <v>0.96546961497669326</v>
      </c>
      <c r="BP34" s="731" cm="1">
        <f t="array" aca="1" ref="BP34" ca="1">_xll.d.Curve_GetDiscountFactors($BJ$27,BN34)</f>
        <v>0.96580675684898731</v>
      </c>
      <c r="BQ34" s="824" t="str" cm="1">
        <f t="array" aca="1" ref="BQ34" ca="1">_xll.d.TestUtils_Equal(BO34,BP34,$BO$22)</f>
        <v>Error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 x14ac:dyDescent="0.25">
      <c r="B35" s="143" t="s">
        <v>43</v>
      </c>
      <c r="C35" s="496" t="s">
        <v>456</v>
      </c>
      <c r="D35" s="612" t="s">
        <v>553</v>
      </c>
      <c r="G35" s="119" t="s">
        <v>0</v>
      </c>
      <c r="H35" s="291" t="s">
        <v>555</v>
      </c>
      <c r="I35" s="291" t="s">
        <v>556</v>
      </c>
      <c r="J35" s="120" t="s">
        <v>2</v>
      </c>
      <c r="K35" s="203"/>
      <c r="L35" s="204"/>
      <c r="M35" s="143" t="s">
        <v>43</v>
      </c>
      <c r="N35" s="496" t="s">
        <v>456</v>
      </c>
      <c r="O35" s="734" t="s">
        <v>596</v>
      </c>
      <c r="Q35" s="735" t="s">
        <v>595</v>
      </c>
      <c r="R35" s="229" cm="1">
        <f t="array" ref="R35">_xll.d.Dates_AddTenorToDate($N$32,Q35,"ZAR","ModFol")</f>
        <v>44316</v>
      </c>
      <c r="S35" s="731" cm="1">
        <f t="array" ref="S35">1/(1+_xll.d.Dates_Act365(R34,R35)*N49)*S34</f>
        <v>0.92465622578544726</v>
      </c>
      <c r="T35" s="731" cm="1">
        <f t="array" aca="1" ref="T35" ca="1">_xll.d.Curve_GetDiscountFactors($O$27,R35)</f>
        <v>0.92465799189869091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0.92418977115352896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456</v>
      </c>
      <c r="AH35" s="119" t="s">
        <v>0</v>
      </c>
      <c r="AI35" s="291" t="s">
        <v>555</v>
      </c>
      <c r="AJ35" s="291" t="s">
        <v>556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0.99928852256680867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456</v>
      </c>
      <c r="AX35" s="119" t="s">
        <v>0</v>
      </c>
      <c r="AY35" s="291" t="s">
        <v>555</v>
      </c>
      <c r="AZ35" s="291" t="s">
        <v>556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0.98271527559368355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456</v>
      </c>
      <c r="BJ35" s="734" t="s">
        <v>596</v>
      </c>
      <c r="BL35" s="54"/>
      <c r="BM35" s="735" t="s">
        <v>598</v>
      </c>
      <c r="BN35" s="825" cm="1">
        <f t="array" ref="BN35">_xll.d.Dates_AddTenorToDate($BI$32,BM35,"USD","ModFol")</f>
        <v>45289</v>
      </c>
      <c r="BO35" s="731" cm="1">
        <f t="array" aca="1" ref="BO35" ca="1">1/(1+_xll.d.Dates_Act360(BN34,BN35)*BI51)*BO34</f>
        <v>0.95784519384053368</v>
      </c>
      <c r="BP35" s="731" cm="1">
        <f t="array" aca="1" ref="BP35" ca="1">_xll.d.Curve_GetDiscountFactors($BJ$27,BN35)</f>
        <v>0.95817550561776366</v>
      </c>
      <c r="BQ35" s="824" t="str" cm="1">
        <f t="array" aca="1" ref="BQ35" ca="1">_xll.d.TestUtils_Equal(BO35,BP35,$BO$22)</f>
        <v>Error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 x14ac:dyDescent="0.25">
      <c r="A36" s="439"/>
      <c r="B36" s="439"/>
      <c r="C36" s="439"/>
      <c r="D36" s="439"/>
      <c r="E36" s="439"/>
      <c r="F36" s="439"/>
      <c r="G36" s="609">
        <f t="array" ref="G36:G48">_xll.d.Dates_GenerateSchedule(C32,_xll.d.Dates_AddTenorToDate(C32,"3Y","ZAR","ModFol"),"3m","ZAR","ModFol","Forward")</f>
        <v>44713</v>
      </c>
      <c r="H36" s="722"/>
      <c r="I36" s="722"/>
      <c r="J36" s="724"/>
      <c r="K36" s="203"/>
      <c r="L36" s="204"/>
      <c r="Q36" s="735" t="s">
        <v>597</v>
      </c>
      <c r="R36" s="229" cm="1">
        <f t="array" ref="R36">_xll.d.Dates_AddTenorToDate($N$32,Q36,"ZAR","ModFol")</f>
        <v>44407</v>
      </c>
      <c r="S36" s="731" cm="1">
        <f t="array" ref="S36">1/(1+_xll.d.Dates_Act365(R35,R36)*N50)*S35</f>
        <v>0.9105585344591941</v>
      </c>
      <c r="T36" s="731" cm="1">
        <f t="array" aca="1" ref="T36" ca="1">_xll.d.Curve_GetDiscountFactors($O$27,R36)</f>
        <v>0.91056027364554459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0.9105602736455447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>
        <f t="array" ref="AH36:AH44">_xll.d.Dates_GenerateSchedule(AF31,_xll.d.Dates_AddTenorToDate(AF31,"8Y","USD","ModFol"),"1y","USD","ModFol","Forward")</f>
        <v>43923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0.9987899998063251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>
        <f t="array" ref="AX36:AX44">_xll.d.Dates_GenerateSchedule(AV31,_xll.d.Dates_AddTenorToDate(AV31,"8Y","USD","ModFol"),"1y","USD","ModFol","Forward")</f>
        <v>44655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0.96889716294273809</v>
      </c>
      <c r="BF36" s="747" t="str" cm="1">
        <f t="array" aca="1" ref="BF36" ca="1">_xll.d.TestUtils_Equal(BD36,BE36,0.001)</f>
        <v>Ok</v>
      </c>
      <c r="BG36" s="54"/>
      <c r="BH36" s="143" t="s">
        <v>642</v>
      </c>
      <c r="BI36" s="496" t="str">
        <f ca="1">AU27</f>
        <v>@@USDOIS-Dual::17:56:31</v>
      </c>
      <c r="BL36" s="54"/>
      <c r="BM36" s="735" t="s">
        <v>599</v>
      </c>
      <c r="BN36" s="826" cm="1">
        <f t="array" ref="BN36">_xll.d.Dates_AddTenorToDate($BI$32,BM36,"USD","ModFol")</f>
        <v>45380</v>
      </c>
      <c r="BO36" s="827" cm="1">
        <f t="array" aca="1" ref="BO36" ca="1">1/(1+_xll.d.Dates_Act360(BN35,BN36)*BI52)*BO35</f>
        <v>0.95784519384053368</v>
      </c>
      <c r="BP36" s="827" cm="1">
        <f t="array" aca="1" ref="BP36" ca="1">_xll.d.Curve_GetDiscountFactors($BJ$27,BN36)</f>
        <v>0.94970586199614171</v>
      </c>
      <c r="BQ36" s="831" t="str" cm="1">
        <f t="array" aca="1" ref="BQ36" ca="1">_xll.d.TestUtils_Equal(BO36,BP36,$BO$22)</f>
        <v>Error</v>
      </c>
      <c r="BR36" s="54"/>
      <c r="BS36" s="825">
        <f>EDATE(BN26,72)</f>
        <v>46843</v>
      </c>
      <c r="BT36" s="54" t="e" cm="1">
        <f t="array" aca="1" ref="BT36" ca="1">_xll.d.Curve_GetDiscountFactors(BJ27,BS36)</f>
        <v>#VALUE!</v>
      </c>
      <c r="BU36" s="54">
        <v>0.90020764392158203</v>
      </c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 x14ac:dyDescent="0.25">
      <c r="A37" s="439"/>
      <c r="B37" s="439"/>
      <c r="C37" s="439"/>
      <c r="D37" s="439"/>
      <c r="E37" s="439"/>
      <c r="F37" s="439"/>
      <c r="G37" s="610">
        <v>44805</v>
      </c>
      <c r="H37" s="279" cm="1">
        <f t="array" ref="H37">_xll.d.Dates_Act365(G36,G37)</f>
        <v>0.25205479452054796</v>
      </c>
      <c r="I37" s="607">
        <f t="array" ref="I37:I48">_xll.d.Curve_GetForwardRates(D27,G36:G47,G37:G48,"Simple")</f>
        <v>0.10000000000000028</v>
      </c>
      <c r="J37" s="126" cm="1">
        <f t="array" aca="1" ref="J37:J48" ca="1">_xll.d.Curve_GetDiscountFactors(D27,G37:G48)</f>
        <v>0.97541421699625863</v>
      </c>
      <c r="K37" s="203"/>
      <c r="L37" s="204"/>
      <c r="Q37" s="735" t="s">
        <v>598</v>
      </c>
      <c r="R37" s="229" cm="1">
        <f t="array" ref="R37">_xll.d.Dates_AddTenorToDate($N$32,Q37,"ZAR","ModFol")</f>
        <v>44498</v>
      </c>
      <c r="S37" s="731" cm="1">
        <f t="array" ref="S37">1/(1+_xll.d.Dates_Act365(R36,R37)*N51)*S36</f>
        <v>0.89656572268967616</v>
      </c>
      <c r="T37" s="731" cm="1">
        <f t="array" aca="1" ref="T37" ca="1">_xll.d.Curve_GetDiscountFactors($O$27,R37)</f>
        <v>0.89656743514945614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0.8959516809230047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>
        <v>44288</v>
      </c>
      <c r="AI37" s="280" cm="1">
        <f t="array" ref="AI37">_xll.d.Dates_Act360(AH36,AH37)</f>
        <v>1.0138888888888888</v>
      </c>
      <c r="AJ37" s="721">
        <f t="array" ref="AJ37:AJ44">_xll.d.Curve_GetForwardRates(AE27,AH36:AH43,AH37:AH44,"Simple")</f>
        <v>6.9000000000008551E-4</v>
      </c>
      <c r="AK37" s="726">
        <f t="array" aca="1" ref="AK37:AK44" ca="1">_xll.d.Curve_GetDiscountFactors(AE27,AH37:AH44)</f>
        <v>0.99929674205917507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0.99831018836473895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>
        <v>45020</v>
      </c>
      <c r="AY37" s="280" cm="1">
        <f t="array" ref="AY37">_xll.d.Dates_Act360(AX36,AX37)</f>
        <v>1.0138888888888888</v>
      </c>
      <c r="AZ37" s="721">
        <f t="array" aca="1" ref="AZ37:AZ44" ca="1">_xll.d.Curve_GetForwardRates(AU27,AX36:AX43,AX37:AX44,"Simple")</f>
        <v>1.7310000000000013E-2</v>
      </c>
      <c r="BA37" s="726">
        <f t="array" aca="1" ref="BA37:BA44" ca="1">_xll.d.Curve_GetDiscountFactors(AU27,AX37:AX44)</f>
        <v>0.98271527559368355</v>
      </c>
      <c r="BC37" s="783">
        <v>45386</v>
      </c>
      <c r="BD37" s="761">
        <v>0.95447497778402202</v>
      </c>
      <c r="BE37" s="784">
        <f ca="1"/>
        <v>0.9546252973440178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825"/>
      <c r="BT37" s="54"/>
      <c r="BU37" s="54">
        <v>0.86078787516076039</v>
      </c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 x14ac:dyDescent="0.25">
      <c r="A38" s="439"/>
      <c r="B38" s="12" t="s">
        <v>21</v>
      </c>
      <c r="C38" s="27"/>
      <c r="D38" s="13"/>
      <c r="G38" s="610">
        <v>44896</v>
      </c>
      <c r="H38" s="279" cm="1">
        <f t="array" ref="H38">_xll.d.Dates_Act365(G37,G38)</f>
        <v>0.24931506849315069</v>
      </c>
      <c r="I38" s="607">
        <v>0.10000000000000062</v>
      </c>
      <c r="J38" s="126">
        <f ca="1"/>
        <v>0.95168722053898525</v>
      </c>
      <c r="K38" s="203"/>
      <c r="L38" s="204"/>
      <c r="M38" s="12" t="s">
        <v>21</v>
      </c>
      <c r="N38" s="27"/>
      <c r="O38" s="13"/>
      <c r="Q38" s="735" t="s">
        <v>599</v>
      </c>
      <c r="R38" s="230" cm="1">
        <f t="array" ref="R38">_xll.d.Dates_AddTenorToDate($N$32,Q38,"ZAR","ModFol")</f>
        <v>44592</v>
      </c>
      <c r="S38" s="732" cm="1">
        <f t="array" ref="S38">1/(1+_xll.d.Dates_Act365(R37,R38)*N52)*S37</f>
        <v>0.88220678011621201</v>
      </c>
      <c r="T38" s="732" cm="1">
        <f t="array" aca="1" ref="T38" ca="1">_xll.d.Curve_GetDiscountFactors($O$27,R38)</f>
        <v>0.88220846515010332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0.88205105245930171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>
        <v>44655</v>
      </c>
      <c r="AI38" s="279" cm="1">
        <f t="array" ref="AI38">_xll.d.Dates_Act360(AH37,AH38)</f>
        <v>1.0194444444444444</v>
      </c>
      <c r="AJ38" s="607">
        <v>9.6937465456741368E-4</v>
      </c>
      <c r="AK38" s="727">
        <f ca="1"/>
        <v>0.99831018836473895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0.99647124209597093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>
        <v>45386</v>
      </c>
      <c r="AY38" s="279" cm="1">
        <f t="array" ref="AY38">_xll.d.Dates_Act360(AX37,AX38)</f>
        <v>1.0166666666666666</v>
      </c>
      <c r="AZ38" s="607">
        <f ca="1"/>
        <v>2.8942755738635206E-2</v>
      </c>
      <c r="BA38" s="727">
        <f ca="1"/>
        <v>0.9546252973440178</v>
      </c>
      <c r="BC38" s="783">
        <v>45751</v>
      </c>
      <c r="BD38" s="761">
        <v>0.93151665593338084</v>
      </c>
      <c r="BE38" s="784">
        <f ca="1"/>
        <v>0.93168703124417207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557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 x14ac:dyDescent="0.25">
      <c r="A39" s="439"/>
      <c r="B39" s="62" t="s">
        <v>35</v>
      </c>
      <c r="C39" s="63" t="s">
        <v>36</v>
      </c>
      <c r="D39" s="64" t="s">
        <v>42</v>
      </c>
      <c r="G39" s="610">
        <v>44986</v>
      </c>
      <c r="H39" s="279" cm="1">
        <f t="array" ref="H39">_xll.d.Dates_Act365(G38,G39)</f>
        <v>0.24657534246575341</v>
      </c>
      <c r="I39" s="607">
        <v>0.10000000000000005</v>
      </c>
      <c r="J39" s="126">
        <f ca="1"/>
        <v>0.92878565640836797</v>
      </c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0.82657902369827263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>
        <v>45019</v>
      </c>
      <c r="AI39" s="279" cm="1">
        <f t="array" ref="AI39">_xll.d.Dates_Act360(AH38,AH39)</f>
        <v>1.0111111111111111</v>
      </c>
      <c r="AJ39" s="607">
        <v>1.8251786817116121E-3</v>
      </c>
      <c r="AK39" s="727">
        <f ca="1"/>
        <v>0.99647124209597082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>
        <v>45751</v>
      </c>
      <c r="AY39" s="279" cm="1">
        <f t="array" ref="AY39">_xll.d.Dates_Act360(AX38,AX39)</f>
        <v>1.0138888888888888</v>
      </c>
      <c r="AZ39" s="607">
        <f ca="1"/>
        <v>2.4282878818596618E-2</v>
      </c>
      <c r="BA39" s="727">
        <f ca="1"/>
        <v>0.93168703124417207</v>
      </c>
      <c r="BC39" s="783">
        <v>46118</v>
      </c>
      <c r="BD39" s="761">
        <v>0.91204003345386175</v>
      </c>
      <c r="BE39" s="784">
        <f ca="1"/>
        <v>0.91218522603371854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555</v>
      </c>
      <c r="BP39" s="291" t="s">
        <v>556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 x14ac:dyDescent="0.25">
      <c r="A40" s="439"/>
      <c r="B40" s="248" t="s">
        <v>25</v>
      </c>
      <c r="C40" s="249">
        <v>0.1</v>
      </c>
      <c r="D40" s="250" t="b">
        <v>1</v>
      </c>
      <c r="G40" s="610">
        <v>45078</v>
      </c>
      <c r="H40" s="279" cm="1">
        <f t="array" ref="H40">_xll.d.Dates_Act365(G39,G40)</f>
        <v>0.25205479452054796</v>
      </c>
      <c r="I40" s="607">
        <v>0.10000000000000028</v>
      </c>
      <c r="J40" s="126">
        <f ca="1"/>
        <v>0.90595073380292435</v>
      </c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557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0.77142509298979545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>
        <v>45384</v>
      </c>
      <c r="AI40" s="279" cm="1">
        <f t="array" ref="AI40">_xll.d.Dates_Act360(AH39,AH40)</f>
        <v>1.0138888888888888</v>
      </c>
      <c r="AJ40" s="607">
        <v>2.9271968216642782E-3</v>
      </c>
      <c r="AK40" s="727">
        <f ca="1"/>
        <v>0.9935226136889701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0.98924200910255267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>
        <v>46118</v>
      </c>
      <c r="AY40" s="279" cm="1">
        <f t="array" ref="AY40">_xll.d.Dates_Act360(AX39,AX40)</f>
        <v>1.0194444444444444</v>
      </c>
      <c r="AZ40" s="607">
        <f ca="1"/>
        <v>2.0971438286629934E-2</v>
      </c>
      <c r="BA40" s="727">
        <f ca="1"/>
        <v>0.91218522603371854</v>
      </c>
      <c r="BC40" s="783">
        <v>46482</v>
      </c>
      <c r="BD40" s="761">
        <v>0.89492872245432198</v>
      </c>
      <c r="BE40" s="784">
        <f ca="1"/>
        <v>0.89506557532521158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>
        <f t="array" ref="BN40:BN72">_xll.d.Dates_GenerateSchedule(BI32,_xll.d.Dates_AddTenorToDate(BI32,"8Y","USD","ModFol"),"3m","USD","ModFol","Forward")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 x14ac:dyDescent="0.25">
      <c r="B41" s="251" t="s">
        <v>26</v>
      </c>
      <c r="C41" s="223">
        <v>0.1</v>
      </c>
      <c r="D41" s="252" t="b">
        <v>1</v>
      </c>
      <c r="F41" s="9"/>
      <c r="G41" s="610">
        <v>45170</v>
      </c>
      <c r="H41" s="279" cm="1">
        <f t="array" ref="H41">_xll.d.Dates_Act365(G40,G41)</f>
        <v>0.25205479452054796</v>
      </c>
      <c r="I41" s="607">
        <v>0.1000000342771778</v>
      </c>
      <c r="J41" s="126">
        <f ca="1"/>
        <v>0.8836772182025413</v>
      </c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555</v>
      </c>
      <c r="T41" s="291" t="s">
        <v>556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0.71727987233787982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>
        <v>45749</v>
      </c>
      <c r="AI41" s="279" cm="1">
        <f t="array" ref="AI41">_xll.d.Dates_Act360(AH40,AH41)</f>
        <v>1.0138888888888888</v>
      </c>
      <c r="AJ41" s="607">
        <v>4.2678799814167357E-3</v>
      </c>
      <c r="AK41" s="727">
        <f ca="1"/>
        <v>0.98924200910255267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>
        <v>46482</v>
      </c>
      <c r="AY41" s="279" cm="1">
        <f t="array" ref="AY41">_xll.d.Dates_Act360(AX40,AX41)</f>
        <v>1.0111111111111111</v>
      </c>
      <c r="AZ41" s="607">
        <f ca="1"/>
        <v>1.8916516449190259E-2</v>
      </c>
      <c r="BA41" s="727">
        <f ca="1"/>
        <v>0.89506557532521158</v>
      </c>
      <c r="BC41" s="783">
        <v>47212</v>
      </c>
      <c r="BD41" s="761">
        <v>0.86066681192648165</v>
      </c>
      <c r="BE41" s="784">
        <f ca="1"/>
        <v>0.86079635578514824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ref="BP41:BP72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 x14ac:dyDescent="0.25">
      <c r="B42" s="253" t="s">
        <v>24</v>
      </c>
      <c r="C42" s="254">
        <v>0.1</v>
      </c>
      <c r="D42" s="255" t="b">
        <v>1</v>
      </c>
      <c r="F42" s="9"/>
      <c r="G42" s="610">
        <v>45261</v>
      </c>
      <c r="H42" s="279" cm="1">
        <f t="array" ref="H42">_xll.d.Dates_Act365(G41,G42)</f>
        <v>0.24931506849315069</v>
      </c>
      <c r="I42" s="607">
        <v>9.9986450530074988E-2</v>
      </c>
      <c r="J42" s="126">
        <f ca="1"/>
        <v>0.86218457021925377</v>
      </c>
      <c r="K42" s="203"/>
      <c r="L42" s="204"/>
      <c r="M42" s="253" t="s">
        <v>24</v>
      </c>
      <c r="N42" s="709">
        <v>6.5579999999999999E-2</v>
      </c>
      <c r="O42" s="255" t="b">
        <v>1</v>
      </c>
      <c r="R42" s="723">
        <f t="array" ref="R42:R74">_xll.d.Dates_GenerateSchedule(N32,_xll.d.Dates_AddTenorToDate(N32,"8Y","ZAR","ModFol"),"3m","ZAR","ModFol","Forward")</f>
        <v>43861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0.663518254527107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>
        <v>46114</v>
      </c>
      <c r="AI42" s="279" cm="1">
        <f t="array" ref="AI42">_xll.d.Dates_Act360(AH41,AH42)</f>
        <v>1.0138888888888888</v>
      </c>
      <c r="AJ42" s="607">
        <v>5.704109949398458E-3</v>
      </c>
      <c r="AK42" s="727">
        <f ca="1"/>
        <v>0.98355378932825088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0.95681834245853103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>
        <v>46847</v>
      </c>
      <c r="AY42" s="279" cm="1">
        <f t="array" ref="AY42">_xll.d.Dates_Act360(AX41,AX42)</f>
        <v>1.0138888888888888</v>
      </c>
      <c r="AZ42" s="607">
        <f ca="1"/>
        <v>1.944124809629098E-2</v>
      </c>
      <c r="BA42" s="727">
        <f ca="1"/>
        <v>0.87776374123603396</v>
      </c>
      <c r="BC42" s="783">
        <v>48309</v>
      </c>
      <c r="BD42" s="761">
        <v>0.81049568807084837</v>
      </c>
      <c r="BE42" s="784">
        <f ca="1"/>
        <v>0.81061212037314934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 x14ac:dyDescent="0.25">
      <c r="G43" s="610">
        <v>45352</v>
      </c>
      <c r="H43" s="279" cm="1">
        <f t="array" ref="H43">_xll.d.Dates_Act365(G42,G43)</f>
        <v>0.24931506849315069</v>
      </c>
      <c r="I43" s="607">
        <v>9.9986450530074086E-2</v>
      </c>
      <c r="J43" s="126">
        <f ca="1"/>
        <v>0.84121466278853274</v>
      </c>
      <c r="K43" s="203"/>
      <c r="L43" s="204"/>
      <c r="Q43" s="9"/>
      <c r="R43" s="725">
        <v>43951</v>
      </c>
      <c r="S43" s="280" cm="1">
        <f t="array" ref="S43">_xll.d.Dates_Act365(R42,R43)</f>
        <v>0.24657534246575341</v>
      </c>
      <c r="T43" s="721">
        <f t="array" ref="T43:T74">_xll.d.Curve_GetForwardRates(O27,R42:R73,R43:R74,"Simple")</f>
        <v>6.558000000000061E-2</v>
      </c>
      <c r="U43" s="726">
        <f t="array" aca="1" ref="U43:U74" ca="1">_xll.d.Curve_GetDiscountFactors(O27,R43:R74)</f>
        <v>0.98408691024210704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0.61166506256248276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46479</v>
      </c>
      <c r="AI43" s="279" cm="1">
        <f t="array" ref="AI43">_xll.d.Dates_Act360(AH42,AH43)</f>
        <v>1.0138888888888888</v>
      </c>
      <c r="AJ43" s="607">
        <v>5.704109949398458E-3</v>
      </c>
      <c r="AK43" s="727">
        <f ca="1"/>
        <v>0.97789827726743384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0.94196322894163875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47212</v>
      </c>
      <c r="AY43" s="279" cm="1">
        <f t="array" ref="AY43">_xll.d.Dates_Act360(AX42,AX43)</f>
        <v>1.0138888888888888</v>
      </c>
      <c r="AZ43" s="607">
        <f ca="1"/>
        <v>1.944124809629098E-2</v>
      </c>
      <c r="BA43" s="727">
        <f ca="1"/>
        <v>0.86079635578514824</v>
      </c>
      <c r="BC43" s="783">
        <v>49038</v>
      </c>
      <c r="BD43" s="761">
        <v>0.77683553954317675</v>
      </c>
      <c r="BE43" s="784">
        <f ca="1"/>
        <v>0.77694743626845497</v>
      </c>
      <c r="BF43" s="747" t="str" cm="1">
        <f t="array" aca="1" ref="BF43" ca="1">_xll.d.TestUtils_Equal(BD43,BE43,0.001)</f>
        <v>Ok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 x14ac:dyDescent="0.25">
      <c r="B44" s="12" t="s">
        <v>34</v>
      </c>
      <c r="C44" s="27"/>
      <c r="D44" s="13"/>
      <c r="F44" s="9"/>
      <c r="G44" s="610">
        <v>45446</v>
      </c>
      <c r="H44" s="279" cm="1">
        <f t="array" ref="H44">_xll.d.Dates_Act365(G43,G44)</f>
        <v>0.25753424657534246</v>
      </c>
      <c r="I44" s="607">
        <v>0.10002720913866793</v>
      </c>
      <c r="J44" s="126">
        <f ca="1"/>
        <v>0.82008882054015297</v>
      </c>
      <c r="K44" s="203"/>
      <c r="L44" s="204"/>
      <c r="M44" s="12" t="s">
        <v>34</v>
      </c>
      <c r="N44" s="27"/>
      <c r="O44" s="13"/>
      <c r="Q44" s="9"/>
      <c r="R44" s="725">
        <v>44043</v>
      </c>
      <c r="S44" s="279" cm="1">
        <f t="array" ref="S44">_xll.d.Dates_Act365(R43,R44)</f>
        <v>0.25205479452054796</v>
      </c>
      <c r="T44" s="607">
        <v>6.4583938319545744E-2</v>
      </c>
      <c r="U44" s="727">
        <f ca="1"/>
        <v>0.96832386496355927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0.55992533612260831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>
        <v>46846</v>
      </c>
      <c r="AI44" s="640" cm="1">
        <f t="array" ref="AI44">_xll.d.Dates_Act360(AH43,AH44)</f>
        <v>1.0194444444444444</v>
      </c>
      <c r="AJ44" s="729">
        <v>7.1841692349993245E-3</v>
      </c>
      <c r="AK44" s="328">
        <f ca="1"/>
        <v>0.97078835787150619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0.92156171445373047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>
        <v>47577</v>
      </c>
      <c r="AY44" s="640" cm="1">
        <f t="array" ref="AY44">_xll.d.Dates_Act360(AX43,AX44)</f>
        <v>1.0138888888888888</v>
      </c>
      <c r="AZ44" s="729">
        <f ca="1"/>
        <v>1.9910782449838585E-2</v>
      </c>
      <c r="BA44" s="328">
        <f ca="1"/>
        <v>0.84376304036130223</v>
      </c>
      <c r="BC44" s="783">
        <v>50136</v>
      </c>
      <c r="BD44" s="761">
        <v>0.72962499907491318</v>
      </c>
      <c r="BE44" s="784">
        <f ca="1"/>
        <v>0.72972988149655782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 x14ac:dyDescent="0.25">
      <c r="B45" s="62" t="s">
        <v>194</v>
      </c>
      <c r="C45" s="63" t="s">
        <v>36</v>
      </c>
      <c r="D45" s="64" t="s">
        <v>42</v>
      </c>
      <c r="F45" s="9"/>
      <c r="G45" s="610">
        <v>45537</v>
      </c>
      <c r="H45" s="279" cm="1">
        <f t="array" ref="H45">_xll.d.Dates_Act365(G44,G45)</f>
        <v>0.24931506849315069</v>
      </c>
      <c r="I45" s="607">
        <v>9.9999999999999728E-2</v>
      </c>
      <c r="J45" s="126">
        <f ca="1"/>
        <v>0.80014012161763126</v>
      </c>
      <c r="K45" s="203"/>
      <c r="L45" s="204"/>
      <c r="M45" s="62" t="s">
        <v>194</v>
      </c>
      <c r="N45" s="63" t="s">
        <v>36</v>
      </c>
      <c r="O45" s="64" t="s">
        <v>42</v>
      </c>
      <c r="R45" s="725">
        <v>44134</v>
      </c>
      <c r="S45" s="279" cm="1">
        <f t="array" ref="S45">_xll.d.Dates_Act365(R44,R45)</f>
        <v>0.24931506849315069</v>
      </c>
      <c r="T45" s="607">
        <v>6.2599999999999503E-2</v>
      </c>
      <c r="U45" s="727">
        <f ca="1"/>
        <v>0.95344335694392424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0.88716540900503749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0.65884119832617782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 x14ac:dyDescent="0.25">
      <c r="B46" s="256" t="s">
        <v>195</v>
      </c>
      <c r="C46" s="247">
        <v>0.1</v>
      </c>
      <c r="D46" s="246" t="b">
        <v>1</v>
      </c>
      <c r="G46" s="610">
        <v>45628</v>
      </c>
      <c r="H46" s="279" cm="1">
        <f t="array" ref="H46">_xll.d.Dates_Act365(G45,G46)</f>
        <v>0.24931506849315069</v>
      </c>
      <c r="I46" s="607">
        <v>9.9999999999999728E-2</v>
      </c>
      <c r="J46" s="126">
        <f ca="1"/>
        <v>0.78067667572957877</v>
      </c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>
        <v>44225</v>
      </c>
      <c r="S46" s="279" cm="1">
        <f t="array" ref="S46">_xll.d.Dates_Act365(R45,R46)</f>
        <v>0.24931506849315069</v>
      </c>
      <c r="T46" s="607">
        <v>6.2100000000000218E-2</v>
      </c>
      <c r="U46" s="727">
        <f ca="1"/>
        <v>0.93890676510748883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0.85640111401297903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0.6041644302959055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 x14ac:dyDescent="0.25">
      <c r="B47" s="257" t="s">
        <v>196</v>
      </c>
      <c r="C47" s="242">
        <v>0.1</v>
      </c>
      <c r="D47" s="243" t="b">
        <v>1</v>
      </c>
      <c r="F47" s="612"/>
      <c r="G47" s="610">
        <v>45719</v>
      </c>
      <c r="H47" s="279" cm="1">
        <f t="array" ref="H47">_xll.d.Dates_Act365(G46,G47)</f>
        <v>0.24931506849315069</v>
      </c>
      <c r="I47" s="607">
        <v>9.9999999999999728E-2</v>
      </c>
      <c r="J47" s="126">
        <f ca="1"/>
        <v>0.76168667907323251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>
        <v>44316</v>
      </c>
      <c r="S47" s="279" cm="1">
        <f t="array" ref="S47">_xll.d.Dates_Act365(R46,R47)</f>
        <v>0.24931506849315069</v>
      </c>
      <c r="T47" s="607">
        <v>6.1808445134625675E-2</v>
      </c>
      <c r="U47" s="727">
        <f ca="1"/>
        <v>0.92465799189869091</v>
      </c>
      <c r="V47" s="740"/>
      <c r="W47" s="740"/>
      <c r="X47" s="740"/>
      <c r="Y47" s="740"/>
      <c r="Z47" s="740"/>
      <c r="AA47" s="203"/>
      <c r="AB47" s="204"/>
      <c r="AC47" s="777" t="s">
        <v>607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0.8294441036934771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607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0.56052710527539396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 x14ac:dyDescent="0.25">
      <c r="B48" s="258" t="s">
        <v>197</v>
      </c>
      <c r="C48" s="244">
        <v>0.1</v>
      </c>
      <c r="D48" s="245" t="b">
        <v>1</v>
      </c>
      <c r="G48" s="611">
        <v>45810</v>
      </c>
      <c r="H48" s="191" cm="1">
        <f t="array" ref="H48">_xll.d.Dates_Act365(G47,G48)</f>
        <v>0.24931506849315069</v>
      </c>
      <c r="I48" s="608">
        <v>0.10000000000000062</v>
      </c>
      <c r="J48" s="128">
        <f ca="1"/>
        <v>0.74315861497388358</v>
      </c>
      <c r="K48" s="203"/>
      <c r="L48" s="204"/>
      <c r="M48" s="257" t="s">
        <v>197</v>
      </c>
      <c r="N48" s="716">
        <v>6.2100000000000002E-2</v>
      </c>
      <c r="O48" s="243" t="b">
        <v>1</v>
      </c>
      <c r="R48" s="725">
        <v>44407</v>
      </c>
      <c r="S48" s="279" cm="1">
        <f t="array" ref="S48">_xll.d.Dates_Act365(R47,R48)</f>
        <v>0.24931506849315069</v>
      </c>
      <c r="T48" s="607">
        <v>6.2100000000000218E-2</v>
      </c>
      <c r="U48" s="727">
        <f ca="1"/>
        <v>0.91056027364554482</v>
      </c>
      <c r="V48" s="740"/>
      <c r="W48" s="740"/>
      <c r="X48" s="740"/>
      <c r="Y48" s="740"/>
      <c r="Z48" s="740"/>
      <c r="AA48" s="203"/>
      <c r="AB48" s="204"/>
      <c r="AC48" s="777" t="s">
        <v>608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608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 x14ac:dyDescent="0.25">
      <c r="K49" s="203"/>
      <c r="L49" s="204"/>
      <c r="M49" s="713" t="s">
        <v>589</v>
      </c>
      <c r="N49" s="716">
        <v>6.1800000000000001E-2</v>
      </c>
      <c r="O49" s="243" t="b">
        <v>1</v>
      </c>
      <c r="Q49" s="612"/>
      <c r="R49" s="725">
        <v>44498</v>
      </c>
      <c r="S49" s="279" cm="1">
        <f t="array" ref="S49">_xll.d.Dates_Act365(R48,R49)</f>
        <v>0.24931506849315069</v>
      </c>
      <c r="T49" s="607">
        <v>6.2600000000000391E-2</v>
      </c>
      <c r="U49" s="727">
        <f ca="1"/>
        <v>0.89656743514945603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558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558</v>
      </c>
      <c r="AY49" s="295"/>
      <c r="AZ49" s="295"/>
      <c r="BA49" s="296"/>
      <c r="BG49" s="54"/>
      <c r="BH49" s="713" t="s">
        <v>589</v>
      </c>
      <c r="BI49" s="716">
        <v>3.0550000000000001E-2</v>
      </c>
      <c r="BJ49" s="243" t="b">
        <v>1</v>
      </c>
      <c r="BL49" s="54"/>
      <c r="BN49" s="725">
        <v>45471</v>
      </c>
      <c r="BO49" s="279" cm="1">
        <f t="array" ref="BO49">_xll.d.Dates_Act365(BN48,BN49)</f>
        <v>0.24931506849315069</v>
      </c>
      <c r="BP49" s="607" t="e"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 x14ac:dyDescent="0.25">
      <c r="B50" s="12" t="s">
        <v>40</v>
      </c>
      <c r="C50" s="27"/>
      <c r="D50" s="13"/>
      <c r="G50" s="294" t="s">
        <v>558</v>
      </c>
      <c r="H50" s="295"/>
      <c r="I50" s="295"/>
      <c r="J50" s="296"/>
      <c r="K50" s="203"/>
      <c r="L50" s="204"/>
      <c r="M50" s="713" t="s">
        <v>590</v>
      </c>
      <c r="N50" s="716">
        <v>6.2100000000000002E-2</v>
      </c>
      <c r="O50" s="243" t="b">
        <v>1</v>
      </c>
      <c r="R50" s="725">
        <v>44592</v>
      </c>
      <c r="S50" s="279" cm="1">
        <f t="array" ref="S50">_xll.d.Dates_Act365(R49,R50)</f>
        <v>0.25753424657534246</v>
      </c>
      <c r="T50" s="607">
        <v>6.3199999999999867E-2</v>
      </c>
      <c r="U50" s="727">
        <f ca="1"/>
        <v>0.88220846515010332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590</v>
      </c>
      <c r="BI50" s="716">
        <v>3.1827000000000001E-2</v>
      </c>
      <c r="BJ50" s="243" t="b">
        <v>1</v>
      </c>
      <c r="BL50" s="54"/>
      <c r="BN50" s="725">
        <v>45565</v>
      </c>
      <c r="BO50" s="279" cm="1">
        <f t="array" ref="BO50">_xll.d.Dates_Act365(BN49,BN50)</f>
        <v>0.25753424657534246</v>
      </c>
      <c r="BP50" s="607" t="e"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 x14ac:dyDescent="0.25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591</v>
      </c>
      <c r="N51" s="716">
        <v>6.2600000000000003E-2</v>
      </c>
      <c r="O51" s="243" t="b">
        <v>1</v>
      </c>
      <c r="R51" s="725">
        <v>44680</v>
      </c>
      <c r="S51" s="279" cm="1">
        <f t="array" ref="S51">_xll.d.Dates_Act365(R50,R51)</f>
        <v>0.24109589041095891</v>
      </c>
      <c r="T51" s="607">
        <v>6.5646944639983829E-2</v>
      </c>
      <c r="U51" s="727">
        <f ca="1"/>
        <v>0.8684631182417003</v>
      </c>
      <c r="V51" s="740"/>
      <c r="W51" s="740"/>
      <c r="X51" s="740"/>
      <c r="Y51" s="740"/>
      <c r="Z51" s="740"/>
      <c r="AA51" s="203"/>
      <c r="AB51" s="204"/>
      <c r="AC51" s="777" t="s">
        <v>594</v>
      </c>
      <c r="AD51" s="275">
        <v>6.9000000000000008E-4</v>
      </c>
      <c r="AE51" s="206" t="b">
        <v>1</v>
      </c>
      <c r="AF51" s="439"/>
      <c r="AH51" s="626" t="s">
        <v>49</v>
      </c>
      <c r="AI51" s="736">
        <f ca="1">SUMPRODUCT(AI37,AJ37,AK37)/SUMPRODUCT(AI37,AK37)</f>
        <v>6.900000000000854E-4</v>
      </c>
      <c r="AJ51" s="736">
        <f>AD51</f>
        <v>6.9000000000000008E-4</v>
      </c>
      <c r="AK51" s="195" t="str" cm="1">
        <f t="array" aca="1" ref="AK51" ca="1">_xll.d.TestUtils_Equal(AI51,AJ51,0.00001)</f>
        <v>Ok</v>
      </c>
      <c r="AL51" s="775"/>
      <c r="AQ51" s="203"/>
      <c r="AR51" s="204"/>
      <c r="AS51" s="777" t="s">
        <v>594</v>
      </c>
      <c r="AT51" s="275">
        <v>1.7310000000000002E-2</v>
      </c>
      <c r="AU51" s="206" t="b">
        <v>1</v>
      </c>
      <c r="AX51" s="626" t="s">
        <v>49</v>
      </c>
      <c r="AY51" s="736">
        <f ca="1">SUMPRODUCT(AY37,AZ37,BA37)/SUMPRODUCT(AY37,BA37)</f>
        <v>1.7310000000000013E-2</v>
      </c>
      <c r="AZ51" s="736">
        <f>AT51</f>
        <v>1.7310000000000002E-2</v>
      </c>
      <c r="BA51" s="195" t="str" cm="1">
        <f t="array" aca="1" ref="BA51" ca="1">_xll.d.TestUtils_Equal(AY51,AZ51,0.00001)</f>
        <v>Ok</v>
      </c>
      <c r="BB51" s="775"/>
      <c r="BG51" s="54"/>
      <c r="BH51" s="713" t="s">
        <v>591</v>
      </c>
      <c r="BI51" s="716">
        <v>3.1489999999999997E-2</v>
      </c>
      <c r="BJ51" s="243" t="b">
        <v>1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 x14ac:dyDescent="0.25">
      <c r="B52" s="216" t="s">
        <v>50</v>
      </c>
      <c r="C52" s="222">
        <v>0.1</v>
      </c>
      <c r="D52" s="217" t="b">
        <v>1</v>
      </c>
      <c r="G52" s="626" t="s">
        <v>50</v>
      </c>
      <c r="H52" s="194">
        <f ca="1">SUMPRODUCT(H37:H44,I37:I44,J37:J44)/SUMPRODUCT(H37:H44,J37:J44)</f>
        <v>9.999999999999995E-2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14" t="s">
        <v>592</v>
      </c>
      <c r="N52" s="717">
        <v>6.3200000000000006E-2</v>
      </c>
      <c r="O52" s="245" t="b">
        <v>1</v>
      </c>
      <c r="R52" s="725">
        <v>44771</v>
      </c>
      <c r="S52" s="279" cm="1">
        <f t="array" ref="S52">_xll.d.Dates_Act365(R51,R52)</f>
        <v>0.24931506849315069</v>
      </c>
      <c r="T52" s="607">
        <v>6.5664565447257517E-2</v>
      </c>
      <c r="U52" s="727">
        <f ca="1"/>
        <v>0.85447437669251936</v>
      </c>
      <c r="V52" s="740"/>
      <c r="W52" s="740"/>
      <c r="X52" s="740"/>
      <c r="Y52" s="740"/>
      <c r="Z52" s="740"/>
      <c r="AA52" s="203"/>
      <c r="AB52" s="204"/>
      <c r="AC52" s="777" t="s">
        <v>597</v>
      </c>
      <c r="AD52" s="275">
        <v>7.9000000000000001E-4</v>
      </c>
      <c r="AE52" s="206" t="b">
        <v>1</v>
      </c>
      <c r="AF52" s="439"/>
      <c r="AH52" s="743" t="s">
        <v>50</v>
      </c>
      <c r="AI52" s="744">
        <f t="array" aca="1" ref="AI52" ca="1">SUMPRODUCT(AI37:AI38,AJ37:AJ38,AK37:AK38)/SUMPRODUCT(AI37:AI38,AK37:AK38)</f>
        <v>8.2999999999999459E-4</v>
      </c>
      <c r="AJ52" s="744">
        <f>AD53</f>
        <v>8.3000000000000001E-4</v>
      </c>
      <c r="AK52" s="686" t="str" cm="1">
        <f t="array" aca="1" ref="AK52" ca="1">_xll.d.TestUtils_Equal(AI52,AJ52,0.00001)</f>
        <v>Ok</v>
      </c>
      <c r="AL52" s="775"/>
      <c r="AQ52" s="203"/>
      <c r="AR52" s="204"/>
      <c r="AS52" s="777" t="s">
        <v>597</v>
      </c>
      <c r="AT52" s="275">
        <v>2.0879999999999999E-2</v>
      </c>
      <c r="AU52" s="206" t="b">
        <v>1</v>
      </c>
      <c r="AX52" s="743" t="s">
        <v>50</v>
      </c>
      <c r="AY52" s="744">
        <f t="array" aca="1" ref="AY52" ca="1">SUMPRODUCT(AY37:AY38,AZ37:AZ38,BA37:BA38)/SUMPRODUCT(AY37:AY38,BA37:BA38)</f>
        <v>2.3050000000000015E-2</v>
      </c>
      <c r="AZ52" s="744">
        <f>AT53</f>
        <v>2.3050000000000001E-2</v>
      </c>
      <c r="BA52" s="686" t="str" cm="1">
        <f t="array" aca="1" ref="BA52" ca="1">_xll.d.TestUtils_Equal(AY52,AZ52,0.00001)</f>
        <v>Ok</v>
      </c>
      <c r="BB52" s="775"/>
      <c r="BG52" s="54"/>
      <c r="BH52" s="714"/>
      <c r="BI52" s="717"/>
      <c r="BJ52" s="245"/>
      <c r="BL52" s="54"/>
      <c r="BN52" s="725">
        <v>45747</v>
      </c>
      <c r="BO52" s="279" cm="1">
        <f t="array" ref="BO52">_xll.d.Dates_Act365(BN51,BN52)</f>
        <v>0.24657534246575341</v>
      </c>
      <c r="BP52" s="607" t="e"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 x14ac:dyDescent="0.25">
      <c r="B53" s="218" t="s">
        <v>54</v>
      </c>
      <c r="C53" s="224">
        <v>0.1</v>
      </c>
      <c r="D53" s="219" t="b">
        <v>1</v>
      </c>
      <c r="G53" s="627" t="s">
        <v>54</v>
      </c>
      <c r="H53" s="628">
        <f ca="1">SUMPRODUCT(H37:H48,I37:I48,J37:J48)/SUMPRODUCT(H37:H48,J37:J48)</f>
        <v>9.999999999999995E-2</v>
      </c>
      <c r="I53" s="628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10"/>
      <c r="N53" s="711"/>
      <c r="O53" s="712"/>
      <c r="R53" s="725">
        <v>44865</v>
      </c>
      <c r="S53" s="279" cm="1">
        <f t="array" ref="S53">_xll.d.Dates_Act365(R52,R53)</f>
        <v>0.25753424657534246</v>
      </c>
      <c r="T53" s="607">
        <v>6.5682192552889401E-2</v>
      </c>
      <c r="U53" s="727">
        <f ca="1"/>
        <v>0.84026101379913365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>
        <f ca="1">SUMPRODUCT(AI37:AI39,AJ37:AJ39,AK37:AK39)/SUMPRODUCT(AI37:AI39,AK37:AK39)</f>
        <v>1.1599999999999759E-3</v>
      </c>
      <c r="AJ53" s="746">
        <f>AD54</f>
        <v>1.16E-3</v>
      </c>
      <c r="AK53" s="686" t="str" cm="1">
        <f t="array" aca="1" ref="AK53" ca="1">_xll.d.TestUtils_Equal(AI53,AJ53,0.00001)</f>
        <v>Ok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>
        <f ca="1">SUMPRODUCT(AY37:AY39,AZ37:AZ39,BA37:BA39)/SUMPRODUCT(AY37:AY39,BA37:BA39)</f>
        <v>2.3449999999999988E-2</v>
      </c>
      <c r="AZ53" s="746">
        <f>AT54</f>
        <v>2.3450000000000002E-2</v>
      </c>
      <c r="BA53" s="686" t="str" cm="1">
        <f t="array" aca="1" ref="BA53" ca="1">_xll.d.TestUtils_Equal(AY53,AZ53,0.00001)</f>
        <v>Ok</v>
      </c>
      <c r="BB53" s="775"/>
      <c r="BG53" s="54"/>
      <c r="BH53" s="710"/>
      <c r="BI53" s="711"/>
      <c r="BJ53" s="712"/>
      <c r="BL53" s="54"/>
      <c r="BN53" s="725">
        <v>45838</v>
      </c>
      <c r="BO53" s="279" cm="1">
        <f t="array" ref="BO53">_xll.d.Dates_Act365(BN52,BN53)</f>
        <v>0.24931506849315069</v>
      </c>
      <c r="BP53" s="607" t="e"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 x14ac:dyDescent="0.25">
      <c r="K54" s="203"/>
      <c r="L54" s="204"/>
      <c r="M54" s="12" t="s">
        <v>40</v>
      </c>
      <c r="N54" s="27"/>
      <c r="O54" s="13"/>
      <c r="R54" s="725">
        <v>44957</v>
      </c>
      <c r="S54" s="279" cm="1">
        <f t="array" ref="S54">_xll.d.Dates_Act365(R53,R54)</f>
        <v>0.25205479452054796</v>
      </c>
      <c r="T54" s="607">
        <v>6.5670440449192277E-2</v>
      </c>
      <c r="U54" s="727">
        <f ca="1"/>
        <v>0.82657902369827263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593</v>
      </c>
      <c r="AI54" s="744">
        <f ca="1">SUMPRODUCT(AI$37:AI40,AJ$37:AJ40,AK$37:AK40)/SUMPRODUCT(AI$37:AI40,AK$37:AK40)</f>
        <v>1.5999999999999936E-3</v>
      </c>
      <c r="AJ54" s="744">
        <f>AD55</f>
        <v>1.6000000000000001E-3</v>
      </c>
      <c r="AK54" s="686" t="str" cm="1">
        <f t="array" aca="1" ref="AK54" ca="1">_xll.d.TestUtils_Equal(AI54,AJ54,0.00001)</f>
        <v>Ok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593</v>
      </c>
      <c r="AY54" s="744">
        <f ca="1">SUMPRODUCT(AY$37:AY40,AZ$37:AZ40,BA$37:BA40)/SUMPRODUCT(AY$37:AY40,BA$37:BA40)</f>
        <v>2.2849999999999974E-2</v>
      </c>
      <c r="AZ54" s="744">
        <f>AT55</f>
        <v>2.2850000000000002E-2</v>
      </c>
      <c r="BA54" s="686" t="str" cm="1">
        <f t="array" aca="1" ref="BA54" ca="1">_xll.d.TestUtils_Equal(AY54,AZ54,0.00001)</f>
        <v>Ok</v>
      </c>
      <c r="BB54" s="775"/>
      <c r="BG54" s="54"/>
      <c r="BH54" s="12" t="s">
        <v>40</v>
      </c>
      <c r="BI54" s="27"/>
      <c r="BJ54" s="13"/>
      <c r="BL54" s="54"/>
      <c r="BN54" s="725">
        <v>45930</v>
      </c>
      <c r="BO54" s="279" cm="1">
        <f t="array" ref="BO54">_xll.d.Dates_Act365(BN53,BN54)</f>
        <v>0.25205479452054796</v>
      </c>
      <c r="BP54" s="607" t="e"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 x14ac:dyDescent="0.25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>
        <v>45044</v>
      </c>
      <c r="S55" s="279" cm="1">
        <f t="array" ref="S55">_xll.d.Dates_Act365(R54,R55)</f>
        <v>0.23835616438356164</v>
      </c>
      <c r="T55" s="607">
        <v>6.9627409251721714E-2</v>
      </c>
      <c r="U55" s="727">
        <f ca="1"/>
        <v>0.81308496623541482</v>
      </c>
      <c r="V55" s="740"/>
      <c r="W55" s="740"/>
      <c r="X55" s="740"/>
      <c r="Y55" s="740"/>
      <c r="Z55" s="740"/>
      <c r="AA55" s="203"/>
      <c r="AB55" s="204"/>
      <c r="AC55" s="777" t="s">
        <v>593</v>
      </c>
      <c r="AD55" s="275">
        <v>1.6000000000000001E-3</v>
      </c>
      <c r="AE55" s="206" t="b">
        <v>1</v>
      </c>
      <c r="AF55" s="439"/>
      <c r="AH55" s="745" t="s">
        <v>600</v>
      </c>
      <c r="AI55" s="744">
        <f ca="1">SUMPRODUCT(AI$37:AI41,AJ$37:AJ41,AK$37:AK41)/SUMPRODUCT(AI$37:AI41,AK$37:AK41)</f>
        <v>2.1299999999999843E-3</v>
      </c>
      <c r="AJ55" s="746">
        <f>AD56</f>
        <v>2.1299999999999999E-3</v>
      </c>
      <c r="AK55" s="686" t="str" cm="1">
        <f t="array" aca="1" ref="AK55" ca="1">_xll.d.TestUtils_Equal(AI55,AJ55,0.00001)</f>
        <v>Ok</v>
      </c>
      <c r="AL55" s="775"/>
      <c r="AQ55" s="203"/>
      <c r="AR55" s="204"/>
      <c r="AS55" s="777" t="s">
        <v>593</v>
      </c>
      <c r="AT55" s="275">
        <v>2.2850000000000002E-2</v>
      </c>
      <c r="AU55" s="206" t="b">
        <v>1</v>
      </c>
      <c r="AX55" s="745" t="s">
        <v>600</v>
      </c>
      <c r="AY55" s="744">
        <f ca="1">SUMPRODUCT(AY$37:AY41,AZ$37:AZ41,BA$37:BA41)/SUMPRODUCT(AY$37:AY41,BA$37:BA41)</f>
        <v>2.2099999999999988E-2</v>
      </c>
      <c r="AZ55" s="746">
        <f>AT56</f>
        <v>2.2099999999999998E-2</v>
      </c>
      <c r="BA55" s="686" t="str" cm="1">
        <f t="array" aca="1" ref="BA55" ca="1">_xll.d.TestUtils_Equal(AY55,AZ55,0.00001)</f>
        <v>Ok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 x14ac:dyDescent="0.25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v>45138</v>
      </c>
      <c r="S56" s="279" cm="1">
        <f t="array" ref="S56">_xll.d.Dates_Act365(R55,R56)</f>
        <v>0.25753424657534246</v>
      </c>
      <c r="T56" s="607">
        <v>6.9673662080722773E-2</v>
      </c>
      <c r="U56" s="727">
        <f ca="1"/>
        <v>0.79875266436428749</v>
      </c>
      <c r="V56" s="740"/>
      <c r="W56" s="740"/>
      <c r="X56" s="740"/>
      <c r="Y56" s="740"/>
      <c r="Z56" s="740"/>
      <c r="AA56" s="203"/>
      <c r="AB56" s="204"/>
      <c r="AC56" s="777" t="s">
        <v>600</v>
      </c>
      <c r="AD56" s="275">
        <v>2.1299999999999999E-3</v>
      </c>
      <c r="AE56" s="206" t="b">
        <v>1</v>
      </c>
      <c r="AF56" s="439"/>
      <c r="AH56" s="627" t="s">
        <v>602</v>
      </c>
      <c r="AI56" s="737">
        <f ca="1">SUMPRODUCT(AI$37:AI43,AJ$37:AJ43,AK$37:AK43)/SUMPRODUCT(AI$37:AI43,AK$37:AK43)</f>
        <v>3.1399999999999957E-3</v>
      </c>
      <c r="AJ56" s="737">
        <f>AD57</f>
        <v>3.14E-3</v>
      </c>
      <c r="AK56" s="198" t="str" cm="1">
        <f t="array" aca="1" ref="AK56" ca="1">_xll.d.TestUtils_Equal(AI56,AJ56,0.00001)</f>
        <v>Ok</v>
      </c>
      <c r="AL56" s="775"/>
      <c r="AQ56" s="203"/>
      <c r="AR56" s="204"/>
      <c r="AS56" s="777" t="s">
        <v>600</v>
      </c>
      <c r="AT56" s="275">
        <v>2.2099999999999998E-2</v>
      </c>
      <c r="AU56" s="206" t="b">
        <v>1</v>
      </c>
      <c r="AX56" s="627" t="s">
        <v>602</v>
      </c>
      <c r="AY56" s="737">
        <f ca="1">SUMPRODUCT(AY$37:AY43,AZ$37:AZ43,BA$37:BA43)/SUMPRODUCT(AY$37:AY43,BA$37:BA43)</f>
        <v>2.1379999999999972E-2</v>
      </c>
      <c r="AZ56" s="737">
        <f>AT57</f>
        <v>2.138E-2</v>
      </c>
      <c r="BA56" s="198" t="str" cm="1">
        <f t="array" aca="1" ref="BA56" ca="1">_xll.d.TestUtils_Equal(AY56,AZ56,0.00001)</f>
        <v>Ok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 x14ac:dyDescent="0.25">
      <c r="K57" s="203"/>
      <c r="L57" s="204"/>
      <c r="M57" s="713" t="s">
        <v>593</v>
      </c>
      <c r="N57" s="708">
        <v>6.5199999999999994E-2</v>
      </c>
      <c r="O57" s="221" t="b">
        <v>1</v>
      </c>
      <c r="R57" s="725">
        <v>45230</v>
      </c>
      <c r="S57" s="279" cm="1">
        <f t="array" ref="S57">_xll.d.Dates_Act365(R56,R57)</f>
        <v>0.25205479452054796</v>
      </c>
      <c r="T57" s="607">
        <v>6.9660442813451517E-2</v>
      </c>
      <c r="U57" s="727">
        <f ca="1"/>
        <v>0.78496996654844553</v>
      </c>
      <c r="V57" s="740"/>
      <c r="W57" s="740"/>
      <c r="X57" s="740"/>
      <c r="Y57" s="740"/>
      <c r="Z57" s="740"/>
      <c r="AA57" s="203"/>
      <c r="AB57" s="204"/>
      <c r="AC57" s="777" t="s">
        <v>602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602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 x14ac:dyDescent="0.25">
      <c r="K58" s="203"/>
      <c r="L58" s="204"/>
      <c r="M58" s="741" t="s">
        <v>600</v>
      </c>
      <c r="N58" s="708">
        <v>6.6600000000000006E-2</v>
      </c>
      <c r="O58" s="221" t="b">
        <v>1</v>
      </c>
      <c r="R58" s="725">
        <v>45322</v>
      </c>
      <c r="S58" s="279" cm="1">
        <f t="array" ref="S58">_xll.d.Dates_Act365(R57,R58)</f>
        <v>0.25205479452054796</v>
      </c>
      <c r="T58" s="607">
        <v>6.9660442813451517E-2</v>
      </c>
      <c r="U58" s="727">
        <f ca="1"/>
        <v>0.771425092989796</v>
      </c>
      <c r="V58" s="740"/>
      <c r="W58" s="740"/>
      <c r="X58" s="740"/>
      <c r="Y58" s="740"/>
      <c r="Z58" s="740"/>
      <c r="AA58" s="203"/>
      <c r="AB58" s="204"/>
      <c r="AC58" s="777" t="s">
        <v>609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609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593</v>
      </c>
      <c r="BI58" s="708">
        <v>2.5990000000000003E-2</v>
      </c>
      <c r="BJ58" s="221" t="b">
        <v>1</v>
      </c>
      <c r="BL58" s="54"/>
      <c r="BN58" s="725">
        <v>46295</v>
      </c>
      <c r="BO58" s="279" cm="1">
        <f t="array" ref="BO58">_xll.d.Dates_Act365(BN57,BN58)</f>
        <v>0.25205479452054796</v>
      </c>
      <c r="BP58" s="607" t="e"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 x14ac:dyDescent="0.25">
      <c r="B59" s="4" t="s">
        <v>647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601</v>
      </c>
      <c r="N59" s="708">
        <v>6.83E-2</v>
      </c>
      <c r="O59" s="221" t="b">
        <v>1</v>
      </c>
      <c r="R59" s="725">
        <v>45412</v>
      </c>
      <c r="S59" s="279" cm="1">
        <f t="array" ref="S59">_xll.d.Dates_Act365(R58,R59)</f>
        <v>0.24657534246575341</v>
      </c>
      <c r="T59" s="607">
        <v>7.3227894012978037E-2</v>
      </c>
      <c r="U59" s="727">
        <f ca="1"/>
        <v>0.75774313663669346</v>
      </c>
      <c r="V59" s="740"/>
      <c r="W59" s="740"/>
      <c r="X59" s="740"/>
      <c r="Y59" s="740"/>
      <c r="Z59" s="740"/>
      <c r="AA59" s="203"/>
      <c r="AB59" s="204"/>
      <c r="AC59" s="777" t="s">
        <v>610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610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600</v>
      </c>
      <c r="BI59" s="708">
        <v>2.5137E-2</v>
      </c>
      <c r="BJ59" s="221" t="b">
        <v>1</v>
      </c>
      <c r="BL59" s="54"/>
      <c r="BN59" s="725">
        <v>46387</v>
      </c>
      <c r="BO59" s="279" cm="1">
        <f t="array" ref="BO59">_xll.d.Dates_Act365(BN58,BN59)</f>
        <v>0.25205479452054796</v>
      </c>
      <c r="BP59" s="607" t="e"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 x14ac:dyDescent="0.25">
      <c r="B60" s="439"/>
      <c r="C60" s="439"/>
      <c r="D60" s="439"/>
      <c r="E60" s="439"/>
      <c r="I60" s="814"/>
      <c r="K60" s="203"/>
      <c r="L60" s="204"/>
      <c r="M60" s="741" t="s">
        <v>602</v>
      </c>
      <c r="N60" s="708">
        <v>6.9900000000000004E-2</v>
      </c>
      <c r="O60" s="221" t="b">
        <v>1</v>
      </c>
      <c r="R60" s="725">
        <v>45504</v>
      </c>
      <c r="S60" s="279" cm="1">
        <f t="array" ref="S60">_xll.d.Dates_Act365(R59,R60)</f>
        <v>0.25205479452054796</v>
      </c>
      <c r="T60" s="607">
        <v>7.3242499618522236E-2</v>
      </c>
      <c r="U60" s="727">
        <f ca="1"/>
        <v>0.74400791486490814</v>
      </c>
      <c r="V60" s="740"/>
      <c r="W60" s="740"/>
      <c r="X60" s="740"/>
      <c r="Y60" s="740"/>
      <c r="Z60" s="740"/>
      <c r="AA60" s="203"/>
      <c r="AB60" s="204"/>
      <c r="AC60" s="777" t="s">
        <v>611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611</v>
      </c>
      <c r="AT60" s="275">
        <v>2.0959999999999999E-2</v>
      </c>
      <c r="AU60" s="206" t="b">
        <v>1</v>
      </c>
      <c r="BG60" s="54"/>
      <c r="BH60" s="821" t="s">
        <v>601</v>
      </c>
      <c r="BI60" s="708">
        <v>2.4760000000000001E-2</v>
      </c>
      <c r="BJ60" s="221" t="b">
        <v>1</v>
      </c>
      <c r="BL60" s="54"/>
      <c r="BN60" s="725">
        <v>46477</v>
      </c>
      <c r="BO60" s="279" cm="1">
        <f t="array" ref="BO60">_xll.d.Dates_Act365(BN59,BN60)</f>
        <v>0.24657534246575341</v>
      </c>
      <c r="BP60" s="607" t="e"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 x14ac:dyDescent="0.25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603</v>
      </c>
      <c r="N61" s="720">
        <v>7.17E-2</v>
      </c>
      <c r="O61" s="219" t="b">
        <v>1</v>
      </c>
      <c r="R61" s="725">
        <v>45596</v>
      </c>
      <c r="S61" s="279" cm="1">
        <f t="array" ref="S61">_xll.d.Dates_Act365(R60,R61)</f>
        <v>0.25205479452054796</v>
      </c>
      <c r="T61" s="607">
        <v>7.3242499618522236E-2</v>
      </c>
      <c r="U61" s="727">
        <f ca="1"/>
        <v>0.73052166442390565</v>
      </c>
      <c r="V61" s="740"/>
      <c r="W61" s="740"/>
      <c r="X61" s="740"/>
      <c r="Y61" s="740"/>
      <c r="Z61" s="740"/>
      <c r="AA61" s="203"/>
      <c r="AB61" s="204"/>
      <c r="AC61" s="777" t="s">
        <v>612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612</v>
      </c>
      <c r="AT61" s="275">
        <v>2.0830000000000001E-2</v>
      </c>
      <c r="AU61" s="206" t="b">
        <v>1</v>
      </c>
      <c r="BG61" s="54"/>
      <c r="BH61" s="821" t="s">
        <v>602</v>
      </c>
      <c r="BI61" s="708">
        <v>2.4512999999999997E-2</v>
      </c>
      <c r="BJ61" s="221" t="b">
        <v>1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 x14ac:dyDescent="0.25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>
        <v>45688</v>
      </c>
      <c r="S62" s="279" cm="1">
        <f t="array" ref="S62">_xll.d.Dates_Act365(R61,R62)</f>
        <v>0.25205479452054796</v>
      </c>
      <c r="T62" s="607">
        <v>7.3242499618522236E-2</v>
      </c>
      <c r="U62" s="727">
        <f ca="1"/>
        <v>0.71727987233787982</v>
      </c>
      <c r="V62" s="740"/>
      <c r="W62" s="740"/>
      <c r="X62" s="740"/>
      <c r="Y62" s="740"/>
      <c r="Z62" s="740"/>
      <c r="AA62" s="203"/>
      <c r="AB62" s="204"/>
      <c r="AC62" s="777" t="s">
        <v>613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613</v>
      </c>
      <c r="AT62" s="275">
        <v>2.0250000000000001E-2</v>
      </c>
      <c r="AU62" s="206" t="b">
        <v>1</v>
      </c>
      <c r="BG62" s="54"/>
      <c r="BH62" s="821" t="s">
        <v>603</v>
      </c>
      <c r="BI62" s="708">
        <v>2.4540000000000003E-2</v>
      </c>
      <c r="BJ62" s="221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 x14ac:dyDescent="0.25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>
        <v>45777</v>
      </c>
      <c r="S63" s="279" cm="1">
        <f t="array" ref="S63">_xll.d.Dates_Act365(R62,R63)</f>
        <v>0.24383561643835616</v>
      </c>
      <c r="T63" s="607">
        <v>7.8872625681943809E-2</v>
      </c>
      <c r="U63" s="727">
        <f ca="1"/>
        <v>0.70374547089671668</v>
      </c>
      <c r="V63" s="740"/>
      <c r="W63" s="740"/>
      <c r="X63" s="740"/>
      <c r="Y63" s="740"/>
      <c r="Z63" s="740"/>
      <c r="AA63" s="203"/>
      <c r="AB63" s="204"/>
      <c r="AC63" s="778" t="s">
        <v>614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614</v>
      </c>
      <c r="AT63" s="276">
        <v>1.9550000000000001E-2</v>
      </c>
      <c r="AU63" s="207" t="b">
        <v>1</v>
      </c>
      <c r="BG63" s="54"/>
      <c r="BH63" s="821" t="s">
        <v>640</v>
      </c>
      <c r="BI63" s="708">
        <v>2.4089999999999997E-2</v>
      </c>
      <c r="BJ63" s="221" t="b">
        <v>1</v>
      </c>
      <c r="BK63" s="54"/>
      <c r="BL63" s="54"/>
      <c r="BN63" s="725">
        <v>46751</v>
      </c>
      <c r="BO63" s="279" cm="1">
        <f t="array" ref="BO63">_xll.d.Dates_Act365(BN62,BN63)</f>
        <v>0.24931506849315069</v>
      </c>
      <c r="BP63" s="607" t="e"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 x14ac:dyDescent="0.25">
      <c r="B64" s="842" t="s">
        <v>3</v>
      </c>
      <c r="C64" s="843" t="s">
        <v>648</v>
      </c>
      <c r="D64" s="439"/>
      <c r="E64" s="439"/>
      <c r="I64" s="814"/>
      <c r="L64" s="204"/>
      <c r="R64" s="725">
        <v>45869</v>
      </c>
      <c r="S64" s="279" cm="1">
        <f t="array" ref="S64">_xll.d.Dates_Act365(R63,R64)</f>
        <v>0.25205479452054796</v>
      </c>
      <c r="T64" s="607">
        <v>7.8898034102186321E-2</v>
      </c>
      <c r="U64" s="727">
        <f ca="1"/>
        <v>0.69002323565405899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609</v>
      </c>
      <c r="BI64" s="708">
        <v>2.3950999999999997E-2</v>
      </c>
      <c r="BJ64" s="221" t="b">
        <v>1</v>
      </c>
      <c r="BK64" s="54"/>
      <c r="BL64" s="54"/>
      <c r="BN64" s="725">
        <v>46843</v>
      </c>
      <c r="BO64" s="279" cm="1">
        <f t="array" ref="BO64">_xll.d.Dates_Act365(BN63,BN64)</f>
        <v>0.25205479452054796</v>
      </c>
      <c r="BP64" s="607" t="e"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 x14ac:dyDescent="0.25">
      <c r="B65" s="844" t="s">
        <v>44</v>
      </c>
      <c r="C65" s="845" t="s">
        <v>649</v>
      </c>
      <c r="D65" s="439"/>
      <c r="E65" s="439"/>
      <c r="I65" s="814"/>
      <c r="L65" s="204"/>
      <c r="R65" s="725">
        <v>45961</v>
      </c>
      <c r="S65" s="279" cm="1">
        <f t="array" ref="S65">_xll.d.Dates_Act365(R64,R65)</f>
        <v>0.25205479452054796</v>
      </c>
      <c r="T65" s="607">
        <v>7.8898034102187209E-2</v>
      </c>
      <c r="U65" s="727">
        <f ca="1"/>
        <v>0.67656856837146917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610</v>
      </c>
      <c r="BI65" s="708">
        <v>2.4050999999999999E-2</v>
      </c>
      <c r="BJ65" s="221" t="b">
        <v>1</v>
      </c>
      <c r="BK65" s="54"/>
      <c r="BL65" s="54"/>
      <c r="BN65" s="725">
        <v>46934</v>
      </c>
      <c r="BO65" s="279" cm="1">
        <f t="array" ref="BO65">_xll.d.Dates_Act365(BN64,BN65)</f>
        <v>0.24931506849315069</v>
      </c>
      <c r="BP65" s="607" t="e"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 x14ac:dyDescent="0.25">
      <c r="B66" s="846" t="s">
        <v>31</v>
      </c>
      <c r="C66" s="847">
        <v>45016</v>
      </c>
      <c r="D66" s="439"/>
      <c r="E66" s="439"/>
      <c r="I66" s="814"/>
      <c r="L66" s="204"/>
      <c r="R66" s="725">
        <v>46052</v>
      </c>
      <c r="S66" s="279" cm="1">
        <f t="array" ref="S66">_xll.d.Dates_Act365(R65,R66)</f>
        <v>0.24931506849315069</v>
      </c>
      <c r="T66" s="607">
        <v>7.8889563418266861E-2</v>
      </c>
      <c r="U66" s="727">
        <f ca="1"/>
        <v>0.66351825452710711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611</v>
      </c>
      <c r="BI66" s="708">
        <v>2.4262499999999999E-2</v>
      </c>
      <c r="BJ66" s="221" t="b">
        <v>1</v>
      </c>
      <c r="BK66" s="54"/>
      <c r="BL66" s="54"/>
      <c r="BN66" s="725">
        <v>47025</v>
      </c>
      <c r="BO66" s="279" cm="1">
        <f t="array" ref="BO66">_xll.d.Dates_Act365(BN65,BN66)</f>
        <v>0.24931506849315069</v>
      </c>
      <c r="BP66" s="607" t="e"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 x14ac:dyDescent="0.25">
      <c r="B67" s="1"/>
      <c r="C67" s="813"/>
      <c r="D67" s="815"/>
      <c r="E67" s="775"/>
      <c r="I67" s="814"/>
      <c r="L67" s="204"/>
      <c r="R67" s="725">
        <v>46142</v>
      </c>
      <c r="S67" s="279" cm="1">
        <f t="array" ref="S67">_xll.d.Dates_Act365(R66,R67)</f>
        <v>0.24657534246575341</v>
      </c>
      <c r="T67" s="607">
        <v>8.242141632233177E-2</v>
      </c>
      <c r="U67" s="727">
        <f ca="1"/>
        <v>0.65030210695898105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612</v>
      </c>
      <c r="BI67" s="708">
        <v>2.3692999999999999E-2</v>
      </c>
      <c r="BJ67" s="221" t="b">
        <v>1</v>
      </c>
      <c r="BK67" s="54"/>
      <c r="BL67" s="54"/>
      <c r="BN67" s="725">
        <v>47116</v>
      </c>
      <c r="BO67" s="279" cm="1">
        <f t="array" ref="BO67">_xll.d.Dates_Act365(BN66,BN67)</f>
        <v>0.24931506849315069</v>
      </c>
      <c r="BP67" s="607" t="e"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 x14ac:dyDescent="0.25">
      <c r="B68" s="56" t="s">
        <v>12</v>
      </c>
      <c r="C68" s="208" t="str" cm="1">
        <f t="array" aca="1" ref="C68" ca="1">_xll.d.Curve_Get(C64,C65,C66)</f>
        <v>#∂Excel Error: Not connected to Deloitte network/VPN.</v>
      </c>
      <c r="D68" s="209"/>
      <c r="E68" s="775"/>
      <c r="I68" s="814"/>
      <c r="L68" s="204"/>
      <c r="R68" s="725">
        <v>46234</v>
      </c>
      <c r="S68" s="279" cm="1">
        <f t="array" ref="S68">_xll.d.Dates_Act365(R67,R68)</f>
        <v>0.25205479452054796</v>
      </c>
      <c r="T68" s="607">
        <v>8.243990601847434E-2</v>
      </c>
      <c r="U68" s="727">
        <f ca="1"/>
        <v>0.63706430967891481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613</v>
      </c>
      <c r="BI68" s="708">
        <v>2.3399999999999997E-2</v>
      </c>
      <c r="BJ68" s="221" t="b">
        <v>1</v>
      </c>
      <c r="BK68" s="54"/>
      <c r="BL68" s="54"/>
      <c r="BN68" s="725">
        <v>47207</v>
      </c>
      <c r="BO68" s="279" cm="1">
        <f t="array" ref="BO68">_xll.d.Dates_Act365(BN67,BN68)</f>
        <v>0.24931506849315069</v>
      </c>
      <c r="BP68" s="607" t="e"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 x14ac:dyDescent="0.25">
      <c r="B69" s="612" t="s">
        <v>650</v>
      </c>
      <c r="C69" s="813"/>
      <c r="E69" s="775"/>
      <c r="I69" s="814"/>
      <c r="K69" s="439"/>
      <c r="L69" s="204"/>
      <c r="R69" s="725">
        <v>46325</v>
      </c>
      <c r="S69" s="279" cm="1">
        <f t="array" ref="S69">_xll.d.Dates_Act365(R68,R69)</f>
        <v>0.24931506849315069</v>
      </c>
      <c r="T69" s="607">
        <v>8.2430660480348375E-2</v>
      </c>
      <c r="U69" s="727">
        <f ca="1"/>
        <v>0.62423551712160541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614</v>
      </c>
      <c r="BI69" s="708">
        <v>2.2423999999999999E-2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 x14ac:dyDescent="0.25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>
        <v>46416</v>
      </c>
      <c r="S70" s="279" cm="1">
        <f t="array" ref="S70">_xll.d.Dates_Act365(R69,R70)</f>
        <v>0.24931506849315069</v>
      </c>
      <c r="T70" s="607">
        <v>8.2430660480347487E-2</v>
      </c>
      <c r="U70" s="727">
        <f ca="1"/>
        <v>0.61166506256248254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641</v>
      </c>
      <c r="BI70" s="720">
        <v>2.1080000000000002E-2</v>
      </c>
      <c r="BJ70" s="219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 x14ac:dyDescent="0.25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>
        <v>46507</v>
      </c>
      <c r="S71" s="279" cm="1">
        <f t="array" ref="S71">_xll.d.Dates_Act365(R70,R71)</f>
        <v>0.24931506849315069</v>
      </c>
      <c r="T71" s="607">
        <v>8.8869984701114083E-2</v>
      </c>
      <c r="U71" s="727">
        <f ca="1"/>
        <v>0.59840639566460219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x14ac:dyDescent="0.25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>
        <v>46598</v>
      </c>
      <c r="S72" s="279" cm="1">
        <f t="array" ref="S72">_xll.d.Dates_Act365(R71,R72)</f>
        <v>0.24931506849315069</v>
      </c>
      <c r="T72" s="607">
        <v>8.8869984701113194E-2</v>
      </c>
      <c r="U72" s="727">
        <f ca="1"/>
        <v>0.58543512829085442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 x14ac:dyDescent="0.25">
      <c r="B73" s="867">
        <f>EDATE(B72,1)</f>
        <v>45046</v>
      </c>
      <c r="C73" s="868">
        <f ca="1"/>
        <v>0.99360206292619835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>
        <v>46689</v>
      </c>
      <c r="S73" s="279" cm="1">
        <f t="array" ref="S73">_xll.d.Dates_Act365(R72,R73)</f>
        <v>0.24931506849315069</v>
      </c>
      <c r="T73" s="607">
        <v>8.8869984701113194E-2</v>
      </c>
      <c r="U73" s="727">
        <f ca="1"/>
        <v>0.57274503066813254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 x14ac:dyDescent="0.25">
      <c r="B74" s="867">
        <f t="shared" ref="B74:B84" si="1">EDATE(B73,1)</f>
        <v>45076</v>
      </c>
      <c r="C74" s="868">
        <f ca="1"/>
        <v>0.98715921592479683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>
        <v>46783</v>
      </c>
      <c r="S74" s="640" cm="1">
        <f t="array" ref="S74">_xll.d.Dates_Act365(R73,R74)</f>
        <v>0.25753424657534246</v>
      </c>
      <c r="T74" s="729">
        <v>8.8902212401247502E-2</v>
      </c>
      <c r="U74" s="328">
        <f ca="1"/>
        <v>0.55992533612260831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 x14ac:dyDescent="0.25">
      <c r="B75" s="867">
        <f t="shared" si="1"/>
        <v>45107</v>
      </c>
      <c r="C75" s="868">
        <f ca="1"/>
        <v>0.980545493845425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558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 x14ac:dyDescent="0.25">
      <c r="B76" s="867">
        <f t="shared" si="1"/>
        <v>45137</v>
      </c>
      <c r="C76" s="868">
        <f ca="1"/>
        <v>0.97404099755704809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 x14ac:dyDescent="0.25">
      <c r="B77" s="867">
        <f t="shared" si="1"/>
        <v>45168</v>
      </c>
      <c r="C77" s="868">
        <f ca="1"/>
        <v>0.96736501063792357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558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 x14ac:dyDescent="0.25">
      <c r="B78" s="867">
        <f t="shared" si="1"/>
        <v>45199</v>
      </c>
      <c r="C78" s="868">
        <f ca="1"/>
        <v>0.96073374854954563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593</v>
      </c>
      <c r="BO78" s="744" t="e">
        <f ca="1">SUMPRODUCT(BO41:BO56,BP41:BP56,BQ41:BQ56)/SUMPRODUCT(BO41:BO56,BQ41:BQ56)</f>
        <v>#VALUE!</v>
      </c>
      <c r="BP78" s="744">
        <f t="shared" si="2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 x14ac:dyDescent="0.25">
      <c r="B79" s="867">
        <f t="shared" si="1"/>
        <v>45229</v>
      </c>
      <c r="C79" s="868">
        <f ca="1"/>
        <v>0.95432992729213328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>
        <f ca="1">SUMPRODUCT(S43:S54,T43:T54,U43:U54)/SUMPRODUCT(S43:S54,U43:U54)</f>
        <v>6.3899999999999998E-2</v>
      </c>
      <c r="T79" s="736">
        <f t="shared" ref="T79:T84" si="3">N56</f>
        <v>6.3899999999999998E-2</v>
      </c>
      <c r="U79" s="195" t="str" cm="1">
        <f t="array" aca="1" ref="U79" ca="1">_xll.d.TestUtils_Equal(S79,T79,0.00001)</f>
        <v>Ok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600</v>
      </c>
      <c r="BO79" s="744" t="e">
        <f ca="1">SUMPRODUCT(BO41:BO60,BP41:BP60,BQ41:BQ60)/SUMPRODUCT(BO41:BO60,BQ41:BQ60)</f>
        <v>#VALUE!</v>
      </c>
      <c r="BP79" s="746" t="str">
        <f t="shared" si="2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 x14ac:dyDescent="0.25">
      <c r="B80" s="867">
        <f t="shared" si="1"/>
        <v>45260</v>
      </c>
      <c r="C80" s="868">
        <f ca="1"/>
        <v>0.94775748497078005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593</v>
      </c>
      <c r="S80" s="744">
        <f ca="1">SUMPRODUCT(S43:S58,T43:T58,U43:U58)/SUMPRODUCT(S43:S58,U43:U58)</f>
        <v>6.519999999999998E-2</v>
      </c>
      <c r="T80" s="744">
        <f t="shared" si="3"/>
        <v>6.5199999999999994E-2</v>
      </c>
      <c r="U80" s="686" t="str" cm="1">
        <f t="array" aca="1" ref="U80" ca="1">_xll.d.TestUtils_Equal(S80,T80,0.00001)</f>
        <v>Ok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601</v>
      </c>
      <c r="BO80" s="744" t="e">
        <f ca="1">SUMPRODUCT(BO41:BO64,BP41:BP64,BQ41:BQ64)/SUMPRODUCT(BO41:BO64,BQ41:BQ64)</f>
        <v>#VALUE!</v>
      </c>
      <c r="BP80" s="744" t="b">
        <f t="shared" si="2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 x14ac:dyDescent="0.25">
      <c r="B81" s="867">
        <f t="shared" si="1"/>
        <v>45290</v>
      </c>
      <c r="C81" s="868">
        <f ca="1"/>
        <v>0.94144380075982581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600</v>
      </c>
      <c r="S81" s="744">
        <f ca="1">SUMPRODUCT(S43:S62,T43:T62,U43:U62)/SUMPRODUCT(S43:S62,U43:U62)</f>
        <v>6.6600000000000034E-2</v>
      </c>
      <c r="T81" s="746">
        <f t="shared" si="3"/>
        <v>6.6600000000000006E-2</v>
      </c>
      <c r="U81" s="686" t="str" cm="1">
        <f t="array" aca="1" ref="U81" ca="1">_xll.d.TestUtils_Equal(S81,T81,0.00001)</f>
        <v>Ok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602</v>
      </c>
      <c r="BO81" s="744" t="e">
        <f ca="1">SUMPRODUCT(BO41:BO68,BP41:BP68,BQ41:BQ68)/SUMPRODUCT(BO41:BO68,BQ41:BQ68)</f>
        <v>#VALUE!</v>
      </c>
      <c r="BP81" s="746" t="b">
        <f t="shared" si="2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 x14ac:dyDescent="0.25">
      <c r="B82" s="867">
        <f t="shared" si="1"/>
        <v>45321</v>
      </c>
      <c r="C82" s="868">
        <f ca="1"/>
        <v>0.93507226945889121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601</v>
      </c>
      <c r="S82" s="744">
        <f ca="1">SUMPRODUCT(S43:S66,T43:T66,U43:U66)/SUMPRODUCT(S43:S66,U43:U66)</f>
        <v>6.8300000000000041E-2</v>
      </c>
      <c r="T82" s="744">
        <f t="shared" si="3"/>
        <v>6.83E-2</v>
      </c>
      <c r="U82" s="686" t="str" cm="1">
        <f t="array" aca="1" ref="U82" ca="1">_xll.d.TestUtils_Equal(S82,T82,0.00001)</f>
        <v>Ok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603</v>
      </c>
      <c r="BO82" s="737" t="e">
        <f ca="1">SUMPRODUCT(BO41:BO72,BP41:BP72,BQ41:BQ72)/SUMPRODUCT(BO41:BO72,BQ41:BQ72)</f>
        <v>#VALUE!</v>
      </c>
      <c r="BP82" s="737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 x14ac:dyDescent="0.25">
      <c r="B83" s="867">
        <f t="shared" si="1"/>
        <v>45351</v>
      </c>
      <c r="C83" s="868">
        <f ca="1"/>
        <v>0.92894733177196143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602</v>
      </c>
      <c r="S83" s="744">
        <f ca="1">SUMPRODUCT(S43:S70,T43:T70,U43:U70)/SUMPRODUCT(S43:S70,U43:U70)</f>
        <v>6.9900000000000045E-2</v>
      </c>
      <c r="T83" s="746">
        <f t="shared" si="3"/>
        <v>6.9900000000000004E-2</v>
      </c>
      <c r="U83" s="686" t="str" cm="1">
        <f t="array" aca="1" ref="U83" ca="1">_xll.d.TestUtils_Equal(S83,T83,0.00001)</f>
        <v>Ok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 x14ac:dyDescent="0.25">
      <c r="B84" s="871">
        <f t="shared" si="1"/>
        <v>45380</v>
      </c>
      <c r="C84" s="872">
        <f ca="1"/>
        <v>0.92307131168996104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603</v>
      </c>
      <c r="S84" s="737">
        <f ca="1">SUMPRODUCT(S43:S74,T43:T74,U43:U74)/SUMPRODUCT(S43:S74,U43:U74)</f>
        <v>7.1700000000000041E-2</v>
      </c>
      <c r="T84" s="737">
        <f t="shared" si="3"/>
        <v>7.17E-2</v>
      </c>
      <c r="U84" s="198" t="str" cm="1">
        <f t="array" aca="1" ref="U84" ca="1">_xll.d.TestUtils_Equal(S84,T84,0.00001)</f>
        <v>Ok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 x14ac:dyDescent="0.25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 x14ac:dyDescent="0.25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 x14ac:dyDescent="0.25">
      <c r="B87" s="4" t="s">
        <v>643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 x14ac:dyDescent="0.25">
      <c r="C88" s="164"/>
      <c r="K88" s="439"/>
      <c r="L88" s="204"/>
      <c r="N88" s="815"/>
    </row>
    <row r="89" spans="2:86" x14ac:dyDescent="0.25">
      <c r="B89" s="50" t="s">
        <v>108</v>
      </c>
      <c r="C89" s="164" t="str" cm="1">
        <f t="array" aca="1" ref="C89" ca="1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 x14ac:dyDescent="0.25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 x14ac:dyDescent="0.25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 x14ac:dyDescent="0.25">
      <c r="B92" s="848" t="e" cm="1">
        <f t="array" aca="1" ref="B92" ca="1">_xll.d.Curve_GetInstruments(D27)</f>
        <v>#VALUE!</v>
      </c>
      <c r="C92" s="849"/>
      <c r="D92" s="855"/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aca="1" ref="H92" ca="1">_xll.d.TestUtils_Equal(B92,E92)</f>
        <v>Ok</v>
      </c>
      <c r="I92" s="164" t="str" cm="1">
        <f t="array" aca="1" ref="I92" ca="1">_xll.d.TestUtils_Equal(C92,F92)</f>
        <v>Ok</v>
      </c>
      <c r="J92" s="164" t="str" cm="1">
        <f t="array" aca="1" ref="J92" ca="1">_xll.d.TestUtils_Equal(D92,G92)</f>
        <v>Ok</v>
      </c>
      <c r="K92" s="439"/>
      <c r="L92" s="204"/>
      <c r="N92" s="815"/>
    </row>
    <row r="93" spans="2:86" x14ac:dyDescent="0.25">
      <c r="B93" s="77"/>
      <c r="C93" s="54"/>
      <c r="D93" s="856"/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aca="1" ref="H93" ca="1">_xll.d.TestUtils_Equal(B93,E93)</f>
        <v>Ok</v>
      </c>
      <c r="I93" s="164" t="str" cm="1">
        <f t="array" aca="1" ref="I93" ca="1">_xll.d.TestUtils_Equal(C93,F93)</f>
        <v>Ok</v>
      </c>
      <c r="J93" s="164" t="str" cm="1">
        <f t="array" aca="1" ref="J93" ca="1">_xll.d.TestUtils_Equal(D93,G93)</f>
        <v>Ok</v>
      </c>
      <c r="K93" s="439"/>
      <c r="L93" s="204"/>
      <c r="N93" s="815"/>
    </row>
    <row r="94" spans="2:86" x14ac:dyDescent="0.25">
      <c r="B94" s="77"/>
      <c r="C94" s="850"/>
      <c r="D94" s="856"/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aca="1" ref="H94" ca="1">_xll.d.TestUtils_Equal(B94,E94)</f>
        <v>Ok</v>
      </c>
      <c r="I94" s="164" t="str" cm="1">
        <f t="array" aca="1" ref="I94" ca="1">_xll.d.TestUtils_Equal(C94,F94)</f>
        <v>Ok</v>
      </c>
      <c r="J94" s="164" t="str" cm="1">
        <f t="array" aca="1" ref="J94" ca="1">_xll.d.TestUtils_Equal(D94,G94)</f>
        <v>Ok</v>
      </c>
      <c r="K94" s="439"/>
      <c r="L94" s="204"/>
      <c r="N94" s="815"/>
    </row>
    <row r="95" spans="2:86" x14ac:dyDescent="0.25">
      <c r="B95" s="77"/>
      <c r="C95" s="850"/>
      <c r="D95" s="856"/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aca="1" ref="H95" ca="1">_xll.d.TestUtils_Equal(B95,E95)</f>
        <v>Ok</v>
      </c>
      <c r="I95" s="164" t="str" cm="1">
        <f t="array" aca="1" ref="I95" ca="1">_xll.d.TestUtils_Equal(C95,F95)</f>
        <v>Ok</v>
      </c>
      <c r="J95" s="164" t="str" cm="1">
        <f t="array" aca="1" ref="J95" ca="1">_xll.d.TestUtils_Equal(D95,G95)</f>
        <v>Ok</v>
      </c>
      <c r="K95" s="439"/>
      <c r="L95" s="204"/>
      <c r="N95" s="815"/>
    </row>
    <row r="96" spans="2:86" x14ac:dyDescent="0.25">
      <c r="B96" s="851"/>
      <c r="C96" s="850"/>
      <c r="D96" s="856"/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aca="1" ref="H96" ca="1">_xll.d.TestUtils_Equal(B96,E96)</f>
        <v>Ok</v>
      </c>
      <c r="I96" s="164" t="str" cm="1">
        <f t="array" aca="1" ref="I96" ca="1">_xll.d.TestUtils_Equal(C96,F96)</f>
        <v>Ok</v>
      </c>
      <c r="J96" s="164" t="str" cm="1">
        <f t="array" aca="1" ref="J96" ca="1">_xll.d.TestUtils_Equal(D96,G96)</f>
        <v>Ok</v>
      </c>
      <c r="K96" s="439"/>
      <c r="L96" s="204"/>
      <c r="N96" s="815"/>
    </row>
    <row r="97" spans="2:14" x14ac:dyDescent="0.25">
      <c r="B97" s="77"/>
      <c r="C97" s="54"/>
      <c r="D97" s="856"/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aca="1" ref="H97" ca="1">_xll.d.TestUtils_Equal(B97,E97)</f>
        <v>Ok</v>
      </c>
      <c r="I97" s="164" t="str" cm="1">
        <f t="array" aca="1" ref="I97" ca="1">_xll.d.TestUtils_Equal(C97,F97)</f>
        <v>Ok</v>
      </c>
      <c r="J97" s="164" t="str" cm="1">
        <f t="array" aca="1" ref="J97" ca="1">_xll.d.TestUtils_Equal(D97,G97)</f>
        <v>Ok</v>
      </c>
      <c r="K97" s="439"/>
      <c r="L97" s="204"/>
      <c r="N97" s="815"/>
    </row>
    <row r="98" spans="2:14" x14ac:dyDescent="0.25">
      <c r="B98" s="77"/>
      <c r="C98" s="54"/>
      <c r="D98" s="856"/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aca="1" ref="H98" ca="1">_xll.d.TestUtils_Equal(B98,E98)</f>
        <v>Ok</v>
      </c>
      <c r="I98" s="164" t="str" cm="1">
        <f t="array" aca="1" ref="I98" ca="1">_xll.d.TestUtils_Equal(C98,F98)</f>
        <v>Ok</v>
      </c>
      <c r="J98" s="164" t="str" cm="1">
        <f t="array" aca="1" ref="J98" ca="1">_xll.d.TestUtils_Equal(D98,G98)</f>
        <v>Ok</v>
      </c>
      <c r="K98" s="439"/>
      <c r="L98" s="204"/>
      <c r="N98" s="815"/>
    </row>
    <row r="99" spans="2:14" x14ac:dyDescent="0.25">
      <c r="B99" s="851"/>
      <c r="C99" s="54"/>
      <c r="D99" s="856"/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aca="1" ref="H99" ca="1">_xll.d.TestUtils_Equal(B99,E99)</f>
        <v>Ok</v>
      </c>
      <c r="I99" s="164" t="str" cm="1">
        <f t="array" aca="1" ref="I99" ca="1">_xll.d.TestUtils_Equal(C99,F99)</f>
        <v>Ok</v>
      </c>
      <c r="J99" s="164" t="str" cm="1">
        <f t="array" aca="1" ref="J99" ca="1">_xll.d.TestUtils_Equal(D99,G99)</f>
        <v>Ok</v>
      </c>
      <c r="K99" s="439"/>
      <c r="L99" s="204"/>
      <c r="N99" s="815"/>
    </row>
    <row r="100" spans="2:14" x14ac:dyDescent="0.25">
      <c r="B100" s="77"/>
      <c r="C100" s="850"/>
      <c r="D100" s="856"/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aca="1" ref="H100" ca="1">_xll.d.TestUtils_Equal(B100,E100)</f>
        <v>Ok</v>
      </c>
      <c r="I100" s="164" t="str" cm="1">
        <f t="array" aca="1" ref="I100" ca="1">_xll.d.TestUtils_Equal(C100,F100)</f>
        <v>Ok</v>
      </c>
      <c r="J100" s="164" t="str" cm="1">
        <f t="array" aca="1" ref="J100" ca="1">_xll.d.TestUtils_Equal(D100,G100)</f>
        <v>Ok</v>
      </c>
      <c r="K100" s="439"/>
      <c r="L100" s="204"/>
      <c r="N100" s="815"/>
    </row>
    <row r="101" spans="2:14" x14ac:dyDescent="0.25">
      <c r="B101" s="77"/>
      <c r="C101" s="850"/>
      <c r="D101" s="856"/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aca="1" ref="H101" ca="1">_xll.d.TestUtils_Equal(B101,E101)</f>
        <v>Ok</v>
      </c>
      <c r="I101" s="164" t="str" cm="1">
        <f t="array" aca="1" ref="I101" ca="1">_xll.d.TestUtils_Equal(C101,F101)</f>
        <v>Ok</v>
      </c>
      <c r="J101" s="164" t="str" cm="1">
        <f t="array" aca="1" ref="J101" ca="1">_xll.d.TestUtils_Equal(D101,G101)</f>
        <v>Ok</v>
      </c>
      <c r="K101" s="439"/>
      <c r="L101" s="204"/>
      <c r="N101" s="815"/>
    </row>
    <row r="102" spans="2:14" x14ac:dyDescent="0.25">
      <c r="B102" s="851"/>
      <c r="C102" s="850"/>
      <c r="D102" s="856"/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aca="1" ref="H102" ca="1">_xll.d.TestUtils_Equal(B102,E102)</f>
        <v>Ok</v>
      </c>
      <c r="I102" s="164" t="str" cm="1">
        <f t="array" aca="1" ref="I102" ca="1">_xll.d.TestUtils_Equal(C102,F102)</f>
        <v>Ok</v>
      </c>
      <c r="J102" s="164" t="str" cm="1">
        <f t="array" aca="1" ref="J102" ca="1">_xll.d.TestUtils_Equal(D102,G102)</f>
        <v>Ok</v>
      </c>
      <c r="K102" s="439"/>
      <c r="L102" s="204"/>
      <c r="N102" s="815"/>
    </row>
    <row r="103" spans="2:14" x14ac:dyDescent="0.25">
      <c r="B103" s="77"/>
      <c r="C103" s="54"/>
      <c r="D103" s="856"/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aca="1" ref="H103" ca="1">_xll.d.TestUtils_Equal(B103,E103)</f>
        <v>Ok</v>
      </c>
      <c r="I103" s="164" t="str" cm="1">
        <f t="array" aca="1" ref="I103" ca="1">_xll.d.TestUtils_Equal(C103,F103)</f>
        <v>Ok</v>
      </c>
      <c r="J103" s="164" t="str" cm="1">
        <f t="array" aca="1" ref="J103" ca="1">_xll.d.TestUtils_Equal(D103,G103)</f>
        <v>Ok</v>
      </c>
      <c r="K103" s="439"/>
      <c r="L103" s="204"/>
    </row>
    <row r="104" spans="2:14" x14ac:dyDescent="0.25">
      <c r="B104" s="77"/>
      <c r="C104" s="54"/>
      <c r="D104" s="856"/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aca="1" ref="H104" ca="1">_xll.d.TestUtils_Equal(B104,E104)</f>
        <v>Ok</v>
      </c>
      <c r="I104" s="164" t="str" cm="1">
        <f t="array" aca="1" ref="I104" ca="1">_xll.d.TestUtils_Equal(C104,F104)</f>
        <v>Ok</v>
      </c>
      <c r="J104" s="164" t="str" cm="1">
        <f t="array" aca="1" ref="J104" ca="1">_xll.d.TestUtils_Equal(D104,G104)</f>
        <v>Ok</v>
      </c>
      <c r="K104" s="439"/>
      <c r="L104" s="204"/>
    </row>
    <row r="105" spans="2:14" x14ac:dyDescent="0.25">
      <c r="B105" s="77"/>
      <c r="C105" s="54"/>
      <c r="D105" s="856"/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aca="1" ref="H105" ca="1">_xll.d.TestUtils_Equal(B105,E105)</f>
        <v>Ok</v>
      </c>
      <c r="I105" s="164" t="str" cm="1">
        <f t="array" aca="1" ref="I105" ca="1">_xll.d.TestUtils_Equal(C105,F105)</f>
        <v>Ok</v>
      </c>
      <c r="J105" s="164" t="str" cm="1">
        <f t="array" aca="1" ref="J105" ca="1">_xll.d.TestUtils_Equal(D105,G105)</f>
        <v>Ok</v>
      </c>
      <c r="K105" s="439"/>
      <c r="L105" s="204"/>
    </row>
    <row r="106" spans="2:14" x14ac:dyDescent="0.25">
      <c r="B106" s="852"/>
      <c r="C106" s="850"/>
      <c r="D106" s="856"/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439"/>
      <c r="L106" s="204"/>
    </row>
    <row r="107" spans="2:14" x14ac:dyDescent="0.25">
      <c r="B107" s="79"/>
      <c r="C107" s="853"/>
      <c r="D107" s="857"/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439"/>
      <c r="L107" s="204"/>
    </row>
    <row r="108" spans="2:14" x14ac:dyDescent="0.25">
      <c r="K108" s="439"/>
      <c r="L108" s="204"/>
    </row>
    <row r="109" spans="2:14" x14ac:dyDescent="0.25">
      <c r="K109" s="439"/>
      <c r="L109" s="439"/>
    </row>
    <row r="110" spans="2:14" x14ac:dyDescent="0.25">
      <c r="K110" s="439"/>
      <c r="L110" s="439"/>
    </row>
    <row r="111" spans="2:14" x14ac:dyDescent="0.25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 x14ac:dyDescent="0.25">
      <c r="B112" s="875" t="e" cm="1">
        <f t="array" aca="1" ref="B112" ca="1">_xll.d.Curve_GetInstruments(C68)</f>
        <v>#VALUE!</v>
      </c>
      <c r="C112" s="876"/>
      <c r="D112" s="876"/>
      <c r="E112" s="876"/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aca="1" ref="J112" ca="1">_xll.d.TestUtils_Equal(B112,F112)</f>
        <v>Ok</v>
      </c>
      <c r="K112" s="164" t="str" cm="1">
        <f t="array" aca="1" ref="K112" ca="1">_xll.d.TestUtils_Equal(C112,G112)</f>
        <v>Ok</v>
      </c>
      <c r="L112" s="164" t="str" cm="1">
        <f t="array" aca="1" ref="L112" ca="1">_xll.d.TestUtils_Equal(D112,H112)</f>
        <v>Ok</v>
      </c>
      <c r="M112" s="164" t="str" cm="1">
        <f t="array" aca="1" ref="M112" ca="1">_xll.d.TestUtils_Equal(E112,I112)</f>
        <v>Ok</v>
      </c>
    </row>
    <row r="113" spans="2:13" x14ac:dyDescent="0.25">
      <c r="B113" s="89"/>
      <c r="C113" s="72"/>
      <c r="D113" s="72"/>
      <c r="E113" s="72"/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aca="1" ref="J113" ca="1">_xll.d.TestUtils_Equal(B113,F113)</f>
        <v>Ok</v>
      </c>
      <c r="K113" s="164" t="str" cm="1">
        <f t="array" aca="1" ref="K113" ca="1">_xll.d.TestUtils_Equal(C113,G113)</f>
        <v>Ok</v>
      </c>
      <c r="L113" s="164" t="str" cm="1">
        <f t="array" aca="1" ref="L113" ca="1">_xll.d.TestUtils_Equal(D113,H113)</f>
        <v>Ok</v>
      </c>
      <c r="M113" s="164" t="str" cm="1">
        <f t="array" aca="1" ref="M113" ca="1">_xll.d.TestUtils_Equal(E113,I113)</f>
        <v>Ok</v>
      </c>
    </row>
    <row r="114" spans="2:13" x14ac:dyDescent="0.25">
      <c r="B114" s="89"/>
      <c r="C114" s="72"/>
      <c r="D114" s="72"/>
      <c r="E114" s="72"/>
      <c r="F114" s="72" t="s">
        <v>654</v>
      </c>
      <c r="G114" s="72" t="s">
        <v>33</v>
      </c>
      <c r="H114" s="72">
        <v>7.0699999999999999E-2</v>
      </c>
      <c r="I114" s="90" t="s">
        <v>655</v>
      </c>
      <c r="J114" s="164" t="str" cm="1">
        <f t="array" aca="1" ref="J114" ca="1">_xll.d.TestUtils_Equal(B114,F114)</f>
        <v>Ok</v>
      </c>
      <c r="K114" s="164" t="str" cm="1">
        <f t="array" aca="1" ref="K114" ca="1">_xll.d.TestUtils_Equal(C114,G114)</f>
        <v>Ok</v>
      </c>
      <c r="L114" s="164" t="str" cm="1">
        <f t="array" aca="1" ref="L114" ca="1">_xll.d.TestUtils_Equal(D114,H114)</f>
        <v>Ok</v>
      </c>
      <c r="M114" s="164" t="str" cm="1">
        <f t="array" aca="1" ref="M114" ca="1">_xll.d.TestUtils_Equal(E114,I114)</f>
        <v>Ok</v>
      </c>
    </row>
    <row r="115" spans="2:13" x14ac:dyDescent="0.25">
      <c r="B115" s="89"/>
      <c r="C115" s="72"/>
      <c r="D115" s="72"/>
      <c r="E115" s="72"/>
      <c r="F115" s="72" t="s">
        <v>629</v>
      </c>
      <c r="G115" s="72" t="s">
        <v>33</v>
      </c>
      <c r="H115" s="72">
        <v>7.825E-2</v>
      </c>
      <c r="I115" s="90" t="s">
        <v>655</v>
      </c>
      <c r="J115" s="164" t="str" cm="1">
        <f t="array" aca="1" ref="J115" ca="1">_xll.d.TestUtils_Equal(B115,F115)</f>
        <v>Ok</v>
      </c>
      <c r="K115" s="164" t="str" cm="1">
        <f t="array" aca="1" ref="K115" ca="1">_xll.d.TestUtils_Equal(C115,G115)</f>
        <v>Ok</v>
      </c>
      <c r="L115" s="164" t="str" cm="1">
        <f t="array" aca="1" ref="L115" ca="1">_xll.d.TestUtils_Equal(D115,H115)</f>
        <v>Ok</v>
      </c>
      <c r="M115" s="164" t="str" cm="1">
        <f t="array" aca="1" ref="M115" ca="1">_xll.d.TestUtils_Equal(E115,I115)</f>
        <v>Ok</v>
      </c>
    </row>
    <row r="116" spans="2:13" x14ac:dyDescent="0.25">
      <c r="B116" s="89"/>
      <c r="C116" s="72"/>
      <c r="D116" s="72"/>
      <c r="E116" s="72"/>
      <c r="F116" s="72" t="s">
        <v>633</v>
      </c>
      <c r="G116" s="72" t="s">
        <v>33</v>
      </c>
      <c r="H116" s="72">
        <v>7.9579999999999998E-2</v>
      </c>
      <c r="I116" s="90" t="s">
        <v>655</v>
      </c>
      <c r="J116" s="164" t="str" cm="1">
        <f t="array" aca="1" ref="J116" ca="1">_xll.d.TestUtils_Equal(B116,F116)</f>
        <v>Ok</v>
      </c>
      <c r="K116" s="164" t="str" cm="1">
        <f t="array" aca="1" ref="K116" ca="1">_xll.d.TestUtils_Equal(C116,G116)</f>
        <v>Ok</v>
      </c>
      <c r="L116" s="164" t="str" cm="1">
        <f t="array" aca="1" ref="L116" ca="1">_xll.d.TestUtils_Equal(D116,H116)</f>
        <v>Ok</v>
      </c>
      <c r="M116" s="164" t="str" cm="1">
        <f t="array" aca="1" ref="M116" ca="1">_xll.d.TestUtils_Equal(E116,I116)</f>
        <v>Ok</v>
      </c>
    </row>
    <row r="117" spans="2:13" x14ac:dyDescent="0.25">
      <c r="B117" s="89"/>
      <c r="C117" s="72"/>
      <c r="D117" s="72"/>
      <c r="E117" s="72"/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aca="1" ref="J117" ca="1">_xll.d.TestUtils_Equal(B117,F117)</f>
        <v>Ok</v>
      </c>
      <c r="K117" s="164" t="str" cm="1">
        <f t="array" aca="1" ref="K117" ca="1">_xll.d.TestUtils_Equal(C117,G117)</f>
        <v>Ok</v>
      </c>
      <c r="L117" s="164" t="str" cm="1">
        <f t="array" aca="1" ref="L117" ca="1">_xll.d.TestUtils_Equal(D117,H117)</f>
        <v>Ok</v>
      </c>
      <c r="M117" s="164" t="str" cm="1">
        <f t="array" aca="1" ref="M117" ca="1">_xll.d.TestUtils_Equal(E117,I117)</f>
        <v>Ok</v>
      </c>
    </row>
    <row r="118" spans="2:13" x14ac:dyDescent="0.25">
      <c r="B118" s="89"/>
      <c r="C118" s="72"/>
      <c r="D118" s="72"/>
      <c r="E118" s="72"/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aca="1" ref="J118" ca="1">_xll.d.TestUtils_Equal(B118,F118)</f>
        <v>Ok</v>
      </c>
      <c r="K118" s="164" t="str" cm="1">
        <f t="array" aca="1" ref="K118" ca="1">_xll.d.TestUtils_Equal(C118,G118)</f>
        <v>Ok</v>
      </c>
      <c r="L118" s="164" t="str" cm="1">
        <f t="array" aca="1" ref="L118" ca="1">_xll.d.TestUtils_Equal(D118,H118)</f>
        <v>Ok</v>
      </c>
      <c r="M118" s="164" t="str" cm="1">
        <f t="array" aca="1" ref="M118" ca="1">_xll.d.TestUtils_Equal(E118,I118)</f>
        <v>Ok</v>
      </c>
    </row>
    <row r="119" spans="2:13" x14ac:dyDescent="0.25">
      <c r="B119" s="89"/>
      <c r="C119" s="72"/>
      <c r="D119" s="72"/>
      <c r="E119" s="72"/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aca="1" ref="J119" ca="1">_xll.d.TestUtils_Equal(B119,F119)</f>
        <v>Ok</v>
      </c>
      <c r="K119" s="164" t="str" cm="1">
        <f t="array" aca="1" ref="K119" ca="1">_xll.d.TestUtils_Equal(C119,G119)</f>
        <v>Ok</v>
      </c>
      <c r="L119" s="164" t="str" cm="1">
        <f t="array" aca="1" ref="L119" ca="1">_xll.d.TestUtils_Equal(D119,H119)</f>
        <v>Ok</v>
      </c>
      <c r="M119" s="164" t="str" cm="1">
        <f t="array" aca="1" ref="M119" ca="1">_xll.d.TestUtils_Equal(E119,I119)</f>
        <v>Ok</v>
      </c>
    </row>
    <row r="120" spans="2:13" x14ac:dyDescent="0.25">
      <c r="B120" s="89"/>
      <c r="C120" s="72"/>
      <c r="D120" s="72"/>
      <c r="E120" s="72"/>
      <c r="F120" s="72" t="s">
        <v>195</v>
      </c>
      <c r="G120" s="72" t="s">
        <v>33</v>
      </c>
      <c r="H120" s="72">
        <v>8.1799999999999998E-2</v>
      </c>
      <c r="I120" s="90" t="s">
        <v>655</v>
      </c>
      <c r="J120" s="164" t="str" cm="1">
        <f t="array" aca="1" ref="J120" ca="1">_xll.d.TestUtils_Equal(B120,F120)</f>
        <v>Ok</v>
      </c>
      <c r="K120" s="164" t="str" cm="1">
        <f t="array" aca="1" ref="K120" ca="1">_xll.d.TestUtils_Equal(C120,G120)</f>
        <v>Ok</v>
      </c>
      <c r="L120" s="164" t="str" cm="1">
        <f t="array" aca="1" ref="L120" ca="1">_xll.d.TestUtils_Equal(D120,H120)</f>
        <v>Ok</v>
      </c>
      <c r="M120" s="164" t="str" cm="1">
        <f t="array" aca="1" ref="M120" ca="1">_xll.d.TestUtils_Equal(E120,I120)</f>
        <v>Ok</v>
      </c>
    </row>
    <row r="121" spans="2:13" x14ac:dyDescent="0.25">
      <c r="B121" s="89"/>
      <c r="C121" s="72"/>
      <c r="D121" s="72"/>
      <c r="E121" s="72"/>
      <c r="F121" s="72" t="s">
        <v>196</v>
      </c>
      <c r="G121" s="72" t="s">
        <v>33</v>
      </c>
      <c r="H121" s="72">
        <v>8.2200000000000009E-2</v>
      </c>
      <c r="I121" s="90" t="s">
        <v>655</v>
      </c>
      <c r="J121" s="164" t="str" cm="1">
        <f t="array" aca="1" ref="J121" ca="1">_xll.d.TestUtils_Equal(B121,F121)</f>
        <v>Ok</v>
      </c>
      <c r="K121" s="164" t="str" cm="1">
        <f t="array" aca="1" ref="K121" ca="1">_xll.d.TestUtils_Equal(C121,G121)</f>
        <v>Ok</v>
      </c>
      <c r="L121" s="164" t="str" cm="1">
        <f t="array" aca="1" ref="L121" ca="1">_xll.d.TestUtils_Equal(D121,H121)</f>
        <v>Ok</v>
      </c>
      <c r="M121" s="164" t="str" cm="1">
        <f t="array" aca="1" ref="M121" ca="1">_xll.d.TestUtils_Equal(E121,I121)</f>
        <v>Ok</v>
      </c>
    </row>
    <row r="122" spans="2:13" x14ac:dyDescent="0.25">
      <c r="B122" s="89"/>
      <c r="C122" s="72"/>
      <c r="D122" s="72"/>
      <c r="E122" s="72"/>
      <c r="F122" s="72" t="s">
        <v>197</v>
      </c>
      <c r="G122" s="72" t="s">
        <v>33</v>
      </c>
      <c r="H122" s="72">
        <v>8.0749999999999988E-2</v>
      </c>
      <c r="I122" s="90" t="s">
        <v>655</v>
      </c>
      <c r="J122" s="164" t="str" cm="1">
        <f t="array" aca="1" ref="J122" ca="1">_xll.d.TestUtils_Equal(B122,F122)</f>
        <v>Ok</v>
      </c>
      <c r="K122" s="164" t="str" cm="1">
        <f t="array" aca="1" ref="K122" ca="1">_xll.d.TestUtils_Equal(C122,G122)</f>
        <v>Ok</v>
      </c>
      <c r="L122" s="164" t="str" cm="1">
        <f t="array" aca="1" ref="L122" ca="1">_xll.d.TestUtils_Equal(D122,H122)</f>
        <v>Ok</v>
      </c>
      <c r="M122" s="164" t="str" cm="1">
        <f t="array" aca="1" ref="M122" ca="1">_xll.d.TestUtils_Equal(E122,I122)</f>
        <v>Ok</v>
      </c>
    </row>
    <row r="123" spans="2:13" x14ac:dyDescent="0.25">
      <c r="B123" s="89"/>
      <c r="C123" s="72"/>
      <c r="D123" s="72"/>
      <c r="E123" s="72"/>
      <c r="F123" s="72" t="s">
        <v>589</v>
      </c>
      <c r="G123" s="72" t="s">
        <v>33</v>
      </c>
      <c r="H123" s="72">
        <v>7.8100000000000003E-2</v>
      </c>
      <c r="I123" s="90" t="s">
        <v>655</v>
      </c>
      <c r="J123" s="164" t="str" cm="1">
        <f t="array" aca="1" ref="J123" ca="1">_xll.d.TestUtils_Equal(B123,F123)</f>
        <v>Ok</v>
      </c>
      <c r="K123" s="164" t="str" cm="1">
        <f t="array" aca="1" ref="K123" ca="1">_xll.d.TestUtils_Equal(C123,G123)</f>
        <v>Ok</v>
      </c>
      <c r="L123" s="164" t="str" cm="1">
        <f t="array" aca="1" ref="L123" ca="1">_xll.d.TestUtils_Equal(D123,H123)</f>
        <v>Ok</v>
      </c>
      <c r="M123" s="164" t="str" cm="1">
        <f t="array" aca="1" ref="M123" ca="1">_xll.d.TestUtils_Equal(E123,I123)</f>
        <v>Ok</v>
      </c>
    </row>
    <row r="124" spans="2:13" x14ac:dyDescent="0.25">
      <c r="B124" s="89"/>
      <c r="C124" s="72"/>
      <c r="D124" s="72"/>
      <c r="E124" s="72"/>
      <c r="F124" s="72" t="s">
        <v>590</v>
      </c>
      <c r="G124" s="72" t="s">
        <v>33</v>
      </c>
      <c r="H124" s="72">
        <v>7.6649999999999996E-2</v>
      </c>
      <c r="I124" s="90" t="s">
        <v>655</v>
      </c>
      <c r="J124" s="164" t="str" cm="1">
        <f t="array" aca="1" ref="J124" ca="1">_xll.d.TestUtils_Equal(B124,F124)</f>
        <v>Ok</v>
      </c>
      <c r="K124" s="164" t="str" cm="1">
        <f t="array" aca="1" ref="K124" ca="1">_xll.d.TestUtils_Equal(C124,G124)</f>
        <v>Ok</v>
      </c>
      <c r="L124" s="164" t="str" cm="1">
        <f t="array" aca="1" ref="L124" ca="1">_xll.d.TestUtils_Equal(D124,H124)</f>
        <v>Ok</v>
      </c>
      <c r="M124" s="164" t="str" cm="1">
        <f t="array" aca="1" ref="M124" ca="1">_xll.d.TestUtils_Equal(E124,I124)</f>
        <v>Ok</v>
      </c>
    </row>
    <row r="125" spans="2:13" x14ac:dyDescent="0.25">
      <c r="B125" s="89"/>
      <c r="C125" s="72"/>
      <c r="D125" s="72"/>
      <c r="E125" s="72"/>
      <c r="F125" s="72" t="s">
        <v>591</v>
      </c>
      <c r="G125" s="72" t="s">
        <v>33</v>
      </c>
      <c r="H125" s="72">
        <v>7.5649999999999995E-2</v>
      </c>
      <c r="I125" s="90" t="s">
        <v>655</v>
      </c>
      <c r="J125" s="164" t="str" cm="1">
        <f t="array" aca="1" ref="J125" ca="1">_xll.d.TestUtils_Equal(B125,F125)</f>
        <v>Ok</v>
      </c>
      <c r="K125" s="164" t="str" cm="1">
        <f t="array" aca="1" ref="K125" ca="1">_xll.d.TestUtils_Equal(C125,G125)</f>
        <v>Ok</v>
      </c>
      <c r="L125" s="164" t="str" cm="1">
        <f t="array" aca="1" ref="L125" ca="1">_xll.d.TestUtils_Equal(D125,H125)</f>
        <v>Ok</v>
      </c>
      <c r="M125" s="164" t="str" cm="1">
        <f t="array" aca="1" ref="M125" ca="1">_xll.d.TestUtils_Equal(E125,I125)</f>
        <v>Ok</v>
      </c>
    </row>
    <row r="126" spans="2:13" x14ac:dyDescent="0.25">
      <c r="B126" s="89"/>
      <c r="C126" s="72"/>
      <c r="D126" s="72"/>
      <c r="E126" s="72"/>
      <c r="F126" s="72" t="s">
        <v>592</v>
      </c>
      <c r="G126" s="72" t="s">
        <v>33</v>
      </c>
      <c r="H126" s="72">
        <v>7.5199999999999989E-2</v>
      </c>
      <c r="I126" s="90" t="s">
        <v>655</v>
      </c>
      <c r="J126" s="164" t="str" cm="1">
        <f t="array" aca="1" ref="J126" ca="1">_xll.d.TestUtils_Equal(B126,F126)</f>
        <v>Ok</v>
      </c>
      <c r="K126" s="164" t="str" cm="1">
        <f t="array" aca="1" ref="K126" ca="1">_xll.d.TestUtils_Equal(C126,G126)</f>
        <v>Ok</v>
      </c>
      <c r="L126" s="164" t="str" cm="1">
        <f t="array" aca="1" ref="L126" ca="1">_xll.d.TestUtils_Equal(D126,H126)</f>
        <v>Ok</v>
      </c>
      <c r="M126" s="164" t="str" cm="1">
        <f t="array" aca="1" ref="M126" ca="1">_xll.d.TestUtils_Equal(E126,I126)</f>
        <v>Ok</v>
      </c>
    </row>
    <row r="127" spans="2:13" x14ac:dyDescent="0.25">
      <c r="B127" s="89"/>
      <c r="C127" s="72"/>
      <c r="D127" s="72"/>
      <c r="E127" s="72"/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aca="1" ref="J127" ca="1">_xll.d.TestUtils_Equal(B127,F127)</f>
        <v>Ok</v>
      </c>
      <c r="K127" s="164" t="str" cm="1">
        <f t="array" aca="1" ref="K127" ca="1">_xll.d.TestUtils_Equal(C127,G127)</f>
        <v>Ok</v>
      </c>
      <c r="L127" s="164" t="str" cm="1">
        <f t="array" aca="1" ref="L127" ca="1">_xll.d.TestUtils_Equal(D127,H127)</f>
        <v>Ok</v>
      </c>
      <c r="M127" s="164" t="str" cm="1">
        <f t="array" aca="1" ref="M127" ca="1">_xll.d.TestUtils_Equal(E127,I127)</f>
        <v>Ok</v>
      </c>
    </row>
    <row r="128" spans="2:13" x14ac:dyDescent="0.25">
      <c r="B128" s="89"/>
      <c r="C128" s="72"/>
      <c r="D128" s="72"/>
      <c r="E128" s="72"/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aca="1" ref="J128" ca="1">_xll.d.TestUtils_Equal(B128,F128)</f>
        <v>Ok</v>
      </c>
      <c r="K128" s="164" t="str" cm="1">
        <f t="array" aca="1" ref="K128" ca="1">_xll.d.TestUtils_Equal(C128,G128)</f>
        <v>Ok</v>
      </c>
      <c r="L128" s="164" t="str" cm="1">
        <f t="array" aca="1" ref="L128" ca="1">_xll.d.TestUtils_Equal(D128,H128)</f>
        <v>Ok</v>
      </c>
      <c r="M128" s="164" t="str" cm="1">
        <f t="array" aca="1" ref="M128" ca="1">_xll.d.TestUtils_Equal(E128,I128)</f>
        <v>Ok</v>
      </c>
    </row>
    <row r="129" spans="2:13" x14ac:dyDescent="0.25">
      <c r="B129" s="89"/>
      <c r="C129" s="72"/>
      <c r="D129" s="72"/>
      <c r="E129" s="72"/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aca="1" ref="J129" ca="1">_xll.d.TestUtils_Equal(B129,F129)</f>
        <v>Ok</v>
      </c>
      <c r="K129" s="164" t="str" cm="1">
        <f t="array" aca="1" ref="K129" ca="1">_xll.d.TestUtils_Equal(C129,G129)</f>
        <v>Ok</v>
      </c>
      <c r="L129" s="164" t="str" cm="1">
        <f t="array" aca="1" ref="L129" ca="1">_xll.d.TestUtils_Equal(D129,H129)</f>
        <v>Ok</v>
      </c>
      <c r="M129" s="164" t="str" cm="1">
        <f t="array" aca="1" ref="M129" ca="1">_xll.d.TestUtils_Equal(E129,I129)</f>
        <v>Ok</v>
      </c>
    </row>
    <row r="130" spans="2:13" x14ac:dyDescent="0.25">
      <c r="B130" s="89"/>
      <c r="C130" s="72"/>
      <c r="D130" s="72"/>
      <c r="E130" s="72"/>
      <c r="F130" s="72" t="s">
        <v>656</v>
      </c>
      <c r="G130" s="72" t="s">
        <v>33</v>
      </c>
      <c r="H130" s="72">
        <v>7.85E-2</v>
      </c>
      <c r="I130" s="90" t="s">
        <v>655</v>
      </c>
      <c r="J130" s="164" t="str" cm="1">
        <f t="array" aca="1" ref="J130" ca="1">_xll.d.TestUtils_Equal(B130,F130)</f>
        <v>Ok</v>
      </c>
      <c r="K130" s="164" t="str" cm="1">
        <f t="array" aca="1" ref="K130" ca="1">_xll.d.TestUtils_Equal(C130,G130)</f>
        <v>Ok</v>
      </c>
      <c r="L130" s="164" t="str" cm="1">
        <f t="array" aca="1" ref="L130" ca="1">_xll.d.TestUtils_Equal(D130,H130)</f>
        <v>Ok</v>
      </c>
      <c r="M130" s="164" t="str" cm="1">
        <f t="array" aca="1" ref="M130" ca="1">_xll.d.TestUtils_Equal(E130,I130)</f>
        <v>Ok</v>
      </c>
    </row>
    <row r="131" spans="2:13" x14ac:dyDescent="0.25">
      <c r="B131" s="89"/>
      <c r="C131" s="72"/>
      <c r="D131" s="72"/>
      <c r="E131" s="72"/>
      <c r="F131" s="72" t="s">
        <v>657</v>
      </c>
      <c r="G131" s="72" t="s">
        <v>33</v>
      </c>
      <c r="H131" s="72">
        <v>7.9500000000000001E-2</v>
      </c>
      <c r="I131" s="90" t="s">
        <v>655</v>
      </c>
      <c r="J131" s="164" t="str" cm="1">
        <f t="array" aca="1" ref="J131" ca="1">_xll.d.TestUtils_Equal(B131,F131)</f>
        <v>Ok</v>
      </c>
      <c r="K131" s="164" t="str" cm="1">
        <f t="array" aca="1" ref="K131" ca="1">_xll.d.TestUtils_Equal(C131,G131)</f>
        <v>Ok</v>
      </c>
      <c r="L131" s="164" t="str" cm="1">
        <f t="array" aca="1" ref="L131" ca="1">_xll.d.TestUtils_Equal(D131,H131)</f>
        <v>Ok</v>
      </c>
      <c r="M131" s="164" t="str" cm="1">
        <f t="array" aca="1" ref="M131" ca="1">_xll.d.TestUtils_Equal(E131,I131)</f>
        <v>Ok</v>
      </c>
    </row>
    <row r="132" spans="2:13" x14ac:dyDescent="0.25">
      <c r="B132" s="89"/>
      <c r="C132" s="72"/>
      <c r="D132" s="72"/>
      <c r="E132" s="72"/>
      <c r="F132" s="72" t="s">
        <v>658</v>
      </c>
      <c r="G132" s="72" t="s">
        <v>33</v>
      </c>
      <c r="H132" s="72">
        <v>8.1199999999999994E-2</v>
      </c>
      <c r="I132" s="90" t="s">
        <v>655</v>
      </c>
      <c r="J132" s="164" t="str" cm="1">
        <f t="array" aca="1" ref="J132" ca="1">_xll.d.TestUtils_Equal(B132,F132)</f>
        <v>Ok</v>
      </c>
      <c r="K132" s="164" t="str" cm="1">
        <f t="array" aca="1" ref="K132" ca="1">_xll.d.TestUtils_Equal(C132,G132)</f>
        <v>Ok</v>
      </c>
      <c r="L132" s="164" t="str" cm="1">
        <f t="array" aca="1" ref="L132" ca="1">_xll.d.TestUtils_Equal(D132,H132)</f>
        <v>Ok</v>
      </c>
      <c r="M132" s="164" t="str" cm="1">
        <f t="array" aca="1" ref="M132" ca="1">_xll.d.TestUtils_Equal(E132,I132)</f>
        <v>Ok</v>
      </c>
    </row>
    <row r="133" spans="2:13" x14ac:dyDescent="0.25">
      <c r="B133" s="89"/>
      <c r="C133" s="72"/>
      <c r="D133" s="72"/>
      <c r="E133" s="72"/>
      <c r="F133" s="72" t="s">
        <v>659</v>
      </c>
      <c r="G133" s="72" t="s">
        <v>33</v>
      </c>
      <c r="H133" s="72">
        <v>8.3499999999999991E-2</v>
      </c>
      <c r="I133" s="90" t="s">
        <v>655</v>
      </c>
      <c r="J133" s="164" t="str" cm="1">
        <f t="array" aca="1" ref="J133" ca="1">_xll.d.TestUtils_Equal(B133,F133)</f>
        <v>Ok</v>
      </c>
      <c r="K133" s="164" t="str" cm="1">
        <f t="array" aca="1" ref="K133" ca="1">_xll.d.TestUtils_Equal(C133,G133)</f>
        <v>Ok</v>
      </c>
      <c r="L133" s="164" t="str" cm="1">
        <f t="array" aca="1" ref="L133" ca="1">_xll.d.TestUtils_Equal(D133,H133)</f>
        <v>Ok</v>
      </c>
      <c r="M133" s="164" t="str" cm="1">
        <f t="array" aca="1" ref="M133" ca="1">_xll.d.TestUtils_Equal(E133,I133)</f>
        <v>Ok</v>
      </c>
    </row>
    <row r="134" spans="2:13" x14ac:dyDescent="0.25">
      <c r="B134" s="89"/>
      <c r="C134" s="72"/>
      <c r="D134" s="72"/>
      <c r="E134" s="72"/>
      <c r="F134" s="72" t="s">
        <v>660</v>
      </c>
      <c r="G134" s="72" t="s">
        <v>33</v>
      </c>
      <c r="H134" s="72">
        <v>8.585000000000001E-2</v>
      </c>
      <c r="I134" s="90" t="s">
        <v>655</v>
      </c>
      <c r="J134" s="164" t="str" cm="1">
        <f t="array" aca="1" ref="J134" ca="1">_xll.d.TestUtils_Equal(B134,F134)</f>
        <v>Ok</v>
      </c>
      <c r="K134" s="164" t="str" cm="1">
        <f t="array" aca="1" ref="K134" ca="1">_xll.d.TestUtils_Equal(C134,G134)</f>
        <v>Ok</v>
      </c>
      <c r="L134" s="164" t="str" cm="1">
        <f t="array" aca="1" ref="L134" ca="1">_xll.d.TestUtils_Equal(D134,H134)</f>
        <v>Ok</v>
      </c>
      <c r="M134" s="164" t="str" cm="1">
        <f t="array" aca="1" ref="M134" ca="1">_xll.d.TestUtils_Equal(E134,I134)</f>
        <v>Ok</v>
      </c>
    </row>
    <row r="135" spans="2:13" x14ac:dyDescent="0.25">
      <c r="B135" s="89"/>
      <c r="C135" s="72"/>
      <c r="D135" s="72"/>
      <c r="E135" s="72"/>
      <c r="F135" s="72" t="s">
        <v>661</v>
      </c>
      <c r="G135" s="72" t="s">
        <v>33</v>
      </c>
      <c r="H135" s="72">
        <v>8.7899999999999992E-2</v>
      </c>
      <c r="I135" s="90" t="s">
        <v>655</v>
      </c>
      <c r="J135" s="164" t="str" cm="1">
        <f t="array" aca="1" ref="J135" ca="1">_xll.d.TestUtils_Equal(B135,F135)</f>
        <v>Ok</v>
      </c>
      <c r="K135" s="164" t="str" cm="1">
        <f t="array" aca="1" ref="K135" ca="1">_xll.d.TestUtils_Equal(C135,G135)</f>
        <v>Ok</v>
      </c>
      <c r="L135" s="164" t="str" cm="1">
        <f t="array" aca="1" ref="L135" ca="1">_xll.d.TestUtils_Equal(D135,H135)</f>
        <v>Ok</v>
      </c>
      <c r="M135" s="164" t="str" cm="1">
        <f t="array" aca="1" ref="M135" ca="1">_xll.d.TestUtils_Equal(E135,I135)</f>
        <v>Ok</v>
      </c>
    </row>
    <row r="136" spans="2:13" x14ac:dyDescent="0.25">
      <c r="B136" s="89"/>
      <c r="C136" s="72"/>
      <c r="D136" s="72"/>
      <c r="E136" s="72"/>
      <c r="F136" s="72" t="s">
        <v>662</v>
      </c>
      <c r="G136" s="72" t="s">
        <v>33</v>
      </c>
      <c r="H136" s="72">
        <v>8.9499999999999996E-2</v>
      </c>
      <c r="I136" s="90" t="s">
        <v>655</v>
      </c>
      <c r="J136" s="164" t="str" cm="1">
        <f t="array" aca="1" ref="J136" ca="1">_xll.d.TestUtils_Equal(B136,F136)</f>
        <v>Ok</v>
      </c>
      <c r="K136" s="164" t="str" cm="1">
        <f t="array" aca="1" ref="K136" ca="1">_xll.d.TestUtils_Equal(C136,G136)</f>
        <v>Ok</v>
      </c>
      <c r="L136" s="164" t="str" cm="1">
        <f t="array" aca="1" ref="L136" ca="1">_xll.d.TestUtils_Equal(D136,H136)</f>
        <v>Ok</v>
      </c>
      <c r="M136" s="164" t="str" cm="1">
        <f t="array" aca="1" ref="M136" ca="1">_xll.d.TestUtils_Equal(E136,I136)</f>
        <v>Ok</v>
      </c>
    </row>
    <row r="137" spans="2:13" x14ac:dyDescent="0.25">
      <c r="B137" s="89"/>
      <c r="C137" s="72"/>
      <c r="D137" s="72"/>
      <c r="E137" s="72"/>
      <c r="F137" s="72" t="s">
        <v>663</v>
      </c>
      <c r="G137" s="72" t="s">
        <v>33</v>
      </c>
      <c r="H137" s="72">
        <v>9.06E-2</v>
      </c>
      <c r="I137" s="90" t="s">
        <v>655</v>
      </c>
      <c r="J137" s="164" t="str" cm="1">
        <f t="array" aca="1" ref="J137" ca="1">_xll.d.TestUtils_Equal(B137,F137)</f>
        <v>Ok</v>
      </c>
      <c r="K137" s="164" t="str" cm="1">
        <f t="array" aca="1" ref="K137" ca="1">_xll.d.TestUtils_Equal(C137,G137)</f>
        <v>Ok</v>
      </c>
      <c r="L137" s="164" t="str" cm="1">
        <f t="array" aca="1" ref="L137" ca="1">_xll.d.TestUtils_Equal(D137,H137)</f>
        <v>Ok</v>
      </c>
      <c r="M137" s="164" t="str" cm="1">
        <f t="array" aca="1" ref="M137" ca="1">_xll.d.TestUtils_Equal(E137,I137)</f>
        <v>Ok</v>
      </c>
    </row>
    <row r="138" spans="2:13" x14ac:dyDescent="0.25">
      <c r="B138" s="89"/>
      <c r="C138" s="72"/>
      <c r="D138" s="72"/>
      <c r="E138" s="72"/>
      <c r="F138" s="72" t="s">
        <v>664</v>
      </c>
      <c r="G138" s="72" t="s">
        <v>33</v>
      </c>
      <c r="H138" s="72">
        <v>9.2600000000000002E-2</v>
      </c>
      <c r="I138" s="90" t="s">
        <v>655</v>
      </c>
      <c r="J138" s="164" t="str" cm="1">
        <f t="array" aca="1" ref="J138" ca="1">_xll.d.TestUtils_Equal(B138,F138)</f>
        <v>Ok</v>
      </c>
      <c r="K138" s="164" t="str" cm="1">
        <f t="array" aca="1" ref="K138" ca="1">_xll.d.TestUtils_Equal(C138,G138)</f>
        <v>Ok</v>
      </c>
      <c r="L138" s="164" t="str" cm="1">
        <f t="array" aca="1" ref="L138" ca="1">_xll.d.TestUtils_Equal(D138,H138)</f>
        <v>Ok</v>
      </c>
      <c r="M138" s="164" t="str" cm="1">
        <f t="array" aca="1" ref="M138" ca="1">_xll.d.TestUtils_Equal(E138,I138)</f>
        <v>Ok</v>
      </c>
    </row>
    <row r="139" spans="2:13" x14ac:dyDescent="0.25">
      <c r="B139" s="89"/>
      <c r="C139" s="72"/>
      <c r="D139" s="72"/>
      <c r="E139" s="72"/>
      <c r="F139" s="72" t="s">
        <v>665</v>
      </c>
      <c r="G139" s="72" t="s">
        <v>33</v>
      </c>
      <c r="H139" s="72">
        <v>9.3900000000000011E-2</v>
      </c>
      <c r="I139" s="90" t="s">
        <v>655</v>
      </c>
      <c r="J139" s="164" t="str" cm="1">
        <f t="array" aca="1" ref="J139" ca="1">_xll.d.TestUtils_Equal(B139,F139)</f>
        <v>Ok</v>
      </c>
      <c r="K139" s="164" t="str" cm="1">
        <f t="array" aca="1" ref="K139" ca="1">_xll.d.TestUtils_Equal(C139,G139)</f>
        <v>Ok</v>
      </c>
      <c r="L139" s="164" t="str" cm="1">
        <f t="array" aca="1" ref="L139" ca="1">_xll.d.TestUtils_Equal(D139,H139)</f>
        <v>Ok</v>
      </c>
      <c r="M139" s="164" t="str" cm="1">
        <f t="array" aca="1" ref="M139" ca="1">_xll.d.TestUtils_Equal(E139,I139)</f>
        <v>Ok</v>
      </c>
    </row>
    <row r="140" spans="2:13" x14ac:dyDescent="0.25">
      <c r="B140" s="89"/>
      <c r="C140" s="72"/>
      <c r="D140" s="72"/>
      <c r="E140" s="72"/>
      <c r="F140" s="72" t="s">
        <v>666</v>
      </c>
      <c r="G140" s="72" t="s">
        <v>33</v>
      </c>
      <c r="H140" s="72">
        <v>9.35E-2</v>
      </c>
      <c r="I140" s="90" t="s">
        <v>655</v>
      </c>
      <c r="J140" s="164" t="str" cm="1">
        <f t="array" aca="1" ref="J140" ca="1">_xll.d.TestUtils_Equal(B140,F140)</f>
        <v>Ok</v>
      </c>
      <c r="K140" s="164" t="str" cm="1">
        <f t="array" aca="1" ref="K140" ca="1">_xll.d.TestUtils_Equal(C140,G140)</f>
        <v>Ok</v>
      </c>
      <c r="L140" s="164" t="str" cm="1">
        <f t="array" aca="1" ref="L140" ca="1">_xll.d.TestUtils_Equal(D140,H140)</f>
        <v>Ok</v>
      </c>
      <c r="M140" s="164" t="str" cm="1">
        <f t="array" aca="1" ref="M140" ca="1">_xll.d.TestUtils_Equal(E140,I140)</f>
        <v>Ok</v>
      </c>
    </row>
    <row r="141" spans="2:13" x14ac:dyDescent="0.25">
      <c r="B141" s="89"/>
      <c r="C141" s="72"/>
      <c r="D141" s="72"/>
      <c r="E141" s="72"/>
      <c r="F141" s="72" t="s">
        <v>667</v>
      </c>
      <c r="G141" s="72" t="s">
        <v>33</v>
      </c>
      <c r="H141" s="72">
        <v>9.2100000000000015E-2</v>
      </c>
      <c r="I141" s="90" t="s">
        <v>655</v>
      </c>
      <c r="J141" s="164" t="str" cm="1">
        <f t="array" aca="1" ref="J141" ca="1">_xll.d.TestUtils_Equal(B141,F141)</f>
        <v>Ok</v>
      </c>
      <c r="K141" s="164" t="str" cm="1">
        <f t="array" aca="1" ref="K141" ca="1">_xll.d.TestUtils_Equal(C141,G141)</f>
        <v>Ok</v>
      </c>
      <c r="L141" s="164" t="str" cm="1">
        <f t="array" aca="1" ref="L141" ca="1">_xll.d.TestUtils_Equal(D141,H141)</f>
        <v>Ok</v>
      </c>
      <c r="M141" s="164" t="str" cm="1">
        <f t="array" aca="1" ref="M141" ca="1">_xll.d.TestUtils_Equal(E141,I141)</f>
        <v>Ok</v>
      </c>
    </row>
    <row r="142" spans="2:13" x14ac:dyDescent="0.25">
      <c r="B142" s="878"/>
      <c r="C142" s="879"/>
      <c r="D142" s="879"/>
      <c r="E142" s="879"/>
      <c r="F142" s="879" t="s">
        <v>668</v>
      </c>
      <c r="G142" s="879" t="s">
        <v>33</v>
      </c>
      <c r="H142" s="879">
        <v>8.9700000000000002E-2</v>
      </c>
      <c r="I142" s="880" t="s">
        <v>655</v>
      </c>
      <c r="J142" s="164" t="str" cm="1">
        <f t="array" aca="1" ref="J142" ca="1">_xll.d.TestUtils_Equal(B142,F142)</f>
        <v>Ok</v>
      </c>
      <c r="K142" s="164" t="str" cm="1">
        <f t="array" aca="1" ref="K142" ca="1">_xll.d.TestUtils_Equal(C142,G142)</f>
        <v>Ok</v>
      </c>
      <c r="L142" s="164" t="str" cm="1">
        <f t="array" aca="1" ref="L142" ca="1">_xll.d.TestUtils_Equal(D142,H142)</f>
        <v>Ok</v>
      </c>
      <c r="M142" s="164" t="str" cm="1">
        <f t="array" aca="1" ref="M142" ca="1">_xll.d.TestUtils_Equal(E142,I142)</f>
        <v>Ok</v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 x14ac:dyDescent="0.25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 x14ac:dyDescent="0.4">
      <c r="A2" s="439"/>
      <c r="B2" s="2" t="s">
        <v>505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 x14ac:dyDescent="0.25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 x14ac:dyDescent="0.25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 x14ac:dyDescent="0.2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 x14ac:dyDescent="0.25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 x14ac:dyDescent="0.25">
      <c r="A7" s="439"/>
      <c r="B7" s="202" t="s">
        <v>499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 x14ac:dyDescent="0.25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 x14ac:dyDescent="0.25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 x14ac:dyDescent="0.3">
      <c r="A10" s="439"/>
      <c r="B10" s="3" t="s">
        <v>499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 x14ac:dyDescent="0.25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 x14ac:dyDescent="0.25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 x14ac:dyDescent="0.25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 x14ac:dyDescent="0.25">
      <c r="A14" s="439"/>
      <c r="B14" s="4" t="s">
        <v>506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511</v>
      </c>
      <c r="M14" s="307"/>
      <c r="N14" s="307"/>
      <c r="O14" s="307"/>
      <c r="P14" s="307"/>
      <c r="Q14" s="307"/>
      <c r="R14" s="439"/>
      <c r="S14" s="4" t="s">
        <v>513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517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 x14ac:dyDescent="0.25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 x14ac:dyDescent="0.25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 x14ac:dyDescent="0.25">
      <c r="A17" s="439"/>
      <c r="B17" s="123" t="s">
        <v>500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507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500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514</v>
      </c>
      <c r="Z17" s="588"/>
      <c r="AA17" s="588"/>
      <c r="AB17" s="579" t="str" cm="1">
        <f t="array" ref="AB17">_xll.d.TestUtils_Equal(V17,Y17)</f>
        <v>Ok</v>
      </c>
      <c r="AD17" s="123" t="s">
        <v>500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518</v>
      </c>
      <c r="AK17" s="588"/>
      <c r="AL17" s="588"/>
      <c r="AM17" s="579" t="str" cm="1">
        <f t="array" ref="AM17">_xll.d.TestUtils_Equal(AG17,AJ17)</f>
        <v>Ok</v>
      </c>
    </row>
    <row r="18" spans="1:39" x14ac:dyDescent="0.25">
      <c r="A18" s="439"/>
      <c r="B18" s="125" t="s">
        <v>501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508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501</v>
      </c>
      <c r="M18" s="573">
        <v>0.1</v>
      </c>
      <c r="N18" s="439"/>
      <c r="O18" s="439"/>
      <c r="P18" s="439"/>
      <c r="Q18" s="439"/>
      <c r="R18" s="439"/>
      <c r="S18" s="125" t="s">
        <v>501</v>
      </c>
      <c r="T18" s="573">
        <v>0.1</v>
      </c>
      <c r="AD18" s="125" t="s">
        <v>501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 x14ac:dyDescent="0.25">
      <c r="A19" s="439"/>
      <c r="B19" s="125" t="s">
        <v>503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509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503</v>
      </c>
      <c r="M19" s="573">
        <v>0.09</v>
      </c>
      <c r="N19" s="439"/>
      <c r="O19" s="439"/>
      <c r="P19" s="439"/>
      <c r="Q19" s="439"/>
      <c r="R19" s="439"/>
      <c r="S19" s="125" t="s">
        <v>503</v>
      </c>
      <c r="T19" s="573">
        <v>0.09</v>
      </c>
      <c r="AD19" s="125" t="s">
        <v>503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 x14ac:dyDescent="0.25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510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 x14ac:dyDescent="0.25">
      <c r="A21" s="439"/>
      <c r="B21" s="125" t="s">
        <v>502</v>
      </c>
      <c r="C21" s="126">
        <f>4/12</f>
        <v>0.33333333333333331</v>
      </c>
      <c r="D21" s="439"/>
      <c r="G21" s="439"/>
      <c r="H21" s="439"/>
      <c r="I21" s="439"/>
      <c r="L21" s="125" t="s">
        <v>502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502</v>
      </c>
      <c r="T21" s="126">
        <f>4/12</f>
        <v>0.33333333333333331</v>
      </c>
      <c r="AD21" s="125" t="s">
        <v>502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 x14ac:dyDescent="0.25">
      <c r="B22" s="125" t="s">
        <v>421</v>
      </c>
      <c r="C22" s="126" t="s">
        <v>504</v>
      </c>
      <c r="L22" s="125" t="s">
        <v>421</v>
      </c>
      <c r="M22" s="126" t="s">
        <v>504</v>
      </c>
      <c r="S22" s="125" t="s">
        <v>421</v>
      </c>
      <c r="T22" s="126" t="s">
        <v>512</v>
      </c>
      <c r="AD22" s="125" t="s">
        <v>421</v>
      </c>
      <c r="AE22" s="126" t="s">
        <v>504</v>
      </c>
    </row>
    <row r="23" spans="1:39" x14ac:dyDescent="0.25">
      <c r="A23" s="439"/>
      <c r="B23" s="127" t="s">
        <v>515</v>
      </c>
      <c r="C23" s="128" t="s">
        <v>516</v>
      </c>
      <c r="D23" s="439"/>
      <c r="G23" s="439"/>
      <c r="H23" s="439"/>
      <c r="I23" s="439"/>
      <c r="L23" s="127" t="s">
        <v>515</v>
      </c>
      <c r="M23" s="128" t="s">
        <v>516</v>
      </c>
      <c r="N23" s="439"/>
      <c r="O23" s="439"/>
      <c r="P23" s="439"/>
      <c r="Q23" s="439"/>
      <c r="R23" s="439"/>
      <c r="S23" s="127" t="s">
        <v>515</v>
      </c>
      <c r="T23" s="128" t="s">
        <v>516</v>
      </c>
      <c r="AD23" s="127" t="s">
        <v>515</v>
      </c>
      <c r="AE23" s="128" t="s">
        <v>512</v>
      </c>
      <c r="AF23" s="439"/>
      <c r="AG23" s="439"/>
      <c r="AH23" s="439"/>
      <c r="AI23" s="439"/>
      <c r="AJ23" s="439"/>
      <c r="AK23" s="439"/>
      <c r="AL23" s="439"/>
      <c r="AM23" s="439"/>
    </row>
    <row r="24" spans="1:39" x14ac:dyDescent="0.25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 x14ac:dyDescent="0.25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 x14ac:dyDescent="0.25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 x14ac:dyDescent="0.25">
      <c r="E27" s="439"/>
      <c r="F27" s="439"/>
      <c r="G27" s="439"/>
      <c r="H27" s="439"/>
      <c r="I27" s="439"/>
      <c r="J27" s="439"/>
      <c r="K27" s="439"/>
      <c r="L27" s="439"/>
    </row>
    <row r="42" spans="3:11" x14ac:dyDescent="0.25">
      <c r="F42" s="495"/>
    </row>
    <row r="44" spans="3:11" x14ac:dyDescent="0.25">
      <c r="C44" s="495"/>
      <c r="K44" s="439"/>
    </row>
    <row r="45" spans="3:11" x14ac:dyDescent="0.25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8" t="s">
        <v>389</v>
      </c>
    </row>
    <row r="2" spans="1:54" ht="26.25" x14ac:dyDescent="0.4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 x14ac:dyDescent="0.25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 x14ac:dyDescent="0.25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 x14ac:dyDescent="0.25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 x14ac:dyDescent="0.25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 x14ac:dyDescent="0.3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 x14ac:dyDescent="0.25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 x14ac:dyDescent="0.25">
      <c r="B14" s="298"/>
      <c r="C14" s="298"/>
      <c r="D14" s="298"/>
      <c r="E14" s="298"/>
      <c r="F14" s="298"/>
      <c r="G14" s="299"/>
    </row>
    <row r="15" spans="1:54" ht="15.75" x14ac:dyDescent="0.2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436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441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 x14ac:dyDescent="0.25">
      <c r="AE16" s="439"/>
      <c r="AF16" s="439"/>
      <c r="AG16" s="439"/>
      <c r="AR16" s="439"/>
      <c r="AS16" s="439"/>
    </row>
    <row r="17" spans="1:54" s="445" customFormat="1" x14ac:dyDescent="0.25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 x14ac:dyDescent="0.25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 x14ac:dyDescent="0.25">
      <c r="B19" s="121" t="s">
        <v>227</v>
      </c>
      <c r="C19" s="122"/>
      <c r="D19" s="298"/>
      <c r="E19" s="448" t="s">
        <v>554</v>
      </c>
      <c r="F19" s="298"/>
      <c r="G19" s="121" t="s">
        <v>434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434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434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 x14ac:dyDescent="0.25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440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439</v>
      </c>
      <c r="AZ20" s="462"/>
      <c r="BA20" s="462"/>
      <c r="BB20" s="338" t="str" cm="1">
        <f t="array" ref="BB20">_xll.d.TestUtils_Equal(AV20,AY20)</f>
        <v>Ok</v>
      </c>
    </row>
    <row r="21" spans="1:54" s="439" customFormat="1" x14ac:dyDescent="0.25">
      <c r="B21" s="486" t="s">
        <v>452</v>
      </c>
      <c r="C21" s="488">
        <f>3/12</f>
        <v>0.25</v>
      </c>
      <c r="D21" s="614"/>
      <c r="E21" s="888" t="s">
        <v>433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888" t="s">
        <v>433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888" t="s">
        <v>433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437</v>
      </c>
      <c r="AG21" s="457"/>
      <c r="AH21" s="126" t="s">
        <v>435</v>
      </c>
      <c r="AJ21" s="298"/>
      <c r="AK21" s="445"/>
      <c r="AM21" s="447"/>
      <c r="AN21" s="298"/>
      <c r="AO21" s="299"/>
      <c r="AR21" s="457" t="s">
        <v>437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 x14ac:dyDescent="0.25">
      <c r="B22" s="298"/>
      <c r="C22" s="447"/>
      <c r="D22" s="615">
        <v>1</v>
      </c>
      <c r="E22" s="88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889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889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438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438</v>
      </c>
      <c r="AS22" s="457"/>
      <c r="AT22" s="126" t="s">
        <v>435</v>
      </c>
      <c r="AY22" s="298"/>
    </row>
    <row r="23" spans="1:54" s="439" customFormat="1" x14ac:dyDescent="0.25">
      <c r="B23" s="298"/>
      <c r="D23" s="615">
        <v>2</v>
      </c>
      <c r="E23" s="88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889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889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452</v>
      </c>
      <c r="AG23" s="458"/>
      <c r="AH23" s="128">
        <f>3/12</f>
        <v>0.25</v>
      </c>
      <c r="AR23" s="458" t="s">
        <v>452</v>
      </c>
      <c r="AS23" s="458"/>
      <c r="AT23" s="128">
        <f>3/12</f>
        <v>0.25</v>
      </c>
    </row>
    <row r="24" spans="1:54" s="439" customFormat="1" x14ac:dyDescent="0.25">
      <c r="B24" s="298"/>
      <c r="D24" s="615">
        <v>4</v>
      </c>
      <c r="E24" s="88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889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889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 x14ac:dyDescent="0.25">
      <c r="B25" s="298"/>
      <c r="D25" s="616">
        <v>12</v>
      </c>
      <c r="E25" s="88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889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889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 x14ac:dyDescent="0.25">
      <c r="B26" s="298"/>
      <c r="D26" s="616"/>
      <c r="E26" s="89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890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890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 x14ac:dyDescent="0.25">
      <c r="B27" s="298"/>
      <c r="C27" s="298"/>
      <c r="D27" s="298"/>
      <c r="E27" s="298"/>
      <c r="F27" s="298"/>
      <c r="G27" s="298"/>
      <c r="H27" s="299"/>
    </row>
    <row r="28" spans="1:54" s="439" customFormat="1" x14ac:dyDescent="0.25">
      <c r="B28" s="298"/>
      <c r="C28" s="298"/>
      <c r="D28" s="298"/>
      <c r="E28" s="298"/>
      <c r="F28" s="298"/>
      <c r="G28" s="299"/>
    </row>
    <row r="29" spans="1:54" s="298" customFormat="1" ht="18.75" x14ac:dyDescent="0.3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 x14ac:dyDescent="0.25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 x14ac:dyDescent="0.25">
      <c r="E32" s="439"/>
      <c r="F32" s="439"/>
      <c r="G32" s="439"/>
      <c r="H32" s="439"/>
    </row>
    <row r="33" spans="2:24" ht="15.75" x14ac:dyDescent="0.2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445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 x14ac:dyDescent="0.25"/>
    <row r="35" spans="2:24" s="439" customFormat="1" x14ac:dyDescent="0.25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 x14ac:dyDescent="0.25"/>
    <row r="37" spans="2:24" x14ac:dyDescent="0.25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 x14ac:dyDescent="0.25">
      <c r="B38" s="123" t="s">
        <v>442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446</v>
      </c>
      <c r="K38" s="464" t="s">
        <v>435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447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 x14ac:dyDescent="0.25">
      <c r="B39" s="125" t="s">
        <v>443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442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 x14ac:dyDescent="0.25">
      <c r="B40" s="127" t="s">
        <v>444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443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 x14ac:dyDescent="0.25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444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 x14ac:dyDescent="0.25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 x14ac:dyDescent="0.25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8" t="s">
        <v>389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08" t="s">
        <v>389</v>
      </c>
    </row>
    <row r="2" spans="2:10" ht="26.25" x14ac:dyDescent="0.4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0" t="s">
        <v>141</v>
      </c>
      <c r="C6" s="164" t="str" cm="1">
        <f t="array" aca="1" ref="C6" ca="1">_xll.d.TestUtils_And(D10:D13)</f>
        <v>Error</v>
      </c>
    </row>
    <row r="8" spans="2:10" x14ac:dyDescent="0.25">
      <c r="B8" s="189" t="s">
        <v>9</v>
      </c>
      <c r="C8" s="189"/>
      <c r="D8" s="190" t="s">
        <v>10</v>
      </c>
    </row>
    <row r="9" spans="2:10" x14ac:dyDescent="0.25">
      <c r="B9" s="235" t="s">
        <v>191</v>
      </c>
      <c r="C9" s="236"/>
      <c r="D9" s="237"/>
    </row>
    <row r="10" spans="2:10" x14ac:dyDescent="0.25">
      <c r="B10" s="199" t="str">
        <f>B18</f>
        <v>Flat Curve, 3m JIBAR</v>
      </c>
      <c r="C10" s="234"/>
      <c r="D10" s="164" t="str">
        <f ca="1">C20</f>
        <v>Error</v>
      </c>
    </row>
    <row r="12" spans="2:10" x14ac:dyDescent="0.25">
      <c r="B12" s="235" t="s">
        <v>192</v>
      </c>
      <c r="C12" s="236"/>
      <c r="D12" s="237"/>
    </row>
    <row r="13" spans="2:10" x14ac:dyDescent="0.25">
      <c r="B13" s="199" t="e">
        <f>#REF!</f>
        <v>#REF!</v>
      </c>
      <c r="C13" s="234"/>
      <c r="D13" s="164" t="str">
        <f>C32</f>
        <v>ZAR</v>
      </c>
    </row>
    <row r="16" spans="2:10" ht="18.75" x14ac:dyDescent="0.3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 x14ac:dyDescent="0.25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 x14ac:dyDescent="0.25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 x14ac:dyDescent="0.25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 x14ac:dyDescent="0.25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 x14ac:dyDescent="0.25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 x14ac:dyDescent="0.25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 x14ac:dyDescent="0.25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 x14ac:dyDescent="0.25">
      <c r="B28" s="259" t="s">
        <v>200</v>
      </c>
      <c r="C28" s="220">
        <v>44713</v>
      </c>
      <c r="E28" s="53"/>
    </row>
    <row r="29" spans="2:10" x14ac:dyDescent="0.25">
      <c r="B29" s="260" t="s">
        <v>201</v>
      </c>
      <c r="C29" s="241">
        <f>C28+365</f>
        <v>45078</v>
      </c>
      <c r="E29" s="53"/>
    </row>
    <row r="30" spans="2:10" x14ac:dyDescent="0.25">
      <c r="B30" s="261" t="s">
        <v>202</v>
      </c>
      <c r="C30" s="263" t="s">
        <v>205</v>
      </c>
    </row>
    <row r="31" spans="2:10" x14ac:dyDescent="0.25">
      <c r="B31" s="264" t="s">
        <v>206</v>
      </c>
      <c r="C31">
        <v>1000000</v>
      </c>
    </row>
    <row r="32" spans="2:10" x14ac:dyDescent="0.25">
      <c r="B32" s="264" t="s">
        <v>208</v>
      </c>
      <c r="C32" t="s">
        <v>55</v>
      </c>
      <c r="D32" t="s">
        <v>209</v>
      </c>
    </row>
    <row r="33" spans="2:3" x14ac:dyDescent="0.25">
      <c r="B33" s="264" t="s">
        <v>210</v>
      </c>
    </row>
    <row r="34" spans="2:3" x14ac:dyDescent="0.25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 x14ac:dyDescent="0.25">
      <c r="B1" s="408" t="s">
        <v>389</v>
      </c>
    </row>
    <row r="2" spans="2:34" ht="26.25" x14ac:dyDescent="0.4">
      <c r="B2" s="2" t="s">
        <v>565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495"/>
      <c r="O3" s="495"/>
      <c r="P3" s="495"/>
      <c r="Q3" s="495"/>
      <c r="R3" s="495"/>
    </row>
    <row r="4" spans="2:34" x14ac:dyDescent="0.25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 x14ac:dyDescent="0.25">
      <c r="E5" s="596" t="s">
        <v>454</v>
      </c>
      <c r="F5" s="597"/>
    </row>
    <row r="6" spans="2:34" x14ac:dyDescent="0.25">
      <c r="E6" s="598" t="s">
        <v>453</v>
      </c>
      <c r="F6" s="599"/>
    </row>
    <row r="7" spans="2:34" x14ac:dyDescent="0.25">
      <c r="B7" s="189" t="s">
        <v>9</v>
      </c>
      <c r="C7" s="190" t="s">
        <v>10</v>
      </c>
    </row>
    <row r="8" spans="2:34" x14ac:dyDescent="0.25">
      <c r="B8" s="480" t="s">
        <v>568</v>
      </c>
      <c r="C8" s="164" t="str" cm="1">
        <f t="array" aca="1" ref="C8" ca="1">_xll.d.TestUtils_And(J20,J23,H26:J28,H31:J33,Y20,Y23,Y26,Y31)</f>
        <v>Ok</v>
      </c>
      <c r="E8" s="612" t="s">
        <v>572</v>
      </c>
    </row>
    <row r="9" spans="2:34" x14ac:dyDescent="0.25">
      <c r="B9" s="480" t="s">
        <v>569</v>
      </c>
      <c r="C9" s="164" t="str" cm="1">
        <f t="array" aca="1" ref="C9" ca="1">_xll.d.TestUtils_And(J39,J42,H45:J47,H50:J52,Y39,Y42,Y45,Y50)</f>
        <v>Ok</v>
      </c>
      <c r="E9" s="612" t="s">
        <v>573</v>
      </c>
    </row>
    <row r="12" spans="2:34" x14ac:dyDescent="0.25">
      <c r="B12" s="50" t="s">
        <v>577</v>
      </c>
      <c r="C12" s="50" t="s">
        <v>567</v>
      </c>
      <c r="D12" s="50"/>
      <c r="E12" s="50"/>
      <c r="F12" s="50"/>
      <c r="G12" s="50"/>
      <c r="H12" s="50"/>
    </row>
    <row r="13" spans="2:34" x14ac:dyDescent="0.25">
      <c r="B13" s="653" t="s">
        <v>568</v>
      </c>
      <c r="C13" s="654" t="s">
        <v>564</v>
      </c>
      <c r="D13" s="634"/>
      <c r="E13" s="634"/>
      <c r="F13" s="634"/>
      <c r="G13" s="634"/>
      <c r="H13" s="635"/>
    </row>
    <row r="14" spans="2:34" x14ac:dyDescent="0.25">
      <c r="B14" s="655" t="s">
        <v>569</v>
      </c>
      <c r="C14" s="656" t="s">
        <v>566</v>
      </c>
      <c r="D14" s="636"/>
      <c r="E14" s="636"/>
      <c r="F14" s="636"/>
      <c r="G14" s="636"/>
      <c r="H14" s="637"/>
    </row>
    <row r="17" spans="2:34" ht="18.75" x14ac:dyDescent="0.3">
      <c r="B17" s="3" t="s">
        <v>568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560</v>
      </c>
      <c r="C19" s="50"/>
      <c r="D19" s="50"/>
      <c r="E19" s="50" t="s">
        <v>574</v>
      </c>
      <c r="F19" s="50"/>
      <c r="G19" s="50"/>
      <c r="H19" s="50" t="s">
        <v>578</v>
      </c>
      <c r="I19" s="50"/>
      <c r="J19" s="50"/>
      <c r="K19" s="50" t="s">
        <v>581</v>
      </c>
      <c r="L19" s="50"/>
      <c r="M19" s="50"/>
      <c r="N19" s="50"/>
      <c r="O19" s="50"/>
      <c r="P19" s="50"/>
      <c r="Q19" s="50"/>
      <c r="R19" s="50" t="s">
        <v>580</v>
      </c>
      <c r="S19" s="50"/>
      <c r="T19" s="50"/>
      <c r="U19" s="50"/>
      <c r="V19" s="50"/>
      <c r="W19" s="50"/>
      <c r="X19" s="50"/>
      <c r="Y19" s="50" t="s">
        <v>582</v>
      </c>
      <c r="AF19" s="633" t="s">
        <v>560</v>
      </c>
      <c r="AG19" s="633"/>
      <c r="AH19" s="633"/>
    </row>
    <row r="20" spans="2:34" x14ac:dyDescent="0.25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583</v>
      </c>
      <c r="L20" s="672"/>
      <c r="M20" s="672"/>
      <c r="N20" s="672"/>
      <c r="O20" s="672"/>
      <c r="P20" s="672"/>
      <c r="Q20" s="673"/>
      <c r="R20" s="672" t="s">
        <v>583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 x14ac:dyDescent="0.25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 x14ac:dyDescent="0.25">
      <c r="B22" s="50" t="s">
        <v>561</v>
      </c>
      <c r="C22" s="50"/>
      <c r="D22" s="50"/>
      <c r="E22" s="50" t="s">
        <v>574</v>
      </c>
      <c r="F22" s="50"/>
      <c r="G22" s="50"/>
      <c r="H22" s="50" t="s">
        <v>578</v>
      </c>
      <c r="I22" s="50"/>
      <c r="J22" s="50"/>
      <c r="K22" s="50" t="s">
        <v>581</v>
      </c>
      <c r="L22" s="50"/>
      <c r="M22" s="50"/>
      <c r="N22" s="50"/>
      <c r="O22" s="50"/>
      <c r="P22" s="50"/>
      <c r="Q22" s="50"/>
      <c r="R22" s="50" t="s">
        <v>580</v>
      </c>
      <c r="S22" s="50"/>
      <c r="T22" s="50"/>
      <c r="U22" s="50"/>
      <c r="V22" s="50"/>
      <c r="W22" s="50"/>
      <c r="X22" s="50"/>
      <c r="Y22" s="50" t="s">
        <v>582</v>
      </c>
      <c r="Z22" s="298"/>
      <c r="AA22" s="298"/>
      <c r="AB22" s="298"/>
      <c r="AC22" s="298"/>
      <c r="AD22" s="298"/>
      <c r="AE22" s="298"/>
      <c r="AF22" s="633" t="s">
        <v>561</v>
      </c>
      <c r="AG22" s="633"/>
      <c r="AH22" s="633"/>
    </row>
    <row r="23" spans="2:34" x14ac:dyDescent="0.25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583</v>
      </c>
      <c r="L23" s="672"/>
      <c r="M23" s="672"/>
      <c r="N23" s="672"/>
      <c r="O23" s="672"/>
      <c r="P23" s="672"/>
      <c r="Q23" s="673"/>
      <c r="R23" s="672" t="s">
        <v>583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 x14ac:dyDescent="0.25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 x14ac:dyDescent="0.25">
      <c r="B25" s="50" t="s">
        <v>562</v>
      </c>
      <c r="C25" s="50"/>
      <c r="D25" s="50"/>
      <c r="E25" s="50" t="s">
        <v>579</v>
      </c>
      <c r="F25" s="50"/>
      <c r="G25" s="50"/>
      <c r="H25" s="50" t="s">
        <v>578</v>
      </c>
      <c r="I25" s="50"/>
      <c r="J25" s="50"/>
      <c r="K25" s="50" t="s">
        <v>581</v>
      </c>
      <c r="L25" s="50"/>
      <c r="M25" s="50"/>
      <c r="N25" s="50"/>
      <c r="O25" s="50"/>
      <c r="P25" s="50"/>
      <c r="Q25" s="50"/>
      <c r="R25" s="50" t="s">
        <v>580</v>
      </c>
      <c r="S25" s="50"/>
      <c r="T25" s="50"/>
      <c r="U25" s="50"/>
      <c r="V25" s="50"/>
      <c r="W25" s="50"/>
      <c r="X25" s="50"/>
      <c r="Y25" s="50" t="s">
        <v>582</v>
      </c>
      <c r="Z25" s="298"/>
      <c r="AA25" s="298"/>
      <c r="AB25" s="298"/>
      <c r="AC25" s="298"/>
      <c r="AD25" s="298"/>
      <c r="AE25" s="298"/>
      <c r="AF25" s="633" t="s">
        <v>562</v>
      </c>
      <c r="AG25" s="633"/>
      <c r="AH25" s="633"/>
    </row>
    <row r="26" spans="2:34" x14ac:dyDescent="0.25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583</v>
      </c>
      <c r="L26" s="674"/>
      <c r="M26" s="674"/>
      <c r="N26" s="674"/>
      <c r="O26" s="674"/>
      <c r="P26" s="674"/>
      <c r="Q26" s="675"/>
      <c r="R26" s="674" t="s">
        <v>583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 x14ac:dyDescent="0.25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 x14ac:dyDescent="0.25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 x14ac:dyDescent="0.25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 x14ac:dyDescent="0.25">
      <c r="B30" s="50" t="s">
        <v>563</v>
      </c>
      <c r="C30" s="50"/>
      <c r="D30" s="50"/>
      <c r="E30" s="50" t="s">
        <v>579</v>
      </c>
      <c r="F30" s="50"/>
      <c r="G30" s="50"/>
      <c r="H30" s="50" t="s">
        <v>578</v>
      </c>
      <c r="I30" s="50"/>
      <c r="J30" s="50"/>
      <c r="K30" s="50" t="s">
        <v>581</v>
      </c>
      <c r="L30" s="50"/>
      <c r="M30" s="50"/>
      <c r="N30" s="50"/>
      <c r="O30" s="50"/>
      <c r="P30" s="50"/>
      <c r="Q30" s="50"/>
      <c r="R30" s="50" t="s">
        <v>580</v>
      </c>
      <c r="S30" s="50"/>
      <c r="T30" s="50"/>
      <c r="U30" s="50"/>
      <c r="V30" s="50"/>
      <c r="W30" s="50"/>
      <c r="X30" s="50"/>
      <c r="Y30" s="50" t="s">
        <v>582</v>
      </c>
      <c r="Z30" s="298"/>
      <c r="AA30" s="298"/>
      <c r="AB30" s="298"/>
      <c r="AC30" s="298"/>
      <c r="AD30" s="298"/>
      <c r="AE30" s="298"/>
      <c r="AF30" s="633" t="s">
        <v>563</v>
      </c>
      <c r="AG30" s="633"/>
      <c r="AH30" s="633"/>
    </row>
    <row r="31" spans="2:34" x14ac:dyDescent="0.25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583</v>
      </c>
      <c r="L31" s="674"/>
      <c r="M31" s="674"/>
      <c r="N31" s="674"/>
      <c r="O31" s="674"/>
      <c r="P31" s="674"/>
      <c r="Q31" s="675"/>
      <c r="R31" s="674" t="s">
        <v>583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 x14ac:dyDescent="0.25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 x14ac:dyDescent="0.25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 x14ac:dyDescent="0.3">
      <c r="B36" s="3" t="s">
        <v>569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560</v>
      </c>
      <c r="C38" s="50"/>
      <c r="D38" s="50"/>
      <c r="E38" s="50" t="s">
        <v>574</v>
      </c>
      <c r="F38" s="50"/>
      <c r="G38" s="50"/>
      <c r="H38" s="50" t="s">
        <v>578</v>
      </c>
      <c r="I38" s="50"/>
      <c r="J38" s="50"/>
      <c r="K38" s="50" t="s">
        <v>581</v>
      </c>
      <c r="L38" s="50"/>
      <c r="M38" s="50"/>
      <c r="N38" s="50"/>
      <c r="O38" s="50"/>
      <c r="P38" s="50"/>
      <c r="Q38" s="50"/>
      <c r="R38" s="50" t="s">
        <v>580</v>
      </c>
      <c r="S38" s="50"/>
      <c r="T38" s="50"/>
      <c r="U38" s="50"/>
      <c r="V38" s="50"/>
      <c r="W38" s="50"/>
      <c r="X38" s="50"/>
      <c r="Y38" s="50" t="s">
        <v>582</v>
      </c>
    </row>
    <row r="39" spans="2:34" x14ac:dyDescent="0.25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583</v>
      </c>
      <c r="L39" s="672"/>
      <c r="M39" s="672"/>
      <c r="N39" s="672"/>
      <c r="O39" s="672"/>
      <c r="P39" s="672"/>
      <c r="Q39" s="673"/>
      <c r="R39" s="672" t="s">
        <v>583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 x14ac:dyDescent="0.25">
      <c r="B40" s="652"/>
      <c r="C40" s="652"/>
      <c r="D40" s="652"/>
      <c r="E40" s="652"/>
      <c r="F40" s="652"/>
      <c r="G40" s="652"/>
      <c r="I40" s="298"/>
      <c r="J40" s="298"/>
    </row>
    <row r="41" spans="2:34" x14ac:dyDescent="0.25">
      <c r="B41" s="50" t="s">
        <v>561</v>
      </c>
      <c r="C41" s="50"/>
      <c r="D41" s="50"/>
      <c r="E41" s="50" t="s">
        <v>574</v>
      </c>
      <c r="F41" s="50"/>
      <c r="G41" s="50"/>
      <c r="H41" s="50" t="s">
        <v>578</v>
      </c>
      <c r="I41" s="50"/>
      <c r="J41" s="50"/>
      <c r="K41" s="50" t="s">
        <v>581</v>
      </c>
      <c r="L41" s="50"/>
      <c r="M41" s="50"/>
      <c r="N41" s="50"/>
      <c r="O41" s="50"/>
      <c r="P41" s="50"/>
      <c r="Q41" s="50"/>
      <c r="R41" s="50" t="s">
        <v>580</v>
      </c>
      <c r="S41" s="50"/>
      <c r="T41" s="50"/>
      <c r="U41" s="50"/>
      <c r="V41" s="50"/>
      <c r="W41" s="50"/>
      <c r="X41" s="50"/>
      <c r="Y41" s="50" t="s">
        <v>582</v>
      </c>
    </row>
    <row r="42" spans="2:34" x14ac:dyDescent="0.25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583</v>
      </c>
      <c r="L42" s="672"/>
      <c r="M42" s="672"/>
      <c r="N42" s="672"/>
      <c r="O42" s="672"/>
      <c r="P42" s="672"/>
      <c r="Q42" s="673"/>
      <c r="R42" s="672" t="s">
        <v>583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 x14ac:dyDescent="0.25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 x14ac:dyDescent="0.25">
      <c r="B44" s="50" t="s">
        <v>562</v>
      </c>
      <c r="C44" s="50"/>
      <c r="D44" s="50"/>
      <c r="E44" s="50" t="s">
        <v>579</v>
      </c>
      <c r="F44" s="50"/>
      <c r="G44" s="50"/>
      <c r="H44" s="50" t="s">
        <v>578</v>
      </c>
      <c r="I44" s="50"/>
      <c r="J44" s="50"/>
      <c r="K44" s="50" t="s">
        <v>581</v>
      </c>
      <c r="L44" s="50"/>
      <c r="M44" s="50"/>
      <c r="N44" s="50"/>
      <c r="O44" s="50"/>
      <c r="P44" s="50"/>
      <c r="Q44" s="50"/>
      <c r="R44" s="50" t="s">
        <v>580</v>
      </c>
      <c r="S44" s="50"/>
      <c r="T44" s="50"/>
      <c r="U44" s="50"/>
      <c r="V44" s="50"/>
      <c r="W44" s="50"/>
      <c r="X44" s="50"/>
      <c r="Y44" s="50" t="s">
        <v>582</v>
      </c>
    </row>
    <row r="45" spans="2:34" x14ac:dyDescent="0.25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583</v>
      </c>
      <c r="L45" s="674"/>
      <c r="M45" s="674"/>
      <c r="N45" s="674"/>
      <c r="O45" s="674"/>
      <c r="P45" s="674"/>
      <c r="Q45" s="675"/>
      <c r="R45" s="674" t="s">
        <v>583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 x14ac:dyDescent="0.25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 x14ac:dyDescent="0.25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 x14ac:dyDescent="0.25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 x14ac:dyDescent="0.25">
      <c r="B49" s="50" t="s">
        <v>563</v>
      </c>
      <c r="C49" s="50"/>
      <c r="D49" s="50"/>
      <c r="E49" s="50" t="s">
        <v>579</v>
      </c>
      <c r="F49" s="50"/>
      <c r="G49" s="50"/>
      <c r="H49" s="50" t="s">
        <v>578</v>
      </c>
      <c r="I49" s="50"/>
      <c r="J49" s="50"/>
      <c r="K49" s="50" t="s">
        <v>581</v>
      </c>
      <c r="L49" s="50"/>
      <c r="M49" s="50"/>
      <c r="N49" s="50"/>
      <c r="O49" s="50"/>
      <c r="P49" s="50"/>
      <c r="Q49" s="50"/>
      <c r="R49" s="50" t="s">
        <v>580</v>
      </c>
      <c r="S49" s="50"/>
      <c r="T49" s="50"/>
      <c r="U49" s="50"/>
      <c r="V49" s="50"/>
      <c r="W49" s="50"/>
      <c r="X49" s="50"/>
      <c r="Y49" s="50" t="s">
        <v>582</v>
      </c>
    </row>
    <row r="50" spans="2:25" x14ac:dyDescent="0.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583</v>
      </c>
      <c r="L50" s="674"/>
      <c r="M50" s="674"/>
      <c r="N50" s="674"/>
      <c r="O50" s="674"/>
      <c r="P50" s="674"/>
      <c r="Q50" s="675"/>
      <c r="R50" s="674" t="s">
        <v>583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 x14ac:dyDescent="0.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 x14ac:dyDescent="0.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8" t="s">
        <v>389</v>
      </c>
    </row>
    <row r="2" spans="2:21" ht="26.25" x14ac:dyDescent="0.4">
      <c r="B2" s="2" t="s">
        <v>538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39"/>
      <c r="C3" s="439"/>
      <c r="D3" s="439"/>
      <c r="E3" s="439"/>
      <c r="F3" s="439"/>
      <c r="G3" s="439"/>
      <c r="H3" s="439"/>
      <c r="N3" s="495"/>
    </row>
    <row r="4" spans="2:21" x14ac:dyDescent="0.25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 x14ac:dyDescent="0.25">
      <c r="B5" s="439"/>
      <c r="C5" s="439"/>
      <c r="D5" s="439"/>
      <c r="E5" s="596" t="s">
        <v>454</v>
      </c>
      <c r="F5" s="597"/>
      <c r="G5" s="439"/>
      <c r="H5" s="439"/>
    </row>
    <row r="6" spans="2:21" x14ac:dyDescent="0.25">
      <c r="B6" s="189" t="s">
        <v>9</v>
      </c>
      <c r="C6" s="190" t="s">
        <v>10</v>
      </c>
      <c r="D6" s="439"/>
      <c r="E6" s="598" t="s">
        <v>453</v>
      </c>
      <c r="F6" s="599"/>
      <c r="G6" s="439"/>
      <c r="H6" s="439"/>
    </row>
    <row r="7" spans="2:21" x14ac:dyDescent="0.25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 x14ac:dyDescent="0.25">
      <c r="B8" s="594" t="s">
        <v>93</v>
      </c>
      <c r="C8" s="164" t="str">
        <f ca="1">HyperlinkUtils.Test3.TestResult</f>
        <v>Ok</v>
      </c>
    </row>
    <row r="9" spans="2:21" s="439" customFormat="1" x14ac:dyDescent="0.25">
      <c r="B9" s="594" t="s">
        <v>94</v>
      </c>
      <c r="C9" s="164" t="str">
        <f ca="1">HyperlinkUtils.Test3.TestResult</f>
        <v>Ok</v>
      </c>
    </row>
    <row r="10" spans="2:21" s="439" customFormat="1" x14ac:dyDescent="0.25">
      <c r="B10" s="594" t="s">
        <v>97</v>
      </c>
      <c r="C10" s="164" t="str">
        <f ca="1">HyperlinkUtils.Test4.TestResult</f>
        <v>Ok</v>
      </c>
    </row>
    <row r="11" spans="2:21" x14ac:dyDescent="0.25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 x14ac:dyDescent="0.25"/>
    <row r="13" spans="2:21" x14ac:dyDescent="0.25">
      <c r="T13" s="439"/>
      <c r="U13" s="439"/>
    </row>
    <row r="14" spans="2:21" ht="15.75" x14ac:dyDescent="0.25">
      <c r="B14" s="4" t="s">
        <v>540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 x14ac:dyDescent="0.25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 x14ac:dyDescent="0.25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 x14ac:dyDescent="0.25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 x14ac:dyDescent="0.25">
      <c r="B18" s="189" t="s">
        <v>535</v>
      </c>
      <c r="D18" s="593" t="s">
        <v>536</v>
      </c>
    </row>
    <row r="19" spans="2:11" s="439" customFormat="1" ht="15.75" x14ac:dyDescent="0.25">
      <c r="B19" s="600" t="s">
        <v>534</v>
      </c>
      <c r="C19" s="592"/>
      <c r="D19" s="4" t="s">
        <v>542</v>
      </c>
    </row>
    <row r="20" spans="2:11" s="439" customFormat="1" x14ac:dyDescent="0.25">
      <c r="B20" s="601" t="s">
        <v>95</v>
      </c>
      <c r="C20" s="592"/>
    </row>
    <row r="21" spans="2:11" s="439" customFormat="1" x14ac:dyDescent="0.25">
      <c r="B21" s="54"/>
      <c r="C21" s="592"/>
    </row>
    <row r="22" spans="2:11" x14ac:dyDescent="0.25">
      <c r="B22" s="50" t="s">
        <v>67</v>
      </c>
      <c r="C22" s="50" t="s">
        <v>68</v>
      </c>
      <c r="D22" s="50" t="s">
        <v>533</v>
      </c>
      <c r="E22" s="41" t="s">
        <v>539</v>
      </c>
    </row>
    <row r="23" spans="2:11" x14ac:dyDescent="0.25">
      <c r="B23" s="480" t="s">
        <v>542</v>
      </c>
      <c r="C23" s="480" t="s">
        <v>542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 x14ac:dyDescent="0.25">
      <c r="B26" s="4" t="s">
        <v>541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 x14ac:dyDescent="0.25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 x14ac:dyDescent="0.25">
      <c r="B30" s="189" t="s">
        <v>535</v>
      </c>
      <c r="C30" s="439"/>
      <c r="D30" s="593" t="s">
        <v>536</v>
      </c>
      <c r="E30" s="439"/>
      <c r="F30" s="439"/>
      <c r="G30" s="439"/>
      <c r="H30" s="439"/>
      <c r="I30" s="439"/>
      <c r="J30" s="439"/>
      <c r="K30" s="439"/>
    </row>
    <row r="31" spans="2:11" ht="15.75" x14ac:dyDescent="0.25">
      <c r="B31" s="600" t="s">
        <v>534</v>
      </c>
      <c r="C31" s="592"/>
      <c r="D31" s="4" t="s">
        <v>543</v>
      </c>
      <c r="E31" s="4"/>
      <c r="F31" s="439"/>
      <c r="G31" s="439"/>
      <c r="H31" s="439"/>
      <c r="I31" s="439"/>
      <c r="J31" s="439"/>
      <c r="K31" s="439"/>
    </row>
    <row r="32" spans="2:11" x14ac:dyDescent="0.25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 x14ac:dyDescent="0.25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 x14ac:dyDescent="0.25">
      <c r="B34" s="50" t="s">
        <v>67</v>
      </c>
      <c r="C34" s="50" t="s">
        <v>68</v>
      </c>
      <c r="D34" s="50" t="s">
        <v>533</v>
      </c>
      <c r="E34" s="41" t="s">
        <v>539</v>
      </c>
      <c r="F34" s="439"/>
      <c r="G34" s="439"/>
      <c r="H34" s="439"/>
      <c r="I34" s="439"/>
      <c r="J34" s="439"/>
      <c r="K34" s="439"/>
    </row>
    <row r="35" spans="2:11" x14ac:dyDescent="0.25">
      <c r="B35" s="480" t="s">
        <v>543</v>
      </c>
      <c r="C35" s="480" t="s">
        <v>543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 x14ac:dyDescent="0.25"/>
    <row r="38" spans="2:11" ht="15.75" x14ac:dyDescent="0.25">
      <c r="B38" s="4" t="s">
        <v>544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 x14ac:dyDescent="0.25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 x14ac:dyDescent="0.25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 x14ac:dyDescent="0.25">
      <c r="B42" s="189" t="s">
        <v>535</v>
      </c>
      <c r="C42" s="439"/>
      <c r="D42" s="593" t="s">
        <v>536</v>
      </c>
      <c r="E42" s="439"/>
      <c r="F42" s="439"/>
      <c r="G42" s="439"/>
      <c r="H42" s="439"/>
      <c r="I42" s="439"/>
      <c r="J42" s="439"/>
      <c r="K42" s="439"/>
    </row>
    <row r="43" spans="2:11" ht="15.75" x14ac:dyDescent="0.25">
      <c r="B43" s="600" t="s">
        <v>534</v>
      </c>
      <c r="C43" s="592"/>
      <c r="D43" s="4" t="s">
        <v>545</v>
      </c>
      <c r="E43" s="439"/>
      <c r="F43" s="439"/>
      <c r="G43" s="439"/>
      <c r="H43" s="439"/>
      <c r="I43" s="439"/>
      <c r="J43" s="439"/>
      <c r="K43" s="439"/>
    </row>
    <row r="44" spans="2:11" x14ac:dyDescent="0.25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 x14ac:dyDescent="0.25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 x14ac:dyDescent="0.25">
      <c r="B46" s="50" t="s">
        <v>67</v>
      </c>
      <c r="C46" s="50" t="s">
        <v>68</v>
      </c>
      <c r="D46" s="50" t="s">
        <v>533</v>
      </c>
      <c r="E46" s="41" t="s">
        <v>539</v>
      </c>
      <c r="F46" s="439"/>
      <c r="G46" s="439"/>
      <c r="H46" s="439"/>
      <c r="I46" s="439"/>
      <c r="J46" s="439"/>
      <c r="K46" s="439"/>
    </row>
    <row r="47" spans="2:11" x14ac:dyDescent="0.25">
      <c r="B47" s="480" t="s">
        <v>545</v>
      </c>
      <c r="C47" s="480" t="s">
        <v>545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 x14ac:dyDescent="0.25">
      <c r="B50" s="4" t="s">
        <v>546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 x14ac:dyDescent="0.25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 x14ac:dyDescent="0.25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 x14ac:dyDescent="0.25">
      <c r="B54" s="189" t="s">
        <v>535</v>
      </c>
      <c r="C54" s="439"/>
      <c r="D54" s="593" t="s">
        <v>536</v>
      </c>
      <c r="E54" s="439"/>
      <c r="F54" s="439"/>
      <c r="G54" s="439"/>
      <c r="H54" s="439"/>
      <c r="I54" s="439"/>
      <c r="J54" s="439"/>
      <c r="K54" s="439"/>
    </row>
    <row r="55" spans="2:11" ht="15.75" x14ac:dyDescent="0.25">
      <c r="B55" s="600" t="s">
        <v>534</v>
      </c>
      <c r="C55" s="592"/>
      <c r="D55" s="4" t="s">
        <v>547</v>
      </c>
      <c r="E55" s="4"/>
      <c r="F55" s="439"/>
      <c r="G55" s="439"/>
      <c r="H55" s="439"/>
      <c r="I55" s="439"/>
      <c r="J55" s="439"/>
      <c r="K55" s="439"/>
    </row>
    <row r="56" spans="2:11" x14ac:dyDescent="0.25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 x14ac:dyDescent="0.25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 x14ac:dyDescent="0.25">
      <c r="B58" s="50" t="s">
        <v>67</v>
      </c>
      <c r="C58" s="50" t="s">
        <v>68</v>
      </c>
      <c r="D58" s="50" t="s">
        <v>533</v>
      </c>
      <c r="E58" s="41" t="s">
        <v>539</v>
      </c>
      <c r="F58" s="439"/>
      <c r="G58" s="439"/>
      <c r="H58" s="439"/>
      <c r="I58" s="439"/>
      <c r="J58" s="439"/>
      <c r="K58" s="439"/>
    </row>
    <row r="59" spans="2:11" x14ac:dyDescent="0.25">
      <c r="B59" s="480" t="s">
        <v>547</v>
      </c>
      <c r="C59" s="480" t="s">
        <v>547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 x14ac:dyDescent="0.25">
      <c r="B62" s="4" t="s">
        <v>550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 x14ac:dyDescent="0.25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 x14ac:dyDescent="0.25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 x14ac:dyDescent="0.25">
      <c r="B66" s="189" t="s">
        <v>535</v>
      </c>
      <c r="C66" s="439"/>
      <c r="D66" s="593" t="s">
        <v>536</v>
      </c>
      <c r="E66" s="439"/>
      <c r="F66" s="439"/>
      <c r="G66" s="439"/>
      <c r="H66" s="439"/>
      <c r="I66" s="439"/>
      <c r="J66" s="439"/>
      <c r="K66" s="439"/>
    </row>
    <row r="67" spans="2:11" ht="15.75" x14ac:dyDescent="0.25">
      <c r="B67" s="600" t="s">
        <v>534</v>
      </c>
      <c r="C67" s="592"/>
      <c r="D67" s="4" t="s">
        <v>548</v>
      </c>
      <c r="E67" s="4"/>
      <c r="F67" s="439"/>
      <c r="G67" s="439"/>
      <c r="H67" s="439"/>
      <c r="I67" s="439"/>
      <c r="J67" s="439"/>
      <c r="K67" s="439"/>
    </row>
    <row r="68" spans="2:11" ht="15.75" x14ac:dyDescent="0.25">
      <c r="B68" s="601" t="s">
        <v>95</v>
      </c>
      <c r="C68" s="592"/>
      <c r="D68" s="4" t="s">
        <v>549</v>
      </c>
      <c r="E68" s="4"/>
      <c r="F68" s="439"/>
      <c r="G68" s="439"/>
      <c r="H68" s="439"/>
      <c r="I68" s="439"/>
      <c r="J68" s="439"/>
      <c r="K68" s="439"/>
    </row>
    <row r="69" spans="2:11" x14ac:dyDescent="0.25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 x14ac:dyDescent="0.25">
      <c r="B70" s="50" t="s">
        <v>67</v>
      </c>
      <c r="C70" s="50" t="s">
        <v>68</v>
      </c>
      <c r="D70" s="50" t="s">
        <v>533</v>
      </c>
      <c r="E70" s="41" t="s">
        <v>539</v>
      </c>
      <c r="F70" s="439"/>
      <c r="G70" s="439"/>
      <c r="H70" s="439"/>
      <c r="I70" s="439"/>
      <c r="J70" s="439"/>
      <c r="K70" s="439"/>
    </row>
    <row r="71" spans="2:11" x14ac:dyDescent="0.25">
      <c r="B71" s="480" t="s">
        <v>548</v>
      </c>
      <c r="C71" s="480" t="s">
        <v>548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 x14ac:dyDescent="0.25">
      <c r="B72" s="480" t="s">
        <v>549</v>
      </c>
      <c r="C72" s="480" t="s">
        <v>549</v>
      </c>
      <c r="D72" s="164" t="str" cm="1">
        <f t="array" aca="1" ref="D72" ca="1">_xll.d.TestUtils_IsTrue(_xll.d.Formatting_Equal(B72,C72))</f>
        <v>Ok</v>
      </c>
      <c r="E72" s="164" t="s">
        <v>110</v>
      </c>
    </row>
    <row r="73" spans="2:11" x14ac:dyDescent="0.25">
      <c r="F73" s="602"/>
      <c r="G73" s="602"/>
    </row>
    <row r="74" spans="2:11" x14ac:dyDescent="0.25">
      <c r="G74" s="9"/>
    </row>
    <row r="75" spans="2:11" x14ac:dyDescent="0.25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8" t="s">
        <v>389</v>
      </c>
    </row>
    <row r="2" spans="2:23" ht="26.25" x14ac:dyDescent="0.4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141</v>
      </c>
      <c r="C4" s="164" t="str" cm="1">
        <f t="array" ref="C4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91</v>
      </c>
      <c r="C7" s="164" t="str">
        <f>C21</f>
        <v>Ok</v>
      </c>
      <c r="F7" s="439"/>
      <c r="G7" s="439"/>
      <c r="H7" s="439"/>
      <c r="I7" s="439"/>
      <c r="J7" s="439"/>
    </row>
    <row r="8" spans="2:23" x14ac:dyDescent="0.25">
      <c r="B8" s="199" t="s">
        <v>93</v>
      </c>
      <c r="C8" s="164" t="str">
        <f>C43</f>
        <v>Ok</v>
      </c>
      <c r="F8" s="439"/>
      <c r="G8" s="439"/>
      <c r="H8" s="439"/>
      <c r="I8" s="439"/>
      <c r="J8" s="439"/>
    </row>
    <row r="9" spans="2:23" x14ac:dyDescent="0.25">
      <c r="B9" s="199" t="s">
        <v>94</v>
      </c>
      <c r="C9" s="164" t="str">
        <f>C65</f>
        <v>Ok</v>
      </c>
      <c r="F9" s="439"/>
      <c r="G9" s="439"/>
      <c r="H9" s="439"/>
      <c r="I9" s="439"/>
      <c r="J9" s="439"/>
    </row>
    <row r="10" spans="2:23" x14ac:dyDescent="0.25">
      <c r="B10" s="199" t="s">
        <v>97</v>
      </c>
      <c r="C10" s="164" t="str">
        <f>C87</f>
        <v>Ok</v>
      </c>
      <c r="F10" s="439"/>
      <c r="G10" s="439"/>
      <c r="H10" s="439"/>
      <c r="I10" s="439"/>
      <c r="J10" s="439"/>
    </row>
    <row r="11" spans="2:23" x14ac:dyDescent="0.25">
      <c r="B11" s="199" t="s">
        <v>100</v>
      </c>
      <c r="C11" s="164" t="str">
        <f>C109</f>
        <v>Ok</v>
      </c>
      <c r="F11" s="439"/>
      <c r="G11" s="439"/>
      <c r="H11" s="439"/>
      <c r="I11" s="439"/>
      <c r="J11" s="439"/>
    </row>
    <row r="12" spans="2:23" x14ac:dyDescent="0.25">
      <c r="B12" s="199" t="s">
        <v>102</v>
      </c>
      <c r="C12" s="164" t="str">
        <f>C131</f>
        <v>Ok</v>
      </c>
      <c r="F12" s="439"/>
      <c r="G12" s="439"/>
      <c r="H12" s="439"/>
      <c r="I12" s="439"/>
      <c r="J12" s="439"/>
    </row>
    <row r="13" spans="2:23" x14ac:dyDescent="0.25">
      <c r="B13" s="199" t="s">
        <v>144</v>
      </c>
      <c r="C13" s="164" t="str">
        <f>C153</f>
        <v>Ok</v>
      </c>
      <c r="F13" s="439"/>
      <c r="G13" s="439"/>
      <c r="H13" s="439"/>
      <c r="I13" s="439"/>
      <c r="J13" s="439"/>
    </row>
    <row r="14" spans="2:23" x14ac:dyDescent="0.25">
      <c r="B14" s="199" t="s">
        <v>149</v>
      </c>
      <c r="C14" s="164" t="str">
        <f>C175</f>
        <v>Ok</v>
      </c>
      <c r="F14" s="439"/>
      <c r="G14" s="439"/>
      <c r="H14" s="439"/>
      <c r="I14" s="439"/>
      <c r="J14" s="439"/>
    </row>
    <row r="15" spans="2:23" x14ac:dyDescent="0.25">
      <c r="B15" s="199" t="s">
        <v>154</v>
      </c>
      <c r="C15" s="164" t="str">
        <f>C197</f>
        <v>Ok</v>
      </c>
    </row>
    <row r="16" spans="2:23" x14ac:dyDescent="0.25">
      <c r="B16" s="199" t="s">
        <v>171</v>
      </c>
      <c r="C16" s="164" t="str">
        <f>C219</f>
        <v>Ok</v>
      </c>
    </row>
    <row r="17" spans="2:23" x14ac:dyDescent="0.25">
      <c r="B17" s="199"/>
    </row>
    <row r="19" spans="2:23" ht="18.75" x14ac:dyDescent="0.3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108</v>
      </c>
      <c r="C21" s="164" t="str" cm="1">
        <f t="array" ref="C21">_xll.d.TestUtils_And(C27,F27,K27,P27)</f>
        <v>Ok</v>
      </c>
    </row>
    <row r="23" spans="2:23" x14ac:dyDescent="0.25">
      <c r="B23" t="s">
        <v>162</v>
      </c>
    </row>
    <row r="25" spans="2:23" ht="15.75" x14ac:dyDescent="0.2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 x14ac:dyDescent="0.25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 x14ac:dyDescent="0.25">
      <c r="B30" s="165"/>
    </row>
    <row r="31" spans="2:23" x14ac:dyDescent="0.25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 x14ac:dyDescent="0.25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110</v>
      </c>
    </row>
    <row r="34" spans="2:23" x14ac:dyDescent="0.25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 x14ac:dyDescent="0.25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 x14ac:dyDescent="0.25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 x14ac:dyDescent="0.25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 x14ac:dyDescent="0.25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 x14ac:dyDescent="0.25">
      <c r="C39" s="164"/>
    </row>
    <row r="41" spans="2:23" ht="18.75" x14ac:dyDescent="0.3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108</v>
      </c>
      <c r="C43" s="164" t="str" cm="1">
        <f t="array" ref="C43">_xll.d.TestUtils_And(C49,F49,K49,P49)</f>
        <v>Ok</v>
      </c>
    </row>
    <row r="45" spans="2:23" x14ac:dyDescent="0.25">
      <c r="B45" t="s">
        <v>163</v>
      </c>
    </row>
    <row r="47" spans="2:23" ht="15.75" x14ac:dyDescent="0.2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 x14ac:dyDescent="0.25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 x14ac:dyDescent="0.25">
      <c r="B52" s="165"/>
    </row>
    <row r="53" spans="2:23" x14ac:dyDescent="0.25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 x14ac:dyDescent="0.25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110</v>
      </c>
    </row>
    <row r="56" spans="2:23" x14ac:dyDescent="0.25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 x14ac:dyDescent="0.25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 x14ac:dyDescent="0.25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 x14ac:dyDescent="0.25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 x14ac:dyDescent="0.25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 x14ac:dyDescent="0.3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108</v>
      </c>
      <c r="C65" s="164" t="str" cm="1">
        <f t="array" ref="C65">_xll.d.TestUtils_And(C71,F71,K71,P71)</f>
        <v>Ok</v>
      </c>
    </row>
    <row r="67" spans="2:23" x14ac:dyDescent="0.25">
      <c r="B67" t="s">
        <v>164</v>
      </c>
    </row>
    <row r="69" spans="2:23" s="54" customFormat="1" ht="15.75" x14ac:dyDescent="0.2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 x14ac:dyDescent="0.25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 x14ac:dyDescent="0.25">
      <c r="B74" s="165"/>
    </row>
    <row r="75" spans="2:23" x14ac:dyDescent="0.25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 x14ac:dyDescent="0.25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110</v>
      </c>
    </row>
    <row r="78" spans="2:23" x14ac:dyDescent="0.25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 x14ac:dyDescent="0.25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 x14ac:dyDescent="0.25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 x14ac:dyDescent="0.25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 x14ac:dyDescent="0.25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 x14ac:dyDescent="0.3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108</v>
      </c>
      <c r="C87" s="164" t="str" cm="1">
        <f t="array" ref="C87">_xll.d.TestUtils_And(C93,F93,K93,P93)</f>
        <v>Ok</v>
      </c>
    </row>
    <row r="89" spans="2:23" x14ac:dyDescent="0.25">
      <c r="B89" t="s">
        <v>165</v>
      </c>
    </row>
    <row r="91" spans="2:23" ht="15.75" x14ac:dyDescent="0.2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 x14ac:dyDescent="0.25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 x14ac:dyDescent="0.25">
      <c r="B96" s="165"/>
    </row>
    <row r="97" spans="2:23" x14ac:dyDescent="0.25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 x14ac:dyDescent="0.25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120</v>
      </c>
    </row>
    <row r="100" spans="2:23" x14ac:dyDescent="0.25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 x14ac:dyDescent="0.25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 x14ac:dyDescent="0.25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 x14ac:dyDescent="0.25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 x14ac:dyDescent="0.25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 x14ac:dyDescent="0.3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108</v>
      </c>
      <c r="C109" s="164" t="str" cm="1">
        <f t="array" ref="C109">_xll.d.TestUtils_And(C115,F115,K115,P115)</f>
        <v>Ok</v>
      </c>
    </row>
    <row r="111" spans="2:23" x14ac:dyDescent="0.25">
      <c r="B111" t="s">
        <v>166</v>
      </c>
    </row>
    <row r="113" spans="2:23" ht="15.75" x14ac:dyDescent="0.2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 x14ac:dyDescent="0.25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 x14ac:dyDescent="0.25">
      <c r="B118" s="165"/>
    </row>
    <row r="119" spans="2:23" x14ac:dyDescent="0.25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 x14ac:dyDescent="0.25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120</v>
      </c>
    </row>
    <row r="122" spans="2:23" x14ac:dyDescent="0.25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 x14ac:dyDescent="0.25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 x14ac:dyDescent="0.25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 x14ac:dyDescent="0.25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 x14ac:dyDescent="0.25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 x14ac:dyDescent="0.3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108</v>
      </c>
      <c r="C131" s="164" t="str" cm="1">
        <f t="array" ref="C131">_xll.d.TestUtils_And(C137,F137,K137,P137)</f>
        <v>Ok</v>
      </c>
    </row>
    <row r="133" spans="2:23" x14ac:dyDescent="0.25">
      <c r="B133" t="s">
        <v>167</v>
      </c>
    </row>
    <row r="135" spans="2:23" ht="15.75" x14ac:dyDescent="0.2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 x14ac:dyDescent="0.25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 x14ac:dyDescent="0.25">
      <c r="B140" s="165"/>
    </row>
    <row r="141" spans="2:23" x14ac:dyDescent="0.25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 x14ac:dyDescent="0.25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120</v>
      </c>
    </row>
    <row r="144" spans="2:23" x14ac:dyDescent="0.25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 x14ac:dyDescent="0.25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 x14ac:dyDescent="0.25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 x14ac:dyDescent="0.25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 x14ac:dyDescent="0.25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 x14ac:dyDescent="0.3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108</v>
      </c>
      <c r="C153" s="164" t="str" cm="1">
        <f t="array" ref="C153">_xll.d.TestUtils_And(C159,F159,K159,P159)</f>
        <v>Ok</v>
      </c>
    </row>
    <row r="155" spans="2:23" x14ac:dyDescent="0.25">
      <c r="B155" t="s">
        <v>168</v>
      </c>
    </row>
    <row r="157" spans="2:23" ht="15.75" x14ac:dyDescent="0.2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 x14ac:dyDescent="0.25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 x14ac:dyDescent="0.25">
      <c r="B162" s="165"/>
    </row>
    <row r="163" spans="2:23" x14ac:dyDescent="0.25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 x14ac:dyDescent="0.25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124</v>
      </c>
    </row>
    <row r="166" spans="2:23" x14ac:dyDescent="0.25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 x14ac:dyDescent="0.25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 x14ac:dyDescent="0.25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 x14ac:dyDescent="0.25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 x14ac:dyDescent="0.25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 x14ac:dyDescent="0.3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108</v>
      </c>
      <c r="C175" s="164" t="str" cm="1">
        <f t="array" ref="C175">_xll.d.TestUtils_And(C181,F181,K181,P181)</f>
        <v>Ok</v>
      </c>
    </row>
    <row r="177" spans="2:23" x14ac:dyDescent="0.25">
      <c r="B177" t="s">
        <v>169</v>
      </c>
    </row>
    <row r="179" spans="2:23" ht="15.75" x14ac:dyDescent="0.2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 x14ac:dyDescent="0.25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 x14ac:dyDescent="0.25">
      <c r="B184" s="165"/>
    </row>
    <row r="185" spans="2:23" x14ac:dyDescent="0.25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 x14ac:dyDescent="0.25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124</v>
      </c>
    </row>
    <row r="188" spans="2:23" x14ac:dyDescent="0.25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 x14ac:dyDescent="0.25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 x14ac:dyDescent="0.25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 x14ac:dyDescent="0.25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 x14ac:dyDescent="0.25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 x14ac:dyDescent="0.3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108</v>
      </c>
      <c r="C197" s="164" t="str" cm="1">
        <f t="array" ref="C197">_xll.d.TestUtils_And(C203,F203,K203,P203)</f>
        <v>Ok</v>
      </c>
    </row>
    <row r="199" spans="2:23" x14ac:dyDescent="0.25">
      <c r="B199" t="s">
        <v>170</v>
      </c>
    </row>
    <row r="201" spans="2:23" ht="15.75" x14ac:dyDescent="0.2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 x14ac:dyDescent="0.25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 x14ac:dyDescent="0.25">
      <c r="B206" s="165"/>
    </row>
    <row r="207" spans="2:23" x14ac:dyDescent="0.25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 x14ac:dyDescent="0.25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124</v>
      </c>
      <c r="C209" t="str">
        <v>Warning</v>
      </c>
    </row>
    <row r="210" spans="2:23" x14ac:dyDescent="0.25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 x14ac:dyDescent="0.25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 x14ac:dyDescent="0.25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 x14ac:dyDescent="0.25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 x14ac:dyDescent="0.25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 x14ac:dyDescent="0.3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108</v>
      </c>
      <c r="C219" s="164" t="str" cm="1">
        <f t="array" ref="C219">_xll.d.TestUtils_And(C225,F225,I225,L225)</f>
        <v>Ok</v>
      </c>
    </row>
    <row r="221" spans="2:23" x14ac:dyDescent="0.25">
      <c r="B221" t="s">
        <v>176</v>
      </c>
    </row>
    <row r="223" spans="2:23" ht="15.75" x14ac:dyDescent="0.2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 x14ac:dyDescent="0.25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 x14ac:dyDescent="0.25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 x14ac:dyDescent="0.25">
      <c r="B228" s="165"/>
    </row>
    <row r="229" spans="2:21" x14ac:dyDescent="0.25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 x14ac:dyDescent="0.25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8" t="s">
        <v>389</v>
      </c>
    </row>
    <row r="2" spans="2:56" ht="26.25" x14ac:dyDescent="0.4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143</v>
      </c>
      <c r="C4" s="188" t="str" cm="1">
        <f t="array" aca="1" ref="C4" ca="1">_xll.d.TestUtils_And(C7:C14)</f>
        <v>Ok</v>
      </c>
      <c r="E4" s="134" t="s">
        <v>98</v>
      </c>
      <c r="F4" s="50"/>
    </row>
    <row r="5" spans="2:56" x14ac:dyDescent="0.25">
      <c r="E5" s="409" t="s">
        <v>454</v>
      </c>
      <c r="F5" s="410"/>
    </row>
    <row r="6" spans="2:56" x14ac:dyDescent="0.25">
      <c r="B6" s="189" t="s">
        <v>9</v>
      </c>
      <c r="C6" s="190" t="s">
        <v>10</v>
      </c>
      <c r="E6" s="411" t="s">
        <v>453</v>
      </c>
      <c r="F6" s="131"/>
    </row>
    <row r="7" spans="2:56" x14ac:dyDescent="0.25">
      <c r="B7" s="186" t="s">
        <v>91</v>
      </c>
      <c r="C7" s="164" t="str">
        <f ca="1">C24</f>
        <v>Ok</v>
      </c>
    </row>
    <row r="8" spans="2:56" x14ac:dyDescent="0.25">
      <c r="B8" s="186" t="s">
        <v>93</v>
      </c>
      <c r="C8" s="164" t="str">
        <f ca="1">C48</f>
        <v>Ok</v>
      </c>
    </row>
    <row r="9" spans="2:56" x14ac:dyDescent="0.25">
      <c r="B9" s="186" t="s">
        <v>94</v>
      </c>
      <c r="C9" s="164" t="str">
        <f ca="1">C72</f>
        <v>Ok</v>
      </c>
    </row>
    <row r="10" spans="2:56" x14ac:dyDescent="0.25">
      <c r="B10" s="186" t="s">
        <v>97</v>
      </c>
      <c r="C10" s="164" t="str">
        <f ca="1">C108</f>
        <v>Ok</v>
      </c>
    </row>
    <row r="11" spans="2:56" x14ac:dyDescent="0.25">
      <c r="B11" s="186" t="s">
        <v>100</v>
      </c>
      <c r="C11" s="164" t="str">
        <f ca="1">C144</f>
        <v>Ok</v>
      </c>
    </row>
    <row r="12" spans="2:56" x14ac:dyDescent="0.25">
      <c r="B12" s="186" t="s">
        <v>102</v>
      </c>
      <c r="C12" s="164" t="str">
        <f ca="1">C166</f>
        <v>Ok</v>
      </c>
    </row>
    <row r="13" spans="2:56" x14ac:dyDescent="0.25">
      <c r="B13" s="186" t="s">
        <v>144</v>
      </c>
      <c r="C13" s="164" t="str">
        <f ca="1">C186</f>
        <v>Ok</v>
      </c>
    </row>
    <row r="14" spans="2:56" x14ac:dyDescent="0.25">
      <c r="B14" s="186" t="s">
        <v>149</v>
      </c>
      <c r="C14" s="164" t="str">
        <f ca="1">C203</f>
        <v>Ok</v>
      </c>
    </row>
    <row r="17" spans="2:72" s="54" customFormat="1" x14ac:dyDescent="0.25">
      <c r="B17" s="590" t="s">
        <v>531</v>
      </c>
    </row>
    <row r="18" spans="2:72" x14ac:dyDescent="0.25">
      <c r="B18" s="591" t="s">
        <v>537</v>
      </c>
    </row>
    <row r="19" spans="2:72" x14ac:dyDescent="0.25">
      <c r="B19" s="591"/>
    </row>
    <row r="20" spans="2:72" x14ac:dyDescent="0.25">
      <c r="B20" s="591" t="s">
        <v>532</v>
      </c>
    </row>
    <row r="22" spans="2:72" ht="18.75" x14ac:dyDescent="0.3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108</v>
      </c>
      <c r="C24" s="164" t="str" cm="1">
        <f t="array" aca="1" ref="C24" ca="1">_xll.d.TestUtils_And(BD39:BT43)</f>
        <v>Ok</v>
      </c>
    </row>
    <row r="26" spans="2:72" x14ac:dyDescent="0.25">
      <c r="B26" s="50" t="s">
        <v>92</v>
      </c>
      <c r="C26" s="50" t="s">
        <v>30</v>
      </c>
    </row>
    <row r="27" spans="2:72" x14ac:dyDescent="0.25">
      <c r="B27" s="81" t="s">
        <v>87</v>
      </c>
      <c r="C27" s="146" t="s">
        <v>104</v>
      </c>
    </row>
    <row r="28" spans="2:72" x14ac:dyDescent="0.25">
      <c r="B28" s="75" t="s">
        <v>88</v>
      </c>
      <c r="C28" s="147" t="s">
        <v>0</v>
      </c>
    </row>
    <row r="29" spans="2:72" x14ac:dyDescent="0.25">
      <c r="B29" s="77"/>
      <c r="C29" s="148" t="s">
        <v>89</v>
      </c>
    </row>
    <row r="30" spans="2:72" x14ac:dyDescent="0.25">
      <c r="B30" s="79"/>
      <c r="C30" s="149" t="s">
        <v>90</v>
      </c>
    </row>
    <row r="31" spans="2:72" x14ac:dyDescent="0.25">
      <c r="B31" s="145" t="s">
        <v>103</v>
      </c>
      <c r="C31" s="151">
        <v>2</v>
      </c>
    </row>
    <row r="32" spans="2:72" x14ac:dyDescent="0.25">
      <c r="B32" s="145" t="s">
        <v>104</v>
      </c>
      <c r="C32" s="151">
        <v>0</v>
      </c>
    </row>
    <row r="33" spans="2:72" x14ac:dyDescent="0.25">
      <c r="B33" s="129" t="s">
        <v>95</v>
      </c>
      <c r="C33" s="130"/>
    </row>
    <row r="35" spans="2:72" x14ac:dyDescent="0.25">
      <c r="B35" t="s">
        <v>73</v>
      </c>
    </row>
    <row r="37" spans="2:72" x14ac:dyDescent="0.25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 x14ac:dyDescent="0.25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108</v>
      </c>
      <c r="C48" s="164" t="str" cm="1">
        <f t="array" aca="1" ref="C48" ca="1">_xll.d.TestUtils_And(BD63:BT67)</f>
        <v>Ok</v>
      </c>
    </row>
    <row r="50" spans="2:72" x14ac:dyDescent="0.25">
      <c r="B50" s="50" t="s">
        <v>92</v>
      </c>
      <c r="C50" s="50" t="s">
        <v>30</v>
      </c>
    </row>
    <row r="51" spans="2:72" x14ac:dyDescent="0.25">
      <c r="B51" s="81" t="s">
        <v>87</v>
      </c>
      <c r="C51" s="82" t="s">
        <v>103</v>
      </c>
    </row>
    <row r="52" spans="2:72" x14ac:dyDescent="0.25">
      <c r="B52" s="75" t="s">
        <v>88</v>
      </c>
      <c r="C52" s="76" t="s">
        <v>0</v>
      </c>
    </row>
    <row r="53" spans="2:72" x14ac:dyDescent="0.25">
      <c r="B53" s="77"/>
      <c r="C53" s="78" t="s">
        <v>89</v>
      </c>
    </row>
    <row r="54" spans="2:72" x14ac:dyDescent="0.25">
      <c r="B54" s="79"/>
      <c r="C54" s="80" t="s">
        <v>90</v>
      </c>
    </row>
    <row r="55" spans="2:72" x14ac:dyDescent="0.25">
      <c r="B55" s="145" t="s">
        <v>103</v>
      </c>
      <c r="C55" s="151">
        <v>2</v>
      </c>
    </row>
    <row r="56" spans="2:72" x14ac:dyDescent="0.25">
      <c r="B56" s="145" t="s">
        <v>104</v>
      </c>
      <c r="C56" s="151">
        <v>0</v>
      </c>
    </row>
    <row r="57" spans="2:72" x14ac:dyDescent="0.25">
      <c r="B57" s="129" t="s">
        <v>95</v>
      </c>
      <c r="C57" s="130"/>
    </row>
    <row r="58" spans="2:72" x14ac:dyDescent="0.25">
      <c r="B58" s="54"/>
      <c r="C58" s="54"/>
    </row>
    <row r="59" spans="2:72" x14ac:dyDescent="0.25">
      <c r="B59" t="s">
        <v>96</v>
      </c>
      <c r="C59" s="54"/>
    </row>
    <row r="60" spans="2:72" x14ac:dyDescent="0.25">
      <c r="B60" s="54"/>
      <c r="C60" s="54"/>
    </row>
    <row r="61" spans="2:72" x14ac:dyDescent="0.25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 x14ac:dyDescent="0.25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 x14ac:dyDescent="0.25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108</v>
      </c>
      <c r="C72" s="164" t="str" cm="1">
        <f t="array" aca="1" ref="C72" ca="1">_xll.d.TestUtils_And(T87:X103)</f>
        <v>Ok</v>
      </c>
    </row>
    <row r="74" spans="2:72" x14ac:dyDescent="0.25">
      <c r="B74" s="50" t="s">
        <v>92</v>
      </c>
      <c r="C74" s="50" t="s">
        <v>30</v>
      </c>
    </row>
    <row r="75" spans="2:72" x14ac:dyDescent="0.25">
      <c r="B75" s="81" t="s">
        <v>87</v>
      </c>
      <c r="C75" s="82" t="s">
        <v>104</v>
      </c>
    </row>
    <row r="76" spans="2:72" x14ac:dyDescent="0.25">
      <c r="B76" s="75" t="s">
        <v>88</v>
      </c>
      <c r="C76" s="76" t="s">
        <v>0</v>
      </c>
    </row>
    <row r="77" spans="2:72" x14ac:dyDescent="0.25">
      <c r="B77" s="77"/>
      <c r="C77" s="78" t="s">
        <v>89</v>
      </c>
    </row>
    <row r="78" spans="2:72" x14ac:dyDescent="0.25">
      <c r="B78" s="79"/>
      <c r="C78" s="80" t="s">
        <v>90</v>
      </c>
    </row>
    <row r="79" spans="2:72" x14ac:dyDescent="0.25">
      <c r="B79" s="145" t="s">
        <v>103</v>
      </c>
      <c r="C79" s="151">
        <v>0</v>
      </c>
    </row>
    <row r="80" spans="2:72" x14ac:dyDescent="0.25">
      <c r="B80" s="145" t="s">
        <v>104</v>
      </c>
      <c r="C80" s="151">
        <v>2</v>
      </c>
    </row>
    <row r="81" spans="2:24" x14ac:dyDescent="0.25">
      <c r="B81" s="132" t="s">
        <v>95</v>
      </c>
      <c r="C81" s="131"/>
    </row>
    <row r="83" spans="2:24" x14ac:dyDescent="0.25">
      <c r="B83" t="s">
        <v>73</v>
      </c>
    </row>
    <row r="85" spans="2:24" x14ac:dyDescent="0.25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 x14ac:dyDescent="0.25">
      <c r="B87" s="89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89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 x14ac:dyDescent="0.25">
      <c r="B88" s="89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89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89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89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89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89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89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89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89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89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 x14ac:dyDescent="0.25">
      <c r="B93" s="89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89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 x14ac:dyDescent="0.25">
      <c r="B94" s="89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89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 x14ac:dyDescent="0.25">
      <c r="B95" s="89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89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 x14ac:dyDescent="0.25">
      <c r="B96" s="89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89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 x14ac:dyDescent="0.25">
      <c r="B97" s="89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89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 x14ac:dyDescent="0.25">
      <c r="B98" s="89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89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 x14ac:dyDescent="0.25">
      <c r="B99" s="89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89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89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89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89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89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89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89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89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89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108</v>
      </c>
      <c r="C108" s="164" t="str" cm="1">
        <f t="array" aca="1" ref="C108" ca="1">_xll.d.TestUtils_And(T123:X139)</f>
        <v>Ok</v>
      </c>
    </row>
    <row r="110" spans="2:55" x14ac:dyDescent="0.25">
      <c r="B110" s="50" t="s">
        <v>92</v>
      </c>
      <c r="C110" s="50" t="s">
        <v>30</v>
      </c>
    </row>
    <row r="111" spans="2:55" x14ac:dyDescent="0.25">
      <c r="B111" s="81" t="s">
        <v>87</v>
      </c>
      <c r="C111" s="82" t="s">
        <v>103</v>
      </c>
    </row>
    <row r="112" spans="2:55" x14ac:dyDescent="0.25">
      <c r="B112" s="75" t="s">
        <v>88</v>
      </c>
      <c r="C112" s="76" t="s">
        <v>0</v>
      </c>
    </row>
    <row r="113" spans="2:24" x14ac:dyDescent="0.25">
      <c r="B113" s="77"/>
      <c r="C113" s="78" t="s">
        <v>89</v>
      </c>
    </row>
    <row r="114" spans="2:24" x14ac:dyDescent="0.25">
      <c r="B114" s="79"/>
      <c r="C114" s="80" t="s">
        <v>90</v>
      </c>
    </row>
    <row r="115" spans="2:24" x14ac:dyDescent="0.25">
      <c r="B115" s="145" t="s">
        <v>103</v>
      </c>
      <c r="C115" s="151">
        <v>0</v>
      </c>
    </row>
    <row r="116" spans="2:24" x14ac:dyDescent="0.25">
      <c r="B116" s="145" t="s">
        <v>104</v>
      </c>
      <c r="C116" s="151">
        <v>2</v>
      </c>
    </row>
    <row r="117" spans="2:24" x14ac:dyDescent="0.25">
      <c r="B117" s="132" t="s">
        <v>95</v>
      </c>
      <c r="C117" s="133"/>
    </row>
    <row r="119" spans="2:24" x14ac:dyDescent="0.25">
      <c r="B119" t="s">
        <v>96</v>
      </c>
    </row>
    <row r="121" spans="2:24" x14ac:dyDescent="0.25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 x14ac:dyDescent="0.25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89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89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 x14ac:dyDescent="0.25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89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 x14ac:dyDescent="0.25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89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 x14ac:dyDescent="0.25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89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 x14ac:dyDescent="0.25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89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 x14ac:dyDescent="0.2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89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89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89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89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89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89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89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 x14ac:dyDescent="0.2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89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 x14ac:dyDescent="0.2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89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 x14ac:dyDescent="0.2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89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 x14ac:dyDescent="0.2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89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 x14ac:dyDescent="0.3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108</v>
      </c>
      <c r="C144" s="164" t="str" cm="1">
        <f t="array" aca="1" ref="C144" ca="1">_xll.d.TestUtils_And(K157:L160)</f>
        <v>Ok</v>
      </c>
    </row>
    <row r="146" spans="2:12" x14ac:dyDescent="0.25">
      <c r="B146" s="50" t="s">
        <v>92</v>
      </c>
      <c r="C146" s="50" t="s">
        <v>30</v>
      </c>
    </row>
    <row r="147" spans="2:12" x14ac:dyDescent="0.25">
      <c r="B147" s="81" t="s">
        <v>87</v>
      </c>
      <c r="C147" s="82" t="s">
        <v>104</v>
      </c>
    </row>
    <row r="148" spans="2:12" x14ac:dyDescent="0.25">
      <c r="B148" s="75" t="s">
        <v>88</v>
      </c>
      <c r="C148" s="76" t="s">
        <v>101</v>
      </c>
    </row>
    <row r="149" spans="2:12" x14ac:dyDescent="0.25">
      <c r="B149" s="81" t="s">
        <v>103</v>
      </c>
      <c r="C149" s="150">
        <v>2</v>
      </c>
    </row>
    <row r="150" spans="2:12" x14ac:dyDescent="0.25">
      <c r="B150" s="145" t="s">
        <v>104</v>
      </c>
      <c r="C150" s="151">
        <v>0</v>
      </c>
    </row>
    <row r="151" spans="2:12" x14ac:dyDescent="0.25">
      <c r="B151" s="132" t="s">
        <v>95</v>
      </c>
      <c r="C151" s="133"/>
    </row>
    <row r="153" spans="2:12" x14ac:dyDescent="0.25">
      <c r="B153" t="s">
        <v>142</v>
      </c>
    </row>
    <row r="155" spans="2:12" x14ac:dyDescent="0.25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 x14ac:dyDescent="0.25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 x14ac:dyDescent="0.25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 x14ac:dyDescent="0.25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 x14ac:dyDescent="0.2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 x14ac:dyDescent="0.3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108</v>
      </c>
      <c r="C166" s="164" t="str" cm="1">
        <f t="array" aca="1" ref="C166" ca="1">_xll.d.TestUtils_And(K177:L181)</f>
        <v>Ok</v>
      </c>
    </row>
    <row r="168" spans="2:55" x14ac:dyDescent="0.25">
      <c r="B168" s="50" t="s">
        <v>92</v>
      </c>
      <c r="C168" s="50" t="s">
        <v>30</v>
      </c>
    </row>
    <row r="169" spans="2:55" x14ac:dyDescent="0.25">
      <c r="B169" s="81" t="s">
        <v>87</v>
      </c>
      <c r="C169" s="82" t="s">
        <v>104</v>
      </c>
    </row>
    <row r="170" spans="2:55" x14ac:dyDescent="0.25">
      <c r="B170" s="75" t="s">
        <v>88</v>
      </c>
      <c r="C170" s="76" t="s">
        <v>101</v>
      </c>
    </row>
    <row r="171" spans="2:55" x14ac:dyDescent="0.25">
      <c r="B171" s="132" t="s">
        <v>95</v>
      </c>
      <c r="C171" s="133"/>
    </row>
    <row r="173" spans="2:55" x14ac:dyDescent="0.25">
      <c r="B173" t="s">
        <v>105</v>
      </c>
    </row>
    <row r="175" spans="2:55" x14ac:dyDescent="0.2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 x14ac:dyDescent="0.2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 x14ac:dyDescent="0.2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 x14ac:dyDescent="0.2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 x14ac:dyDescent="0.2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 x14ac:dyDescent="0.2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108</v>
      </c>
      <c r="C186" s="164" t="str" cm="1">
        <f t="array" aca="1" ref="C186" ca="1">_xll.d.TestUtils_And(T197:X198)</f>
        <v>Ok</v>
      </c>
    </row>
    <row r="188" spans="2:55" x14ac:dyDescent="0.25">
      <c r="B188" s="50" t="s">
        <v>92</v>
      </c>
      <c r="C188" s="50" t="s">
        <v>30</v>
      </c>
    </row>
    <row r="189" spans="2:55" x14ac:dyDescent="0.25">
      <c r="B189" s="81" t="s">
        <v>87</v>
      </c>
      <c r="C189" s="82" t="s">
        <v>103</v>
      </c>
    </row>
    <row r="190" spans="2:55" x14ac:dyDescent="0.25">
      <c r="B190" s="75" t="s">
        <v>88</v>
      </c>
      <c r="C190" s="76" t="s">
        <v>101</v>
      </c>
    </row>
    <row r="191" spans="2:55" x14ac:dyDescent="0.25">
      <c r="B191" s="132" t="s">
        <v>95</v>
      </c>
      <c r="C191" s="133"/>
    </row>
    <row r="193" spans="2:55" x14ac:dyDescent="0.25">
      <c r="B193" t="s">
        <v>105</v>
      </c>
    </row>
    <row r="195" spans="2:55" x14ac:dyDescent="0.2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89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89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89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89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108</v>
      </c>
      <c r="C203" s="164" t="str" cm="1">
        <f t="array" aca="1" ref="C203" ca="1">_xll.d.TestUtils_And(T217:X223)</f>
        <v>Ok</v>
      </c>
    </row>
    <row r="205" spans="2:55" x14ac:dyDescent="0.25">
      <c r="B205" s="50" t="s">
        <v>92</v>
      </c>
      <c r="C205" s="50" t="s">
        <v>30</v>
      </c>
    </row>
    <row r="206" spans="2:55" x14ac:dyDescent="0.25">
      <c r="B206" s="75" t="s">
        <v>87</v>
      </c>
      <c r="C206" s="76" t="s">
        <v>223</v>
      </c>
    </row>
    <row r="207" spans="2:55" x14ac:dyDescent="0.25">
      <c r="B207" s="77"/>
      <c r="C207" s="78" t="s">
        <v>103</v>
      </c>
    </row>
    <row r="208" spans="2:55" x14ac:dyDescent="0.25">
      <c r="B208" s="81" t="s">
        <v>88</v>
      </c>
      <c r="C208" s="82" t="s">
        <v>89</v>
      </c>
    </row>
    <row r="209" spans="2:24" x14ac:dyDescent="0.25">
      <c r="B209" s="145" t="s">
        <v>103</v>
      </c>
      <c r="C209" s="151">
        <v>2</v>
      </c>
    </row>
    <row r="210" spans="2:24" x14ac:dyDescent="0.25">
      <c r="B210" s="145" t="s">
        <v>104</v>
      </c>
      <c r="C210" s="151">
        <v>2</v>
      </c>
    </row>
    <row r="211" spans="2:24" x14ac:dyDescent="0.25">
      <c r="B211" s="132" t="s">
        <v>95</v>
      </c>
      <c r="C211" s="133"/>
    </row>
    <row r="213" spans="2:24" x14ac:dyDescent="0.25">
      <c r="B213" t="s">
        <v>224</v>
      </c>
    </row>
    <row r="215" spans="2:24" x14ac:dyDescent="0.25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89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89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89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89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89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89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89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89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89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89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195</vt:i4>
      </vt:variant>
    </vt:vector>
  </HeadingPairs>
  <TitlesOfParts>
    <vt:vector size="21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2023-04-06T06:07:42Z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