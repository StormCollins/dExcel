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B4E7B1E5-DB2F-4B8B-BD42-90687A1CB782}" xr6:coauthVersionLast="47" xr6:coauthVersionMax="47" xr10:uidLastSave="{00000000-0000-0000-0000-000000000000}"/>
  <bookViews>
    <workbookView xWindow="-120" yWindow="-120" windowWidth="20730" windowHeight="11160" tabRatio="721" activeTab="2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9" i="13" l="1" a="1"/>
  <c r="T69" i="13"/>
  <c r="S65" i="13" a="1"/>
  <c r="S65" i="13"/>
  <c r="E65" i="13" a="1"/>
  <c r="E65" i="13"/>
  <c r="C42" i="13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X48" i="15" a="1"/>
  <c r="BI30" i="14" a="1"/>
  <c r="R25" i="17" a="1"/>
  <c r="R21" i="17" a="1"/>
  <c r="P21" i="17" a="1"/>
  <c r="T24" i="17" a="1"/>
  <c r="Q23" i="17" a="1"/>
  <c r="S24" i="17" a="1"/>
  <c r="R26" i="17" a="1"/>
  <c r="AV20" i="17" a="1"/>
  <c r="R23" i="17" a="1"/>
  <c r="S22" i="17" a="1"/>
  <c r="T25" i="17" a="1"/>
  <c r="F41" i="17" a="1"/>
  <c r="Q25" i="17" a="1"/>
  <c r="T21" i="17" a="1"/>
  <c r="C36" i="13" a="1"/>
  <c r="AJ20" i="17" a="1"/>
  <c r="U25" i="17" a="1"/>
  <c r="T26" i="17" a="1"/>
  <c r="Q24" i="17" a="1"/>
  <c r="F43" i="17" a="1"/>
  <c r="U22" i="17" a="1"/>
  <c r="P25" i="17" a="1"/>
  <c r="U23" i="17" a="1"/>
  <c r="S25" i="17" a="1"/>
  <c r="Q21" i="17" a="1"/>
  <c r="P23" i="17" a="1"/>
  <c r="U24" i="17" a="1"/>
  <c r="S21" i="17" a="1"/>
  <c r="P24" i="17" a="1"/>
  <c r="U21" i="17" a="1"/>
  <c r="F39" i="17" a="1"/>
  <c r="Q22" i="17" a="1"/>
  <c r="D24" i="3" a="1"/>
  <c r="P26" i="17" a="1"/>
  <c r="R22" i="17" a="1"/>
  <c r="R24" i="17" a="1"/>
  <c r="S23" i="17" a="1"/>
  <c r="S26" i="17" a="1"/>
  <c r="F38" i="17" a="1"/>
  <c r="Q26" i="17" a="1"/>
  <c r="F40" i="17" a="1"/>
  <c r="U26" i="17" a="1"/>
  <c r="D5" i="8" a="1"/>
  <c r="T23" i="17" a="1"/>
  <c r="C19" i="1" a="1"/>
  <c r="P22" i="17" a="1"/>
  <c r="M38" i="17" a="1"/>
  <c r="T22" i="17" a="1"/>
  <c r="F42" i="17" a="1"/>
  <c r="O24" i="3" a="1"/>
  <c r="C24" i="13" a="1"/>
  <c r="D247" i="13" a="1"/>
  <c r="C247" i="13" a="1"/>
  <c r="C244" i="13" a="1"/>
  <c r="L65" i="13" a="1"/>
  <c r="E169" i="13" a="1"/>
  <c r="E53" i="13" a="1"/>
  <c r="C245" i="13" a="1"/>
  <c r="E110" i="13" a="1"/>
  <c r="D241" i="13" a="1"/>
  <c r="C246" i="13" a="1"/>
  <c r="AB65" i="13" a="1"/>
  <c r="E41" i="13" a="1"/>
  <c r="D242" i="13" a="1"/>
  <c r="C242" i="13" a="1"/>
  <c r="C243" i="13" a="1"/>
  <c r="D244" i="13" a="1"/>
  <c r="D243" i="13" a="1"/>
  <c r="D246" i="13" a="1"/>
  <c r="C241" i="13" a="1"/>
  <c r="E29" i="13" a="1"/>
  <c r="E196" i="13" a="1"/>
  <c r="D245" i="13" a="1"/>
  <c r="X48" i="15" l="1"/>
  <c r="BI30" i="14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65" i="13"/>
  <c r="O24" i="3"/>
  <c r="AB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H43" i="17" a="1"/>
  <c r="BB20" i="17" a="1"/>
  <c r="D50" i="1" a="1"/>
  <c r="AD22" i="17" a="1"/>
  <c r="H40" i="17" a="1"/>
  <c r="AC21" i="17" a="1"/>
  <c r="AB21" i="17" a="1"/>
  <c r="H39" i="17" a="1"/>
  <c r="AC23" i="17" a="1"/>
  <c r="AD26" i="17" a="1"/>
  <c r="Y26" i="17" a="1"/>
  <c r="AA21" i="17" a="1"/>
  <c r="Z26" i="17" a="1"/>
  <c r="AC25" i="17" a="1"/>
  <c r="AD25" i="17" a="1"/>
  <c r="E86" i="1" a="1"/>
  <c r="H38" i="17" a="1"/>
  <c r="AB24" i="17" a="1"/>
  <c r="AA24" i="17" a="1"/>
  <c r="AA23" i="17" a="1"/>
  <c r="D48" i="1" a="1"/>
  <c r="AC22" i="17" a="1"/>
  <c r="Y22" i="17" a="1"/>
  <c r="Z22" i="17" a="1"/>
  <c r="AB25" i="17" a="1"/>
  <c r="Z24" i="17" a="1"/>
  <c r="AA22" i="17" a="1"/>
  <c r="Y24" i="17" a="1"/>
  <c r="Z23" i="17" a="1"/>
  <c r="AD24" i="17" a="1"/>
  <c r="Y21" i="17" a="1"/>
  <c r="AD23" i="17" a="1"/>
  <c r="Y25" i="17" a="1"/>
  <c r="S38" i="17" a="1"/>
  <c r="D86" i="1" a="1"/>
  <c r="AB23" i="17" a="1"/>
  <c r="AB26" i="17" a="1"/>
  <c r="AC26" i="17" a="1"/>
  <c r="AB22" i="17" a="1"/>
  <c r="AP20" i="17" a="1"/>
  <c r="AA25" i="17" a="1"/>
  <c r="AD21" i="17" a="1"/>
  <c r="Y23" i="17" a="1"/>
  <c r="H42" i="17" a="1"/>
  <c r="AC24" i="17" a="1"/>
  <c r="D6" i="8" a="1"/>
  <c r="Z21" i="17" a="1"/>
  <c r="Z25" i="17" a="1"/>
  <c r="AA26" i="17" a="1"/>
  <c r="H41" i="17" a="1"/>
  <c r="AJ65" i="13" a="1"/>
  <c r="G29" i="13" a="1"/>
  <c r="G41" i="13" a="1"/>
  <c r="G53" i="13" a="1"/>
  <c r="AD48" i="15" l="1"/>
  <c r="AE48" i="15"/>
  <c r="G53" i="13"/>
  <c r="G41" i="13"/>
  <c r="G29" i="13"/>
  <c r="AJ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AE51" i="15" a="1"/>
  <c r="AD51" i="15" a="1"/>
  <c r="F86" i="1" a="1"/>
  <c r="L86" i="1" a="1"/>
  <c r="C35" i="17" a="1"/>
  <c r="U86" i="1" a="1"/>
  <c r="O86" i="1" a="1"/>
  <c r="I86" i="1" a="1"/>
  <c r="R86" i="1" a="1"/>
  <c r="E242" i="13" a="1"/>
  <c r="E244" i="13" a="1"/>
  <c r="C48" i="13" a="1"/>
  <c r="E246" i="13" a="1"/>
  <c r="E247" i="13" a="1"/>
  <c r="E245" i="13" a="1"/>
  <c r="E243" i="13" a="1"/>
  <c r="E241" i="13" a="1"/>
  <c r="AD51" i="15" l="1"/>
  <c r="AE51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31" i="17" a="1"/>
  <c r="C236" i="13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AU30" i="14" a="1"/>
  <c r="V18" i="19" a="1"/>
  <c r="F19" i="15" a="1"/>
  <c r="E35" i="9" a="1"/>
  <c r="W18" i="14" a="1"/>
  <c r="T19" i="15" a="1"/>
  <c r="O18" i="19" a="1"/>
  <c r="AI30" i="14" a="1"/>
  <c r="W30" i="14" a="1"/>
  <c r="AF19" i="15" a="1"/>
  <c r="BG30" i="14" a="1"/>
  <c r="F18" i="14" a="1"/>
  <c r="N18" i="14" a="1"/>
  <c r="E35" i="19" a="1"/>
  <c r="F33" i="15" a="1"/>
  <c r="AU18" i="14" a="1"/>
  <c r="AE18" i="14" a="1"/>
  <c r="BC18" i="14" a="1"/>
  <c r="T33" i="15" a="1"/>
  <c r="AD33" i="15" a="1"/>
  <c r="H18" i="19" a="1"/>
  <c r="AR19" i="15" a="1"/>
  <c r="M34" i="15" a="1"/>
  <c r="AM18" i="14" a="1"/>
  <c r="J30" i="14" a="1"/>
  <c r="T222" i="5" a="1"/>
  <c r="T97" i="5" a="1"/>
  <c r="U220" i="5" a="1"/>
  <c r="T219" i="5" a="1"/>
  <c r="T98" i="5" a="1"/>
  <c r="X221" i="5" a="1"/>
  <c r="T99" i="5" a="1"/>
  <c r="T103" i="5" a="1"/>
  <c r="AA196" i="13" a="1"/>
  <c r="M110" i="13" a="1"/>
  <c r="L95" i="13" a="1"/>
  <c r="T223" i="5" a="1"/>
  <c r="X217" i="5" a="1"/>
  <c r="W221" i="5" a="1"/>
  <c r="U219" i="5" a="1"/>
  <c r="L80" i="13" a="1"/>
  <c r="G171" i="13" a="1"/>
  <c r="AI110" i="13" a="1"/>
  <c r="L196" i="13" a="1"/>
  <c r="X220" i="5" a="1"/>
  <c r="W217" i="5" a="1"/>
  <c r="V219" i="5" a="1"/>
  <c r="T95" i="5" a="1"/>
  <c r="W218" i="5" a="1"/>
  <c r="E95" i="13" a="1"/>
  <c r="G175" i="13" a="1"/>
  <c r="B212" i="13" a="1"/>
  <c r="U110" i="13" a="1"/>
  <c r="S169" i="13" a="1"/>
  <c r="T101" i="5" a="1"/>
  <c r="V220" i="5" a="1"/>
  <c r="X218" i="5" a="1"/>
  <c r="W219" i="5" a="1"/>
  <c r="H215" i="13" a="1"/>
  <c r="V221" i="5" a="1"/>
  <c r="T220" i="5" a="1"/>
  <c r="T89" i="5" a="1"/>
  <c r="S196" i="13" a="1"/>
  <c r="I213" i="13" a="1"/>
  <c r="B124" i="13" a="1"/>
  <c r="W220" i="5" a="1"/>
  <c r="W222" i="5" a="1"/>
  <c r="H213" i="13" a="1"/>
  <c r="M127" i="13" a="1"/>
  <c r="M134" i="13" a="1"/>
  <c r="L138" i="13" a="1"/>
  <c r="O131" i="13" a="1"/>
  <c r="N132" i="13" a="1"/>
  <c r="E80" i="13" a="1"/>
  <c r="T88" i="5" a="1"/>
  <c r="I212" i="13" a="1"/>
  <c r="O155" i="13" a="1"/>
  <c r="M143" i="13" a="1"/>
  <c r="N150" i="13" a="1"/>
  <c r="N131" i="13" a="1"/>
  <c r="U223" i="5" a="1"/>
  <c r="L128" i="13" a="1"/>
  <c r="M148" i="13" a="1"/>
  <c r="O154" i="13" a="1"/>
  <c r="M141" i="13" a="1"/>
  <c r="I216" i="13" a="1"/>
  <c r="L143" i="13" a="1"/>
  <c r="M48" i="15" a="1"/>
  <c r="I215" i="13" a="1"/>
  <c r="N138" i="13" a="1"/>
  <c r="L149" i="13" a="1"/>
  <c r="N156" i="13" a="1"/>
  <c r="N155" i="13" a="1"/>
  <c r="L127" i="13" a="1"/>
  <c r="N144" i="13" a="1"/>
  <c r="L146" i="13" a="1"/>
  <c r="T92" i="5" a="1"/>
  <c r="U217" i="5" a="1"/>
  <c r="M144" i="13" a="1"/>
  <c r="L147" i="13" a="1"/>
  <c r="O130" i="13" a="1"/>
  <c r="L150" i="13" a="1"/>
  <c r="M132" i="13" a="1"/>
  <c r="M138" i="13" a="1"/>
  <c r="W223" i="5" a="1"/>
  <c r="T221" i="5" a="1"/>
  <c r="O147" i="13" a="1"/>
  <c r="L134" i="13" a="1"/>
  <c r="O137" i="13" a="1"/>
  <c r="N125" i="13" a="1"/>
  <c r="L130" i="13" a="1"/>
  <c r="T91" i="5" a="1"/>
  <c r="I214" i="13" a="1"/>
  <c r="M142" i="13" a="1"/>
  <c r="M129" i="13" a="1"/>
  <c r="T87" i="5" a="1"/>
  <c r="L125" i="13" a="1"/>
  <c r="S95" i="13" a="1"/>
  <c r="M125" i="13" a="1"/>
  <c r="N142" i="13" a="1"/>
  <c r="T218" i="5" a="1"/>
  <c r="M153" i="13" a="1"/>
  <c r="G170" i="13" a="1"/>
  <c r="AB80" i="13" a="1"/>
  <c r="G176" i="13" a="1"/>
  <c r="L169" i="13" a="1"/>
  <c r="O153" i="13" a="1"/>
  <c r="V218" i="5" a="1"/>
  <c r="U218" i="5" a="1"/>
  <c r="U222" i="5" a="1"/>
  <c r="V217" i="5" a="1"/>
  <c r="T96" i="5" a="1"/>
  <c r="N151" i="13" a="1"/>
  <c r="M133" i="13" a="1"/>
  <c r="N133" i="13" a="1"/>
  <c r="N136" i="13" a="1"/>
  <c r="N127" i="13" a="1"/>
  <c r="L126" i="13" a="1"/>
  <c r="M140" i="13" a="1"/>
  <c r="N124" i="13" a="1"/>
  <c r="N126" i="13" a="1"/>
  <c r="O141" i="13" a="1"/>
  <c r="L137" i="13" a="1"/>
  <c r="S80" i="13" a="1"/>
  <c r="T93" i="5" a="1"/>
  <c r="X219" i="5" a="1"/>
  <c r="T100" i="5" a="1"/>
  <c r="T102" i="5" a="1"/>
  <c r="M147" i="13" a="1"/>
  <c r="N137" i="13" a="1"/>
  <c r="N129" i="13" a="1"/>
  <c r="L140" i="13" a="1"/>
  <c r="M152" i="13" a="1"/>
  <c r="L133" i="13" a="1"/>
  <c r="O126" i="13" a="1"/>
  <c r="O136" i="13" a="1"/>
  <c r="N154" i="13" a="1"/>
  <c r="O124" i="13" a="1"/>
  <c r="N158" i="13" a="1"/>
  <c r="G174" i="13" a="1"/>
  <c r="AB95" i="13" a="1"/>
  <c r="O148" i="13" a="1"/>
  <c r="T217" i="5" a="1"/>
  <c r="D48" i="15" a="1"/>
  <c r="X223" i="5" a="1"/>
  <c r="V223" i="5" a="1"/>
  <c r="L148" i="13" a="1"/>
  <c r="N149" i="13" a="1"/>
  <c r="O125" i="13" a="1"/>
  <c r="N128" i="13" a="1"/>
  <c r="N147" i="13" a="1"/>
  <c r="O158" i="13" a="1"/>
  <c r="G173" i="13" a="1"/>
  <c r="G177" i="13" a="1"/>
  <c r="V222" i="5" a="1"/>
  <c r="T90" i="5" a="1"/>
  <c r="X222" i="5" a="1"/>
  <c r="O139" i="13" a="1"/>
  <c r="M131" i="13" a="1"/>
  <c r="O128" i="13" a="1"/>
  <c r="N130" i="13" a="1"/>
  <c r="N152" i="13" a="1"/>
  <c r="O133" i="13" a="1"/>
  <c r="M158" i="13" a="1"/>
  <c r="B227" i="13" a="1"/>
  <c r="T94" i="5" a="1"/>
  <c r="U221" i="5" a="1"/>
  <c r="M227" i="13" a="1"/>
  <c r="N139" i="13" a="1"/>
  <c r="L139" i="13" a="1"/>
  <c r="N157" i="13" a="1"/>
  <c r="L153" i="13" a="1"/>
  <c r="O156" i="13" a="1"/>
  <c r="M145" i="13" a="1"/>
  <c r="O152" i="13" a="1"/>
  <c r="M137" i="13" a="1"/>
  <c r="L145" i="13" a="1"/>
  <c r="M149" i="13" a="1"/>
  <c r="L152" i="13" a="1"/>
  <c r="O145" i="13" a="1"/>
  <c r="O149" i="13" a="1"/>
  <c r="N148" i="13" a="1"/>
  <c r="O143" i="13" a="1"/>
  <c r="O140" i="13" a="1"/>
  <c r="N153" i="13" a="1"/>
  <c r="M128" i="13" a="1"/>
  <c r="N134" i="13" a="1"/>
  <c r="O157" i="13" a="1"/>
  <c r="L154" i="13" a="1"/>
  <c r="M136" i="13" a="1"/>
  <c r="O150" i="13" a="1"/>
  <c r="M156" i="13" a="1"/>
  <c r="M126" i="13" a="1"/>
  <c r="L155" i="13" a="1"/>
  <c r="N140" i="13" a="1"/>
  <c r="O146" i="13" a="1"/>
  <c r="M157" i="13" a="1"/>
  <c r="M146" i="13" a="1"/>
  <c r="L135" i="13" a="1"/>
  <c r="O144" i="13" a="1"/>
  <c r="L132" i="13" a="1"/>
  <c r="O129" i="13" a="1"/>
  <c r="M154" i="13" a="1"/>
  <c r="O138" i="13" a="1"/>
  <c r="M139" i="13" a="1"/>
  <c r="L144" i="13" a="1"/>
  <c r="O134" i="13" a="1"/>
  <c r="L142" i="13" a="1"/>
  <c r="O135" i="13" a="1"/>
  <c r="N143" i="13" a="1"/>
  <c r="N145" i="13" a="1"/>
  <c r="L141" i="13" a="1"/>
  <c r="O132" i="13" a="1"/>
  <c r="O151" i="13" a="1"/>
  <c r="L158" i="13" a="1"/>
  <c r="L157" i="13" a="1"/>
  <c r="O142" i="13" a="1"/>
  <c r="L156" i="13" a="1"/>
  <c r="N141" i="13" a="1"/>
  <c r="L151" i="13" a="1"/>
  <c r="M124" i="13" a="1"/>
  <c r="M130" i="13" a="1"/>
  <c r="M151" i="13" a="1"/>
  <c r="L136" i="13" a="1"/>
  <c r="O127" i="13" a="1"/>
  <c r="L131" i="13" a="1"/>
  <c r="N135" i="13" a="1"/>
  <c r="L129" i="13" a="1"/>
  <c r="M150" i="13" a="1"/>
  <c r="N146" i="13" a="1"/>
  <c r="M135" i="13" a="1"/>
  <c r="M155" i="13" a="1"/>
  <c r="N227" i="13" a="1"/>
  <c r="M230" i="13" a="1"/>
  <c r="N231" i="13" a="1"/>
  <c r="L231" i="13" a="1"/>
  <c r="N229" i="13" a="1"/>
  <c r="L230" i="13" a="1"/>
  <c r="M231" i="13" a="1"/>
  <c r="O230" i="13" a="1"/>
  <c r="L228" i="13" a="1"/>
  <c r="M228" i="13" a="1"/>
  <c r="O228" i="13" a="1"/>
  <c r="M229" i="13" a="1"/>
  <c r="O227" i="13" a="1"/>
  <c r="N228" i="13" a="1"/>
  <c r="L229" i="13" a="1"/>
  <c r="O229" i="13" a="1"/>
  <c r="O231" i="13" a="1"/>
  <c r="N230" i="13" a="1"/>
  <c r="AD35" i="15" a="1"/>
  <c r="AD34" i="15" a="1"/>
  <c r="AB35" i="15" a="1"/>
  <c r="AB34" i="15" a="1"/>
  <c r="AC33" i="15" a="1"/>
  <c r="AC34" i="15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AL19" i="15" a="1"/>
  <c r="AX19" i="15" a="1"/>
  <c r="Z19" i="15" a="1"/>
  <c r="AC110" i="13" a="1"/>
  <c r="M20" i="15" a="1"/>
  <c r="J18" i="19" a="1"/>
  <c r="N19" i="15" a="1"/>
  <c r="N20" i="15" a="1"/>
  <c r="N21" i="15" a="1"/>
  <c r="Q35" i="19" a="1"/>
  <c r="AB33" i="15" a="1"/>
  <c r="L34" i="15" a="1"/>
  <c r="AW30" i="14" a="1"/>
  <c r="L33" i="15" a="1"/>
  <c r="P18" i="14" a="1"/>
  <c r="Q18" i="19" a="1"/>
  <c r="L20" i="15" a="1"/>
  <c r="L30" i="14" a="1"/>
  <c r="M33" i="15" a="1"/>
  <c r="AG18" i="14" a="1"/>
  <c r="AC35" i="15" a="1"/>
  <c r="AO18" i="14" a="1"/>
  <c r="M21" i="15" a="1"/>
  <c r="X35" i="19" a="1"/>
  <c r="L21" i="15" a="1"/>
  <c r="M19" i="15" a="1"/>
  <c r="L19" i="15" a="1"/>
  <c r="Y18" i="14" a="1"/>
  <c r="Y30" i="14" a="1"/>
  <c r="AK30" i="14" a="1"/>
  <c r="H18" i="14" a="1"/>
  <c r="AW18" i="14" a="1"/>
  <c r="H35" i="19" a="1"/>
  <c r="BE18" i="14" a="1"/>
  <c r="X18" i="19" a="1"/>
  <c r="G196" i="13" a="1"/>
  <c r="N171" i="13" a="1"/>
  <c r="U196" i="13" a="1"/>
  <c r="N199" i="13" a="1"/>
  <c r="U198" i="13" a="1"/>
  <c r="N169" i="13" a="1"/>
  <c r="N184" i="13" a="1"/>
  <c r="AA169" i="13" a="1"/>
  <c r="N181" i="13" a="1"/>
  <c r="N174" i="13" a="1"/>
  <c r="G169" i="13" a="1"/>
  <c r="W65" i="13" a="1"/>
  <c r="H212" i="13" a="1"/>
  <c r="H214" i="13" a="1"/>
  <c r="N186" i="13" a="1"/>
  <c r="W95" i="13" a="1"/>
  <c r="N65" i="13" a="1"/>
  <c r="N185" i="13" a="1"/>
  <c r="AJ80" i="13" a="1"/>
  <c r="U197" i="13" a="1"/>
  <c r="G95" i="13" a="1"/>
  <c r="N197" i="13" a="1"/>
  <c r="AJ95" i="13" a="1"/>
  <c r="U200" i="13" a="1"/>
  <c r="N172" i="13" a="1"/>
  <c r="W80" i="13" a="1"/>
  <c r="N95" i="13" a="1"/>
  <c r="O110" i="13" a="1"/>
  <c r="L124" i="13" a="1"/>
  <c r="AI196" i="13" a="1"/>
  <c r="U199" i="13" a="1"/>
  <c r="N173" i="13" a="1"/>
  <c r="G172" i="13" a="1"/>
  <c r="N170" i="13" a="1"/>
  <c r="G65" i="13" a="1"/>
  <c r="H216" i="13" a="1"/>
  <c r="N178" i="13" a="1"/>
  <c r="N177" i="13" a="1"/>
  <c r="G197" i="13" a="1"/>
  <c r="L227" i="13" a="1"/>
  <c r="N196" i="13" a="1"/>
  <c r="N179" i="13" a="1"/>
  <c r="N200" i="13" a="1"/>
  <c r="G110" i="13" a="1"/>
  <c r="N198" i="13" a="1"/>
  <c r="G200" i="13" a="1"/>
  <c r="N176" i="13" a="1"/>
  <c r="C203" i="5" a="1"/>
  <c r="N182" i="13" a="1"/>
  <c r="N175" i="13" a="1"/>
  <c r="G199" i="13" a="1"/>
  <c r="G198" i="13" a="1"/>
  <c r="G80" i="13" a="1"/>
  <c r="N80" i="13" a="1"/>
  <c r="AS110" i="13" a="1"/>
  <c r="N180" i="13" a="1"/>
  <c r="N183" i="13" a="1"/>
  <c r="Z19" i="15" l="1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8" i="15"/>
  <c r="J48" i="15"/>
  <c r="T48" i="15"/>
  <c r="S48" i="15"/>
  <c r="AB33" i="15"/>
  <c r="L33" i="15"/>
  <c r="M20" i="15"/>
  <c r="N19" i="15"/>
  <c r="M19" i="15"/>
  <c r="L20" i="15"/>
  <c r="N21" i="15"/>
  <c r="L21" i="15"/>
  <c r="M21" i="15"/>
  <c r="L19" i="15"/>
  <c r="N20" i="15"/>
  <c r="AW30" i="14"/>
  <c r="AK30" i="14"/>
  <c r="L30" i="14"/>
  <c r="BE18" i="14"/>
  <c r="AW18" i="14"/>
  <c r="AO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N65" i="13"/>
  <c r="G65" i="13"/>
  <c r="W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4" i="3" a="1"/>
  <c r="T23" i="3" a="1"/>
  <c r="C14" i="15" a="1"/>
  <c r="T29" i="3" a="1"/>
  <c r="T26" i="3" a="1"/>
  <c r="S35" i="19" a="1"/>
  <c r="T35" i="3" a="1"/>
  <c r="T32" i="3" a="1"/>
  <c r="T33" i="3" a="1"/>
  <c r="T25" i="3" a="1"/>
  <c r="T38" i="3" a="1"/>
  <c r="T27" i="3" a="1"/>
  <c r="Z35" i="19" a="1"/>
  <c r="T39" i="3" a="1"/>
  <c r="C27" i="15" a="1"/>
  <c r="T28" i="3" a="1"/>
  <c r="C17" i="17" a="1"/>
  <c r="C13" i="14" a="1"/>
  <c r="T36" i="3" a="1"/>
  <c r="T30" i="3" a="1"/>
  <c r="C13" i="19" a="1"/>
  <c r="T31" i="3" a="1"/>
  <c r="T37" i="3" a="1"/>
  <c r="T34" i="3" a="1"/>
  <c r="C25" i="14" a="1"/>
  <c r="C75" i="13" a="1"/>
  <c r="C164" i="13" a="1"/>
  <c r="C119" i="13" a="1"/>
  <c r="C222" i="13" a="1"/>
  <c r="S51" i="15" a="1"/>
  <c r="C207" i="13" a="1"/>
  <c r="C191" i="13" a="1"/>
  <c r="C105" i="13" a="1"/>
  <c r="C90" i="13" a="1"/>
  <c r="C60" i="13" a="1"/>
  <c r="T51" i="15" a="1"/>
  <c r="J51" i="15" a="1"/>
  <c r="K51" i="15" a="1"/>
  <c r="C119" i="13" l="1"/>
  <c r="D14" i="13" s="1"/>
  <c r="C13" i="19"/>
  <c r="D7" i="19" s="1"/>
  <c r="C17" i="17"/>
  <c r="S35" i="19"/>
  <c r="Z35" i="19"/>
  <c r="K51" i="15"/>
  <c r="T51" i="15"/>
  <c r="J51" i="15"/>
  <c r="S51" i="15"/>
  <c r="C27" i="15"/>
  <c r="D8" i="15" s="1"/>
  <c r="C14" i="15"/>
  <c r="D7" i="15" s="1"/>
  <c r="C25" i="14"/>
  <c r="D8" i="14" s="1"/>
  <c r="C13" i="14"/>
  <c r="D7" i="14" s="1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C60" i="13"/>
  <c r="D10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3" i="15" a="1"/>
  <c r="U25" i="3" a="1"/>
  <c r="C4" i="14" a="1"/>
  <c r="U39" i="3" a="1"/>
  <c r="U36" i="3" a="1"/>
  <c r="C30" i="19" a="1"/>
  <c r="U24" i="3" a="1"/>
  <c r="U34" i="3" a="1"/>
  <c r="U32" i="3" a="1"/>
  <c r="U31" i="3" a="1"/>
  <c r="U30" i="3" a="1"/>
  <c r="U33" i="3" a="1"/>
  <c r="C4" i="15" a="1"/>
  <c r="U35" i="3" a="1"/>
  <c r="U38" i="3" a="1"/>
  <c r="U37" i="3" a="1"/>
  <c r="C13" i="17" a="1"/>
  <c r="C4" i="13" a="1"/>
  <c r="C43" i="15" l="1"/>
  <c r="D9" i="15" s="1"/>
  <c r="C4" i="13"/>
  <c r="C19" i="8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7" a="1"/>
  <c r="C4" i="19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E208" i="9" a="1"/>
  <c r="G69" i="1" a="1"/>
  <c r="I230" i="9" a="1"/>
  <c r="E76" i="9" a="1"/>
  <c r="Z21" i="3" a="1"/>
  <c r="C186" i="9" a="1"/>
  <c r="AJ21" i="3" a="1"/>
  <c r="O186" i="9" a="1"/>
  <c r="J54" i="9" a="1"/>
  <c r="D5" i="4" a="1"/>
  <c r="E186" i="9" a="1"/>
  <c r="E120" i="9" a="1"/>
  <c r="O164" i="9" a="1"/>
  <c r="J98" i="9" a="1"/>
  <c r="C6" i="2" a="1"/>
  <c r="C142" i="9" a="1"/>
  <c r="O120" i="9" a="1"/>
  <c r="J186" i="9" a="1"/>
  <c r="E98" i="9" a="1"/>
  <c r="S68" i="1" a="1"/>
  <c r="J69" i="1" a="1"/>
  <c r="J71" i="1" a="1"/>
  <c r="G47" i="1" a="1"/>
  <c r="E164" i="9" a="1"/>
  <c r="G71" i="1" a="1"/>
  <c r="J76" i="9" a="1"/>
  <c r="J142" i="9" a="1"/>
  <c r="J164" i="9" a="1"/>
  <c r="C208" i="9" a="1"/>
  <c r="D49" i="1" a="1"/>
  <c r="G68" i="1" a="1"/>
  <c r="O142" i="9" a="1"/>
  <c r="G70" i="1" a="1"/>
  <c r="C164" i="9" a="1"/>
  <c r="AU21" i="3" a="1"/>
  <c r="C120" i="9" a="1"/>
  <c r="E142" i="9" a="1"/>
  <c r="O230" i="9" a="1"/>
  <c r="O32" i="9" a="1"/>
  <c r="J208" i="9" a="1"/>
  <c r="U23" i="3" a="1"/>
  <c r="O98" i="9" a="1"/>
  <c r="J72" i="1" a="1"/>
  <c r="J32" i="9" a="1"/>
  <c r="O76" i="9" a="1"/>
  <c r="F230" i="9" a="1"/>
  <c r="J120" i="9" a="1"/>
  <c r="I27" i="11" a="1"/>
  <c r="J68" i="1" a="1"/>
  <c r="L230" i="9" a="1"/>
  <c r="O54" i="9" a="1"/>
  <c r="G72" i="1" a="1"/>
  <c r="J70" i="1" a="1"/>
  <c r="E54" i="9" a="1"/>
  <c r="D4" i="4" a="1"/>
  <c r="D51" i="1" a="1"/>
  <c r="R230" i="9" a="1"/>
  <c r="C54" i="9" a="1"/>
  <c r="C230" i="9" a="1"/>
  <c r="O208" i="9" a="1"/>
  <c r="S71" i="1" a="1"/>
  <c r="S72" i="1" a="1"/>
  <c r="C32" i="9" a="1"/>
  <c r="I22" i="11" a="1"/>
  <c r="U230" i="9" a="1"/>
  <c r="C76" i="9" a="1"/>
  <c r="S70" i="1" a="1"/>
  <c r="S69" i="1" a="1"/>
  <c r="D47" i="1" a="1"/>
  <c r="C98" i="9" a="1"/>
  <c r="T137" i="5" a="1"/>
  <c r="V198" i="5" a="1"/>
  <c r="BN63" i="5" a="1"/>
  <c r="BS40" i="5" a="1"/>
  <c r="X126" i="5" a="1"/>
  <c r="BT40" i="5" a="1"/>
  <c r="T124" i="5" a="1"/>
  <c r="X99" i="5" a="1"/>
  <c r="BL43" i="5" a="1"/>
  <c r="W98" i="5" a="1"/>
  <c r="BL66" i="5" a="1"/>
  <c r="V126" i="5" a="1"/>
  <c r="T123" i="5" a="1"/>
  <c r="V124" i="5" a="1"/>
  <c r="BT66" i="5" a="1"/>
  <c r="V127" i="5" a="1"/>
  <c r="V135" i="5" a="1"/>
  <c r="U90" i="5" a="1"/>
  <c r="BT39" i="5" a="1"/>
  <c r="V139" i="5" a="1"/>
  <c r="K181" i="5" a="1"/>
  <c r="U128" i="5" a="1"/>
  <c r="BQ64" i="5" a="1"/>
  <c r="U103" i="5" a="1"/>
  <c r="X90" i="5" a="1"/>
  <c r="T126" i="5" a="1"/>
  <c r="U97" i="5" a="1"/>
  <c r="X92" i="5" a="1"/>
  <c r="K177" i="5" a="1"/>
  <c r="BJ65" i="5" a="1"/>
  <c r="BM39" i="5" a="1"/>
  <c r="X128" i="5" a="1"/>
  <c r="W94" i="5" a="1"/>
  <c r="V92" i="5" a="1"/>
  <c r="W100" i="5" a="1"/>
  <c r="T133" i="5" a="1"/>
  <c r="W198" i="5" a="1"/>
  <c r="X131" i="5" a="1"/>
  <c r="T131" i="5" a="1"/>
  <c r="BH66" i="5" a="1"/>
  <c r="BK67" i="5" a="1"/>
  <c r="BO43" i="5" a="1"/>
  <c r="W90" i="5" a="1"/>
  <c r="T139" i="5" a="1"/>
  <c r="BQ43" i="5" a="1"/>
  <c r="U137" i="5" a="1"/>
  <c r="V100" i="5" a="1"/>
  <c r="BO65" i="5" a="1"/>
  <c r="W133" i="5" a="1"/>
  <c r="W96" i="5" a="1"/>
  <c r="K178" i="5" a="1"/>
  <c r="L160" i="5" a="1"/>
  <c r="T132" i="5" a="1"/>
  <c r="BR41" i="5" a="1"/>
  <c r="BH39" i="5" a="1"/>
  <c r="W87" i="5" a="1"/>
  <c r="W130" i="5" a="1"/>
  <c r="BF67" i="5" a="1"/>
  <c r="K161" i="5" a="1"/>
  <c r="BK43" i="5" a="1"/>
  <c r="BK66" i="5" a="1"/>
  <c r="BL63" i="5" a="1"/>
  <c r="BG67" i="5" a="1"/>
  <c r="U130" i="5" a="1"/>
  <c r="U133" i="5" a="1"/>
  <c r="X94" i="5" a="1"/>
  <c r="BT64" i="5" a="1"/>
  <c r="BJ63" i="5" a="1"/>
  <c r="W129" i="5" a="1"/>
  <c r="BJ43" i="5" a="1"/>
  <c r="BQ39" i="5" a="1"/>
  <c r="L179" i="5" a="1"/>
  <c r="W136" i="5" a="1"/>
  <c r="BL67" i="5" a="1"/>
  <c r="X135" i="5" a="1"/>
  <c r="BR42" i="5" a="1"/>
  <c r="BM67" i="5" a="1"/>
  <c r="X88" i="5" a="1"/>
  <c r="BM66" i="5" a="1"/>
  <c r="V131" i="5" a="1"/>
  <c r="BF65" i="5" a="1"/>
  <c r="BJ66" i="5" a="1"/>
  <c r="U94" i="5" a="1"/>
  <c r="W124" i="5" a="1"/>
  <c r="X137" i="5" a="1"/>
  <c r="U138" i="5" a="1"/>
  <c r="BG43" i="5" a="1"/>
  <c r="U98" i="5" a="1"/>
  <c r="BS42" i="5" a="1"/>
  <c r="BF39" i="5" a="1"/>
  <c r="BM64" i="5" a="1"/>
  <c r="BL41" i="5" a="1"/>
  <c r="BS65" i="5" a="1"/>
  <c r="BN39" i="5" a="1"/>
  <c r="BJ64" i="5" a="1"/>
  <c r="V130" i="5" a="1"/>
  <c r="U99" i="5" a="1"/>
  <c r="BP41" i="5" a="1"/>
  <c r="T128" i="5" a="1"/>
  <c r="BL64" i="5" a="1"/>
  <c r="BG63" i="5" a="1"/>
  <c r="BD43" i="5" a="1"/>
  <c r="BE67" i="5" a="1"/>
  <c r="BS41" i="5" a="1"/>
  <c r="X87" i="5" a="1"/>
  <c r="X125" i="5" a="1"/>
  <c r="BD66" i="5" a="1"/>
  <c r="BS39" i="5" a="1"/>
  <c r="W88" i="5" a="1"/>
  <c r="BP43" i="5" a="1"/>
  <c r="T135" i="5" a="1"/>
  <c r="X138" i="5" a="1"/>
  <c r="V101" i="5" a="1"/>
  <c r="T125" i="5" a="1"/>
  <c r="L161" i="5" a="1"/>
  <c r="W138" i="5" a="1"/>
  <c r="BH67" i="5" a="1"/>
  <c r="V93" i="5" a="1"/>
  <c r="V129" i="5" a="1"/>
  <c r="BN40" i="5" a="1"/>
  <c r="U95" i="5" a="1"/>
  <c r="BI64" i="5" a="1"/>
  <c r="X124" i="5" a="1"/>
  <c r="W125" i="5" a="1"/>
  <c r="K159" i="5" a="1"/>
  <c r="V134" i="5" a="1"/>
  <c r="L181" i="5" a="1"/>
  <c r="BQ63" i="5" a="1"/>
  <c r="L158" i="5" a="1"/>
  <c r="U123" i="5" a="1"/>
  <c r="BG39" i="5" a="1"/>
  <c r="BG66" i="5" a="1"/>
  <c r="BL39" i="5" a="1"/>
  <c r="W139" i="5" a="1"/>
  <c r="BT63" i="5" a="1"/>
  <c r="W99" i="5" a="1"/>
  <c r="K180" i="5" a="1"/>
  <c r="U126" i="5" a="1"/>
  <c r="BT42" i="5" a="1"/>
  <c r="W135" i="5" a="1"/>
  <c r="U135" i="5" a="1"/>
  <c r="BQ42" i="5" a="1"/>
  <c r="X91" i="5" a="1"/>
  <c r="BN43" i="5" a="1"/>
  <c r="V125" i="5" a="1"/>
  <c r="W103" i="5" a="1"/>
  <c r="W91" i="5" a="1"/>
  <c r="U129" i="5" a="1"/>
  <c r="BJ41" i="5" a="1"/>
  <c r="BD41" i="5" a="1"/>
  <c r="X129" i="5" a="1"/>
  <c r="BI39" i="5" a="1"/>
  <c r="BH41" i="5" a="1"/>
  <c r="BO42" i="5" a="1"/>
  <c r="U89" i="5" a="1"/>
  <c r="X95" i="5" a="1"/>
  <c r="V128" i="5" a="1"/>
  <c r="T127" i="5" a="1"/>
  <c r="BI63" i="5" a="1"/>
  <c r="BH64" i="5" a="1"/>
  <c r="BQ41" i="5" a="1"/>
  <c r="BO63" i="5" a="1"/>
  <c r="K157" i="5" a="1"/>
  <c r="X197" i="5" a="1"/>
  <c r="BE63" i="5" a="1"/>
  <c r="BS43" i="5" a="1"/>
  <c r="BR65" i="5" a="1"/>
  <c r="V96" i="5" a="1"/>
  <c r="X133" i="5" a="1"/>
  <c r="BF66" i="5" a="1"/>
  <c r="W93" i="5" a="1"/>
  <c r="BR63" i="5" a="1"/>
  <c r="BE41" i="5" a="1"/>
  <c r="BH43" i="5" a="1"/>
  <c r="BM43" i="5" a="1"/>
  <c r="X103" i="5" a="1"/>
  <c r="U88" i="5" a="1"/>
  <c r="U102" i="5" a="1"/>
  <c r="BR39" i="5" a="1"/>
  <c r="BF63" i="5" a="1"/>
  <c r="L159" i="5" a="1"/>
  <c r="V123" i="5" a="1"/>
  <c r="T129" i="5" a="1"/>
  <c r="BD40" i="5" a="1"/>
  <c r="BK65" i="5" a="1"/>
  <c r="W127" i="5" a="1"/>
  <c r="BK40" i="5" a="1"/>
  <c r="BF41" i="5" a="1"/>
  <c r="BE39" i="5" a="1"/>
  <c r="T198" i="5" a="1"/>
  <c r="V91" i="5" a="1"/>
  <c r="W102" i="5" a="1"/>
  <c r="BP65" i="5" a="1"/>
  <c r="BT41" i="5" a="1"/>
  <c r="X198" i="5" a="1"/>
  <c r="BN65" i="5" a="1"/>
  <c r="BS66" i="5" a="1"/>
  <c r="X136" i="5" a="1"/>
  <c r="BE64" i="5" a="1"/>
  <c r="BE43" i="5" a="1"/>
  <c r="BM40" i="5" a="1"/>
  <c r="BQ40" i="5" a="1"/>
  <c r="BI66" i="5" a="1"/>
  <c r="BH42" i="5" a="1"/>
  <c r="BG65" i="5" a="1"/>
  <c r="U198" i="5" a="1"/>
  <c r="BD67" i="5" a="1"/>
  <c r="BO66" i="5" a="1"/>
  <c r="V94" i="5" a="1"/>
  <c r="L180" i="5" a="1"/>
  <c r="BE40" i="5" a="1"/>
  <c r="BN42" i="5" a="1"/>
  <c r="BK64" i="5" a="1"/>
  <c r="BR64" i="5" a="1"/>
  <c r="U100" i="5" a="1"/>
  <c r="X97" i="5" a="1"/>
  <c r="W197" i="5" a="1"/>
  <c r="V136" i="5" a="1"/>
  <c r="BP40" i="5" a="1"/>
  <c r="BH65" i="5" a="1"/>
  <c r="BN67" i="5" a="1"/>
  <c r="BT65" i="5" a="1"/>
  <c r="BM42" i="5" a="1"/>
  <c r="X89" i="5" a="1"/>
  <c r="W131" i="5" a="1"/>
  <c r="BT67" i="5" a="1"/>
  <c r="X98" i="5" a="1"/>
  <c r="U134" i="5" a="1"/>
  <c r="BO64" i="5" a="1"/>
  <c r="V87" i="5" a="1"/>
  <c r="L157" i="5" a="1"/>
  <c r="U139" i="5" a="1"/>
  <c r="BJ67" i="5" a="1"/>
  <c r="V95" i="5" a="1"/>
  <c r="BH40" i="5" a="1"/>
  <c r="BK63" i="5" a="1"/>
  <c r="V102" i="5" a="1"/>
  <c r="V99" i="5" a="1"/>
  <c r="BG41" i="5" a="1"/>
  <c r="X130" i="5" a="1"/>
  <c r="U87" i="5" a="1"/>
  <c r="BR66" i="5" a="1"/>
  <c r="X127" i="5" a="1"/>
  <c r="W89" i="5" a="1"/>
  <c r="BI40" i="5" a="1"/>
  <c r="BG42" i="5" a="1"/>
  <c r="U197" i="5" a="1"/>
  <c r="K160" i="5" a="1"/>
  <c r="BN64" i="5" a="1"/>
  <c r="BO40" i="5" a="1"/>
  <c r="BK39" i="5" a="1"/>
  <c r="BL65" i="5" a="1"/>
  <c r="BD42" i="5" a="1"/>
  <c r="BE42" i="5" a="1"/>
  <c r="V103" i="5" a="1"/>
  <c r="W95" i="5" a="1"/>
  <c r="U96" i="5" a="1"/>
  <c r="BL40" i="5" a="1"/>
  <c r="BO41" i="5" a="1"/>
  <c r="BI42" i="5" a="1"/>
  <c r="K179" i="5" a="1"/>
  <c r="BD64" i="5" a="1"/>
  <c r="BF40" i="5" a="1"/>
  <c r="BI67" i="5" a="1"/>
  <c r="BG64" i="5" a="1"/>
  <c r="X96" i="5" a="1"/>
  <c r="X123" i="5" a="1"/>
  <c r="BE65" i="5" a="1"/>
  <c r="BG40" i="5" a="1"/>
  <c r="V90" i="5" a="1"/>
  <c r="BO39" i="5" a="1"/>
  <c r="BD63" i="5" a="1"/>
  <c r="T134" i="5" a="1"/>
  <c r="BP63" i="5" a="1"/>
  <c r="BJ40" i="5" a="1"/>
  <c r="X100" i="5" a="1"/>
  <c r="W134" i="5" a="1"/>
  <c r="U92" i="5" a="1"/>
  <c r="BP39" i="5" a="1"/>
  <c r="BF64" i="5" a="1"/>
  <c r="V132" i="5" a="1"/>
  <c r="L178" i="5" a="1"/>
  <c r="BS63" i="5" a="1"/>
  <c r="BK42" i="5" a="1"/>
  <c r="V98" i="5" a="1"/>
  <c r="W97" i="5" a="1"/>
  <c r="W132" i="5" a="1"/>
  <c r="V97" i="5" a="1"/>
  <c r="U125" i="5" a="1"/>
  <c r="X102" i="5" a="1"/>
  <c r="K158" i="5" a="1"/>
  <c r="W123" i="5" a="1"/>
  <c r="X93" i="5" a="1"/>
  <c r="X101" i="5" a="1"/>
  <c r="BF43" i="5" a="1"/>
  <c r="BD39" i="5" a="1"/>
  <c r="BR67" i="5" a="1"/>
  <c r="BQ67" i="5" a="1"/>
  <c r="U91" i="5" a="1"/>
  <c r="V89" i="5" a="1"/>
  <c r="V133" i="5" a="1"/>
  <c r="BJ39" i="5" a="1"/>
  <c r="BN66" i="5" a="1"/>
  <c r="BP42" i="5" a="1"/>
  <c r="BK41" i="5" a="1"/>
  <c r="U131" i="5" a="1"/>
  <c r="W137" i="5" a="1"/>
  <c r="U136" i="5" a="1"/>
  <c r="T138" i="5" a="1"/>
  <c r="BQ65" i="5" a="1"/>
  <c r="T197" i="5" a="1"/>
  <c r="U132" i="5" a="1"/>
  <c r="BD65" i="5" a="1"/>
  <c r="BM65" i="5" a="1"/>
  <c r="V138" i="5" a="1"/>
  <c r="BI41" i="5" a="1"/>
  <c r="W128" i="5" a="1"/>
  <c r="BS67" i="5" a="1"/>
  <c r="BM41" i="5" a="1"/>
  <c r="BO67" i="5" a="1"/>
  <c r="BE66" i="5" a="1"/>
  <c r="W92" i="5" a="1"/>
  <c r="BP67" i="5" a="1"/>
  <c r="BN41" i="5" a="1"/>
  <c r="BT43" i="5" a="1"/>
  <c r="BR43" i="5" a="1"/>
  <c r="U124" i="5" a="1"/>
  <c r="L177" i="5" a="1"/>
  <c r="BI65" i="5" a="1"/>
  <c r="BI43" i="5" a="1"/>
  <c r="BR40" i="5" a="1"/>
  <c r="V197" i="5" a="1"/>
  <c r="T130" i="5" a="1"/>
  <c r="BJ42" i="5" a="1"/>
  <c r="U101" i="5" a="1"/>
  <c r="BP66" i="5" a="1"/>
  <c r="W101" i="5" a="1"/>
  <c r="X132" i="5" a="1"/>
  <c r="BP64" i="5" a="1"/>
  <c r="BQ66" i="5" a="1"/>
  <c r="BM63" i="5" a="1"/>
  <c r="V137" i="5" a="1"/>
  <c r="U127" i="5" a="1"/>
  <c r="U93" i="5" a="1"/>
  <c r="T136" i="5" a="1"/>
  <c r="X134" i="5" a="1"/>
  <c r="BS64" i="5" a="1"/>
  <c r="X139" i="5" a="1"/>
  <c r="W126" i="5" a="1"/>
  <c r="BL42" i="5" a="1"/>
  <c r="V88" i="5" a="1"/>
  <c r="BF42" i="5" a="1"/>
  <c r="BH63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K49" i="9" a="1"/>
  <c r="F71" i="9" a="1"/>
  <c r="P70" i="1" a="1"/>
  <c r="P203" i="9" a="1"/>
  <c r="I25" i="3" a="1"/>
  <c r="K115" i="9" a="1"/>
  <c r="H17" i="2" a="1"/>
  <c r="M72" i="1" a="1"/>
  <c r="F159" i="9" a="1"/>
  <c r="I25" i="11" a="1"/>
  <c r="O225" i="9" a="1"/>
  <c r="J22" i="11" a="1"/>
  <c r="P159" i="9" a="1"/>
  <c r="M71" i="1" a="1"/>
  <c r="H69" i="1" a="1"/>
  <c r="M69" i="1" a="1"/>
  <c r="D84" i="1" a="1"/>
  <c r="K71" i="1" a="1"/>
  <c r="K69" i="1" a="1"/>
  <c r="I23" i="11" a="1"/>
  <c r="I26" i="3" a="1"/>
  <c r="F181" i="9" a="1"/>
  <c r="F27" i="9" a="1"/>
  <c r="P137" i="9" a="1"/>
  <c r="C181" i="9" a="1"/>
  <c r="K70" i="1" a="1"/>
  <c r="C27" i="9" a="1"/>
  <c r="R225" i="9" a="1"/>
  <c r="K93" i="9" a="1"/>
  <c r="C93" i="9" a="1"/>
  <c r="K47" i="1" a="1"/>
  <c r="I24" i="11" a="1"/>
  <c r="M70" i="1" a="1"/>
  <c r="H70" i="1" a="1"/>
  <c r="D52" i="1" a="1"/>
  <c r="K71" i="9" a="1"/>
  <c r="F203" i="9" a="1"/>
  <c r="P68" i="1" a="1"/>
  <c r="H68" i="1" a="1"/>
  <c r="P93" i="9" a="1"/>
  <c r="D53" i="1" a="1"/>
  <c r="T72" i="1" a="1"/>
  <c r="D83" i="1" a="1"/>
  <c r="D55" i="1" a="1"/>
  <c r="C49" i="9" a="1"/>
  <c r="C115" i="9" a="1"/>
  <c r="D85" i="1" a="1"/>
  <c r="P181" i="9" a="1"/>
  <c r="K181" i="9" a="1"/>
  <c r="I27" i="3" a="1"/>
  <c r="P69" i="1" a="1"/>
  <c r="D54" i="1" a="1"/>
  <c r="P72" i="1" a="1"/>
  <c r="K27" i="9" a="1"/>
  <c r="H71" i="1" a="1"/>
  <c r="P71" i="1" a="1"/>
  <c r="C203" i="9" a="1"/>
  <c r="P27" i="9" a="1"/>
  <c r="I225" i="9" a="1"/>
  <c r="C71" i="9" a="1"/>
  <c r="T68" i="1" a="1"/>
  <c r="P49" i="9" a="1"/>
  <c r="I28" i="3" a="1"/>
  <c r="M68" i="1" a="1"/>
  <c r="T69" i="1" a="1"/>
  <c r="D57" i="1" a="1"/>
  <c r="F225" i="9" a="1"/>
  <c r="H72" i="1" a="1"/>
  <c r="T70" i="1" a="1"/>
  <c r="K68" i="1" a="1"/>
  <c r="I23" i="3" a="1"/>
  <c r="T71" i="1" a="1"/>
  <c r="K72" i="1" a="1"/>
  <c r="F49" i="9" a="1"/>
  <c r="D82" i="1" a="1"/>
  <c r="D56" i="1" a="1"/>
  <c r="I24" i="3" a="1"/>
  <c r="I26" i="11" a="1"/>
  <c r="F93" i="9" a="1"/>
  <c r="F137" i="9" a="1"/>
  <c r="C159" i="9" a="1"/>
  <c r="K137" i="9" a="1"/>
  <c r="P71" i="9" a="1"/>
  <c r="U225" i="9" a="1"/>
  <c r="K159" i="9" a="1"/>
  <c r="P115" i="9" a="1"/>
  <c r="K203" i="9" a="1"/>
  <c r="L225" i="9" a="1"/>
  <c r="F115" i="9" a="1"/>
  <c r="C137" i="9" a="1"/>
  <c r="C225" i="9" a="1"/>
  <c r="C144" i="5" a="1"/>
  <c r="C24" i="5" a="1"/>
  <c r="C72" i="5" a="1"/>
  <c r="C48" i="5" a="1"/>
  <c r="C108" i="5" a="1"/>
  <c r="C186" i="5" a="1"/>
  <c r="C166" i="5" a="1"/>
  <c r="D85" i="1" l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9" i="9" a="1"/>
  <c r="Q68" i="1" a="1"/>
  <c r="N70" i="1" a="1"/>
  <c r="E47" i="1" a="1"/>
  <c r="P82" i="1" a="1"/>
  <c r="J24" i="3" a="1"/>
  <c r="J82" i="1" a="1"/>
  <c r="E84" i="1" a="1"/>
  <c r="N71" i="1" a="1"/>
  <c r="C153" i="9" a="1"/>
  <c r="U26" i="3" a="1"/>
  <c r="J28" i="3" a="1"/>
  <c r="J26" i="11" a="1"/>
  <c r="E50" i="1" a="1"/>
  <c r="E82" i="1" a="1"/>
  <c r="E49" i="1" a="1"/>
  <c r="J24" i="11" a="1"/>
  <c r="M82" i="1" a="1"/>
  <c r="E52" i="1" a="1"/>
  <c r="G82" i="1" a="1"/>
  <c r="E51" i="1" a="1"/>
  <c r="E55" i="1" a="1"/>
  <c r="Q70" i="1" a="1"/>
  <c r="Q69" i="1" a="1"/>
  <c r="J23" i="11" a="1"/>
  <c r="J25" i="11" a="1"/>
  <c r="Q71" i="1" a="1"/>
  <c r="C109" i="9" a="1"/>
  <c r="C197" i="9" a="1"/>
  <c r="E57" i="1" a="1"/>
  <c r="E56" i="1" a="1"/>
  <c r="N72" i="1" a="1"/>
  <c r="Q72" i="1" a="1"/>
  <c r="C43" i="9" a="1"/>
  <c r="C87" i="9" a="1"/>
  <c r="N69" i="1" a="1"/>
  <c r="C21" i="9" a="1"/>
  <c r="V82" i="1" a="1"/>
  <c r="N68" i="1" a="1"/>
  <c r="U27" i="3" a="1"/>
  <c r="U28" i="3" a="1"/>
  <c r="J27" i="3" a="1"/>
  <c r="E85" i="1" a="1"/>
  <c r="U29" i="3" a="1"/>
  <c r="C131" i="9" a="1"/>
  <c r="E83" i="1" a="1"/>
  <c r="E48" i="1" a="1"/>
  <c r="C175" i="9" a="1"/>
  <c r="J26" i="3" a="1"/>
  <c r="E54" i="1" a="1"/>
  <c r="S82" i="1" a="1"/>
  <c r="J23" i="3" a="1"/>
  <c r="C65" i="9" a="1"/>
  <c r="E53" i="1" a="1"/>
  <c r="G21" i="2" a="1"/>
  <c r="J25" i="3" a="1"/>
  <c r="C4" i="5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W86" i="1" a="1"/>
  <c r="L84" i="1" a="1"/>
  <c r="Q86" i="1" a="1"/>
  <c r="I84" i="1" a="1"/>
  <c r="R83" i="1" a="1"/>
  <c r="U83" i="1" a="1"/>
  <c r="C21" i="3" a="1"/>
  <c r="F83" i="1" a="1"/>
  <c r="U82" i="1" a="1"/>
  <c r="F85" i="1" a="1"/>
  <c r="O84" i="1" a="1"/>
  <c r="T86" i="1" a="1"/>
  <c r="L83" i="1" a="1"/>
  <c r="C4" i="9" a="1"/>
  <c r="F82" i="1" a="1"/>
  <c r="L85" i="1" a="1"/>
  <c r="R85" i="1" a="1"/>
  <c r="O85" i="1" a="1"/>
  <c r="U85" i="1" a="1"/>
  <c r="I82" i="1" a="1"/>
  <c r="R82" i="1" a="1"/>
  <c r="J27" i="11" a="1"/>
  <c r="K86" i="1" a="1"/>
  <c r="C43" i="1" a="1"/>
  <c r="O82" i="1" a="1"/>
  <c r="I83" i="1" a="1"/>
  <c r="O83" i="1" a="1"/>
  <c r="R84" i="1" a="1"/>
  <c r="H86" i="1" a="1"/>
  <c r="N86" i="1" a="1"/>
  <c r="N21" i="3" a="1"/>
  <c r="F84" i="1" a="1"/>
  <c r="L82" i="1" a="1"/>
  <c r="U84" i="1" a="1"/>
  <c r="I85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Q83" i="1" a="1"/>
  <c r="W85" i="1" a="1"/>
  <c r="Q85" i="1" a="1"/>
  <c r="C15" i="1" a="1"/>
  <c r="H83" i="1" a="1"/>
  <c r="N82" i="1" a="1"/>
  <c r="H85" i="1" a="1"/>
  <c r="N85" i="1" a="1"/>
  <c r="T84" i="1" a="1"/>
  <c r="W83" i="1" a="1"/>
  <c r="Q82" i="1" a="1"/>
  <c r="H82" i="1" a="1"/>
  <c r="C39" i="1" a="1"/>
  <c r="Q84" i="1" a="1"/>
  <c r="N84" i="1" a="1"/>
  <c r="W84" i="1" a="1"/>
  <c r="T85" i="1" a="1"/>
  <c r="K84" i="1" a="1"/>
  <c r="T83" i="1" a="1"/>
  <c r="C20" i="11" a="1"/>
  <c r="W82" i="1" a="1"/>
  <c r="K82" i="1" a="1"/>
  <c r="T82" i="1" a="1"/>
  <c r="K83" i="1" a="1"/>
  <c r="N83" i="1" a="1"/>
  <c r="H84" i="1" a="1"/>
  <c r="K8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77" i="1" a="1"/>
  <c r="C6" i="11" a="1"/>
  <c r="C6" i="3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2" i="1" a="1"/>
  <c r="E70" i="1" a="1"/>
  <c r="E69" i="1" a="1"/>
  <c r="E68" i="1" a="1"/>
  <c r="E71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<sst xmlns="http://schemas.openxmlformats.org/spreadsheetml/2006/main" count="3808" uniqueCount="514">
  <si>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</si>
  <si>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</si>
  <si>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</si>
  <si>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</si>
  <si>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</si>
  <si>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</si>
  <si>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</si>
  <si>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</si>
  <si>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</si>
  <si>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</si>
  <si>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</si>
  <si>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</si>
  <si>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</si>
  <si>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</si>
  <si>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</si>
  <si>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</si>
  <si>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</si>
  <si>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</si>
  <si>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</si>
  <si>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</si>
  <si>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</si>
  <si>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</si>
  <si>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</si>
  <si>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</si>
  <si>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</si>
  <si>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</si>
  <si>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</si>
  <si>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</si>
  <si>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</si>
  <si>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</si>
  <si>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</si>
  <si>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</si>
  <si>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</si>
  <si>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</si>
  <si>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</si>
  <si>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</si>
  <si>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</si>
  <si>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</si>
  <si>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</si>
  <si>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</si>
  <si>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</si>
  <si>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</si>
  <si>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</si>
  <si>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</si>
  <si>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</si>
  <si>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</si>
  <si>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</si>
  <si>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</si>
  <si>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</si>
  <si>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</si>
  <si>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</si>
  <si>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</si>
  <si>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</si>
  <si>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</si>
  <si>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</si>
  <si>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</si>
  <si>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</si>
  <si>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</si>
  <si>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</si>
  <si>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</si>
  <si>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</si>
  <si>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</si>
  <si>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</si>
  <si>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</si>
  <si>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</si>
  <si>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</si>
  <si>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</si>
  <si>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</si>
  <si>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</si>
  <si>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</si>
  <si>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</si>
  <si>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</si>
  <si>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</si>
  <si>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</si>
  <si>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</si>
  <si>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</si>
  <si>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</si>
  <si>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</si>
  <si>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</si>
  <si>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</si>
  <si>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</si>
  <si>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</si>
  <si>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</si>
  <si>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</si>
  <si>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</si>
  <si>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</si>
  <si>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</si>
  <si>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</si>
  <si>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</si>
  <si>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</si>
  <si>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</si>
  <si>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</si>
  <si>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</si>
  <si>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</si>
  <si>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</si>
  <si>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</si>
  <si>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</si>
  <si>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</si>
  <si>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</si>
  <si>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</si>
  <si>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</si>
  <si>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</si>
  <si>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</si>
  <si>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</si>
  <si>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</si>
  <si>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</si>
  <si>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</si>
  <si>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</si>
  <si>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</si>
  <si>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</si>
  <si>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</si>
  <si>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</si>
  <si>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</si>
  <si>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</si>
  <si>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</si>
  <si>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</si>
  <si>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</si>
  <si>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</si>
  <si>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</si>
  <si>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</si>
  <si>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</si>
  <si>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</si>
  <si>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</si>
  <si>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</si>
  <si>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</si>
  <si>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</si>
  <si>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</si>
  <si>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</si>
  <si>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</si>
  <si>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</si>
  <si>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</si>
  <si>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</si>
  <si>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</si>
  <si>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</si>
  <si>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</si>
  <si>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</si>
  <si>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</si>
  <si>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</si>
  <si>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</si>
  <si>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</si>
  <si>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</si>
  <si>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</si>
  <si>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</si>
  <si>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</si>
  <si>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</si>
  <si>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</si>
  <si>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</si>
  <si>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</si>
  <si>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</si>
  <si>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</si>
  <si>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</si>
  <si>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</si>
  <si>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</si>
  <si>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</si>
  <si>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</si>
  <si>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</si>
  <si>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</si>
  <si>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</si>
  <si>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</si>
  <si>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</si>
  <si>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</si>
  <si>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</si>
  <si>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</si>
  <si>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</si>
  <si>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</si>
  <si>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</si>
  <si>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</si>
  <si>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</si>
  <si>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</si>
  <si>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</si>
  <si>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</si>
  <si>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</si>
  <si>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</si>
  <si>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</si>
  <si>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</si>
  <si>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</si>
  <si>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</si>
  <si>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</si>
  <si>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</si>
  <si>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</si>
  <si>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</si>
  <si>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</si>
  <si>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</si>
  <si>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</si>
  <si>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</si>
  <si>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</si>
  <si>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</si>
  <si>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</si>
  <si>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</si>
  <si>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</si>
  <si>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</si>
  <si>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</si>
  <si>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</si>
  <si>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</si>
  <si>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</si>
  <si>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</si>
  <si>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</si>
  <si>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</si>
  <si>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</si>
  <si>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</si>
  <si>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</si>
  <si>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</si>
  <si>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</si>
  <si>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</si>
  <si>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</si>
  <si>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</si>
  <si>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</si>
  <si>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</si>
  <si>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</si>
  <si>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</si>
  <si>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</si>
  <si>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</si>
  <si>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</si>
  <si>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</si>
  <si>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</si>
  <si>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</si>
  <si>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</si>
  <si>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</si>
  <si>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</si>
  <si>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</si>
  <si>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</si>
  <si>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</si>
  <si>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</si>
  <si>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</si>
  <si>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</si>
  <si>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</si>
  <si>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</si>
  <si>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</si>
  <si>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</si>
  <si>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</si>
  <si>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</si>
  <si>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</si>
  <si>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</si>
  <si>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</si>
  <si>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</si>
  <si>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</si>
  <si>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</si>
  <si>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</si>
  <si>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</si>
  <si>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</si>
  <si>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</si>
  <si>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</si>
  <si>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</si>
  <si>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</si>
  <si>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</si>
  <si>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</si>
  <si>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</si>
  <si>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</si>
  <si>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</si>
  <si>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</si>
  <si>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</si>
  <si>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</si>
  <si>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</si>
  <si>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</si>
  <si>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</si>
  <si>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</si>
  <si>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</si>
  <si>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</si>
  <si>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</si>
  <si>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</si>
  <si>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</si>
  <si>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</si>
  <si>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</si>
  <si>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</si>
  <si>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</si>
  <si>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</si>
  <si>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</si>
  <si>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</si>
  <si>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</si>
  <si>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</si>
  <si>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</si>
  <si>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</si>
  <si>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</si>
  <si>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</si>
  <si>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</si>
  <si>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</si>
  <si>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</si>
  <si>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</si>
  <si>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</si>
  <si>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</si>
  <si>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</si>
  <si>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</si>
  <si>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</si>
  <si>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</si>
  <si>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</si>
  <si>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</si>
  <si>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</si>
  <si>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</si>
  <si>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</si>
  <si>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</si>
  <si>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</si>
  <si>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</si>
  <si>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</si>
  <si>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</si>
  <si>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</si>
  <si>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</si>
  <si>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</si>
  <si>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</si>
  <si>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</si>
  <si>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</si>
  <si>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</si>
  <si>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</si>
  <si>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</si>
  <si>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</si>
  <si>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</si>
  <si>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</si>
  <si>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</si>
  <si>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</si>
  <si>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</si>
  <si>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</si>
  <si>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</si>
  <si>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</si>
  <si>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</si>
  <si>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</si>
  <si>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</si>
  <si>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</si>
  <si>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</si>
  <si>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</si>
  <si>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</si>
  <si>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</si>
  <si>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</si>
  <si>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</si>
  <si>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</si>
  <si>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</si>
  <si>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</si>
  <si>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</si>
  <si>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</si>
  <si>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</si>
  <si>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</si>
  <si>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</si>
  <si>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</si>
  <si>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</si>
  <si>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</si>
  <si>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</si>
  <si>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</si>
  <si>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</si>
  <si>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</si>
  <si>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</si>
  <si>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</si>
  <si>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</si>
  <si>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</si>
  <si>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</si>
  <si>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</si>
  <si>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</si>
  <si>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</si>
  <si>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</si>
  <si>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</si>
  <si>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</si>
  <si>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</si>
  <si>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</si>
  <si>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</si>
  <si>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</si>
  <si>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</si>
  <si>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</si>
  <si>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</si>
  <si>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</si>
  <si>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</si>
  <si>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</si>
  <si>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</si>
  <si>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</si>
  <si>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</si>
  <si>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</si>
  <si>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</si>
  <si>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</si>
  <si>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</si>
  <si>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</si>
  <si>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</si>
  <si>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</si>
  <si>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</si>
  <si>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</si>
  <si>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</si>
  <si>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</si>
  <si>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</si>
  <si>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</si>
  <si>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</si>
  <si>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</si>
  <si>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</si>
  <si>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</si>
  <si>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</si>
  <si>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</si>
  <si>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</si>
  <si>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</si>
  <si>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</si>
  <si>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</si>
  <si>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</si>
  <si>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</si>
  <si>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</si>
  <si>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</si>
  <si>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</si>
  <si>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</si>
  <si>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</si>
  <si>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</si>
  <si>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</si>
  <si>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</si>
  <si>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</si>
  <si>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</si>
  <si>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</si>
  <si>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</si>
  <si>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</si>
  <si>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</si>
  <si>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</si>
  <si>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</si>
  <si>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</si>
  <si>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</si>
  <si>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</si>
  <si>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</si>
  <si>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</si>
  <si>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</si>
  <si>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</si>
  <si>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</si>
  <si>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</si>
  <si>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</si>
  <si>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</si>
  <si>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</si>
  <si>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</si>
  <si>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</si>
  <si>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</si>
  <si>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</si>
  <si>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</si>
  <si>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</si>
  <si>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</si>
  <si>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</si>
  <si>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</si>
  <si>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</si>
  <si>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</si>
  <si>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</si>
  <si>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</si>
  <si>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</si>
  <si>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</si>
  <si>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</si>
  <si>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</si>
  <si>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</si>
  <si>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</si>
  <si>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</si>
  <si>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</si>
  <si>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</si>
  <si>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</si>
  <si>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</si>
  <si>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</si>
  <si>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</si>
  <si>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</si>
  <si>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</si>
  <si>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</si>
  <si>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</si>
  <si>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</si>
  <si>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</si>
  <si>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</si>
  <si>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</si>
  <si>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</si>
  <si>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</si>
  <si>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</si>
  <si>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</si>
  <si>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</si>
  <si>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</si>
  <si>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</si>
  <si>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</si>
  <si>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</si>
  <si>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</si>
  <si>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</si>
  <si>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</si>
  <si>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</si>
  <si>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</si>
  <si>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</si>
  <si>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</si>
  <si>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</si>
  <si>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</si>
  <si>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</si>
  <si>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</si>
  <si>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</si>
  <si>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</si>
  <si>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</si>
  <si>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</si>
  <si>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</si>
  <si>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</si>
  <si>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</si>
  <si>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</si>
  <si>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</si>
  <si>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</si>
  <si>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</si>
  <si>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</si>
  <si>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</si>
  <si>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</si>
  <si>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</si>
  <si>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</si>
  <si>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</si>
  <si>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</si>
  <si>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</si>
  <si>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</si>
  <si>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</si>
  <si>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</si>
  <si>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</si>
  <si>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</si>
  <si>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</si>
  <si>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</si>
  <si>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</si>
  <si>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</si>
  <si>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</si>
  <si>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</si>
  <si>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</si>
  <si>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</si>
  <si>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</si>
  <si>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</si>
  <si>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</si>
  <si>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</si>
  <si>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</si>
  <si>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</si>
  <si>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</si>
  <si>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</si>
  <si>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</si>
  <si>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</si>
  <si>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</si>
  <si>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Test 3: Normal Random Numbers for a Given Seed and Row and Column Count</t>
  </si>
  <si>
    <t>NGN</t>
  </si>
  <si>
    <t>TZS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</si>
</sst>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5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27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166" fontId="31" fillId="0" borderId="0" xfId="0" applyNumberFormat="1" applyFont="1"/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5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opLeftCell="A10" workbookViewId="0">
      <selection activeCell="B19" sqref="B19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439</v>
      </c>
      <c r="C4" s="490"/>
      <c r="D4" s="487" t="s">
        <v>499</v>
      </c>
      <c r="I4" s="495"/>
    </row>
    <row r="5" spans="2:9" s="467" customFormat="1" x14ac:dyDescent="0.25">
      <c r="B5" s="491" t="s">
        <v>440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441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482</v>
      </c>
      <c r="C9" s="214"/>
    </row>
    <row r="10" spans="2:9" s="495" customFormat="1" ht="18.75" customHeight="1" x14ac:dyDescent="0.25">
      <c r="B10" s="618" t="str" cm="1">
        <f t="array" aca="1" ref="B10" ca="1">_xll.d.TestUtils_And(C19:C21,C24,C27:C29,C34:C35)</f>
        <v>Error</v>
      </c>
      <c r="C10" s="618"/>
    </row>
    <row r="11" spans="2:9" s="495" customFormat="1" ht="15" customHeight="1" x14ac:dyDescent="0.25">
      <c r="B11" s="619"/>
      <c r="C11" s="619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 ca="1"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390</v>
      </c>
      <c r="C21" s="141" t="str">
        <f>Stats!C4</f>
        <v>Ok</v>
      </c>
      <c r="I21" s="495"/>
    </row>
    <row r="22" spans="2:9" x14ac:dyDescent="0.25">
      <c r="I22" s="495"/>
    </row>
    <row r="23" spans="2:9" x14ac:dyDescent="0.25">
      <c r="B23" s="478" t="s">
        <v>420</v>
      </c>
      <c r="C23" s="479"/>
    </row>
    <row r="24" spans="2:9" x14ac:dyDescent="0.25">
      <c r="B24" s="464" t="s">
        <v>421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x14ac:dyDescent="0.25">
      <c r="B28" s="463" t="s">
        <v>417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>'Sinlge Curve Bootstrapping'!C6</f>
        <v>Error</v>
      </c>
      <c r="D29" s="495"/>
    </row>
    <row r="30" spans="2:9" x14ac:dyDescent="0.25">
      <c r="B30" s="546" t="s">
        <v>58</v>
      </c>
      <c r="C30" s="306" t="s">
        <v>249</v>
      </c>
      <c r="D30" s="545" t="s">
        <v>485</v>
      </c>
    </row>
    <row r="31" spans="2:9" x14ac:dyDescent="0.25">
      <c r="B31" s="547" t="s">
        <v>11</v>
      </c>
      <c r="C31" s="205" t="s">
        <v>249</v>
      </c>
      <c r="D31" s="545" t="s">
        <v>485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>'Test Utils'!C4</f>
        <v>Ok</v>
      </c>
    </row>
    <row r="35" spans="2:5" x14ac:dyDescent="0.25">
      <c r="B35" s="464" t="s">
        <v>85</v>
      </c>
      <c r="C35" s="141" t="str">
        <f ca="1">'Table Formatting'!C4</f>
        <v>Error</v>
      </c>
    </row>
    <row r="40" spans="2:5" x14ac:dyDescent="0.25">
      <c r="E40" s="177"/>
    </row>
  </sheetData>
  <mergeCells count="1">
    <mergeCell ref="B10:C11"/>
  </mergeCells>
  <conditionalFormatting sqref="C34">
    <cfRule type="cellIs" dxfId="555" priority="22" stopIfTrue="1" operator="equal">
      <formula>"OK"</formula>
    </cfRule>
    <cfRule type="cellIs" dxfId="554" priority="23" stopIfTrue="1" operator="equal">
      <formula>"ERROR"</formula>
    </cfRule>
  </conditionalFormatting>
  <conditionalFormatting sqref="C35">
    <cfRule type="cellIs" dxfId="553" priority="24" stopIfTrue="1" operator="equal">
      <formula>"OK"</formula>
    </cfRule>
    <cfRule type="cellIs" dxfId="552" priority="25" stopIfTrue="1" operator="equal">
      <formula>"ERROR"</formula>
    </cfRule>
  </conditionalFormatting>
  <conditionalFormatting sqref="C19">
    <cfRule type="cellIs" dxfId="551" priority="26" stopIfTrue="1" operator="equal">
      <formula>"ERROR"</formula>
    </cfRule>
    <cfRule type="cellIs" dxfId="550" priority="27" stopIfTrue="1" operator="equal">
      <formula>"OK"</formula>
    </cfRule>
    <cfRule type="cellIs" dxfId="549" priority="28" stopIfTrue="1" operator="equal">
      <formula>"WARNING"</formula>
    </cfRule>
  </conditionalFormatting>
  <conditionalFormatting sqref="C20">
    <cfRule type="cellIs" dxfId="548" priority="19" stopIfTrue="1" operator="equal">
      <formula>"ERROR"</formula>
    </cfRule>
    <cfRule type="cellIs" dxfId="547" priority="20" stopIfTrue="1" operator="equal">
      <formula>"OK"</formula>
    </cfRule>
    <cfRule type="cellIs" dxfId="546" priority="21" stopIfTrue="1" operator="equal">
      <formula>"WARNING"</formula>
    </cfRule>
  </conditionalFormatting>
  <conditionalFormatting sqref="C21">
    <cfRule type="cellIs" dxfId="545" priority="16" stopIfTrue="1" operator="equal">
      <formula>"ERROR"</formula>
    </cfRule>
    <cfRule type="cellIs" dxfId="544" priority="17" stopIfTrue="1" operator="equal">
      <formula>"OK"</formula>
    </cfRule>
    <cfRule type="cellIs" dxfId="543" priority="18" stopIfTrue="1" operator="equal">
      <formula>"WARNING"</formula>
    </cfRule>
  </conditionalFormatting>
  <conditionalFormatting sqref="C24">
    <cfRule type="cellIs" dxfId="542" priority="29" stopIfTrue="1" operator="equal">
      <formula>"ERROR"</formula>
    </cfRule>
    <cfRule type="cellIs" dxfId="541" priority="30" stopIfTrue="1" operator="equal">
      <formula>"OK"</formula>
    </cfRule>
    <cfRule type="cellIs" dxfId="540" priority="31" stopIfTrue="1" operator="equal">
      <formula>"WARNING"</formula>
    </cfRule>
  </conditionalFormatting>
  <conditionalFormatting sqref="D6">
    <cfRule type="cellIs" dxfId="539" priority="32" stopIfTrue="1" operator="equal">
      <formula>"ERROR"</formula>
    </cfRule>
    <cfRule type="cellIs" dxfId="538" priority="33" stopIfTrue="1" operator="equal">
      <formula>"OK"</formula>
    </cfRule>
    <cfRule type="cellIs" dxfId="537" priority="34" stopIfTrue="1" operator="equal">
      <formula>"WARNING"</formula>
    </cfRule>
  </conditionalFormatting>
  <conditionalFormatting sqref="C28">
    <cfRule type="cellIs" dxfId="536" priority="13" stopIfTrue="1" operator="equal">
      <formula>"ERROR"</formula>
    </cfRule>
    <cfRule type="cellIs" dxfId="535" priority="14" stopIfTrue="1" operator="equal">
      <formula>"OK"</formula>
    </cfRule>
    <cfRule type="cellIs" dxfId="534" priority="15" stopIfTrue="1" operator="equal">
      <formula>"WARNING"</formula>
    </cfRule>
  </conditionalFormatting>
  <conditionalFormatting sqref="B10:C11">
    <cfRule type="cellIs" dxfId="533" priority="10" stopIfTrue="1" operator="equal">
      <formula>"ERROR"</formula>
    </cfRule>
    <cfRule type="cellIs" dxfId="532" priority="11" stopIfTrue="1" operator="equal">
      <formula>"OK"</formula>
    </cfRule>
    <cfRule type="cellIs" dxfId="531" priority="12" stopIfTrue="1" operator="equal">
      <formula>"WARNING"</formula>
    </cfRule>
  </conditionalFormatting>
  <conditionalFormatting sqref="C27">
    <cfRule type="cellIs" dxfId="530" priority="35" stopIfTrue="1" operator="equal">
      <formula>"ERROR"</formula>
    </cfRule>
    <cfRule type="cellIs" dxfId="529" priority="36" stopIfTrue="1" operator="equal">
      <formula>"OK"</formula>
    </cfRule>
    <cfRule type="cellIs" dxfId="528" priority="37" stopIfTrue="1" operator="equal">
      <formula>"WARNING"</formula>
    </cfRule>
  </conditionalFormatting>
  <conditionalFormatting sqref="C29">
    <cfRule type="cellIs" dxfId="527" priority="38" stopIfTrue="1" operator="equal">
      <formula>"ERROR"</formula>
    </cfRule>
    <cfRule type="cellIs" dxfId="526" priority="39" stopIfTrue="1" operator="equal">
      <formula>"OK"</formula>
    </cfRule>
    <cfRule type="cellIs" dxfId="525" priority="40" stopIfTrue="1" operator="equal">
      <formula>"WARNING"</formula>
    </cfRule>
  </conditionalFormatting>
  <conditionalFormatting sqref="C30">
    <cfRule type="cellIs" dxfId="524" priority="1" stopIfTrue="1" operator="equal">
      <formula>"ERROR"</formula>
    </cfRule>
    <cfRule type="cellIs" dxfId="523" priority="2" stopIfTrue="1" operator="equal">
      <formula>"OK"</formula>
    </cfRule>
    <cfRule type="cellIs" dxfId="522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tabSelected="1" topLeftCell="M54" zoomScaleNormal="100" workbookViewId="0">
      <selection activeCell="Q71" sqref="Q71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416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aca="1" ref="C4" ca="1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502</v>
      </c>
      <c r="C7" s="465"/>
      <c r="D7" s="350" t="str">
        <f>C24</f>
        <v>Ok</v>
      </c>
    </row>
    <row r="8" spans="2:43" x14ac:dyDescent="0.2">
      <c r="B8" s="465" t="s">
        <v>506</v>
      </c>
      <c r="C8" s="465"/>
      <c r="D8" s="350" t="str">
        <f>C36</f>
        <v>Ok</v>
      </c>
    </row>
    <row r="9" spans="2:43" x14ac:dyDescent="0.2">
      <c r="B9" s="465" t="s">
        <v>500</v>
      </c>
      <c r="C9" s="465"/>
      <c r="D9" s="350" t="str">
        <f>C48</f>
        <v>Ok</v>
      </c>
    </row>
    <row r="10" spans="2:43" x14ac:dyDescent="0.2">
      <c r="B10" s="465" t="s">
        <v>407</v>
      </c>
      <c r="C10" s="465"/>
      <c r="D10" s="350" t="str">
        <f ca="1">C60</f>
        <v>Ok</v>
      </c>
    </row>
    <row r="11" spans="2:43" x14ac:dyDescent="0.2">
      <c r="B11" s="465" t="s">
        <v>408</v>
      </c>
      <c r="C11" s="465"/>
      <c r="D11" s="350" t="str">
        <f>C75</f>
        <v>Ok</v>
      </c>
    </row>
    <row r="12" spans="2:43" x14ac:dyDescent="0.2">
      <c r="B12" s="465" t="s">
        <v>409</v>
      </c>
      <c r="C12" s="465"/>
      <c r="D12" s="350" t="str">
        <f>C90</f>
        <v>Ok</v>
      </c>
    </row>
    <row r="13" spans="2:43" x14ac:dyDescent="0.2">
      <c r="B13" s="465" t="s">
        <v>410</v>
      </c>
      <c r="C13" s="465"/>
      <c r="D13" s="350" t="str">
        <f>C105</f>
        <v>Ok</v>
      </c>
    </row>
    <row r="14" spans="2:43" x14ac:dyDescent="0.2">
      <c r="B14" s="465" t="s">
        <v>411</v>
      </c>
      <c r="C14" s="465"/>
      <c r="D14" s="350" t="str">
        <f>C119</f>
        <v>Ok</v>
      </c>
    </row>
    <row r="15" spans="2:43" x14ac:dyDescent="0.2">
      <c r="B15" s="465" t="s">
        <v>412</v>
      </c>
      <c r="C15" s="465"/>
      <c r="D15" s="350" t="str">
        <f>C164</f>
        <v>Ok</v>
      </c>
    </row>
    <row r="16" spans="2:43" x14ac:dyDescent="0.2">
      <c r="B16" s="465" t="s">
        <v>413</v>
      </c>
      <c r="C16" s="465"/>
      <c r="D16" s="350" t="str">
        <f>C191</f>
        <v>Ok</v>
      </c>
    </row>
    <row r="17" spans="2:7" x14ac:dyDescent="0.2">
      <c r="B17" s="465" t="s">
        <v>414</v>
      </c>
      <c r="C17" s="465"/>
      <c r="D17" s="350" t="str">
        <f>C207</f>
        <v>Ok</v>
      </c>
    </row>
    <row r="18" spans="2:7" x14ac:dyDescent="0.2">
      <c r="B18" s="465" t="s">
        <v>415</v>
      </c>
      <c r="C18" s="465"/>
      <c r="D18" s="350" t="str">
        <f>C222</f>
        <v>Ok</v>
      </c>
    </row>
    <row r="19" spans="2:7" x14ac:dyDescent="0.2">
      <c r="B19" s="465" t="s">
        <v>492</v>
      </c>
      <c r="C19" s="465"/>
      <c r="D19" s="350" t="str">
        <f>C236</f>
        <v>Ok</v>
      </c>
    </row>
    <row r="22" spans="2:7" ht="18.75" x14ac:dyDescent="0.3">
      <c r="B22" s="3" t="s">
        <v>502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506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500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36" x14ac:dyDescent="0.2">
      <c r="G49" s="349"/>
    </row>
    <row r="50" spans="2:36" ht="15.75" x14ac:dyDescent="0.25">
      <c r="B50" s="4" t="s">
        <v>109</v>
      </c>
      <c r="C50" s="357"/>
      <c r="D50" s="357"/>
      <c r="E50" s="357"/>
      <c r="F50" s="357"/>
      <c r="G50" s="357"/>
    </row>
    <row r="52" spans="2:36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36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36" x14ac:dyDescent="0.2">
      <c r="B54" s="140" t="s">
        <v>258</v>
      </c>
      <c r="C54" s="371">
        <f>EDATE(C53,3)</f>
        <v>44834</v>
      </c>
    </row>
    <row r="58" spans="2:36" ht="18.75" x14ac:dyDescent="0.3">
      <c r="B58" s="3" t="s">
        <v>407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36" x14ac:dyDescent="0.2">
      <c r="B60" s="59" t="s">
        <v>159</v>
      </c>
      <c r="C60" s="350" t="str" cm="1">
        <f t="array" aca="1" ref="C60" ca="1">_xll.d.TestUtils_And(G65,N65,W65,AJ65)</f>
        <v>Ok</v>
      </c>
    </row>
    <row r="61" spans="2:36" x14ac:dyDescent="0.2">
      <c r="G61" s="349"/>
    </row>
    <row r="62" spans="2:36" ht="15.75" x14ac:dyDescent="0.25">
      <c r="B62" s="4" t="s">
        <v>252</v>
      </c>
      <c r="C62" s="357"/>
      <c r="D62" s="357"/>
      <c r="E62" s="357"/>
      <c r="F62" s="357"/>
      <c r="G62" s="357"/>
      <c r="I62" s="4" t="s">
        <v>254</v>
      </c>
      <c r="J62" s="4"/>
      <c r="K62" s="357"/>
      <c r="L62" s="357"/>
      <c r="M62" s="357"/>
      <c r="N62" s="357"/>
      <c r="P62" s="4" t="s">
        <v>255</v>
      </c>
      <c r="Q62" s="357"/>
      <c r="R62" s="357"/>
      <c r="S62" s="357"/>
      <c r="T62" s="357"/>
      <c r="U62" s="357"/>
      <c r="V62" s="357"/>
      <c r="W62" s="357"/>
      <c r="Y62" s="4" t="s">
        <v>261</v>
      </c>
      <c r="Z62" s="357"/>
      <c r="AA62" s="357"/>
      <c r="AB62" s="357"/>
      <c r="AC62" s="357"/>
      <c r="AD62" s="357"/>
      <c r="AE62" s="357"/>
      <c r="AF62" s="357"/>
      <c r="AG62" s="357"/>
      <c r="AH62" s="357"/>
      <c r="AI62" s="357"/>
      <c r="AJ62" s="357"/>
    </row>
    <row r="63" spans="2:36" x14ac:dyDescent="0.2">
      <c r="G63" s="349"/>
    </row>
    <row r="64" spans="2:36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/>
      <c r="U64" s="134" t="s">
        <v>253</v>
      </c>
      <c r="V64" s="134"/>
      <c r="W64" s="134" t="s">
        <v>84</v>
      </c>
      <c r="Y64" s="134" t="s">
        <v>251</v>
      </c>
      <c r="Z64" s="135"/>
      <c r="AB64" s="134" t="s">
        <v>133</v>
      </c>
      <c r="AC64" s="134"/>
      <c r="AD64" s="134"/>
      <c r="AE64" s="134"/>
      <c r="AF64" s="134" t="s">
        <v>253</v>
      </c>
      <c r="AG64" s="134"/>
      <c r="AH64" s="134"/>
      <c r="AI64" s="134"/>
      <c r="AJ64" s="134" t="s">
        <v>84</v>
      </c>
    </row>
    <row r="65" spans="2:36" x14ac:dyDescent="0.2">
      <c r="B65" s="353" t="s">
        <v>34</v>
      </c>
      <c r="C65" s="354">
        <v>44742</v>
      </c>
      <c r="E65" s="358" cm="1">
        <f t="array" aca="1" ref="E65" ca="1">_xll.d.Dates_FolDay(C65,B67:B69)</f>
        <v>44743</v>
      </c>
      <c r="F65" s="359">
        <v>44743</v>
      </c>
      <c r="G65" s="360" t="str" cm="1">
        <f t="array" aca="1" ref="G65" ca="1">_xll.d.TestUtils_Equal(E65,F65)</f>
        <v>Ok</v>
      </c>
      <c r="I65" s="136" t="s">
        <v>34</v>
      </c>
      <c r="J65" s="351">
        <v>44728</v>
      </c>
      <c r="L65" s="358" cm="1">
        <f t="array" ref="L65">_xll.d.Dates_FolDay(J65,J66)</f>
        <v>44729</v>
      </c>
      <c r="M65" s="359">
        <v>44729</v>
      </c>
      <c r="N65" s="360" t="str" cm="1">
        <f t="array" ref="N65">_xll.d.TestUtils_Equal(L65,M65)</f>
        <v>Ok</v>
      </c>
      <c r="P65" s="136" t="s">
        <v>34</v>
      </c>
      <c r="Q65" s="351">
        <v>44746</v>
      </c>
      <c r="S65" s="602" cm="1">
        <f t="array" aca="1" ref="S65" ca="1">_xll.d.Dates_FolDay(Q65,Q66)</f>
        <v>44747</v>
      </c>
      <c r="T65" s="603"/>
      <c r="U65" s="603">
        <v>44747</v>
      </c>
      <c r="V65" s="603"/>
      <c r="W65" s="360" t="str" cm="1">
        <f t="array" aca="1" ref="W65" ca="1">_xll.d.TestUtils_Equal(S65,U65)</f>
        <v>Ok</v>
      </c>
      <c r="Y65" s="136" t="s">
        <v>34</v>
      </c>
      <c r="Z65" s="351">
        <v>44746</v>
      </c>
      <c r="AB65" s="602" t="str" cm="1">
        <f t="array" ref="AB65">_xll.d.Dates_FolDay(Z65,Z66)</f>
        <v>#∂Excel Error: Unsupported calendar: 'WRE'</v>
      </c>
      <c r="AC65" s="603"/>
      <c r="AD65" s="603"/>
      <c r="AE65" s="603"/>
      <c r="AF65" s="603" t="s">
        <v>503</v>
      </c>
      <c r="AG65" s="603"/>
      <c r="AH65" s="603"/>
      <c r="AI65" s="603"/>
      <c r="AJ65" s="360" t="str" cm="1">
        <f t="array" ref="AJ65">_xll.d.TestUtils_Equal(AB65,AF65)</f>
        <v>Ok</v>
      </c>
    </row>
    <row r="66" spans="2:36" x14ac:dyDescent="0.2">
      <c r="G66" s="349"/>
      <c r="I66" s="140" t="s">
        <v>240</v>
      </c>
      <c r="J66" s="141" t="s">
        <v>70</v>
      </c>
      <c r="P66" s="140" t="s">
        <v>240</v>
      </c>
      <c r="Q66" s="141" t="s">
        <v>256</v>
      </c>
      <c r="Y66" s="140" t="s">
        <v>240</v>
      </c>
      <c r="Z66" s="141" t="s">
        <v>262</v>
      </c>
    </row>
    <row r="67" spans="2:36" x14ac:dyDescent="0.2">
      <c r="B67" s="352" t="s">
        <v>250</v>
      </c>
      <c r="G67" s="349"/>
    </row>
    <row r="68" spans="2:36" x14ac:dyDescent="0.2">
      <c r="B68" s="361">
        <v>44742</v>
      </c>
    </row>
    <row r="69" spans="2:36" x14ac:dyDescent="0.2">
      <c r="B69" s="362">
        <v>44920</v>
      </c>
      <c r="G69" s="349"/>
      <c r="L69" s="348" t="s">
        <v>309</v>
      </c>
      <c r="M69" s="348" t="s">
        <v>350</v>
      </c>
      <c r="N69" s="348" t="s">
        <v>70</v>
      </c>
      <c r="P69" s="348" t="s">
        <v>512</v>
      </c>
      <c r="Q69" s="348" t="s">
        <v>513</v>
      </c>
      <c r="T69" s="626" cm="1">
        <f t="array" aca="1" ref="T69" ca="1">_xll.d.Dates_FolDay(Q65,P69:Q71)</f>
        <v>44746</v>
      </c>
    </row>
    <row r="70" spans="2:36" x14ac:dyDescent="0.2">
      <c r="G70" s="349"/>
      <c r="L70" s="626">
        <v>44927</v>
      </c>
      <c r="M70" s="626">
        <v>45111</v>
      </c>
      <c r="N70" s="626">
        <v>45093</v>
      </c>
      <c r="P70" s="626">
        <v>44562</v>
      </c>
      <c r="Q70" s="626">
        <v>44746</v>
      </c>
    </row>
    <row r="71" spans="2:36" x14ac:dyDescent="0.2">
      <c r="G71" s="349"/>
      <c r="L71" s="626">
        <v>44962</v>
      </c>
      <c r="M71" s="626"/>
      <c r="N71" s="626">
        <v>45147</v>
      </c>
      <c r="P71" s="626">
        <v>44597</v>
      </c>
      <c r="Q71" s="626"/>
    </row>
    <row r="72" spans="2:36" x14ac:dyDescent="0.2">
      <c r="G72" s="349"/>
      <c r="N72" s="626">
        <v>45193</v>
      </c>
    </row>
    <row r="73" spans="2:36" ht="18.75" x14ac:dyDescent="0.3">
      <c r="B73" s="3" t="s">
        <v>408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  <c r="AC73" s="356"/>
      <c r="AD73" s="356"/>
      <c r="AE73" s="356"/>
      <c r="AF73" s="356"/>
      <c r="AG73" s="356"/>
      <c r="AH73" s="356"/>
      <c r="AI73" s="356"/>
      <c r="AJ73" s="356"/>
    </row>
    <row r="75" spans="2:36" x14ac:dyDescent="0.2">
      <c r="B75" s="59" t="s">
        <v>159</v>
      </c>
      <c r="C75" s="350" t="str" cm="1">
        <f t="array" ref="C75">_xll.d.TestUtils_And(G80,N80,W80,AJ80)</f>
        <v>Ok</v>
      </c>
    </row>
    <row r="77" spans="2:36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36" x14ac:dyDescent="0.2">
      <c r="G78" s="349"/>
    </row>
    <row r="79" spans="2:36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36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503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409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503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410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503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504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411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505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412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503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413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414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415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492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21" priority="150" stopIfTrue="1" operator="equal">
      <formula>"ERROR"</formula>
    </cfRule>
    <cfRule type="cellIs" dxfId="520" priority="151" stopIfTrue="1" operator="equal">
      <formula>"OK"</formula>
    </cfRule>
    <cfRule type="cellIs" dxfId="519" priority="152" stopIfTrue="1" operator="equal">
      <formula>"WARNING"</formula>
    </cfRule>
  </conditionalFormatting>
  <conditionalFormatting sqref="C4">
    <cfRule type="cellIs" dxfId="518" priority="124" stopIfTrue="1" operator="equal">
      <formula>"ERROR"</formula>
    </cfRule>
    <cfRule type="cellIs" dxfId="517" priority="125" stopIfTrue="1" operator="equal">
      <formula>"OK"</formula>
    </cfRule>
    <cfRule type="cellIs" dxfId="516" priority="126" stopIfTrue="1" operator="equal">
      <formula>"WARNING"</formula>
    </cfRule>
  </conditionalFormatting>
  <conditionalFormatting sqref="C60">
    <cfRule type="cellIs" dxfId="515" priority="118" stopIfTrue="1" operator="equal">
      <formula>"ERROR"</formula>
    </cfRule>
  </conditionalFormatting>
  <conditionalFormatting sqref="C60">
    <cfRule type="cellIs" dxfId="514" priority="119" stopIfTrue="1" operator="equal">
      <formula>"OK"</formula>
    </cfRule>
  </conditionalFormatting>
  <conditionalFormatting sqref="C60">
    <cfRule type="cellIs" dxfId="513" priority="120" stopIfTrue="1" operator="equal">
      <formula>"WARNING"</formula>
    </cfRule>
  </conditionalFormatting>
  <conditionalFormatting sqref="G65">
    <cfRule type="cellIs" dxfId="512" priority="153" stopIfTrue="1" operator="equal">
      <formula>"ERROR"</formula>
    </cfRule>
    <cfRule type="cellIs" dxfId="511" priority="154" stopIfTrue="1" operator="equal">
      <formula>"OK"</formula>
    </cfRule>
    <cfRule type="cellIs" dxfId="510" priority="155" stopIfTrue="1" operator="equal">
      <formula>"WARNING"</formula>
    </cfRule>
  </conditionalFormatting>
  <conditionalFormatting sqref="N65">
    <cfRule type="cellIs" dxfId="509" priority="115" stopIfTrue="1" operator="equal">
      <formula>"ERROR"</formula>
    </cfRule>
    <cfRule type="cellIs" dxfId="508" priority="116" stopIfTrue="1" operator="equal">
      <formula>"OK"</formula>
    </cfRule>
    <cfRule type="cellIs" dxfId="507" priority="117" stopIfTrue="1" operator="equal">
      <formula>"WARNING"</formula>
    </cfRule>
  </conditionalFormatting>
  <conditionalFormatting sqref="W65">
    <cfRule type="cellIs" dxfId="506" priority="112" stopIfTrue="1" operator="equal">
      <formula>"ERROR"</formula>
    </cfRule>
    <cfRule type="cellIs" dxfId="505" priority="113" stopIfTrue="1" operator="equal">
      <formula>"OK"</formula>
    </cfRule>
    <cfRule type="cellIs" dxfId="504" priority="114" stopIfTrue="1" operator="equal">
      <formula>"WARNING"</formula>
    </cfRule>
  </conditionalFormatting>
  <conditionalFormatting sqref="G169:G177">
    <cfRule type="cellIs" dxfId="503" priority="156" stopIfTrue="1" operator="equal">
      <formula>"ERROR"</formula>
    </cfRule>
    <cfRule type="cellIs" dxfId="502" priority="157" stopIfTrue="1" operator="equal">
      <formula>"OK"</formula>
    </cfRule>
    <cfRule type="cellIs" dxfId="501" priority="158" stopIfTrue="1" operator="equal">
      <formula>"WARNING"</formula>
    </cfRule>
  </conditionalFormatting>
  <conditionalFormatting sqref="C164">
    <cfRule type="cellIs" dxfId="500" priority="109" stopIfTrue="1" operator="equal">
      <formula>"ERROR"</formula>
    </cfRule>
  </conditionalFormatting>
  <conditionalFormatting sqref="C164">
    <cfRule type="cellIs" dxfId="499" priority="110" stopIfTrue="1" operator="equal">
      <formula>"OK"</formula>
    </cfRule>
  </conditionalFormatting>
  <conditionalFormatting sqref="C164">
    <cfRule type="cellIs" dxfId="498" priority="111" stopIfTrue="1" operator="equal">
      <formula>"WARNING"</formula>
    </cfRule>
  </conditionalFormatting>
  <conditionalFormatting sqref="N169:N186">
    <cfRule type="cellIs" dxfId="497" priority="106" stopIfTrue="1" operator="equal">
      <formula>"ERROR"</formula>
    </cfRule>
    <cfRule type="cellIs" dxfId="496" priority="107" stopIfTrue="1" operator="equal">
      <formula>"OK"</formula>
    </cfRule>
    <cfRule type="cellIs" dxfId="495" priority="108" stopIfTrue="1" operator="equal">
      <formula>"WARNING"</formula>
    </cfRule>
  </conditionalFormatting>
  <conditionalFormatting sqref="AJ65">
    <cfRule type="cellIs" dxfId="494" priority="103" stopIfTrue="1" operator="equal">
      <formula>"ERROR"</formula>
    </cfRule>
    <cfRule type="cellIs" dxfId="493" priority="104" stopIfTrue="1" operator="equal">
      <formula>"OK"</formula>
    </cfRule>
    <cfRule type="cellIs" dxfId="492" priority="105" stopIfTrue="1" operator="equal">
      <formula>"WARNING"</formula>
    </cfRule>
  </conditionalFormatting>
  <conditionalFormatting sqref="C75">
    <cfRule type="cellIs" dxfId="491" priority="97" stopIfTrue="1" operator="equal">
      <formula>"ERROR"</formula>
    </cfRule>
  </conditionalFormatting>
  <conditionalFormatting sqref="C75">
    <cfRule type="cellIs" dxfId="490" priority="98" stopIfTrue="1" operator="equal">
      <formula>"OK"</formula>
    </cfRule>
  </conditionalFormatting>
  <conditionalFormatting sqref="C75">
    <cfRule type="cellIs" dxfId="489" priority="99" stopIfTrue="1" operator="equal">
      <formula>"WARNING"</formula>
    </cfRule>
  </conditionalFormatting>
  <conditionalFormatting sqref="G80">
    <cfRule type="cellIs" dxfId="488" priority="100" stopIfTrue="1" operator="equal">
      <formula>"ERROR"</formula>
    </cfRule>
    <cfRule type="cellIs" dxfId="487" priority="101" stopIfTrue="1" operator="equal">
      <formula>"OK"</formula>
    </cfRule>
    <cfRule type="cellIs" dxfId="486" priority="102" stopIfTrue="1" operator="equal">
      <formula>"WARNING"</formula>
    </cfRule>
  </conditionalFormatting>
  <conditionalFormatting sqref="N80">
    <cfRule type="cellIs" dxfId="485" priority="94" stopIfTrue="1" operator="equal">
      <formula>"ERROR"</formula>
    </cfRule>
    <cfRule type="cellIs" dxfId="484" priority="95" stopIfTrue="1" operator="equal">
      <formula>"OK"</formula>
    </cfRule>
    <cfRule type="cellIs" dxfId="483" priority="96" stopIfTrue="1" operator="equal">
      <formula>"WARNING"</formula>
    </cfRule>
  </conditionalFormatting>
  <conditionalFormatting sqref="W80">
    <cfRule type="cellIs" dxfId="482" priority="91" stopIfTrue="1" operator="equal">
      <formula>"ERROR"</formula>
    </cfRule>
    <cfRule type="cellIs" dxfId="481" priority="92" stopIfTrue="1" operator="equal">
      <formula>"OK"</formula>
    </cfRule>
    <cfRule type="cellIs" dxfId="480" priority="93" stopIfTrue="1" operator="equal">
      <formula>"WARNING"</formula>
    </cfRule>
  </conditionalFormatting>
  <conditionalFormatting sqref="AJ80">
    <cfRule type="cellIs" dxfId="479" priority="88" stopIfTrue="1" operator="equal">
      <formula>"ERROR"</formula>
    </cfRule>
    <cfRule type="cellIs" dxfId="478" priority="89" stopIfTrue="1" operator="equal">
      <formula>"OK"</formula>
    </cfRule>
    <cfRule type="cellIs" dxfId="477" priority="90" stopIfTrue="1" operator="equal">
      <formula>"WARNING"</formula>
    </cfRule>
  </conditionalFormatting>
  <conditionalFormatting sqref="C90">
    <cfRule type="cellIs" dxfId="476" priority="82" stopIfTrue="1" operator="equal">
      <formula>"ERROR"</formula>
    </cfRule>
  </conditionalFormatting>
  <conditionalFormatting sqref="C90">
    <cfRule type="cellIs" dxfId="475" priority="83" stopIfTrue="1" operator="equal">
      <formula>"OK"</formula>
    </cfRule>
  </conditionalFormatting>
  <conditionalFormatting sqref="C90">
    <cfRule type="cellIs" dxfId="474" priority="84" stopIfTrue="1" operator="equal">
      <formula>"WARNING"</formula>
    </cfRule>
  </conditionalFormatting>
  <conditionalFormatting sqref="G95">
    <cfRule type="cellIs" dxfId="473" priority="85" stopIfTrue="1" operator="equal">
      <formula>"ERROR"</formula>
    </cfRule>
    <cfRule type="cellIs" dxfId="472" priority="86" stopIfTrue="1" operator="equal">
      <formula>"OK"</formula>
    </cfRule>
    <cfRule type="cellIs" dxfId="471" priority="87" stopIfTrue="1" operator="equal">
      <formula>"WARNING"</formula>
    </cfRule>
  </conditionalFormatting>
  <conditionalFormatting sqref="N95">
    <cfRule type="cellIs" dxfId="470" priority="79" stopIfTrue="1" operator="equal">
      <formula>"ERROR"</formula>
    </cfRule>
    <cfRule type="cellIs" dxfId="469" priority="80" stopIfTrue="1" operator="equal">
      <formula>"OK"</formula>
    </cfRule>
    <cfRule type="cellIs" dxfId="468" priority="81" stopIfTrue="1" operator="equal">
      <formula>"WARNING"</formula>
    </cfRule>
  </conditionalFormatting>
  <conditionalFormatting sqref="W95">
    <cfRule type="cellIs" dxfId="467" priority="76" stopIfTrue="1" operator="equal">
      <formula>"ERROR"</formula>
    </cfRule>
    <cfRule type="cellIs" dxfId="466" priority="77" stopIfTrue="1" operator="equal">
      <formula>"OK"</formula>
    </cfRule>
    <cfRule type="cellIs" dxfId="465" priority="78" stopIfTrue="1" operator="equal">
      <formula>"WARNING"</formula>
    </cfRule>
  </conditionalFormatting>
  <conditionalFormatting sqref="AJ95">
    <cfRule type="cellIs" dxfId="464" priority="73" stopIfTrue="1" operator="equal">
      <formula>"ERROR"</formula>
    </cfRule>
    <cfRule type="cellIs" dxfId="463" priority="74" stopIfTrue="1" operator="equal">
      <formula>"OK"</formula>
    </cfRule>
    <cfRule type="cellIs" dxfId="462" priority="75" stopIfTrue="1" operator="equal">
      <formula>"WARNING"</formula>
    </cfRule>
  </conditionalFormatting>
  <conditionalFormatting sqref="G110">
    <cfRule type="cellIs" dxfId="461" priority="67" stopIfTrue="1" operator="equal">
      <formula>"ERROR"</formula>
    </cfRule>
    <cfRule type="cellIs" dxfId="460" priority="68" stopIfTrue="1" operator="equal">
      <formula>"OK"</formula>
    </cfRule>
    <cfRule type="cellIs" dxfId="459" priority="69" stopIfTrue="1" operator="equal">
      <formula>"WARNING"</formula>
    </cfRule>
  </conditionalFormatting>
  <conditionalFormatting sqref="C105">
    <cfRule type="cellIs" dxfId="458" priority="64" stopIfTrue="1" operator="equal">
      <formula>"ERROR"</formula>
    </cfRule>
  </conditionalFormatting>
  <conditionalFormatting sqref="C105">
    <cfRule type="cellIs" dxfId="457" priority="65" stopIfTrue="1" operator="equal">
      <formula>"OK"</formula>
    </cfRule>
  </conditionalFormatting>
  <conditionalFormatting sqref="C105">
    <cfRule type="cellIs" dxfId="456" priority="66" stopIfTrue="1" operator="equal">
      <formula>"WARNING"</formula>
    </cfRule>
  </conditionalFormatting>
  <conditionalFormatting sqref="O110">
    <cfRule type="cellIs" dxfId="455" priority="61" stopIfTrue="1" operator="equal">
      <formula>"ERROR"</formula>
    </cfRule>
    <cfRule type="cellIs" dxfId="454" priority="62" stopIfTrue="1" operator="equal">
      <formula>"OK"</formula>
    </cfRule>
    <cfRule type="cellIs" dxfId="453" priority="63" stopIfTrue="1" operator="equal">
      <formula>"WARNING"</formula>
    </cfRule>
  </conditionalFormatting>
  <conditionalFormatting sqref="AC110">
    <cfRule type="cellIs" dxfId="452" priority="58" stopIfTrue="1" operator="equal">
      <formula>"ERROR"</formula>
    </cfRule>
    <cfRule type="cellIs" dxfId="451" priority="59" stopIfTrue="1" operator="equal">
      <formula>"OK"</formula>
    </cfRule>
    <cfRule type="cellIs" dxfId="450" priority="60" stopIfTrue="1" operator="equal">
      <formula>"WARNING"</formula>
    </cfRule>
  </conditionalFormatting>
  <conditionalFormatting sqref="AS110">
    <cfRule type="cellIs" dxfId="449" priority="55" stopIfTrue="1" operator="equal">
      <formula>"ERROR"</formula>
    </cfRule>
    <cfRule type="cellIs" dxfId="448" priority="56" stopIfTrue="1" operator="equal">
      <formula>"OK"</formula>
    </cfRule>
    <cfRule type="cellIs" dxfId="447" priority="57" stopIfTrue="1" operator="equal">
      <formula>"WARNING"</formula>
    </cfRule>
  </conditionalFormatting>
  <conditionalFormatting sqref="AA169">
    <cfRule type="cellIs" dxfId="446" priority="52" stopIfTrue="1" operator="equal">
      <formula>"ERROR"</formula>
    </cfRule>
    <cfRule type="cellIs" dxfId="445" priority="53" stopIfTrue="1" operator="equal">
      <formula>"OK"</formula>
    </cfRule>
    <cfRule type="cellIs" dxfId="444" priority="54" stopIfTrue="1" operator="equal">
      <formula>"WARNING"</formula>
    </cfRule>
  </conditionalFormatting>
  <conditionalFormatting sqref="C207">
    <cfRule type="cellIs" dxfId="443" priority="49" stopIfTrue="1" operator="equal">
      <formula>"ERROR"</formula>
    </cfRule>
  </conditionalFormatting>
  <conditionalFormatting sqref="C207">
    <cfRule type="cellIs" dxfId="442" priority="50" stopIfTrue="1" operator="equal">
      <formula>"OK"</formula>
    </cfRule>
  </conditionalFormatting>
  <conditionalFormatting sqref="C207">
    <cfRule type="cellIs" dxfId="441" priority="51" stopIfTrue="1" operator="equal">
      <formula>"WARNING"</formula>
    </cfRule>
  </conditionalFormatting>
  <conditionalFormatting sqref="H212:I216">
    <cfRule type="cellIs" dxfId="440" priority="159" stopIfTrue="1" operator="equal">
      <formula>"ERROR"</formula>
    </cfRule>
  </conditionalFormatting>
  <conditionalFormatting sqref="H212:I216">
    <cfRule type="cellIs" dxfId="439" priority="160" stopIfTrue="1" operator="equal">
      <formula>"OK"</formula>
    </cfRule>
  </conditionalFormatting>
  <conditionalFormatting sqref="H212:I216">
    <cfRule type="cellIs" dxfId="438" priority="161" stopIfTrue="1" operator="equal">
      <formula>"WARNING"</formula>
    </cfRule>
  </conditionalFormatting>
  <conditionalFormatting sqref="D15:D16">
    <cfRule type="cellIs" dxfId="437" priority="162" stopIfTrue="1" operator="equal">
      <formula>"ERROR"</formula>
    </cfRule>
    <cfRule type="cellIs" dxfId="436" priority="163" stopIfTrue="1" operator="equal">
      <formula>"OK"</formula>
    </cfRule>
    <cfRule type="cellIs" dxfId="435" priority="164" stopIfTrue="1" operator="equal">
      <formula>"WARNING"</formula>
    </cfRule>
  </conditionalFormatting>
  <conditionalFormatting sqref="D17:D18">
    <cfRule type="cellIs" dxfId="434" priority="165" stopIfTrue="1" operator="equal">
      <formula>"ERROR"</formula>
    </cfRule>
    <cfRule type="cellIs" dxfId="433" priority="166" stopIfTrue="1" operator="equal">
      <formula>"OK"</formula>
    </cfRule>
    <cfRule type="cellIs" dxfId="432" priority="167" stopIfTrue="1" operator="equal">
      <formula>"WARNING"</formula>
    </cfRule>
  </conditionalFormatting>
  <conditionalFormatting sqref="C222">
    <cfRule type="cellIs" dxfId="431" priority="43" stopIfTrue="1" operator="equal">
      <formula>"ERROR"</formula>
    </cfRule>
  </conditionalFormatting>
  <conditionalFormatting sqref="C222">
    <cfRule type="cellIs" dxfId="430" priority="44" stopIfTrue="1" operator="equal">
      <formula>"OK"</formula>
    </cfRule>
  </conditionalFormatting>
  <conditionalFormatting sqref="C222">
    <cfRule type="cellIs" dxfId="429" priority="45" stopIfTrue="1" operator="equal">
      <formula>"WARNING"</formula>
    </cfRule>
  </conditionalFormatting>
  <conditionalFormatting sqref="L227:O231">
    <cfRule type="cellIs" dxfId="428" priority="46" stopIfTrue="1" operator="equal">
      <formula>"ERROR"</formula>
    </cfRule>
  </conditionalFormatting>
  <conditionalFormatting sqref="L227:O231">
    <cfRule type="cellIs" dxfId="427" priority="47" stopIfTrue="1" operator="equal">
      <formula>"OK"</formula>
    </cfRule>
  </conditionalFormatting>
  <conditionalFormatting sqref="L227:O231">
    <cfRule type="cellIs" dxfId="426" priority="48" stopIfTrue="1" operator="equal">
      <formula>"WARNING"</formula>
    </cfRule>
  </conditionalFormatting>
  <conditionalFormatting sqref="C119">
    <cfRule type="cellIs" dxfId="425" priority="40" stopIfTrue="1" operator="equal">
      <formula>"ERROR"</formula>
    </cfRule>
  </conditionalFormatting>
  <conditionalFormatting sqref="C119">
    <cfRule type="cellIs" dxfId="424" priority="41" stopIfTrue="1" operator="equal">
      <formula>"OK"</formula>
    </cfRule>
  </conditionalFormatting>
  <conditionalFormatting sqref="C119">
    <cfRule type="cellIs" dxfId="423" priority="42" stopIfTrue="1" operator="equal">
      <formula>"WARNING"</formula>
    </cfRule>
  </conditionalFormatting>
  <conditionalFormatting sqref="L124:O158">
    <cfRule type="cellIs" dxfId="422" priority="168" stopIfTrue="1" operator="equal">
      <formula>"ERROR"</formula>
    </cfRule>
  </conditionalFormatting>
  <conditionalFormatting sqref="L124:O158">
    <cfRule type="cellIs" dxfId="421" priority="169" stopIfTrue="1" operator="equal">
      <formula>"OK"</formula>
    </cfRule>
  </conditionalFormatting>
  <conditionalFormatting sqref="L124:O158">
    <cfRule type="cellIs" dxfId="420" priority="170" stopIfTrue="1" operator="equal">
      <formula>"WARNING"</formula>
    </cfRule>
  </conditionalFormatting>
  <conditionalFormatting sqref="C191">
    <cfRule type="cellIs" dxfId="419" priority="37" stopIfTrue="1" operator="equal">
      <formula>"ERROR"</formula>
    </cfRule>
  </conditionalFormatting>
  <conditionalFormatting sqref="C191">
    <cfRule type="cellIs" dxfId="418" priority="38" stopIfTrue="1" operator="equal">
      <formula>"OK"</formula>
    </cfRule>
  </conditionalFormatting>
  <conditionalFormatting sqref="C191">
    <cfRule type="cellIs" dxfId="417" priority="39" stopIfTrue="1" operator="equal">
      <formula>"WARNING"</formula>
    </cfRule>
  </conditionalFormatting>
  <conditionalFormatting sqref="G196:G200">
    <cfRule type="cellIs" dxfId="416" priority="171" stopIfTrue="1" operator="equal">
      <formula>"ERROR"</formula>
    </cfRule>
  </conditionalFormatting>
  <conditionalFormatting sqref="G196:G200">
    <cfRule type="cellIs" dxfId="415" priority="172" stopIfTrue="1" operator="equal">
      <formula>"OK"</formula>
    </cfRule>
  </conditionalFormatting>
  <conditionalFormatting sqref="G196:G200">
    <cfRule type="cellIs" dxfId="414" priority="173" stopIfTrue="1" operator="equal">
      <formula>"WARNING"</formula>
    </cfRule>
  </conditionalFormatting>
  <conditionalFormatting sqref="N196:N200">
    <cfRule type="cellIs" dxfId="413" priority="34" stopIfTrue="1" operator="equal">
      <formula>"ERROR"</formula>
    </cfRule>
  </conditionalFormatting>
  <conditionalFormatting sqref="N196:N200">
    <cfRule type="cellIs" dxfId="412" priority="35" stopIfTrue="1" operator="equal">
      <formula>"OK"</formula>
    </cfRule>
  </conditionalFormatting>
  <conditionalFormatting sqref="N196:N200">
    <cfRule type="cellIs" dxfId="411" priority="36" stopIfTrue="1" operator="equal">
      <formula>"WARNING"</formula>
    </cfRule>
  </conditionalFormatting>
  <conditionalFormatting sqref="U196:U200">
    <cfRule type="cellIs" dxfId="410" priority="31" stopIfTrue="1" operator="equal">
      <formula>"ERROR"</formula>
    </cfRule>
  </conditionalFormatting>
  <conditionalFormatting sqref="U196:U200">
    <cfRule type="cellIs" dxfId="409" priority="32" stopIfTrue="1" operator="equal">
      <formula>"OK"</formula>
    </cfRule>
  </conditionalFormatting>
  <conditionalFormatting sqref="U196:U200">
    <cfRule type="cellIs" dxfId="408" priority="33" stopIfTrue="1" operator="equal">
      <formula>"WARNING"</formula>
    </cfRule>
  </conditionalFormatting>
  <conditionalFormatting sqref="AI196">
    <cfRule type="cellIs" dxfId="407" priority="28" stopIfTrue="1" operator="equal">
      <formula>"ERROR"</formula>
    </cfRule>
  </conditionalFormatting>
  <conditionalFormatting sqref="AI196">
    <cfRule type="cellIs" dxfId="406" priority="29" stopIfTrue="1" operator="equal">
      <formula>"OK"</formula>
    </cfRule>
  </conditionalFormatting>
  <conditionalFormatting sqref="AI196">
    <cfRule type="cellIs" dxfId="405" priority="30" stopIfTrue="1" operator="equal">
      <formula>"WARNING"</formula>
    </cfRule>
  </conditionalFormatting>
  <conditionalFormatting sqref="C236">
    <cfRule type="cellIs" dxfId="404" priority="25" stopIfTrue="1" operator="equal">
      <formula>"ERROR"</formula>
    </cfRule>
  </conditionalFormatting>
  <conditionalFormatting sqref="C236">
    <cfRule type="cellIs" dxfId="403" priority="26" stopIfTrue="1" operator="equal">
      <formula>"OK"</formula>
    </cfRule>
  </conditionalFormatting>
  <conditionalFormatting sqref="C236">
    <cfRule type="cellIs" dxfId="402" priority="27" stopIfTrue="1" operator="equal">
      <formula>"WARNING"</formula>
    </cfRule>
  </conditionalFormatting>
  <conditionalFormatting sqref="E241:E247">
    <cfRule type="cellIs" dxfId="401" priority="174" stopIfTrue="1" operator="equal">
      <formula>"ERROR"</formula>
    </cfRule>
  </conditionalFormatting>
  <conditionalFormatting sqref="E241:E247">
    <cfRule type="cellIs" dxfId="400" priority="175" stopIfTrue="1" operator="equal">
      <formula>"OK"</formula>
    </cfRule>
  </conditionalFormatting>
  <conditionalFormatting sqref="E241:E247">
    <cfRule type="cellIs" dxfId="399" priority="176" stopIfTrue="1" operator="equal">
      <formula>"WARNING"</formula>
    </cfRule>
  </conditionalFormatting>
  <conditionalFormatting sqref="D19">
    <cfRule type="cellIs" dxfId="398" priority="22" stopIfTrue="1" operator="equal">
      <formula>"ERROR"</formula>
    </cfRule>
    <cfRule type="cellIs" dxfId="397" priority="23" stopIfTrue="1" operator="equal">
      <formula>"OK"</formula>
    </cfRule>
    <cfRule type="cellIs" dxfId="396" priority="24" stopIfTrue="1" operator="equal">
      <formula>"WARNING"</formula>
    </cfRule>
  </conditionalFormatting>
  <conditionalFormatting sqref="C48">
    <cfRule type="cellIs" dxfId="395" priority="19" stopIfTrue="1" operator="equal">
      <formula>"ERROR"</formula>
    </cfRule>
  </conditionalFormatting>
  <conditionalFormatting sqref="C48">
    <cfRule type="cellIs" dxfId="394" priority="20" stopIfTrue="1" operator="equal">
      <formula>"OK"</formula>
    </cfRule>
  </conditionalFormatting>
  <conditionalFormatting sqref="C48">
    <cfRule type="cellIs" dxfId="393" priority="21" stopIfTrue="1" operator="equal">
      <formula>"WARNING"</formula>
    </cfRule>
  </conditionalFormatting>
  <conditionalFormatting sqref="G53">
    <cfRule type="cellIs" dxfId="392" priority="16" stopIfTrue="1" operator="equal">
      <formula>"ERROR"</formula>
    </cfRule>
    <cfRule type="cellIs" dxfId="391" priority="17" stopIfTrue="1" operator="equal">
      <formula>"OK"</formula>
    </cfRule>
    <cfRule type="cellIs" dxfId="390" priority="18" stopIfTrue="1" operator="equal">
      <formula>"WARNING"</formula>
    </cfRule>
  </conditionalFormatting>
  <conditionalFormatting sqref="C24">
    <cfRule type="cellIs" dxfId="389" priority="13" stopIfTrue="1" operator="equal">
      <formula>"ERROR"</formula>
    </cfRule>
  </conditionalFormatting>
  <conditionalFormatting sqref="C24">
    <cfRule type="cellIs" dxfId="388" priority="14" stopIfTrue="1" operator="equal">
      <formula>"OK"</formula>
    </cfRule>
  </conditionalFormatting>
  <conditionalFormatting sqref="C24">
    <cfRule type="cellIs" dxfId="387" priority="15" stopIfTrue="1" operator="equal">
      <formula>"WARNING"</formula>
    </cfRule>
  </conditionalFormatting>
  <conditionalFormatting sqref="G29">
    <cfRule type="cellIs" dxfId="386" priority="10" stopIfTrue="1" operator="equal">
      <formula>"ERROR"</formula>
    </cfRule>
    <cfRule type="cellIs" dxfId="385" priority="11" stopIfTrue="1" operator="equal">
      <formula>"OK"</formula>
    </cfRule>
    <cfRule type="cellIs" dxfId="384" priority="12" stopIfTrue="1" operator="equal">
      <formula>"WARNING"</formula>
    </cfRule>
  </conditionalFormatting>
  <conditionalFormatting sqref="D7:D9">
    <cfRule type="cellIs" dxfId="383" priority="7" stopIfTrue="1" operator="equal">
      <formula>"ERROR"</formula>
    </cfRule>
    <cfRule type="cellIs" dxfId="382" priority="8" stopIfTrue="1" operator="equal">
      <formula>"OK"</formula>
    </cfRule>
    <cfRule type="cellIs" dxfId="381" priority="9" stopIfTrue="1" operator="equal">
      <formula>"WARNING"</formula>
    </cfRule>
  </conditionalFormatting>
  <conditionalFormatting sqref="C36">
    <cfRule type="cellIs" dxfId="380" priority="4" stopIfTrue="1" operator="equal">
      <formula>"ERROR"</formula>
    </cfRule>
  </conditionalFormatting>
  <conditionalFormatting sqref="C36">
    <cfRule type="cellIs" dxfId="379" priority="5" stopIfTrue="1" operator="equal">
      <formula>"OK"</formula>
    </cfRule>
  </conditionalFormatting>
  <conditionalFormatting sqref="C36">
    <cfRule type="cellIs" dxfId="378" priority="6" stopIfTrue="1" operator="equal">
      <formula>"WARNING"</formula>
    </cfRule>
  </conditionalFormatting>
  <conditionalFormatting sqref="G41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zoomScaleNormal="100" workbookViewId="0">
      <selection activeCell="E24" sqref="E24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58" t="s">
        <v>416</v>
      </c>
    </row>
    <row r="2" spans="1:61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1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61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61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61" x14ac:dyDescent="0.25">
      <c r="B8" s="457" t="s">
        <v>382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61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1" x14ac:dyDescent="0.25">
      <c r="B13" s="59" t="s">
        <v>159</v>
      </c>
      <c r="C13" s="350" t="str" cm="1">
        <f t="array" ref="C13">_xll.d.TestUtils_And(H18,P18,Y18,AG18,AO18,AW18,BE18)</f>
        <v>Ok</v>
      </c>
      <c r="D13" s="348"/>
      <c r="E13" s="348"/>
      <c r="F13" s="348"/>
      <c r="G13" s="348"/>
    </row>
    <row r="14" spans="1:61" x14ac:dyDescent="0.25">
      <c r="B14" s="348"/>
      <c r="C14" s="348"/>
      <c r="D14" s="348"/>
      <c r="E14" s="348"/>
      <c r="F14" s="348"/>
      <c r="G14" s="349"/>
    </row>
    <row r="15" spans="1:61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375</v>
      </c>
      <c r="AJ15" s="357"/>
      <c r="AK15" s="357"/>
      <c r="AL15" s="357"/>
      <c r="AM15" s="357"/>
      <c r="AN15" s="357"/>
      <c r="AO15" s="357"/>
      <c r="AQ15" s="4" t="s">
        <v>388</v>
      </c>
      <c r="AR15" s="357"/>
      <c r="AS15" s="357"/>
      <c r="AT15" s="357"/>
      <c r="AU15" s="357"/>
      <c r="AV15" s="357"/>
      <c r="AW15" s="357"/>
      <c r="AY15" s="4" t="s">
        <v>389</v>
      </c>
      <c r="AZ15" s="357"/>
      <c r="BA15" s="357"/>
      <c r="BB15" s="357"/>
      <c r="BC15" s="357"/>
      <c r="BD15" s="357"/>
      <c r="BE15" s="357"/>
    </row>
    <row r="16" spans="1:61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9"/>
      <c r="AQ16" s="348"/>
      <c r="AR16" s="348"/>
      <c r="AS16" s="348"/>
      <c r="AT16" s="348"/>
      <c r="AU16" s="348"/>
      <c r="AV16" s="349"/>
      <c r="AY16" s="348"/>
      <c r="AZ16" s="348"/>
      <c r="BA16" s="348"/>
      <c r="BB16" s="348"/>
      <c r="BC16" s="348"/>
      <c r="BD16" s="349"/>
    </row>
    <row r="17" spans="1:61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 t="s">
        <v>253</v>
      </c>
      <c r="AO17" s="134" t="s">
        <v>84</v>
      </c>
      <c r="AQ17" s="134" t="s">
        <v>251</v>
      </c>
      <c r="AR17" s="206"/>
      <c r="AS17" s="135"/>
      <c r="AU17" s="134" t="s">
        <v>133</v>
      </c>
      <c r="AV17" s="134" t="s">
        <v>253</v>
      </c>
      <c r="AW17" s="134" t="s">
        <v>84</v>
      </c>
      <c r="AY17" s="134" t="s">
        <v>251</v>
      </c>
      <c r="AZ17" s="206"/>
      <c r="BA17" s="135"/>
      <c r="BC17" s="134" t="s">
        <v>133</v>
      </c>
      <c r="BD17" s="134" t="s">
        <v>253</v>
      </c>
      <c r="BE17" s="134" t="s">
        <v>84</v>
      </c>
    </row>
    <row r="18" spans="1:61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375" t="str" cm="1">
        <f t="array" ref="AM18">_xll.d.Math_Interpolate(AI19,AJ19:AJ20,AK19,"linear")</f>
        <v>#∂Excel Error: Row dimensions do not match or there is more than one column in x or y.</v>
      </c>
      <c r="AN18" s="376" t="s">
        <v>374</v>
      </c>
      <c r="AO18" s="360" t="str" cm="1">
        <f t="array" ref="AO18">_xll.d.TestUtils_Equal(AM18,AN18)</f>
        <v>Ok</v>
      </c>
      <c r="AQ18" s="372" t="s">
        <v>367</v>
      </c>
      <c r="AR18" s="373" t="s">
        <v>368</v>
      </c>
      <c r="AS18" s="133" t="s">
        <v>369</v>
      </c>
      <c r="AU18" s="375" t="str" cm="1">
        <f t="array" ref="AU18">_xll.d.Math_Interpolate(AQ19:AR20,AR19:AR20,AS19,"linear")</f>
        <v>#∂Excel Error: Row dimensions do not match or there is more than one column in x or y.</v>
      </c>
      <c r="AV18" s="376" t="s">
        <v>374</v>
      </c>
      <c r="AW18" s="360" t="str" cm="1">
        <f t="array" ref="AW18">_xll.d.TestUtils_Equal(AU18,AV18)</f>
        <v>Ok</v>
      </c>
      <c r="AY18" s="372" t="s">
        <v>367</v>
      </c>
      <c r="AZ18" s="373" t="s">
        <v>368</v>
      </c>
      <c r="BA18" s="133" t="s">
        <v>369</v>
      </c>
      <c r="BC18" s="375" t="str" cm="1">
        <f t="array" ref="BC18">_xll.d.Math_Interpolate(AY19:AY20,AZ19:AZ20,BA19,"magic")</f>
        <v>#∂Excel Error: Unsupported interpolation: 'magic'</v>
      </c>
      <c r="BD18" s="376" t="s">
        <v>507</v>
      </c>
      <c r="BE18" s="360" t="str" cm="1">
        <f t="array" ref="BE18">_xll.d.TestUtils_Equal(BC18,BD18)</f>
        <v>Ok</v>
      </c>
    </row>
    <row r="19" spans="1:61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136">
        <v>1</v>
      </c>
      <c r="AJ19" s="370">
        <v>0.05</v>
      </c>
      <c r="AK19" s="374">
        <v>1.5</v>
      </c>
      <c r="AL19" s="348"/>
      <c r="AM19" s="348"/>
      <c r="AN19" s="349"/>
      <c r="AQ19" s="136">
        <v>1</v>
      </c>
      <c r="AR19" s="370">
        <v>0.05</v>
      </c>
      <c r="AS19" s="374">
        <v>1.5</v>
      </c>
      <c r="AT19" s="348"/>
      <c r="AU19" s="348"/>
      <c r="AV19" s="349"/>
      <c r="AY19" s="136">
        <v>1</v>
      </c>
      <c r="AZ19" s="370">
        <v>0.05</v>
      </c>
      <c r="BA19" s="374">
        <v>1.5</v>
      </c>
      <c r="BB19" s="348"/>
      <c r="BC19" s="348"/>
      <c r="BD19" s="349"/>
    </row>
    <row r="20" spans="1:61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377">
        <v>2</v>
      </c>
      <c r="AJ20" s="378">
        <v>0.1</v>
      </c>
      <c r="AL20" s="348"/>
      <c r="AM20" s="348"/>
      <c r="AN20" s="349"/>
      <c r="AQ20" s="377">
        <v>2</v>
      </c>
      <c r="AR20" s="378">
        <v>0.1</v>
      </c>
      <c r="AT20" s="348"/>
      <c r="AU20" s="348"/>
      <c r="AV20" s="349"/>
      <c r="AY20" s="377">
        <v>2</v>
      </c>
      <c r="AZ20" s="378">
        <v>0.1</v>
      </c>
      <c r="BB20" s="348"/>
      <c r="BC20" s="348"/>
      <c r="BD20" s="349"/>
    </row>
    <row r="21" spans="1:61" x14ac:dyDescent="0.25">
      <c r="B21" s="348"/>
      <c r="C21" s="348"/>
      <c r="D21" s="348"/>
      <c r="E21" s="348"/>
      <c r="F21" s="348"/>
      <c r="G21" s="349"/>
    </row>
    <row r="22" spans="1:61" x14ac:dyDescent="0.25">
      <c r="B22" s="348"/>
      <c r="C22" s="348"/>
      <c r="D22" s="348"/>
      <c r="E22" s="348"/>
      <c r="F22" s="348"/>
      <c r="G22" s="349"/>
    </row>
    <row r="23" spans="1:61" s="348" customFormat="1" ht="18.75" x14ac:dyDescent="0.3">
      <c r="A23"/>
      <c r="B23" s="3" t="s">
        <v>382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</row>
    <row r="25" spans="1:61" s="348" customFormat="1" x14ac:dyDescent="0.25">
      <c r="A25"/>
      <c r="B25" s="59" t="s">
        <v>159</v>
      </c>
      <c r="C25" s="350" t="str" cm="1">
        <f t="array" ref="C25">_xll.d.TestUtils_And(L30,Y30,AK30,AW30,BI30)</f>
        <v>Ok</v>
      </c>
    </row>
    <row r="27" spans="1:61" ht="15.75" x14ac:dyDescent="0.25">
      <c r="B27" s="4" t="s">
        <v>383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384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385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386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Y27" s="4" t="s">
        <v>376</v>
      </c>
      <c r="AZ27" s="357"/>
      <c r="BA27" s="357"/>
      <c r="BB27" s="357"/>
      <c r="BC27" s="357"/>
      <c r="BD27" s="357"/>
      <c r="BE27" s="357"/>
      <c r="BF27" s="357"/>
      <c r="BG27" s="357"/>
      <c r="BH27" s="357"/>
      <c r="BI27" s="357"/>
    </row>
    <row r="28" spans="1:61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Y28" s="348"/>
      <c r="AZ28" s="348"/>
      <c r="BA28" s="348"/>
      <c r="BB28" s="348"/>
      <c r="BC28" s="348"/>
      <c r="BD28" s="349"/>
    </row>
    <row r="29" spans="1:61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 t="s">
        <v>253</v>
      </c>
      <c r="AW29" s="134" t="s">
        <v>84</v>
      </c>
      <c r="AY29" s="382" t="s">
        <v>251</v>
      </c>
      <c r="AZ29" s="206"/>
      <c r="BA29" s="206"/>
      <c r="BB29" s="389"/>
      <c r="BC29" s="389"/>
      <c r="BD29" s="383"/>
      <c r="BE29" s="215"/>
      <c r="BG29" s="134" t="s">
        <v>133</v>
      </c>
      <c r="BH29" s="134" t="s">
        <v>253</v>
      </c>
      <c r="BI29" s="134" t="s">
        <v>84</v>
      </c>
    </row>
    <row r="30" spans="1:61" x14ac:dyDescent="0.25">
      <c r="A30" s="149"/>
      <c r="B30" s="384"/>
      <c r="C30" s="386" t="s">
        <v>380</v>
      </c>
      <c r="D30" s="389"/>
      <c r="E30" s="389"/>
      <c r="F30" s="387"/>
      <c r="G30" s="391" t="s">
        <v>381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380</v>
      </c>
      <c r="P30" s="389"/>
      <c r="Q30" s="389"/>
      <c r="R30" s="387"/>
      <c r="S30" s="391" t="s">
        <v>381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380</v>
      </c>
      <c r="AC30" s="389"/>
      <c r="AD30" s="389"/>
      <c r="AE30" s="387"/>
      <c r="AF30" s="391" t="s">
        <v>381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380</v>
      </c>
      <c r="AO30" s="389"/>
      <c r="AP30" s="389"/>
      <c r="AQ30" s="387"/>
      <c r="AR30" s="391" t="s">
        <v>381</v>
      </c>
      <c r="AS30" s="390"/>
      <c r="AU30" s="375" t="str" cm="1">
        <f t="array" ref="AU30">_xll.d.Math_Interpolate2D(AM31:AQ36,AR32,AS32,"linear")</f>
        <v>#∂Excel Error: Extrapolation not supported.</v>
      </c>
      <c r="AV30" s="376" t="s">
        <v>387</v>
      </c>
      <c r="AW30" s="360" t="str" cm="1">
        <f t="array" ref="AW30">_xll.d.TestUtils_Equal(AU30,AV30)</f>
        <v>Ok</v>
      </c>
      <c r="AY30" s="384"/>
      <c r="AZ30" s="386" t="s">
        <v>380</v>
      </c>
      <c r="BA30" s="389"/>
      <c r="BB30" s="389"/>
      <c r="BC30" s="387"/>
      <c r="BD30" s="391" t="s">
        <v>381</v>
      </c>
      <c r="BE30" s="390"/>
      <c r="BG30" s="375" t="str" cm="1">
        <f t="array" ref="BG30">_xll.d.Math_Interpolate2D(AY31:BC36,BD32,BE32,"magic")</f>
        <v>#∂Excel Error: Unsupported interpolation: 'magic'</v>
      </c>
      <c r="BH30" s="376" t="s">
        <v>507</v>
      </c>
      <c r="BI30" s="360" t="str" cm="1">
        <f t="array" ref="BI30">_xll.d.TestUtils_Equal(BG30,BH30)</f>
        <v>Ok</v>
      </c>
    </row>
    <row r="31" spans="1:61" x14ac:dyDescent="0.25">
      <c r="A31" s="149"/>
      <c r="B31" s="385" t="s">
        <v>379</v>
      </c>
      <c r="C31" s="394">
        <v>0</v>
      </c>
      <c r="D31" s="395">
        <v>1</v>
      </c>
      <c r="E31" s="395">
        <v>2</v>
      </c>
      <c r="F31" s="396">
        <v>3</v>
      </c>
      <c r="G31" s="392" t="s">
        <v>378</v>
      </c>
      <c r="H31" s="133" t="s">
        <v>377</v>
      </c>
      <c r="N31" s="385" t="s">
        <v>379</v>
      </c>
      <c r="O31" s="394">
        <v>0</v>
      </c>
      <c r="P31" s="395">
        <v>1</v>
      </c>
      <c r="Q31" s="395">
        <v>2</v>
      </c>
      <c r="R31" s="396">
        <v>3</v>
      </c>
      <c r="S31" s="392" t="s">
        <v>378</v>
      </c>
      <c r="T31" s="133" t="s">
        <v>377</v>
      </c>
      <c r="AA31" s="385" t="s">
        <v>379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378</v>
      </c>
      <c r="AG31" s="133" t="s">
        <v>377</v>
      </c>
      <c r="AM31" s="385" t="s">
        <v>379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378</v>
      </c>
      <c r="AS31" s="133" t="s">
        <v>377</v>
      </c>
      <c r="AY31" s="385" t="s">
        <v>379</v>
      </c>
      <c r="AZ31" s="394">
        <v>0</v>
      </c>
      <c r="BA31" s="395">
        <v>1</v>
      </c>
      <c r="BB31" s="395">
        <v>2</v>
      </c>
      <c r="BC31" s="396">
        <v>3</v>
      </c>
      <c r="BD31" s="392" t="s">
        <v>378</v>
      </c>
      <c r="BE31" s="133" t="s">
        <v>377</v>
      </c>
    </row>
    <row r="32" spans="1:61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Y32" s="381">
        <v>0</v>
      </c>
      <c r="AZ32" s="397">
        <v>1</v>
      </c>
      <c r="BA32" s="398">
        <v>2</v>
      </c>
      <c r="BB32" s="399">
        <v>3</v>
      </c>
      <c r="BC32" s="400">
        <v>4</v>
      </c>
      <c r="BD32" s="393">
        <v>2.5</v>
      </c>
      <c r="BE32" s="388">
        <v>1.5</v>
      </c>
    </row>
    <row r="33" spans="2:55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Y33" s="405">
        <v>1</v>
      </c>
      <c r="AZ33" s="406">
        <v>5</v>
      </c>
      <c r="BA33" s="407">
        <v>6</v>
      </c>
      <c r="BB33" s="407">
        <v>7</v>
      </c>
      <c r="BC33" s="408">
        <v>8</v>
      </c>
    </row>
    <row r="34" spans="2:55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Y34" s="409">
        <v>2</v>
      </c>
      <c r="AZ34" s="406">
        <v>9</v>
      </c>
      <c r="BA34" s="407">
        <v>10</v>
      </c>
      <c r="BB34" s="407">
        <v>11</v>
      </c>
      <c r="BC34" s="408">
        <v>12</v>
      </c>
    </row>
    <row r="35" spans="2:55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Y35" s="409">
        <v>3</v>
      </c>
      <c r="AZ35" s="406">
        <v>13</v>
      </c>
      <c r="BA35" s="407">
        <v>14</v>
      </c>
      <c r="BB35" s="407">
        <v>15</v>
      </c>
      <c r="BC35" s="408">
        <v>16</v>
      </c>
    </row>
    <row r="36" spans="2:55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Y36" s="401">
        <v>4</v>
      </c>
      <c r="AZ36" s="402">
        <v>17</v>
      </c>
      <c r="BA36" s="403">
        <v>18</v>
      </c>
      <c r="BB36" s="403">
        <v>19</v>
      </c>
      <c r="BC36" s="404">
        <v>20</v>
      </c>
    </row>
  </sheetData>
  <conditionalFormatting sqref="D7:D8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4">
    <cfRule type="cellIs" dxfId="371" priority="127" stopIfTrue="1" operator="equal">
      <formula>"ERROR"</formula>
    </cfRule>
    <cfRule type="cellIs" dxfId="370" priority="128" stopIfTrue="1" operator="equal">
      <formula>"OK"</formula>
    </cfRule>
    <cfRule type="cellIs" dxfId="369" priority="129" stopIfTrue="1" operator="equal">
      <formula>"WARNING"</formula>
    </cfRule>
  </conditionalFormatting>
  <conditionalFormatting sqref="C13">
    <cfRule type="cellIs" dxfId="368" priority="124" stopIfTrue="1" operator="equal">
      <formula>"ERROR"</formula>
    </cfRule>
  </conditionalFormatting>
  <conditionalFormatting sqref="C13">
    <cfRule type="cellIs" dxfId="367" priority="125" stopIfTrue="1" operator="equal">
      <formula>"OK"</formula>
    </cfRule>
  </conditionalFormatting>
  <conditionalFormatting sqref="C13">
    <cfRule type="cellIs" dxfId="366" priority="126" stopIfTrue="1" operator="equal">
      <formula>"WARNING"</formula>
    </cfRule>
  </conditionalFormatting>
  <conditionalFormatting sqref="H18">
    <cfRule type="cellIs" dxfId="365" priority="133" stopIfTrue="1" operator="equal">
      <formula>"ERROR"</formula>
    </cfRule>
    <cfRule type="cellIs" dxfId="364" priority="134" stopIfTrue="1" operator="equal">
      <formula>"OK"</formula>
    </cfRule>
    <cfRule type="cellIs" dxfId="363" priority="135" stopIfTrue="1" operator="equal">
      <formula>"WARNING"</formula>
    </cfRule>
  </conditionalFormatting>
  <conditionalFormatting sqref="C25">
    <cfRule type="cellIs" dxfId="362" priority="103" stopIfTrue="1" operator="equal">
      <formula>"ERROR"</formula>
    </cfRule>
  </conditionalFormatting>
  <conditionalFormatting sqref="C25">
    <cfRule type="cellIs" dxfId="361" priority="104" stopIfTrue="1" operator="equal">
      <formula>"OK"</formula>
    </cfRule>
  </conditionalFormatting>
  <conditionalFormatting sqref="C25">
    <cfRule type="cellIs" dxfId="360" priority="105" stopIfTrue="1" operator="equal">
      <formula>"WARNING"</formula>
    </cfRule>
  </conditionalFormatting>
  <conditionalFormatting sqref="P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Y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G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AO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AW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BE18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L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Y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AK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AW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I30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7"/>
  <sheetViews>
    <sheetView showGridLines="0" topLeftCell="T43" zoomScaleNormal="100" workbookViewId="0">
      <selection activeCell="AC51" sqref="AC51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416</v>
      </c>
    </row>
    <row r="2" spans="1:50" ht="26.25" x14ac:dyDescent="0.4">
      <c r="B2" s="2" t="s">
        <v>390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391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392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393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391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394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396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397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398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395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395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508</v>
      </c>
      <c r="X19" s="613"/>
      <c r="Y19" s="613"/>
      <c r="Z19" s="360" t="str" cm="1">
        <f t="array" ref="Z19">_xll.d.TestUtils_Equal(T19,W19)</f>
        <v>Ok</v>
      </c>
      <c r="AB19" s="411" t="s">
        <v>395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509</v>
      </c>
      <c r="AJ19" s="615"/>
      <c r="AK19" s="616"/>
      <c r="AL19" s="360" t="str" cm="1">
        <f t="array" ref="AL19">_xll.d.TestUtils_Equal(AF19,AI19)</f>
        <v>Ok</v>
      </c>
      <c r="AN19" s="411" t="s">
        <v>395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510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392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399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401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378</v>
      </c>
      <c r="C32" s="421" t="s">
        <v>377</v>
      </c>
      <c r="E32" s="435"/>
      <c r="F32" s="433" t="s">
        <v>378</v>
      </c>
      <c r="G32" s="346" t="s">
        <v>377</v>
      </c>
      <c r="H32" s="435"/>
      <c r="I32" s="433" t="s">
        <v>378</v>
      </c>
      <c r="J32" s="346" t="s">
        <v>377</v>
      </c>
      <c r="K32" s="435"/>
      <c r="L32" s="433" t="s">
        <v>378</v>
      </c>
      <c r="M32" s="346" t="s">
        <v>377</v>
      </c>
      <c r="O32" s="420" t="s">
        <v>378</v>
      </c>
      <c r="P32" s="443" t="s">
        <v>377</v>
      </c>
      <c r="Q32" s="442" t="s">
        <v>400</v>
      </c>
      <c r="S32" s="435"/>
      <c r="T32" s="433" t="s">
        <v>378</v>
      </c>
      <c r="U32" s="446" t="s">
        <v>377</v>
      </c>
      <c r="V32" s="444" t="s">
        <v>400</v>
      </c>
      <c r="W32" s="435"/>
      <c r="X32" s="433" t="s">
        <v>378</v>
      </c>
      <c r="Y32" s="446" t="s">
        <v>377</v>
      </c>
      <c r="Z32" s="444" t="s">
        <v>400</v>
      </c>
      <c r="AA32" s="435"/>
      <c r="AB32" s="433" t="s">
        <v>378</v>
      </c>
      <c r="AC32" s="446" t="s">
        <v>377</v>
      </c>
      <c r="AD32" s="444" t="s">
        <v>400</v>
      </c>
    </row>
    <row r="33" spans="2:31" x14ac:dyDescent="0.25">
      <c r="B33" s="422">
        <v>1</v>
      </c>
      <c r="C33" s="423">
        <v>0.5</v>
      </c>
      <c r="D33" s="348"/>
      <c r="E33" s="434" t="s">
        <v>378</v>
      </c>
      <c r="F33" s="429" cm="1">
        <f t="array" ref="F33:G34">_xll.d.Stats_CorrelationMatrix(B33:C38)</f>
        <v>1</v>
      </c>
      <c r="G33" s="428">
        <v>0.9855793842654561</v>
      </c>
      <c r="H33" s="434" t="s">
        <v>378</v>
      </c>
      <c r="I33" s="429">
        <f>CORREL(B33:B38,B33:B38)</f>
        <v>1</v>
      </c>
      <c r="J33" s="428">
        <f>CORREL(B33:B38,C33:C38)</f>
        <v>0.98557938426545633</v>
      </c>
      <c r="K33" s="434" t="s">
        <v>378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378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378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378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377</v>
      </c>
      <c r="F34" s="430">
        <v>0.9855793842654561</v>
      </c>
      <c r="G34" s="416">
        <v>1</v>
      </c>
      <c r="H34" s="335" t="s">
        <v>377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377</v>
      </c>
      <c r="T34" s="449">
        <v>0.9855793842654561</v>
      </c>
      <c r="U34" s="451">
        <v>1</v>
      </c>
      <c r="V34" s="452">
        <v>-0.9461544177169412</v>
      </c>
      <c r="W34" s="431" t="s">
        <v>377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400</v>
      </c>
      <c r="T35" s="430">
        <v>-0.96679334300694564</v>
      </c>
      <c r="U35" s="450">
        <v>-0.9461544177169412</v>
      </c>
      <c r="V35" s="445">
        <v>1</v>
      </c>
      <c r="W35" s="432" t="s">
        <v>400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400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393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_xll.d.TestUtils_And(J51:K51,S51:T51)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405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406</v>
      </c>
      <c r="N45" s="357"/>
      <c r="O45" s="357"/>
      <c r="P45" s="357"/>
      <c r="Q45" s="357"/>
      <c r="R45" s="357"/>
      <c r="S45" s="357"/>
      <c r="T45" s="357"/>
      <c r="V45" s="4" t="s">
        <v>511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V46" s="495"/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x14ac:dyDescent="0.25">
      <c r="B47" s="453" t="s">
        <v>251</v>
      </c>
      <c r="D47" s="134" t="s">
        <v>133</v>
      </c>
      <c r="E47" s="206"/>
      <c r="F47" s="206"/>
      <c r="G47" s="206"/>
      <c r="H47" s="135"/>
      <c r="J47" s="134" t="s">
        <v>403</v>
      </c>
      <c r="K47" s="135" t="s">
        <v>404</v>
      </c>
      <c r="M47" s="134" t="s">
        <v>133</v>
      </c>
      <c r="N47" s="206"/>
      <c r="O47" s="206"/>
      <c r="P47" s="206"/>
      <c r="Q47" s="135"/>
      <c r="S47" s="134" t="s">
        <v>403</v>
      </c>
      <c r="T47" s="135" t="s">
        <v>404</v>
      </c>
      <c r="V47" s="453" t="s">
        <v>251</v>
      </c>
      <c r="W47" s="495"/>
      <c r="X47" s="134" t="s">
        <v>133</v>
      </c>
      <c r="Y47" s="206"/>
      <c r="Z47" s="206"/>
      <c r="AA47" s="206"/>
      <c r="AB47" s="135"/>
      <c r="AC47" s="495"/>
      <c r="AD47" s="134" t="s">
        <v>403</v>
      </c>
      <c r="AE47" s="135" t="s">
        <v>404</v>
      </c>
    </row>
    <row r="48" spans="2:31" x14ac:dyDescent="0.25">
      <c r="B48" s="454" t="s">
        <v>402</v>
      </c>
      <c r="D48" s="136">
        <f t="array" aca="1" ref="D48:H87" ca="1">_xll.d.Stats_NormalRandomNumbers(B49)</f>
        <v>-0.63711590014289476</v>
      </c>
      <c r="E48" s="370">
        <f ca="1"/>
        <v>0.70685522048944815</v>
      </c>
      <c r="F48" s="370">
        <f ca="1"/>
        <v>-0.31907668375768672</v>
      </c>
      <c r="G48" s="370">
        <f ca="1"/>
        <v>-0.40991003456258013</v>
      </c>
      <c r="H48" s="137">
        <f ca="1"/>
        <v>0.59461000541069997</v>
      </c>
      <c r="J48" s="455">
        <f ca="1">AVERAGE(D48:H87)</f>
        <v>9.2097931892436341E-2</v>
      </c>
      <c r="K48" s="388">
        <f ca="1">_xlfn.STDEV.S(D48:H87)</f>
        <v>0.96390177576967329</v>
      </c>
      <c r="M48" s="136">
        <f t="array" aca="1" ref="M48:Q87" ca="1">_xll.d.Stats_NormalRandomNumbers()</f>
        <v>0.12266422347557041</v>
      </c>
      <c r="N48" s="370">
        <f ca="1"/>
        <v>2.0260143493047735</v>
      </c>
      <c r="O48" s="370">
        <f ca="1"/>
        <v>-0.3597744598482463</v>
      </c>
      <c r="P48" s="370">
        <f ca="1"/>
        <v>-0.99870179068510367</v>
      </c>
      <c r="Q48" s="137">
        <f ca="1"/>
        <v>-0.47334600318902004</v>
      </c>
      <c r="S48" s="455">
        <f ca="1">AVERAGE(M48:Q87)</f>
        <v>4.7218542374995965E-3</v>
      </c>
      <c r="T48" s="388">
        <f ca="1">_xlfn.STDEV.S(M48:Q87)</f>
        <v>0.98785286456205679</v>
      </c>
      <c r="V48" s="454" t="s">
        <v>402</v>
      </c>
      <c r="W48" s="495"/>
      <c r="X48" s="136" cm="1">
        <f t="array" aca="1" ref="X48" ca="1">_xll.d.Stats_NormalRandomNumbers(V49,10,5)</f>
        <v>-0.63711590014289476</v>
      </c>
      <c r="Y48" s="370"/>
      <c r="Z48" s="370"/>
      <c r="AA48" s="370"/>
      <c r="AB48" s="137"/>
      <c r="AC48" s="495"/>
      <c r="AD48" s="455">
        <f ca="1">AVERAGE(X48:AB87)</f>
        <v>-0.63711590014289476</v>
      </c>
      <c r="AE48" s="388" t="e">
        <f ca="1">_xlfn.STDEV.S(X48:AB87)</f>
        <v>#DIV/0!</v>
      </c>
    </row>
    <row r="49" spans="2:31" x14ac:dyDescent="0.25">
      <c r="B49" s="456">
        <v>1337</v>
      </c>
      <c r="D49" s="138">
        <f ca="1"/>
        <v>0.15231246463563991</v>
      </c>
      <c r="E49" s="306">
        <f ca="1"/>
        <v>-0.33198021492010854</v>
      </c>
      <c r="F49" s="306">
        <f ca="1"/>
        <v>0.33468800840166441</v>
      </c>
      <c r="G49" s="306">
        <f ca="1"/>
        <v>2.1988514227094039E-2</v>
      </c>
      <c r="H49" s="139">
        <f ca="1"/>
        <v>-1.570800215687598</v>
      </c>
      <c r="M49" s="138">
        <f ca="1"/>
        <v>0.23486854106592239</v>
      </c>
      <c r="N49" s="306">
        <f ca="1"/>
        <v>-6.6203161185735923E-2</v>
      </c>
      <c r="O49" s="306">
        <f ca="1"/>
        <v>0.2873124687136604</v>
      </c>
      <c r="P49" s="306">
        <f ca="1"/>
        <v>-0.41790683497977721</v>
      </c>
      <c r="Q49" s="139">
        <f ca="1"/>
        <v>1.1773691096913981</v>
      </c>
      <c r="V49" s="456">
        <v>1337</v>
      </c>
      <c r="W49" s="495"/>
      <c r="X49" s="138"/>
      <c r="Y49" s="306"/>
      <c r="Z49" s="306"/>
      <c r="AA49" s="306"/>
      <c r="AB49" s="139"/>
      <c r="AC49" s="495"/>
      <c r="AD49" s="495"/>
      <c r="AE49" s="495"/>
    </row>
    <row r="50" spans="2:31" x14ac:dyDescent="0.25">
      <c r="D50" s="138">
        <f ca="1"/>
        <v>-0.9998813019474484</v>
      </c>
      <c r="E50" s="306">
        <f ca="1"/>
        <v>-0.88600131746401845</v>
      </c>
      <c r="F50" s="306">
        <f ca="1"/>
        <v>0.50499676151927686</v>
      </c>
      <c r="G50" s="306">
        <f ca="1"/>
        <v>0.59135175634258896</v>
      </c>
      <c r="H50" s="139">
        <f ca="1"/>
        <v>0.81695537082956271</v>
      </c>
      <c r="J50" s="134" t="s">
        <v>84</v>
      </c>
      <c r="K50" s="134"/>
      <c r="M50" s="138">
        <f ca="1"/>
        <v>0.56860936194591039</v>
      </c>
      <c r="N50" s="306">
        <f ca="1"/>
        <v>0.83861948605974246</v>
      </c>
      <c r="O50" s="306">
        <f ca="1"/>
        <v>-0.15849862338941334</v>
      </c>
      <c r="P50" s="306">
        <f ca="1"/>
        <v>-1.2245355120079864</v>
      </c>
      <c r="Q50" s="139">
        <f ca="1"/>
        <v>-0.21659244148250961</v>
      </c>
      <c r="S50" s="134" t="s">
        <v>84</v>
      </c>
      <c r="T50" s="134"/>
      <c r="V50" s="495"/>
      <c r="W50" s="495"/>
      <c r="X50" s="138"/>
      <c r="Y50" s="306"/>
      <c r="Z50" s="306"/>
      <c r="AA50" s="306"/>
      <c r="AB50" s="139"/>
      <c r="AC50" s="495"/>
      <c r="AD50" s="134" t="s">
        <v>84</v>
      </c>
      <c r="AE50" s="134"/>
    </row>
    <row r="51" spans="2:31" x14ac:dyDescent="0.25">
      <c r="D51" s="138">
        <f ca="1"/>
        <v>-0.79747485963926357</v>
      </c>
      <c r="E51" s="306">
        <f ca="1"/>
        <v>-6.1108551057670997E-2</v>
      </c>
      <c r="F51" s="306">
        <f ca="1"/>
        <v>0.863608628387463</v>
      </c>
      <c r="G51" s="306">
        <f ca="1"/>
        <v>-1.0507271193416956</v>
      </c>
      <c r="H51" s="139">
        <f ca="1"/>
        <v>0.4991414877992304</v>
      </c>
      <c r="J51" s="360" t="str" cm="1">
        <f t="array" aca="1" ref="J51" ca="1">_xll.d.TestUtils_Equal(ABS(J48-0)&lt;0.1,TRUE)</f>
        <v>Ok</v>
      </c>
      <c r="K51" s="360" t="str" cm="1">
        <f t="array" aca="1" ref="K51" ca="1">_xll.d.TestUtils_Equal(ABS(K48-1)&lt;0.1,TRUE)</f>
        <v>Ok</v>
      </c>
      <c r="M51" s="138">
        <f ca="1"/>
        <v>1.0121454543304982</v>
      </c>
      <c r="N51" s="306">
        <f ca="1"/>
        <v>0.84487883078025894</v>
      </c>
      <c r="O51" s="306">
        <f ca="1"/>
        <v>1.2950504002461061</v>
      </c>
      <c r="P51" s="306">
        <f ca="1"/>
        <v>0.45307414049496852</v>
      </c>
      <c r="Q51" s="139">
        <f ca="1"/>
        <v>1.3933001203930773</v>
      </c>
      <c r="S51" s="360" t="str" cm="1">
        <f t="array" aca="1" ref="S51" ca="1">_xll.d.TestUtils_Equal(ABS(S48-0)&lt;0.1,TRUE)</f>
        <v>Ok</v>
      </c>
      <c r="T51" s="360" t="str" cm="1">
        <f t="array" aca="1" ref="T51" ca="1">_xll.d.TestUtils_Equal(ABS(T48-1)&lt;0.1,TRUE)</f>
        <v>Ok</v>
      </c>
      <c r="V51" s="495"/>
      <c r="W51" s="495"/>
      <c r="X51" s="138"/>
      <c r="Y51" s="306"/>
      <c r="Z51" s="306"/>
      <c r="AA51" s="306"/>
      <c r="AB51" s="139"/>
      <c r="AC51" s="495"/>
      <c r="AD51" s="360" t="str" cm="1">
        <f t="array" aca="1" ref="AD51" ca="1">_xll.d.TestUtils_Equal(ABS(AD48-0)&lt;0.1,TRUE)</f>
        <v>Error</v>
      </c>
      <c r="AE51" s="360" t="str" cm="1">
        <f t="array" aca="1" ref="AE51" ca="1">_xll.d.TestUtils_Equal(ABS(AE48-1)&lt;0.1,TRUE)</f>
        <v>Error</v>
      </c>
    </row>
    <row r="52" spans="2:31" x14ac:dyDescent="0.25">
      <c r="D52" s="138">
        <f ca="1"/>
        <v>-0.5884160994078016</v>
      </c>
      <c r="E52" s="306">
        <f ca="1"/>
        <v>-0.55874715130596764</v>
      </c>
      <c r="F52" s="306">
        <f ca="1"/>
        <v>-2.7587630599172877</v>
      </c>
      <c r="G52" s="306">
        <f ca="1"/>
        <v>-2.2939473468112239</v>
      </c>
      <c r="H52" s="139">
        <f ca="1"/>
        <v>-0.38120894845031827</v>
      </c>
      <c r="M52" s="138">
        <f ca="1"/>
        <v>0.26050629623141941</v>
      </c>
      <c r="N52" s="306">
        <f ca="1"/>
        <v>-9.6707447133391369E-2</v>
      </c>
      <c r="O52" s="306">
        <f ca="1"/>
        <v>0.51759967418338659</v>
      </c>
      <c r="P52" s="306">
        <f ca="1"/>
        <v>0.40246639382141203</v>
      </c>
      <c r="Q52" s="139">
        <f ca="1"/>
        <v>-1.5208598870893701</v>
      </c>
      <c r="V52" s="495"/>
      <c r="W52" s="495"/>
      <c r="X52" s="138"/>
      <c r="Y52" s="306"/>
      <c r="Z52" s="306"/>
      <c r="AA52" s="306"/>
      <c r="AB52" s="139"/>
      <c r="AC52" s="495"/>
      <c r="AD52" s="495"/>
      <c r="AE52" s="495"/>
    </row>
    <row r="53" spans="2:31" x14ac:dyDescent="0.25">
      <c r="D53" s="138">
        <f ca="1"/>
        <v>0.10819798524690837</v>
      </c>
      <c r="E53" s="306">
        <f ca="1"/>
        <v>1.0965073943909254</v>
      </c>
      <c r="F53" s="306">
        <f ca="1"/>
        <v>0.46240265761130123</v>
      </c>
      <c r="G53" s="306">
        <f ca="1"/>
        <v>0.48984251587331651</v>
      </c>
      <c r="H53" s="139">
        <f ca="1"/>
        <v>-2.25076658419695</v>
      </c>
      <c r="M53" s="138">
        <f ca="1"/>
        <v>1.0711349389745428</v>
      </c>
      <c r="N53" s="306">
        <f ca="1"/>
        <v>5.1351992091935056E-2</v>
      </c>
      <c r="O53" s="306">
        <f ca="1"/>
        <v>-1.2856629896340797</v>
      </c>
      <c r="P53" s="306">
        <f ca="1"/>
        <v>-0.47553809167663869</v>
      </c>
      <c r="Q53" s="139">
        <f ca="1"/>
        <v>-0.78297078820803756</v>
      </c>
      <c r="V53" s="495"/>
      <c r="W53" s="495"/>
      <c r="X53" s="138"/>
      <c r="Y53" s="306"/>
      <c r="Z53" s="306"/>
      <c r="AA53" s="306"/>
      <c r="AB53" s="139"/>
      <c r="AC53" s="495"/>
      <c r="AD53" s="495"/>
      <c r="AE53" s="495"/>
    </row>
    <row r="54" spans="2:31" x14ac:dyDescent="0.25">
      <c r="D54" s="138">
        <f ca="1"/>
        <v>-0.10215483425175563</v>
      </c>
      <c r="E54" s="306">
        <f ca="1"/>
        <v>0.44051757578957157</v>
      </c>
      <c r="F54" s="306">
        <f ca="1"/>
        <v>-0.33389589259671326</v>
      </c>
      <c r="G54" s="306">
        <f ca="1"/>
        <v>0.70615194140562998</v>
      </c>
      <c r="H54" s="139">
        <f ca="1"/>
        <v>1.3386245087251876</v>
      </c>
      <c r="M54" s="138">
        <f ca="1"/>
        <v>0.11274383783052491</v>
      </c>
      <c r="N54" s="306">
        <f ca="1"/>
        <v>0.77398164003109893</v>
      </c>
      <c r="O54" s="306">
        <f ca="1"/>
        <v>-1.5528836522498293</v>
      </c>
      <c r="P54" s="306">
        <f ca="1"/>
        <v>-1.0885193500170471</v>
      </c>
      <c r="Q54" s="139">
        <f ca="1"/>
        <v>0.50286987657510207</v>
      </c>
      <c r="V54" s="495"/>
      <c r="W54" s="495"/>
      <c r="X54" s="138"/>
      <c r="Y54" s="306"/>
      <c r="Z54" s="306"/>
      <c r="AA54" s="306"/>
      <c r="AB54" s="139"/>
      <c r="AC54" s="495"/>
      <c r="AD54" s="495"/>
      <c r="AE54" s="495"/>
    </row>
    <row r="55" spans="2:31" x14ac:dyDescent="0.25">
      <c r="D55" s="138">
        <f ca="1"/>
        <v>-1.8253861328037648</v>
      </c>
      <c r="E55" s="306">
        <f ca="1"/>
        <v>-0.24037216180075424</v>
      </c>
      <c r="F55" s="306">
        <f ca="1"/>
        <v>1.028058069270616</v>
      </c>
      <c r="G55" s="306">
        <f ca="1"/>
        <v>1.2259167836294167</v>
      </c>
      <c r="H55" s="139">
        <f ca="1"/>
        <v>-0.33280389867021648</v>
      </c>
      <c r="M55" s="138">
        <f ca="1"/>
        <v>1.0247174529864618</v>
      </c>
      <c r="N55" s="306">
        <f ca="1"/>
        <v>0.46456788825317025</v>
      </c>
      <c r="O55" s="306">
        <f ca="1"/>
        <v>1.8779948997892317</v>
      </c>
      <c r="P55" s="306">
        <f ca="1"/>
        <v>0.7666173840357986</v>
      </c>
      <c r="Q55" s="139">
        <f ca="1"/>
        <v>0.16413830370427598</v>
      </c>
      <c r="V55" s="495"/>
      <c r="W55" s="495"/>
      <c r="X55" s="138"/>
      <c r="Y55" s="306"/>
      <c r="Z55" s="306"/>
      <c r="AA55" s="306"/>
      <c r="AB55" s="139"/>
      <c r="AC55" s="495"/>
      <c r="AD55" s="495"/>
      <c r="AE55" s="495"/>
    </row>
    <row r="56" spans="2:31" x14ac:dyDescent="0.25">
      <c r="D56" s="138">
        <f ca="1"/>
        <v>-0.46490277119672319</v>
      </c>
      <c r="E56" s="306">
        <f ca="1"/>
        <v>-8.8166823894022877E-4</v>
      </c>
      <c r="F56" s="306">
        <f ca="1"/>
        <v>-1.5659571515789519</v>
      </c>
      <c r="G56" s="306">
        <f ca="1"/>
        <v>0.44378998344608472</v>
      </c>
      <c r="H56" s="139">
        <f ca="1"/>
        <v>0.56184004420843314</v>
      </c>
      <c r="M56" s="138">
        <f ca="1"/>
        <v>-0.19255231433210082</v>
      </c>
      <c r="N56" s="306">
        <f ca="1"/>
        <v>-1.1836570492378735</v>
      </c>
      <c r="O56" s="306">
        <f ca="1"/>
        <v>0.43100246597129827</v>
      </c>
      <c r="P56" s="306">
        <f ca="1"/>
        <v>-0.8538922151022309</v>
      </c>
      <c r="Q56" s="139">
        <f ca="1"/>
        <v>0.16772820889067627</v>
      </c>
      <c r="V56" s="495"/>
      <c r="W56" s="495"/>
      <c r="X56" s="138"/>
      <c r="Y56" s="306"/>
      <c r="Z56" s="306"/>
      <c r="AA56" s="306"/>
      <c r="AB56" s="139"/>
      <c r="AC56" s="495"/>
      <c r="AD56" s="495"/>
      <c r="AE56" s="495"/>
    </row>
    <row r="57" spans="2:31" x14ac:dyDescent="0.25">
      <c r="D57" s="138">
        <f ca="1"/>
        <v>-0.72121450340504112</v>
      </c>
      <c r="E57" s="306">
        <f ca="1"/>
        <v>-0.14969739262215401</v>
      </c>
      <c r="F57" s="306">
        <f ca="1"/>
        <v>0.70609350471998489</v>
      </c>
      <c r="G57" s="306">
        <f ca="1"/>
        <v>9.6224928363146583E-2</v>
      </c>
      <c r="H57" s="139">
        <f ca="1"/>
        <v>0.2296039222600787</v>
      </c>
      <c r="M57" s="138">
        <f ca="1"/>
        <v>0.31485387088312511</v>
      </c>
      <c r="N57" s="306">
        <f ca="1"/>
        <v>0.58472194344902539</v>
      </c>
      <c r="O57" s="306">
        <f ca="1"/>
        <v>0.39381187617256991</v>
      </c>
      <c r="P57" s="306">
        <f ca="1"/>
        <v>1.6407087043700077</v>
      </c>
      <c r="Q57" s="139">
        <f ca="1"/>
        <v>1.1035350664825012</v>
      </c>
      <c r="V57" s="495"/>
      <c r="W57" s="495"/>
      <c r="X57" s="138"/>
      <c r="Y57" s="306"/>
      <c r="Z57" s="306"/>
      <c r="AA57" s="306"/>
      <c r="AB57" s="139"/>
      <c r="AC57" s="495"/>
      <c r="AD57" s="495"/>
      <c r="AE57" s="495"/>
    </row>
    <row r="58" spans="2:31" x14ac:dyDescent="0.25">
      <c r="D58" s="138">
        <f ca="1"/>
        <v>4.6120309846438508E-2</v>
      </c>
      <c r="E58" s="306">
        <f ca="1"/>
        <v>-0.92083350795883689</v>
      </c>
      <c r="F58" s="306">
        <f ca="1"/>
        <v>0.80411972151375544</v>
      </c>
      <c r="G58" s="306">
        <f ca="1"/>
        <v>-0.8762556877814629</v>
      </c>
      <c r="H58" s="139">
        <f ca="1"/>
        <v>1.2660233063563722</v>
      </c>
      <c r="M58" s="138">
        <f ca="1"/>
        <v>0.37425881531768923</v>
      </c>
      <c r="N58" s="306">
        <f ca="1"/>
        <v>0.35824768314912758</v>
      </c>
      <c r="O58" s="306">
        <f ca="1"/>
        <v>0.44167520776730484</v>
      </c>
      <c r="P58" s="306">
        <f ca="1"/>
        <v>-0.33523167286972566</v>
      </c>
      <c r="Q58" s="139">
        <f ca="1"/>
        <v>-0.6268173301884129</v>
      </c>
      <c r="V58" s="495"/>
      <c r="W58" s="495"/>
      <c r="X58" s="138"/>
      <c r="Y58" s="306"/>
      <c r="Z58" s="306"/>
      <c r="AA58" s="306"/>
      <c r="AB58" s="139"/>
      <c r="AC58" s="495"/>
      <c r="AD58" s="495"/>
      <c r="AE58" s="495"/>
    </row>
    <row r="59" spans="2:31" x14ac:dyDescent="0.25">
      <c r="D59" s="138">
        <f ca="1"/>
        <v>0.23298387080043784</v>
      </c>
      <c r="E59" s="306">
        <f ca="1"/>
        <v>-1.0764899712107359</v>
      </c>
      <c r="F59" s="306">
        <f ca="1"/>
        <v>1.7547755576057253</v>
      </c>
      <c r="G59" s="306">
        <f ca="1"/>
        <v>0.72810708935373014</v>
      </c>
      <c r="H59" s="139">
        <f ca="1"/>
        <v>-4.9122462980273743E-2</v>
      </c>
      <c r="M59" s="138">
        <f ca="1"/>
        <v>-0.2939927852261236</v>
      </c>
      <c r="N59" s="306">
        <f ca="1"/>
        <v>0.20706330738635537</v>
      </c>
      <c r="O59" s="306">
        <f ca="1"/>
        <v>-0.95057695384843033</v>
      </c>
      <c r="P59" s="306">
        <f ca="1"/>
        <v>0.41936929060152378</v>
      </c>
      <c r="Q59" s="139">
        <f ca="1"/>
        <v>2.248374531742604E-2</v>
      </c>
      <c r="V59" s="495"/>
      <c r="W59" s="495"/>
      <c r="X59" s="138"/>
      <c r="Y59" s="306"/>
      <c r="Z59" s="306"/>
      <c r="AA59" s="306"/>
      <c r="AB59" s="139"/>
      <c r="AC59" s="495"/>
      <c r="AD59" s="495"/>
      <c r="AE59" s="495"/>
    </row>
    <row r="60" spans="2:31" x14ac:dyDescent="0.25">
      <c r="D60" s="138">
        <f ca="1"/>
        <v>-0.63736695093064755</v>
      </c>
      <c r="E60" s="306">
        <f ca="1"/>
        <v>-0.21947173866600425</v>
      </c>
      <c r="F60" s="306">
        <f ca="1"/>
        <v>-0.3859436116857301</v>
      </c>
      <c r="G60" s="306">
        <f ca="1"/>
        <v>0.43017177828252023</v>
      </c>
      <c r="H60" s="139">
        <f ca="1"/>
        <v>-0.20136053851420513</v>
      </c>
      <c r="M60" s="138">
        <f ca="1"/>
        <v>-0.15708936381720576</v>
      </c>
      <c r="N60" s="306">
        <f ca="1"/>
        <v>-1.0653743242702789</v>
      </c>
      <c r="O60" s="306">
        <f ca="1"/>
        <v>-0.80509454519587287</v>
      </c>
      <c r="P60" s="306">
        <f ca="1"/>
        <v>0.91915684812891307</v>
      </c>
      <c r="Q60" s="139">
        <f ca="1"/>
        <v>5.8307248146102324E-2</v>
      </c>
      <c r="V60" s="495"/>
      <c r="W60" s="495"/>
      <c r="X60" s="138"/>
      <c r="Y60" s="306"/>
      <c r="Z60" s="306"/>
      <c r="AA60" s="306"/>
      <c r="AB60" s="139"/>
      <c r="AC60" s="495"/>
      <c r="AD60" s="495"/>
      <c r="AE60" s="495"/>
    </row>
    <row r="61" spans="2:31" x14ac:dyDescent="0.25">
      <c r="D61" s="138">
        <f ca="1"/>
        <v>-0.42607435867377447</v>
      </c>
      <c r="E61" s="306">
        <f ca="1"/>
        <v>0.91605467339775526</v>
      </c>
      <c r="F61" s="306">
        <f ca="1"/>
        <v>-1.6169891726572032</v>
      </c>
      <c r="G61" s="306">
        <f ca="1"/>
        <v>-9.9853780857881491E-2</v>
      </c>
      <c r="H61" s="139">
        <f ca="1"/>
        <v>-0.83075713527444417</v>
      </c>
      <c r="M61" s="138">
        <f ca="1"/>
        <v>-0.53150451916000441</v>
      </c>
      <c r="N61" s="306">
        <f ca="1"/>
        <v>9.3818238275564306E-2</v>
      </c>
      <c r="O61" s="306">
        <f ca="1"/>
        <v>-0.36340235823986</v>
      </c>
      <c r="P61" s="306">
        <f ca="1"/>
        <v>-2.2094510474666582</v>
      </c>
      <c r="Q61" s="139">
        <f ca="1"/>
        <v>1.3833613776168325</v>
      </c>
      <c r="V61" s="495"/>
      <c r="W61" s="495"/>
      <c r="X61" s="138"/>
      <c r="Y61" s="306"/>
      <c r="Z61" s="306"/>
      <c r="AA61" s="306"/>
      <c r="AB61" s="139"/>
      <c r="AC61" s="495"/>
      <c r="AD61" s="495"/>
      <c r="AE61" s="495"/>
    </row>
    <row r="62" spans="2:31" x14ac:dyDescent="0.25">
      <c r="D62" s="138">
        <f ca="1"/>
        <v>1.9788808392213517</v>
      </c>
      <c r="E62" s="306">
        <f ca="1"/>
        <v>-0.8444992802006771</v>
      </c>
      <c r="F62" s="306">
        <f ca="1"/>
        <v>0.53167290579956916</v>
      </c>
      <c r="G62" s="306">
        <f ca="1"/>
        <v>1.3476990609315769</v>
      </c>
      <c r="H62" s="139">
        <f ca="1"/>
        <v>-8.1515249102279419E-2</v>
      </c>
      <c r="M62" s="138">
        <f ca="1"/>
        <v>1.2360122870119385</v>
      </c>
      <c r="N62" s="306">
        <f ca="1"/>
        <v>1.5952239593837385</v>
      </c>
      <c r="O62" s="306">
        <f ca="1"/>
        <v>-1.1314812360535402</v>
      </c>
      <c r="P62" s="306">
        <f ca="1"/>
        <v>-1.2982467961229738</v>
      </c>
      <c r="Q62" s="139">
        <f ca="1"/>
        <v>-1.3168735554115905</v>
      </c>
      <c r="V62" s="495"/>
      <c r="W62" s="495"/>
      <c r="X62" s="138"/>
      <c r="Y62" s="306"/>
      <c r="Z62" s="306"/>
      <c r="AA62" s="306"/>
      <c r="AB62" s="139"/>
      <c r="AC62" s="495"/>
      <c r="AD62" s="495"/>
      <c r="AE62" s="495"/>
    </row>
    <row r="63" spans="2:31" x14ac:dyDescent="0.25">
      <c r="D63" s="138">
        <f ca="1"/>
        <v>-0.61135617247427165</v>
      </c>
      <c r="E63" s="306">
        <f ca="1"/>
        <v>1.2682963768981825</v>
      </c>
      <c r="F63" s="306">
        <f ca="1"/>
        <v>6.5443228707294687E-2</v>
      </c>
      <c r="G63" s="306">
        <f ca="1"/>
        <v>0.43254942321321643</v>
      </c>
      <c r="H63" s="139">
        <f ca="1"/>
        <v>0.42060061179352987</v>
      </c>
      <c r="M63" s="138">
        <f ca="1"/>
        <v>-1.5829803137914036</v>
      </c>
      <c r="N63" s="306">
        <f ca="1"/>
        <v>0.70185633990212082</v>
      </c>
      <c r="O63" s="306">
        <f ca="1"/>
        <v>0.67665051211608307</v>
      </c>
      <c r="P63" s="306">
        <f ca="1"/>
        <v>0.31296426265648503</v>
      </c>
      <c r="Q63" s="139">
        <f ca="1"/>
        <v>1.4129012007575132</v>
      </c>
      <c r="V63" s="495"/>
      <c r="W63" s="495"/>
      <c r="X63" s="138"/>
      <c r="Y63" s="306"/>
      <c r="Z63" s="306"/>
      <c r="AA63" s="306"/>
      <c r="AB63" s="139"/>
      <c r="AC63" s="495"/>
      <c r="AD63" s="495"/>
      <c r="AE63" s="495"/>
    </row>
    <row r="64" spans="2:31" x14ac:dyDescent="0.25">
      <c r="D64" s="138">
        <f ca="1"/>
        <v>0.62134768002507634</v>
      </c>
      <c r="E64" s="306">
        <f ca="1"/>
        <v>7.9542410013188777E-2</v>
      </c>
      <c r="F64" s="306">
        <f ca="1"/>
        <v>-2.1987215358931604E-2</v>
      </c>
      <c r="G64" s="306">
        <f ca="1"/>
        <v>-0.98579270828865395</v>
      </c>
      <c r="H64" s="139">
        <f ca="1"/>
        <v>1.3042580425018544</v>
      </c>
      <c r="M64" s="138">
        <f ca="1"/>
        <v>1.7948696412447682</v>
      </c>
      <c r="N64" s="306">
        <f ca="1"/>
        <v>5.4793042142818014E-2</v>
      </c>
      <c r="O64" s="306">
        <f ca="1"/>
        <v>-0.48052138707036213</v>
      </c>
      <c r="P64" s="306">
        <f ca="1"/>
        <v>0.98604672095167512</v>
      </c>
      <c r="Q64" s="139">
        <f ca="1"/>
        <v>0.19153430097807242</v>
      </c>
      <c r="V64" s="495"/>
      <c r="W64" s="495"/>
      <c r="X64" s="138"/>
      <c r="Y64" s="306"/>
      <c r="Z64" s="306"/>
      <c r="AA64" s="306"/>
      <c r="AB64" s="139"/>
      <c r="AC64" s="495"/>
      <c r="AD64" s="495"/>
      <c r="AE64" s="495"/>
    </row>
    <row r="65" spans="4:31" x14ac:dyDescent="0.25">
      <c r="D65" s="138">
        <f ca="1"/>
        <v>-0.50308335820540317</v>
      </c>
      <c r="E65" s="306">
        <f ca="1"/>
        <v>1.4640300463756799</v>
      </c>
      <c r="F65" s="306">
        <f ca="1"/>
        <v>0.46256721575986759</v>
      </c>
      <c r="G65" s="306">
        <f ca="1"/>
        <v>0.13757711286725449</v>
      </c>
      <c r="H65" s="139">
        <f ca="1"/>
        <v>1.903663328597879</v>
      </c>
      <c r="M65" s="138">
        <f ca="1"/>
        <v>-0.60479895355841384</v>
      </c>
      <c r="N65" s="306">
        <f ca="1"/>
        <v>-1.2485896144281661</v>
      </c>
      <c r="O65" s="306">
        <f ca="1"/>
        <v>0.27366943766787372</v>
      </c>
      <c r="P65" s="306">
        <f ca="1"/>
        <v>0.45004119380308644</v>
      </c>
      <c r="Q65" s="139">
        <f ca="1"/>
        <v>-1.3844360616948774</v>
      </c>
      <c r="V65" s="495"/>
      <c r="W65" s="495"/>
      <c r="X65" s="138"/>
      <c r="Y65" s="306"/>
      <c r="Z65" s="306"/>
      <c r="AA65" s="306"/>
      <c r="AB65" s="139"/>
      <c r="AC65" s="495"/>
      <c r="AD65" s="495"/>
      <c r="AE65" s="495"/>
    </row>
    <row r="66" spans="4:31" x14ac:dyDescent="0.25">
      <c r="D66" s="138">
        <f ca="1"/>
        <v>-1.198947290104817</v>
      </c>
      <c r="E66" s="306">
        <f ca="1"/>
        <v>0.96357590104857871</v>
      </c>
      <c r="F66" s="306">
        <f ca="1"/>
        <v>1.9247923185797389</v>
      </c>
      <c r="G66" s="306">
        <f ca="1"/>
        <v>1.3443248184039669</v>
      </c>
      <c r="H66" s="139">
        <f ca="1"/>
        <v>0.34126673979749322</v>
      </c>
      <c r="M66" s="138">
        <f ca="1"/>
        <v>-0.29645445691204342</v>
      </c>
      <c r="N66" s="306">
        <f ca="1"/>
        <v>-0.21556879453095484</v>
      </c>
      <c r="O66" s="306">
        <f ca="1"/>
        <v>-0.34855748958572064</v>
      </c>
      <c r="P66" s="306">
        <f ca="1"/>
        <v>-1.3041078808768987</v>
      </c>
      <c r="Q66" s="139">
        <f ca="1"/>
        <v>1.4705694003542786</v>
      </c>
      <c r="V66" s="495"/>
      <c r="W66" s="495"/>
      <c r="X66" s="138"/>
      <c r="Y66" s="306"/>
      <c r="Z66" s="306"/>
      <c r="AA66" s="306"/>
      <c r="AB66" s="139"/>
      <c r="AC66" s="495"/>
      <c r="AD66" s="495"/>
      <c r="AE66" s="495"/>
    </row>
    <row r="67" spans="4:31" x14ac:dyDescent="0.25">
      <c r="D67" s="138">
        <f ca="1"/>
        <v>0.85011456561901899</v>
      </c>
      <c r="E67" s="306">
        <f ca="1"/>
        <v>0.30429192596407545</v>
      </c>
      <c r="F67" s="306">
        <f ca="1"/>
        <v>0.67152742633508133</v>
      </c>
      <c r="G67" s="306">
        <f ca="1"/>
        <v>0.80782203516718254</v>
      </c>
      <c r="H67" s="139">
        <f ca="1"/>
        <v>-8.2646524328612386E-2</v>
      </c>
      <c r="M67" s="138">
        <f ca="1"/>
        <v>-5.601454099387887E-2</v>
      </c>
      <c r="N67" s="306">
        <f ca="1"/>
        <v>-6.6222296794066063E-2</v>
      </c>
      <c r="O67" s="306">
        <f ca="1"/>
        <v>-0.45363097528494672</v>
      </c>
      <c r="P67" s="306">
        <f ca="1"/>
        <v>1.9101803048964361</v>
      </c>
      <c r="Q67" s="139">
        <f ca="1"/>
        <v>-0.58963239539706591</v>
      </c>
      <c r="V67" s="495"/>
      <c r="W67" s="495"/>
      <c r="X67" s="138"/>
      <c r="Y67" s="306"/>
      <c r="Z67" s="306"/>
      <c r="AA67" s="306"/>
      <c r="AB67" s="139"/>
      <c r="AC67" s="495"/>
      <c r="AD67" s="495"/>
      <c r="AE67" s="495"/>
    </row>
    <row r="68" spans="4:31" x14ac:dyDescent="0.25">
      <c r="D68" s="138">
        <f ca="1"/>
        <v>-0.28904080804777654</v>
      </c>
      <c r="E68" s="306">
        <f ca="1"/>
        <v>-0.89553364635263466</v>
      </c>
      <c r="F68" s="306">
        <f ca="1"/>
        <v>0.9780203880833418</v>
      </c>
      <c r="G68" s="306">
        <f ca="1"/>
        <v>-0.45554694662875511</v>
      </c>
      <c r="H68" s="139">
        <f ca="1"/>
        <v>8.2384361896065766E-2</v>
      </c>
      <c r="M68" s="138">
        <f ca="1"/>
        <v>0.81242129145400976</v>
      </c>
      <c r="N68" s="306">
        <f ca="1"/>
        <v>-0.62936332454492938</v>
      </c>
      <c r="O68" s="306">
        <f ca="1"/>
        <v>0.17687516295823891</v>
      </c>
      <c r="P68" s="306">
        <f ca="1"/>
        <v>1.9855701869412921</v>
      </c>
      <c r="Q68" s="139">
        <f ca="1"/>
        <v>-0.47170424056666821</v>
      </c>
      <c r="V68" s="495"/>
      <c r="W68" s="495"/>
      <c r="X68" s="138"/>
      <c r="Y68" s="306"/>
      <c r="Z68" s="306"/>
      <c r="AA68" s="306"/>
      <c r="AB68" s="139"/>
      <c r="AC68" s="495"/>
      <c r="AD68" s="495"/>
      <c r="AE68" s="495"/>
    </row>
    <row r="69" spans="4:31" x14ac:dyDescent="0.25">
      <c r="D69" s="138">
        <f ca="1"/>
        <v>-1.3097052116291188</v>
      </c>
      <c r="E69" s="306">
        <f ca="1"/>
        <v>1.7215300670511962</v>
      </c>
      <c r="F69" s="306">
        <f ca="1"/>
        <v>9.7776697591451453E-2</v>
      </c>
      <c r="G69" s="306">
        <f ca="1"/>
        <v>1.1490936456210052</v>
      </c>
      <c r="H69" s="139">
        <f ca="1"/>
        <v>-2.069075586550726</v>
      </c>
      <c r="M69" s="138">
        <f ca="1"/>
        <v>0.88591645744064973</v>
      </c>
      <c r="N69" s="306">
        <f ca="1"/>
        <v>-0.89149310470618126</v>
      </c>
      <c r="O69" s="306">
        <f ca="1"/>
        <v>-1.7692578677541684</v>
      </c>
      <c r="P69" s="306">
        <f ca="1"/>
        <v>1.1660034196083535</v>
      </c>
      <c r="Q69" s="139">
        <f ca="1"/>
        <v>-2.3511914329550483</v>
      </c>
      <c r="V69" s="495"/>
      <c r="W69" s="495"/>
      <c r="X69" s="138"/>
      <c r="Y69" s="306"/>
      <c r="Z69" s="306"/>
      <c r="AA69" s="306"/>
      <c r="AB69" s="139"/>
      <c r="AC69" s="495"/>
      <c r="AD69" s="495"/>
      <c r="AE69" s="495"/>
    </row>
    <row r="70" spans="4:31" x14ac:dyDescent="0.25">
      <c r="D70" s="138">
        <f ca="1"/>
        <v>0.32788629545256831</v>
      </c>
      <c r="E70" s="306">
        <f ca="1"/>
        <v>1.720830635000675</v>
      </c>
      <c r="F70" s="306">
        <f ca="1"/>
        <v>0.27993766822148569</v>
      </c>
      <c r="G70" s="306">
        <f ca="1"/>
        <v>0.52525898259965065</v>
      </c>
      <c r="H70" s="139">
        <f ca="1"/>
        <v>-0.71433261283908289</v>
      </c>
      <c r="M70" s="138">
        <f ca="1"/>
        <v>7.249226999462359E-2</v>
      </c>
      <c r="N70" s="306">
        <f ca="1"/>
        <v>0.75286236290794595</v>
      </c>
      <c r="O70" s="306">
        <f ca="1"/>
        <v>-0.15451583480191308</v>
      </c>
      <c r="P70" s="306">
        <f ca="1"/>
        <v>-7.8660836787310617E-2</v>
      </c>
      <c r="Q70" s="139">
        <f ca="1"/>
        <v>0.43277360942751136</v>
      </c>
      <c r="V70" s="495"/>
      <c r="W70" s="495"/>
      <c r="X70" s="138"/>
      <c r="Y70" s="306"/>
      <c r="Z70" s="306"/>
      <c r="AA70" s="306"/>
      <c r="AB70" s="139"/>
      <c r="AC70" s="495"/>
      <c r="AD70" s="495"/>
      <c r="AE70" s="495"/>
    </row>
    <row r="71" spans="4:31" x14ac:dyDescent="0.25">
      <c r="D71" s="138">
        <f ca="1"/>
        <v>-0.35007770185857218</v>
      </c>
      <c r="E71" s="306">
        <f ca="1"/>
        <v>1.1800027393927328</v>
      </c>
      <c r="F71" s="306">
        <f ca="1"/>
        <v>-0.62779716766341387</v>
      </c>
      <c r="G71" s="306">
        <f ca="1"/>
        <v>1.0849418236383948</v>
      </c>
      <c r="H71" s="139">
        <f ca="1"/>
        <v>-0.6285170754115107</v>
      </c>
      <c r="M71" s="138">
        <f ca="1"/>
        <v>-5.02108783691224E-2</v>
      </c>
      <c r="N71" s="306">
        <f ca="1"/>
        <v>0.63387309695275007</v>
      </c>
      <c r="O71" s="306">
        <f ca="1"/>
        <v>0.34319483017443847</v>
      </c>
      <c r="P71" s="306">
        <f ca="1"/>
        <v>2.4127062990016889E-2</v>
      </c>
      <c r="Q71" s="139">
        <f ca="1"/>
        <v>1.0041302391154621</v>
      </c>
      <c r="V71" s="495"/>
      <c r="W71" s="495"/>
      <c r="X71" s="138"/>
      <c r="Y71" s="306"/>
      <c r="Z71" s="306"/>
      <c r="AA71" s="306"/>
      <c r="AB71" s="139"/>
      <c r="AC71" s="495"/>
      <c r="AD71" s="495"/>
      <c r="AE71" s="495"/>
    </row>
    <row r="72" spans="4:31" x14ac:dyDescent="0.25">
      <c r="D72" s="138">
        <f ca="1"/>
        <v>-1.1500680545803554</v>
      </c>
      <c r="E72" s="306">
        <f ca="1"/>
        <v>-0.18806037521523697</v>
      </c>
      <c r="F72" s="306">
        <f ca="1"/>
        <v>0.16243660080584485</v>
      </c>
      <c r="G72" s="306">
        <f ca="1"/>
        <v>-0.62663170461412543</v>
      </c>
      <c r="H72" s="139">
        <f ca="1"/>
        <v>1.6118611296858081</v>
      </c>
      <c r="M72" s="138">
        <f ca="1"/>
        <v>0.17139794249924944</v>
      </c>
      <c r="N72" s="306">
        <f ca="1"/>
        <v>-0.11013706678339194</v>
      </c>
      <c r="O72" s="306">
        <f ca="1"/>
        <v>2.2692630137464183</v>
      </c>
      <c r="P72" s="306">
        <f ca="1"/>
        <v>1.9910279149762391</v>
      </c>
      <c r="Q72" s="139">
        <f ca="1"/>
        <v>-1.1179327323040036</v>
      </c>
      <c r="V72" s="495"/>
      <c r="W72" s="495"/>
      <c r="X72" s="138"/>
      <c r="Y72" s="306"/>
      <c r="Z72" s="306"/>
      <c r="AA72" s="306"/>
      <c r="AB72" s="139"/>
      <c r="AC72" s="495"/>
      <c r="AD72" s="495"/>
      <c r="AE72" s="495"/>
    </row>
    <row r="73" spans="4:31" x14ac:dyDescent="0.25">
      <c r="D73" s="138">
        <f ca="1"/>
        <v>0.64691193539250558</v>
      </c>
      <c r="E73" s="306">
        <f ca="1"/>
        <v>0.89115808668949248</v>
      </c>
      <c r="F73" s="306">
        <f ca="1"/>
        <v>0.9860723619258096</v>
      </c>
      <c r="G73" s="306">
        <f ca="1"/>
        <v>-0.506742454491937</v>
      </c>
      <c r="H73" s="139">
        <f ca="1"/>
        <v>7.2347348245717744E-2</v>
      </c>
      <c r="M73" s="138">
        <f ca="1"/>
        <v>-0.27206819213014455</v>
      </c>
      <c r="N73" s="306">
        <f ca="1"/>
        <v>-0.78389672192767001</v>
      </c>
      <c r="O73" s="306">
        <f ca="1"/>
        <v>1.7386209358168976</v>
      </c>
      <c r="P73" s="306">
        <f ca="1"/>
        <v>-1.5918011760197763</v>
      </c>
      <c r="Q73" s="139">
        <f ca="1"/>
        <v>0.37770234866728736</v>
      </c>
      <c r="V73" s="495"/>
      <c r="W73" s="495"/>
      <c r="X73" s="138"/>
      <c r="Y73" s="306"/>
      <c r="Z73" s="306"/>
      <c r="AA73" s="306"/>
      <c r="AB73" s="139"/>
      <c r="AC73" s="495"/>
      <c r="AD73" s="495"/>
      <c r="AE73" s="495"/>
    </row>
    <row r="74" spans="4:31" x14ac:dyDescent="0.25">
      <c r="D74" s="138">
        <f ca="1"/>
        <v>2.1332675037689501</v>
      </c>
      <c r="E74" s="306">
        <f ca="1"/>
        <v>1.0044329379325341E-2</v>
      </c>
      <c r="F74" s="306">
        <f ca="1"/>
        <v>2.7930281231195897</v>
      </c>
      <c r="G74" s="306">
        <f ca="1"/>
        <v>4.7540172641717976E-2</v>
      </c>
      <c r="H74" s="139">
        <f ca="1"/>
        <v>0.14952454772362248</v>
      </c>
      <c r="M74" s="138">
        <f ca="1"/>
        <v>1.4437591604313265</v>
      </c>
      <c r="N74" s="306">
        <f ca="1"/>
        <v>0.17238851165673519</v>
      </c>
      <c r="O74" s="306">
        <f ca="1"/>
        <v>-1.2699860097416114</v>
      </c>
      <c r="P74" s="306">
        <f ca="1"/>
        <v>0.26590942794695149</v>
      </c>
      <c r="Q74" s="139">
        <f ca="1"/>
        <v>0.57196512132722011</v>
      </c>
      <c r="V74" s="495"/>
      <c r="W74" s="495"/>
      <c r="X74" s="138"/>
      <c r="Y74" s="306"/>
      <c r="Z74" s="306"/>
      <c r="AA74" s="306"/>
      <c r="AB74" s="139"/>
      <c r="AC74" s="495"/>
      <c r="AD74" s="495"/>
      <c r="AE74" s="495"/>
    </row>
    <row r="75" spans="4:31" x14ac:dyDescent="0.25">
      <c r="D75" s="138">
        <f ca="1"/>
        <v>-0.99466901445455624</v>
      </c>
      <c r="E75" s="306">
        <f ca="1"/>
        <v>0.50225278398034379</v>
      </c>
      <c r="F75" s="306">
        <f ca="1"/>
        <v>0.62792680297973469</v>
      </c>
      <c r="G75" s="306">
        <f ca="1"/>
        <v>2.0691183604794094</v>
      </c>
      <c r="H75" s="139">
        <f ca="1"/>
        <v>-1.04703872441546</v>
      </c>
      <c r="M75" s="138">
        <f ca="1"/>
        <v>0.97846890675398013</v>
      </c>
      <c r="N75" s="306">
        <f ca="1"/>
        <v>-1.1020582544619302</v>
      </c>
      <c r="O75" s="306">
        <f ca="1"/>
        <v>0.39286477148360299</v>
      </c>
      <c r="P75" s="306">
        <f ca="1"/>
        <v>-0.1227331305528255</v>
      </c>
      <c r="Q75" s="139">
        <f ca="1"/>
        <v>1.0001710109068307</v>
      </c>
      <c r="V75" s="495"/>
      <c r="W75" s="495"/>
      <c r="X75" s="138"/>
      <c r="Y75" s="306"/>
      <c r="Z75" s="306"/>
      <c r="AA75" s="306"/>
      <c r="AB75" s="139"/>
      <c r="AC75" s="495"/>
      <c r="AD75" s="495"/>
      <c r="AE75" s="495"/>
    </row>
    <row r="76" spans="4:31" x14ac:dyDescent="0.25">
      <c r="D76" s="138">
        <f ca="1"/>
        <v>-0.14279798956905393</v>
      </c>
      <c r="E76" s="306">
        <f ca="1"/>
        <v>2.6249780866021383E-2</v>
      </c>
      <c r="F76" s="306">
        <f ca="1"/>
        <v>-0.65969703489988807</v>
      </c>
      <c r="G76" s="306">
        <f ca="1"/>
        <v>-0.925057575262345</v>
      </c>
      <c r="H76" s="139">
        <f ca="1"/>
        <v>0.69780853400880927</v>
      </c>
      <c r="M76" s="138">
        <f ca="1"/>
        <v>-1.4681182045982457</v>
      </c>
      <c r="N76" s="306">
        <f ca="1"/>
        <v>-2.0794109376992451</v>
      </c>
      <c r="O76" s="306">
        <f ca="1"/>
        <v>-0.8103248144499442</v>
      </c>
      <c r="P76" s="306">
        <f ca="1"/>
        <v>0.64107672193829024</v>
      </c>
      <c r="Q76" s="139">
        <f ca="1"/>
        <v>-0.5551205874134405</v>
      </c>
      <c r="V76" s="495"/>
      <c r="W76" s="495"/>
      <c r="X76" s="138"/>
      <c r="Y76" s="306"/>
      <c r="Z76" s="306"/>
      <c r="AA76" s="306"/>
      <c r="AB76" s="139"/>
      <c r="AC76" s="495"/>
      <c r="AD76" s="495"/>
      <c r="AE76" s="495"/>
    </row>
    <row r="77" spans="4:31" x14ac:dyDescent="0.25">
      <c r="D77" s="138">
        <f ca="1"/>
        <v>1.092291704880513</v>
      </c>
      <c r="E77" s="306">
        <f ca="1"/>
        <v>0.50433622145908918</v>
      </c>
      <c r="F77" s="306">
        <f ca="1"/>
        <v>1.0826951457065646</v>
      </c>
      <c r="G77" s="306">
        <f ca="1"/>
        <v>0.59345089881883117</v>
      </c>
      <c r="H77" s="139">
        <f ca="1"/>
        <v>1.1610661581658341E-2</v>
      </c>
      <c r="M77" s="138">
        <f ca="1"/>
        <v>-0.41957997007360187</v>
      </c>
      <c r="N77" s="306">
        <f ca="1"/>
        <v>-0.45615015179100066</v>
      </c>
      <c r="O77" s="306">
        <f ca="1"/>
        <v>0.34528217502908681</v>
      </c>
      <c r="P77" s="306">
        <f ca="1"/>
        <v>-2.0540035856533874</v>
      </c>
      <c r="Q77" s="139">
        <f ca="1"/>
        <v>-0.62883004396016451</v>
      </c>
      <c r="V77" s="495"/>
      <c r="W77" s="495"/>
      <c r="X77" s="138"/>
      <c r="Y77" s="306"/>
      <c r="Z77" s="306"/>
      <c r="AA77" s="306"/>
      <c r="AB77" s="139"/>
      <c r="AC77" s="495"/>
      <c r="AD77" s="495"/>
      <c r="AE77" s="495"/>
    </row>
    <row r="78" spans="4:31" x14ac:dyDescent="0.25">
      <c r="D78" s="138">
        <f ca="1"/>
        <v>0.80488972711453355</v>
      </c>
      <c r="E78" s="306">
        <f ca="1"/>
        <v>-2.1496502133888749</v>
      </c>
      <c r="F78" s="306">
        <f ca="1"/>
        <v>-2.1868193390200261</v>
      </c>
      <c r="G78" s="306">
        <f ca="1"/>
        <v>-8.0685653261843113E-2</v>
      </c>
      <c r="H78" s="139">
        <f ca="1"/>
        <v>-0.71874440154847874</v>
      </c>
      <c r="M78" s="138">
        <f ca="1"/>
        <v>-1.3586466223513398</v>
      </c>
      <c r="N78" s="306">
        <f ca="1"/>
        <v>0.29927661185537396</v>
      </c>
      <c r="O78" s="306">
        <f ca="1"/>
        <v>-0.98909017881296901</v>
      </c>
      <c r="P78" s="306">
        <f ca="1"/>
        <v>-1.7601901121971923</v>
      </c>
      <c r="Q78" s="139">
        <f ca="1"/>
        <v>-0.90326978799681523</v>
      </c>
      <c r="V78" s="495"/>
      <c r="W78" s="495"/>
      <c r="X78" s="138"/>
      <c r="Y78" s="306"/>
      <c r="Z78" s="306"/>
      <c r="AA78" s="306"/>
      <c r="AB78" s="139"/>
      <c r="AC78" s="495"/>
      <c r="AD78" s="495"/>
      <c r="AE78" s="495"/>
    </row>
    <row r="79" spans="4:31" x14ac:dyDescent="0.25">
      <c r="D79" s="138">
        <f ca="1"/>
        <v>0.80605770412109401</v>
      </c>
      <c r="E79" s="306">
        <f ca="1"/>
        <v>0.98500956747093471</v>
      </c>
      <c r="F79" s="306">
        <f ca="1"/>
        <v>-0.51374156559767825</v>
      </c>
      <c r="G79" s="306">
        <f ca="1"/>
        <v>-0.10210221862083954</v>
      </c>
      <c r="H79" s="139">
        <f ca="1"/>
        <v>-0.52081378098183195</v>
      </c>
      <c r="M79" s="138">
        <f ca="1"/>
        <v>0.38038958191513106</v>
      </c>
      <c r="N79" s="306">
        <f ca="1"/>
        <v>-1.0378288827691335</v>
      </c>
      <c r="O79" s="306">
        <f ca="1"/>
        <v>2.5971214142627637</v>
      </c>
      <c r="P79" s="306">
        <f ca="1"/>
        <v>-0.14663282522262747</v>
      </c>
      <c r="Q79" s="139">
        <f ca="1"/>
        <v>-0.25899188301456494</v>
      </c>
      <c r="V79" s="495"/>
      <c r="W79" s="495"/>
      <c r="X79" s="138"/>
      <c r="Y79" s="306"/>
      <c r="Z79" s="306"/>
      <c r="AA79" s="306"/>
      <c r="AB79" s="139"/>
      <c r="AC79" s="495"/>
      <c r="AD79" s="495"/>
      <c r="AE79" s="495"/>
    </row>
    <row r="80" spans="4:31" x14ac:dyDescent="0.25">
      <c r="D80" s="138">
        <f ca="1"/>
        <v>0.82079536005409337</v>
      </c>
      <c r="E80" s="306">
        <f ca="1"/>
        <v>0.61793246371250865</v>
      </c>
      <c r="F80" s="306">
        <f ca="1"/>
        <v>-1.3466588678274796</v>
      </c>
      <c r="G80" s="306">
        <f ca="1"/>
        <v>-0.12827791600451344</v>
      </c>
      <c r="H80" s="139">
        <f ca="1"/>
        <v>-0.17698844504820233</v>
      </c>
      <c r="M80" s="138">
        <f ca="1"/>
        <v>-2.0492589722121508</v>
      </c>
      <c r="N80" s="306">
        <f ca="1"/>
        <v>0.28478540431095722</v>
      </c>
      <c r="O80" s="306">
        <f ca="1"/>
        <v>0.39372598320848995</v>
      </c>
      <c r="P80" s="306">
        <f ca="1"/>
        <v>-0.5745230326962294</v>
      </c>
      <c r="Q80" s="139">
        <f ca="1"/>
        <v>0.21858397895859533</v>
      </c>
      <c r="V80" s="495"/>
      <c r="W80" s="495"/>
      <c r="X80" s="138"/>
      <c r="Y80" s="306"/>
      <c r="Z80" s="306"/>
      <c r="AA80" s="306"/>
      <c r="AB80" s="139"/>
      <c r="AC80" s="495"/>
      <c r="AD80" s="495"/>
      <c r="AE80" s="495"/>
    </row>
    <row r="81" spans="4:31" x14ac:dyDescent="0.25">
      <c r="D81" s="138">
        <f ca="1"/>
        <v>-2.5528312879719279</v>
      </c>
      <c r="E81" s="306">
        <f ca="1"/>
        <v>0.29691031563146875</v>
      </c>
      <c r="F81" s="306">
        <f ca="1"/>
        <v>0.27808394980380907</v>
      </c>
      <c r="G81" s="306">
        <f ca="1"/>
        <v>0.44539774631615076</v>
      </c>
      <c r="H81" s="139">
        <f ca="1"/>
        <v>-0.31079358334370855</v>
      </c>
      <c r="M81" s="138">
        <f ca="1"/>
        <v>-0.33651429357523716</v>
      </c>
      <c r="N81" s="306">
        <f ca="1"/>
        <v>-0.76437673134373885</v>
      </c>
      <c r="O81" s="306">
        <f ca="1"/>
        <v>0.20662935169266924</v>
      </c>
      <c r="P81" s="306">
        <f ca="1"/>
        <v>2.0452873304035442</v>
      </c>
      <c r="Q81" s="139">
        <f ca="1"/>
        <v>0.13279307440324442</v>
      </c>
      <c r="V81" s="495"/>
      <c r="W81" s="495"/>
      <c r="X81" s="138"/>
      <c r="Y81" s="306"/>
      <c r="Z81" s="306"/>
      <c r="AA81" s="306"/>
      <c r="AB81" s="139"/>
      <c r="AC81" s="495"/>
      <c r="AD81" s="495"/>
      <c r="AE81" s="495"/>
    </row>
    <row r="82" spans="4:31" x14ac:dyDescent="0.25">
      <c r="D82" s="138">
        <f ca="1"/>
        <v>-0.35508869593067621</v>
      </c>
      <c r="E82" s="306">
        <f ca="1"/>
        <v>2.473226548926343</v>
      </c>
      <c r="F82" s="306">
        <f ca="1"/>
        <v>1.5462889736876682</v>
      </c>
      <c r="G82" s="306">
        <f ca="1"/>
        <v>-0.26354671448282113</v>
      </c>
      <c r="H82" s="139">
        <f ca="1"/>
        <v>-0.26861340529971534</v>
      </c>
      <c r="M82" s="138">
        <f ca="1"/>
        <v>0.96456983493745785</v>
      </c>
      <c r="N82" s="306">
        <f ca="1"/>
        <v>0.2974381744348194</v>
      </c>
      <c r="O82" s="306">
        <f ca="1"/>
        <v>-0.66416735827039775</v>
      </c>
      <c r="P82" s="306">
        <f ca="1"/>
        <v>-1.1740047346845341</v>
      </c>
      <c r="Q82" s="139">
        <f ca="1"/>
        <v>-2.0515326737820851</v>
      </c>
      <c r="V82" s="495"/>
      <c r="W82" s="495"/>
      <c r="X82" s="138"/>
      <c r="Y82" s="306"/>
      <c r="Z82" s="306"/>
      <c r="AA82" s="306"/>
      <c r="AB82" s="139"/>
      <c r="AC82" s="495"/>
      <c r="AD82" s="495"/>
      <c r="AE82" s="495"/>
    </row>
    <row r="83" spans="4:31" x14ac:dyDescent="0.25">
      <c r="D83" s="138">
        <f ca="1"/>
        <v>-9.1431096942242635E-2</v>
      </c>
      <c r="E83" s="306">
        <f ca="1"/>
        <v>0.42641284474781083</v>
      </c>
      <c r="F83" s="306">
        <f ca="1"/>
        <v>-0.5923458699002222</v>
      </c>
      <c r="G83" s="306">
        <f ca="1"/>
        <v>1.2013235212028235</v>
      </c>
      <c r="H83" s="139">
        <f ca="1"/>
        <v>2.3611673657222285</v>
      </c>
      <c r="M83" s="138">
        <f ca="1"/>
        <v>1.7185865011779202</v>
      </c>
      <c r="N83" s="306">
        <f ca="1"/>
        <v>-0.2884818052458844</v>
      </c>
      <c r="O83" s="306">
        <f ca="1"/>
        <v>-0.21632146817917425</v>
      </c>
      <c r="P83" s="306">
        <f ca="1"/>
        <v>-0.3599440989690163</v>
      </c>
      <c r="Q83" s="139">
        <f ca="1"/>
        <v>-0.97435375802600133</v>
      </c>
      <c r="V83" s="495"/>
      <c r="W83" s="495"/>
      <c r="X83" s="138"/>
      <c r="Y83" s="306"/>
      <c r="Z83" s="306"/>
      <c r="AA83" s="306"/>
      <c r="AB83" s="139"/>
      <c r="AC83" s="495"/>
      <c r="AD83" s="495"/>
      <c r="AE83" s="495"/>
    </row>
    <row r="84" spans="4:31" x14ac:dyDescent="0.25">
      <c r="D84" s="138">
        <f ca="1"/>
        <v>-0.21187073507578053</v>
      </c>
      <c r="E84" s="306">
        <f ca="1"/>
        <v>-0.98270009982047668</v>
      </c>
      <c r="F84" s="306">
        <f ca="1"/>
        <v>1.9342596462199904</v>
      </c>
      <c r="G84" s="306">
        <f ca="1"/>
        <v>0.81312021724325545</v>
      </c>
      <c r="H84" s="139">
        <f ca="1"/>
        <v>2.6847701181165196E-2</v>
      </c>
      <c r="M84" s="138">
        <f ca="1"/>
        <v>0.76598288450363161</v>
      </c>
      <c r="N84" s="306">
        <f ca="1"/>
        <v>1.5870388345993123</v>
      </c>
      <c r="O84" s="306">
        <f ca="1"/>
        <v>-8.4546987876763791E-2</v>
      </c>
      <c r="P84" s="306">
        <f ca="1"/>
        <v>-0.53553436856164371</v>
      </c>
      <c r="Q84" s="139">
        <f ca="1"/>
        <v>0.94998486438860852</v>
      </c>
      <c r="V84" s="495"/>
      <c r="W84" s="495"/>
      <c r="X84" s="138"/>
      <c r="Y84" s="306"/>
      <c r="Z84" s="306"/>
      <c r="AA84" s="306"/>
      <c r="AB84" s="139"/>
      <c r="AC84" s="495"/>
      <c r="AD84" s="495"/>
      <c r="AE84" s="495"/>
    </row>
    <row r="85" spans="4:31" x14ac:dyDescent="0.25">
      <c r="D85" s="138">
        <f ca="1"/>
        <v>-0.30267530359008576</v>
      </c>
      <c r="E85" s="306">
        <f ca="1"/>
        <v>-0.10619811325803392</v>
      </c>
      <c r="F85" s="306">
        <f ca="1"/>
        <v>1.1920352851635663</v>
      </c>
      <c r="G85" s="306">
        <f ca="1"/>
        <v>-4.2323241996771725E-2</v>
      </c>
      <c r="H85" s="139">
        <f ca="1"/>
        <v>0.82332740776042657</v>
      </c>
      <c r="M85" s="138">
        <f ca="1"/>
        <v>-1.0787446958523739</v>
      </c>
      <c r="N85" s="306">
        <f ca="1"/>
        <v>1.2965006471377027</v>
      </c>
      <c r="O85" s="306">
        <f ca="1"/>
        <v>-6.3466530546962094E-2</v>
      </c>
      <c r="P85" s="306">
        <f ca="1"/>
        <v>-4.7911125790783098E-2</v>
      </c>
      <c r="Q85" s="139">
        <f ca="1"/>
        <v>-0.33236165203571055</v>
      </c>
      <c r="V85" s="495"/>
      <c r="W85" s="495"/>
      <c r="X85" s="138"/>
      <c r="Y85" s="306"/>
      <c r="Z85" s="306"/>
      <c r="AA85" s="306"/>
      <c r="AB85" s="139"/>
      <c r="AC85" s="495"/>
      <c r="AD85" s="495"/>
      <c r="AE85" s="495"/>
    </row>
    <row r="86" spans="4:31" x14ac:dyDescent="0.25">
      <c r="D86" s="138">
        <f ca="1"/>
        <v>0.21279899182954726</v>
      </c>
      <c r="E86" s="306">
        <f ca="1"/>
        <v>-1.1424438777784323</v>
      </c>
      <c r="F86" s="306">
        <f ca="1"/>
        <v>-2.1354251794755204E-2</v>
      </c>
      <c r="G86" s="306">
        <f ca="1"/>
        <v>-1.6548896512828936E-2</v>
      </c>
      <c r="H86" s="139">
        <f ca="1"/>
        <v>-1.1483938988369959</v>
      </c>
      <c r="M86" s="138">
        <f ca="1"/>
        <v>1.1264485430315012</v>
      </c>
      <c r="N86" s="306">
        <f ca="1"/>
        <v>0.47279505230548646</v>
      </c>
      <c r="O86" s="306">
        <f ca="1"/>
        <v>-0.69213719375978666</v>
      </c>
      <c r="P86" s="306">
        <f ca="1"/>
        <v>-1.1813708606478739</v>
      </c>
      <c r="Q86" s="139">
        <f ca="1"/>
        <v>-2.5974834642072446</v>
      </c>
      <c r="V86" s="495"/>
      <c r="W86" s="495"/>
      <c r="X86" s="138"/>
      <c r="Y86" s="306"/>
      <c r="Z86" s="306"/>
      <c r="AA86" s="306"/>
      <c r="AB86" s="139"/>
      <c r="AC86" s="495"/>
      <c r="AD86" s="495"/>
      <c r="AE86" s="495"/>
    </row>
    <row r="87" spans="4:31" x14ac:dyDescent="0.25">
      <c r="D87" s="140">
        <f ca="1"/>
        <v>5.1409210374823731E-2</v>
      </c>
      <c r="E87" s="205">
        <f ca="1"/>
        <v>-0.21243260074195636</v>
      </c>
      <c r="F87" s="205">
        <f ca="1"/>
        <v>-0.55942050834103574</v>
      </c>
      <c r="G87" s="205">
        <f ca="1"/>
        <v>-0.21798606731311601</v>
      </c>
      <c r="H87" s="141">
        <f ca="1"/>
        <v>-0.77437601649928833</v>
      </c>
      <c r="M87" s="140">
        <f ca="1"/>
        <v>1.126803671515602</v>
      </c>
      <c r="N87" s="205">
        <f ca="1"/>
        <v>-0.12578769910307161</v>
      </c>
      <c r="O87" s="205">
        <f ca="1"/>
        <v>0.31471271671617157</v>
      </c>
      <c r="P87" s="205">
        <f ca="1"/>
        <v>0.49205901100567589</v>
      </c>
      <c r="Q87" s="141">
        <f ca="1"/>
        <v>-1.051816981198425</v>
      </c>
      <c r="V87" s="495"/>
      <c r="W87" s="495"/>
      <c r="X87" s="140"/>
      <c r="Y87" s="205"/>
      <c r="Z87" s="205"/>
      <c r="AA87" s="205"/>
      <c r="AB87" s="141"/>
      <c r="AC87" s="495"/>
      <c r="AD87" s="495"/>
      <c r="AE87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1:K51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1:T51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1:AE51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416</v>
      </c>
    </row>
    <row r="2" spans="1:62" ht="26.25" x14ac:dyDescent="0.4">
      <c r="B2" s="2" t="s">
        <v>421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422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423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422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458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462</v>
      </c>
      <c r="M15" s="357"/>
      <c r="N15" s="357"/>
      <c r="O15" s="357"/>
      <c r="P15" s="357"/>
      <c r="Q15" s="357"/>
      <c r="R15" s="467"/>
      <c r="S15" s="4" t="s">
        <v>466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454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450</v>
      </c>
      <c r="C18" s="137" t="s">
        <v>459</v>
      </c>
      <c r="D18" s="348"/>
      <c r="E18" s="136" t="s">
        <v>455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450</v>
      </c>
      <c r="M18" s="137" t="s">
        <v>445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463</v>
      </c>
      <c r="Q18" s="388" t="str" cm="1">
        <f t="array" ref="Q18">_xll.d.TestUtils_Equal(O18,P18)</f>
        <v>Ok</v>
      </c>
      <c r="R18" s="467"/>
      <c r="S18" s="497" t="s">
        <v>450</v>
      </c>
      <c r="T18" s="137" t="s">
        <v>459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488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457</v>
      </c>
      <c r="C19" s="139" t="s">
        <v>460</v>
      </c>
      <c r="D19" s="348"/>
      <c r="E19" s="140" t="s">
        <v>456</v>
      </c>
      <c r="F19" s="141">
        <f>F18-C25*SQRT(C24)</f>
        <v>0.29817029082404245</v>
      </c>
      <c r="J19" s="467"/>
      <c r="K19" s="467"/>
      <c r="L19" s="498" t="s">
        <v>457</v>
      </c>
      <c r="M19" s="139" t="s">
        <v>460</v>
      </c>
      <c r="N19" s="348"/>
      <c r="O19" s="495"/>
      <c r="P19" s="495"/>
      <c r="Q19" s="495"/>
      <c r="R19" s="467"/>
      <c r="S19" s="498" t="s">
        <v>457</v>
      </c>
      <c r="T19" s="139" t="s">
        <v>445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451</v>
      </c>
      <c r="C20" s="139">
        <v>120</v>
      </c>
      <c r="D20" s="348"/>
      <c r="J20" s="467"/>
      <c r="K20" s="467"/>
      <c r="L20" s="498" t="s">
        <v>451</v>
      </c>
      <c r="M20" s="139">
        <v>120</v>
      </c>
      <c r="N20" s="348"/>
      <c r="O20" s="495"/>
      <c r="P20" s="495"/>
      <c r="Q20" s="495"/>
      <c r="R20" s="467"/>
      <c r="S20" s="498" t="s">
        <v>451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452</v>
      </c>
      <c r="C21" s="139">
        <v>100</v>
      </c>
      <c r="D21" s="348"/>
      <c r="E21" s="348"/>
      <c r="F21" s="348"/>
      <c r="G21" s="349"/>
      <c r="L21" s="498" t="s">
        <v>452</v>
      </c>
      <c r="M21" s="139">
        <v>100</v>
      </c>
      <c r="N21" s="348"/>
      <c r="O21" s="495"/>
      <c r="P21" s="495"/>
      <c r="Q21" s="495"/>
      <c r="S21" s="498" t="s">
        <v>452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465</v>
      </c>
      <c r="C22" s="139">
        <v>0.1</v>
      </c>
      <c r="D22" s="348"/>
      <c r="E22" s="348"/>
      <c r="F22" s="348"/>
      <c r="G22" s="349"/>
      <c r="L22" s="498" t="s">
        <v>465</v>
      </c>
      <c r="M22" s="139">
        <v>0.1</v>
      </c>
      <c r="N22" s="348"/>
      <c r="O22" s="495"/>
      <c r="P22" s="495"/>
      <c r="Q22" s="495"/>
      <c r="S22" s="498" t="s">
        <v>465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464</v>
      </c>
      <c r="C23" s="139">
        <v>0.03</v>
      </c>
      <c r="D23" s="348"/>
      <c r="E23" s="348"/>
      <c r="F23" s="348"/>
      <c r="G23" s="349"/>
      <c r="L23" s="498" t="s">
        <v>464</v>
      </c>
      <c r="M23" s="139">
        <v>0.03</v>
      </c>
      <c r="N23" s="348"/>
      <c r="O23" s="495"/>
      <c r="P23" s="495"/>
      <c r="Q23" s="495"/>
      <c r="S23" s="498" t="s">
        <v>464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453</v>
      </c>
      <c r="C24" s="139">
        <v>4.5199999999999996</v>
      </c>
      <c r="D24" s="348"/>
      <c r="E24" s="348"/>
      <c r="F24" s="348"/>
      <c r="G24" s="349"/>
      <c r="L24" s="498" t="s">
        <v>453</v>
      </c>
      <c r="M24" s="139">
        <v>4.5199999999999996</v>
      </c>
      <c r="N24" s="348"/>
      <c r="O24" s="495"/>
      <c r="P24" s="495"/>
      <c r="Q24" s="495"/>
      <c r="S24" s="498" t="s">
        <v>453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423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442</v>
      </c>
      <c r="C32" s="357"/>
      <c r="D32" s="357"/>
      <c r="E32" s="357"/>
      <c r="F32" s="357"/>
      <c r="G32" s="357"/>
      <c r="H32" s="357"/>
      <c r="I32" s="467"/>
      <c r="J32" s="4" t="s">
        <v>443</v>
      </c>
      <c r="K32" s="4"/>
      <c r="L32" s="4"/>
      <c r="M32" s="467"/>
      <c r="N32" s="4" t="s">
        <v>447</v>
      </c>
      <c r="O32" s="357"/>
      <c r="P32" s="357"/>
      <c r="Q32" s="357"/>
      <c r="R32" s="357"/>
      <c r="S32" s="357"/>
      <c r="T32" s="467"/>
      <c r="U32" s="4" t="s">
        <v>448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435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434</v>
      </c>
      <c r="G34" s="134" t="s">
        <v>253</v>
      </c>
      <c r="H34" s="134" t="s">
        <v>84</v>
      </c>
      <c r="I34" s="467"/>
      <c r="J34" s="494" t="s">
        <v>444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425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425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446</v>
      </c>
      <c r="S35" s="360" t="str" cm="1">
        <f t="array" ref="S35">_xll.d.TestUtils_Equal(Q35,R35)</f>
        <v>Ok</v>
      </c>
      <c r="T35" s="467"/>
      <c r="U35" s="136" t="s">
        <v>425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449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426</v>
      </c>
      <c r="C36" s="363">
        <v>45930</v>
      </c>
      <c r="E36" s="348"/>
      <c r="F36" s="466" t="s">
        <v>427</v>
      </c>
      <c r="I36" s="467"/>
      <c r="J36" s="467"/>
      <c r="K36" s="467"/>
      <c r="L36" s="467"/>
      <c r="M36" s="467"/>
      <c r="N36" s="138" t="s">
        <v>426</v>
      </c>
      <c r="O36" s="363">
        <v>45930</v>
      </c>
      <c r="P36" s="467"/>
      <c r="Q36" s="348"/>
      <c r="R36" s="467"/>
      <c r="S36" s="467"/>
      <c r="T36" s="467"/>
      <c r="U36" s="138" t="s">
        <v>426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436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436</v>
      </c>
      <c r="O37" s="486">
        <f>C37</f>
        <v>250</v>
      </c>
      <c r="P37" s="467"/>
      <c r="Q37" s="467"/>
      <c r="R37" s="467"/>
      <c r="S37" s="467"/>
      <c r="T37" s="467"/>
      <c r="U37" s="138" t="s">
        <v>436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437</v>
      </c>
      <c r="C38" s="363" t="s">
        <v>461</v>
      </c>
      <c r="N38" s="138" t="s">
        <v>437</v>
      </c>
      <c r="O38" s="363" t="s">
        <v>445</v>
      </c>
      <c r="U38" s="138" t="s">
        <v>437</v>
      </c>
      <c r="V38" s="363" t="s">
        <v>438</v>
      </c>
    </row>
    <row r="39" spans="2:65" s="467" customFormat="1" x14ac:dyDescent="0.25">
      <c r="B39" s="482" t="s">
        <v>424</v>
      </c>
      <c r="C39" s="483">
        <v>0.97</v>
      </c>
      <c r="N39" s="482" t="s">
        <v>424</v>
      </c>
      <c r="O39" s="483">
        <v>0.97</v>
      </c>
      <c r="U39" s="482" t="s">
        <v>424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428</v>
      </c>
      <c r="C42" s="469" t="s">
        <v>429</v>
      </c>
      <c r="D42" s="469" t="s">
        <v>430</v>
      </c>
      <c r="E42" s="469" t="s">
        <v>431</v>
      </c>
      <c r="F42" s="469" t="s">
        <v>432</v>
      </c>
      <c r="G42" s="467"/>
      <c r="J42" s="467"/>
      <c r="K42" s="467"/>
      <c r="L42" s="467"/>
      <c r="M42" s="467"/>
    </row>
    <row r="43" spans="2:65" x14ac:dyDescent="0.25">
      <c r="B43" s="470" t="s">
        <v>433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433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433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433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433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433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433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433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433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433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433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433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433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433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433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433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433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433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433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433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433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433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433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433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433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433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433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433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433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433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433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433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433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433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433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433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433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433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433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433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433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433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433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433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433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433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433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433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433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433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433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433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433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433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433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433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433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433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433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433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433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433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433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433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433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433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433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433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433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433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433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433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433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433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433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433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433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433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433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433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433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433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433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433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433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433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433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433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433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433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433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433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433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433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433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433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433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433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433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433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433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433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433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433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433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433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433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433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433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433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433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433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433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433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433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433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433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433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433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433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433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433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433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433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433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433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433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433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433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433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433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433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433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433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433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433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433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433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433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433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433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433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433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433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433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433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433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433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433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433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433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433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433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433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433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433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433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433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433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433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433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433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433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433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433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433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433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433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433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433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433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433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433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433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433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433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433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433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433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433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433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433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433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433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433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433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433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433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433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433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433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433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433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433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433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433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433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433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433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433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433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433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433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433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433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433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433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433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433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433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433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433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433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433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433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433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433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433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433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433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433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433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433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433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433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433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433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433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433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433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433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433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433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433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433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433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433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433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433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433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433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433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433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433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433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433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433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433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433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433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433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433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433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433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433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433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433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433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433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433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433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433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433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433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433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433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433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433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433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433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433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433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433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433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433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433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433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433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433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433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433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433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433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433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433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433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433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433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433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433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433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433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433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433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433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433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433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433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433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433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433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433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433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433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433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433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433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433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433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433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433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433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433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433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433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433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433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433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433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433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433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433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433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433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433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433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433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433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433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433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433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433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433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433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433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433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433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433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433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433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433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433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433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433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433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433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433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433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433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433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433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433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433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433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433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433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433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433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433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433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433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433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433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433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433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433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433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433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433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433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433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433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433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433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433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433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433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433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433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433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433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433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433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433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433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433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433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433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433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433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433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433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433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433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433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433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433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433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433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433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433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433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433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433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433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433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433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433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433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433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433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433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433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433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433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433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433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433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433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433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433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433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433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433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433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433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433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433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433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433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433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433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433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433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433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433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433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433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433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433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433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433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433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433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433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433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433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433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433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433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433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433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433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433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433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433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433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433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433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433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433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433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433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433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433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433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433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433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433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433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433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433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433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433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433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433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433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433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433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433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433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433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433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433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433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433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433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433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433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433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433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433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433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433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433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433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433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433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433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433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433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433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433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433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433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433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433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433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433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433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433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433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433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433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433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433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433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433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433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433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433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433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433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433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433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433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433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433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433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433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433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433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433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433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433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433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433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433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433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433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433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433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433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433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433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433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433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433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433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433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433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433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433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433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433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433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433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433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433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433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433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433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433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433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433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433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433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433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433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433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433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433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433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433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433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433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433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433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433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433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433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433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433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433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433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433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433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433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433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433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433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433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433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433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433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433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433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433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433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433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433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433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433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433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433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433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433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433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433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433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433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433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433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433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433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433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433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433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433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433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433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433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433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433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433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433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433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433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433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433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433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433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433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433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433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433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433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433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433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433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433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433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433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433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433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433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433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433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433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433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433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433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433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433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433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433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433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433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433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433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433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433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433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433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433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433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433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433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433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433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433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433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433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433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433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433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433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433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433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433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433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433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433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433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433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433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433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433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433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433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433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433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433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433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433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433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433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433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433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433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433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433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433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433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433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433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433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433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433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433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433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433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433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433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433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433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433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433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433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433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433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433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433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433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433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433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433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433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433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433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433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433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433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433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433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433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433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433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433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433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433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433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433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433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433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433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433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433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433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433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433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433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433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433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433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433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433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433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433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433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433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433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433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433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433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433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433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433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433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433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433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433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433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433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433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433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433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433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433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433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433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433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433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433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433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433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433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433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433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433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433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433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433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433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433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433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433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433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433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433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433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433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433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433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433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433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433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433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433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433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433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433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433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433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433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433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433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433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433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433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433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433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433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433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433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433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433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433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433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433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433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433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433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433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433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433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433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433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433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433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433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433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433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433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433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433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433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433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433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433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433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433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433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433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433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433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433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433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433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433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433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433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433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433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433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433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433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433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433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433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433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433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433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433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433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433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433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433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433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433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433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433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433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433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433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433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433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433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433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433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433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433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433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433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433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433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433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433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433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433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433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433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433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433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433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433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433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433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433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433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433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433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433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433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433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433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433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433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433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433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433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433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433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433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433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433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433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433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433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433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433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433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433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433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433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433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433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433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433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433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433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433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433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433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433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433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433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433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433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433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433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433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433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433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433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433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433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433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433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433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433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433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433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433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433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433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433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433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433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433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433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433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433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433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433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433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433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433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433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433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433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433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433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433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433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433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433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433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433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433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433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433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433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433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433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433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433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433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433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433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433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433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433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433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433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433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433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433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433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433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433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433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433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433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433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433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433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433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433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433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433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433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433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433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433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433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433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433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433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433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433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433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433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433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433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433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433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433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433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433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433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433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433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433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433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433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433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433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433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433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433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433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433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433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433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433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433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433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433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433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433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433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433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433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433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433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433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433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433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433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433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433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433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433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433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433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433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433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433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433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433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433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433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433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433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433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433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433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433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433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433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433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433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433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433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433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433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433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433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433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433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433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433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433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433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433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433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433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433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433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433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433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433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433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433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433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433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433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433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433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433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433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433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433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433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433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433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433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433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433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433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433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433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433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433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433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433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433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433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433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433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433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433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433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433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433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433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433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433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433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433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433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433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433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433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433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433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433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433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433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433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433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433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433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433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433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433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433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433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433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433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433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433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433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433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433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433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433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433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433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433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433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433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433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433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433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433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433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433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433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433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433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433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433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433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433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433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433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433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433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433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433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433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433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433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433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433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433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433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433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433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433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433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433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433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433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433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433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433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433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433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433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433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433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433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433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433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433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433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433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433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433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433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433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433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433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433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433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433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433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433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433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433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433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433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433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433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433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433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416</v>
      </c>
    </row>
    <row r="2" spans="1:54" ht="26.25" x14ac:dyDescent="0.4">
      <c r="B2" s="2" t="s">
        <v>417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418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419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418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470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475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468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468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468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474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473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489</v>
      </c>
      <c r="C21" s="552">
        <f>3/12</f>
        <v>0.25</v>
      </c>
      <c r="D21" s="503"/>
      <c r="E21" s="620" t="s">
        <v>467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20" t="s">
        <v>467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20" t="s">
        <v>467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489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489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21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21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21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471</v>
      </c>
      <c r="AG22" s="521"/>
      <c r="AH22" s="139" t="s">
        <v>469</v>
      </c>
      <c r="AI22"/>
      <c r="AJ22"/>
      <c r="AK22"/>
      <c r="AM22" s="348"/>
      <c r="AN22"/>
      <c r="AO22"/>
      <c r="AP22"/>
      <c r="AR22" s="521" t="s">
        <v>471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21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21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21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472</v>
      </c>
      <c r="AG23" s="522"/>
      <c r="AH23" s="141" t="s">
        <v>81</v>
      </c>
      <c r="AR23" s="522" t="s">
        <v>472</v>
      </c>
      <c r="AS23" s="522"/>
      <c r="AT23" s="141" t="s">
        <v>469</v>
      </c>
    </row>
    <row r="24" spans="1:54" s="495" customFormat="1" x14ac:dyDescent="0.25">
      <c r="D24" s="553">
        <v>4</v>
      </c>
      <c r="E24" s="621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21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21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21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21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21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22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22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22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419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479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476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480</v>
      </c>
      <c r="K38" s="528" t="s">
        <v>469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481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477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476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478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477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478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416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484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487</v>
      </c>
      <c r="C9" s="177" t="str">
        <f>C63</f>
        <v>Ok</v>
      </c>
      <c r="E9" s="561"/>
    </row>
    <row r="10" spans="2:20" x14ac:dyDescent="0.25">
      <c r="B10" s="544" t="s">
        <v>494</v>
      </c>
      <c r="C10" s="177" t="str">
        <f>C77</f>
        <v>Ok</v>
      </c>
    </row>
    <row r="13" spans="2:20" ht="18.75" x14ac:dyDescent="0.3">
      <c r="B13" s="3" t="s">
        <v>484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@@ExampleCurve::15:23:20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493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501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483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486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487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494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496</v>
      </c>
      <c r="E81" s="570" t="s">
        <v>497</v>
      </c>
      <c r="F81" s="570" t="s">
        <v>495</v>
      </c>
      <c r="G81" s="570" t="s">
        <v>498</v>
      </c>
      <c r="H81" s="570" t="s">
        <v>84</v>
      </c>
      <c r="I81" s="570" t="s">
        <v>495</v>
      </c>
      <c r="J81" s="570" t="s">
        <v>498</v>
      </c>
      <c r="K81" s="570" t="s">
        <v>84</v>
      </c>
      <c r="L81" s="570" t="s">
        <v>495</v>
      </c>
      <c r="M81" s="570" t="s">
        <v>498</v>
      </c>
      <c r="N81" s="570" t="s">
        <v>84</v>
      </c>
      <c r="O81" s="570" t="s">
        <v>495</v>
      </c>
      <c r="P81" s="570" t="s">
        <v>498</v>
      </c>
      <c r="Q81" s="570" t="s">
        <v>84</v>
      </c>
      <c r="R81" s="570" t="s">
        <v>495</v>
      </c>
      <c r="S81" s="570" t="s">
        <v>498</v>
      </c>
      <c r="T81" s="570" t="s">
        <v>84</v>
      </c>
      <c r="U81" s="570" t="s">
        <v>495</v>
      </c>
      <c r="V81" s="570" t="s">
        <v>498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416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@@ZARCurve::15:23:20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@@USDOIS::15:23:20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416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416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416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416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57" zoomScale="115" zoomScaleNormal="115" workbookViewId="0">
      <selection activeCell="E61" sqref="E6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416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491</v>
      </c>
      <c r="F5" s="460"/>
    </row>
    <row r="6" spans="2:56" x14ac:dyDescent="0.25">
      <c r="B6" s="203" t="s">
        <v>9</v>
      </c>
      <c r="C6" s="204" t="s">
        <v>10</v>
      </c>
      <c r="E6" s="461" t="s">
        <v>490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Error</v>
      </c>
    </row>
    <row r="9" spans="2:56" x14ac:dyDescent="0.25">
      <c r="B9" s="200" t="s">
        <v>112</v>
      </c>
      <c r="C9" s="177" t="str">
        <f ca="1">C72</f>
        <v>Error</v>
      </c>
    </row>
    <row r="10" spans="2:56" x14ac:dyDescent="0.25">
      <c r="B10" s="200" t="s">
        <v>115</v>
      </c>
      <c r="C10" s="177" t="str">
        <f ca="1">C108</f>
        <v>Error</v>
      </c>
    </row>
    <row r="11" spans="2:56" x14ac:dyDescent="0.25">
      <c r="B11" s="200" t="s">
        <v>118</v>
      </c>
      <c r="C11" s="177" t="str">
        <f ca="1">C144</f>
        <v>Error</v>
      </c>
    </row>
    <row r="12" spans="2:56" x14ac:dyDescent="0.25">
      <c r="B12" s="200" t="s">
        <v>120</v>
      </c>
      <c r="C12" s="177" t="str">
        <f ca="1">C166</f>
        <v>Error</v>
      </c>
    </row>
    <row r="13" spans="2:56" x14ac:dyDescent="0.25">
      <c r="B13" s="200" t="s">
        <v>162</v>
      </c>
      <c r="C13" s="177" t="str">
        <f ca="1">C186</f>
        <v>Error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Error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Error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Error</v>
      </c>
      <c r="BI40" s="177" t="str" cm="1">
        <f t="array" aca="1" ref="BI40" ca="1">_xll.d.TestUtils_IsTrue(_xll.d.Formatting_Equal(G40,AQ40))</f>
        <v>Error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Error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Error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Error</v>
      </c>
      <c r="BE42" s="177" t="str" cm="1">
        <f t="array" aca="1" ref="BE42" ca="1">_xll.d.TestUtils_IsTrue(_xll.d.Formatting_Equal(C42,AM42))</f>
        <v>Error</v>
      </c>
      <c r="BF42" s="177" t="str" cm="1">
        <f t="array" aca="1" ref="BF42" ca="1">_xll.d.TestUtils_IsTrue(_xll.d.Formatting_Equal(D42,AN42))</f>
        <v>Error</v>
      </c>
      <c r="BG42" s="177" t="str" cm="1">
        <f t="array" aca="1" ref="BG42" ca="1">_xll.d.TestUtils_IsTrue(_xll.d.Formatting_Equal(E42,AO42))</f>
        <v>Error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Error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Error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34" t="s">
        <v>92</v>
      </c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135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Error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Error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Error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Error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Error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Error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32" t="s">
        <v>34</v>
      </c>
      <c r="C64" s="318" t="s">
        <v>0</v>
      </c>
      <c r="D64" s="318" t="s">
        <v>93</v>
      </c>
      <c r="E64" s="318" t="s">
        <v>94</v>
      </c>
      <c r="F64" s="318" t="s">
        <v>95</v>
      </c>
      <c r="G64" s="318" t="s">
        <v>96</v>
      </c>
      <c r="H64" s="318" t="s">
        <v>97</v>
      </c>
      <c r="I64" s="318" t="s">
        <v>79</v>
      </c>
      <c r="J64" s="318" t="s">
        <v>80</v>
      </c>
      <c r="K64" s="318" t="s">
        <v>81</v>
      </c>
      <c r="L64" s="318" t="s">
        <v>98</v>
      </c>
      <c r="M64" s="318" t="s">
        <v>24</v>
      </c>
      <c r="N64" s="318" t="s">
        <v>39</v>
      </c>
      <c r="O64" s="318" t="s">
        <v>99</v>
      </c>
      <c r="P64" s="318" t="s">
        <v>91</v>
      </c>
      <c r="Q64" s="318" t="s">
        <v>101</v>
      </c>
      <c r="R64" s="133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Error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Error</v>
      </c>
      <c r="BG64" s="177" t="str" cm="1">
        <f t="array" aca="1" ref="BG64" ca="1">_xll.d.TestUtils_IsTrue(_xll.d.Formatting_Equal(E64,AO64))</f>
        <v>Error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Error</v>
      </c>
      <c r="BO64" s="177" t="str" cm="1">
        <f t="array" aca="1" ref="BO64" ca="1">_xll.d.TestUtils_IsTrue(_xll.d.Formatting_Equal(M64,AW64))</f>
        <v>Error</v>
      </c>
      <c r="BP64" s="177" t="str" cm="1">
        <f t="array" aca="1" ref="BP64" ca="1">_xll.d.TestUtils_IsTrue(_xll.d.Formatting_Equal(N64,AX64))</f>
        <v>Error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Error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73">
        <v>44562</v>
      </c>
      <c r="C65" s="175">
        <v>44562</v>
      </c>
      <c r="D65" s="319">
        <v>1000</v>
      </c>
      <c r="E65" s="321">
        <v>1000</v>
      </c>
      <c r="F65" s="323">
        <v>1000</v>
      </c>
      <c r="G65" s="325">
        <v>1000</v>
      </c>
      <c r="H65" s="327">
        <v>0.3</v>
      </c>
      <c r="I65" s="327">
        <v>0.3</v>
      </c>
      <c r="J65" s="327">
        <v>0.3</v>
      </c>
      <c r="K65" s="327">
        <v>0.3</v>
      </c>
      <c r="L65" s="327">
        <v>0.3</v>
      </c>
      <c r="M65" s="327">
        <v>0.3</v>
      </c>
      <c r="N65" s="327">
        <v>0.3</v>
      </c>
      <c r="O65" s="327">
        <v>0.3</v>
      </c>
      <c r="P65" s="327">
        <v>0.3</v>
      </c>
      <c r="Q65" s="327">
        <v>0.3</v>
      </c>
      <c r="R65" s="32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Error</v>
      </c>
      <c r="BE65" s="177" t="str" cm="1">
        <f t="array" aca="1" ref="BE65" ca="1">_xll.d.TestUtils_IsTrue(_xll.d.Formatting_Equal(C65,AM65))</f>
        <v>Error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Error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Error</v>
      </c>
      <c r="BM65" s="177" t="str" cm="1">
        <f t="array" aca="1" ref="BM65" ca="1">_xll.d.TestUtils_IsTrue(_xll.d.Formatting_Equal(K65,AU65))</f>
        <v>Error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Error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74">
        <v>44593</v>
      </c>
      <c r="C66" s="176">
        <v>44593</v>
      </c>
      <c r="D66" s="165">
        <v>2000</v>
      </c>
      <c r="E66" s="166">
        <v>2000</v>
      </c>
      <c r="F66" s="167">
        <v>2000</v>
      </c>
      <c r="G66" s="168">
        <v>2000</v>
      </c>
      <c r="H66" s="169">
        <v>0.4</v>
      </c>
      <c r="I66" s="169">
        <v>0.4</v>
      </c>
      <c r="J66" s="169">
        <v>0.4</v>
      </c>
      <c r="K66" s="169">
        <v>0.4</v>
      </c>
      <c r="L66" s="169">
        <v>0.4</v>
      </c>
      <c r="M66" s="169">
        <v>0.4</v>
      </c>
      <c r="N66" s="169">
        <v>0.4</v>
      </c>
      <c r="O66" s="169">
        <v>0.4</v>
      </c>
      <c r="P66" s="169">
        <v>0.4</v>
      </c>
      <c r="Q66" s="169">
        <v>0.4</v>
      </c>
      <c r="R66" s="171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Error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Error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Error</v>
      </c>
      <c r="BQ66" s="177" t="str" cm="1">
        <f t="array" aca="1" ref="BQ66" ca="1">_xll.d.TestUtils_IsTrue(_xll.d.Formatting_Equal(O66,AY66))</f>
        <v>Error</v>
      </c>
      <c r="BR66" s="177" t="str" cm="1">
        <f t="array" aca="1" ref="BR66" ca="1">_xll.d.TestUtils_IsTrue(_xll.d.Formatting_Equal(P66,AZ66))</f>
        <v>Error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329">
        <v>44621</v>
      </c>
      <c r="C67" s="330">
        <v>44621</v>
      </c>
      <c r="D67" s="320">
        <v>3000</v>
      </c>
      <c r="E67" s="322">
        <v>3000</v>
      </c>
      <c r="F67" s="324">
        <v>3000</v>
      </c>
      <c r="G67" s="326">
        <v>3000</v>
      </c>
      <c r="H67" s="170">
        <v>0.5</v>
      </c>
      <c r="I67" s="170">
        <v>0.5</v>
      </c>
      <c r="J67" s="170">
        <v>0.5</v>
      </c>
      <c r="K67" s="170">
        <v>0.5</v>
      </c>
      <c r="L67" s="170">
        <v>0.5</v>
      </c>
      <c r="M67" s="170">
        <v>0.5</v>
      </c>
      <c r="N67" s="170">
        <v>0.5</v>
      </c>
      <c r="O67" s="170">
        <v>0.5</v>
      </c>
      <c r="P67" s="170">
        <v>0.5</v>
      </c>
      <c r="Q67" s="170">
        <v>0.5</v>
      </c>
      <c r="R67" s="172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Error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Error</v>
      </c>
      <c r="BS67" s="177" t="str" cm="1">
        <f t="array" aca="1" ref="BS67" ca="1">_xll.d.TestUtils_IsTrue(_xll.d.Formatting_Equal(Q67,BA67))</f>
        <v>Error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Error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23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23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21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21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21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21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21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21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21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21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21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21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Error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21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21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Error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Error</v>
      </c>
    </row>
    <row r="94" spans="2:24" x14ac:dyDescent="0.25">
      <c r="B94" s="621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21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21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21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Error</v>
      </c>
      <c r="W95" s="177" t="str" cm="1">
        <f t="array" aca="1" ref="W95" ca="1">_xll.d.TestUtils_IsTrue(_xll.d.Formatting_Equal(E95,Q95))</f>
        <v>Error</v>
      </c>
      <c r="X95" s="177" t="str" cm="1">
        <f t="array" aca="1" ref="X95" ca="1">_xll.d.TestUtils_IsTrue(_xll.d.Formatting_Equal(F95,R95))</f>
        <v>Ok</v>
      </c>
    </row>
    <row r="96" spans="2:24" x14ac:dyDescent="0.25">
      <c r="B96" s="621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21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Error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Error</v>
      </c>
    </row>
    <row r="97" spans="2:55" x14ac:dyDescent="0.25">
      <c r="B97" s="621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21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Error</v>
      </c>
      <c r="W97" s="177" t="str" cm="1">
        <f t="array" aca="1" ref="W97" ca="1">_xll.d.TestUtils_IsTrue(_xll.d.Formatting_Equal(E97,Q97))</f>
        <v>Error</v>
      </c>
      <c r="X97" s="177" t="str" cm="1">
        <f t="array" aca="1" ref="X97" ca="1">_xll.d.TestUtils_IsTrue(_xll.d.Formatting_Equal(F97,R97))</f>
        <v>Ok</v>
      </c>
    </row>
    <row r="98" spans="2:55" x14ac:dyDescent="0.25">
      <c r="B98" s="621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21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21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21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21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21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21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21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21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21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22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22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Error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24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Error</v>
      </c>
      <c r="X123" s="177" t="str" cm="1">
        <f t="array" aca="1" ref="X123" ca="1">_xll.d.TestUtils_IsTrue(_xll.d.Formatting_Equal(F123,R123))</f>
        <v>Error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2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Error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25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Error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25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Error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25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Error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Error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25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Error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25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2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Error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Error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2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Error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Error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2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Error</v>
      </c>
      <c r="V132" s="177" t="str" cm="1">
        <f t="array" aca="1" ref="V132" ca="1">_xll.d.TestUtils_IsTrue(_xll.d.Formatting_Equal(D132,P132))</f>
        <v>Error</v>
      </c>
      <c r="W132" s="177" t="str" cm="1">
        <f t="array" aca="1" ref="W132" ca="1">_xll.d.TestUtils_IsTrue(_xll.d.Formatting_Equal(E132,Q132))</f>
        <v>Error</v>
      </c>
      <c r="X132" s="177" t="str" cm="1">
        <f t="array" aca="1" ref="X132" ca="1">_xll.d.TestUtils_IsTrue(_xll.d.Formatting_Equal(F132,R132))</f>
        <v>Error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25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Error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2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Error</v>
      </c>
      <c r="U134" s="177" t="str" cm="1">
        <f t="array" aca="1" ref="U134" ca="1">_xll.d.TestUtils_IsTrue(_xll.d.Formatting_Equal(C134,O134))</f>
        <v>Error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Error</v>
      </c>
      <c r="X134" s="177" t="str" cm="1">
        <f t="array" aca="1" ref="X134" ca="1">_xll.d.TestUtils_IsTrue(_xll.d.Formatting_Equal(F134,R134))</f>
        <v>Error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2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25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Error</v>
      </c>
      <c r="U136" s="177" t="str" cm="1">
        <f t="array" aca="1" ref="U136" ca="1">_xll.d.TestUtils_IsTrue(_xll.d.Formatting_Equal(C136,O136))</f>
        <v>Error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25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Error</v>
      </c>
      <c r="W137" s="177" t="str" cm="1">
        <f t="array" aca="1" ref="W137" ca="1">_xll.d.TestUtils_IsTrue(_xll.d.Formatting_Equal(E137,Q137))</f>
        <v>Error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25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Error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Error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25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Error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Error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Error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Error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Error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Error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23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23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Error</v>
      </c>
      <c r="U197" s="177" t="str" cm="1">
        <f t="array" aca="1" ref="U197" ca="1">_xll.d.TestUtils_IsTrue(_xll.d.Formatting_Equal(C197,O197))</f>
        <v>Error</v>
      </c>
      <c r="V197" s="177" t="str" cm="1">
        <f t="array" aca="1" ref="V197" ca="1">_xll.d.TestUtils_IsTrue(_xll.d.Formatting_Equal(D197,P197))</f>
        <v>Error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22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22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23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23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21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21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21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21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21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21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22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22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2023-01-11T13:33:00Z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