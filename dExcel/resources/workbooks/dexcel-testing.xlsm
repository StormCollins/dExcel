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662FF66F-A7E1-4DCE-8D20-3AB8BA5A0934}" xr6:coauthVersionLast="47" xr6:coauthVersionMax="47" xr10:uidLastSave="{00000000-0000-0000-0000-000000000000}"/>
  <bookViews>
    <workbookView xWindow="-120" yWindow="-120" windowWidth="24240" windowHeight="13140" tabRatio="485" firstSheet="4" activeTab="8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Logic" sheetId="9" r:id="rId8"/>
    <sheet name="Table Formatting" sheetId="5" r:id="rId9"/>
  </sheets>
  <definedNames>
    <definedName name="Curves.Title">Curves!$B$2</definedName>
    <definedName name="Logic.Title">Logic!$B$2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Formatting'!$T$57:$AJ$61</definedName>
    <definedName name="TableFormatting.Test1.Output">'Table Formatting'!$AL$57:$BB$61</definedName>
    <definedName name="TableFormatting.Test1.ResetTest">'Table Formatting'!$B$51:$C$51</definedName>
    <definedName name="TableFormatting.Test1.Title">'Table Formatting'!$B$40</definedName>
    <definedName name="TableFormatting.Test2.Input">'Table Formatting'!$T$81:$AJ$85</definedName>
    <definedName name="TableFormatting.Test2.Output">'Table Formatting'!$AL$81:$BB$85</definedName>
    <definedName name="TableFormatting.Test2.ResetTest">'Table Formatting'!$B$75:$C$75</definedName>
    <definedName name="TableFormatting.Test2.Title">'Table Formatting'!$B$64</definedName>
    <definedName name="TableFormatting.Test3.Input">'Table Formatting'!$H$105:$L$121</definedName>
    <definedName name="TableFormatting.Test3.Output">'Table Formatting'!$N$105:$R$121</definedName>
    <definedName name="TableFormatting.Test3.ResetTest">'Table Formatting'!$B$99:$C$99</definedName>
    <definedName name="TableFormatting.Test3.Title">'Table Formatting'!$B$88</definedName>
    <definedName name="TableFormatting.Test4.Input">'Table Formatting'!$H$141:$L$157</definedName>
    <definedName name="TableFormatting.Test4.Output">'Table Formatting'!$N$141:$R$157</definedName>
    <definedName name="TableFormatting.Test4.ResetTest">'Table Formatting'!$B$135:$C$135</definedName>
    <definedName name="TableFormatting.Test4.Title">'Table Formatting'!$B$124</definedName>
    <definedName name="TableFormatting.Test5.Input">'Table Formatting'!$E$175:$F$179</definedName>
    <definedName name="TableFormatting.Test5.Output">'Table Formatting'!$H$175:$I$179</definedName>
    <definedName name="TableFormatting.Test5.ResetTest">'Table Formatting'!$B$169:$C$169</definedName>
    <definedName name="TableFormatting.Test5.Title">'Table Formatting'!$B$160</definedName>
    <definedName name="TableFormatting.Test6.Input">'Table Formatting'!$E$195:$F$199</definedName>
    <definedName name="TableFormatting.Test6.Output">'Table Formatting'!$H$195:$I$199</definedName>
    <definedName name="TableFormatting.Test6.ResetTest">'Table Formatting'!$B$189:$C$189</definedName>
    <definedName name="TableFormatting.Test6.Title">'Table Formatting'!$B$182</definedName>
    <definedName name="TableFormatting.Test7.Input">'Table Formatting'!$H$215:$L$216</definedName>
    <definedName name="TableFormatting.Test7.Output">'Table Formatting'!$N$215:$R$216</definedName>
    <definedName name="TableFormatting.Test7.ResetTest">'Table Formatting'!$B$209:$C$209</definedName>
    <definedName name="TableFormatting.Test7.Title">'Table Formatting'!$B$202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" l="1" a="1"/>
  <c r="C205" i="9" a="1"/>
  <c r="J205" i="9" a="1"/>
  <c r="O205" i="9" a="1"/>
  <c r="E205" i="9" a="1"/>
  <c r="J183" i="9" a="1"/>
  <c r="O183" i="9" a="1"/>
  <c r="E183" i="9" a="1"/>
  <c r="C183" i="9" a="1"/>
  <c r="O161" i="9" a="1"/>
  <c r="E161" i="9" a="1"/>
  <c r="C161" i="9" a="1"/>
  <c r="J161" i="9" a="1"/>
  <c r="U215" i="5" a="1"/>
  <c r="K199" i="5" a="1"/>
  <c r="K197" i="5" a="1"/>
  <c r="K195" i="5" a="1"/>
  <c r="U147" i="5" a="1"/>
  <c r="K177" i="5" a="1"/>
  <c r="T120" i="5" a="1"/>
  <c r="T154" i="5" a="1"/>
  <c r="X155" i="5" a="1"/>
  <c r="W154" i="5" a="1"/>
  <c r="U148" i="5" a="1"/>
  <c r="T121" i="5" a="1"/>
  <c r="T155" i="5" a="1"/>
  <c r="T113" i="5" a="1"/>
  <c r="V147" i="5" a="1"/>
  <c r="T216" i="5" a="1"/>
  <c r="X151" i="5" a="1"/>
  <c r="T116" i="5" a="1"/>
  <c r="X150" i="5" a="1"/>
  <c r="X145" i="5" a="1"/>
  <c r="W152" i="5" a="1"/>
  <c r="V157" i="5" a="1"/>
  <c r="T143" i="5" a="1"/>
  <c r="U143" i="5" a="1"/>
  <c r="X153" i="5" a="1"/>
  <c r="W151" i="5" a="1"/>
  <c r="V156" i="5" a="1"/>
  <c r="V151" i="5" a="1"/>
  <c r="T105" i="5" a="1"/>
  <c r="X146" i="5" a="1"/>
  <c r="X144" i="5" a="1"/>
  <c r="V215" i="5" a="1"/>
  <c r="U146" i="5" a="1"/>
  <c r="X156" i="5" a="1"/>
  <c r="K178" i="5" a="1"/>
  <c r="U108" i="5" a="1"/>
  <c r="T215" i="5" a="1"/>
  <c r="W142" i="5" a="1"/>
  <c r="T150" i="5" a="1"/>
  <c r="U151" i="5" a="1"/>
  <c r="V149" i="5" a="1"/>
  <c r="T114" i="5" a="1"/>
  <c r="L197" i="5" a="1"/>
  <c r="T117" i="5" a="1"/>
  <c r="T118" i="5" a="1"/>
  <c r="W155" i="5" a="1"/>
  <c r="W148" i="5" a="1"/>
  <c r="T145" i="5" a="1"/>
  <c r="W150" i="5" a="1"/>
  <c r="T149" i="5" a="1"/>
  <c r="U154" i="5" a="1"/>
  <c r="W108" i="5" a="1"/>
  <c r="U216" i="5" a="1"/>
  <c r="W153" i="5" a="1"/>
  <c r="W141" i="5" a="1"/>
  <c r="U155" i="5" a="1"/>
  <c r="L178" i="5" a="1"/>
  <c r="T146" i="5" a="1"/>
  <c r="L196" i="5" a="1"/>
  <c r="U157" i="5" a="1"/>
  <c r="T110" i="5" a="1"/>
  <c r="W216" i="5" a="1"/>
  <c r="W144" i="5" a="1"/>
  <c r="V143" i="5" a="1"/>
  <c r="K198" i="5" a="1"/>
  <c r="X152" i="5" a="1"/>
  <c r="L175" i="5" a="1"/>
  <c r="U153" i="5" a="1"/>
  <c r="U149" i="5" a="1"/>
  <c r="U144" i="5" a="1"/>
  <c r="V144" i="5" a="1"/>
  <c r="T144" i="5" a="1"/>
  <c r="V150" i="5" a="1"/>
  <c r="X143" i="5" a="1"/>
  <c r="V153" i="5" a="1"/>
  <c r="T109" i="5" a="1"/>
  <c r="V154" i="5" a="1"/>
  <c r="T111" i="5" a="1"/>
  <c r="W215" i="5" a="1"/>
  <c r="T141" i="5" a="1"/>
  <c r="V146" i="5" a="1"/>
  <c r="T157" i="5" a="1"/>
  <c r="X141" i="5" a="1"/>
  <c r="W147" i="5" a="1"/>
  <c r="V148" i="5" a="1"/>
  <c r="T142" i="5" a="1"/>
  <c r="U156" i="5" a="1"/>
  <c r="K176" i="5" a="1"/>
  <c r="W110" i="5" a="1"/>
  <c r="U107" i="5" a="1"/>
  <c r="T147" i="5" a="1"/>
  <c r="K175" i="5" a="1"/>
  <c r="X147" i="5" a="1"/>
  <c r="T112" i="5" a="1"/>
  <c r="X216" i="5" a="1"/>
  <c r="U142" i="5" a="1"/>
  <c r="W146" i="5" a="1"/>
  <c r="W105" i="5" a="1"/>
  <c r="X157" i="5" a="1"/>
  <c r="V152" i="5" a="1"/>
  <c r="T119" i="5" a="1"/>
  <c r="V110" i="5" a="1"/>
  <c r="L177" i="5" a="1"/>
  <c r="W157" i="5" a="1"/>
  <c r="T148" i="5" a="1"/>
  <c r="L176" i="5" a="1"/>
  <c r="V216" i="5" a="1"/>
  <c r="U150" i="5" a="1"/>
  <c r="V155" i="5" a="1"/>
  <c r="T153" i="5" a="1"/>
  <c r="W149" i="5" a="1"/>
  <c r="T108" i="5" a="1"/>
  <c r="X215" i="5" a="1"/>
  <c r="U145" i="5" a="1"/>
  <c r="W107" i="5" a="1"/>
  <c r="L195" i="5" a="1"/>
  <c r="W145" i="5" a="1"/>
  <c r="T156" i="5" a="1"/>
  <c r="U141" i="5" a="1"/>
  <c r="V142" i="5" a="1"/>
  <c r="T151" i="5" a="1"/>
  <c r="X142" i="5" a="1"/>
  <c r="V141" i="5" a="1"/>
  <c r="X154" i="5" a="1"/>
  <c r="T107" i="5" a="1"/>
  <c r="L179" i="5" a="1"/>
  <c r="W156" i="5" a="1"/>
  <c r="L199" i="5" a="1"/>
  <c r="L198" i="5" a="1"/>
  <c r="T106" i="5" a="1"/>
  <c r="K179" i="5" a="1"/>
  <c r="W143" i="5" a="1"/>
  <c r="U152" i="5" a="1"/>
  <c r="K196" i="5" a="1"/>
  <c r="T152" i="5" a="1"/>
  <c r="X149" i="5" a="1"/>
  <c r="V145" i="5" a="1"/>
  <c r="T115" i="5" a="1"/>
  <c r="X148" i="5" a="1"/>
  <c r="U110" i="5" a="1"/>
  <c r="E205" i="9" l="1"/>
  <c r="O205" i="9"/>
  <c r="J205" i="9"/>
  <c r="C205" i="9"/>
  <c r="C206" i="9"/>
  <c r="C207" i="9"/>
  <c r="C208" i="9"/>
  <c r="T106" i="5"/>
  <c r="T109" i="5"/>
  <c r="T107" i="5"/>
  <c r="T108" i="5"/>
  <c r="T112" i="5"/>
  <c r="T111" i="5"/>
  <c r="T110" i="5"/>
  <c r="V216" i="5"/>
  <c r="X215" i="5"/>
  <c r="X216" i="5"/>
  <c r="W215" i="5"/>
  <c r="W216" i="5"/>
  <c r="U216" i="5"/>
  <c r="T215" i="5"/>
  <c r="V215" i="5"/>
  <c r="T216" i="5"/>
  <c r="U215" i="5"/>
  <c r="O183" i="9"/>
  <c r="J183" i="9"/>
  <c r="C183" i="9"/>
  <c r="E183" i="9"/>
  <c r="O161" i="9"/>
  <c r="E161" i="9"/>
  <c r="J161" i="9"/>
  <c r="C161" i="9"/>
  <c r="T141" i="5"/>
  <c r="T117" i="5"/>
  <c r="T116" i="5"/>
  <c r="T118" i="5"/>
  <c r="T119" i="5"/>
  <c r="T113" i="5"/>
  <c r="T120" i="5"/>
  <c r="T114" i="5"/>
  <c r="T115" i="5"/>
  <c r="T121" i="5"/>
  <c r="T142" i="5"/>
  <c r="K198" i="5"/>
  <c r="L179" i="5"/>
  <c r="L198" i="5"/>
  <c r="L195" i="5"/>
  <c r="L197" i="5"/>
  <c r="K196" i="5"/>
  <c r="K179" i="5"/>
  <c r="K199" i="5"/>
  <c r="K197" i="5"/>
  <c r="L199" i="5"/>
  <c r="K195" i="5"/>
  <c r="L196" i="5"/>
  <c r="K176" i="5"/>
  <c r="L176" i="5"/>
  <c r="K177" i="5"/>
  <c r="L175" i="5"/>
  <c r="K175" i="5"/>
  <c r="L177" i="5"/>
  <c r="K178" i="5"/>
  <c r="L178" i="5"/>
  <c r="X144" i="5"/>
  <c r="T146" i="5"/>
  <c r="U147" i="5"/>
  <c r="V148" i="5"/>
  <c r="W149" i="5"/>
  <c r="X150" i="5"/>
  <c r="T152" i="5"/>
  <c r="U153" i="5"/>
  <c r="V154" i="5"/>
  <c r="W155" i="5"/>
  <c r="X156" i="5"/>
  <c r="V141" i="5"/>
  <c r="T151" i="5"/>
  <c r="T144" i="5"/>
  <c r="U145" i="5"/>
  <c r="W147" i="5"/>
  <c r="X148" i="5"/>
  <c r="T150" i="5"/>
  <c r="U151" i="5"/>
  <c r="W153" i="5"/>
  <c r="X154" i="5"/>
  <c r="T156" i="5"/>
  <c r="U157" i="5"/>
  <c r="U141" i="5"/>
  <c r="X143" i="5"/>
  <c r="X155" i="5"/>
  <c r="X142" i="5"/>
  <c r="V146" i="5"/>
  <c r="V152" i="5"/>
  <c r="V147" i="5"/>
  <c r="U152" i="5"/>
  <c r="X141" i="5"/>
  <c r="U144" i="5"/>
  <c r="W146" i="5"/>
  <c r="X147" i="5"/>
  <c r="T149" i="5"/>
  <c r="V151" i="5"/>
  <c r="W152" i="5"/>
  <c r="X153" i="5"/>
  <c r="T155" i="5"/>
  <c r="U156" i="5"/>
  <c r="V157" i="5"/>
  <c r="U146" i="5"/>
  <c r="W148" i="5"/>
  <c r="W141" i="5"/>
  <c r="T143" i="5"/>
  <c r="V145" i="5"/>
  <c r="U150" i="5"/>
  <c r="W142" i="5"/>
  <c r="X149" i="5"/>
  <c r="U143" i="5"/>
  <c r="W145" i="5"/>
  <c r="X146" i="5"/>
  <c r="T148" i="5"/>
  <c r="V150" i="5"/>
  <c r="W151" i="5"/>
  <c r="X152" i="5"/>
  <c r="T154" i="5"/>
  <c r="U155" i="5"/>
  <c r="V156" i="5"/>
  <c r="W157" i="5"/>
  <c r="V142" i="5"/>
  <c r="V153" i="5"/>
  <c r="V144" i="5"/>
  <c r="U149" i="5"/>
  <c r="W154" i="5"/>
  <c r="V143" i="5"/>
  <c r="W144" i="5"/>
  <c r="T147" i="5"/>
  <c r="U148" i="5"/>
  <c r="V149" i="5"/>
  <c r="X151" i="5"/>
  <c r="T153" i="5"/>
  <c r="U154" i="5"/>
  <c r="V155" i="5"/>
  <c r="W156" i="5"/>
  <c r="X157" i="5"/>
  <c r="W143" i="5"/>
  <c r="T145" i="5"/>
  <c r="T157" i="5"/>
  <c r="U142" i="5"/>
  <c r="X145" i="5"/>
  <c r="W150" i="5"/>
  <c r="C16" i="1"/>
  <c r="U107" i="5"/>
  <c r="U108" i="5"/>
  <c r="W108" i="5"/>
  <c r="V110" i="5"/>
  <c r="U110" i="5"/>
  <c r="W107" i="5"/>
  <c r="W110" i="5"/>
  <c r="T105" i="5"/>
  <c r="W105" i="5"/>
  <c r="G21" i="1"/>
  <c r="M21" i="1"/>
  <c r="J23" i="1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Y20" i="3"/>
  <c r="Y19" i="3"/>
  <c r="V20" i="3"/>
  <c r="V19" i="3"/>
  <c r="T22" i="3"/>
  <c r="R20" i="3"/>
  <c r="S13" i="3"/>
  <c r="S14" i="3"/>
  <c r="R15" i="3"/>
  <c r="S15" i="3"/>
  <c r="R16" i="3"/>
  <c r="S16" i="3"/>
  <c r="R17" i="3"/>
  <c r="S17" i="3"/>
  <c r="R18" i="3"/>
  <c r="R12" i="3"/>
  <c r="S23" i="3" s="1"/>
  <c r="S24" i="3" s="1"/>
  <c r="I10" i="4"/>
  <c r="I15" i="4" s="1"/>
  <c r="G12" i="3"/>
  <c r="G14" i="3" s="1"/>
  <c r="H14" i="3" s="1"/>
  <c r="C62" i="2"/>
  <c r="E64" i="2"/>
  <c r="C6" i="2" a="1"/>
  <c r="O6" i="3" a="1"/>
  <c r="D4" i="4" a="1"/>
  <c r="D5" i="4" a="1"/>
  <c r="D6" i="3" a="1"/>
  <c r="H34" i="1" a="1"/>
  <c r="H29" i="1" a="1"/>
  <c r="H32" i="1" a="1"/>
  <c r="H35" i="1" a="1"/>
  <c r="H36" i="1" a="1"/>
  <c r="H37" i="1" a="1"/>
  <c r="H30" i="1" a="1"/>
  <c r="H39" i="1" a="1"/>
  <c r="H33" i="1" a="1"/>
  <c r="H38" i="1" a="1"/>
  <c r="H31" i="1" a="1"/>
  <c r="F200" i="9" a="1"/>
  <c r="K200" i="9" a="1"/>
  <c r="P200" i="9" a="1"/>
  <c r="C200" i="9" a="1"/>
  <c r="K178" i="9" a="1"/>
  <c r="P178" i="9" a="1"/>
  <c r="C178" i="9" a="1"/>
  <c r="F178" i="9" a="1"/>
  <c r="P156" i="9" a="1"/>
  <c r="K156" i="9" a="1"/>
  <c r="C156" i="9" a="1"/>
  <c r="F156" i="9" a="1"/>
  <c r="C117" i="9" a="1"/>
  <c r="C51" i="9" a="1"/>
  <c r="C29" i="9" a="1"/>
  <c r="O29" i="9" a="1"/>
  <c r="J117" i="9" a="1"/>
  <c r="E73" i="9" a="1"/>
  <c r="O139" i="9" a="1"/>
  <c r="E117" i="9" a="1"/>
  <c r="J73" i="9" a="1"/>
  <c r="E95" i="9" a="1"/>
  <c r="J139" i="9" a="1"/>
  <c r="C73" i="9" a="1"/>
  <c r="O51" i="9" a="1"/>
  <c r="E139" i="9" a="1"/>
  <c r="J95" i="9" a="1"/>
  <c r="C95" i="9" a="1"/>
  <c r="O73" i="9" a="1"/>
  <c r="J51" i="9" a="1"/>
  <c r="O95" i="9" a="1"/>
  <c r="J29" i="9" a="1"/>
  <c r="E29" i="9" a="1"/>
  <c r="O117" i="9" a="1"/>
  <c r="E51" i="9" a="1"/>
  <c r="C139" i="9" a="1"/>
  <c r="X120" i="5" a="1"/>
  <c r="BO59" i="5" a="1"/>
  <c r="V115" i="5" a="1"/>
  <c r="BH83" i="5" a="1"/>
  <c r="BF85" i="5" a="1"/>
  <c r="BQ59" i="5" a="1"/>
  <c r="BO61" i="5" a="1"/>
  <c r="X118" i="5" a="1"/>
  <c r="BJ82" i="5" a="1"/>
  <c r="BM83" i="5" a="1"/>
  <c r="X105" i="5" a="1"/>
  <c r="BN81" i="5" a="1"/>
  <c r="X121" i="5" a="1"/>
  <c r="BQ58" i="5" a="1"/>
  <c r="W19" i="3" a="1"/>
  <c r="W113" i="5" a="1"/>
  <c r="BG60" i="5" a="1"/>
  <c r="U118" i="5" a="1"/>
  <c r="V118" i="5" a="1"/>
  <c r="BJ83" i="5" a="1"/>
  <c r="BN60" i="5" a="1"/>
  <c r="BP58" i="5" a="1"/>
  <c r="BI58" i="5" a="1"/>
  <c r="U115" i="5" a="1"/>
  <c r="BG83" i="5" a="1"/>
  <c r="T14" i="3" a="1"/>
  <c r="C184" i="5" a="1"/>
  <c r="BT60" i="5" a="1"/>
  <c r="BI57" i="5" a="1"/>
  <c r="BE60" i="5" a="1"/>
  <c r="BQ61" i="5" a="1"/>
  <c r="BE84" i="5" a="1"/>
  <c r="X119" i="5" a="1"/>
  <c r="BL83" i="5" a="1"/>
  <c r="BJ59" i="5" a="1"/>
  <c r="BL60" i="5" a="1"/>
  <c r="BT81" i="5" a="1"/>
  <c r="BJ84" i="5" a="1"/>
  <c r="BO85" i="5" a="1"/>
  <c r="BG61" i="5" a="1"/>
  <c r="BP82" i="5" a="1"/>
  <c r="BI59" i="5" a="1"/>
  <c r="X111" i="5" a="1"/>
  <c r="BE81" i="5" a="1"/>
  <c r="BJ58" i="5" a="1"/>
  <c r="BO83" i="5" a="1"/>
  <c r="C162" i="5" a="1"/>
  <c r="BQ82" i="5" a="1"/>
  <c r="X112" i="5" a="1"/>
  <c r="BT82" i="5" a="1"/>
  <c r="BD58" i="5" a="1"/>
  <c r="BO60" i="5" a="1"/>
  <c r="BM59" i="5" a="1"/>
  <c r="BS58" i="5" a="1"/>
  <c r="U105" i="5" a="1"/>
  <c r="BS59" i="5" a="1"/>
  <c r="BS82" i="5" a="1"/>
  <c r="BE82" i="5" a="1"/>
  <c r="U121" i="5" a="1"/>
  <c r="U106" i="5" a="1"/>
  <c r="BI82" i="5" a="1"/>
  <c r="BP85" i="5" a="1"/>
  <c r="BQ81" i="5" a="1"/>
  <c r="W112" i="5" a="1"/>
  <c r="X109" i="5" a="1"/>
  <c r="BL57" i="5" a="1"/>
  <c r="BN85" i="5" a="1"/>
  <c r="BL81" i="5" a="1"/>
  <c r="Z19" i="3" a="1"/>
  <c r="BS84" i="5" a="1"/>
  <c r="V106" i="5" a="1"/>
  <c r="BR83" i="5" a="1"/>
  <c r="U111" i="5" a="1"/>
  <c r="BK85" i="5" a="1"/>
  <c r="BL59" i="5" a="1"/>
  <c r="Z20" i="3" a="1"/>
  <c r="BN61" i="5" a="1"/>
  <c r="BI60" i="5" a="1"/>
  <c r="BH58" i="5" a="1"/>
  <c r="V119" i="5" a="1"/>
  <c r="BF84" i="5" a="1"/>
  <c r="U116" i="5" a="1"/>
  <c r="BM60" i="5" a="1"/>
  <c r="BO81" i="5" a="1"/>
  <c r="BT59" i="5" a="1"/>
  <c r="BR84" i="5" a="1"/>
  <c r="W121" i="5" a="1"/>
  <c r="BP83" i="5" a="1"/>
  <c r="V112" i="5" a="1"/>
  <c r="X116" i="5" a="1"/>
  <c r="W111" i="5" a="1"/>
  <c r="X106" i="5" a="1"/>
  <c r="V107" i="5" a="1"/>
  <c r="BF57" i="5" a="1"/>
  <c r="BD82" i="5" a="1"/>
  <c r="V111" i="5" a="1"/>
  <c r="BQ84" i="5" a="1"/>
  <c r="BH85" i="5" a="1"/>
  <c r="S20" i="3" a="1"/>
  <c r="W119" i="5" a="1"/>
  <c r="BR61" i="5" a="1"/>
  <c r="X107" i="5" a="1"/>
  <c r="T16" i="3" a="1"/>
  <c r="BR85" i="5" a="1"/>
  <c r="BK60" i="5" a="1"/>
  <c r="BF59" i="5" a="1"/>
  <c r="BM57" i="5" a="1"/>
  <c r="BD60" i="5" a="1"/>
  <c r="BS60" i="5" a="1"/>
  <c r="BK61" i="5" a="1"/>
  <c r="V120" i="5" a="1"/>
  <c r="X113" i="5" a="1"/>
  <c r="BE83" i="5" a="1"/>
  <c r="V116" i="5" a="1"/>
  <c r="BT85" i="5" a="1"/>
  <c r="BR57" i="5" a="1"/>
  <c r="BK81" i="5" a="1"/>
  <c r="BE85" i="5" a="1"/>
  <c r="BM58" i="5" a="1"/>
  <c r="BT84" i="5" a="1"/>
  <c r="BH84" i="5" a="1"/>
  <c r="BE58" i="5" a="1"/>
  <c r="U112" i="5" a="1"/>
  <c r="BD61" i="5" a="1"/>
  <c r="BL85" i="5" a="1"/>
  <c r="W20" i="3" a="1"/>
  <c r="BD59" i="5" a="1"/>
  <c r="BD57" i="5" a="1"/>
  <c r="W106" i="5" a="1"/>
  <c r="V105" i="5" a="1"/>
  <c r="BK82" i="5" a="1"/>
  <c r="T17" i="3" a="1"/>
  <c r="C126" i="5" a="1"/>
  <c r="BJ85" i="5" a="1"/>
  <c r="V108" i="5" a="1"/>
  <c r="BN82" i="5" a="1"/>
  <c r="W114" i="5" a="1"/>
  <c r="T19" i="3" a="1"/>
  <c r="BE57" i="5" a="1"/>
  <c r="T13" i="3" a="1"/>
  <c r="BR81" i="5" a="1"/>
  <c r="BI85" i="5" a="1"/>
  <c r="BL84" i="5" a="1"/>
  <c r="V113" i="5" a="1"/>
  <c r="BG84" i="5" a="1"/>
  <c r="BL82" i="5" a="1"/>
  <c r="BR60" i="5" a="1"/>
  <c r="V109" i="5" a="1"/>
  <c r="BQ83" i="5" a="1"/>
  <c r="T15" i="3" a="1"/>
  <c r="W118" i="5" a="1"/>
  <c r="BO82" i="5" a="1"/>
  <c r="X115" i="5" a="1"/>
  <c r="BE61" i="5" a="1"/>
  <c r="V121" i="5" a="1"/>
  <c r="BO58" i="5" a="1"/>
  <c r="BS57" i="5" a="1"/>
  <c r="BI81" i="5" a="1"/>
  <c r="V117" i="5" a="1"/>
  <c r="U114" i="5" a="1"/>
  <c r="BQ57" i="5" a="1"/>
  <c r="X117" i="5" a="1"/>
  <c r="X108" i="5" a="1"/>
  <c r="BG82" i="5" a="1"/>
  <c r="BN59" i="5" a="1"/>
  <c r="BL61" i="5" a="1"/>
  <c r="BN58" i="5" a="1"/>
  <c r="BT83" i="5" a="1"/>
  <c r="BH57" i="5" a="1"/>
  <c r="BO57" i="5" a="1"/>
  <c r="BJ81" i="5" a="1"/>
  <c r="BH61" i="5" a="1"/>
  <c r="BH82" i="5" a="1"/>
  <c r="BT58" i="5" a="1"/>
  <c r="BH60" i="5" a="1"/>
  <c r="V114" i="5" a="1"/>
  <c r="BK59" i="5" a="1"/>
  <c r="BM84" i="5" a="1"/>
  <c r="BG57" i="5" a="1"/>
  <c r="U109" i="5" a="1"/>
  <c r="BP57" i="5" a="1"/>
  <c r="BI84" i="5" a="1"/>
  <c r="W120" i="5" a="1"/>
  <c r="BD84" i="5" a="1"/>
  <c r="BM85" i="5" a="1"/>
  <c r="BK83" i="5" a="1"/>
  <c r="BS85" i="5" a="1"/>
  <c r="T20" i="3" a="1"/>
  <c r="BK57" i="5" a="1"/>
  <c r="BH81" i="5" a="1"/>
  <c r="BS61" i="5" a="1"/>
  <c r="W116" i="5" a="1"/>
  <c r="BH59" i="5" a="1"/>
  <c r="BM61" i="5" a="1"/>
  <c r="U120" i="5" a="1"/>
  <c r="BF83" i="5" a="1"/>
  <c r="T18" i="3" a="1"/>
  <c r="BD85" i="5" a="1"/>
  <c r="X110" i="5" a="1"/>
  <c r="BT61" i="5" a="1"/>
  <c r="T12" i="3" a="1"/>
  <c r="BS83" i="5" a="1"/>
  <c r="BF58" i="5" a="1"/>
  <c r="BN57" i="5" a="1"/>
  <c r="BD81" i="5" a="1"/>
  <c r="BK84" i="5" a="1"/>
  <c r="BF60" i="5" a="1"/>
  <c r="BP84" i="5" a="1"/>
  <c r="W115" i="5" a="1"/>
  <c r="BG59" i="5" a="1"/>
  <c r="BP59" i="5" a="1"/>
  <c r="BL58" i="5" a="1"/>
  <c r="C204" i="5" a="1"/>
  <c r="BE59" i="5" a="1"/>
  <c r="W117" i="5" a="1"/>
  <c r="BF81" i="5" a="1"/>
  <c r="BS81" i="5" a="1"/>
  <c r="BN84" i="5" a="1"/>
  <c r="W109" i="5" a="1"/>
  <c r="BI61" i="5" a="1"/>
  <c r="BF82" i="5" a="1"/>
  <c r="BP61" i="5" a="1"/>
  <c r="BQ60" i="5" a="1"/>
  <c r="BM82" i="5" a="1"/>
  <c r="BM81" i="5" a="1"/>
  <c r="BF61" i="5" a="1"/>
  <c r="U117" i="5" a="1"/>
  <c r="BG81" i="5" a="1"/>
  <c r="BK58" i="5" a="1"/>
  <c r="U119" i="5" a="1"/>
  <c r="BJ61" i="5" a="1"/>
  <c r="BR58" i="5" a="1"/>
  <c r="BG58" i="5" a="1"/>
  <c r="BR59" i="5" a="1"/>
  <c r="BR82" i="5" a="1"/>
  <c r="BP60" i="5" a="1"/>
  <c r="BT57" i="5" a="1"/>
  <c r="U113" i="5" a="1"/>
  <c r="BJ57" i="5" a="1"/>
  <c r="BJ60" i="5" a="1"/>
  <c r="BG85" i="5" a="1"/>
  <c r="BQ85" i="5" a="1"/>
  <c r="BO84" i="5" a="1"/>
  <c r="BN83" i="5" a="1"/>
  <c r="BI83" i="5" a="1"/>
  <c r="BD83" i="5" a="1"/>
  <c r="BP81" i="5" a="1"/>
  <c r="X114" i="5" a="1"/>
  <c r="C200" i="9" l="1"/>
  <c r="P200" i="9"/>
  <c r="K200" i="9"/>
  <c r="F200" i="9"/>
  <c r="C204" i="5"/>
  <c r="C13" i="5" s="1"/>
  <c r="P178" i="9"/>
  <c r="K178" i="9"/>
  <c r="F178" i="9"/>
  <c r="C178" i="9"/>
  <c r="P156" i="9"/>
  <c r="K156" i="9"/>
  <c r="F156" i="9"/>
  <c r="C156" i="9"/>
  <c r="C126" i="5"/>
  <c r="C10" i="5" s="1"/>
  <c r="C184" i="5"/>
  <c r="C12" i="5" s="1"/>
  <c r="C162" i="5"/>
  <c r="C11" i="5" s="1"/>
  <c r="M25" i="1"/>
  <c r="H30" i="1"/>
  <c r="H37" i="1"/>
  <c r="H36" i="1"/>
  <c r="H35" i="1"/>
  <c r="H32" i="1"/>
  <c r="H29" i="1"/>
  <c r="H31" i="1"/>
  <c r="H34" i="1"/>
  <c r="H38" i="1"/>
  <c r="H33" i="1"/>
  <c r="H39" i="1"/>
  <c r="O117" i="9"/>
  <c r="E117" i="9"/>
  <c r="J117" i="9"/>
  <c r="C139" i="9"/>
  <c r="C117" i="9"/>
  <c r="J139" i="9"/>
  <c r="O139" i="9"/>
  <c r="E139" i="9"/>
  <c r="O95" i="9"/>
  <c r="O73" i="9"/>
  <c r="O29" i="9"/>
  <c r="O51" i="9"/>
  <c r="J95" i="9"/>
  <c r="E95" i="9"/>
  <c r="C95" i="9"/>
  <c r="J73" i="9"/>
  <c r="E73" i="9"/>
  <c r="C73" i="9"/>
  <c r="J51" i="9"/>
  <c r="E51" i="9"/>
  <c r="C51" i="9"/>
  <c r="BL81" i="5"/>
  <c r="BS81" i="5"/>
  <c r="BT81" i="5"/>
  <c r="BF81" i="5"/>
  <c r="BG81" i="5"/>
  <c r="BH81" i="5"/>
  <c r="BN81" i="5"/>
  <c r="BI81" i="5"/>
  <c r="BO81" i="5"/>
  <c r="BM81" i="5"/>
  <c r="BD81" i="5"/>
  <c r="BJ81" i="5"/>
  <c r="BP81" i="5"/>
  <c r="BD84" i="5"/>
  <c r="BD82" i="5"/>
  <c r="BR81" i="5"/>
  <c r="BE81" i="5"/>
  <c r="BK81" i="5"/>
  <c r="BQ81" i="5"/>
  <c r="BD83" i="5"/>
  <c r="J29" i="9"/>
  <c r="C29" i="9"/>
  <c r="E29" i="9"/>
  <c r="V105" i="5"/>
  <c r="U117" i="5"/>
  <c r="U118" i="5"/>
  <c r="U113" i="5"/>
  <c r="U111" i="5"/>
  <c r="U112" i="5"/>
  <c r="U114" i="5"/>
  <c r="U115" i="5"/>
  <c r="U116" i="5"/>
  <c r="V121" i="5"/>
  <c r="W116" i="5"/>
  <c r="V115" i="5"/>
  <c r="X111" i="5"/>
  <c r="V109" i="5"/>
  <c r="U120" i="5"/>
  <c r="W111" i="5"/>
  <c r="U109" i="5"/>
  <c r="X106" i="5"/>
  <c r="X112" i="5"/>
  <c r="X105" i="5"/>
  <c r="X119" i="5"/>
  <c r="W118" i="5"/>
  <c r="V117" i="5"/>
  <c r="X113" i="5"/>
  <c r="W112" i="5"/>
  <c r="V111" i="5"/>
  <c r="X107" i="5"/>
  <c r="W106" i="5"/>
  <c r="W117" i="5"/>
  <c r="X118" i="5"/>
  <c r="U105" i="5"/>
  <c r="X120" i="5"/>
  <c r="W119" i="5"/>
  <c r="V118" i="5"/>
  <c r="X114" i="5"/>
  <c r="W113" i="5"/>
  <c r="V112" i="5"/>
  <c r="X108" i="5"/>
  <c r="V106" i="5"/>
  <c r="U121" i="5"/>
  <c r="X121" i="5"/>
  <c r="W120" i="5"/>
  <c r="V119" i="5"/>
  <c r="X115" i="5"/>
  <c r="W114" i="5"/>
  <c r="V113" i="5"/>
  <c r="X109" i="5"/>
  <c r="V107" i="5"/>
  <c r="U106" i="5"/>
  <c r="X117" i="5"/>
  <c r="V116" i="5"/>
  <c r="W121" i="5"/>
  <c r="V120" i="5"/>
  <c r="U119" i="5"/>
  <c r="X116" i="5"/>
  <c r="W115" i="5"/>
  <c r="V114" i="5"/>
  <c r="X110" i="5"/>
  <c r="W109" i="5"/>
  <c r="V108" i="5"/>
  <c r="BK57" i="5"/>
  <c r="BP57" i="5"/>
  <c r="BQ57" i="5"/>
  <c r="BF57" i="5"/>
  <c r="BL57" i="5"/>
  <c r="BR57" i="5"/>
  <c r="BO57" i="5"/>
  <c r="BJ57" i="5"/>
  <c r="BE57" i="5"/>
  <c r="BM57" i="5"/>
  <c r="BS57" i="5"/>
  <c r="BG57" i="5"/>
  <c r="BD57" i="5"/>
  <c r="BN57" i="5"/>
  <c r="BT57" i="5"/>
  <c r="BI57" i="5"/>
  <c r="BH57" i="5"/>
  <c r="BE82" i="5"/>
  <c r="BG84" i="5"/>
  <c r="BH85" i="5"/>
  <c r="BT85" i="5"/>
  <c r="BF82" i="5"/>
  <c r="BR82" i="5"/>
  <c r="BM83" i="5"/>
  <c r="BG82" i="5"/>
  <c r="BM82" i="5"/>
  <c r="BS82" i="5"/>
  <c r="BH83" i="5"/>
  <c r="BN83" i="5"/>
  <c r="BT83" i="5"/>
  <c r="BI84" i="5"/>
  <c r="BO84" i="5"/>
  <c r="BD85" i="5"/>
  <c r="BJ85" i="5"/>
  <c r="BP85" i="5"/>
  <c r="BF83" i="5"/>
  <c r="BL83" i="5"/>
  <c r="BN82" i="5"/>
  <c r="BT82" i="5"/>
  <c r="BI83" i="5"/>
  <c r="BO83" i="5"/>
  <c r="BJ84" i="5"/>
  <c r="BP84" i="5"/>
  <c r="BE85" i="5"/>
  <c r="BK85" i="5"/>
  <c r="BQ85" i="5"/>
  <c r="BO82" i="5"/>
  <c r="BQ82" i="5"/>
  <c r="BM84" i="5"/>
  <c r="BH82" i="5"/>
  <c r="BI82" i="5"/>
  <c r="BJ83" i="5"/>
  <c r="BP83" i="5"/>
  <c r="BE84" i="5"/>
  <c r="BK84" i="5"/>
  <c r="BQ84" i="5"/>
  <c r="BF85" i="5"/>
  <c r="BL85" i="5"/>
  <c r="BR85" i="5"/>
  <c r="BJ82" i="5"/>
  <c r="BP82" i="5"/>
  <c r="BE83" i="5"/>
  <c r="BK83" i="5"/>
  <c r="BQ83" i="5"/>
  <c r="BF84" i="5"/>
  <c r="BL84" i="5"/>
  <c r="BR84" i="5"/>
  <c r="BG85" i="5"/>
  <c r="BM85" i="5"/>
  <c r="BS85" i="5"/>
  <c r="BK82" i="5"/>
  <c r="BR83" i="5"/>
  <c r="BS84" i="5"/>
  <c r="BN85" i="5"/>
  <c r="BL82" i="5"/>
  <c r="BG83" i="5"/>
  <c r="BS83" i="5"/>
  <c r="BH84" i="5"/>
  <c r="BN84" i="5"/>
  <c r="BT84" i="5"/>
  <c r="BI85" i="5"/>
  <c r="BO85" i="5"/>
  <c r="BD59" i="5"/>
  <c r="BD60" i="5"/>
  <c r="BD61" i="5"/>
  <c r="BT60" i="5"/>
  <c r="BT61" i="5"/>
  <c r="BD58" i="5"/>
  <c r="BK61" i="5"/>
  <c r="BE61" i="5"/>
  <c r="BO60" i="5"/>
  <c r="BI60" i="5"/>
  <c r="BS59" i="5"/>
  <c r="BM59" i="5"/>
  <c r="BG59" i="5"/>
  <c r="BQ58" i="5"/>
  <c r="BK58" i="5"/>
  <c r="BE58" i="5"/>
  <c r="BJ61" i="5"/>
  <c r="BL59" i="5"/>
  <c r="BF59" i="5"/>
  <c r="BP58" i="5"/>
  <c r="BJ58" i="5"/>
  <c r="BI61" i="5"/>
  <c r="BQ59" i="5"/>
  <c r="BE59" i="5"/>
  <c r="BI58" i="5"/>
  <c r="BQ61" i="5"/>
  <c r="BN60" i="5"/>
  <c r="BS60" i="5"/>
  <c r="BK59" i="5"/>
  <c r="BH61" i="5"/>
  <c r="BR60" i="5"/>
  <c r="BL60" i="5"/>
  <c r="BF60" i="5"/>
  <c r="BP59" i="5"/>
  <c r="BJ59" i="5"/>
  <c r="BT58" i="5"/>
  <c r="BN58" i="5"/>
  <c r="BH58" i="5"/>
  <c r="BH60" i="5"/>
  <c r="BO61" i="5"/>
  <c r="BM60" i="5"/>
  <c r="BO58" i="5"/>
  <c r="BN61" i="5"/>
  <c r="BR59" i="5"/>
  <c r="BG60" i="5"/>
  <c r="BS61" i="5"/>
  <c r="BM61" i="5"/>
  <c r="BG61" i="5"/>
  <c r="BQ60" i="5"/>
  <c r="BK60" i="5"/>
  <c r="BE60" i="5"/>
  <c r="BO59" i="5"/>
  <c r="BI59" i="5"/>
  <c r="BS58" i="5"/>
  <c r="BM58" i="5"/>
  <c r="BG58" i="5"/>
  <c r="BP61" i="5"/>
  <c r="BR61" i="5"/>
  <c r="BL61" i="5"/>
  <c r="BF61" i="5"/>
  <c r="BP60" i="5"/>
  <c r="BJ60" i="5"/>
  <c r="BT59" i="5"/>
  <c r="BN59" i="5"/>
  <c r="BH59" i="5"/>
  <c r="BR58" i="5"/>
  <c r="BL58" i="5"/>
  <c r="BF58" i="5"/>
  <c r="D6" i="3"/>
  <c r="C6" i="2"/>
  <c r="T15" i="3"/>
  <c r="Z20" i="3"/>
  <c r="O6" i="3"/>
  <c r="W20" i="3"/>
  <c r="T12" i="3"/>
  <c r="T18" i="3"/>
  <c r="T20" i="3"/>
  <c r="T13" i="3"/>
  <c r="S20" i="3"/>
  <c r="T19" i="3"/>
  <c r="Z19" i="3"/>
  <c r="T14" i="3"/>
  <c r="T16" i="3"/>
  <c r="W19" i="3"/>
  <c r="T17" i="3"/>
  <c r="J22" i="1"/>
  <c r="M24" i="1"/>
  <c r="M23" i="1"/>
  <c r="M22" i="1"/>
  <c r="J24" i="1"/>
  <c r="J25" i="1"/>
  <c r="G31" i="1"/>
  <c r="S18" i="3"/>
  <c r="I12" i="4"/>
  <c r="J12" i="4" s="1"/>
  <c r="I14" i="4"/>
  <c r="J14" i="4" s="1"/>
  <c r="J15" i="4" s="1"/>
  <c r="D5" i="4"/>
  <c r="D4" i="4"/>
  <c r="I11" i="4"/>
  <c r="J11" i="4" s="1"/>
  <c r="I13" i="4"/>
  <c r="J13" i="4" s="1"/>
  <c r="G15" i="3"/>
  <c r="H15" i="3" s="1"/>
  <c r="G16" i="3"/>
  <c r="H16" i="3" s="1"/>
  <c r="G13" i="3"/>
  <c r="H13" i="3" s="1"/>
  <c r="G17" i="3"/>
  <c r="E62" i="2"/>
  <c r="H17" i="2" a="1"/>
  <c r="I33" i="1" a="1"/>
  <c r="N22" i="1" a="1"/>
  <c r="N21" i="1" a="1"/>
  <c r="I36" i="1" a="1"/>
  <c r="K24" i="1" a="1"/>
  <c r="I39" i="1" a="1"/>
  <c r="H21" i="1" a="1"/>
  <c r="I35" i="1" a="1"/>
  <c r="Q19" i="1" a="1"/>
  <c r="I38" i="1" a="1"/>
  <c r="K23" i="1" a="1"/>
  <c r="I34" i="1" a="1"/>
  <c r="K25" i="1" a="1"/>
  <c r="I32" i="1" a="1"/>
  <c r="N25" i="1" a="1"/>
  <c r="I29" i="1" a="1"/>
  <c r="K22" i="1" a="1"/>
  <c r="I37" i="1" a="1"/>
  <c r="N23" i="1" a="1"/>
  <c r="I31" i="1" a="1"/>
  <c r="K21" i="1" a="1"/>
  <c r="I30" i="1" a="1"/>
  <c r="N24" i="1" a="1"/>
  <c r="C194" i="9" a="1"/>
  <c r="C172" i="9" a="1"/>
  <c r="C150" i="9" a="1"/>
  <c r="C68" i="9" a="1"/>
  <c r="P90" i="9" a="1"/>
  <c r="F46" i="9" a="1"/>
  <c r="P68" i="9" a="1"/>
  <c r="P46" i="9" a="1"/>
  <c r="K68" i="9" a="1"/>
  <c r="K90" i="9" a="1"/>
  <c r="C24" i="9" a="1"/>
  <c r="F112" i="9" a="1"/>
  <c r="C90" i="9" a="1"/>
  <c r="C134" i="9" a="1"/>
  <c r="P112" i="9" a="1"/>
  <c r="C112" i="9" a="1"/>
  <c r="F68" i="9" a="1"/>
  <c r="K134" i="9" a="1"/>
  <c r="P24" i="9" a="1"/>
  <c r="K112" i="9" a="1"/>
  <c r="K24" i="9" a="1"/>
  <c r="K46" i="9" a="1"/>
  <c r="F134" i="9" a="1"/>
  <c r="P134" i="9" a="1"/>
  <c r="F24" i="9" a="1"/>
  <c r="F90" i="9" a="1"/>
  <c r="C46" i="9" a="1"/>
  <c r="K12" i="4" a="1"/>
  <c r="C90" i="5" a="1"/>
  <c r="K10" i="4" a="1"/>
  <c r="I15" i="3" a="1"/>
  <c r="C42" i="5" a="1"/>
  <c r="K14" i="4" a="1"/>
  <c r="K13" i="4" a="1"/>
  <c r="I16" i="3" a="1"/>
  <c r="I13" i="3" a="1"/>
  <c r="D64" i="2" a="1"/>
  <c r="I14" i="3" a="1"/>
  <c r="C66" i="5" a="1"/>
  <c r="I12" i="3" a="1"/>
  <c r="K11" i="4" a="1"/>
  <c r="K15" i="4" a="1"/>
  <c r="D62" i="2" a="1"/>
  <c r="I17" i="3" a="1"/>
  <c r="C194" i="9" l="1"/>
  <c r="C172" i="9"/>
  <c r="C150" i="9"/>
  <c r="C13" i="9" s="1"/>
  <c r="C68" i="9"/>
  <c r="F134" i="9"/>
  <c r="K134" i="9"/>
  <c r="C134" i="9"/>
  <c r="P68" i="9"/>
  <c r="I30" i="1"/>
  <c r="I33" i="1"/>
  <c r="I31" i="1"/>
  <c r="I37" i="1"/>
  <c r="I34" i="1"/>
  <c r="I29" i="1"/>
  <c r="I32" i="1"/>
  <c r="I38" i="1"/>
  <c r="I35" i="1"/>
  <c r="I39" i="1"/>
  <c r="I36" i="1"/>
  <c r="P112" i="9"/>
  <c r="K112" i="9"/>
  <c r="F112" i="9"/>
  <c r="C112" i="9"/>
  <c r="P134" i="9"/>
  <c r="P46" i="9"/>
  <c r="P24" i="9"/>
  <c r="P90" i="9"/>
  <c r="K90" i="9"/>
  <c r="C90" i="9"/>
  <c r="F90" i="9"/>
  <c r="F68" i="9"/>
  <c r="K68" i="9"/>
  <c r="C24" i="9"/>
  <c r="F24" i="9"/>
  <c r="K24" i="9"/>
  <c r="C46" i="9"/>
  <c r="K46" i="9"/>
  <c r="F46" i="9"/>
  <c r="C90" i="5"/>
  <c r="C9" i="5" s="1"/>
  <c r="C66" i="5"/>
  <c r="C8" i="5" s="1"/>
  <c r="C42" i="5"/>
  <c r="C7" i="5" s="1"/>
  <c r="H25" i="1"/>
  <c r="H21" i="1"/>
  <c r="H22" i="1"/>
  <c r="H23" i="1"/>
  <c r="H24" i="1"/>
  <c r="X20" i="3"/>
  <c r="Q19" i="1"/>
  <c r="U20" i="3"/>
  <c r="AA20" i="3"/>
  <c r="N25" i="1"/>
  <c r="N24" i="1"/>
  <c r="N23" i="1"/>
  <c r="N22" i="1"/>
  <c r="N21" i="1"/>
  <c r="K22" i="1"/>
  <c r="K23" i="1"/>
  <c r="K24" i="1"/>
  <c r="K25" i="1"/>
  <c r="K21" i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I17" i="3"/>
  <c r="I15" i="3"/>
  <c r="J15" i="3" s="1"/>
  <c r="K15" i="3" s="1"/>
  <c r="I16" i="3"/>
  <c r="J16" i="3" s="1"/>
  <c r="K16" i="3" s="1"/>
  <c r="I14" i="3"/>
  <c r="J14" i="3" s="1"/>
  <c r="K14" i="3" s="1"/>
  <c r="I12" i="3"/>
  <c r="J12" i="3" s="1"/>
  <c r="K12" i="3" s="1"/>
  <c r="I13" i="3"/>
  <c r="J13" i="3" s="1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G21" i="2" a="1"/>
  <c r="I21" i="1" a="1"/>
  <c r="I24" i="1" a="1"/>
  <c r="L22" i="1" a="1"/>
  <c r="I23" i="1" a="1"/>
  <c r="L23" i="1" a="1"/>
  <c r="S19" i="1" a="1"/>
  <c r="L25" i="1" a="1"/>
  <c r="L21" i="1" a="1"/>
  <c r="L24" i="1" a="1"/>
  <c r="I25" i="1" a="1"/>
  <c r="G16" i="1" a="1"/>
  <c r="I22" i="1" a="1"/>
  <c r="O22" i="1" a="1"/>
  <c r="O25" i="1" a="1"/>
  <c r="O21" i="1" a="1"/>
  <c r="O24" i="1" a="1"/>
  <c r="O23" i="1" a="1"/>
  <c r="C62" i="9" a="1"/>
  <c r="C84" i="9" a="1"/>
  <c r="C40" i="9" a="1"/>
  <c r="C18" i="9" a="1"/>
  <c r="C106" i="9" a="1"/>
  <c r="C128" i="9" a="1"/>
  <c r="F64" i="2" a="1"/>
  <c r="C4" i="5" a="1"/>
  <c r="F62" i="2" a="1"/>
  <c r="C106" i="9" l="1"/>
  <c r="C11" i="9" s="1"/>
  <c r="C18" i="9"/>
  <c r="C7" i="9" s="1"/>
  <c r="C40" i="9"/>
  <c r="C8" i="9" s="1"/>
  <c r="C84" i="9"/>
  <c r="C10" i="9" s="1"/>
  <c r="C62" i="9"/>
  <c r="C9" i="9" s="1"/>
  <c r="C128" i="9"/>
  <c r="C12" i="9" s="1"/>
  <c r="C4" i="5"/>
  <c r="C16" i="8" s="1"/>
  <c r="L22" i="1"/>
  <c r="G16" i="1"/>
  <c r="C12" i="1" s="1"/>
  <c r="O25" i="1"/>
  <c r="O23" i="1"/>
  <c r="L21" i="1"/>
  <c r="S19" i="1"/>
  <c r="O24" i="1"/>
  <c r="L25" i="1"/>
  <c r="L24" i="1"/>
  <c r="I24" i="1"/>
  <c r="L23" i="1"/>
  <c r="I23" i="1"/>
  <c r="O21" i="1"/>
  <c r="I21" i="1"/>
  <c r="I22" i="1"/>
  <c r="O22" i="1"/>
  <c r="I25" i="1"/>
  <c r="J17" i="3"/>
  <c r="K17" i="3" s="1"/>
  <c r="G21" i="2"/>
  <c r="F62" i="2"/>
  <c r="F64" i="2"/>
  <c r="C4" i="9" a="1"/>
  <c r="C58" i="2" a="1"/>
  <c r="C4" i="9" l="1"/>
  <c r="C15" i="8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<sst xmlns="http://schemas.openxmlformats.org/spreadsheetml/2006/main" count="1377" uniqueCount="214">
  <si>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</si>
  <si>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</si>
  <si>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</si>
  <si>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</si>
  <si>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</si>
  <si>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</si>
  <si>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</si>
  <si>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</si>
  <si>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</si>
  <si>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</si>
  <si>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</si>
  <si>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</si>
  <si>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</si>
  <si>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</si>
  <si>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</si>
  <si>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</si>
  <si>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</si>
  <si>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</si>
  <si>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</si>
  <si>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</si>
  <si>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</si>
  <si>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</si>
  <si>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</si>
  <si>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</si>
  <si>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</si>
  <si>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</si>
  <si>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</si>
  <si>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</si>
  <si>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</si>
  <si>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</si>
  <si>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</si>
  <si>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</si>
  <si>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</si>
  <si>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</si>
  <si>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</si>
  <si>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</si>
  <si>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</si>
  <si>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</si>
  <si>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</si>
  <si>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</si>
  <si>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</si>
  <si>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</si>
  <si>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</si>
  <si>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</si>
  <si>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</si>
  <si>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</si>
  <si>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</si>
  <si>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</si>
  <si>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</si>
  <si>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</si>
  <si>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</si>
  <si>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</si>
  <si>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</si>
  <si>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</si>
  <si>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</si>
  <si>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</si>
  <si>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</si>
  <si>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</si>
  <si>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</si>
  <si>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</si>
  <si>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</si>
  <si>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</si>
  <si>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</si>
  <si>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</si>
  <si>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</si>
  <si>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</si>
  <si>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</si>
  <si>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</si>
  <si>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</si>
  <si>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</si>
  <si>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</si>
  <si>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</si>
  <si>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</si>
  <si>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</si>
  <si>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</si>
  <si>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</si>
  <si>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</si>
  <si>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</si>
  <si>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</si>
  <si>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</si>
  <si>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</si>
  <si>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</si>
  <si>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</si>
  <si>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</si>
  <si>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</si>
  <si>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</si>
  <si>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</si>
  <si>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</si>
  <si>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</si>
  <si>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</si>
  <si>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</si>
  <si>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</si>
  <si>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</si>
  <si>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</si>
  <si>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</si>
  <si>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</si>
  <si>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</si>
  <si>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</si>
  <si>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</si>
  <si>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</si>
  <si>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</si>
  <si>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</si>
  <si>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</si>
  <si>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</si>
  <si>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</si>
  <si>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</si>
  <si>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</si>
  <si>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</si>
  <si>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</si>
  <si>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</si>
  <si>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</si>
  <si>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Reset the sheet</t>
  </si>
  <si>
    <t>Run all the tests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</si>
  <si>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</si>
  <si>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</si>
  <si>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</si>
  <si>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</si>
  <si>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</si>
  <si>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</si>
  <si>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</si>
  <si>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</si>
  <si>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horizontally aligned table</t>
  </si>
  <si>
    <t>Remove numeric and date formatting with clear formatting function.</t>
  </si>
  <si>
    <t>Test 2</t>
  </si>
  <si>
    <t>Right align non-text</t>
  </si>
  <si>
    <t>Left align text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</si>
  <si>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</si>
  <si>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</si>
  <si>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</si>
  <si>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</si>
  <si>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</si>
  <si>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</si>
  <si>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</si>
  <si>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</si>
  <si>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t>Add super tips to ribbon buttons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</si>
  <si>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</si>
  <si>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</si>
  <si>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</si>
  <si>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</si>
  <si>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</si>
  <si>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</si>
  <si>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</si>
  <si>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</si>
  <si>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</si>
  <si>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</si>
  <si>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</si>
  <si>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Primary header formatter</t>
  </si>
  <si>
    <t>Secondary header formatter</t>
  </si>
  <si>
    <t>Test Checks</t>
  </si>
  <si>
    <t>Delete conditional formatting</t>
  </si>
  <si>
    <t>Logic</t>
  </si>
  <si>
    <t>OK</t>
  </si>
  <si>
    <t>Test 1.a</t>
  </si>
  <si>
    <t>Test 1.b</t>
  </si>
  <si>
    <t>Test 1.c</t>
  </si>
  <si>
    <t>Input</t>
  </si>
  <si>
    <t>Output</t>
  </si>
  <si>
    <t>d.logic_and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</si>
  <si>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</si>
  <si>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</si>
  <si>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</si>
  <si>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</si>
  <si>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</si>
  <si>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</si>
  <si>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</si>
  <si>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</si>
  <si>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</si>
  <si>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</si>
  <si>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</si>
  <si>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</si>
  <si>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</si>
  <si>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</si>
  <si>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</si>
  <si>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</si>
  <si>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</si>
  <si>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</si>
  <si>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</si>
  <si>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</si>
  <si>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d.logic_or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</si>
  <si>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</si>
  <si>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</si>
  <si>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</si>
  <si>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</si>
  <si>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</si>
  <si>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</si>
  <si>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</si>
  <si>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</si>
  <si>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 xml:space="preserve">Fix d.logic_and </t>
  </si>
  <si>
    <t>Fix d.logic_or</t>
  </si>
  <si>
    <t>All Test Results</t>
  </si>
  <si>
    <t>Fix test 3</t>
  </si>
  <si>
    <t>Add cell styles</t>
  </si>
  <si>
    <r>
      <t>Here we test the</t>
    </r>
    <r>
      <rPr>
        <b/>
        <sz val="11"/>
        <color theme="1"/>
        <rFont val="Calibri Light"/>
        <family val="2"/>
        <scheme val="minor"/>
      </rPr>
      <t xml:space="preserve"> d.logic_and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</t>
    </r>
    <r>
      <rPr>
        <b/>
        <sz val="11"/>
        <color theme="1"/>
        <rFont val="Calibri Light"/>
        <family val="2"/>
        <scheme val="minor"/>
      </rPr>
      <t>OK</t>
    </r>
    <r>
      <rPr>
        <sz val="11"/>
        <color theme="1"/>
        <rFont val="Calibri Light"/>
        <family val="2"/>
        <scheme val="minor"/>
      </rPr>
      <t>.</t>
    </r>
  </si>
  <si>
    <r>
      <t>Here we test the</t>
    </r>
    <r>
      <rPr>
        <b/>
        <sz val="11"/>
        <color theme="1"/>
        <rFont val="Calibri Light"/>
        <family val="2"/>
        <scheme val="minor"/>
      </rPr>
      <t xml:space="preserve"> d.logic_and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</t>
    </r>
    <r>
      <rPr>
        <b/>
        <sz val="11"/>
        <color theme="1"/>
        <rFont val="Calibri Light"/>
        <family val="2"/>
        <scheme val="minor"/>
      </rPr>
      <t xml:space="preserve">OK </t>
    </r>
    <r>
      <rPr>
        <sz val="11"/>
        <color theme="1"/>
        <rFont val="Calibri Light"/>
        <family val="2"/>
        <scheme val="minor"/>
      </rPr>
      <t xml:space="preserve">and some are </t>
    </r>
    <r>
      <rPr>
        <b/>
        <sz val="11"/>
        <color theme="1"/>
        <rFont val="Calibri Light"/>
        <family val="2"/>
        <scheme val="minor"/>
      </rPr>
      <t>ERROR</t>
    </r>
    <r>
      <rPr>
        <sz val="11"/>
        <color theme="1"/>
        <rFont val="Calibri Light"/>
        <family val="2"/>
        <scheme val="minor"/>
      </rPr>
      <t>.</t>
    </r>
  </si>
  <si>
    <r>
      <t>Here we test the</t>
    </r>
    <r>
      <rPr>
        <b/>
        <sz val="11"/>
        <color theme="1"/>
        <rFont val="Calibri Light"/>
        <family val="2"/>
        <scheme val="minor"/>
      </rPr>
      <t xml:space="preserve"> d.logic_and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</t>
    </r>
    <r>
      <rPr>
        <b/>
        <sz val="11"/>
        <color theme="1"/>
        <rFont val="Calibri Light"/>
        <family val="2"/>
        <scheme val="minor"/>
      </rPr>
      <t xml:space="preserve">OK </t>
    </r>
    <r>
      <rPr>
        <sz val="11"/>
        <color theme="1"/>
        <rFont val="Calibri Light"/>
        <family val="2"/>
        <scheme val="minor"/>
      </rPr>
      <t xml:space="preserve">and some are </t>
    </r>
    <r>
      <rPr>
        <b/>
        <sz val="11"/>
        <color theme="1"/>
        <rFont val="Calibri Light"/>
        <family val="2"/>
        <scheme val="minor"/>
      </rPr>
      <t>WARNING</t>
    </r>
    <r>
      <rPr>
        <sz val="11"/>
        <color theme="1"/>
        <rFont val="Calibri Light"/>
        <family val="2"/>
        <scheme val="minor"/>
      </rPr>
      <t>.</t>
    </r>
  </si>
  <si>
    <r>
      <t>Here we test the</t>
    </r>
    <r>
      <rPr>
        <b/>
        <sz val="11"/>
        <color theme="1"/>
        <rFont val="Calibri Light"/>
        <family val="2"/>
        <scheme val="minor"/>
      </rPr>
      <t xml:space="preserve"> d.logic_and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</t>
    </r>
    <r>
      <rPr>
        <b/>
        <sz val="11"/>
        <color theme="1"/>
        <rFont val="Calibri Light"/>
        <family val="2"/>
        <scheme val="minor"/>
      </rPr>
      <t xml:space="preserve">OK </t>
    </r>
    <r>
      <rPr>
        <sz val="11"/>
        <color theme="1"/>
        <rFont val="Calibri Light"/>
        <family val="2"/>
        <scheme val="minor"/>
      </rPr>
      <t xml:space="preserve">and some are </t>
    </r>
    <r>
      <rPr>
        <b/>
        <sz val="11"/>
        <color theme="1"/>
        <rFont val="Calibri Light"/>
        <family val="2"/>
        <scheme val="minor"/>
      </rPr>
      <t>WARNING</t>
    </r>
    <r>
      <rPr>
        <sz val="11"/>
        <color theme="1"/>
        <rFont val="Calibri Light"/>
        <family val="2"/>
        <scheme val="minor"/>
      </rPr>
      <t xml:space="preserve"> and </t>
    </r>
    <r>
      <rPr>
        <b/>
        <sz val="11"/>
        <color theme="1"/>
        <rFont val="Calibri Light"/>
        <family val="2"/>
        <scheme val="minor"/>
      </rPr>
      <t>ERROR</t>
    </r>
    <r>
      <rPr>
        <sz val="11"/>
        <color theme="1"/>
        <rFont val="Calibri Light"/>
        <family val="2"/>
        <scheme val="minor"/>
      </rPr>
      <t>.</t>
    </r>
  </si>
  <si>
    <r>
      <t>Here we test the</t>
    </r>
    <r>
      <rPr>
        <b/>
        <sz val="11"/>
        <color theme="1"/>
        <rFont val="Calibri Light"/>
        <family val="2"/>
        <scheme val="minor"/>
      </rPr>
      <t xml:space="preserve"> d.logic_or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</t>
    </r>
    <r>
      <rPr>
        <b/>
        <sz val="11"/>
        <color theme="1"/>
        <rFont val="Calibri Light"/>
        <family val="2"/>
        <scheme val="minor"/>
      </rPr>
      <t>ERROR</t>
    </r>
    <r>
      <rPr>
        <sz val="11"/>
        <color theme="1"/>
        <rFont val="Calibri Light"/>
        <family val="2"/>
        <scheme val="minor"/>
      </rPr>
      <t>.</t>
    </r>
  </si>
  <si>
    <r>
      <t>Here we test the</t>
    </r>
    <r>
      <rPr>
        <b/>
        <sz val="11"/>
        <color theme="1"/>
        <rFont val="Calibri Light"/>
        <family val="2"/>
        <scheme val="minor"/>
      </rPr>
      <t xml:space="preserve"> d.logic_or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</t>
    </r>
    <r>
      <rPr>
        <b/>
        <sz val="11"/>
        <color theme="1"/>
        <rFont val="Calibri Light"/>
        <family val="2"/>
        <scheme val="minor"/>
      </rPr>
      <t xml:space="preserve">ERROR </t>
    </r>
    <r>
      <rPr>
        <sz val="11"/>
        <color theme="1"/>
        <rFont val="Calibri Light"/>
        <family val="2"/>
        <scheme val="minor"/>
      </rPr>
      <t xml:space="preserve">and some are </t>
    </r>
    <r>
      <rPr>
        <b/>
        <sz val="11"/>
        <color theme="1"/>
        <rFont val="Calibri Light"/>
        <family val="2"/>
        <scheme val="minor"/>
      </rPr>
      <t>OK</t>
    </r>
    <r>
      <rPr>
        <sz val="11"/>
        <color theme="1"/>
        <rFont val="Calibri Light"/>
        <family val="2"/>
        <scheme val="minor"/>
      </rPr>
      <t>.</t>
    </r>
  </si>
  <si>
    <t>Test 7</t>
  </si>
  <si>
    <r>
      <t>Here we test the</t>
    </r>
    <r>
      <rPr>
        <b/>
        <sz val="11"/>
        <color theme="1"/>
        <rFont val="Calibri Light"/>
        <family val="2"/>
        <scheme val="minor"/>
      </rPr>
      <t xml:space="preserve"> d.logic_or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</t>
    </r>
    <r>
      <rPr>
        <b/>
        <sz val="11"/>
        <color theme="1"/>
        <rFont val="Calibri Light"/>
        <family val="2"/>
        <scheme val="minor"/>
      </rPr>
      <t xml:space="preserve">ERROR </t>
    </r>
    <r>
      <rPr>
        <sz val="11"/>
        <color theme="1"/>
        <rFont val="Calibri Light"/>
        <family val="2"/>
        <scheme val="minor"/>
      </rPr>
      <t xml:space="preserve">and some are </t>
    </r>
    <r>
      <rPr>
        <b/>
        <sz val="11"/>
        <color theme="1"/>
        <rFont val="Calibri Light"/>
        <family val="2"/>
        <scheme val="minor"/>
      </rPr>
      <t>WARNING</t>
    </r>
    <r>
      <rPr>
        <sz val="11"/>
        <color theme="1"/>
        <rFont val="Calibri Light"/>
        <family val="2"/>
        <scheme val="minor"/>
      </rPr>
      <t>.</t>
    </r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</si>
  <si>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</si>
  <si>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</si>
  <si>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</si>
  <si>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</si>
  <si>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</si>
  <si>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</si>
  <si>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</si>
  <si>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</si>
  <si>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</si>
  <si>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r>
      <t>Here we test the</t>
    </r>
    <r>
      <rPr>
        <b/>
        <sz val="11"/>
        <color theme="1"/>
        <rFont val="Calibri Light"/>
        <family val="2"/>
        <scheme val="minor"/>
      </rPr>
      <t xml:space="preserve"> d.logic_or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</t>
    </r>
    <r>
      <rPr>
        <b/>
        <sz val="11"/>
        <color theme="1"/>
        <rFont val="Calibri Light"/>
        <family val="2"/>
        <scheme val="minor"/>
      </rPr>
      <t xml:space="preserve">ERROR </t>
    </r>
    <r>
      <rPr>
        <sz val="11"/>
        <color theme="1"/>
        <rFont val="Calibri Light"/>
        <family val="2"/>
        <scheme val="minor"/>
      </rPr>
      <t xml:space="preserve">and some are </t>
    </r>
    <r>
      <rPr>
        <b/>
        <sz val="11"/>
        <color theme="1"/>
        <rFont val="Calibri Light"/>
        <family val="2"/>
        <scheme val="minor"/>
      </rPr>
      <t>OK</t>
    </r>
    <r>
      <rPr>
        <sz val="11"/>
        <color theme="1"/>
        <rFont val="Calibri Light"/>
        <family val="2"/>
        <scheme val="minor"/>
      </rPr>
      <t xml:space="preserve"> and </t>
    </r>
    <r>
      <rPr>
        <b/>
        <sz val="11"/>
        <color theme="1"/>
        <rFont val="Calibri Light"/>
        <family val="2"/>
        <scheme val="minor"/>
      </rPr>
      <t>WARNING</t>
    </r>
    <r>
      <rPr>
        <sz val="11"/>
        <color theme="1"/>
        <rFont val="Calibri Light"/>
        <family val="2"/>
        <scheme val="minor"/>
      </rPr>
      <t>.</t>
    </r>
  </si>
  <si>
    <t>Change code from horizontal and vertical to something more logical.</t>
  </si>
  <si>
    <t>Test 9</t>
  </si>
  <si>
    <t>Run Tests in All Sheets</t>
  </si>
  <si>
    <t>Reset Tests in All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</si>
</sst>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3" formatCode="[$€-2]#,##0.00"/>
    <numFmt numFmtId="174" formatCode="[$£-809]#,##0.00"/>
    <numFmt numFmtId="175" formatCode="[$₽-419]#,##0.00"/>
    <numFmt numFmtId="176" formatCode="[$R-1C09]#,##0.00"/>
  </numFmts>
  <fonts count="2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1" applyNumberFormat="0" applyFill="0" applyAlignment="0" applyProtection="0"/>
    <xf numFmtId="0" fontId="25" fillId="0" borderId="35" applyNumberFormat="0" applyFill="0" applyAlignment="0" applyProtection="0"/>
    <xf numFmtId="0" fontId="26" fillId="0" borderId="2" applyNumberFormat="0" applyFill="0" applyAlignment="0" applyProtection="0"/>
    <xf numFmtId="0" fontId="21" fillId="0" borderId="0" applyNumberFormat="0" applyFill="0" applyBorder="0" applyAlignment="0" applyProtection="0"/>
  </cellStyleXfs>
  <cellXfs count="278">
    <xf numFmtId="0" fontId="0" fillId="0" borderId="0" xfId="0"/>
    <xf numFmtId="14" fontId="0" fillId="0" borderId="0" xfId="0" applyNumberFormat="1"/>
    <xf numFmtId="0" fontId="3" fillId="0" borderId="1" xfId="1"/>
    <xf numFmtId="0" fontId="25" fillId="0" borderId="35" xfId="2"/>
    <xf numFmtId="0" fontId="26" fillId="0" borderId="2" xfId="3"/>
    <xf numFmtId="164" fontId="0" fillId="0" borderId="0" xfId="0" applyNumberFormat="1"/>
    <xf numFmtId="165" fontId="0" fillId="0" borderId="0" xfId="0" applyNumberFormat="1"/>
    <xf numFmtId="0" fontId="4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6" fillId="3" borderId="5" xfId="0" applyFont="1" applyFill="1" applyBorder="1" applyAlignment="1">
      <alignment horizontal="centerContinuous" vertical="center"/>
    </xf>
    <xf numFmtId="0" fontId="6" fillId="3" borderId="6" xfId="0" applyFont="1" applyFill="1" applyBorder="1" applyAlignment="1">
      <alignment horizontal="centerContinuous" vertical="center"/>
    </xf>
    <xf numFmtId="4" fontId="5" fillId="0" borderId="10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right" vertical="center"/>
    </xf>
    <xf numFmtId="4" fontId="5" fillId="0" borderId="14" xfId="0" applyNumberFormat="1" applyFont="1" applyBorder="1" applyAlignment="1">
      <alignment horizontal="right" vertical="center"/>
    </xf>
    <xf numFmtId="166" fontId="5" fillId="0" borderId="10" xfId="0" applyNumberFormat="1" applyFont="1" applyBorder="1" applyAlignment="1">
      <alignment horizontal="right" vertical="center"/>
    </xf>
    <xf numFmtId="166" fontId="5" fillId="0" borderId="12" xfId="0" applyNumberFormat="1" applyFont="1" applyBorder="1" applyAlignment="1">
      <alignment horizontal="right" vertical="center"/>
    </xf>
    <xf numFmtId="166" fontId="5" fillId="0" borderId="14" xfId="0" applyNumberFormat="1" applyFont="1" applyBorder="1" applyAlignment="1">
      <alignment horizontal="right" vertical="center"/>
    </xf>
    <xf numFmtId="167" fontId="5" fillId="0" borderId="11" xfId="0" applyNumberFormat="1" applyFont="1" applyBorder="1" applyAlignment="1">
      <alignment horizontal="right" vertical="center"/>
    </xf>
    <xf numFmtId="167" fontId="5" fillId="0" borderId="13" xfId="0" applyNumberFormat="1" applyFont="1" applyBorder="1" applyAlignment="1">
      <alignment horizontal="right" vertical="center"/>
    </xf>
    <xf numFmtId="167" fontId="5" fillId="0" borderId="15" xfId="0" applyNumberFormat="1" applyFont="1" applyBorder="1" applyAlignment="1">
      <alignment horizontal="right"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6" fillId="3" borderId="7" xfId="0" applyFont="1" applyFill="1" applyBorder="1" applyAlignment="1">
      <alignment horizontal="centerContinuous" vertical="center"/>
    </xf>
    <xf numFmtId="4" fontId="5" fillId="0" borderId="16" xfId="0" applyNumberFormat="1" applyFont="1" applyBorder="1" applyAlignment="1">
      <alignment horizontal="right" vertical="center"/>
    </xf>
    <xf numFmtId="4" fontId="5" fillId="0" borderId="17" xfId="0" applyNumberFormat="1" applyFont="1" applyBorder="1" applyAlignment="1">
      <alignment horizontal="right" vertical="center"/>
    </xf>
    <xf numFmtId="4" fontId="5" fillId="0" borderId="18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0" fontId="5" fillId="0" borderId="18" xfId="0" applyNumberFormat="1" applyFont="1" applyBorder="1" applyAlignment="1">
      <alignment horizontal="right" vertical="center"/>
    </xf>
    <xf numFmtId="10" fontId="5" fillId="0" borderId="11" xfId="0" applyNumberFormat="1" applyFont="1" applyBorder="1" applyAlignment="1">
      <alignment horizontal="right" vertical="center"/>
    </xf>
    <xf numFmtId="10" fontId="5" fillId="0" borderId="13" xfId="0" applyNumberFormat="1" applyFont="1" applyBorder="1" applyAlignment="1">
      <alignment horizontal="right" vertical="center"/>
    </xf>
    <xf numFmtId="10" fontId="5" fillId="0" borderId="15" xfId="0" applyNumberFormat="1" applyFont="1" applyBorder="1" applyAlignment="1">
      <alignment horizontal="right" vertical="center"/>
    </xf>
    <xf numFmtId="0" fontId="6" fillId="3" borderId="19" xfId="0" applyFont="1" applyFill="1" applyBorder="1" applyAlignment="1">
      <alignment horizontal="centerContinuous" vertical="center"/>
    </xf>
    <xf numFmtId="0" fontId="6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6" fillId="3" borderId="0" xfId="0" applyFont="1" applyFill="1" applyBorder="1" applyAlignment="1">
      <alignment horizontal="centerContinuous" vertical="center"/>
    </xf>
    <xf numFmtId="0" fontId="5" fillId="0" borderId="0" xfId="0" applyFont="1"/>
    <xf numFmtId="0" fontId="6" fillId="4" borderId="21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166" fontId="5" fillId="0" borderId="0" xfId="0" applyNumberFormat="1" applyFont="1"/>
    <xf numFmtId="0" fontId="7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5" fillId="0" borderId="0" xfId="0" applyNumberFormat="1" applyFont="1" applyAlignment="1">
      <alignment horizontal="right"/>
    </xf>
    <xf numFmtId="0" fontId="5" fillId="0" borderId="0" xfId="0" applyFont="1" applyFill="1" applyBorder="1"/>
    <xf numFmtId="167" fontId="5" fillId="0" borderId="16" xfId="0" applyNumberFormat="1" applyFont="1" applyBorder="1" applyAlignment="1">
      <alignment horizontal="right" vertical="center"/>
    </xf>
    <xf numFmtId="167" fontId="5" fillId="0" borderId="17" xfId="0" applyNumberFormat="1" applyFont="1" applyBorder="1" applyAlignment="1">
      <alignment horizontal="right" vertical="center"/>
    </xf>
    <xf numFmtId="167" fontId="5" fillId="0" borderId="18" xfId="0" applyNumberFormat="1" applyFont="1" applyBorder="1" applyAlignment="1">
      <alignment horizontal="right" vertical="center"/>
    </xf>
    <xf numFmtId="0" fontId="6" fillId="3" borderId="28" xfId="0" applyFont="1" applyFill="1" applyBorder="1" applyAlignment="1">
      <alignment horizontal="centerContinuous" vertical="center"/>
    </xf>
    <xf numFmtId="0" fontId="6" fillId="3" borderId="29" xfId="0" applyFont="1" applyFill="1" applyBorder="1" applyAlignment="1">
      <alignment horizontal="centerContinuous" vertical="center"/>
    </xf>
    <xf numFmtId="0" fontId="6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4" fontId="5" fillId="0" borderId="0" xfId="0" applyNumberFormat="1" applyFont="1"/>
    <xf numFmtId="169" fontId="5" fillId="0" borderId="11" xfId="0" applyNumberFormat="1" applyFont="1" applyBorder="1" applyAlignment="1">
      <alignment horizontal="right" vertical="center"/>
    </xf>
    <xf numFmtId="169" fontId="5" fillId="0" borderId="13" xfId="0" applyNumberFormat="1" applyFont="1" applyBorder="1" applyAlignment="1">
      <alignment horizontal="right" vertical="center"/>
    </xf>
    <xf numFmtId="169" fontId="5" fillId="0" borderId="15" xfId="0" applyNumberFormat="1" applyFont="1" applyBorder="1" applyAlignment="1">
      <alignment horizontal="right" vertical="center"/>
    </xf>
    <xf numFmtId="0" fontId="6" fillId="4" borderId="32" xfId="0" applyFont="1" applyFill="1" applyBorder="1" applyAlignment="1">
      <alignment horizontal="center" vertical="center"/>
    </xf>
    <xf numFmtId="0" fontId="0" fillId="0" borderId="0" xfId="0" applyBorder="1"/>
    <xf numFmtId="170" fontId="5" fillId="0" borderId="0" xfId="0" applyNumberFormat="1" applyFont="1"/>
    <xf numFmtId="0" fontId="8" fillId="0" borderId="4" xfId="0" applyFont="1" applyBorder="1" applyAlignment="1">
      <alignment horizontal="centerContinuous"/>
    </xf>
    <xf numFmtId="171" fontId="5" fillId="0" borderId="16" xfId="0" applyNumberFormat="1" applyFont="1" applyBorder="1" applyAlignment="1">
      <alignment horizontal="right" vertical="center"/>
    </xf>
    <xf numFmtId="171" fontId="5" fillId="0" borderId="17" xfId="0" applyNumberFormat="1" applyFont="1" applyBorder="1" applyAlignment="1">
      <alignment horizontal="right" vertical="center"/>
    </xf>
    <xf numFmtId="171" fontId="5" fillId="0" borderId="18" xfId="0" applyNumberFormat="1" applyFont="1" applyBorder="1" applyAlignment="1">
      <alignment horizontal="right" vertical="center"/>
    </xf>
    <xf numFmtId="171" fontId="5" fillId="0" borderId="0" xfId="0" applyNumberFormat="1" applyFont="1" applyFill="1" applyBorder="1" applyAlignment="1">
      <alignment horizontal="right" vertical="center"/>
    </xf>
    <xf numFmtId="171" fontId="5" fillId="0" borderId="33" xfId="0" applyNumberFormat="1" applyFont="1" applyFill="1" applyBorder="1" applyAlignment="1">
      <alignment horizontal="right" vertical="center"/>
    </xf>
    <xf numFmtId="167" fontId="5" fillId="0" borderId="34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7" fillId="2" borderId="0" xfId="0" applyFont="1" applyFill="1" applyAlignment="1">
      <alignment horizontal="centerContinuous" vertical="center"/>
    </xf>
    <xf numFmtId="0" fontId="9" fillId="0" borderId="35" xfId="2" applyFont="1" applyBorder="1"/>
    <xf numFmtId="0" fontId="25" fillId="0" borderId="35" xfId="2" applyBorder="1"/>
    <xf numFmtId="0" fontId="11" fillId="0" borderId="0" xfId="0" applyFont="1"/>
    <xf numFmtId="0" fontId="12" fillId="0" borderId="0" xfId="0" applyFont="1"/>
    <xf numFmtId="4" fontId="5" fillId="0" borderId="11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right" vertical="center"/>
    </xf>
    <xf numFmtId="0" fontId="6" fillId="4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0" fillId="0" borderId="26" xfId="0" applyBorder="1"/>
    <xf numFmtId="0" fontId="3" fillId="0" borderId="1" xfId="1" applyFont="1"/>
    <xf numFmtId="0" fontId="15" fillId="0" borderId="26" xfId="0" applyFont="1" applyBorder="1"/>
    <xf numFmtId="9" fontId="5" fillId="0" borderId="42" xfId="0" applyNumberFormat="1" applyFont="1" applyBorder="1" applyAlignment="1">
      <alignment horizontal="right"/>
    </xf>
    <xf numFmtId="9" fontId="5" fillId="0" borderId="44" xfId="0" applyNumberFormat="1" applyFont="1" applyBorder="1" applyAlignment="1">
      <alignment horizontal="right"/>
    </xf>
    <xf numFmtId="166" fontId="5" fillId="0" borderId="39" xfId="0" applyNumberFormat="1" applyFont="1" applyBorder="1"/>
    <xf numFmtId="166" fontId="5" fillId="0" borderId="41" xfId="0" applyNumberFormat="1" applyFont="1" applyBorder="1"/>
    <xf numFmtId="0" fontId="16" fillId="0" borderId="0" xfId="0" applyFont="1"/>
    <xf numFmtId="0" fontId="13" fillId="0" borderId="0" xfId="0" applyFont="1"/>
    <xf numFmtId="166" fontId="5" fillId="0" borderId="45" xfId="0" applyNumberFormat="1" applyFont="1" applyBorder="1"/>
    <xf numFmtId="166" fontId="5" fillId="0" borderId="46" xfId="0" applyNumberFormat="1" applyFont="1" applyBorder="1"/>
    <xf numFmtId="0" fontId="0" fillId="0" borderId="46" xfId="0" applyBorder="1"/>
    <xf numFmtId="9" fontId="5" fillId="0" borderId="46" xfId="0" applyNumberFormat="1" applyFont="1" applyBorder="1" applyAlignment="1">
      <alignment horizontal="right"/>
    </xf>
    <xf numFmtId="9" fontId="5" fillId="0" borderId="47" xfId="0" applyNumberFormat="1" applyFont="1" applyBorder="1" applyAlignment="1">
      <alignment horizontal="right"/>
    </xf>
    <xf numFmtId="0" fontId="17" fillId="5" borderId="0" xfId="0" applyFont="1" applyFill="1" applyBorder="1" applyAlignment="1">
      <alignment horizontal="left" vertical="center"/>
    </xf>
    <xf numFmtId="0" fontId="12" fillId="0" borderId="28" xfId="0" applyFont="1" applyBorder="1"/>
    <xf numFmtId="0" fontId="0" fillId="0" borderId="29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12" fillId="0" borderId="52" xfId="0" applyFont="1" applyBorder="1"/>
    <xf numFmtId="0" fontId="0" fillId="0" borderId="53" xfId="0" applyBorder="1"/>
    <xf numFmtId="4" fontId="17" fillId="5" borderId="0" xfId="0" applyNumberFormat="1" applyFont="1" applyFill="1" applyBorder="1" applyAlignment="1">
      <alignment horizontal="left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166" fontId="5" fillId="0" borderId="40" xfId="0" applyNumberFormat="1" applyFont="1" applyBorder="1"/>
    <xf numFmtId="166" fontId="5" fillId="0" borderId="42" xfId="0" applyNumberFormat="1" applyFont="1" applyBorder="1"/>
    <xf numFmtId="0" fontId="0" fillId="0" borderId="41" xfId="0" applyBorder="1"/>
    <xf numFmtId="0" fontId="0" fillId="0" borderId="42" xfId="0" applyBorder="1"/>
    <xf numFmtId="9" fontId="5" fillId="0" borderId="41" xfId="0" applyNumberFormat="1" applyFont="1" applyBorder="1" applyAlignment="1">
      <alignment horizontal="right"/>
    </xf>
    <xf numFmtId="9" fontId="5" fillId="0" borderId="43" xfId="0" applyNumberFormat="1" applyFont="1" applyBorder="1" applyAlignment="1">
      <alignment horizontal="right"/>
    </xf>
    <xf numFmtId="173" fontId="18" fillId="0" borderId="16" xfId="0" applyNumberFormat="1" applyFont="1" applyBorder="1" applyAlignment="1">
      <alignment horizontal="right" vertical="center"/>
    </xf>
    <xf numFmtId="173" fontId="18" fillId="0" borderId="17" xfId="0" applyNumberFormat="1" applyFont="1" applyBorder="1" applyAlignment="1">
      <alignment horizontal="right" vertical="center"/>
    </xf>
    <xf numFmtId="173" fontId="18" fillId="0" borderId="18" xfId="0" applyNumberFormat="1" applyFont="1" applyBorder="1" applyAlignment="1">
      <alignment horizontal="right" vertical="center"/>
    </xf>
    <xf numFmtId="174" fontId="18" fillId="0" borderId="16" xfId="0" applyNumberFormat="1" applyFont="1" applyBorder="1" applyAlignment="1">
      <alignment horizontal="right" vertical="center"/>
    </xf>
    <xf numFmtId="174" fontId="18" fillId="0" borderId="17" xfId="0" applyNumberFormat="1" applyFont="1" applyBorder="1" applyAlignment="1">
      <alignment horizontal="right" vertical="center"/>
    </xf>
    <xf numFmtId="174" fontId="18" fillId="0" borderId="18" xfId="0" applyNumberFormat="1" applyFont="1" applyBorder="1" applyAlignment="1">
      <alignment horizontal="right" vertical="center"/>
    </xf>
    <xf numFmtId="175" fontId="18" fillId="0" borderId="16" xfId="0" applyNumberFormat="1" applyFont="1" applyBorder="1" applyAlignment="1">
      <alignment horizontal="right" vertical="center"/>
    </xf>
    <xf numFmtId="175" fontId="18" fillId="0" borderId="17" xfId="0" applyNumberFormat="1" applyFont="1" applyBorder="1" applyAlignment="1">
      <alignment horizontal="right" vertical="center"/>
    </xf>
    <xf numFmtId="175" fontId="18" fillId="0" borderId="18" xfId="0" applyNumberFormat="1" applyFont="1" applyBorder="1" applyAlignment="1">
      <alignment horizontal="right" vertical="center"/>
    </xf>
    <xf numFmtId="176" fontId="18" fillId="0" borderId="16" xfId="0" applyNumberFormat="1" applyFont="1" applyBorder="1" applyAlignment="1">
      <alignment horizontal="right" vertical="center"/>
    </xf>
    <xf numFmtId="176" fontId="18" fillId="0" borderId="17" xfId="0" applyNumberFormat="1" applyFont="1" applyBorder="1" applyAlignment="1">
      <alignment horizontal="right" vertical="center"/>
    </xf>
    <xf numFmtId="176" fontId="18" fillId="0" borderId="18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0" fontId="2" fillId="0" borderId="18" xfId="0" applyNumberFormat="1" applyFont="1" applyBorder="1" applyAlignment="1">
      <alignment horizontal="right" vertical="center"/>
    </xf>
    <xf numFmtId="10" fontId="2" fillId="0" borderId="11" xfId="0" applyNumberFormat="1" applyFont="1" applyBorder="1" applyAlignment="1">
      <alignment horizontal="right" vertical="center"/>
    </xf>
    <xf numFmtId="10" fontId="2" fillId="0" borderId="13" xfId="0" applyNumberFormat="1" applyFont="1" applyBorder="1" applyAlignment="1">
      <alignment horizontal="right" vertical="center"/>
    </xf>
    <xf numFmtId="10" fontId="2" fillId="0" borderId="15" xfId="0" applyNumberFormat="1" applyFont="1" applyBorder="1" applyAlignment="1">
      <alignment horizontal="right" vertical="center"/>
    </xf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166" fontId="2" fillId="0" borderId="14" xfId="0" applyNumberFormat="1" applyFont="1" applyBorder="1" applyAlignment="1">
      <alignment horizontal="right" vertical="center"/>
    </xf>
    <xf numFmtId="166" fontId="2" fillId="0" borderId="16" xfId="0" applyNumberFormat="1" applyFont="1" applyBorder="1" applyAlignment="1">
      <alignment horizontal="right" vertical="center"/>
    </xf>
    <xf numFmtId="166" fontId="2" fillId="0" borderId="17" xfId="0" applyNumberFormat="1" applyFont="1" applyBorder="1" applyAlignment="1">
      <alignment horizontal="right" vertical="center"/>
    </xf>
    <xf numFmtId="166" fontId="2" fillId="0" borderId="18" xfId="0" applyNumberFormat="1" applyFont="1" applyBorder="1" applyAlignment="1">
      <alignment horizontal="right" vertical="center"/>
    </xf>
    <xf numFmtId="0" fontId="19" fillId="0" borderId="0" xfId="0" applyFont="1"/>
    <xf numFmtId="4" fontId="17" fillId="5" borderId="0" xfId="0" applyNumberFormat="1" applyFont="1" applyFill="1" applyBorder="1" applyAlignment="1">
      <alignment vertical="center"/>
    </xf>
    <xf numFmtId="3" fontId="17" fillId="5" borderId="0" xfId="0" applyNumberFormat="1" applyFont="1" applyFill="1" applyBorder="1" applyAlignment="1">
      <alignment vertical="center"/>
    </xf>
    <xf numFmtId="0" fontId="20" fillId="4" borderId="36" xfId="0" applyFont="1" applyFill="1" applyBorder="1" applyAlignment="1">
      <alignment horizontal="center" vertical="center"/>
    </xf>
    <xf numFmtId="0" fontId="20" fillId="4" borderId="38" xfId="0" applyFont="1" applyFill="1" applyBorder="1" applyAlignment="1">
      <alignment horizontal="center" vertical="center"/>
    </xf>
    <xf numFmtId="0" fontId="20" fillId="3" borderId="5" xfId="0" applyFont="1" applyFill="1" applyBorder="1" applyAlignment="1">
      <alignment horizontal="centerContinuous" vertical="center"/>
    </xf>
    <xf numFmtId="0" fontId="20" fillId="3" borderId="6" xfId="0" applyFont="1" applyFill="1" applyBorder="1" applyAlignment="1">
      <alignment horizontal="centerContinuous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1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4" fontId="18" fillId="0" borderId="15" xfId="0" applyNumberFormat="1" applyFont="1" applyBorder="1" applyAlignment="1">
      <alignment horizontal="center" vertical="center"/>
    </xf>
    <xf numFmtId="0" fontId="21" fillId="0" borderId="50" xfId="4" applyBorder="1" applyAlignment="1">
      <alignment horizontal="centerContinuous" vertical="center"/>
    </xf>
    <xf numFmtId="0" fontId="21" fillId="0" borderId="51" xfId="4" applyBorder="1" applyAlignment="1">
      <alignment horizontal="centerContinuous" vertical="center"/>
    </xf>
    <xf numFmtId="0" fontId="21" fillId="0" borderId="53" xfId="4" applyBorder="1" applyAlignment="1">
      <alignment horizontal="centerContinuous" vertical="center"/>
    </xf>
    <xf numFmtId="0" fontId="21" fillId="0" borderId="52" xfId="4" applyFill="1" applyBorder="1" applyAlignment="1">
      <alignment horizontal="centerContinuous"/>
    </xf>
    <xf numFmtId="0" fontId="21" fillId="0" borderId="53" xfId="4" applyFill="1" applyBorder="1" applyAlignment="1">
      <alignment horizontal="centerContinuous"/>
    </xf>
    <xf numFmtId="0" fontId="6" fillId="3" borderId="57" xfId="0" applyFont="1" applyFill="1" applyBorder="1" applyAlignment="1">
      <alignment horizontal="centerContinuous" vertical="center"/>
    </xf>
    <xf numFmtId="0" fontId="22" fillId="0" borderId="52" xfId="4" applyFont="1" applyFill="1" applyBorder="1" applyAlignment="1">
      <alignment horizontal="centerContinuous" vertical="center"/>
    </xf>
    <xf numFmtId="0" fontId="22" fillId="0" borderId="53" xfId="4" applyFont="1" applyFill="1" applyBorder="1" applyAlignment="1">
      <alignment horizontal="centerContinuous" vertical="center"/>
    </xf>
    <xf numFmtId="4" fontId="22" fillId="0" borderId="58" xfId="4" applyNumberFormat="1" applyFont="1" applyBorder="1" applyAlignment="1">
      <alignment horizontal="centerContinuous" vertical="center"/>
    </xf>
    <xf numFmtId="4" fontId="14" fillId="5" borderId="0" xfId="0" applyNumberFormat="1" applyFont="1" applyFill="1" applyBorder="1" applyAlignment="1">
      <alignment horizontal="left" vertical="center"/>
    </xf>
    <xf numFmtId="4" fontId="17" fillId="5" borderId="0" xfId="0" applyNumberFormat="1" applyFont="1" applyFill="1" applyBorder="1" applyAlignment="1">
      <alignment horizontal="left" vertical="center"/>
    </xf>
    <xf numFmtId="4" fontId="6" fillId="3" borderId="6" xfId="0" applyNumberFormat="1" applyFont="1" applyFill="1" applyBorder="1" applyAlignment="1">
      <alignment horizontal="centerContinuous" vertical="center"/>
    </xf>
    <xf numFmtId="4" fontId="6" fillId="4" borderId="38" xfId="0" applyNumberFormat="1" applyFont="1" applyFill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12" fillId="0" borderId="50" xfId="0" applyFont="1" applyBorder="1"/>
    <xf numFmtId="0" fontId="0" fillId="0" borderId="53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0" borderId="53" xfId="0" applyBorder="1" applyAlignment="1">
      <alignment horizontal="right"/>
    </xf>
    <xf numFmtId="0" fontId="0" fillId="0" borderId="51" xfId="0" applyBorder="1" applyAlignment="1">
      <alignment horizontal="right"/>
    </xf>
    <xf numFmtId="173" fontId="17" fillId="5" borderId="16" xfId="0" applyNumberFormat="1" applyFont="1" applyFill="1" applyBorder="1" applyAlignment="1">
      <alignment horizontal="right" vertical="center"/>
    </xf>
    <xf numFmtId="173" fontId="17" fillId="5" borderId="17" xfId="0" applyNumberFormat="1" applyFont="1" applyFill="1" applyBorder="1" applyAlignment="1">
      <alignment horizontal="right" vertical="center"/>
    </xf>
    <xf numFmtId="173" fontId="17" fillId="5" borderId="18" xfId="0" applyNumberFormat="1" applyFont="1" applyFill="1" applyBorder="1" applyAlignment="1">
      <alignment horizontal="right" vertical="center"/>
    </xf>
    <xf numFmtId="174" fontId="17" fillId="5" borderId="16" xfId="0" applyNumberFormat="1" applyFont="1" applyFill="1" applyBorder="1" applyAlignment="1">
      <alignment horizontal="right" vertical="center"/>
    </xf>
    <xf numFmtId="174" fontId="17" fillId="5" borderId="17" xfId="0" applyNumberFormat="1" applyFont="1" applyFill="1" applyBorder="1" applyAlignment="1">
      <alignment horizontal="right" vertical="center"/>
    </xf>
    <xf numFmtId="174" fontId="17" fillId="5" borderId="18" xfId="0" applyNumberFormat="1" applyFont="1" applyFill="1" applyBorder="1" applyAlignment="1">
      <alignment horizontal="right" vertical="center"/>
    </xf>
    <xf numFmtId="175" fontId="17" fillId="5" borderId="16" xfId="0" applyNumberFormat="1" applyFont="1" applyFill="1" applyBorder="1" applyAlignment="1">
      <alignment horizontal="right" vertical="center"/>
    </xf>
    <xf numFmtId="175" fontId="17" fillId="5" borderId="17" xfId="0" applyNumberFormat="1" applyFont="1" applyFill="1" applyBorder="1" applyAlignment="1">
      <alignment horizontal="right" vertical="center"/>
    </xf>
    <xf numFmtId="175" fontId="17" fillId="5" borderId="18" xfId="0" applyNumberFormat="1" applyFont="1" applyFill="1" applyBorder="1" applyAlignment="1">
      <alignment horizontal="right" vertical="center"/>
    </xf>
    <xf numFmtId="176" fontId="17" fillId="5" borderId="16" xfId="0" applyNumberFormat="1" applyFont="1" applyFill="1" applyBorder="1" applyAlignment="1">
      <alignment horizontal="right" vertical="center"/>
    </xf>
    <xf numFmtId="176" fontId="17" fillId="5" borderId="17" xfId="0" applyNumberFormat="1" applyFont="1" applyFill="1" applyBorder="1" applyAlignment="1">
      <alignment horizontal="right" vertical="center"/>
    </xf>
    <xf numFmtId="176" fontId="17" fillId="5" borderId="18" xfId="0" applyNumberFormat="1" applyFont="1" applyFill="1" applyBorder="1" applyAlignment="1">
      <alignment horizontal="right" vertical="center"/>
    </xf>
    <xf numFmtId="10" fontId="17" fillId="5" borderId="16" xfId="0" applyNumberFormat="1" applyFont="1" applyFill="1" applyBorder="1" applyAlignment="1">
      <alignment horizontal="right" vertical="center"/>
    </xf>
    <xf numFmtId="10" fontId="17" fillId="5" borderId="17" xfId="0" applyNumberFormat="1" applyFont="1" applyFill="1" applyBorder="1" applyAlignment="1">
      <alignment horizontal="right" vertical="center"/>
    </xf>
    <xf numFmtId="10" fontId="17" fillId="5" borderId="18" xfId="0" applyNumberFormat="1" applyFont="1" applyFill="1" applyBorder="1" applyAlignment="1">
      <alignment horizontal="right" vertical="center"/>
    </xf>
    <xf numFmtId="10" fontId="17" fillId="5" borderId="11" xfId="0" applyNumberFormat="1" applyFont="1" applyFill="1" applyBorder="1" applyAlignment="1">
      <alignment horizontal="right" vertical="center"/>
    </xf>
    <xf numFmtId="10" fontId="17" fillId="5" borderId="13" xfId="0" applyNumberFormat="1" applyFont="1" applyFill="1" applyBorder="1" applyAlignment="1">
      <alignment horizontal="right" vertical="center"/>
    </xf>
    <xf numFmtId="10" fontId="17" fillId="5" borderId="15" xfId="0" applyNumberFormat="1" applyFont="1" applyFill="1" applyBorder="1" applyAlignment="1">
      <alignment horizontal="right" vertical="center"/>
    </xf>
    <xf numFmtId="166" fontId="17" fillId="5" borderId="10" xfId="0" applyNumberFormat="1" applyFont="1" applyFill="1" applyBorder="1" applyAlignment="1">
      <alignment horizontal="right" vertical="center"/>
    </xf>
    <xf numFmtId="166" fontId="17" fillId="5" borderId="12" xfId="0" applyNumberFormat="1" applyFont="1" applyFill="1" applyBorder="1" applyAlignment="1">
      <alignment horizontal="right" vertical="center"/>
    </xf>
    <xf numFmtId="166" fontId="17" fillId="5" borderId="14" xfId="0" applyNumberFormat="1" applyFont="1" applyFill="1" applyBorder="1" applyAlignment="1">
      <alignment horizontal="right" vertical="center"/>
    </xf>
    <xf numFmtId="166" fontId="17" fillId="5" borderId="16" xfId="0" applyNumberFormat="1" applyFont="1" applyFill="1" applyBorder="1" applyAlignment="1">
      <alignment horizontal="right" vertical="center"/>
    </xf>
    <xf numFmtId="166" fontId="17" fillId="5" borderId="17" xfId="0" applyNumberFormat="1" applyFont="1" applyFill="1" applyBorder="1" applyAlignment="1">
      <alignment horizontal="right" vertical="center"/>
    </xf>
    <xf numFmtId="166" fontId="17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0" fillId="4" borderId="60" xfId="0" applyNumberFormat="1" applyFont="1" applyFill="1" applyBorder="1" applyAlignment="1">
      <alignment horizontal="center" vertical="center"/>
    </xf>
    <xf numFmtId="4" fontId="20" fillId="4" borderId="61" xfId="0" applyNumberFormat="1" applyFont="1" applyFill="1" applyBorder="1" applyAlignment="1">
      <alignment horizontal="center" vertical="center"/>
    </xf>
    <xf numFmtId="4" fontId="20" fillId="4" borderId="62" xfId="0" applyNumberFormat="1" applyFont="1" applyFill="1" applyBorder="1" applyAlignment="1">
      <alignment horizontal="center" vertical="center"/>
    </xf>
    <xf numFmtId="173" fontId="17" fillId="5" borderId="12" xfId="0" applyNumberFormat="1" applyFont="1" applyFill="1" applyBorder="1" applyAlignment="1">
      <alignment horizontal="right" vertical="center"/>
    </xf>
    <xf numFmtId="173" fontId="17" fillId="5" borderId="13" xfId="0" applyNumberFormat="1" applyFont="1" applyFill="1" applyBorder="1" applyAlignment="1">
      <alignment horizontal="right" vertical="center"/>
    </xf>
    <xf numFmtId="174" fontId="17" fillId="5" borderId="12" xfId="0" applyNumberFormat="1" applyFont="1" applyFill="1" applyBorder="1" applyAlignment="1">
      <alignment horizontal="right" vertical="center"/>
    </xf>
    <xf numFmtId="174" fontId="17" fillId="5" borderId="13" xfId="0" applyNumberFormat="1" applyFont="1" applyFill="1" applyBorder="1" applyAlignment="1">
      <alignment horizontal="right" vertical="center"/>
    </xf>
    <xf numFmtId="175" fontId="17" fillId="5" borderId="12" xfId="0" applyNumberFormat="1" applyFont="1" applyFill="1" applyBorder="1" applyAlignment="1">
      <alignment horizontal="right" vertical="center"/>
    </xf>
    <xf numFmtId="175" fontId="17" fillId="5" borderId="13" xfId="0" applyNumberFormat="1" applyFont="1" applyFill="1" applyBorder="1" applyAlignment="1">
      <alignment horizontal="right" vertical="center"/>
    </xf>
    <xf numFmtId="176" fontId="17" fillId="5" borderId="12" xfId="0" applyNumberFormat="1" applyFont="1" applyFill="1" applyBorder="1" applyAlignment="1">
      <alignment horizontal="right" vertical="center"/>
    </xf>
    <xf numFmtId="176" fontId="17" fillId="5" borderId="13" xfId="0" applyNumberFormat="1" applyFont="1" applyFill="1" applyBorder="1" applyAlignment="1">
      <alignment horizontal="right" vertical="center"/>
    </xf>
    <xf numFmtId="10" fontId="17" fillId="5" borderId="12" xfId="0" applyNumberFormat="1" applyFont="1" applyFill="1" applyBorder="1" applyAlignment="1">
      <alignment horizontal="right" vertical="center"/>
    </xf>
    <xf numFmtId="10" fontId="17" fillId="5" borderId="14" xfId="0" applyNumberFormat="1" applyFont="1" applyFill="1" applyBorder="1" applyAlignment="1">
      <alignment horizontal="right" vertical="center"/>
    </xf>
    <xf numFmtId="166" fontId="17" fillId="5" borderId="11" xfId="0" applyNumberFormat="1" applyFont="1" applyFill="1" applyBorder="1" applyAlignment="1">
      <alignment horizontal="right" vertical="center"/>
    </xf>
    <xf numFmtId="166" fontId="17" fillId="5" borderId="13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66" fontId="5" fillId="6" borderId="12" xfId="0" applyNumberFormat="1" applyFont="1" applyFill="1" applyBorder="1" applyAlignment="1">
      <alignment horizontal="right" vertical="center"/>
    </xf>
    <xf numFmtId="167" fontId="5" fillId="6" borderId="17" xfId="0" applyNumberFormat="1" applyFont="1" applyFill="1" applyBorder="1" applyAlignment="1">
      <alignment horizontal="right" vertical="center"/>
    </xf>
    <xf numFmtId="167" fontId="5" fillId="0" borderId="16" xfId="0" applyNumberFormat="1" applyFont="1" applyBorder="1" applyAlignment="1">
      <alignment horizontal="center" vertical="center"/>
    </xf>
    <xf numFmtId="0" fontId="6" fillId="4" borderId="37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/>
    </xf>
    <xf numFmtId="167" fontId="5" fillId="0" borderId="63" xfId="0" applyNumberFormat="1" applyFont="1" applyBorder="1" applyAlignment="1">
      <alignment horizontal="center" vertical="center"/>
    </xf>
    <xf numFmtId="0" fontId="6" fillId="4" borderId="36" xfId="0" applyFont="1" applyFill="1" applyBorder="1" applyAlignment="1">
      <alignment horizontal="centerContinuous" vertical="center"/>
    </xf>
    <xf numFmtId="0" fontId="6" fillId="4" borderId="5" xfId="0" applyFont="1" applyFill="1" applyBorder="1" applyAlignment="1">
      <alignment horizontal="center" vertical="center"/>
    </xf>
    <xf numFmtId="4" fontId="23" fillId="7" borderId="52" xfId="0" applyNumberFormat="1" applyFont="1" applyFill="1" applyBorder="1" applyAlignment="1">
      <alignment horizontal="center" vertical="center"/>
    </xf>
    <xf numFmtId="4" fontId="23" fillId="7" borderId="64" xfId="0" applyNumberFormat="1" applyFont="1" applyFill="1" applyBorder="1" applyAlignment="1">
      <alignment horizontal="center" vertical="center"/>
    </xf>
    <xf numFmtId="4" fontId="23" fillId="7" borderId="65" xfId="0" applyNumberFormat="1" applyFont="1" applyFill="1" applyBorder="1" applyAlignment="1">
      <alignment horizontal="center" vertical="center"/>
    </xf>
    <xf numFmtId="4" fontId="23" fillId="7" borderId="66" xfId="0" applyNumberFormat="1" applyFont="1" applyFill="1" applyBorder="1" applyAlignment="1">
      <alignment horizontal="center" vertical="center"/>
    </xf>
    <xf numFmtId="169" fontId="5" fillId="0" borderId="63" xfId="0" applyNumberFormat="1" applyFont="1" applyBorder="1" applyAlignment="1">
      <alignment horizontal="right" vertical="center"/>
    </xf>
    <xf numFmtId="169" fontId="5" fillId="0" borderId="17" xfId="0" applyNumberFormat="1" applyFont="1" applyBorder="1" applyAlignment="1">
      <alignment horizontal="right" vertical="center"/>
    </xf>
    <xf numFmtId="169" fontId="5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6" fillId="4" borderId="21" xfId="0" applyNumberFormat="1" applyFont="1" applyFill="1" applyBorder="1" applyAlignment="1">
      <alignment horizontal="center" vertical="center"/>
    </xf>
    <xf numFmtId="4" fontId="6" fillId="4" borderId="22" xfId="0" applyNumberFormat="1" applyFont="1" applyFill="1" applyBorder="1" applyAlignment="1">
      <alignment horizontal="center" vertical="center"/>
    </xf>
    <xf numFmtId="4" fontId="6" fillId="4" borderId="23" xfId="0" applyNumberFormat="1" applyFont="1" applyFill="1" applyBorder="1" applyAlignment="1">
      <alignment horizontal="center" vertical="center"/>
    </xf>
    <xf numFmtId="0" fontId="21" fillId="0" borderId="0" xfId="4" applyAlignment="1">
      <alignment horizontal="center"/>
    </xf>
    <xf numFmtId="0" fontId="21" fillId="8" borderId="0" xfId="4" applyFill="1" applyBorder="1" applyAlignment="1">
      <alignment horizontal="centerContinuous" vertical="center"/>
    </xf>
    <xf numFmtId="0" fontId="6" fillId="3" borderId="67" xfId="0" applyFont="1" applyFill="1" applyBorder="1" applyAlignment="1">
      <alignment horizontal="centerContinuous" vertical="center"/>
    </xf>
    <xf numFmtId="0" fontId="24" fillId="3" borderId="68" xfId="0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Continuous" vertical="center"/>
    </xf>
    <xf numFmtId="0" fontId="6" fillId="3" borderId="53" xfId="0" applyFont="1" applyFill="1" applyBorder="1" applyAlignment="1">
      <alignment horizontal="centerContinuous" vertical="center"/>
    </xf>
    <xf numFmtId="0" fontId="20" fillId="4" borderId="60" xfId="0" applyFont="1" applyFill="1" applyBorder="1" applyAlignment="1">
      <alignment horizontal="center" vertical="center"/>
    </xf>
    <xf numFmtId="0" fontId="20" fillId="4" borderId="62" xfId="0" applyFont="1" applyFill="1" applyBorder="1" applyAlignment="1">
      <alignment horizontal="center" vertical="center"/>
    </xf>
    <xf numFmtId="4" fontId="18" fillId="0" borderId="16" xfId="0" applyNumberFormat="1" applyFont="1" applyBorder="1" applyAlignment="1">
      <alignment horizontal="center" vertical="center"/>
    </xf>
    <xf numFmtId="4" fontId="18" fillId="0" borderId="18" xfId="0" applyNumberFormat="1" applyFont="1" applyBorder="1" applyAlignment="1">
      <alignment horizontal="center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4" borderId="37" xfId="0" applyFont="1" applyFill="1" applyBorder="1" applyAlignment="1">
      <alignment horizontal="center" vertical="center"/>
    </xf>
    <xf numFmtId="4" fontId="17" fillId="5" borderId="10" xfId="0" applyNumberFormat="1" applyFont="1" applyFill="1" applyBorder="1" applyAlignment="1">
      <alignment horizontal="center" vertical="center"/>
    </xf>
    <xf numFmtId="4" fontId="17" fillId="5" borderId="16" xfId="0" applyNumberFormat="1" applyFont="1" applyFill="1" applyBorder="1" applyAlignment="1">
      <alignment horizontal="center" vertical="center"/>
    </xf>
    <xf numFmtId="4" fontId="17" fillId="5" borderId="11" xfId="0" applyNumberFormat="1" applyFont="1" applyFill="1" applyBorder="1" applyAlignment="1">
      <alignment horizontal="center" vertical="center"/>
    </xf>
    <xf numFmtId="4" fontId="17" fillId="5" borderId="14" xfId="0" applyNumberFormat="1" applyFont="1" applyFill="1" applyBorder="1" applyAlignment="1">
      <alignment horizontal="center" vertical="center"/>
    </xf>
    <xf numFmtId="4" fontId="17" fillId="5" borderId="18" xfId="0" applyNumberFormat="1" applyFont="1" applyFill="1" applyBorder="1" applyAlignment="1">
      <alignment horizontal="center" vertical="center"/>
    </xf>
    <xf numFmtId="4" fontId="17" fillId="5" borderId="15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Continuous" vertical="center"/>
    </xf>
    <xf numFmtId="4" fontId="20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6" fillId="3" borderId="29" xfId="0" applyFont="1" applyFill="1" applyBorder="1" applyAlignment="1">
      <alignment horizontal="center" vertical="distributed" textRotation="90"/>
    </xf>
    <xf numFmtId="0" fontId="0" fillId="0" borderId="49" xfId="0" applyBorder="1" applyAlignment="1">
      <alignment horizontal="center" vertical="distributed"/>
    </xf>
    <xf numFmtId="0" fontId="20" fillId="3" borderId="5" xfId="0" applyFont="1" applyFill="1" applyBorder="1" applyAlignment="1">
      <alignment horizontal="center" vertical="center" textRotation="90" wrapText="1"/>
    </xf>
    <xf numFmtId="0" fontId="0" fillId="0" borderId="59" xfId="0" applyBorder="1" applyAlignment="1">
      <alignment horizontal="center" vertical="center" textRotation="90" wrapText="1"/>
    </xf>
    <xf numFmtId="0" fontId="24" fillId="3" borderId="19" xfId="0" applyFont="1" applyFill="1" applyBorder="1" applyAlignment="1">
      <alignment horizontal="centerContinuous" vertical="center"/>
    </xf>
    <xf numFmtId="0" fontId="24" fillId="3" borderId="20" xfId="0" applyFont="1" applyFill="1" applyBorder="1" applyAlignment="1">
      <alignment horizontal="centerContinuous" vertical="center"/>
    </xf>
    <xf numFmtId="0" fontId="21" fillId="0" borderId="0" xfId="4" applyAlignment="1">
      <alignment horizontal="centerContinuous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2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C10" sqref="C10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143</v>
      </c>
      <c r="C2" s="3"/>
    </row>
    <row r="4" spans="2:3" x14ac:dyDescent="0.25">
      <c r="B4" s="275" t="s">
        <v>132</v>
      </c>
      <c r="C4" s="276"/>
    </row>
    <row r="5" spans="2:3" x14ac:dyDescent="0.25">
      <c r="B5" s="277" t="s">
        <v>212</v>
      </c>
      <c r="C5" s="277"/>
    </row>
    <row r="6" spans="2:3" x14ac:dyDescent="0.25">
      <c r="B6" s="277" t="s">
        <v>213</v>
      </c>
      <c r="C6" s="277"/>
    </row>
    <row r="8" spans="2:3" x14ac:dyDescent="0.25">
      <c r="B8" s="12" t="s">
        <v>184</v>
      </c>
      <c r="C8" s="170"/>
    </row>
    <row r="9" spans="2:3" x14ac:dyDescent="0.25">
      <c r="B9" s="249" t="s">
        <v>1</v>
      </c>
    </row>
    <row r="10" spans="2:3" x14ac:dyDescent="0.25">
      <c r="B10" t="s">
        <v>22</v>
      </c>
    </row>
    <row r="14" spans="2:3" x14ac:dyDescent="0.25">
      <c r="B14" s="12" t="s">
        <v>144</v>
      </c>
      <c r="C14" s="170"/>
    </row>
    <row r="15" spans="2:3" x14ac:dyDescent="0.25">
      <c r="B15" s="249" t="s">
        <v>150</v>
      </c>
      <c r="C15" s="210" t="str">
        <f>Logic!C4</f>
        <v>OK</v>
      </c>
    </row>
    <row r="16" spans="2:3" x14ac:dyDescent="0.25">
      <c r="B16" s="249" t="s">
        <v>92</v>
      </c>
      <c r="C16" s="210" t="str">
        <f ca="1">'Table Formatting'!C4</f>
        <v>OK</v>
      </c>
    </row>
    <row r="21" spans="5:5" x14ac:dyDescent="0.25">
      <c r="E21" s="210"/>
    </row>
  </sheetData>
  <conditionalFormatting sqref="C15">
    <cfRule type="cellIs" dxfId="128" priority="1" stopIfTrue="1" operator="equal">
      <formula>"OK"</formula>
    </cfRule>
    <cfRule type="cellIs" dxfId="127" priority="2" stopIfTrue="1" operator="equal">
      <formula>"ERROR"</formula>
    </cfRule>
  </conditionalFormatting>
  <conditionalFormatting sqref="C16">
    <cfRule type="cellIs" dxfId="126" priority="3" stopIfTrue="1" operator="equal">
      <formula>"OK"</formula>
    </cfRule>
    <cfRule type="cellIs" dxfId="125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135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04" zoomScaleNormal="145" workbookViewId="0">
      <selection activeCell="B6" sqref="B6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60" t="s">
        <v>185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8" t="s">
        <v>119</v>
      </c>
      <c r="C12" s="210" t="str">
        <f>G16</f>
        <v>OK</v>
      </c>
    </row>
    <row r="14" spans="2:22" ht="18.75" x14ac:dyDescent="0.3">
      <c r="B14" s="79" t="s">
        <v>77</v>
      </c>
      <c r="C14" s="80"/>
      <c r="D14" s="80"/>
      <c r="F14" s="79" t="s">
        <v>119</v>
      </c>
      <c r="G14" s="80"/>
      <c r="H14" s="80"/>
      <c r="I14" s="80"/>
      <c r="J14" s="80"/>
      <c r="K14" s="80"/>
      <c r="L14" s="80"/>
      <c r="M14" s="80"/>
      <c r="N14" s="80"/>
      <c r="O14" s="80"/>
      <c r="Q14" s="79" t="s">
        <v>123</v>
      </c>
      <c r="R14" s="80"/>
      <c r="S14" s="80"/>
      <c r="T14" s="80"/>
      <c r="U14" s="80"/>
      <c r="V14" s="80"/>
    </row>
    <row r="16" spans="2:22" x14ac:dyDescent="0.25">
      <c r="B16" s="78" t="s">
        <v>3</v>
      </c>
      <c r="C16" s="70" t="str" cm="1">
        <f t="array" ref="C16">_xll.d.Curve_Create("ExampleCurve",B19:C22,B26:B31,C26:C31)</f>
        <v>@@ExampleCurve::17:25:12</v>
      </c>
      <c r="D16" s="26"/>
      <c r="F16" s="60" t="s">
        <v>145</v>
      </c>
      <c r="G16" s="210" t="str" cm="1">
        <f t="array" ref="G16">_xll.d.Logic_And(I29:I39)</f>
        <v>OK</v>
      </c>
    </row>
    <row r="17" spans="2:19" x14ac:dyDescent="0.25">
      <c r="Q17" s="27" t="s">
        <v>183</v>
      </c>
      <c r="R17" s="27"/>
      <c r="S17" s="27"/>
    </row>
    <row r="18" spans="2:19" x14ac:dyDescent="0.25">
      <c r="B18" s="12" t="s">
        <v>61</v>
      </c>
      <c r="C18" s="170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46" t="s">
        <v>88</v>
      </c>
      <c r="R18" s="247" t="s">
        <v>89</v>
      </c>
      <c r="S18" s="248" t="s">
        <v>90</v>
      </c>
    </row>
    <row r="19" spans="2:19" x14ac:dyDescent="0.25">
      <c r="B19" s="86" t="s">
        <v>32</v>
      </c>
      <c r="C19" s="171" t="s">
        <v>33</v>
      </c>
      <c r="F19" s="236"/>
      <c r="G19" s="235" t="s">
        <v>83</v>
      </c>
      <c r="H19" s="232"/>
      <c r="I19" s="233"/>
      <c r="J19" s="235" t="s">
        <v>84</v>
      </c>
      <c r="K19" s="232"/>
      <c r="L19" s="233"/>
      <c r="M19" s="235" t="s">
        <v>85</v>
      </c>
      <c r="N19" s="232"/>
      <c r="O19" s="233"/>
      <c r="Q19" s="244" t="str" cm="1">
        <f t="array" ref="Q19">_xll.d.Curve_GetZeroRates($C$16,$F21,"NACP")</f>
        <v>#ERROR: Invalid compounding convention 'NACP'.</v>
      </c>
      <c r="R19" s="245" t="s">
        <v>87</v>
      </c>
      <c r="S19" s="231" t="str" cm="1">
        <f t="array" ref="S19">_xll.d.Logic_Equal(Q19,R19)</f>
        <v>OK</v>
      </c>
    </row>
    <row r="20" spans="2:19" x14ac:dyDescent="0.25">
      <c r="B20" s="172" t="s">
        <v>76</v>
      </c>
      <c r="C20" s="173" t="s">
        <v>73</v>
      </c>
      <c r="F20" s="237" t="s">
        <v>35</v>
      </c>
      <c r="G20" s="238" t="s">
        <v>78</v>
      </c>
      <c r="H20" s="239" t="s">
        <v>79</v>
      </c>
      <c r="I20" s="240" t="s">
        <v>90</v>
      </c>
      <c r="J20" s="238" t="s">
        <v>78</v>
      </c>
      <c r="K20" s="239" t="s">
        <v>79</v>
      </c>
      <c r="L20" s="240" t="s">
        <v>90</v>
      </c>
      <c r="M20" s="238" t="s">
        <v>78</v>
      </c>
      <c r="N20" s="239" t="s">
        <v>79</v>
      </c>
      <c r="O20" s="240" t="s">
        <v>90</v>
      </c>
    </row>
    <row r="21" spans="2:19" x14ac:dyDescent="0.25">
      <c r="B21" s="174" t="s">
        <v>74</v>
      </c>
      <c r="C21" s="175" t="s">
        <v>75</v>
      </c>
      <c r="E21" s="178"/>
      <c r="F21" s="18">
        <f>B27</f>
        <v>44593</v>
      </c>
      <c r="G21" s="241">
        <f>-LN(C27)/YEARFRAC($B$26,F21,3)</f>
        <v>0.11833459956542031</v>
      </c>
      <c r="H21" s="241">
        <f t="array" ref="H21:H25">_xll.d.Curve_GetZeroRates($C$16,F21:F25)</f>
        <v>0.11833459956542096</v>
      </c>
      <c r="I21" s="234" t="str" cm="1">
        <f t="array" ref="I21">_xll.d.Logic_Equal(G21,H21)</f>
        <v>OK</v>
      </c>
      <c r="J21" s="241">
        <f>12*($C27^(-1/(12*YEARFRAC($B$26,$F21,3)))-1)</f>
        <v>0.11891998374379664</v>
      </c>
      <c r="K21" s="241" cm="1">
        <f t="array" ref="K21">_xll.d.Curve_GetZeroRates($C$16,$F21,"NACM")</f>
        <v>0.11891998374379664</v>
      </c>
      <c r="L21" s="234" t="str" cm="1">
        <f t="array" ref="L21">_xll.d.Logic_Equal(J21,K21)</f>
        <v>OK</v>
      </c>
      <c r="M21" s="241">
        <f>4*($C27^(-1/(4*YEARFRAC($B$26,$F21,3)))-1)</f>
        <v>0.12010237358908604</v>
      </c>
      <c r="N21" s="241" cm="1">
        <f t="array" ref="N21">_xll.d.Curve_GetZeroRates($C$16,$F21,"NACQ")</f>
        <v>0.12010237358908693</v>
      </c>
      <c r="O21" s="234" t="str" cm="1">
        <f t="array" ref="O21">_xll.d.Logic_Equal(M21,N21)</f>
        <v>OK</v>
      </c>
    </row>
    <row r="22" spans="2:19" x14ac:dyDescent="0.25">
      <c r="B22" s="176" t="s">
        <v>54</v>
      </c>
      <c r="C22" s="177" t="s">
        <v>91</v>
      </c>
      <c r="F22" s="18">
        <f>B28</f>
        <v>44621</v>
      </c>
      <c r="G22" s="242">
        <f>-LN(C28)/YEARFRAC($B$26,F22,3)</f>
        <v>0.12498285035414584</v>
      </c>
      <c r="H22" s="242">
        <v>0.12498285035414587</v>
      </c>
      <c r="I22" s="231" t="str" cm="1">
        <f t="array" ref="I22">_xll.d.Logic_Equal(G22,H22)</f>
        <v>OK</v>
      </c>
      <c r="J22" s="242">
        <f>12*($C28^(-1/(12*YEARFRAC($B$26,$F22,3)))-1)</f>
        <v>0.12563597891789247</v>
      </c>
      <c r="K22" s="242" cm="1">
        <f t="array" ref="K22">_xll.d.Curve_GetZeroRates($C$16,$F22,"NACM")</f>
        <v>0.1256359789178898</v>
      </c>
      <c r="L22" s="231" t="str" cm="1">
        <f t="array" ref="L22">_xll.d.Logic_Equal(J22,K22)</f>
        <v>OK</v>
      </c>
      <c r="M22" s="242">
        <f>4*($C28^(-1/(4*YEARFRAC($B$26,$F22,3)))-1)</f>
        <v>0.12695593600029031</v>
      </c>
      <c r="N22" s="242" cm="1">
        <f t="array" ref="N22">_xll.d.Curve_GetZeroRates($C$16,$F22,"NACQ")</f>
        <v>0.12695593600029031</v>
      </c>
      <c r="O22" s="231" t="str" cm="1">
        <f t="array" ref="O22">_xll.d.Logic_Equal(M22,N22)</f>
        <v>OK</v>
      </c>
    </row>
    <row r="23" spans="2:19" x14ac:dyDescent="0.25">
      <c r="F23" s="18">
        <f>B29</f>
        <v>44652</v>
      </c>
      <c r="G23" s="242">
        <f>-LN(C29)/YEARFRAC($B$26,F23,3)</f>
        <v>0.12352900813242923</v>
      </c>
      <c r="H23" s="242">
        <v>0.12352900813242955</v>
      </c>
      <c r="I23" s="231" t="str" cm="1">
        <f t="array" ref="I23">_xll.d.Logic_Equal(G23,H23)</f>
        <v>OK</v>
      </c>
      <c r="J23" s="242">
        <f>12*($C29^(-1/(12*YEARFRAC($B$26,$F23,3)))-1)</f>
        <v>0.12416700444279183</v>
      </c>
      <c r="K23" s="242" cm="1">
        <f t="array" ref="K23">_xll.d.Curve_GetZeroRates($C$16,$F23,"NACM")</f>
        <v>0.12416700444279183</v>
      </c>
      <c r="L23" s="231" t="str" cm="1">
        <f t="array" ref="L23">_xll.d.Logic_Equal(J23,K23)</f>
        <v>OK</v>
      </c>
      <c r="M23" s="242">
        <f>4*($C29^(-1/(4*YEARFRAC($B$26,$F23,3)))-1)</f>
        <v>0.12545622286335512</v>
      </c>
      <c r="N23" s="242" cm="1">
        <f t="array" ref="N23">_xll.d.Curve_GetZeroRates($C$16,$F23,"NACQ")</f>
        <v>0.12545622286335512</v>
      </c>
      <c r="O23" s="231" t="str" cm="1">
        <f t="array" ref="O23">_xll.d.Logic_Equal(M23,N23)</f>
        <v>OK</v>
      </c>
    </row>
    <row r="24" spans="2:19" x14ac:dyDescent="0.25">
      <c r="E24" s="10"/>
      <c r="F24" s="18">
        <f>B30</f>
        <v>44682</v>
      </c>
      <c r="G24" s="242">
        <f>-LN(C30)/YEARFRAC($B$26,F24,3)</f>
        <v>0.12416689999910947</v>
      </c>
      <c r="H24" s="242">
        <v>0.12416689999910957</v>
      </c>
      <c r="I24" s="231" t="str" cm="1">
        <f t="array" ref="I24">_xll.d.Logic_Equal(G24,H24)</f>
        <v>OK</v>
      </c>
      <c r="J24" s="242">
        <f>12*($C30^(-1/(12*YEARFRAC($B$26,$F24,3)))-1)</f>
        <v>0.12481151386647849</v>
      </c>
      <c r="K24" s="242" cm="1">
        <f t="array" ref="K24">_xll.d.Curve_GetZeroRates($C$16,$F24,"NACM")</f>
        <v>0.12481151386647849</v>
      </c>
      <c r="L24" s="231" t="str" cm="1">
        <f t="array" ref="L24">_xll.d.Logic_Equal(J24,K24)</f>
        <v>OK</v>
      </c>
      <c r="M24" s="242">
        <f>4*($C30^(-1/(4*YEARFRAC($B$26,$F24,3)))-1)</f>
        <v>0.12611417406740255</v>
      </c>
      <c r="N24" s="242" cm="1">
        <f t="array" ref="N24">_xll.d.Curve_GetZeroRates($C$16,$F24,"NACQ")</f>
        <v>0.12611417406740344</v>
      </c>
      <c r="O24" s="231" t="str" cm="1">
        <f t="array" ref="O24">_xll.d.Logic_Equal(M24,N24)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43">
        <f>-LN(C31)/YEARFRAC($B$26,F25,3)</f>
        <v>0.11950895023574995</v>
      </c>
      <c r="H25" s="243">
        <v>0.11950895023574998</v>
      </c>
      <c r="I25" s="231" t="str" cm="1">
        <f t="array" ref="I25">_xll.d.Logic_Equal(G25,H25)</f>
        <v>OK</v>
      </c>
      <c r="J25" s="243">
        <f>12*($C31^(-1/(12*YEARFRAC($B$26,$F25,3)))-1)</f>
        <v>0.12010603026150424</v>
      </c>
      <c r="K25" s="243" cm="1">
        <f t="array" ref="K25">_xll.d.Curve_GetZeroRates($C$16,$F25,"NACM")</f>
        <v>0.12010603026150424</v>
      </c>
      <c r="L25" s="231" t="str" cm="1">
        <f t="array" ref="L25">_xll.d.Logic_Equal(J25,K25)</f>
        <v>OK</v>
      </c>
      <c r="M25" s="243">
        <f>4*($C31^(-1/(4*YEARFRAC($B$26,$F25,3)))-1)</f>
        <v>0.1213121624159994</v>
      </c>
      <c r="N25" s="243" cm="1">
        <f t="array" ref="N25">_xll.d.Curve_GetZeroRates($C$16,$F25,"NACQ")</f>
        <v>0.1213121624159994</v>
      </c>
      <c r="O25" s="231" t="str" cm="1">
        <f t="array" ref="O25">_xll.d.Logic_Equal(M25,N25)</f>
        <v>OK</v>
      </c>
    </row>
    <row r="26" spans="2:19" x14ac:dyDescent="0.25">
      <c r="B26" s="17">
        <v>44562</v>
      </c>
      <c r="C26" s="83">
        <v>1</v>
      </c>
      <c r="E26" s="8"/>
    </row>
    <row r="27" spans="2:19" x14ac:dyDescent="0.25">
      <c r="B27" s="18">
        <v>44593</v>
      </c>
      <c r="C27" s="84">
        <v>0.99</v>
      </c>
      <c r="E27" s="8"/>
      <c r="F27" s="82" t="s">
        <v>2</v>
      </c>
      <c r="H27" s="81" t="s">
        <v>82</v>
      </c>
    </row>
    <row r="28" spans="2:19" x14ac:dyDescent="0.25">
      <c r="B28" s="18">
        <v>44621</v>
      </c>
      <c r="C28" s="84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84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31" t="str" cm="1">
        <f t="array" ref="I29">_xll.d.Logic_Equal(G29,H29)</f>
        <v>OK</v>
      </c>
    </row>
    <row r="30" spans="2:19" x14ac:dyDescent="0.25">
      <c r="B30" s="18">
        <v>44682</v>
      </c>
      <c r="C30" s="84">
        <v>0.96</v>
      </c>
      <c r="F30" s="229">
        <v>44576</v>
      </c>
      <c r="G30" s="230">
        <f>EXP((LN(C27)-LN(C26))/((B27-B26)/365)*((F30-B26)/365)+LN(C26))</f>
        <v>0.99547142371128639</v>
      </c>
      <c r="H30" s="230" cm="1">
        <f t="array" ref="H30">_xll.d.Curve_GetDiscountFactors($C$16,F30)</f>
        <v>0.99547142371128639</v>
      </c>
      <c r="I30" s="231" t="str" cm="1">
        <f t="array" ref="I30">_xll.d.Logic_Equal(G30,H30)</f>
        <v>OK</v>
      </c>
    </row>
    <row r="31" spans="2:19" x14ac:dyDescent="0.25">
      <c r="B31" s="19">
        <v>46022</v>
      </c>
      <c r="C31" s="85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31" t="str" cm="1">
        <f t="array" ref="I31">_xll.d.Logic_Equal(G31,H31)</f>
        <v>OK</v>
      </c>
    </row>
    <row r="32" spans="2:19" x14ac:dyDescent="0.25">
      <c r="F32" s="229">
        <v>44607</v>
      </c>
      <c r="G32" s="230">
        <f>EXP((LN(C28)-LN(C27))/((B28-B27)/365)*((F32-B27)/365)+LN(C27))</f>
        <v>0.98498730956292024</v>
      </c>
      <c r="H32" s="230" cm="1">
        <f t="array" ref="H32">_xll.d.Curve_GetDiscountFactors($C$16,F32)</f>
        <v>0.98498730956292024</v>
      </c>
      <c r="I32" s="231" t="str" cm="1">
        <f t="array" ref="I32">_xll.d.Logic_Equal(G32,H32)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31" t="str" cm="1">
        <f t="array" ref="I33">_xll.d.Logic_Equal(G33,H33)</f>
        <v>OK</v>
      </c>
    </row>
    <row r="34" spans="2:9" x14ac:dyDescent="0.25">
      <c r="F34" s="229">
        <v>44635</v>
      </c>
      <c r="G34" s="230">
        <f>EXP((LN(C29)-LN(C28))/((B29-B28)/365)*((F34-B28)/365)+LN(C28))</f>
        <v>0.97547116833738268</v>
      </c>
      <c r="H34" s="230" cm="1">
        <f t="array" ref="H34">_xll.d.Curve_GetDiscountFactors($C$16,F34)</f>
        <v>0.97547116833738268</v>
      </c>
      <c r="I34" s="231" t="str" cm="1">
        <f t="array" ref="I34">_xll.d.Logic_Equal(G34,H34)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31" t="str" cm="1">
        <f t="array" ref="I35">_xll.d.Logic_Equal(G35,H35)</f>
        <v>OK</v>
      </c>
    </row>
    <row r="36" spans="2:9" x14ac:dyDescent="0.25">
      <c r="F36" s="229">
        <v>44666</v>
      </c>
      <c r="G36" s="230">
        <f>EXP((LN(C30)-LN(C29))/((B30-B29)/365)*((F36-B29)/365)+LN(C29))</f>
        <v>0.96532043596444328</v>
      </c>
      <c r="H36" s="230" cm="1">
        <f t="array" ref="H36">_xll.d.Curve_GetDiscountFactors($C$16,F36)</f>
        <v>0.96532043596444328</v>
      </c>
      <c r="I36" s="231" t="str" cm="1">
        <f t="array" ref="I36">_xll.d.Logic_Equal(G36,H36)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31" t="str" cm="1">
        <f t="array" ref="I37">_xll.d.Logic_Equal(G37,H37)</f>
        <v>OK</v>
      </c>
    </row>
    <row r="38" spans="2:9" x14ac:dyDescent="0.25">
      <c r="E38" s="5"/>
      <c r="F38" s="229">
        <v>45107</v>
      </c>
      <c r="G38" s="230">
        <f>EXP((LN(C31)-LN(C30))/((B31-B30)/365)*((F38-B30)/365)+LN(C30))</f>
        <v>0.8356958461194135</v>
      </c>
      <c r="H38" s="230" cm="1">
        <f t="array" ref="H38">_xll.d.Curve_GetDiscountFactors($C$16,F38)</f>
        <v>0.8356958461194135</v>
      </c>
      <c r="I38" s="231" t="str" cm="1">
        <f t="array" ref="I38">_xll.d.Logic_Equal(G38,H38)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31" t="str" cm="1">
        <f t="array" ref="I39">_xll.d.Logic_Equal(G39,H39)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24" priority="11" stopIfTrue="1" operator="equal">
      <formula>"OK"</formula>
    </cfRule>
    <cfRule type="cellIs" dxfId="123" priority="12" stopIfTrue="1" operator="equal">
      <formula>"ERROR"</formula>
    </cfRule>
  </conditionalFormatting>
  <conditionalFormatting sqref="G16">
    <cfRule type="cellIs" dxfId="122" priority="9" stopIfTrue="1" operator="equal">
      <formula>"OK"</formula>
    </cfRule>
    <cfRule type="cellIs" dxfId="121" priority="10" stopIfTrue="1" operator="equal">
      <formula>"ERROR"</formula>
    </cfRule>
  </conditionalFormatting>
  <conditionalFormatting sqref="C12">
    <cfRule type="cellIs" dxfId="120" priority="13" stopIfTrue="1" operator="equal">
      <formula>"OK"</formula>
    </cfRule>
    <cfRule type="cellIs" dxfId="119" priority="14" stopIfTrue="1" operator="equal">
      <formula>"ERROR"</formula>
    </cfRule>
  </conditionalFormatting>
  <conditionalFormatting sqref="I21:I25">
    <cfRule type="cellIs" dxfId="118" priority="7" stopIfTrue="1" operator="equal">
      <formula>"OK"</formula>
    </cfRule>
    <cfRule type="cellIs" dxfId="117" priority="8" stopIfTrue="1" operator="equal">
      <formula>"ERROR"</formula>
    </cfRule>
  </conditionalFormatting>
  <conditionalFormatting sqref="L21:L25">
    <cfRule type="cellIs" dxfId="116" priority="5" stopIfTrue="1" operator="equal">
      <formula>"OK"</formula>
    </cfRule>
    <cfRule type="cellIs" dxfId="115" priority="6" stopIfTrue="1" operator="equal">
      <formula>"ERROR"</formula>
    </cfRule>
  </conditionalFormatting>
  <conditionalFormatting sqref="O21:O25">
    <cfRule type="cellIs" dxfId="114" priority="3" stopIfTrue="1" operator="equal">
      <formula>"OK"</formula>
    </cfRule>
    <cfRule type="cellIs" dxfId="113" priority="4" stopIfTrue="1" operator="equal">
      <formula>"ERROR"</formula>
    </cfRule>
  </conditionalFormatting>
  <conditionalFormatting sqref="S19">
    <cfRule type="cellIs" dxfId="112" priority="1" stopIfTrue="1" operator="equal">
      <formula>"OK"</formula>
    </cfRule>
    <cfRule type="cellIs" dxfId="111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48"/>
  <sheetViews>
    <sheetView showGridLines="0" zoomScale="114" workbookViewId="0">
      <selection activeCell="F18" sqref="F18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1" width="17.8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e" cm="1">
        <f t="array" ref="D6">_xll.d.Curve_SingleCurveBootstrap("ZARCurve",C12,B23:E28,B30:E33,B35:E38)</f>
        <v>#VALUE!</v>
      </c>
      <c r="E6" s="26"/>
      <c r="M6" s="47" t="s">
        <v>41</v>
      </c>
      <c r="N6" s="47"/>
      <c r="O6" s="70" t="e" cm="1">
        <f t="array" ref="O6">_xll.d.Curve_SingleCurveBootstrap("USDOIS",N12,M23:P25,M27:P48)</f>
        <v>#VALUE!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17">
        <f>C12</f>
        <v>44713</v>
      </c>
      <c r="H12" s="56">
        <v>1</v>
      </c>
      <c r="I12" s="56" t="e" cm="1">
        <f t="array" aca="1" ref="I12" ca="1">_xll.d.Curve_DF($D$6,G12)</f>
        <v>#NAME?</v>
      </c>
      <c r="J12" s="56" t="e">
        <f t="shared" ref="J12:J17" ca="1" si="0">H12-I12</f>
        <v>#NAME?</v>
      </c>
      <c r="K12" s="64" t="e">
        <f ca="1">J12/H12</f>
        <v>#NAME?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t="e" cm="1">
        <f t="array" aca="1" ref="T12" ca="1">_xll.d.Curve_DF($O$6,R12)</f>
        <v>#NAME?</v>
      </c>
      <c r="U12" s="56" t="e">
        <f t="shared" ref="U12:U17" ca="1" si="1">S12-T12</f>
        <v>#NAME?</v>
      </c>
      <c r="V12" s="64" t="e">
        <f ca="1">U12/S12</f>
        <v>#NAME?</v>
      </c>
    </row>
    <row r="13" spans="2:22" x14ac:dyDescent="0.25">
      <c r="B13" s="42" t="s">
        <v>56</v>
      </c>
      <c r="C13" s="54" t="s">
        <v>47</v>
      </c>
      <c r="E13" s="63"/>
      <c r="F13" s="9"/>
      <c r="G13" s="18">
        <f>EDATE(G12,1)</f>
        <v>44743</v>
      </c>
      <c r="H13" s="57">
        <f>EXP(-D25*YEARFRAC($C$12,G13,3))</f>
        <v>0.99181450701087914</v>
      </c>
      <c r="I13" s="57" t="e" cm="1">
        <f t="array" aca="1" ref="I13" ca="1">_xll.d.Curve_DF($D$6,G13)</f>
        <v>#NAME?</v>
      </c>
      <c r="J13" s="57" t="e">
        <f t="shared" ca="1" si="0"/>
        <v>#NAME?</v>
      </c>
      <c r="K13" s="65" t="e">
        <f t="shared" ref="K13:K14" ca="1" si="2">J13/H13</f>
        <v>#NAME?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t="e" cm="1">
        <f t="array" aca="1" ref="T13" ca="1">_xll.d.Curve_DF($O$6,R13)</f>
        <v>#NAME?</v>
      </c>
      <c r="U13" s="57" t="e">
        <f t="shared" ca="1" si="1"/>
        <v>#NAME?</v>
      </c>
      <c r="V13" s="65" t="e">
        <f t="shared" ref="V13" ca="1" si="3">U13/S13</f>
        <v>#NAME?</v>
      </c>
    </row>
    <row r="14" spans="2:22" x14ac:dyDescent="0.25">
      <c r="E14" s="63"/>
      <c r="F14" s="9"/>
      <c r="G14" s="18">
        <f>EDATE(G12,2)</f>
        <v>44774</v>
      </c>
      <c r="H14" s="57">
        <f>EXP(-D26*YEARFRAC($C$12,G14,3))</f>
        <v>0.98342654747456371</v>
      </c>
      <c r="I14" s="57" t="e" cm="1">
        <f t="array" aca="1" ref="I14" ca="1">_xll.d.Curve_DF($D$6,G14)</f>
        <v>#NAME?</v>
      </c>
      <c r="J14" s="57" t="e">
        <f t="shared" ca="1" si="0"/>
        <v>#NAME?</v>
      </c>
      <c r="K14" s="65" t="e">
        <f t="shared" ca="1" si="2"/>
        <v>#NAME?</v>
      </c>
      <c r="P14" s="63"/>
      <c r="R14" s="18">
        <v>44685</v>
      </c>
      <c r="S14" s="57">
        <f>EXP(-O26*YEARFRAC($C$12,R14,3))</f>
        <v>1</v>
      </c>
      <c r="T14" s="72" t="e" cm="1">
        <f t="array" aca="1" ref="T14" ca="1">_xll.d.Curve_DF($O$6,R14)</f>
        <v>#NAME?</v>
      </c>
      <c r="U14" s="57" t="e">
        <f t="shared" ca="1" si="1"/>
        <v>#NAME?</v>
      </c>
      <c r="V14" s="65" t="e">
        <f t="shared" ref="V14:V15" ca="1" si="4">U14/S14</f>
        <v>#NAME?</v>
      </c>
    </row>
    <row r="15" spans="2:22" x14ac:dyDescent="0.25">
      <c r="F15" s="9"/>
      <c r="G15" s="18">
        <f>EDATE(G12,3)</f>
        <v>44805</v>
      </c>
      <c r="H15" s="57">
        <f>EXP(-D27*YEARFRAC($C$12,G15,3))</f>
        <v>0.97510952647028781</v>
      </c>
      <c r="I15" s="57" t="e" cm="1">
        <f t="array" aca="1" ref="I15" ca="1">_xll.d.Curve_DF($D$6,G15)</f>
        <v>#NAME?</v>
      </c>
      <c r="J15" s="57" t="e">
        <f t="shared" ca="1" si="0"/>
        <v>#NAME?</v>
      </c>
      <c r="K15" s="65" t="e">
        <f ca="1">J15/H15</f>
        <v>#NAME?</v>
      </c>
      <c r="R15" s="18">
        <f>EDATE(R13,2)</f>
        <v>44716</v>
      </c>
      <c r="S15" s="57">
        <f>EXP(-O27*YEARFRAC($C$12,R15,3))</f>
        <v>1</v>
      </c>
      <c r="T15" s="72" t="e" cm="1">
        <f t="array" aca="1" ref="T15" ca="1">_xll.d.Curve_DF($O$6,R15)</f>
        <v>#NAME?</v>
      </c>
      <c r="U15" s="57" t="e">
        <f t="shared" ca="1" si="1"/>
        <v>#NAME?</v>
      </c>
      <c r="V15" s="65" t="e">
        <f t="shared" ca="1" si="4"/>
        <v>#NAME?</v>
      </c>
    </row>
    <row r="16" spans="2:22" x14ac:dyDescent="0.25">
      <c r="B16" s="60" t="s">
        <v>58</v>
      </c>
      <c r="C16" s="60"/>
      <c r="F16" s="9"/>
      <c r="G16" s="18">
        <f>EDATE(G12,6)</f>
        <v>44896</v>
      </c>
      <c r="H16" s="57">
        <f>EXP(-D28*YEARFRAC($C$12,G16,3))</f>
        <v>0.95109912802471741</v>
      </c>
      <c r="I16" s="57" t="e" cm="1">
        <f t="array" aca="1" ref="I16" ca="1">_xll.d.Curve_DF($D$6,G16)</f>
        <v>#NAME?</v>
      </c>
      <c r="J16" s="57" t="e">
        <f t="shared" ca="1" si="0"/>
        <v>#NAME?</v>
      </c>
      <c r="K16" s="65" t="e">
        <f ca="1">J16/H16</f>
        <v>#NAME?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t="e" cm="1">
        <f t="array" aca="1" ref="T16" ca="1">_xll.d.Curve_DF($O$6,R16)</f>
        <v>#NAME?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19">
        <f>EDATE(G12,9)</f>
        <v>44986</v>
      </c>
      <c r="H17" s="58">
        <f>H16*EXP(-D32*YEARFRAC(G16,G17,3))</f>
        <v>0.92793413813861503</v>
      </c>
      <c r="I17" s="58" t="e" cm="1">
        <f t="array" aca="1" ref="I17" ca="1">_xll.d.Curve_DF($D$6,G17)</f>
        <v>#NAME?</v>
      </c>
      <c r="J17" s="58" t="e">
        <f t="shared" ca="1" si="0"/>
        <v>#NAME?</v>
      </c>
      <c r="K17" s="66" t="e">
        <f ca="1">J17/H17</f>
        <v>#NAME?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t="e" cm="1">
        <f t="array" aca="1" ref="T17" ca="1">_xll.d.Curve_DF($O$6,R17)</f>
        <v>#NAME?</v>
      </c>
      <c r="U17" s="57" t="e">
        <f t="shared" ca="1" si="1"/>
        <v>#NAME?</v>
      </c>
      <c r="V17" s="65" t="e">
        <f ca="1">U17/S17</f>
        <v>#NAME?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t="e" cm="1">
        <f t="array" aca="1" ref="T18" ca="1">_xll.d.Curve_DF($O$6,R18)</f>
        <v>#NAME?</v>
      </c>
      <c r="U18" s="58" t="e">
        <f t="shared" ref="U18" ca="1" si="5">S18-T18</f>
        <v>#NAME?</v>
      </c>
      <c r="V18" s="66" t="e">
        <f ca="1">U18/S18</f>
        <v>#NAME?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t="e" cm="1">
        <f t="array" aca="1" ref="T19" ca="1">_xll.d.Curve_DF(O6,R13)</f>
        <v>#NAME?</v>
      </c>
      <c r="V19" s="8">
        <f>R13-1</f>
        <v>44654</v>
      </c>
      <c r="W19" t="e" cm="1">
        <f t="array" aca="1" ref="W19" ca="1">_xll.d.Curve_DF(O6,V19)</f>
        <v>#NAME?</v>
      </c>
      <c r="Y19" s="8">
        <f>V20-3</f>
        <v>44652</v>
      </c>
      <c r="Z19" t="e" cm="1">
        <f t="array" aca="1" ref="Z19" ca="1">_xll.d.Curve_DF(O6,Y19)</f>
        <v>#NAME?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t="e" cm="1">
        <f t="array" aca="1" ref="S20" ca="1">_xll.d.Curve_GetForwardRate(O6,R13,R20)</f>
        <v>#NAME?</v>
      </c>
      <c r="T20" s="74" t="e" cm="1">
        <f t="array" aca="1" ref="T20" ca="1">_xll.d.Curve_DF(O6,R20)</f>
        <v>#NAME?</v>
      </c>
      <c r="U20" s="76" t="e">
        <f ca="1">-LN(T20/T19)/T22</f>
        <v>#NAME?</v>
      </c>
      <c r="V20" s="8">
        <f>R13</f>
        <v>44655</v>
      </c>
      <c r="W20" t="e" cm="1">
        <f t="array" aca="1" ref="W20" ca="1">_xll.d.Curve_DF(O6,V20)</f>
        <v>#NAME?</v>
      </c>
      <c r="X20" s="77" t="e">
        <f ca="1">-LN(W20/W19)/T22</f>
        <v>#NAME?</v>
      </c>
      <c r="Y20" s="8">
        <f>V20</f>
        <v>44655</v>
      </c>
      <c r="Z20" t="e" cm="1">
        <f t="array" aca="1" ref="Z20" ca="1">_xll.d.Curve_DF(O6,Y20)</f>
        <v>#NAME?</v>
      </c>
      <c r="AA20" s="77" t="e">
        <f ca="1">-LN(Z20/Z19)/T22</f>
        <v>#NAME?</v>
      </c>
    </row>
    <row r="21" spans="2:27" x14ac:dyDescent="0.25">
      <c r="F21" s="9"/>
    </row>
    <row r="22" spans="2:27" x14ac:dyDescent="0.25">
      <c r="F22" s="9"/>
      <c r="T22">
        <f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E14" sqref="E14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11"/>
  <sheetViews>
    <sheetView showGridLines="0" topLeftCell="A140" workbookViewId="0">
      <selection activeCell="K195" sqref="K195"/>
    </sheetView>
  </sheetViews>
  <sheetFormatPr defaultRowHeight="15" x14ac:dyDescent="0.25"/>
  <cols>
    <col min="1" max="1" width="3.75" customWidth="1"/>
    <col min="2" max="2" width="10.75" bestFit="1" customWidth="1"/>
    <col min="3" max="3" width="9.5" bestFit="1" customWidth="1"/>
    <col min="5" max="5" width="9.625" bestFit="1" customWidth="1"/>
    <col min="10" max="10" width="9.375" bestFit="1" customWidth="1"/>
    <col min="15" max="15" width="9.625" customWidth="1"/>
  </cols>
  <sheetData>
    <row r="2" spans="2:23" ht="26.25" x14ac:dyDescent="0.4">
      <c r="B2" s="90" t="s">
        <v>150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60" t="s">
        <v>185</v>
      </c>
      <c r="C4" s="210" t="str" cm="1">
        <f t="array" ref="C4">_xll.d.Logic_And(C7:C14)</f>
        <v>OK</v>
      </c>
    </row>
    <row r="6" spans="2:23" x14ac:dyDescent="0.25">
      <c r="B6" s="253" t="s">
        <v>10</v>
      </c>
      <c r="C6" s="254" t="s">
        <v>11</v>
      </c>
    </row>
    <row r="7" spans="2:23" x14ac:dyDescent="0.25">
      <c r="B7" s="267" t="s">
        <v>119</v>
      </c>
      <c r="C7" s="210" t="str">
        <f>C18</f>
        <v>OK</v>
      </c>
    </row>
    <row r="8" spans="2:23" x14ac:dyDescent="0.25">
      <c r="B8" s="267" t="s">
        <v>123</v>
      </c>
      <c r="C8" s="210" t="str">
        <f>C40</f>
        <v>OK</v>
      </c>
    </row>
    <row r="9" spans="2:23" x14ac:dyDescent="0.25">
      <c r="B9" s="267" t="s">
        <v>126</v>
      </c>
      <c r="C9" s="210" t="str">
        <f>C62</f>
        <v>OK</v>
      </c>
    </row>
    <row r="10" spans="2:23" x14ac:dyDescent="0.25">
      <c r="B10" s="267" t="s">
        <v>129</v>
      </c>
      <c r="C10" s="210" t="str">
        <f>C84</f>
        <v>OK</v>
      </c>
    </row>
    <row r="11" spans="2:23" x14ac:dyDescent="0.25">
      <c r="B11" s="267" t="s">
        <v>136</v>
      </c>
      <c r="C11" s="210" t="str">
        <f>C106</f>
        <v>OK</v>
      </c>
    </row>
    <row r="12" spans="2:23" x14ac:dyDescent="0.25">
      <c r="B12" s="267" t="s">
        <v>138</v>
      </c>
      <c r="C12" s="210" t="str">
        <f>C128</f>
        <v>OK</v>
      </c>
    </row>
    <row r="13" spans="2:23" x14ac:dyDescent="0.25">
      <c r="B13" s="267" t="s">
        <v>198</v>
      </c>
      <c r="C13" s="210" t="str">
        <f>C150</f>
        <v>OK</v>
      </c>
    </row>
    <row r="16" spans="2:23" ht="18.75" x14ac:dyDescent="0.3">
      <c r="B16" s="3" t="s">
        <v>119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8" spans="2:23" x14ac:dyDescent="0.25">
      <c r="B18" s="60" t="s">
        <v>145</v>
      </c>
      <c r="C18" s="210" t="str" cm="1">
        <f t="array" ref="C18">_xll.d.Logic_And(C24,F24,K24,P24)</f>
        <v>OK</v>
      </c>
    </row>
    <row r="20" spans="2:23" x14ac:dyDescent="0.25">
      <c r="B20" t="s">
        <v>192</v>
      </c>
    </row>
    <row r="22" spans="2:23" ht="15.75" x14ac:dyDescent="0.25">
      <c r="B22" s="4" t="s">
        <v>152</v>
      </c>
      <c r="C22" s="4"/>
      <c r="E22" s="4" t="s">
        <v>153</v>
      </c>
      <c r="F22" s="4"/>
      <c r="G22" s="4"/>
      <c r="H22" s="4"/>
      <c r="J22" s="4" t="s">
        <v>154</v>
      </c>
      <c r="K22" s="4"/>
      <c r="L22" s="4"/>
      <c r="M22" s="4"/>
      <c r="O22" s="4" t="s">
        <v>170</v>
      </c>
      <c r="P22" s="4"/>
      <c r="Q22" s="4"/>
      <c r="R22" s="4"/>
      <c r="S22" s="4"/>
      <c r="T22" s="4"/>
      <c r="U22" s="4"/>
      <c r="V22" s="4"/>
      <c r="W22" s="4"/>
    </row>
    <row r="24" spans="2:23" x14ac:dyDescent="0.25">
      <c r="B24" s="60" t="s">
        <v>145</v>
      </c>
      <c r="C24" s="210" t="str" cm="1">
        <f t="array" ref="C24">_xll.d.Logic_IsTrue(C29="OK")</f>
        <v>OK</v>
      </c>
      <c r="E24" s="60" t="s">
        <v>145</v>
      </c>
      <c r="F24" s="210" t="str" cm="1">
        <f t="array" ref="F24">_xll.d.Logic_IsTrue(E29="OK")</f>
        <v>OK</v>
      </c>
      <c r="J24" s="60" t="s">
        <v>145</v>
      </c>
      <c r="K24" s="210" t="str" cm="1">
        <f t="array" ref="K24">_xll.d.Logic_IsTrue(J29="OK")</f>
        <v>OK</v>
      </c>
      <c r="O24" s="60" t="s">
        <v>145</v>
      </c>
      <c r="P24" s="210" t="str" cm="1">
        <f t="array" ref="P24">_xll.d.Logic_IsTrue(O29="OK")</f>
        <v>OK</v>
      </c>
    </row>
    <row r="26" spans="2:23" x14ac:dyDescent="0.25">
      <c r="B26" s="227" t="s">
        <v>158</v>
      </c>
      <c r="C26" s="211" t="s">
        <v>157</v>
      </c>
      <c r="E26" s="227" t="s">
        <v>158</v>
      </c>
      <c r="F26" s="211" t="s">
        <v>157</v>
      </c>
      <c r="J26" s="227" t="s">
        <v>158</v>
      </c>
      <c r="K26" s="211" t="s">
        <v>157</v>
      </c>
      <c r="O26" s="227" t="s">
        <v>158</v>
      </c>
      <c r="P26" s="211" t="s">
        <v>157</v>
      </c>
    </row>
    <row r="27" spans="2:23" x14ac:dyDescent="0.25">
      <c r="B27" s="211"/>
    </row>
    <row r="28" spans="2:23" x14ac:dyDescent="0.25">
      <c r="B28" s="228" t="s">
        <v>155</v>
      </c>
      <c r="C28" s="228" t="s">
        <v>156</v>
      </c>
      <c r="E28" s="228" t="s">
        <v>156</v>
      </c>
      <c r="J28" s="228" t="s">
        <v>156</v>
      </c>
      <c r="O28" s="228" t="s">
        <v>156</v>
      </c>
    </row>
    <row r="29" spans="2:23" x14ac:dyDescent="0.25">
      <c r="B29" s="211" t="s">
        <v>151</v>
      </c>
      <c r="C29" s="211" t="str" cm="1">
        <f t="array" ref="C29">_xll.d.Logic_And(B29:B32)</f>
        <v>OK</v>
      </c>
      <c r="E29" s="211" t="str" cm="1">
        <f t="array" ref="E29">_xll.d.Logic_And(E32:H32)</f>
        <v>OK</v>
      </c>
      <c r="J29" s="211" t="str" cm="1">
        <f t="array" ref="J29">_xll.d.Logic_And(J32:M35)</f>
        <v>OK</v>
      </c>
      <c r="O29" s="211" t="str" cm="1">
        <f t="array" ref="O29">_xll.d.Logic_And(O32,O34:Q34,S32:S35,U32:W35)</f>
        <v>OK</v>
      </c>
    </row>
    <row r="30" spans="2:23" x14ac:dyDescent="0.25">
      <c r="B30" s="211" t="s">
        <v>151</v>
      </c>
    </row>
    <row r="31" spans="2:23" x14ac:dyDescent="0.25">
      <c r="B31" s="211" t="s">
        <v>151</v>
      </c>
      <c r="E31" s="228" t="s">
        <v>155</v>
      </c>
      <c r="J31" s="82" t="s">
        <v>155</v>
      </c>
      <c r="O31" s="82" t="s">
        <v>155</v>
      </c>
    </row>
    <row r="32" spans="2:23" x14ac:dyDescent="0.25">
      <c r="B32" s="211" t="s">
        <v>151</v>
      </c>
      <c r="E32" s="211" t="s">
        <v>151</v>
      </c>
      <c r="F32" s="211" t="s">
        <v>151</v>
      </c>
      <c r="G32" s="211" t="s">
        <v>151</v>
      </c>
      <c r="H32" s="211" t="s">
        <v>151</v>
      </c>
      <c r="J32" s="211" t="s">
        <v>151</v>
      </c>
      <c r="K32" s="211" t="s">
        <v>151</v>
      </c>
      <c r="L32" s="211" t="s">
        <v>151</v>
      </c>
      <c r="M32" s="211" t="s">
        <v>151</v>
      </c>
      <c r="O32" s="211" t="s">
        <v>151</v>
      </c>
      <c r="R32" s="211"/>
      <c r="S32" s="211" t="s">
        <v>151</v>
      </c>
      <c r="U32" s="211" t="s">
        <v>151</v>
      </c>
      <c r="V32" s="211" t="s">
        <v>151</v>
      </c>
      <c r="W32" s="211" t="s">
        <v>151</v>
      </c>
    </row>
    <row r="33" spans="2:23" x14ac:dyDescent="0.25">
      <c r="J33" s="211" t="s">
        <v>151</v>
      </c>
      <c r="K33" s="211" t="s">
        <v>151</v>
      </c>
      <c r="L33" s="211" t="s">
        <v>151</v>
      </c>
      <c r="M33" s="211" t="s">
        <v>151</v>
      </c>
      <c r="S33" s="211" t="s">
        <v>151</v>
      </c>
      <c r="U33" s="211" t="s">
        <v>151</v>
      </c>
      <c r="V33" s="211" t="s">
        <v>151</v>
      </c>
      <c r="W33" s="211" t="s">
        <v>151</v>
      </c>
    </row>
    <row r="34" spans="2:23" x14ac:dyDescent="0.25">
      <c r="J34" s="211" t="s">
        <v>151</v>
      </c>
      <c r="K34" s="211" t="s">
        <v>151</v>
      </c>
      <c r="L34" s="211" t="s">
        <v>151</v>
      </c>
      <c r="M34" s="211" t="s">
        <v>151</v>
      </c>
      <c r="O34" s="211" t="s">
        <v>151</v>
      </c>
      <c r="P34" s="211" t="s">
        <v>151</v>
      </c>
      <c r="Q34" s="211" t="s">
        <v>151</v>
      </c>
      <c r="S34" s="211" t="s">
        <v>151</v>
      </c>
      <c r="U34" s="211" t="s">
        <v>151</v>
      </c>
      <c r="V34" s="211" t="s">
        <v>151</v>
      </c>
      <c r="W34" s="211" t="s">
        <v>151</v>
      </c>
    </row>
    <row r="35" spans="2:23" x14ac:dyDescent="0.25">
      <c r="C35" s="210"/>
      <c r="J35" s="211" t="s">
        <v>151</v>
      </c>
      <c r="K35" s="211" t="s">
        <v>151</v>
      </c>
      <c r="L35" s="211" t="s">
        <v>151</v>
      </c>
      <c r="M35" s="211" t="s">
        <v>151</v>
      </c>
      <c r="S35" s="211" t="s">
        <v>151</v>
      </c>
      <c r="U35" s="211" t="s">
        <v>151</v>
      </c>
      <c r="V35" s="211" t="s">
        <v>151</v>
      </c>
      <c r="W35" s="211" t="s">
        <v>151</v>
      </c>
    </row>
    <row r="36" spans="2:23" x14ac:dyDescent="0.25">
      <c r="C36" s="210"/>
    </row>
    <row r="38" spans="2:23" ht="18.75" x14ac:dyDescent="0.3">
      <c r="B38" s="3" t="s">
        <v>123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40" spans="2:23" x14ac:dyDescent="0.25">
      <c r="B40" s="60" t="s">
        <v>145</v>
      </c>
      <c r="C40" s="210" t="str" cm="1">
        <f t="array" ref="C40">_xll.d.Logic_And(C46,F46,K46,P46)</f>
        <v>OK</v>
      </c>
    </row>
    <row r="42" spans="2:23" x14ac:dyDescent="0.25">
      <c r="B42" t="s">
        <v>193</v>
      </c>
    </row>
    <row r="44" spans="2:23" ht="15.75" x14ac:dyDescent="0.25">
      <c r="B44" s="4" t="s">
        <v>159</v>
      </c>
      <c r="C44" s="4"/>
      <c r="E44" s="4" t="s">
        <v>160</v>
      </c>
      <c r="F44" s="4"/>
      <c r="G44" s="4"/>
      <c r="H44" s="4"/>
      <c r="J44" s="4" t="s">
        <v>161</v>
      </c>
      <c r="K44" s="4"/>
      <c r="L44" s="4"/>
      <c r="M44" s="4"/>
      <c r="O44" s="4" t="s">
        <v>171</v>
      </c>
      <c r="P44" s="4"/>
      <c r="Q44" s="4"/>
      <c r="R44" s="4"/>
      <c r="S44" s="4"/>
      <c r="T44" s="4"/>
      <c r="U44" s="4"/>
      <c r="V44" s="4"/>
      <c r="W44" s="4"/>
    </row>
    <row r="46" spans="2:23" x14ac:dyDescent="0.25">
      <c r="B46" s="60" t="s">
        <v>145</v>
      </c>
      <c r="C46" s="210" t="str" cm="1">
        <f t="array" ref="C46">_xll.d.Logic_IsTrue(C51="ERROR")</f>
        <v>OK</v>
      </c>
      <c r="E46" s="60" t="s">
        <v>145</v>
      </c>
      <c r="F46" s="210" t="str" cm="1">
        <f t="array" ref="F46">_xll.d.Logic_IsTrue(E51="ERROR")</f>
        <v>OK</v>
      </c>
      <c r="J46" s="60" t="s">
        <v>145</v>
      </c>
      <c r="K46" s="210" t="str" cm="1">
        <f t="array" ref="K46">_xll.d.Logic_IsTrue(J51="ERROR")</f>
        <v>OK</v>
      </c>
      <c r="O46" s="60" t="s">
        <v>145</v>
      </c>
      <c r="P46" s="210" t="str" cm="1">
        <f t="array" ref="P46">_xll.d.Logic_IsTrue(O51="ERROR")</f>
        <v>OK</v>
      </c>
    </row>
    <row r="48" spans="2:23" x14ac:dyDescent="0.25">
      <c r="B48" s="227" t="s">
        <v>158</v>
      </c>
      <c r="C48" s="211" t="s">
        <v>157</v>
      </c>
      <c r="E48" s="227" t="s">
        <v>158</v>
      </c>
      <c r="F48" s="211" t="s">
        <v>157</v>
      </c>
      <c r="J48" s="227" t="s">
        <v>158</v>
      </c>
      <c r="K48" s="211" t="s">
        <v>157</v>
      </c>
      <c r="O48" s="227" t="s">
        <v>158</v>
      </c>
      <c r="P48" s="211" t="s">
        <v>157</v>
      </c>
    </row>
    <row r="49" spans="2:23" x14ac:dyDescent="0.25">
      <c r="B49" s="211"/>
    </row>
    <row r="50" spans="2:23" x14ac:dyDescent="0.25">
      <c r="B50" s="228" t="s">
        <v>155</v>
      </c>
      <c r="C50" s="228" t="s">
        <v>156</v>
      </c>
      <c r="E50" s="228" t="s">
        <v>156</v>
      </c>
      <c r="J50" s="228" t="s">
        <v>156</v>
      </c>
      <c r="O50" s="228" t="s">
        <v>156</v>
      </c>
    </row>
    <row r="51" spans="2:23" x14ac:dyDescent="0.25">
      <c r="B51" s="211" t="s">
        <v>151</v>
      </c>
      <c r="C51" s="211" t="str" cm="1">
        <f t="array" ref="C51">_xll.d.Logic_And(B51:B54)</f>
        <v>ERROR</v>
      </c>
      <c r="E51" s="211" t="str" cm="1">
        <f t="array" ref="E51">_xll.d.Logic_And(E54:H54)</f>
        <v>ERROR</v>
      </c>
      <c r="J51" s="211" t="str" cm="1">
        <f t="array" ref="J51">_xll.d.Logic_And(J54:M57)</f>
        <v>ERROR</v>
      </c>
      <c r="O51" s="211" t="str" cm="1">
        <f t="array" ref="O51">_xll.d.Logic_And(O54,O56:Q56,S54:S57,U54:W57)</f>
        <v>ERROR</v>
      </c>
    </row>
    <row r="52" spans="2:23" x14ac:dyDescent="0.25">
      <c r="B52" s="211" t="s">
        <v>151</v>
      </c>
    </row>
    <row r="53" spans="2:23" x14ac:dyDescent="0.25">
      <c r="B53" s="211" t="s">
        <v>162</v>
      </c>
      <c r="E53" s="228" t="s">
        <v>155</v>
      </c>
      <c r="J53" s="82" t="s">
        <v>155</v>
      </c>
      <c r="O53" s="82" t="s">
        <v>155</v>
      </c>
    </row>
    <row r="54" spans="2:23" x14ac:dyDescent="0.25">
      <c r="B54" s="211" t="s">
        <v>151</v>
      </c>
      <c r="E54" s="211" t="s">
        <v>151</v>
      </c>
      <c r="F54" s="211" t="s">
        <v>162</v>
      </c>
      <c r="G54" s="211" t="s">
        <v>151</v>
      </c>
      <c r="H54" s="211" t="s">
        <v>151</v>
      </c>
      <c r="J54" s="211" t="s">
        <v>151</v>
      </c>
      <c r="K54" s="211" t="s">
        <v>151</v>
      </c>
      <c r="L54" s="211" t="s">
        <v>151</v>
      </c>
      <c r="M54" s="211" t="s">
        <v>151</v>
      </c>
      <c r="O54" s="211" t="s">
        <v>151</v>
      </c>
      <c r="R54" s="211"/>
      <c r="S54" s="211" t="s">
        <v>151</v>
      </c>
      <c r="U54" s="211" t="s">
        <v>151</v>
      </c>
      <c r="V54" s="211" t="s">
        <v>151</v>
      </c>
      <c r="W54" s="211" t="s">
        <v>151</v>
      </c>
    </row>
    <row r="55" spans="2:23" x14ac:dyDescent="0.25">
      <c r="J55" s="211" t="s">
        <v>151</v>
      </c>
      <c r="K55" s="211" t="s">
        <v>151</v>
      </c>
      <c r="L55" s="211" t="s">
        <v>151</v>
      </c>
      <c r="M55" s="211" t="s">
        <v>151</v>
      </c>
      <c r="S55" s="211" t="s">
        <v>151</v>
      </c>
      <c r="U55" s="211" t="s">
        <v>151</v>
      </c>
      <c r="V55" s="211" t="s">
        <v>151</v>
      </c>
      <c r="W55" s="211" t="s">
        <v>151</v>
      </c>
    </row>
    <row r="56" spans="2:23" x14ac:dyDescent="0.25">
      <c r="J56" s="211" t="s">
        <v>151</v>
      </c>
      <c r="K56" s="211" t="s">
        <v>151</v>
      </c>
      <c r="L56" s="211" t="s">
        <v>162</v>
      </c>
      <c r="M56" s="211" t="s">
        <v>151</v>
      </c>
      <c r="O56" s="211" t="s">
        <v>151</v>
      </c>
      <c r="P56" s="211" t="s">
        <v>162</v>
      </c>
      <c r="Q56" s="211" t="s">
        <v>151</v>
      </c>
      <c r="S56" s="211" t="s">
        <v>151</v>
      </c>
      <c r="U56" s="211" t="s">
        <v>151</v>
      </c>
      <c r="V56" s="211" t="s">
        <v>151</v>
      </c>
      <c r="W56" s="211" t="s">
        <v>151</v>
      </c>
    </row>
    <row r="57" spans="2:23" x14ac:dyDescent="0.25">
      <c r="C57" s="210"/>
      <c r="J57" s="211" t="s">
        <v>151</v>
      </c>
      <c r="K57" s="211" t="s">
        <v>151</v>
      </c>
      <c r="L57" s="211" t="s">
        <v>151</v>
      </c>
      <c r="M57" s="211" t="s">
        <v>151</v>
      </c>
      <c r="S57" s="211" t="s">
        <v>151</v>
      </c>
      <c r="U57" s="211" t="s">
        <v>151</v>
      </c>
      <c r="V57" s="211" t="s">
        <v>151</v>
      </c>
      <c r="W57" s="211" t="s">
        <v>151</v>
      </c>
    </row>
    <row r="60" spans="2:23" ht="18.75" x14ac:dyDescent="0.3">
      <c r="B60" s="3" t="s">
        <v>126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2" spans="2:23" x14ac:dyDescent="0.25">
      <c r="B62" s="60" t="s">
        <v>145</v>
      </c>
      <c r="C62" s="210" t="str" cm="1">
        <f t="array" ref="C62">_xll.d.Logic_And(C68,F68,K68,P68)</f>
        <v>OK</v>
      </c>
    </row>
    <row r="64" spans="2:23" x14ac:dyDescent="0.25">
      <c r="B64" t="s">
        <v>194</v>
      </c>
    </row>
    <row r="66" spans="2:23" s="68" customFormat="1" ht="15.75" x14ac:dyDescent="0.25">
      <c r="B66" s="4" t="s">
        <v>163</v>
      </c>
      <c r="C66" s="4"/>
      <c r="E66" s="4" t="s">
        <v>164</v>
      </c>
      <c r="F66" s="4"/>
      <c r="G66" s="4"/>
      <c r="H66" s="4"/>
      <c r="J66" s="4" t="s">
        <v>165</v>
      </c>
      <c r="K66" s="4"/>
      <c r="L66" s="4"/>
      <c r="M66" s="4"/>
      <c r="O66" s="4" t="s">
        <v>172</v>
      </c>
      <c r="P66" s="4"/>
      <c r="Q66" s="4"/>
      <c r="R66" s="4"/>
      <c r="S66" s="4"/>
      <c r="T66" s="4"/>
      <c r="U66" s="4"/>
      <c r="V66" s="4"/>
      <c r="W66" s="4"/>
    </row>
    <row r="68" spans="2:23" x14ac:dyDescent="0.25">
      <c r="B68" s="60" t="s">
        <v>145</v>
      </c>
      <c r="C68" s="210" t="str" cm="1">
        <f t="array" ref="C68">_xll.d.Logic_IsTrue(C73="WARNING")</f>
        <v>OK</v>
      </c>
      <c r="E68" s="60" t="s">
        <v>145</v>
      </c>
      <c r="F68" s="210" t="str" cm="1">
        <f t="array" ref="F68">_xll.d.Logic_IsTrue(E73="WARNING")</f>
        <v>OK</v>
      </c>
      <c r="J68" s="60" t="s">
        <v>145</v>
      </c>
      <c r="K68" s="210" t="str" cm="1">
        <f t="array" ref="K68">_xll.d.Logic_IsTrue(J73="WARNING")</f>
        <v>OK</v>
      </c>
      <c r="O68" s="60" t="s">
        <v>145</v>
      </c>
      <c r="P68" s="210" t="str" cm="1">
        <f t="array" ref="P68">_xll.d.Logic_IsTrue(O73="WARNING")</f>
        <v>OK</v>
      </c>
    </row>
    <row r="70" spans="2:23" x14ac:dyDescent="0.25">
      <c r="B70" s="227" t="s">
        <v>158</v>
      </c>
      <c r="C70" s="211" t="s">
        <v>157</v>
      </c>
      <c r="E70" s="227" t="s">
        <v>158</v>
      </c>
      <c r="F70" s="211" t="s">
        <v>157</v>
      </c>
      <c r="J70" s="227" t="s">
        <v>158</v>
      </c>
      <c r="K70" s="211" t="s">
        <v>157</v>
      </c>
      <c r="O70" s="227" t="s">
        <v>158</v>
      </c>
      <c r="P70" s="211" t="s">
        <v>157</v>
      </c>
    </row>
    <row r="71" spans="2:23" x14ac:dyDescent="0.25">
      <c r="B71" s="211"/>
    </row>
    <row r="72" spans="2:23" x14ac:dyDescent="0.25">
      <c r="B72" s="228" t="s">
        <v>155</v>
      </c>
      <c r="C72" s="228" t="s">
        <v>156</v>
      </c>
      <c r="E72" s="228" t="s">
        <v>156</v>
      </c>
      <c r="J72" s="228" t="s">
        <v>156</v>
      </c>
      <c r="O72" s="228" t="s">
        <v>156</v>
      </c>
    </row>
    <row r="73" spans="2:23" x14ac:dyDescent="0.25">
      <c r="B73" s="211" t="s">
        <v>151</v>
      </c>
      <c r="C73" s="211" t="str" cm="1">
        <f t="array" ref="C73">_xll.d.Logic_And(B73:B76)</f>
        <v>WARNING</v>
      </c>
      <c r="E73" s="211" t="str" cm="1">
        <f t="array" ref="E73">_xll.d.Logic_And(E76:H76)</f>
        <v>WARNING</v>
      </c>
      <c r="J73" s="211" t="str" cm="1">
        <f t="array" ref="J73">_xll.d.Logic_And(J76:M79)</f>
        <v>WARNING</v>
      </c>
      <c r="O73" s="211" t="str" cm="1">
        <f t="array" ref="O73">_xll.d.Logic_And(O76,O78:Q78,S76:S79,U76:W79)</f>
        <v>WARNING</v>
      </c>
    </row>
    <row r="74" spans="2:23" x14ac:dyDescent="0.25">
      <c r="B74" s="211" t="s">
        <v>151</v>
      </c>
    </row>
    <row r="75" spans="2:23" x14ac:dyDescent="0.25">
      <c r="B75" s="211" t="s">
        <v>166</v>
      </c>
      <c r="E75" s="228" t="s">
        <v>155</v>
      </c>
      <c r="J75" s="82" t="s">
        <v>155</v>
      </c>
      <c r="O75" s="82" t="s">
        <v>155</v>
      </c>
    </row>
    <row r="76" spans="2:23" x14ac:dyDescent="0.25">
      <c r="B76" s="211" t="s">
        <v>151</v>
      </c>
      <c r="E76" s="211" t="s">
        <v>151</v>
      </c>
      <c r="F76" s="211" t="s">
        <v>166</v>
      </c>
      <c r="G76" s="211" t="s">
        <v>151</v>
      </c>
      <c r="H76" s="211" t="s">
        <v>151</v>
      </c>
      <c r="J76" s="211" t="s">
        <v>151</v>
      </c>
      <c r="K76" s="211" t="s">
        <v>151</v>
      </c>
      <c r="L76" s="211" t="s">
        <v>151</v>
      </c>
      <c r="M76" s="211" t="s">
        <v>151</v>
      </c>
      <c r="O76" s="211" t="s">
        <v>151</v>
      </c>
      <c r="R76" s="211"/>
      <c r="S76" s="211" t="s">
        <v>151</v>
      </c>
      <c r="U76" s="211" t="s">
        <v>151</v>
      </c>
      <c r="V76" s="211" t="s">
        <v>151</v>
      </c>
      <c r="W76" s="211" t="s">
        <v>151</v>
      </c>
    </row>
    <row r="77" spans="2:23" x14ac:dyDescent="0.25">
      <c r="J77" s="211" t="s">
        <v>151</v>
      </c>
      <c r="K77" s="211" t="s">
        <v>151</v>
      </c>
      <c r="L77" s="211" t="s">
        <v>151</v>
      </c>
      <c r="M77" s="211" t="s">
        <v>151</v>
      </c>
      <c r="S77" s="211" t="s">
        <v>151</v>
      </c>
      <c r="U77" s="211" t="s">
        <v>151</v>
      </c>
      <c r="V77" s="211" t="s">
        <v>151</v>
      </c>
      <c r="W77" s="211" t="s">
        <v>151</v>
      </c>
    </row>
    <row r="78" spans="2:23" x14ac:dyDescent="0.25">
      <c r="J78" s="211" t="s">
        <v>151</v>
      </c>
      <c r="K78" s="211" t="s">
        <v>151</v>
      </c>
      <c r="L78" s="211" t="s">
        <v>166</v>
      </c>
      <c r="M78" s="211" t="s">
        <v>151</v>
      </c>
      <c r="O78" s="211" t="s">
        <v>151</v>
      </c>
      <c r="P78" s="211" t="s">
        <v>166</v>
      </c>
      <c r="Q78" s="211" t="s">
        <v>151</v>
      </c>
      <c r="S78" s="211" t="s">
        <v>151</v>
      </c>
      <c r="U78" s="211" t="s">
        <v>151</v>
      </c>
      <c r="V78" s="211" t="s">
        <v>151</v>
      </c>
      <c r="W78" s="211" t="s">
        <v>151</v>
      </c>
    </row>
    <row r="79" spans="2:23" x14ac:dyDescent="0.25">
      <c r="C79" s="210"/>
      <c r="J79" s="211" t="s">
        <v>151</v>
      </c>
      <c r="K79" s="211" t="s">
        <v>151</v>
      </c>
      <c r="L79" s="211" t="s">
        <v>151</v>
      </c>
      <c r="M79" s="211" t="s">
        <v>151</v>
      </c>
      <c r="S79" s="211" t="s">
        <v>151</v>
      </c>
      <c r="U79" s="211" t="s">
        <v>151</v>
      </c>
      <c r="V79" s="211" t="s">
        <v>151</v>
      </c>
      <c r="W79" s="211" t="s">
        <v>151</v>
      </c>
    </row>
    <row r="82" spans="2:23" ht="18.75" x14ac:dyDescent="0.3">
      <c r="B82" s="3" t="s">
        <v>129</v>
      </c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4" spans="2:23" x14ac:dyDescent="0.25">
      <c r="B84" s="60" t="s">
        <v>145</v>
      </c>
      <c r="C84" s="210" t="str" cm="1">
        <f t="array" ref="C84">_xll.d.Logic_And(C90,F90,K90,P90)</f>
        <v>OK</v>
      </c>
    </row>
    <row r="86" spans="2:23" x14ac:dyDescent="0.25">
      <c r="B86" t="s">
        <v>195</v>
      </c>
    </row>
    <row r="88" spans="2:23" ht="15.75" x14ac:dyDescent="0.25">
      <c r="B88" s="4" t="s">
        <v>167</v>
      </c>
      <c r="C88" s="4"/>
      <c r="E88" s="4" t="s">
        <v>168</v>
      </c>
      <c r="F88" s="4"/>
      <c r="G88" s="4"/>
      <c r="H88" s="4"/>
      <c r="J88" s="4" t="s">
        <v>169</v>
      </c>
      <c r="K88" s="4"/>
      <c r="L88" s="4"/>
      <c r="M88" s="4"/>
      <c r="O88" s="4" t="s">
        <v>173</v>
      </c>
      <c r="P88" s="4"/>
      <c r="Q88" s="4"/>
      <c r="R88" s="4"/>
      <c r="S88" s="4"/>
      <c r="T88" s="4"/>
      <c r="U88" s="4"/>
      <c r="V88" s="4"/>
      <c r="W88" s="4"/>
    </row>
    <row r="90" spans="2:23" x14ac:dyDescent="0.25">
      <c r="B90" s="60" t="s">
        <v>145</v>
      </c>
      <c r="C90" s="210" t="str" cm="1">
        <f t="array" ref="C90">_xll.d.Logic_IsTrue(C95="ERROR")</f>
        <v>OK</v>
      </c>
      <c r="E90" s="60" t="s">
        <v>145</v>
      </c>
      <c r="F90" s="210" t="str" cm="1">
        <f t="array" ref="F90">_xll.d.Logic_IsTrue(E95="ERROR")</f>
        <v>OK</v>
      </c>
      <c r="J90" s="60" t="s">
        <v>145</v>
      </c>
      <c r="K90" s="210" t="str" cm="1">
        <f t="array" ref="K90">_xll.d.Logic_IsTrue(J95="ERROR")</f>
        <v>OK</v>
      </c>
      <c r="O90" s="60" t="s">
        <v>145</v>
      </c>
      <c r="P90" s="210" t="str" cm="1">
        <f t="array" ref="P90">_xll.d.Logic_IsTrue(O95="ERROR")</f>
        <v>OK</v>
      </c>
    </row>
    <row r="92" spans="2:23" x14ac:dyDescent="0.25">
      <c r="B92" s="227" t="s">
        <v>158</v>
      </c>
      <c r="C92" s="211" t="s">
        <v>157</v>
      </c>
      <c r="E92" s="227" t="s">
        <v>158</v>
      </c>
      <c r="F92" s="211" t="s">
        <v>157</v>
      </c>
      <c r="J92" s="227" t="s">
        <v>158</v>
      </c>
      <c r="K92" s="211" t="s">
        <v>157</v>
      </c>
      <c r="O92" s="227" t="s">
        <v>158</v>
      </c>
      <c r="P92" s="211" t="s">
        <v>157</v>
      </c>
    </row>
    <row r="93" spans="2:23" x14ac:dyDescent="0.25">
      <c r="B93" s="211"/>
    </row>
    <row r="94" spans="2:23" x14ac:dyDescent="0.25">
      <c r="B94" s="228" t="s">
        <v>155</v>
      </c>
      <c r="C94" s="228" t="s">
        <v>156</v>
      </c>
      <c r="E94" s="228" t="s">
        <v>156</v>
      </c>
      <c r="J94" s="228" t="s">
        <v>156</v>
      </c>
      <c r="O94" s="228" t="s">
        <v>156</v>
      </c>
    </row>
    <row r="95" spans="2:23" x14ac:dyDescent="0.25">
      <c r="B95" s="211" t="s">
        <v>151</v>
      </c>
      <c r="C95" s="211" t="str" cm="1">
        <f t="array" ref="C95">_xll.d.Logic_And(B95:B98)</f>
        <v>ERROR</v>
      </c>
      <c r="E95" s="211" t="str" cm="1">
        <f t="array" ref="E95">_xll.d.Logic_And(E98:H98)</f>
        <v>ERROR</v>
      </c>
      <c r="J95" s="211" t="str" cm="1">
        <f t="array" ref="J95">_xll.d.Logic_And(J98:M101)</f>
        <v>ERROR</v>
      </c>
      <c r="O95" s="211" t="str" cm="1">
        <f t="array" ref="O95">_xll.d.Logic_And(O98,O100:Q100,S98:S101,U98:W101)</f>
        <v>ERROR</v>
      </c>
    </row>
    <row r="96" spans="2:23" x14ac:dyDescent="0.25">
      <c r="B96" s="211" t="s">
        <v>162</v>
      </c>
    </row>
    <row r="97" spans="2:23" x14ac:dyDescent="0.25">
      <c r="B97" s="211" t="s">
        <v>166</v>
      </c>
      <c r="E97" s="228" t="s">
        <v>155</v>
      </c>
      <c r="J97" s="82" t="s">
        <v>155</v>
      </c>
      <c r="O97" s="82" t="s">
        <v>155</v>
      </c>
    </row>
    <row r="98" spans="2:23" x14ac:dyDescent="0.25">
      <c r="B98" s="211" t="s">
        <v>151</v>
      </c>
      <c r="E98" s="211" t="s">
        <v>151</v>
      </c>
      <c r="F98" s="211" t="s">
        <v>166</v>
      </c>
      <c r="G98" s="211" t="s">
        <v>151</v>
      </c>
      <c r="H98" s="211" t="s">
        <v>162</v>
      </c>
      <c r="J98" s="211" t="s">
        <v>151</v>
      </c>
      <c r="K98" s="211" t="s">
        <v>151</v>
      </c>
      <c r="L98" s="211" t="s">
        <v>151</v>
      </c>
      <c r="M98" s="211" t="s">
        <v>151</v>
      </c>
      <c r="O98" s="211" t="s">
        <v>151</v>
      </c>
      <c r="R98" s="211"/>
      <c r="S98" s="211" t="s">
        <v>151</v>
      </c>
      <c r="U98" s="211" t="s">
        <v>151</v>
      </c>
      <c r="V98" s="211" t="s">
        <v>151</v>
      </c>
      <c r="W98" s="211" t="s">
        <v>151</v>
      </c>
    </row>
    <row r="99" spans="2:23" x14ac:dyDescent="0.25">
      <c r="J99" s="211" t="s">
        <v>151</v>
      </c>
      <c r="K99" s="211" t="s">
        <v>151</v>
      </c>
      <c r="L99" s="211" t="s">
        <v>151</v>
      </c>
      <c r="M99" s="211" t="s">
        <v>151</v>
      </c>
      <c r="S99" s="211" t="s">
        <v>151</v>
      </c>
      <c r="U99" s="211" t="s">
        <v>151</v>
      </c>
      <c r="V99" s="211" t="s">
        <v>151</v>
      </c>
      <c r="W99" s="211" t="s">
        <v>151</v>
      </c>
    </row>
    <row r="100" spans="2:23" x14ac:dyDescent="0.25">
      <c r="J100" s="211" t="s">
        <v>151</v>
      </c>
      <c r="K100" s="211" t="s">
        <v>151</v>
      </c>
      <c r="L100" s="211" t="s">
        <v>166</v>
      </c>
      <c r="M100" s="211" t="s">
        <v>151</v>
      </c>
      <c r="O100" s="211" t="s">
        <v>151</v>
      </c>
      <c r="P100" s="211" t="s">
        <v>166</v>
      </c>
      <c r="Q100" s="211" t="s">
        <v>151</v>
      </c>
      <c r="S100" s="211" t="s">
        <v>151</v>
      </c>
      <c r="U100" s="211" t="s">
        <v>162</v>
      </c>
      <c r="V100" s="211" t="s">
        <v>151</v>
      </c>
      <c r="W100" s="211" t="s">
        <v>151</v>
      </c>
    </row>
    <row r="101" spans="2:23" x14ac:dyDescent="0.25">
      <c r="C101" s="210"/>
      <c r="J101" s="211" t="s">
        <v>151</v>
      </c>
      <c r="K101" s="211" t="s">
        <v>151</v>
      </c>
      <c r="L101" s="211" t="s">
        <v>151</v>
      </c>
      <c r="M101" s="211" t="s">
        <v>162</v>
      </c>
      <c r="S101" s="211" t="s">
        <v>151</v>
      </c>
      <c r="U101" s="211" t="s">
        <v>151</v>
      </c>
      <c r="V101" s="211" t="s">
        <v>151</v>
      </c>
      <c r="W101" s="211" t="s">
        <v>151</v>
      </c>
    </row>
    <row r="104" spans="2:23" ht="18.75" x14ac:dyDescent="0.3">
      <c r="B104" s="3" t="s">
        <v>136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6" spans="2:23" x14ac:dyDescent="0.25">
      <c r="B106" s="60" t="s">
        <v>145</v>
      </c>
      <c r="C106" s="210" t="str" cm="1">
        <f t="array" ref="C106">_xll.d.Logic_And(C112,F112,K112,P112)</f>
        <v>OK</v>
      </c>
    </row>
    <row r="108" spans="2:23" x14ac:dyDescent="0.25">
      <c r="B108" t="s">
        <v>196</v>
      </c>
    </row>
    <row r="110" spans="2:23" ht="15.75" x14ac:dyDescent="0.25">
      <c r="B110" s="4" t="s">
        <v>174</v>
      </c>
      <c r="C110" s="4"/>
      <c r="E110" s="4" t="s">
        <v>175</v>
      </c>
      <c r="F110" s="4"/>
      <c r="G110" s="4"/>
      <c r="H110" s="4"/>
      <c r="J110" s="4" t="s">
        <v>176</v>
      </c>
      <c r="K110" s="4"/>
      <c r="L110" s="4"/>
      <c r="M110" s="4"/>
      <c r="O110" s="4" t="s">
        <v>177</v>
      </c>
      <c r="P110" s="4"/>
      <c r="Q110" s="4"/>
      <c r="R110" s="4"/>
      <c r="S110" s="4"/>
      <c r="T110" s="4"/>
      <c r="U110" s="4"/>
      <c r="V110" s="4"/>
      <c r="W110" s="4"/>
    </row>
    <row r="112" spans="2:23" x14ac:dyDescent="0.25">
      <c r="B112" s="60" t="s">
        <v>145</v>
      </c>
      <c r="C112" s="210" t="str" cm="1">
        <f t="array" ref="C112">_xll.d.Logic_IsTrue(C117="ERROR")</f>
        <v>OK</v>
      </c>
      <c r="E112" s="60" t="s">
        <v>145</v>
      </c>
      <c r="F112" s="210" t="str" cm="1">
        <f t="array" ref="F112">_xll.d.Logic_IsTrue(E117="ERROR")</f>
        <v>OK</v>
      </c>
      <c r="J112" s="60" t="s">
        <v>145</v>
      </c>
      <c r="K112" s="210" t="str" cm="1">
        <f t="array" ref="K112">_xll.d.Logic_IsTrue(J117="ERROR")</f>
        <v>OK</v>
      </c>
      <c r="O112" s="60" t="s">
        <v>145</v>
      </c>
      <c r="P112" s="210" t="str" cm="1">
        <f t="array" ref="P112">_xll.d.Logic_IsTrue(O117="ERROR")</f>
        <v>OK</v>
      </c>
    </row>
    <row r="114" spans="2:23" x14ac:dyDescent="0.25">
      <c r="B114" s="227" t="s">
        <v>158</v>
      </c>
      <c r="C114" s="211" t="s">
        <v>178</v>
      </c>
      <c r="E114" s="227" t="s">
        <v>158</v>
      </c>
      <c r="F114" s="211" t="s">
        <v>178</v>
      </c>
      <c r="J114" s="227" t="s">
        <v>158</v>
      </c>
      <c r="K114" s="211" t="s">
        <v>178</v>
      </c>
      <c r="O114" s="227" t="s">
        <v>158</v>
      </c>
      <c r="P114" s="211" t="s">
        <v>178</v>
      </c>
    </row>
    <row r="115" spans="2:23" x14ac:dyDescent="0.25">
      <c r="B115" s="211"/>
    </row>
    <row r="116" spans="2:23" x14ac:dyDescent="0.25">
      <c r="B116" s="228" t="s">
        <v>155</v>
      </c>
      <c r="C116" s="228" t="s">
        <v>156</v>
      </c>
      <c r="E116" s="228" t="s">
        <v>156</v>
      </c>
      <c r="J116" s="228" t="s">
        <v>156</v>
      </c>
      <c r="O116" s="228" t="s">
        <v>156</v>
      </c>
    </row>
    <row r="117" spans="2:23" x14ac:dyDescent="0.25">
      <c r="B117" s="211" t="s">
        <v>162</v>
      </c>
      <c r="C117" s="211" t="str" cm="1">
        <f t="array" ref="C117">_xll.d.Logic_Or(B117:B120)</f>
        <v>ERROR</v>
      </c>
      <c r="E117" s="211" t="str" cm="1">
        <f t="array" ref="E117">_xll.d.Logic_Or(E120:H120)</f>
        <v>ERROR</v>
      </c>
      <c r="J117" s="211" t="str" cm="1">
        <f t="array" ref="J117">_xll.d.Logic_Or(J120:M123)</f>
        <v>ERROR</v>
      </c>
      <c r="O117" s="211" t="str" cm="1">
        <f t="array" ref="O117">_xll.d.Logic_Or(O120,O122:Q122,S120:S123,U120:W123)</f>
        <v>ERROR</v>
      </c>
    </row>
    <row r="118" spans="2:23" x14ac:dyDescent="0.25">
      <c r="B118" s="211" t="s">
        <v>162</v>
      </c>
    </row>
    <row r="119" spans="2:23" x14ac:dyDescent="0.25">
      <c r="B119" s="211" t="s">
        <v>162</v>
      </c>
      <c r="E119" s="228" t="s">
        <v>155</v>
      </c>
      <c r="J119" s="82" t="s">
        <v>155</v>
      </c>
      <c r="O119" s="82" t="s">
        <v>155</v>
      </c>
    </row>
    <row r="120" spans="2:23" x14ac:dyDescent="0.25">
      <c r="B120" s="211" t="s">
        <v>162</v>
      </c>
      <c r="E120" s="211" t="s">
        <v>162</v>
      </c>
      <c r="F120" s="211" t="s">
        <v>162</v>
      </c>
      <c r="G120" s="211" t="s">
        <v>162</v>
      </c>
      <c r="H120" s="211" t="s">
        <v>162</v>
      </c>
      <c r="J120" s="211" t="s">
        <v>162</v>
      </c>
      <c r="K120" s="211" t="s">
        <v>162</v>
      </c>
      <c r="L120" s="211" t="s">
        <v>162</v>
      </c>
      <c r="M120" s="211" t="s">
        <v>162</v>
      </c>
      <c r="O120" s="211" t="s">
        <v>162</v>
      </c>
      <c r="R120" s="211"/>
      <c r="S120" s="211" t="s">
        <v>162</v>
      </c>
      <c r="U120" s="211" t="s">
        <v>162</v>
      </c>
      <c r="V120" s="211" t="s">
        <v>162</v>
      </c>
      <c r="W120" s="211" t="s">
        <v>162</v>
      </c>
    </row>
    <row r="121" spans="2:23" x14ac:dyDescent="0.25">
      <c r="J121" s="211" t="s">
        <v>162</v>
      </c>
      <c r="K121" s="211" t="s">
        <v>162</v>
      </c>
      <c r="L121" s="211" t="s">
        <v>162</v>
      </c>
      <c r="M121" s="211" t="s">
        <v>162</v>
      </c>
      <c r="S121" s="211" t="s">
        <v>162</v>
      </c>
      <c r="U121" s="211" t="s">
        <v>162</v>
      </c>
      <c r="V121" s="211" t="s">
        <v>162</v>
      </c>
      <c r="W121" s="211" t="s">
        <v>162</v>
      </c>
    </row>
    <row r="122" spans="2:23" x14ac:dyDescent="0.25">
      <c r="J122" s="211" t="s">
        <v>162</v>
      </c>
      <c r="K122" s="211" t="s">
        <v>162</v>
      </c>
      <c r="L122" s="211" t="s">
        <v>162</v>
      </c>
      <c r="M122" s="211" t="s">
        <v>162</v>
      </c>
      <c r="O122" s="211" t="s">
        <v>162</v>
      </c>
      <c r="P122" s="211" t="s">
        <v>162</v>
      </c>
      <c r="Q122" s="211" t="s">
        <v>162</v>
      </c>
      <c r="S122" s="211" t="s">
        <v>162</v>
      </c>
      <c r="U122" s="211" t="s">
        <v>162</v>
      </c>
      <c r="V122" s="211" t="s">
        <v>162</v>
      </c>
      <c r="W122" s="211" t="s">
        <v>162</v>
      </c>
    </row>
    <row r="123" spans="2:23" x14ac:dyDescent="0.25">
      <c r="C123" s="210"/>
      <c r="J123" s="211" t="s">
        <v>162</v>
      </c>
      <c r="K123" s="211" t="s">
        <v>162</v>
      </c>
      <c r="L123" s="211" t="s">
        <v>162</v>
      </c>
      <c r="M123" s="211" t="s">
        <v>162</v>
      </c>
      <c r="S123" s="211" t="s">
        <v>162</v>
      </c>
      <c r="U123" s="211" t="s">
        <v>162</v>
      </c>
      <c r="V123" s="211" t="s">
        <v>162</v>
      </c>
      <c r="W123" s="211" t="s">
        <v>162</v>
      </c>
    </row>
    <row r="126" spans="2:23" ht="18.75" x14ac:dyDescent="0.3">
      <c r="B126" s="3" t="s">
        <v>138</v>
      </c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</row>
    <row r="128" spans="2:23" x14ac:dyDescent="0.25">
      <c r="B128" s="60" t="s">
        <v>145</v>
      </c>
      <c r="C128" s="210" t="str" cm="1">
        <f t="array" ref="C128">_xll.d.Logic_And(C134,F134,K134,P134)</f>
        <v>OK</v>
      </c>
    </row>
    <row r="130" spans="2:23" x14ac:dyDescent="0.25">
      <c r="B130" t="s">
        <v>197</v>
      </c>
    </row>
    <row r="132" spans="2:23" ht="15.75" x14ac:dyDescent="0.25">
      <c r="B132" s="4" t="s">
        <v>182</v>
      </c>
      <c r="C132" s="4"/>
      <c r="E132" s="4" t="s">
        <v>179</v>
      </c>
      <c r="F132" s="4"/>
      <c r="G132" s="4"/>
      <c r="H132" s="4"/>
      <c r="J132" s="4" t="s">
        <v>180</v>
      </c>
      <c r="K132" s="4"/>
      <c r="L132" s="4"/>
      <c r="M132" s="4"/>
      <c r="O132" s="4" t="s">
        <v>181</v>
      </c>
      <c r="P132" s="4"/>
      <c r="Q132" s="4"/>
      <c r="R132" s="4"/>
      <c r="S132" s="4"/>
      <c r="T132" s="4"/>
      <c r="U132" s="4"/>
      <c r="V132" s="4"/>
      <c r="W132" s="4"/>
    </row>
    <row r="134" spans="2:23" x14ac:dyDescent="0.25">
      <c r="B134" s="60" t="s">
        <v>145</v>
      </c>
      <c r="C134" s="210" t="str" cm="1">
        <f t="array" ref="C134">_xll.d.Logic_IsTrue(C139="OK")</f>
        <v>OK</v>
      </c>
      <c r="E134" s="60" t="s">
        <v>145</v>
      </c>
      <c r="F134" s="210" t="str" cm="1">
        <f t="array" ref="F134">_xll.d.Logic_IsTrue(E139="OK")</f>
        <v>OK</v>
      </c>
      <c r="J134" s="60" t="s">
        <v>145</v>
      </c>
      <c r="K134" s="210" t="str" cm="1">
        <f t="array" ref="K134">_xll.d.Logic_IsTrue(J139="OK")</f>
        <v>OK</v>
      </c>
      <c r="O134" s="60" t="s">
        <v>145</v>
      </c>
      <c r="P134" s="210" t="str" cm="1">
        <f t="array" ref="P134">_xll.d.Logic_IsTrue(O139="OK")</f>
        <v>OK</v>
      </c>
    </row>
    <row r="136" spans="2:23" x14ac:dyDescent="0.25">
      <c r="B136" s="227" t="s">
        <v>158</v>
      </c>
      <c r="C136" s="211" t="s">
        <v>178</v>
      </c>
      <c r="E136" s="227" t="s">
        <v>158</v>
      </c>
      <c r="F136" s="211" t="s">
        <v>178</v>
      </c>
      <c r="J136" s="227" t="s">
        <v>158</v>
      </c>
      <c r="K136" s="211" t="s">
        <v>178</v>
      </c>
      <c r="O136" s="227" t="s">
        <v>158</v>
      </c>
      <c r="P136" s="211" t="s">
        <v>178</v>
      </c>
    </row>
    <row r="137" spans="2:23" x14ac:dyDescent="0.25">
      <c r="B137" s="211"/>
    </row>
    <row r="138" spans="2:23" x14ac:dyDescent="0.25">
      <c r="B138" s="228" t="s">
        <v>155</v>
      </c>
      <c r="C138" s="228" t="s">
        <v>156</v>
      </c>
      <c r="E138" s="228" t="s">
        <v>156</v>
      </c>
      <c r="J138" s="228" t="s">
        <v>156</v>
      </c>
      <c r="O138" s="228" t="s">
        <v>156</v>
      </c>
    </row>
    <row r="139" spans="2:23" x14ac:dyDescent="0.25">
      <c r="B139" s="211" t="s">
        <v>162</v>
      </c>
      <c r="C139" s="211" t="str" cm="1">
        <f t="array" ref="C139">_xll.d.Logic_Or(B139:B142)</f>
        <v>OK</v>
      </c>
      <c r="E139" s="211" t="str" cm="1">
        <f t="array" ref="E139">_xll.d.Logic_Or(E142:H142)</f>
        <v>OK</v>
      </c>
      <c r="J139" s="211" t="str" cm="1">
        <f t="array" ref="J139">_xll.d.Logic_Or(J142:M145)</f>
        <v>OK</v>
      </c>
      <c r="O139" s="211" t="str" cm="1">
        <f t="array" ref="O139">_xll.d.Logic_Or(O142,O144:Q144,S142:S145,U142:W145)</f>
        <v>OK</v>
      </c>
    </row>
    <row r="140" spans="2:23" x14ac:dyDescent="0.25">
      <c r="B140" s="211" t="s">
        <v>162</v>
      </c>
    </row>
    <row r="141" spans="2:23" x14ac:dyDescent="0.25">
      <c r="B141" s="211" t="s">
        <v>151</v>
      </c>
      <c r="E141" s="228" t="s">
        <v>155</v>
      </c>
      <c r="J141" s="82" t="s">
        <v>155</v>
      </c>
      <c r="O141" s="82" t="s">
        <v>155</v>
      </c>
    </row>
    <row r="142" spans="2:23" x14ac:dyDescent="0.25">
      <c r="B142" s="211" t="s">
        <v>162</v>
      </c>
      <c r="E142" s="211" t="s">
        <v>162</v>
      </c>
      <c r="F142" s="211" t="s">
        <v>151</v>
      </c>
      <c r="G142" s="211" t="s">
        <v>162</v>
      </c>
      <c r="H142" s="211" t="s">
        <v>162</v>
      </c>
      <c r="J142" s="211" t="s">
        <v>162</v>
      </c>
      <c r="K142" s="211" t="s">
        <v>162</v>
      </c>
      <c r="L142" s="211" t="s">
        <v>162</v>
      </c>
      <c r="M142" s="211" t="s">
        <v>151</v>
      </c>
      <c r="O142" s="211" t="s">
        <v>162</v>
      </c>
      <c r="R142" s="211"/>
      <c r="S142" s="211" t="s">
        <v>162</v>
      </c>
      <c r="U142" s="211" t="s">
        <v>162</v>
      </c>
      <c r="V142" s="211" t="s">
        <v>162</v>
      </c>
      <c r="W142" s="211" t="s">
        <v>162</v>
      </c>
    </row>
    <row r="143" spans="2:23" x14ac:dyDescent="0.25">
      <c r="J143" s="211" t="s">
        <v>162</v>
      </c>
      <c r="K143" s="211" t="s">
        <v>162</v>
      </c>
      <c r="L143" s="211" t="s">
        <v>162</v>
      </c>
      <c r="M143" s="211" t="s">
        <v>162</v>
      </c>
      <c r="S143" s="211" t="s">
        <v>162</v>
      </c>
      <c r="U143" s="211" t="s">
        <v>162</v>
      </c>
      <c r="V143" s="211" t="s">
        <v>162</v>
      </c>
      <c r="W143" s="211" t="s">
        <v>162</v>
      </c>
    </row>
    <row r="144" spans="2:23" x14ac:dyDescent="0.25">
      <c r="J144" s="211" t="s">
        <v>162</v>
      </c>
      <c r="K144" s="211" t="s">
        <v>162</v>
      </c>
      <c r="L144" s="211" t="s">
        <v>162</v>
      </c>
      <c r="M144" s="211" t="s">
        <v>162</v>
      </c>
      <c r="O144" s="211" t="s">
        <v>162</v>
      </c>
      <c r="P144" s="211" t="s">
        <v>162</v>
      </c>
      <c r="Q144" s="211" t="s">
        <v>151</v>
      </c>
      <c r="S144" s="211" t="s">
        <v>162</v>
      </c>
      <c r="U144" s="211" t="s">
        <v>162</v>
      </c>
      <c r="V144" s="211" t="s">
        <v>162</v>
      </c>
      <c r="W144" s="211" t="s">
        <v>162</v>
      </c>
    </row>
    <row r="145" spans="2:23" x14ac:dyDescent="0.25">
      <c r="J145" s="211" t="s">
        <v>162</v>
      </c>
      <c r="K145" s="211" t="s">
        <v>162</v>
      </c>
      <c r="L145" s="211" t="s">
        <v>162</v>
      </c>
      <c r="M145" s="211" t="s">
        <v>162</v>
      </c>
      <c r="S145" s="211" t="s">
        <v>151</v>
      </c>
      <c r="U145" s="211" t="s">
        <v>162</v>
      </c>
      <c r="V145" s="211" t="s">
        <v>162</v>
      </c>
      <c r="W145" s="211" t="s">
        <v>162</v>
      </c>
    </row>
    <row r="148" spans="2:23" ht="18.75" x14ac:dyDescent="0.3">
      <c r="B148" s="3" t="s">
        <v>198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</row>
    <row r="150" spans="2:23" x14ac:dyDescent="0.25">
      <c r="B150" s="60" t="s">
        <v>145</v>
      </c>
      <c r="C150" s="210" t="str" cm="1">
        <f t="array" ref="C150">_xll.d.Logic_And(C156,F156,K156,P156)</f>
        <v>OK</v>
      </c>
    </row>
    <row r="152" spans="2:23" x14ac:dyDescent="0.25">
      <c r="B152" t="s">
        <v>199</v>
      </c>
    </row>
    <row r="154" spans="2:23" ht="15.75" x14ac:dyDescent="0.25">
      <c r="B154" s="4" t="s">
        <v>200</v>
      </c>
      <c r="C154" s="4"/>
      <c r="E154" s="4" t="s">
        <v>201</v>
      </c>
      <c r="F154" s="4"/>
      <c r="G154" s="4"/>
      <c r="H154" s="4"/>
      <c r="J154" s="4" t="s">
        <v>202</v>
      </c>
      <c r="K154" s="4"/>
      <c r="L154" s="4"/>
      <c r="M154" s="4"/>
      <c r="O154" s="4" t="s">
        <v>203</v>
      </c>
      <c r="P154" s="4"/>
      <c r="Q154" s="4"/>
      <c r="R154" s="4"/>
      <c r="S154" s="4"/>
      <c r="T154" s="4"/>
      <c r="U154" s="4"/>
      <c r="V154" s="4"/>
      <c r="W154" s="4"/>
    </row>
    <row r="156" spans="2:23" x14ac:dyDescent="0.25">
      <c r="B156" s="60" t="s">
        <v>145</v>
      </c>
      <c r="C156" s="210" t="str" cm="1">
        <f t="array" ref="C156">_xll.d.Logic_IsTrue(C161="WARNING")</f>
        <v>OK</v>
      </c>
      <c r="E156" s="60" t="s">
        <v>145</v>
      </c>
      <c r="F156" s="210" t="str" cm="1">
        <f t="array" ref="F156">_xll.d.Logic_IsTrue(E161="WARNING")</f>
        <v>OK</v>
      </c>
      <c r="J156" s="60" t="s">
        <v>145</v>
      </c>
      <c r="K156" s="210" t="str" cm="1">
        <f t="array" ref="K156">_xll.d.Logic_IsTrue(J161="WARNING")</f>
        <v>OK</v>
      </c>
      <c r="O156" s="60" t="s">
        <v>145</v>
      </c>
      <c r="P156" s="210" t="str" cm="1">
        <f t="array" ref="P156">_xll.d.Logic_IsTrue(O161="WARNING")</f>
        <v>OK</v>
      </c>
    </row>
    <row r="158" spans="2:23" x14ac:dyDescent="0.25">
      <c r="B158" s="227" t="s">
        <v>158</v>
      </c>
      <c r="C158" s="211" t="s">
        <v>178</v>
      </c>
      <c r="E158" s="227" t="s">
        <v>158</v>
      </c>
      <c r="F158" s="211" t="s">
        <v>178</v>
      </c>
      <c r="J158" s="227" t="s">
        <v>158</v>
      </c>
      <c r="K158" s="211" t="s">
        <v>178</v>
      </c>
      <c r="O158" s="227" t="s">
        <v>158</v>
      </c>
      <c r="P158" s="211" t="s">
        <v>178</v>
      </c>
    </row>
    <row r="159" spans="2:23" x14ac:dyDescent="0.25">
      <c r="B159" s="211"/>
    </row>
    <row r="160" spans="2:23" x14ac:dyDescent="0.25">
      <c r="B160" s="228" t="s">
        <v>155</v>
      </c>
      <c r="C160" s="228" t="s">
        <v>156</v>
      </c>
      <c r="E160" s="228" t="s">
        <v>156</v>
      </c>
      <c r="J160" s="228" t="s">
        <v>156</v>
      </c>
      <c r="O160" s="228" t="s">
        <v>156</v>
      </c>
    </row>
    <row r="161" spans="2:23" x14ac:dyDescent="0.25">
      <c r="B161" s="211" t="s">
        <v>162</v>
      </c>
      <c r="C161" s="211" t="str" cm="1">
        <f t="array" ref="C161">_xll.d.Logic_Or(B161:B164)</f>
        <v>WARNING</v>
      </c>
      <c r="E161" s="211" t="str" cm="1">
        <f t="array" ref="E161">_xll.d.Logic_Or(E164:H164)</f>
        <v>WARNING</v>
      </c>
      <c r="J161" s="211" t="str" cm="1">
        <f t="array" ref="J161">_xll.d.Logic_Or(J164:M167)</f>
        <v>WARNING</v>
      </c>
      <c r="O161" s="211" t="str" cm="1">
        <f t="array" ref="O161">_xll.d.Logic_Or(O164,O166:Q166,S164:S167,U164:W167)</f>
        <v>WARNING</v>
      </c>
    </row>
    <row r="162" spans="2:23" x14ac:dyDescent="0.25">
      <c r="B162" s="211" t="s">
        <v>166</v>
      </c>
    </row>
    <row r="163" spans="2:23" x14ac:dyDescent="0.25">
      <c r="B163" s="211" t="s">
        <v>162</v>
      </c>
      <c r="E163" s="228" t="s">
        <v>155</v>
      </c>
      <c r="J163" s="82" t="s">
        <v>155</v>
      </c>
      <c r="O163" s="82" t="s">
        <v>155</v>
      </c>
    </row>
    <row r="164" spans="2:23" x14ac:dyDescent="0.25">
      <c r="B164" s="211" t="s">
        <v>162</v>
      </c>
      <c r="E164" s="211" t="s">
        <v>162</v>
      </c>
      <c r="F164" s="211" t="s">
        <v>162</v>
      </c>
      <c r="G164" s="211" t="s">
        <v>162</v>
      </c>
      <c r="H164" s="211" t="s">
        <v>166</v>
      </c>
      <c r="J164" s="211" t="s">
        <v>162</v>
      </c>
      <c r="K164" s="211" t="s">
        <v>162</v>
      </c>
      <c r="L164" s="211" t="s">
        <v>162</v>
      </c>
      <c r="M164" s="211" t="s">
        <v>162</v>
      </c>
      <c r="O164" s="211" t="s">
        <v>162</v>
      </c>
      <c r="R164" s="211"/>
      <c r="S164" s="211" t="s">
        <v>162</v>
      </c>
      <c r="U164" s="211" t="s">
        <v>162</v>
      </c>
      <c r="V164" s="211" t="s">
        <v>162</v>
      </c>
      <c r="W164" s="211" t="s">
        <v>162</v>
      </c>
    </row>
    <row r="165" spans="2:23" x14ac:dyDescent="0.25">
      <c r="J165" s="211" t="s">
        <v>162</v>
      </c>
      <c r="K165" s="211" t="s">
        <v>162</v>
      </c>
      <c r="L165" s="211" t="s">
        <v>162</v>
      </c>
      <c r="M165" s="211" t="s">
        <v>162</v>
      </c>
      <c r="S165" s="211" t="s">
        <v>162</v>
      </c>
      <c r="U165" s="211" t="s">
        <v>162</v>
      </c>
      <c r="V165" s="211" t="s">
        <v>162</v>
      </c>
      <c r="W165" s="211" t="s">
        <v>162</v>
      </c>
    </row>
    <row r="166" spans="2:23" x14ac:dyDescent="0.25">
      <c r="J166" s="211" t="s">
        <v>162</v>
      </c>
      <c r="K166" s="211" t="s">
        <v>166</v>
      </c>
      <c r="L166" s="211" t="s">
        <v>162</v>
      </c>
      <c r="M166" s="211" t="s">
        <v>162</v>
      </c>
      <c r="O166" s="211" t="s">
        <v>162</v>
      </c>
      <c r="P166" s="211" t="s">
        <v>162</v>
      </c>
      <c r="Q166" s="211" t="s">
        <v>166</v>
      </c>
      <c r="S166" s="211" t="s">
        <v>162</v>
      </c>
      <c r="U166" s="211" t="s">
        <v>162</v>
      </c>
      <c r="V166" s="211" t="s">
        <v>162</v>
      </c>
      <c r="W166" s="211" t="s">
        <v>162</v>
      </c>
    </row>
    <row r="167" spans="2:23" x14ac:dyDescent="0.25">
      <c r="J167" s="211" t="s">
        <v>162</v>
      </c>
      <c r="K167" s="211" t="s">
        <v>162</v>
      </c>
      <c r="L167" s="211" t="s">
        <v>162</v>
      </c>
      <c r="M167" s="211" t="s">
        <v>162</v>
      </c>
      <c r="S167" s="211" t="s">
        <v>162</v>
      </c>
      <c r="U167" s="211" t="s">
        <v>162</v>
      </c>
      <c r="V167" s="211" t="s">
        <v>162</v>
      </c>
      <c r="W167" s="211" t="s">
        <v>162</v>
      </c>
    </row>
    <row r="170" spans="2:23" ht="18.75" x14ac:dyDescent="0.3">
      <c r="B170" s="3" t="s">
        <v>204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</row>
    <row r="172" spans="2:23" x14ac:dyDescent="0.25">
      <c r="B172" s="60" t="s">
        <v>145</v>
      </c>
      <c r="C172" s="210" t="str" cm="1">
        <f t="array" ref="C172">_xll.d.Logic_And(C178,F178,K178,P178)</f>
        <v>OK</v>
      </c>
    </row>
    <row r="174" spans="2:23" x14ac:dyDescent="0.25">
      <c r="B174" t="s">
        <v>209</v>
      </c>
    </row>
    <row r="176" spans="2:23" ht="15.75" x14ac:dyDescent="0.25">
      <c r="B176" s="4" t="s">
        <v>208</v>
      </c>
      <c r="C176" s="4"/>
      <c r="E176" s="4" t="s">
        <v>205</v>
      </c>
      <c r="F176" s="4"/>
      <c r="G176" s="4"/>
      <c r="H176" s="4"/>
      <c r="J176" s="4" t="s">
        <v>206</v>
      </c>
      <c r="K176" s="4"/>
      <c r="L176" s="4"/>
      <c r="M176" s="4"/>
      <c r="O176" s="4" t="s">
        <v>207</v>
      </c>
      <c r="P176" s="4"/>
      <c r="Q176" s="4"/>
      <c r="R176" s="4"/>
      <c r="S176" s="4"/>
      <c r="T176" s="4"/>
      <c r="U176" s="4"/>
      <c r="V176" s="4"/>
      <c r="W176" s="4"/>
    </row>
    <row r="178" spans="2:23" x14ac:dyDescent="0.25">
      <c r="B178" s="60" t="s">
        <v>145</v>
      </c>
      <c r="C178" s="210" t="str" cm="1">
        <f t="array" ref="C178">_xll.d.Logic_IsTrue(C183="OK")</f>
        <v>OK</v>
      </c>
      <c r="E178" s="60" t="s">
        <v>145</v>
      </c>
      <c r="F178" s="210" t="str" cm="1">
        <f t="array" ref="F178">_xll.d.Logic_IsTrue(E183="OK")</f>
        <v>OK</v>
      </c>
      <c r="J178" s="60" t="s">
        <v>145</v>
      </c>
      <c r="K178" s="210" t="str" cm="1">
        <f t="array" ref="K178">_xll.d.Logic_IsTrue(J183="OK")</f>
        <v>OK</v>
      </c>
      <c r="O178" s="60" t="s">
        <v>145</v>
      </c>
      <c r="P178" s="210" t="str" cm="1">
        <f t="array" ref="P178">_xll.d.Logic_IsTrue(O183="OK")</f>
        <v>OK</v>
      </c>
    </row>
    <row r="180" spans="2:23" x14ac:dyDescent="0.25">
      <c r="B180" s="227" t="s">
        <v>158</v>
      </c>
      <c r="C180" s="211" t="s">
        <v>178</v>
      </c>
      <c r="E180" s="227" t="s">
        <v>158</v>
      </c>
      <c r="F180" s="211" t="s">
        <v>178</v>
      </c>
      <c r="J180" s="227" t="s">
        <v>158</v>
      </c>
      <c r="K180" s="211" t="s">
        <v>178</v>
      </c>
      <c r="O180" s="227" t="s">
        <v>158</v>
      </c>
      <c r="P180" s="211" t="s">
        <v>178</v>
      </c>
    </row>
    <row r="181" spans="2:23" x14ac:dyDescent="0.25">
      <c r="B181" s="211"/>
    </row>
    <row r="182" spans="2:23" x14ac:dyDescent="0.25">
      <c r="B182" s="228" t="s">
        <v>155</v>
      </c>
      <c r="C182" s="228" t="s">
        <v>156</v>
      </c>
      <c r="E182" s="228" t="s">
        <v>156</v>
      </c>
      <c r="J182" s="228" t="s">
        <v>156</v>
      </c>
      <c r="O182" s="228" t="s">
        <v>156</v>
      </c>
    </row>
    <row r="183" spans="2:23" x14ac:dyDescent="0.25">
      <c r="B183" s="211" t="s">
        <v>162</v>
      </c>
      <c r="C183" s="211" t="str" cm="1">
        <f t="array" ref="C183">_xll.d.Logic_Or(B183:B186)</f>
        <v>OK</v>
      </c>
      <c r="E183" s="211" t="str" cm="1">
        <f t="array" ref="E183">_xll.d.Logic_Or(E186:H186)</f>
        <v>OK</v>
      </c>
      <c r="J183" s="211" t="str" cm="1">
        <f t="array" ref="J183">_xll.d.Logic_Or(J186:M189)</f>
        <v>OK</v>
      </c>
      <c r="O183" s="211" t="str" cm="1">
        <f t="array" ref="O183">_xll.d.Logic_Or(O186,O188:Q188,S186:S189,U186:W189)</f>
        <v>OK</v>
      </c>
    </row>
    <row r="184" spans="2:23" x14ac:dyDescent="0.25">
      <c r="B184" s="211" t="s">
        <v>166</v>
      </c>
    </row>
    <row r="185" spans="2:23" x14ac:dyDescent="0.25">
      <c r="B185" s="211" t="s">
        <v>162</v>
      </c>
      <c r="E185" s="228" t="s">
        <v>155</v>
      </c>
      <c r="J185" s="82" t="s">
        <v>155</v>
      </c>
      <c r="O185" s="82" t="s">
        <v>155</v>
      </c>
    </row>
    <row r="186" spans="2:23" x14ac:dyDescent="0.25">
      <c r="B186" s="211" t="s">
        <v>151</v>
      </c>
      <c r="E186" s="211" t="s">
        <v>162</v>
      </c>
      <c r="F186" s="211" t="s">
        <v>151</v>
      </c>
      <c r="G186" s="211" t="s">
        <v>162</v>
      </c>
      <c r="H186" s="211" t="s">
        <v>166</v>
      </c>
      <c r="J186" s="211" t="s">
        <v>162</v>
      </c>
      <c r="K186" s="211" t="s">
        <v>162</v>
      </c>
      <c r="L186" s="211" t="s">
        <v>162</v>
      </c>
      <c r="M186" s="211" t="s">
        <v>162</v>
      </c>
      <c r="O186" s="211" t="s">
        <v>162</v>
      </c>
      <c r="R186" s="211"/>
      <c r="S186" s="211" t="s">
        <v>162</v>
      </c>
      <c r="U186" s="211" t="s">
        <v>162</v>
      </c>
      <c r="V186" s="211" t="s">
        <v>162</v>
      </c>
      <c r="W186" s="211" t="s">
        <v>162</v>
      </c>
    </row>
    <row r="187" spans="2:23" x14ac:dyDescent="0.25">
      <c r="J187" s="211" t="s">
        <v>162</v>
      </c>
      <c r="K187" s="211" t="s">
        <v>162</v>
      </c>
      <c r="L187" s="211" t="s">
        <v>151</v>
      </c>
      <c r="M187" s="211" t="s">
        <v>162</v>
      </c>
      <c r="S187" s="211" t="s">
        <v>162</v>
      </c>
      <c r="U187" s="211" t="s">
        <v>162</v>
      </c>
      <c r="V187" s="211" t="s">
        <v>151</v>
      </c>
      <c r="W187" s="211" t="s">
        <v>162</v>
      </c>
    </row>
    <row r="188" spans="2:23" x14ac:dyDescent="0.25">
      <c r="J188" s="211" t="s">
        <v>162</v>
      </c>
      <c r="K188" s="211" t="s">
        <v>166</v>
      </c>
      <c r="L188" s="211" t="s">
        <v>162</v>
      </c>
      <c r="M188" s="211" t="s">
        <v>162</v>
      </c>
      <c r="O188" s="211" t="s">
        <v>162</v>
      </c>
      <c r="P188" s="211" t="s">
        <v>162</v>
      </c>
      <c r="Q188" s="211" t="s">
        <v>166</v>
      </c>
      <c r="S188" s="211" t="s">
        <v>162</v>
      </c>
      <c r="U188" s="211" t="s">
        <v>162</v>
      </c>
      <c r="V188" s="211" t="s">
        <v>162</v>
      </c>
      <c r="W188" s="211" t="s">
        <v>162</v>
      </c>
    </row>
    <row r="189" spans="2:23" x14ac:dyDescent="0.25">
      <c r="J189" s="211" t="s">
        <v>162</v>
      </c>
      <c r="K189" s="211" t="s">
        <v>162</v>
      </c>
      <c r="L189" s="211" t="s">
        <v>162</v>
      </c>
      <c r="M189" s="211" t="s">
        <v>162</v>
      </c>
      <c r="S189" s="211" t="s">
        <v>162</v>
      </c>
      <c r="U189" s="211" t="s">
        <v>162</v>
      </c>
      <c r="V189" s="211" t="s">
        <v>162</v>
      </c>
      <c r="W189" s="211" t="s">
        <v>162</v>
      </c>
    </row>
    <row r="192" spans="2:23" ht="18.75" x14ac:dyDescent="0.3">
      <c r="B192" s="3" t="s">
        <v>211</v>
      </c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</row>
    <row r="194" spans="2:23" x14ac:dyDescent="0.25">
      <c r="B194" s="60" t="s">
        <v>145</v>
      </c>
      <c r="C194" s="210" t="str" cm="1">
        <f t="array" ref="C194">_xll.d.Logic_And(C200,F200,K200,P200)</f>
        <v>OK</v>
      </c>
    </row>
    <row r="196" spans="2:23" x14ac:dyDescent="0.25">
      <c r="B196" t="s">
        <v>209</v>
      </c>
    </row>
    <row r="198" spans="2:23" ht="15.75" x14ac:dyDescent="0.25">
      <c r="B198" s="4" t="s">
        <v>208</v>
      </c>
      <c r="C198" s="4"/>
      <c r="E198" s="4" t="s">
        <v>205</v>
      </c>
      <c r="F198" s="4"/>
      <c r="G198" s="4"/>
      <c r="H198" s="4"/>
      <c r="J198" s="4" t="s">
        <v>206</v>
      </c>
      <c r="K198" s="4"/>
      <c r="L198" s="4"/>
      <c r="M198" s="4"/>
      <c r="O198" s="4" t="s">
        <v>207</v>
      </c>
      <c r="P198" s="4"/>
      <c r="Q198" s="4"/>
      <c r="R198" s="4"/>
      <c r="S198" s="4"/>
      <c r="T198" s="4"/>
      <c r="U198" s="4"/>
      <c r="V198" s="4"/>
      <c r="W198" s="4"/>
    </row>
    <row r="200" spans="2:23" x14ac:dyDescent="0.25">
      <c r="B200" s="60" t="s">
        <v>145</v>
      </c>
      <c r="C200" s="210" t="str" cm="1">
        <f t="array" ref="C200">_xll.d.Logic_IsTrue(C205="OK")</f>
        <v>OK</v>
      </c>
      <c r="E200" s="60" t="s">
        <v>145</v>
      </c>
      <c r="F200" s="210" t="str" cm="1">
        <f t="array" ref="F200">_xll.d.Logic_IsTrue(E205="OK")</f>
        <v>OK</v>
      </c>
      <c r="J200" s="60" t="s">
        <v>145</v>
      </c>
      <c r="K200" s="210" t="str" cm="1">
        <f t="array" ref="K200">_xll.d.Logic_IsTrue(J205="OK")</f>
        <v>OK</v>
      </c>
      <c r="O200" s="60" t="s">
        <v>145</v>
      </c>
      <c r="P200" s="210" t="str" cm="1">
        <f t="array" ref="P200">_xll.d.Logic_IsTrue(O205="OK")</f>
        <v>OK</v>
      </c>
    </row>
    <row r="202" spans="2:23" x14ac:dyDescent="0.25">
      <c r="B202" s="227" t="s">
        <v>158</v>
      </c>
      <c r="C202" s="211" t="s">
        <v>178</v>
      </c>
      <c r="E202" s="227" t="s">
        <v>158</v>
      </c>
      <c r="F202" s="211" t="s">
        <v>178</v>
      </c>
      <c r="J202" s="227" t="s">
        <v>158</v>
      </c>
      <c r="K202" s="211" t="s">
        <v>178</v>
      </c>
      <c r="O202" s="227" t="s">
        <v>158</v>
      </c>
      <c r="P202" s="211" t="s">
        <v>178</v>
      </c>
    </row>
    <row r="203" spans="2:23" x14ac:dyDescent="0.25">
      <c r="B203" s="211"/>
    </row>
    <row r="204" spans="2:23" x14ac:dyDescent="0.25">
      <c r="B204" s="228" t="s">
        <v>155</v>
      </c>
      <c r="C204" s="228" t="s">
        <v>156</v>
      </c>
      <c r="E204" s="228" t="s">
        <v>156</v>
      </c>
      <c r="J204" s="228" t="s">
        <v>156</v>
      </c>
      <c r="O204" s="228" t="s">
        <v>156</v>
      </c>
    </row>
    <row r="205" spans="2:23" x14ac:dyDescent="0.25">
      <c r="B205" s="211" t="s">
        <v>162</v>
      </c>
      <c r="C205" s="211" t="str">
        <f t="array" ref="C205:C208">_xll.d.Logic_Not(B205:B208)</f>
        <v>OK</v>
      </c>
      <c r="E205" s="211" t="str" cm="1">
        <f t="array" ref="E205">_xll.d.Logic_Or(E208:H208)</f>
        <v>OK</v>
      </c>
      <c r="J205" s="211" t="str" cm="1">
        <f t="array" ref="J205">_xll.d.Logic_Or(J208:M211)</f>
        <v>OK</v>
      </c>
      <c r="O205" s="211" t="str" cm="1">
        <f t="array" ref="O205">_xll.d.Logic_Or(O208,O210:Q210,S208:S211,U208:W211)</f>
        <v>OK</v>
      </c>
    </row>
    <row r="206" spans="2:23" x14ac:dyDescent="0.25">
      <c r="B206" s="211" t="s">
        <v>166</v>
      </c>
      <c r="C206" t="str">
        <v>OK</v>
      </c>
    </row>
    <row r="207" spans="2:23" x14ac:dyDescent="0.25">
      <c r="B207" s="211" t="s">
        <v>162</v>
      </c>
      <c r="C207" t="str">
        <v>OK</v>
      </c>
      <c r="E207" s="228" t="s">
        <v>155</v>
      </c>
      <c r="J207" s="82" t="s">
        <v>155</v>
      </c>
      <c r="O207" s="82" t="s">
        <v>155</v>
      </c>
    </row>
    <row r="208" spans="2:23" x14ac:dyDescent="0.25">
      <c r="B208" s="211" t="s">
        <v>151</v>
      </c>
      <c r="C208" t="str">
        <v>OK</v>
      </c>
      <c r="E208" s="211" t="s">
        <v>162</v>
      </c>
      <c r="F208" s="211" t="s">
        <v>151</v>
      </c>
      <c r="G208" s="211" t="s">
        <v>162</v>
      </c>
      <c r="H208" s="211" t="s">
        <v>166</v>
      </c>
      <c r="J208" s="211" t="s">
        <v>162</v>
      </c>
      <c r="K208" s="211" t="s">
        <v>162</v>
      </c>
      <c r="L208" s="211" t="s">
        <v>162</v>
      </c>
      <c r="M208" s="211" t="s">
        <v>162</v>
      </c>
      <c r="O208" s="211" t="s">
        <v>162</v>
      </c>
      <c r="R208" s="211"/>
      <c r="S208" s="211" t="s">
        <v>162</v>
      </c>
      <c r="U208" s="211" t="s">
        <v>162</v>
      </c>
      <c r="V208" s="211" t="s">
        <v>162</v>
      </c>
      <c r="W208" s="211" t="s">
        <v>162</v>
      </c>
    </row>
    <row r="209" spans="10:23" x14ac:dyDescent="0.25">
      <c r="J209" s="211" t="s">
        <v>162</v>
      </c>
      <c r="K209" s="211" t="s">
        <v>162</v>
      </c>
      <c r="L209" s="211" t="s">
        <v>151</v>
      </c>
      <c r="M209" s="211" t="s">
        <v>162</v>
      </c>
      <c r="S209" s="211" t="s">
        <v>162</v>
      </c>
      <c r="U209" s="211" t="s">
        <v>162</v>
      </c>
      <c r="V209" s="211" t="s">
        <v>151</v>
      </c>
      <c r="W209" s="211" t="s">
        <v>162</v>
      </c>
    </row>
    <row r="210" spans="10:23" x14ac:dyDescent="0.25">
      <c r="J210" s="211" t="s">
        <v>162</v>
      </c>
      <c r="K210" s="211" t="s">
        <v>166</v>
      </c>
      <c r="L210" s="211" t="s">
        <v>162</v>
      </c>
      <c r="M210" s="211" t="s">
        <v>162</v>
      </c>
      <c r="O210" s="211" t="s">
        <v>162</v>
      </c>
      <c r="P210" s="211" t="s">
        <v>162</v>
      </c>
      <c r="Q210" s="211" t="s">
        <v>166</v>
      </c>
      <c r="S210" s="211" t="s">
        <v>162</v>
      </c>
      <c r="U210" s="211" t="s">
        <v>162</v>
      </c>
      <c r="V210" s="211" t="s">
        <v>162</v>
      </c>
      <c r="W210" s="211" t="s">
        <v>162</v>
      </c>
    </row>
    <row r="211" spans="10:23" x14ac:dyDescent="0.25">
      <c r="J211" s="211" t="s">
        <v>162</v>
      </c>
      <c r="K211" s="211" t="s">
        <v>162</v>
      </c>
      <c r="L211" s="211" t="s">
        <v>162</v>
      </c>
      <c r="M211" s="211" t="s">
        <v>162</v>
      </c>
      <c r="S211" s="211" t="s">
        <v>162</v>
      </c>
      <c r="U211" s="211" t="s">
        <v>162</v>
      </c>
      <c r="V211" s="211" t="s">
        <v>162</v>
      </c>
      <c r="W211" s="211" t="s">
        <v>162</v>
      </c>
    </row>
  </sheetData>
  <conditionalFormatting sqref="C4 C7:C12">
    <cfRule type="cellIs" dxfId="110" priority="34" stopIfTrue="1" operator="equal">
      <formula>"ERROR"</formula>
    </cfRule>
    <cfRule type="cellIs" dxfId="109" priority="35" stopIfTrue="1" operator="equal">
      <formula>"OK"</formula>
    </cfRule>
    <cfRule type="cellIs" dxfId="108" priority="36" stopIfTrue="1" operator="equal">
      <formula>"WARNING"</formula>
    </cfRule>
  </conditionalFormatting>
  <conditionalFormatting sqref="C24 F24 K24 P24">
    <cfRule type="cellIs" dxfId="107" priority="37" stopIfTrue="1" operator="equal">
      <formula>"ERROR"</formula>
    </cfRule>
    <cfRule type="cellIs" dxfId="106" priority="38" stopIfTrue="1" operator="equal">
      <formula>"OK"</formula>
    </cfRule>
    <cfRule type="cellIs" dxfId="105" priority="39" stopIfTrue="1" operator="equal">
      <formula>"WARNING"</formula>
    </cfRule>
  </conditionalFormatting>
  <conditionalFormatting sqref="C46 F46 K46 P46">
    <cfRule type="cellIs" dxfId="104" priority="40" stopIfTrue="1" operator="equal">
      <formula>"ERROR"</formula>
    </cfRule>
    <cfRule type="cellIs" dxfId="103" priority="41" stopIfTrue="1" operator="equal">
      <formula>"OK"</formula>
    </cfRule>
    <cfRule type="cellIs" dxfId="102" priority="42" stopIfTrue="1" operator="equal">
      <formula>"WARNING"</formula>
    </cfRule>
  </conditionalFormatting>
  <conditionalFormatting sqref="C68 F68 K68 P68">
    <cfRule type="cellIs" dxfId="101" priority="43" stopIfTrue="1" operator="equal">
      <formula>"ERROR"</formula>
    </cfRule>
    <cfRule type="cellIs" dxfId="100" priority="44" stopIfTrue="1" operator="equal">
      <formula>"OK"</formula>
    </cfRule>
    <cfRule type="cellIs" dxfId="99" priority="45" stopIfTrue="1" operator="equal">
      <formula>"WARNING"</formula>
    </cfRule>
  </conditionalFormatting>
  <conditionalFormatting sqref="C90 F90 K90 P90">
    <cfRule type="cellIs" dxfId="98" priority="46" stopIfTrue="1" operator="equal">
      <formula>"ERROR"</formula>
    </cfRule>
    <cfRule type="cellIs" dxfId="97" priority="47" stopIfTrue="1" operator="equal">
      <formula>"OK"</formula>
    </cfRule>
    <cfRule type="cellIs" dxfId="96" priority="48" stopIfTrue="1" operator="equal">
      <formula>"WARNING"</formula>
    </cfRule>
  </conditionalFormatting>
  <conditionalFormatting sqref="C112 F112 K112 P112">
    <cfRule type="cellIs" dxfId="95" priority="49" stopIfTrue="1" operator="equal">
      <formula>"ERROR"</formula>
    </cfRule>
  </conditionalFormatting>
  <conditionalFormatting sqref="C112 F112 K112 P112">
    <cfRule type="cellIs" dxfId="94" priority="50" stopIfTrue="1" operator="equal">
      <formula>"OK"</formula>
    </cfRule>
  </conditionalFormatting>
  <conditionalFormatting sqref="C112 F112 K112 P112">
    <cfRule type="cellIs" dxfId="93" priority="51" stopIfTrue="1" operator="equal">
      <formula>"WARNING"</formula>
    </cfRule>
  </conditionalFormatting>
  <conditionalFormatting sqref="C134 F134 K134 P134">
    <cfRule type="cellIs" dxfId="92" priority="52" stopIfTrue="1" operator="equal">
      <formula>"ERROR"</formula>
    </cfRule>
  </conditionalFormatting>
  <conditionalFormatting sqref="C134 F134 K134 P134">
    <cfRule type="cellIs" dxfId="91" priority="53" stopIfTrue="1" operator="equal">
      <formula>"OK"</formula>
    </cfRule>
  </conditionalFormatting>
  <conditionalFormatting sqref="C134 F134 K134 P134">
    <cfRule type="cellIs" dxfId="90" priority="54" stopIfTrue="1" operator="equal">
      <formula>"WARNING"</formula>
    </cfRule>
  </conditionalFormatting>
  <conditionalFormatting sqref="C156 F156 K156 P156">
    <cfRule type="cellIs" dxfId="89" priority="31" stopIfTrue="1" operator="equal">
      <formula>"ERROR"</formula>
    </cfRule>
  </conditionalFormatting>
  <conditionalFormatting sqref="C156 F156 K156 P156">
    <cfRule type="cellIs" dxfId="88" priority="32" stopIfTrue="1" operator="equal">
      <formula>"OK"</formula>
    </cfRule>
  </conditionalFormatting>
  <conditionalFormatting sqref="C156 F156 K156 P156">
    <cfRule type="cellIs" dxfId="87" priority="33" stopIfTrue="1" operator="equal">
      <formula>"WARNING"</formula>
    </cfRule>
  </conditionalFormatting>
  <conditionalFormatting sqref="C150">
    <cfRule type="cellIs" dxfId="86" priority="55" stopIfTrue="1" operator="equal">
      <formula>"ERROR"</formula>
    </cfRule>
  </conditionalFormatting>
  <conditionalFormatting sqref="C150">
    <cfRule type="cellIs" dxfId="85" priority="56" stopIfTrue="1" operator="equal">
      <formula>"OK"</formula>
    </cfRule>
  </conditionalFormatting>
  <conditionalFormatting sqref="C150">
    <cfRule type="cellIs" dxfId="84" priority="57" stopIfTrue="1" operator="equal">
      <formula>"WARNING"</formula>
    </cfRule>
  </conditionalFormatting>
  <conditionalFormatting sqref="C128">
    <cfRule type="cellIs" dxfId="83" priority="28" stopIfTrue="1" operator="equal">
      <formula>"ERROR"</formula>
    </cfRule>
  </conditionalFormatting>
  <conditionalFormatting sqref="C128">
    <cfRule type="cellIs" dxfId="82" priority="29" stopIfTrue="1" operator="equal">
      <formula>"OK"</formula>
    </cfRule>
  </conditionalFormatting>
  <conditionalFormatting sqref="C128">
    <cfRule type="cellIs" dxfId="81" priority="30" stopIfTrue="1" operator="equal">
      <formula>"WARNING"</formula>
    </cfRule>
  </conditionalFormatting>
  <conditionalFormatting sqref="C106">
    <cfRule type="cellIs" dxfId="80" priority="25" stopIfTrue="1" operator="equal">
      <formula>"ERROR"</formula>
    </cfRule>
  </conditionalFormatting>
  <conditionalFormatting sqref="C106">
    <cfRule type="cellIs" dxfId="79" priority="26" stopIfTrue="1" operator="equal">
      <formula>"OK"</formula>
    </cfRule>
  </conditionalFormatting>
  <conditionalFormatting sqref="C106">
    <cfRule type="cellIs" dxfId="78" priority="27" stopIfTrue="1" operator="equal">
      <formula>"WARNING"</formula>
    </cfRule>
  </conditionalFormatting>
  <conditionalFormatting sqref="C84">
    <cfRule type="cellIs" dxfId="77" priority="22" stopIfTrue="1" operator="equal">
      <formula>"ERROR"</formula>
    </cfRule>
  </conditionalFormatting>
  <conditionalFormatting sqref="C84">
    <cfRule type="cellIs" dxfId="76" priority="23" stopIfTrue="1" operator="equal">
      <formula>"OK"</formula>
    </cfRule>
  </conditionalFormatting>
  <conditionalFormatting sqref="C84">
    <cfRule type="cellIs" dxfId="75" priority="24" stopIfTrue="1" operator="equal">
      <formula>"WARNING"</formula>
    </cfRule>
  </conditionalFormatting>
  <conditionalFormatting sqref="C62">
    <cfRule type="cellIs" dxfId="74" priority="19" stopIfTrue="1" operator="equal">
      <formula>"ERROR"</formula>
    </cfRule>
  </conditionalFormatting>
  <conditionalFormatting sqref="C62">
    <cfRule type="cellIs" dxfId="73" priority="20" stopIfTrue="1" operator="equal">
      <formula>"OK"</formula>
    </cfRule>
  </conditionalFormatting>
  <conditionalFormatting sqref="C62">
    <cfRule type="cellIs" dxfId="72" priority="21" stopIfTrue="1" operator="equal">
      <formula>"WARNING"</formula>
    </cfRule>
  </conditionalFormatting>
  <conditionalFormatting sqref="C40">
    <cfRule type="cellIs" dxfId="71" priority="16" stopIfTrue="1" operator="equal">
      <formula>"ERROR"</formula>
    </cfRule>
  </conditionalFormatting>
  <conditionalFormatting sqref="C40">
    <cfRule type="cellIs" dxfId="70" priority="17" stopIfTrue="1" operator="equal">
      <formula>"OK"</formula>
    </cfRule>
  </conditionalFormatting>
  <conditionalFormatting sqref="C40">
    <cfRule type="cellIs" dxfId="69" priority="18" stopIfTrue="1" operator="equal">
      <formula>"WARNING"</formula>
    </cfRule>
  </conditionalFormatting>
  <conditionalFormatting sqref="C18">
    <cfRule type="cellIs" dxfId="68" priority="13" stopIfTrue="1" operator="equal">
      <formula>"ERROR"</formula>
    </cfRule>
  </conditionalFormatting>
  <conditionalFormatting sqref="C18">
    <cfRule type="cellIs" dxfId="67" priority="14" stopIfTrue="1" operator="equal">
      <formula>"OK"</formula>
    </cfRule>
  </conditionalFormatting>
  <conditionalFormatting sqref="C18">
    <cfRule type="cellIs" dxfId="66" priority="15" stopIfTrue="1" operator="equal">
      <formula>"WARNING"</formula>
    </cfRule>
  </conditionalFormatting>
  <conditionalFormatting sqref="C13">
    <cfRule type="cellIs" dxfId="65" priority="58" stopIfTrue="1" operator="equal">
      <formula>"ERROR"</formula>
    </cfRule>
    <cfRule type="cellIs" dxfId="64" priority="59" stopIfTrue="1" operator="equal">
      <formula>"OK"</formula>
    </cfRule>
    <cfRule type="cellIs" dxfId="63" priority="60" stopIfTrue="1" operator="equal">
      <formula>"WARNING"</formula>
    </cfRule>
  </conditionalFormatting>
  <conditionalFormatting sqref="C178 F178 K178 P178">
    <cfRule type="cellIs" dxfId="62" priority="7" stopIfTrue="1" operator="equal">
      <formula>"ERROR"</formula>
    </cfRule>
  </conditionalFormatting>
  <conditionalFormatting sqref="C178 F178 K178 P178">
    <cfRule type="cellIs" dxfId="61" priority="8" stopIfTrue="1" operator="equal">
      <formula>"OK"</formula>
    </cfRule>
  </conditionalFormatting>
  <conditionalFormatting sqref="C178 F178 K178 P178">
    <cfRule type="cellIs" dxfId="60" priority="9" stopIfTrue="1" operator="equal">
      <formula>"WARNING"</formula>
    </cfRule>
  </conditionalFormatting>
  <conditionalFormatting sqref="C172">
    <cfRule type="cellIs" dxfId="59" priority="10" stopIfTrue="1" operator="equal">
      <formula>"ERROR"</formula>
    </cfRule>
  </conditionalFormatting>
  <conditionalFormatting sqref="C172">
    <cfRule type="cellIs" dxfId="58" priority="11" stopIfTrue="1" operator="equal">
      <formula>"OK"</formula>
    </cfRule>
  </conditionalFormatting>
  <conditionalFormatting sqref="C172">
    <cfRule type="cellIs" dxfId="57" priority="12" stopIfTrue="1" operator="equal">
      <formula>"WARNING"</formula>
    </cfRule>
  </conditionalFormatting>
  <conditionalFormatting sqref="C200 F200 K200 P200">
    <cfRule type="cellIs" dxfId="56" priority="1" stopIfTrue="1" operator="equal">
      <formula>"ERROR"</formula>
    </cfRule>
  </conditionalFormatting>
  <conditionalFormatting sqref="C200 F200 K200 P200">
    <cfRule type="cellIs" dxfId="55" priority="2" stopIfTrue="1" operator="equal">
      <formula>"OK"</formula>
    </cfRule>
  </conditionalFormatting>
  <conditionalFormatting sqref="C200 F200 K200 P200">
    <cfRule type="cellIs" dxfId="54" priority="3" stopIfTrue="1" operator="equal">
      <formula>"WARNING"</formula>
    </cfRule>
  </conditionalFormatting>
  <conditionalFormatting sqref="C194">
    <cfRule type="cellIs" dxfId="53" priority="4" stopIfTrue="1" operator="equal">
      <formula>"ERROR"</formula>
    </cfRule>
  </conditionalFormatting>
  <conditionalFormatting sqref="C194">
    <cfRule type="cellIs" dxfId="52" priority="5" stopIfTrue="1" operator="equal">
      <formula>"OK"</formula>
    </cfRule>
  </conditionalFormatting>
  <conditionalFormatting sqref="C194">
    <cfRule type="cellIs" dxfId="51" priority="6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16"/>
  <sheetViews>
    <sheetView showGridLines="0" tabSelected="1" topLeftCell="A25" zoomScaleNormal="100" workbookViewId="0">
      <selection activeCell="E33" sqref="E33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51" t="s">
        <v>189</v>
      </c>
      <c r="C4" s="252" t="str" cm="1">
        <f t="array" aca="1" ref="C4" ca="1">_xll.d.Logic_And(C7:C12)</f>
        <v>OK</v>
      </c>
      <c r="E4" s="164" t="s">
        <v>132</v>
      </c>
      <c r="F4" s="60"/>
    </row>
    <row r="5" spans="2:56" x14ac:dyDescent="0.25">
      <c r="E5" s="165" t="s">
        <v>131</v>
      </c>
      <c r="F5" s="166"/>
    </row>
    <row r="6" spans="2:56" x14ac:dyDescent="0.25">
      <c r="B6" s="253" t="s">
        <v>10</v>
      </c>
      <c r="C6" s="254" t="s">
        <v>11</v>
      </c>
      <c r="E6" s="167" t="s">
        <v>130</v>
      </c>
      <c r="F6" s="161"/>
    </row>
    <row r="7" spans="2:56" x14ac:dyDescent="0.25">
      <c r="B7" s="250" t="s">
        <v>119</v>
      </c>
      <c r="C7" s="210" t="str">
        <f ca="1">C42</f>
        <v>OK</v>
      </c>
    </row>
    <row r="8" spans="2:56" x14ac:dyDescent="0.25">
      <c r="B8" s="250" t="s">
        <v>123</v>
      </c>
      <c r="C8" s="210" t="str">
        <f ca="1">C66</f>
        <v>OK</v>
      </c>
    </row>
    <row r="9" spans="2:56" x14ac:dyDescent="0.25">
      <c r="B9" s="250" t="s">
        <v>126</v>
      </c>
      <c r="C9" s="210" t="str">
        <f ca="1">C90</f>
        <v>OK</v>
      </c>
    </row>
    <row r="10" spans="2:56" x14ac:dyDescent="0.25">
      <c r="B10" s="250" t="s">
        <v>129</v>
      </c>
      <c r="C10" s="210" t="str">
        <f ca="1">C126</f>
        <v>OK</v>
      </c>
    </row>
    <row r="11" spans="2:56" x14ac:dyDescent="0.25">
      <c r="B11" s="250" t="s">
        <v>136</v>
      </c>
      <c r="C11" s="210" t="str">
        <f ca="1">C162</f>
        <v>OK</v>
      </c>
    </row>
    <row r="12" spans="2:56" x14ac:dyDescent="0.25">
      <c r="B12" s="250" t="s">
        <v>138</v>
      </c>
      <c r="C12" s="210" t="str">
        <f ca="1">C184</f>
        <v>OK</v>
      </c>
    </row>
    <row r="13" spans="2:56" x14ac:dyDescent="0.25">
      <c r="B13" s="250" t="s">
        <v>198</v>
      </c>
      <c r="C13" s="210" t="str">
        <f ca="1">C204</f>
        <v>OK</v>
      </c>
    </row>
    <row r="16" spans="2:56" s="68" customFormat="1" x14ac:dyDescent="0.25">
      <c r="B16" s="68" t="s">
        <v>95</v>
      </c>
    </row>
    <row r="17" spans="2:9" x14ac:dyDescent="0.25">
      <c r="B17" t="s">
        <v>96</v>
      </c>
    </row>
    <row r="19" spans="2:9" x14ac:dyDescent="0.25">
      <c r="B19" t="s">
        <v>109</v>
      </c>
    </row>
    <row r="21" spans="2:9" x14ac:dyDescent="0.25">
      <c r="B21" s="96" t="s">
        <v>110</v>
      </c>
    </row>
    <row r="22" spans="2:9" x14ac:dyDescent="0.25">
      <c r="B22" s="146" t="s">
        <v>111</v>
      </c>
    </row>
    <row r="23" spans="2:9" x14ac:dyDescent="0.25">
      <c r="B23" s="146" t="s">
        <v>112</v>
      </c>
    </row>
    <row r="24" spans="2:9" x14ac:dyDescent="0.25">
      <c r="B24" s="146" t="s">
        <v>121</v>
      </c>
    </row>
    <row r="25" spans="2:9" x14ac:dyDescent="0.25">
      <c r="B25" s="146" t="s">
        <v>122</v>
      </c>
    </row>
    <row r="26" spans="2:9" x14ac:dyDescent="0.25">
      <c r="B26" s="146" t="s">
        <v>124</v>
      </c>
    </row>
    <row r="27" spans="2:9" x14ac:dyDescent="0.25">
      <c r="B27" s="146" t="s">
        <v>125</v>
      </c>
      <c r="H27" s="169"/>
      <c r="I27" s="169"/>
    </row>
    <row r="28" spans="2:9" x14ac:dyDescent="0.25">
      <c r="B28" s="97" t="s">
        <v>133</v>
      </c>
    </row>
    <row r="29" spans="2:9" x14ac:dyDescent="0.25">
      <c r="B29" s="146" t="s">
        <v>134</v>
      </c>
    </row>
    <row r="30" spans="2:9" x14ac:dyDescent="0.25">
      <c r="B30" s="97" t="s">
        <v>142</v>
      </c>
    </row>
    <row r="31" spans="2:9" x14ac:dyDescent="0.25">
      <c r="B31" s="146" t="s">
        <v>146</v>
      </c>
    </row>
    <row r="32" spans="2:9" x14ac:dyDescent="0.25">
      <c r="B32" s="146" t="s">
        <v>147</v>
      </c>
    </row>
    <row r="33" spans="2:72" x14ac:dyDescent="0.25">
      <c r="B33" s="146" t="s">
        <v>187</v>
      </c>
    </row>
    <row r="34" spans="2:72" x14ac:dyDescent="0.25">
      <c r="B34" s="146" t="s">
        <v>188</v>
      </c>
    </row>
    <row r="35" spans="2:72" x14ac:dyDescent="0.25">
      <c r="B35" s="146" t="s">
        <v>149</v>
      </c>
    </row>
    <row r="36" spans="2:72" x14ac:dyDescent="0.25">
      <c r="B36" s="146" t="s">
        <v>190</v>
      </c>
    </row>
    <row r="37" spans="2:72" x14ac:dyDescent="0.25">
      <c r="B37" s="97" t="s">
        <v>191</v>
      </c>
    </row>
    <row r="38" spans="2:72" x14ac:dyDescent="0.25">
      <c r="B38" s="97" t="s">
        <v>210</v>
      </c>
    </row>
    <row r="40" spans="2:72" ht="18.75" x14ac:dyDescent="0.3">
      <c r="B40" s="91" t="s">
        <v>119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  <c r="BT40" s="89"/>
    </row>
    <row r="42" spans="2:72" x14ac:dyDescent="0.25">
      <c r="B42" s="60" t="s">
        <v>145</v>
      </c>
      <c r="C42" s="210" t="str" cm="1">
        <f t="array" aca="1" ref="C42" ca="1">_xll.d.Logic_And(BD57:BT61)</f>
        <v>OK</v>
      </c>
    </row>
    <row r="44" spans="2:72" x14ac:dyDescent="0.25">
      <c r="B44" s="60" t="s">
        <v>120</v>
      </c>
      <c r="C44" s="60" t="s">
        <v>33</v>
      </c>
    </row>
    <row r="45" spans="2:72" x14ac:dyDescent="0.25">
      <c r="B45" s="110" t="s">
        <v>115</v>
      </c>
      <c r="C45" s="180" t="s">
        <v>140</v>
      </c>
    </row>
    <row r="46" spans="2:72" x14ac:dyDescent="0.25">
      <c r="B46" s="104" t="s">
        <v>116</v>
      </c>
      <c r="C46" s="181" t="s">
        <v>0</v>
      </c>
    </row>
    <row r="47" spans="2:72" x14ac:dyDescent="0.25">
      <c r="B47" s="106"/>
      <c r="C47" s="182" t="s">
        <v>117</v>
      </c>
    </row>
    <row r="48" spans="2:72" x14ac:dyDescent="0.25">
      <c r="B48" s="108"/>
      <c r="C48" s="183" t="s">
        <v>118</v>
      </c>
    </row>
    <row r="49" spans="2:72" x14ac:dyDescent="0.25">
      <c r="B49" s="179" t="s">
        <v>139</v>
      </c>
      <c r="C49" s="185">
        <v>2</v>
      </c>
    </row>
    <row r="50" spans="2:72" x14ac:dyDescent="0.25">
      <c r="B50" s="179" t="s">
        <v>140</v>
      </c>
      <c r="C50" s="185">
        <v>0</v>
      </c>
    </row>
    <row r="51" spans="2:72" x14ac:dyDescent="0.25">
      <c r="B51" s="159" t="s">
        <v>127</v>
      </c>
      <c r="C51" s="160"/>
    </row>
    <row r="53" spans="2:72" x14ac:dyDescent="0.25">
      <c r="B53" t="s">
        <v>97</v>
      </c>
    </row>
    <row r="55" spans="2:72" x14ac:dyDescent="0.25">
      <c r="B55" s="82" t="s">
        <v>94</v>
      </c>
      <c r="T55" s="82" t="s">
        <v>113</v>
      </c>
      <c r="AL55" s="82" t="s">
        <v>114</v>
      </c>
      <c r="BD55" s="82" t="s">
        <v>148</v>
      </c>
    </row>
    <row r="57" spans="2:72" x14ac:dyDescent="0.25">
      <c r="B57" s="12" t="s">
        <v>99</v>
      </c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13"/>
      <c r="T57" s="103" t="s">
        <v>99</v>
      </c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L57" s="151" t="s">
        <v>99</v>
      </c>
      <c r="AM57" s="259"/>
      <c r="AN57" s="259"/>
      <c r="AO57" s="259"/>
      <c r="AP57" s="259"/>
      <c r="AQ57" s="259"/>
      <c r="AR57" s="259"/>
      <c r="AS57" s="259"/>
      <c r="AT57" s="259"/>
      <c r="AU57" s="259"/>
      <c r="AV57" s="259"/>
      <c r="AW57" s="259"/>
      <c r="AX57" s="259"/>
      <c r="AY57" s="259"/>
      <c r="AZ57" s="259"/>
      <c r="BA57" s="259"/>
      <c r="BB57" s="152"/>
      <c r="BD57" s="210" t="str" cm="1">
        <f t="array" aca="1" ref="BD57" ca="1">_xll.d.Logic_IsTrue(_xll.d.Formatting_Equal(B57,AL57))</f>
        <v>OK</v>
      </c>
      <c r="BE57" s="210" t="str" cm="1">
        <f t="array" aca="1" ref="BE57" ca="1">_xll.d.Logic_IsTrue(_xll.d.Formatting_Equal(C57,AM57))</f>
        <v>OK</v>
      </c>
      <c r="BF57" s="210" t="str" cm="1">
        <f t="array" aca="1" ref="BF57" ca="1">_xll.d.Logic_IsTrue(_xll.d.Formatting_Equal(D57,AN57))</f>
        <v>OK</v>
      </c>
      <c r="BG57" s="210" t="str" cm="1">
        <f t="array" aca="1" ref="BG57" ca="1">_xll.d.Logic_IsTrue(_xll.d.Formatting_Equal(E57,AO57))</f>
        <v>OK</v>
      </c>
      <c r="BH57" s="210" t="str" cm="1">
        <f t="array" aca="1" ref="BH57" ca="1">_xll.d.Logic_IsTrue(_xll.d.Formatting_Equal(F57,AP57))</f>
        <v>OK</v>
      </c>
      <c r="BI57" s="210" t="str" cm="1">
        <f t="array" aca="1" ref="BI57" ca="1">_xll.d.Logic_IsTrue(_xll.d.Formatting_Equal(G57,AQ57))</f>
        <v>OK</v>
      </c>
      <c r="BJ57" s="210" t="str" cm="1">
        <f t="array" aca="1" ref="BJ57" ca="1">_xll.d.Logic_IsTrue(_xll.d.Formatting_Equal(H57,AR57))</f>
        <v>OK</v>
      </c>
      <c r="BK57" s="210" t="str" cm="1">
        <f t="array" aca="1" ref="BK57" ca="1">_xll.d.Logic_IsTrue(_xll.d.Formatting_Equal(I57,AS57))</f>
        <v>OK</v>
      </c>
      <c r="BL57" s="210" t="str" cm="1">
        <f t="array" aca="1" ref="BL57" ca="1">_xll.d.Logic_IsTrue(_xll.d.Formatting_Equal(J57,AT57))</f>
        <v>OK</v>
      </c>
      <c r="BM57" s="210" t="str" cm="1">
        <f t="array" aca="1" ref="BM57" ca="1">_xll.d.Logic_IsTrue(_xll.d.Formatting_Equal(K57,AU57))</f>
        <v>OK</v>
      </c>
      <c r="BN57" s="210" t="str" cm="1">
        <f t="array" aca="1" ref="BN57" ca="1">_xll.d.Logic_IsTrue(_xll.d.Formatting_Equal(L57,AV57))</f>
        <v>OK</v>
      </c>
      <c r="BO57" s="210" t="str" cm="1">
        <f t="array" aca="1" ref="BO57" ca="1">_xll.d.Logic_IsTrue(_xll.d.Formatting_Equal(M57,AW57))</f>
        <v>OK</v>
      </c>
      <c r="BP57" s="210" t="str" cm="1">
        <f t="array" aca="1" ref="BP57" ca="1">_xll.d.Logic_IsTrue(_xll.d.Formatting_Equal(N57,AX57))</f>
        <v>OK</v>
      </c>
      <c r="BQ57" s="210" t="str" cm="1">
        <f t="array" aca="1" ref="BQ57" ca="1">_xll.d.Logic_IsTrue(_xll.d.Formatting_Equal(O57,AY57))</f>
        <v>OK</v>
      </c>
      <c r="BR57" s="210" t="str" cm="1">
        <f t="array" aca="1" ref="BR57" ca="1">_xll.d.Logic_IsTrue(_xll.d.Formatting_Equal(P57,AZ57))</f>
        <v>OK</v>
      </c>
      <c r="BS57" s="210" t="str" cm="1">
        <f t="array" aca="1" ref="BS57" ca="1">_xll.d.Logic_IsTrue(_xll.d.Formatting_Equal(Q57,BA57))</f>
        <v>OK</v>
      </c>
      <c r="BT57" s="210" t="str" cm="1">
        <f t="array" aca="1" ref="BT57" ca="1">_xll.d.Logic_IsTrue(_xll.d.Formatting_Equal(R57,BB57))</f>
        <v>OK</v>
      </c>
    </row>
    <row r="58" spans="2:72" x14ac:dyDescent="0.25">
      <c r="B58" s="86" t="s">
        <v>35</v>
      </c>
      <c r="C58" s="87" t="s">
        <v>0</v>
      </c>
      <c r="D58" s="87" t="s">
        <v>100</v>
      </c>
      <c r="E58" s="87" t="s">
        <v>101</v>
      </c>
      <c r="F58" s="87" t="s">
        <v>102</v>
      </c>
      <c r="G58" s="87" t="s">
        <v>103</v>
      </c>
      <c r="H58" s="87" t="s">
        <v>104</v>
      </c>
      <c r="I58" s="87" t="s">
        <v>83</v>
      </c>
      <c r="J58" s="87" t="s">
        <v>84</v>
      </c>
      <c r="K58" s="87" t="s">
        <v>85</v>
      </c>
      <c r="L58" s="87" t="s">
        <v>105</v>
      </c>
      <c r="M58" s="87" t="s">
        <v>25</v>
      </c>
      <c r="N58" s="87" t="s">
        <v>40</v>
      </c>
      <c r="O58" s="87" t="s">
        <v>106</v>
      </c>
      <c r="P58" s="87" t="s">
        <v>98</v>
      </c>
      <c r="Q58" s="87" t="s">
        <v>108</v>
      </c>
      <c r="R58" s="88" t="s">
        <v>107</v>
      </c>
      <c r="T58" s="103" t="s">
        <v>35</v>
      </c>
      <c r="U58" s="103" t="s">
        <v>0</v>
      </c>
      <c r="V58" s="103" t="s">
        <v>100</v>
      </c>
      <c r="W58" s="103" t="s">
        <v>101</v>
      </c>
      <c r="X58" s="103" t="s">
        <v>102</v>
      </c>
      <c r="Y58" s="103" t="s">
        <v>103</v>
      </c>
      <c r="Z58" s="103" t="s">
        <v>104</v>
      </c>
      <c r="AA58" s="103" t="s">
        <v>83</v>
      </c>
      <c r="AB58" s="103" t="s">
        <v>84</v>
      </c>
      <c r="AC58" s="103" t="s">
        <v>85</v>
      </c>
      <c r="AD58" s="103" t="s">
        <v>105</v>
      </c>
      <c r="AE58" s="103" t="s">
        <v>25</v>
      </c>
      <c r="AF58" s="103" t="s">
        <v>40</v>
      </c>
      <c r="AG58" s="103" t="s">
        <v>106</v>
      </c>
      <c r="AH58" s="103" t="s">
        <v>98</v>
      </c>
      <c r="AI58" s="103" t="s">
        <v>108</v>
      </c>
      <c r="AJ58" s="103" t="s">
        <v>107</v>
      </c>
      <c r="AL58" s="149" t="s">
        <v>35</v>
      </c>
      <c r="AM58" s="260" t="s">
        <v>0</v>
      </c>
      <c r="AN58" s="260" t="s">
        <v>100</v>
      </c>
      <c r="AO58" s="260" t="s">
        <v>101</v>
      </c>
      <c r="AP58" s="260" t="s">
        <v>102</v>
      </c>
      <c r="AQ58" s="260" t="s">
        <v>103</v>
      </c>
      <c r="AR58" s="260" t="s">
        <v>104</v>
      </c>
      <c r="AS58" s="260" t="s">
        <v>83</v>
      </c>
      <c r="AT58" s="260" t="s">
        <v>84</v>
      </c>
      <c r="AU58" s="260" t="s">
        <v>85</v>
      </c>
      <c r="AV58" s="260" t="s">
        <v>105</v>
      </c>
      <c r="AW58" s="260" t="s">
        <v>25</v>
      </c>
      <c r="AX58" s="260" t="s">
        <v>40</v>
      </c>
      <c r="AY58" s="260" t="s">
        <v>106</v>
      </c>
      <c r="AZ58" s="260" t="s">
        <v>98</v>
      </c>
      <c r="BA58" s="260" t="s">
        <v>108</v>
      </c>
      <c r="BB58" s="150" t="s">
        <v>107</v>
      </c>
      <c r="BD58" s="210" t="str" cm="1">
        <f t="array" aca="1" ref="BD58" ca="1">_xll.d.Logic_IsTrue(_xll.d.Formatting_Equal(B58,AL58))</f>
        <v>OK</v>
      </c>
      <c r="BE58" s="210" t="str" cm="1">
        <f t="array" aca="1" ref="BE58" ca="1">_xll.d.Logic_IsTrue(_xll.d.Formatting_Equal(C58,AM58))</f>
        <v>OK</v>
      </c>
      <c r="BF58" s="210" t="str" cm="1">
        <f t="array" aca="1" ref="BF58" ca="1">_xll.d.Logic_IsTrue(_xll.d.Formatting_Equal(D58,AN58))</f>
        <v>OK</v>
      </c>
      <c r="BG58" s="210" t="str" cm="1">
        <f t="array" aca="1" ref="BG58" ca="1">_xll.d.Logic_IsTrue(_xll.d.Formatting_Equal(E58,AO58))</f>
        <v>OK</v>
      </c>
      <c r="BH58" s="210" t="str" cm="1">
        <f t="array" aca="1" ref="BH58" ca="1">_xll.d.Logic_IsTrue(_xll.d.Formatting_Equal(F58,AP58))</f>
        <v>OK</v>
      </c>
      <c r="BI58" s="210" t="str" cm="1">
        <f t="array" aca="1" ref="BI58" ca="1">_xll.d.Logic_IsTrue(_xll.d.Formatting_Equal(G58,AQ58))</f>
        <v>OK</v>
      </c>
      <c r="BJ58" s="210" t="str" cm="1">
        <f t="array" aca="1" ref="BJ58" ca="1">_xll.d.Logic_IsTrue(_xll.d.Formatting_Equal(H58,AR58))</f>
        <v>OK</v>
      </c>
      <c r="BK58" s="210" t="str" cm="1">
        <f t="array" aca="1" ref="BK58" ca="1">_xll.d.Logic_IsTrue(_xll.d.Formatting_Equal(I58,AS58))</f>
        <v>OK</v>
      </c>
      <c r="BL58" s="210" t="str" cm="1">
        <f t="array" aca="1" ref="BL58" ca="1">_xll.d.Logic_IsTrue(_xll.d.Formatting_Equal(J58,AT58))</f>
        <v>OK</v>
      </c>
      <c r="BM58" s="210" t="str" cm="1">
        <f t="array" aca="1" ref="BM58" ca="1">_xll.d.Logic_IsTrue(_xll.d.Formatting_Equal(K58,AU58))</f>
        <v>OK</v>
      </c>
      <c r="BN58" s="210" t="str" cm="1">
        <f t="array" aca="1" ref="BN58" ca="1">_xll.d.Logic_IsTrue(_xll.d.Formatting_Equal(L58,AV58))</f>
        <v>OK</v>
      </c>
      <c r="BO58" s="210" t="str" cm="1">
        <f t="array" aca="1" ref="BO58" ca="1">_xll.d.Logic_IsTrue(_xll.d.Formatting_Equal(M58,AW58))</f>
        <v>OK</v>
      </c>
      <c r="BP58" s="210" t="str" cm="1">
        <f t="array" aca="1" ref="BP58" ca="1">_xll.d.Logic_IsTrue(_xll.d.Formatting_Equal(N58,AX58))</f>
        <v>OK</v>
      </c>
      <c r="BQ58" s="210" t="str" cm="1">
        <f t="array" aca="1" ref="BQ58" ca="1">_xll.d.Logic_IsTrue(_xll.d.Formatting_Equal(O58,AY58))</f>
        <v>OK</v>
      </c>
      <c r="BR58" s="210" t="str" cm="1">
        <f t="array" aca="1" ref="BR58" ca="1">_xll.d.Logic_IsTrue(_xll.d.Formatting_Equal(P58,AZ58))</f>
        <v>OK</v>
      </c>
      <c r="BS58" s="210" t="str" cm="1">
        <f t="array" aca="1" ref="BS58" ca="1">_xll.d.Logic_IsTrue(_xll.d.Formatting_Equal(Q58,BA58))</f>
        <v>OK</v>
      </c>
      <c r="BT58" s="210" t="str" cm="1">
        <f t="array" aca="1" ref="BT58" ca="1">_xll.d.Logic_IsTrue(_xll.d.Formatting_Equal(R58,BB58))</f>
        <v>OK</v>
      </c>
    </row>
    <row r="59" spans="2:72" x14ac:dyDescent="0.25">
      <c r="B59" s="140">
        <v>44562</v>
      </c>
      <c r="C59" s="143">
        <v>44562</v>
      </c>
      <c r="D59" s="122">
        <v>1000</v>
      </c>
      <c r="E59" s="125">
        <v>1000</v>
      </c>
      <c r="F59" s="128">
        <v>1000</v>
      </c>
      <c r="G59" s="131">
        <v>1000</v>
      </c>
      <c r="H59" s="134">
        <v>0.3</v>
      </c>
      <c r="I59" s="134">
        <v>0.3</v>
      </c>
      <c r="J59" s="134">
        <v>0.3</v>
      </c>
      <c r="K59" s="134">
        <v>0.3</v>
      </c>
      <c r="L59" s="134">
        <v>0.3</v>
      </c>
      <c r="M59" s="134">
        <v>0.3</v>
      </c>
      <c r="N59" s="134">
        <v>0.3</v>
      </c>
      <c r="O59" s="134">
        <v>0.3</v>
      </c>
      <c r="P59" s="134">
        <v>0.3</v>
      </c>
      <c r="Q59" s="134">
        <v>0.3</v>
      </c>
      <c r="R59" s="137">
        <v>0.3</v>
      </c>
      <c r="T59" s="103">
        <v>44562</v>
      </c>
      <c r="U59" s="103">
        <v>44562</v>
      </c>
      <c r="V59" s="103">
        <v>1000</v>
      </c>
      <c r="W59" s="103">
        <v>1000</v>
      </c>
      <c r="X59" s="103">
        <v>1000</v>
      </c>
      <c r="Y59" s="103">
        <v>1000</v>
      </c>
      <c r="Z59" s="103">
        <v>0.3</v>
      </c>
      <c r="AA59" s="103">
        <v>0.3</v>
      </c>
      <c r="AB59" s="103">
        <v>0.3</v>
      </c>
      <c r="AC59" s="103">
        <v>0.3</v>
      </c>
      <c r="AD59" s="103">
        <v>0.3</v>
      </c>
      <c r="AE59" s="103">
        <v>0.3</v>
      </c>
      <c r="AF59" s="103">
        <v>0.3</v>
      </c>
      <c r="AG59" s="103">
        <v>0.3</v>
      </c>
      <c r="AH59" s="103">
        <v>0.3</v>
      </c>
      <c r="AI59" s="103">
        <v>0.3</v>
      </c>
      <c r="AJ59" s="103">
        <v>0.3</v>
      </c>
      <c r="AL59" s="204">
        <v>44562</v>
      </c>
      <c r="AM59" s="207">
        <v>44562</v>
      </c>
      <c r="AN59" s="186">
        <v>1000</v>
      </c>
      <c r="AO59" s="189">
        <v>1000</v>
      </c>
      <c r="AP59" s="192">
        <v>1000</v>
      </c>
      <c r="AQ59" s="195">
        <v>1000</v>
      </c>
      <c r="AR59" s="198">
        <v>0.3</v>
      </c>
      <c r="AS59" s="198">
        <v>0.3</v>
      </c>
      <c r="AT59" s="198">
        <v>0.3</v>
      </c>
      <c r="AU59" s="198">
        <v>0.3</v>
      </c>
      <c r="AV59" s="198">
        <v>0.3</v>
      </c>
      <c r="AW59" s="198">
        <v>0.3</v>
      </c>
      <c r="AX59" s="198">
        <v>0.3</v>
      </c>
      <c r="AY59" s="198">
        <v>0.3</v>
      </c>
      <c r="AZ59" s="198">
        <v>0.3</v>
      </c>
      <c r="BA59" s="198">
        <v>0.3</v>
      </c>
      <c r="BB59" s="201">
        <v>0.3</v>
      </c>
      <c r="BD59" s="210" t="str" cm="1">
        <f t="array" aca="1" ref="BD59" ca="1">_xll.d.Logic_IsTrue(_xll.d.Formatting_Equal(B59,AL59))</f>
        <v>OK</v>
      </c>
      <c r="BE59" s="210" t="str" cm="1">
        <f t="array" aca="1" ref="BE59" ca="1">_xll.d.Logic_IsTrue(_xll.d.Formatting_Equal(C59,AM59))</f>
        <v>OK</v>
      </c>
      <c r="BF59" s="210" t="str" cm="1">
        <f t="array" aca="1" ref="BF59" ca="1">_xll.d.Logic_IsTrue(_xll.d.Formatting_Equal(D59,AN59))</f>
        <v>OK</v>
      </c>
      <c r="BG59" s="210" t="str" cm="1">
        <f t="array" aca="1" ref="BG59" ca="1">_xll.d.Logic_IsTrue(_xll.d.Formatting_Equal(E59,AO59))</f>
        <v>OK</v>
      </c>
      <c r="BH59" s="210" t="str" cm="1">
        <f t="array" aca="1" ref="BH59" ca="1">_xll.d.Logic_IsTrue(_xll.d.Formatting_Equal(F59,AP59))</f>
        <v>OK</v>
      </c>
      <c r="BI59" s="210" t="str" cm="1">
        <f t="array" aca="1" ref="BI59" ca="1">_xll.d.Logic_IsTrue(_xll.d.Formatting_Equal(G59,AQ59))</f>
        <v>OK</v>
      </c>
      <c r="BJ59" s="210" t="str" cm="1">
        <f t="array" aca="1" ref="BJ59" ca="1">_xll.d.Logic_IsTrue(_xll.d.Formatting_Equal(H59,AR59))</f>
        <v>OK</v>
      </c>
      <c r="BK59" s="210" t="str" cm="1">
        <f t="array" aca="1" ref="BK59" ca="1">_xll.d.Logic_IsTrue(_xll.d.Formatting_Equal(I59,AS59))</f>
        <v>OK</v>
      </c>
      <c r="BL59" s="210" t="str" cm="1">
        <f t="array" aca="1" ref="BL59" ca="1">_xll.d.Logic_IsTrue(_xll.d.Formatting_Equal(J59,AT59))</f>
        <v>OK</v>
      </c>
      <c r="BM59" s="210" t="str" cm="1">
        <f t="array" aca="1" ref="BM59" ca="1">_xll.d.Logic_IsTrue(_xll.d.Formatting_Equal(K59,AU59))</f>
        <v>OK</v>
      </c>
      <c r="BN59" s="210" t="str" cm="1">
        <f t="array" aca="1" ref="BN59" ca="1">_xll.d.Logic_IsTrue(_xll.d.Formatting_Equal(L59,AV59))</f>
        <v>OK</v>
      </c>
      <c r="BO59" s="210" t="str" cm="1">
        <f t="array" aca="1" ref="BO59" ca="1">_xll.d.Logic_IsTrue(_xll.d.Formatting_Equal(M59,AW59))</f>
        <v>OK</v>
      </c>
      <c r="BP59" s="210" t="str" cm="1">
        <f t="array" aca="1" ref="BP59" ca="1">_xll.d.Logic_IsTrue(_xll.d.Formatting_Equal(N59,AX59))</f>
        <v>OK</v>
      </c>
      <c r="BQ59" s="210" t="str" cm="1">
        <f t="array" aca="1" ref="BQ59" ca="1">_xll.d.Logic_IsTrue(_xll.d.Formatting_Equal(O59,AY59))</f>
        <v>OK</v>
      </c>
      <c r="BR59" s="210" t="str" cm="1">
        <f t="array" aca="1" ref="BR59" ca="1">_xll.d.Logic_IsTrue(_xll.d.Formatting_Equal(P59,AZ59))</f>
        <v>OK</v>
      </c>
      <c r="BS59" s="210" t="str" cm="1">
        <f t="array" aca="1" ref="BS59" ca="1">_xll.d.Logic_IsTrue(_xll.d.Formatting_Equal(Q59,BA59))</f>
        <v>OK</v>
      </c>
      <c r="BT59" s="210" t="str" cm="1">
        <f t="array" aca="1" ref="BT59" ca="1">_xll.d.Logic_IsTrue(_xll.d.Formatting_Equal(R59,BB59))</f>
        <v>OK</v>
      </c>
    </row>
    <row r="60" spans="2:72" x14ac:dyDescent="0.25">
      <c r="B60" s="141">
        <v>44593</v>
      </c>
      <c r="C60" s="144">
        <v>44593</v>
      </c>
      <c r="D60" s="123">
        <v>2000</v>
      </c>
      <c r="E60" s="126">
        <v>2000</v>
      </c>
      <c r="F60" s="129">
        <v>2000</v>
      </c>
      <c r="G60" s="132">
        <v>2000</v>
      </c>
      <c r="H60" s="135">
        <v>0.4</v>
      </c>
      <c r="I60" s="135">
        <v>0.4</v>
      </c>
      <c r="J60" s="135">
        <v>0.4</v>
      </c>
      <c r="K60" s="135">
        <v>0.4</v>
      </c>
      <c r="L60" s="135">
        <v>0.4</v>
      </c>
      <c r="M60" s="135">
        <v>0.4</v>
      </c>
      <c r="N60" s="135">
        <v>0.4</v>
      </c>
      <c r="O60" s="135">
        <v>0.4</v>
      </c>
      <c r="P60" s="135">
        <v>0.4</v>
      </c>
      <c r="Q60" s="135">
        <v>0.4</v>
      </c>
      <c r="R60" s="138">
        <v>0.4</v>
      </c>
      <c r="T60" s="103">
        <v>44593</v>
      </c>
      <c r="U60" s="103">
        <v>44593</v>
      </c>
      <c r="V60" s="103">
        <v>2000</v>
      </c>
      <c r="W60" s="103">
        <v>2000</v>
      </c>
      <c r="X60" s="103">
        <v>2000</v>
      </c>
      <c r="Y60" s="103">
        <v>2000</v>
      </c>
      <c r="Z60" s="103">
        <v>0.4</v>
      </c>
      <c r="AA60" s="103">
        <v>0.4</v>
      </c>
      <c r="AB60" s="103">
        <v>0.4</v>
      </c>
      <c r="AC60" s="103">
        <v>0.4</v>
      </c>
      <c r="AD60" s="103">
        <v>0.4</v>
      </c>
      <c r="AE60" s="103">
        <v>0.4</v>
      </c>
      <c r="AF60" s="103">
        <v>0.4</v>
      </c>
      <c r="AG60" s="103">
        <v>0.4</v>
      </c>
      <c r="AH60" s="103">
        <v>0.4</v>
      </c>
      <c r="AI60" s="103">
        <v>0.4</v>
      </c>
      <c r="AJ60" s="103">
        <v>0.4</v>
      </c>
      <c r="AL60" s="205">
        <v>44593</v>
      </c>
      <c r="AM60" s="208">
        <v>44593</v>
      </c>
      <c r="AN60" s="187">
        <v>2000</v>
      </c>
      <c r="AO60" s="190">
        <v>2000</v>
      </c>
      <c r="AP60" s="193">
        <v>2000</v>
      </c>
      <c r="AQ60" s="196">
        <v>2000</v>
      </c>
      <c r="AR60" s="199">
        <v>0.4</v>
      </c>
      <c r="AS60" s="199">
        <v>0.4</v>
      </c>
      <c r="AT60" s="199">
        <v>0.4</v>
      </c>
      <c r="AU60" s="199">
        <v>0.4</v>
      </c>
      <c r="AV60" s="199">
        <v>0.4</v>
      </c>
      <c r="AW60" s="199">
        <v>0.4</v>
      </c>
      <c r="AX60" s="199">
        <v>0.4</v>
      </c>
      <c r="AY60" s="199">
        <v>0.4</v>
      </c>
      <c r="AZ60" s="199">
        <v>0.4</v>
      </c>
      <c r="BA60" s="199">
        <v>0.4</v>
      </c>
      <c r="BB60" s="202">
        <v>0.4</v>
      </c>
      <c r="BD60" s="210" t="str" cm="1">
        <f t="array" aca="1" ref="BD60" ca="1">_xll.d.Logic_IsTrue(_xll.d.Formatting_Equal(B60,AL60))</f>
        <v>OK</v>
      </c>
      <c r="BE60" s="210" t="str" cm="1">
        <f t="array" aca="1" ref="BE60" ca="1">_xll.d.Logic_IsTrue(_xll.d.Formatting_Equal(C60,AM60))</f>
        <v>OK</v>
      </c>
      <c r="BF60" s="210" t="str" cm="1">
        <f t="array" aca="1" ref="BF60" ca="1">_xll.d.Logic_IsTrue(_xll.d.Formatting_Equal(D60,AN60))</f>
        <v>OK</v>
      </c>
      <c r="BG60" s="210" t="str" cm="1">
        <f t="array" aca="1" ref="BG60" ca="1">_xll.d.Logic_IsTrue(_xll.d.Formatting_Equal(E60,AO60))</f>
        <v>OK</v>
      </c>
      <c r="BH60" s="210" t="str" cm="1">
        <f t="array" aca="1" ref="BH60" ca="1">_xll.d.Logic_IsTrue(_xll.d.Formatting_Equal(F60,AP60))</f>
        <v>OK</v>
      </c>
      <c r="BI60" s="210" t="str" cm="1">
        <f t="array" aca="1" ref="BI60" ca="1">_xll.d.Logic_IsTrue(_xll.d.Formatting_Equal(G60,AQ60))</f>
        <v>OK</v>
      </c>
      <c r="BJ60" s="210" t="str" cm="1">
        <f t="array" aca="1" ref="BJ60" ca="1">_xll.d.Logic_IsTrue(_xll.d.Formatting_Equal(H60,AR60))</f>
        <v>OK</v>
      </c>
      <c r="BK60" s="210" t="str" cm="1">
        <f t="array" aca="1" ref="BK60" ca="1">_xll.d.Logic_IsTrue(_xll.d.Formatting_Equal(I60,AS60))</f>
        <v>OK</v>
      </c>
      <c r="BL60" s="210" t="str" cm="1">
        <f t="array" aca="1" ref="BL60" ca="1">_xll.d.Logic_IsTrue(_xll.d.Formatting_Equal(J60,AT60))</f>
        <v>OK</v>
      </c>
      <c r="BM60" s="210" t="str" cm="1">
        <f t="array" aca="1" ref="BM60" ca="1">_xll.d.Logic_IsTrue(_xll.d.Formatting_Equal(K60,AU60))</f>
        <v>OK</v>
      </c>
      <c r="BN60" s="210" t="str" cm="1">
        <f t="array" aca="1" ref="BN60" ca="1">_xll.d.Logic_IsTrue(_xll.d.Formatting_Equal(L60,AV60))</f>
        <v>OK</v>
      </c>
      <c r="BO60" s="210" t="str" cm="1">
        <f t="array" aca="1" ref="BO60" ca="1">_xll.d.Logic_IsTrue(_xll.d.Formatting_Equal(M60,AW60))</f>
        <v>OK</v>
      </c>
      <c r="BP60" s="210" t="str" cm="1">
        <f t="array" aca="1" ref="BP60" ca="1">_xll.d.Logic_IsTrue(_xll.d.Formatting_Equal(N60,AX60))</f>
        <v>OK</v>
      </c>
      <c r="BQ60" s="210" t="str" cm="1">
        <f t="array" aca="1" ref="BQ60" ca="1">_xll.d.Logic_IsTrue(_xll.d.Formatting_Equal(O60,AY60))</f>
        <v>OK</v>
      </c>
      <c r="BR60" s="210" t="str" cm="1">
        <f t="array" aca="1" ref="BR60" ca="1">_xll.d.Logic_IsTrue(_xll.d.Formatting_Equal(P60,AZ60))</f>
        <v>OK</v>
      </c>
      <c r="BS60" s="210" t="str" cm="1">
        <f t="array" aca="1" ref="BS60" ca="1">_xll.d.Logic_IsTrue(_xll.d.Formatting_Equal(Q60,BA60))</f>
        <v>OK</v>
      </c>
      <c r="BT60" s="210" t="str" cm="1">
        <f t="array" aca="1" ref="BT60" ca="1">_xll.d.Logic_IsTrue(_xll.d.Formatting_Equal(R60,BB60))</f>
        <v>OK</v>
      </c>
    </row>
    <row r="61" spans="2:72" x14ac:dyDescent="0.25">
      <c r="B61" s="142">
        <v>44621</v>
      </c>
      <c r="C61" s="145">
        <v>44621</v>
      </c>
      <c r="D61" s="124">
        <v>3000</v>
      </c>
      <c r="E61" s="127">
        <v>3000</v>
      </c>
      <c r="F61" s="130">
        <v>3000</v>
      </c>
      <c r="G61" s="133">
        <v>3000</v>
      </c>
      <c r="H61" s="136">
        <v>0.5</v>
      </c>
      <c r="I61" s="136">
        <v>0.5</v>
      </c>
      <c r="J61" s="136">
        <v>0.5</v>
      </c>
      <c r="K61" s="136">
        <v>0.5</v>
      </c>
      <c r="L61" s="136">
        <v>0.5</v>
      </c>
      <c r="M61" s="136">
        <v>0.5</v>
      </c>
      <c r="N61" s="136">
        <v>0.5</v>
      </c>
      <c r="O61" s="136">
        <v>0.5</v>
      </c>
      <c r="P61" s="136">
        <v>0.5</v>
      </c>
      <c r="Q61" s="136">
        <v>0.5</v>
      </c>
      <c r="R61" s="139">
        <v>0.5</v>
      </c>
      <c r="T61" s="103">
        <v>44621</v>
      </c>
      <c r="U61" s="103">
        <v>44621</v>
      </c>
      <c r="V61" s="103">
        <v>3000</v>
      </c>
      <c r="W61" s="103">
        <v>3000</v>
      </c>
      <c r="X61" s="103">
        <v>3000</v>
      </c>
      <c r="Y61" s="103">
        <v>3000</v>
      </c>
      <c r="Z61" s="103">
        <v>0.5</v>
      </c>
      <c r="AA61" s="103">
        <v>0.5</v>
      </c>
      <c r="AB61" s="103">
        <v>0.5</v>
      </c>
      <c r="AC61" s="103">
        <v>0.5</v>
      </c>
      <c r="AD61" s="103">
        <v>0.5</v>
      </c>
      <c r="AE61" s="103">
        <v>0.5</v>
      </c>
      <c r="AF61" s="103">
        <v>0.5</v>
      </c>
      <c r="AG61" s="103">
        <v>0.5</v>
      </c>
      <c r="AH61" s="103">
        <v>0.5</v>
      </c>
      <c r="AI61" s="103">
        <v>0.5</v>
      </c>
      <c r="AJ61" s="103">
        <v>0.5</v>
      </c>
      <c r="AL61" s="206">
        <v>44621</v>
      </c>
      <c r="AM61" s="209">
        <v>44621</v>
      </c>
      <c r="AN61" s="188">
        <v>3000</v>
      </c>
      <c r="AO61" s="191">
        <v>3000</v>
      </c>
      <c r="AP61" s="194">
        <v>3000</v>
      </c>
      <c r="AQ61" s="197">
        <v>3000</v>
      </c>
      <c r="AR61" s="200">
        <v>0.5</v>
      </c>
      <c r="AS61" s="200">
        <v>0.5</v>
      </c>
      <c r="AT61" s="200">
        <v>0.5</v>
      </c>
      <c r="AU61" s="200">
        <v>0.5</v>
      </c>
      <c r="AV61" s="200">
        <v>0.5</v>
      </c>
      <c r="AW61" s="200">
        <v>0.5</v>
      </c>
      <c r="AX61" s="200">
        <v>0.5</v>
      </c>
      <c r="AY61" s="200">
        <v>0.5</v>
      </c>
      <c r="AZ61" s="200">
        <v>0.5</v>
      </c>
      <c r="BA61" s="200">
        <v>0.5</v>
      </c>
      <c r="BB61" s="203">
        <v>0.5</v>
      </c>
      <c r="BD61" s="210" t="str" cm="1">
        <f t="array" aca="1" ref="BD61" ca="1">_xll.d.Logic_IsTrue(_xll.d.Formatting_Equal(B61,AL61))</f>
        <v>OK</v>
      </c>
      <c r="BE61" s="210" t="str" cm="1">
        <f t="array" aca="1" ref="BE61" ca="1">_xll.d.Logic_IsTrue(_xll.d.Formatting_Equal(C61,AM61))</f>
        <v>OK</v>
      </c>
      <c r="BF61" s="210" t="str" cm="1">
        <f t="array" aca="1" ref="BF61" ca="1">_xll.d.Logic_IsTrue(_xll.d.Formatting_Equal(D61,AN61))</f>
        <v>OK</v>
      </c>
      <c r="BG61" s="210" t="str" cm="1">
        <f t="array" aca="1" ref="BG61" ca="1">_xll.d.Logic_IsTrue(_xll.d.Formatting_Equal(E61,AO61))</f>
        <v>OK</v>
      </c>
      <c r="BH61" s="210" t="str" cm="1">
        <f t="array" aca="1" ref="BH61" ca="1">_xll.d.Logic_IsTrue(_xll.d.Formatting_Equal(F61,AP61))</f>
        <v>OK</v>
      </c>
      <c r="BI61" s="210" t="str" cm="1">
        <f t="array" aca="1" ref="BI61" ca="1">_xll.d.Logic_IsTrue(_xll.d.Formatting_Equal(G61,AQ61))</f>
        <v>OK</v>
      </c>
      <c r="BJ61" s="210" t="str" cm="1">
        <f t="array" aca="1" ref="BJ61" ca="1">_xll.d.Logic_IsTrue(_xll.d.Formatting_Equal(H61,AR61))</f>
        <v>OK</v>
      </c>
      <c r="BK61" s="210" t="str" cm="1">
        <f t="array" aca="1" ref="BK61" ca="1">_xll.d.Logic_IsTrue(_xll.d.Formatting_Equal(I61,AS61))</f>
        <v>OK</v>
      </c>
      <c r="BL61" s="210" t="str" cm="1">
        <f t="array" aca="1" ref="BL61" ca="1">_xll.d.Logic_IsTrue(_xll.d.Formatting_Equal(J61,AT61))</f>
        <v>OK</v>
      </c>
      <c r="BM61" s="210" t="str" cm="1">
        <f t="array" aca="1" ref="BM61" ca="1">_xll.d.Logic_IsTrue(_xll.d.Formatting_Equal(K61,AU61))</f>
        <v>OK</v>
      </c>
      <c r="BN61" s="210" t="str" cm="1">
        <f t="array" aca="1" ref="BN61" ca="1">_xll.d.Logic_IsTrue(_xll.d.Formatting_Equal(L61,AV61))</f>
        <v>OK</v>
      </c>
      <c r="BO61" s="210" t="str" cm="1">
        <f t="array" aca="1" ref="BO61" ca="1">_xll.d.Logic_IsTrue(_xll.d.Formatting_Equal(M61,AW61))</f>
        <v>OK</v>
      </c>
      <c r="BP61" s="210" t="str" cm="1">
        <f t="array" aca="1" ref="BP61" ca="1">_xll.d.Logic_IsTrue(_xll.d.Formatting_Equal(N61,AX61))</f>
        <v>OK</v>
      </c>
      <c r="BQ61" s="210" t="str" cm="1">
        <f t="array" aca="1" ref="BQ61" ca="1">_xll.d.Logic_IsTrue(_xll.d.Formatting_Equal(O61,AY61))</f>
        <v>OK</v>
      </c>
      <c r="BR61" s="210" t="str" cm="1">
        <f t="array" aca="1" ref="BR61" ca="1">_xll.d.Logic_IsTrue(_xll.d.Formatting_Equal(P61,AZ61))</f>
        <v>OK</v>
      </c>
      <c r="BS61" s="210" t="str" cm="1">
        <f t="array" aca="1" ref="BS61" ca="1">_xll.d.Logic_IsTrue(_xll.d.Formatting_Equal(Q61,BA61))</f>
        <v>OK</v>
      </c>
      <c r="BT61" s="210" t="str" cm="1">
        <f t="array" aca="1" ref="BT61" ca="1">_xll.d.Logic_IsTrue(_xll.d.Formatting_Equal(R61,BB61))</f>
        <v>OK</v>
      </c>
    </row>
    <row r="62" spans="2:72" x14ac:dyDescent="0.25">
      <c r="AL62" s="169"/>
      <c r="AM62" s="169"/>
      <c r="AN62" s="169"/>
      <c r="AO62" s="169"/>
      <c r="AP62" s="169"/>
      <c r="AQ62" s="169"/>
      <c r="AR62" s="169"/>
      <c r="AS62" s="169"/>
      <c r="AT62" s="169"/>
      <c r="AU62" s="169"/>
      <c r="AV62" s="169"/>
      <c r="AW62" s="169"/>
      <c r="AX62" s="169"/>
      <c r="AY62" s="169"/>
      <c r="AZ62" s="169"/>
      <c r="BA62" s="169"/>
      <c r="BB62" s="169"/>
    </row>
    <row r="64" spans="2:72" ht="18.75" x14ac:dyDescent="0.3">
      <c r="B64" s="3" t="s">
        <v>123</v>
      </c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</row>
    <row r="66" spans="2:56" x14ac:dyDescent="0.25">
      <c r="B66" s="60" t="s">
        <v>145</v>
      </c>
      <c r="C66" s="210" t="str" cm="1">
        <f t="array" aca="1" ref="C66" ca="1">_xll.d.Logic_And(BD81:BT85)</f>
        <v>OK</v>
      </c>
    </row>
    <row r="68" spans="2:56" x14ac:dyDescent="0.25">
      <c r="B68" s="60" t="s">
        <v>120</v>
      </c>
      <c r="C68" s="60" t="s">
        <v>33</v>
      </c>
    </row>
    <row r="69" spans="2:56" x14ac:dyDescent="0.25">
      <c r="B69" s="110" t="s">
        <v>115</v>
      </c>
      <c r="C69" s="111" t="s">
        <v>139</v>
      </c>
    </row>
    <row r="70" spans="2:56" x14ac:dyDescent="0.25">
      <c r="B70" s="104" t="s">
        <v>116</v>
      </c>
      <c r="C70" s="105" t="s">
        <v>0</v>
      </c>
    </row>
    <row r="71" spans="2:56" x14ac:dyDescent="0.25">
      <c r="B71" s="106"/>
      <c r="C71" s="107" t="s">
        <v>117</v>
      </c>
    </row>
    <row r="72" spans="2:56" x14ac:dyDescent="0.25">
      <c r="B72" s="108"/>
      <c r="C72" s="109" t="s">
        <v>118</v>
      </c>
    </row>
    <row r="73" spans="2:56" x14ac:dyDescent="0.25">
      <c r="B73" s="179" t="s">
        <v>139</v>
      </c>
      <c r="C73" s="185">
        <v>2</v>
      </c>
    </row>
    <row r="74" spans="2:56" x14ac:dyDescent="0.25">
      <c r="B74" s="179" t="s">
        <v>140</v>
      </c>
      <c r="C74" s="185">
        <v>0</v>
      </c>
    </row>
    <row r="75" spans="2:56" x14ac:dyDescent="0.25">
      <c r="B75" s="159" t="s">
        <v>127</v>
      </c>
      <c r="C75" s="160"/>
    </row>
    <row r="76" spans="2:56" x14ac:dyDescent="0.25">
      <c r="B76" s="68"/>
      <c r="C76" s="68"/>
    </row>
    <row r="77" spans="2:56" x14ac:dyDescent="0.25">
      <c r="B77" t="s">
        <v>128</v>
      </c>
      <c r="C77" s="68"/>
    </row>
    <row r="78" spans="2:56" x14ac:dyDescent="0.25">
      <c r="B78" s="68"/>
      <c r="C78" s="68"/>
    </row>
    <row r="79" spans="2:56" x14ac:dyDescent="0.25">
      <c r="B79" s="82" t="s">
        <v>94</v>
      </c>
      <c r="T79" s="82" t="s">
        <v>113</v>
      </c>
      <c r="AL79" s="82" t="s">
        <v>114</v>
      </c>
      <c r="BD79" s="82" t="s">
        <v>148</v>
      </c>
    </row>
    <row r="81" spans="2:72" x14ac:dyDescent="0.25">
      <c r="B81" s="103" t="s">
        <v>99</v>
      </c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T81" s="12" t="s">
        <v>99</v>
      </c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13"/>
      <c r="AL81" s="168" t="s">
        <v>99</v>
      </c>
      <c r="AM81" s="168"/>
      <c r="AN81" s="168"/>
      <c r="AO81" s="168"/>
      <c r="AP81" s="168"/>
      <c r="AQ81" s="168"/>
      <c r="AR81" s="168"/>
      <c r="AS81" s="168"/>
      <c r="AT81" s="168"/>
      <c r="AU81" s="168"/>
      <c r="AV81" s="168"/>
      <c r="AW81" s="168"/>
      <c r="AX81" s="168"/>
      <c r="AY81" s="168"/>
      <c r="AZ81" s="168"/>
      <c r="BA81" s="168"/>
      <c r="BB81" s="168"/>
      <c r="BD81" s="210" t="str" cm="1">
        <f t="array" aca="1" ref="BD81" ca="1">_xll.d.Logic_IsTrue(_xll.d.Formatting_Equal(B81,AL81))</f>
        <v>OK</v>
      </c>
      <c r="BE81" s="210" t="str" cm="1">
        <f t="array" aca="1" ref="BE81" ca="1">_xll.d.Logic_IsTrue(_xll.d.Formatting_Equal(C81,AM81))</f>
        <v>OK</v>
      </c>
      <c r="BF81" s="210" t="str" cm="1">
        <f t="array" aca="1" ref="BF81" ca="1">_xll.d.Logic_IsTrue(_xll.d.Formatting_Equal(D81,AN81))</f>
        <v>OK</v>
      </c>
      <c r="BG81" s="210" t="str" cm="1">
        <f t="array" aca="1" ref="BG81" ca="1">_xll.d.Logic_IsTrue(_xll.d.Formatting_Equal(E81,AO81))</f>
        <v>OK</v>
      </c>
      <c r="BH81" s="210" t="str" cm="1">
        <f t="array" aca="1" ref="BH81" ca="1">_xll.d.Logic_IsTrue(_xll.d.Formatting_Equal(F81,AP81))</f>
        <v>OK</v>
      </c>
      <c r="BI81" s="210" t="str" cm="1">
        <f t="array" aca="1" ref="BI81" ca="1">_xll.d.Logic_IsTrue(_xll.d.Formatting_Equal(G81,AQ81))</f>
        <v>OK</v>
      </c>
      <c r="BJ81" s="210" t="str" cm="1">
        <f t="array" aca="1" ref="BJ81" ca="1">_xll.d.Logic_IsTrue(_xll.d.Formatting_Equal(H81,AR81))</f>
        <v>OK</v>
      </c>
      <c r="BK81" s="210" t="str" cm="1">
        <f t="array" aca="1" ref="BK81" ca="1">_xll.d.Logic_IsTrue(_xll.d.Formatting_Equal(I81,AS81))</f>
        <v>OK</v>
      </c>
      <c r="BL81" s="210" t="str" cm="1">
        <f t="array" aca="1" ref="BL81" ca="1">_xll.d.Logic_IsTrue(_xll.d.Formatting_Equal(J81,AT81))</f>
        <v>OK</v>
      </c>
      <c r="BM81" s="210" t="str" cm="1">
        <f t="array" aca="1" ref="BM81" ca="1">_xll.d.Logic_IsTrue(_xll.d.Formatting_Equal(K81,AU81))</f>
        <v>OK</v>
      </c>
      <c r="BN81" s="210" t="str" cm="1">
        <f t="array" aca="1" ref="BN81" ca="1">_xll.d.Logic_IsTrue(_xll.d.Formatting_Equal(L81,AV81))</f>
        <v>OK</v>
      </c>
      <c r="BO81" s="210" t="str" cm="1">
        <f t="array" aca="1" ref="BO81" ca="1">_xll.d.Logic_IsTrue(_xll.d.Formatting_Equal(M81,AW81))</f>
        <v>OK</v>
      </c>
      <c r="BP81" s="210" t="str" cm="1">
        <f t="array" aca="1" ref="BP81" ca="1">_xll.d.Logic_IsTrue(_xll.d.Formatting_Equal(N81,AX81))</f>
        <v>OK</v>
      </c>
      <c r="BQ81" s="210" t="str" cm="1">
        <f t="array" aca="1" ref="BQ81" ca="1">_xll.d.Logic_IsTrue(_xll.d.Formatting_Equal(O81,AY81))</f>
        <v>OK</v>
      </c>
      <c r="BR81" s="210" t="str" cm="1">
        <f t="array" aca="1" ref="BR81" ca="1">_xll.d.Logic_IsTrue(_xll.d.Formatting_Equal(P81,AZ81))</f>
        <v>OK</v>
      </c>
      <c r="BS81" s="210" t="str" cm="1">
        <f t="array" aca="1" ref="BS81" ca="1">_xll.d.Logic_IsTrue(_xll.d.Formatting_Equal(Q81,BA81))</f>
        <v>OK</v>
      </c>
      <c r="BT81" s="210" t="str" cm="1">
        <f t="array" aca="1" ref="BT81" ca="1">_xll.d.Logic_IsTrue(_xll.d.Formatting_Equal(R81,BB81))</f>
        <v>OK</v>
      </c>
    </row>
    <row r="82" spans="2:72" x14ac:dyDescent="0.25">
      <c r="B82" s="103" t="s">
        <v>35</v>
      </c>
      <c r="C82" s="103" t="s">
        <v>0</v>
      </c>
      <c r="D82" s="103" t="s">
        <v>100</v>
      </c>
      <c r="E82" s="103" t="s">
        <v>101</v>
      </c>
      <c r="F82" s="103" t="s">
        <v>102</v>
      </c>
      <c r="G82" s="103" t="s">
        <v>103</v>
      </c>
      <c r="H82" s="103" t="s">
        <v>104</v>
      </c>
      <c r="I82" s="103" t="s">
        <v>83</v>
      </c>
      <c r="J82" s="103" t="s">
        <v>84</v>
      </c>
      <c r="K82" s="103" t="s">
        <v>85</v>
      </c>
      <c r="L82" s="103" t="s">
        <v>105</v>
      </c>
      <c r="M82" s="103" t="s">
        <v>25</v>
      </c>
      <c r="N82" s="103" t="s">
        <v>40</v>
      </c>
      <c r="O82" s="103" t="s">
        <v>106</v>
      </c>
      <c r="P82" s="103" t="s">
        <v>98</v>
      </c>
      <c r="Q82" s="103" t="s">
        <v>108</v>
      </c>
      <c r="R82" s="103" t="s">
        <v>107</v>
      </c>
      <c r="T82" s="86" t="s">
        <v>35</v>
      </c>
      <c r="U82" s="87" t="s">
        <v>0</v>
      </c>
      <c r="V82" s="87" t="s">
        <v>100</v>
      </c>
      <c r="W82" s="87" t="s">
        <v>101</v>
      </c>
      <c r="X82" s="87" t="s">
        <v>102</v>
      </c>
      <c r="Y82" s="87" t="s">
        <v>103</v>
      </c>
      <c r="Z82" s="87" t="s">
        <v>104</v>
      </c>
      <c r="AA82" s="87" t="s">
        <v>83</v>
      </c>
      <c r="AB82" s="87" t="s">
        <v>84</v>
      </c>
      <c r="AC82" s="87" t="s">
        <v>85</v>
      </c>
      <c r="AD82" s="87" t="s">
        <v>105</v>
      </c>
      <c r="AE82" s="87" t="s">
        <v>25</v>
      </c>
      <c r="AF82" s="87" t="s">
        <v>40</v>
      </c>
      <c r="AG82" s="87" t="s">
        <v>106</v>
      </c>
      <c r="AH82" s="87" t="s">
        <v>98</v>
      </c>
      <c r="AI82" s="87" t="s">
        <v>108</v>
      </c>
      <c r="AJ82" s="88" t="s">
        <v>107</v>
      </c>
      <c r="AL82" s="168" t="s">
        <v>35</v>
      </c>
      <c r="AM82" s="168" t="s">
        <v>0</v>
      </c>
      <c r="AN82" s="168" t="s">
        <v>100</v>
      </c>
      <c r="AO82" s="168" t="s">
        <v>101</v>
      </c>
      <c r="AP82" s="168" t="s">
        <v>102</v>
      </c>
      <c r="AQ82" s="168" t="s">
        <v>103</v>
      </c>
      <c r="AR82" s="168" t="s">
        <v>104</v>
      </c>
      <c r="AS82" s="168" t="s">
        <v>83</v>
      </c>
      <c r="AT82" s="168" t="s">
        <v>84</v>
      </c>
      <c r="AU82" s="168" t="s">
        <v>85</v>
      </c>
      <c r="AV82" s="168" t="s">
        <v>105</v>
      </c>
      <c r="AW82" s="168" t="s">
        <v>25</v>
      </c>
      <c r="AX82" s="168" t="s">
        <v>40</v>
      </c>
      <c r="AY82" s="168" t="s">
        <v>106</v>
      </c>
      <c r="AZ82" s="168" t="s">
        <v>98</v>
      </c>
      <c r="BA82" s="168" t="s">
        <v>108</v>
      </c>
      <c r="BB82" s="168" t="s">
        <v>107</v>
      </c>
      <c r="BD82" s="210" t="str" cm="1">
        <f t="array" aca="1" ref="BD82" ca="1">_xll.d.Logic_IsTrue(_xll.d.Formatting_Equal(B82,AL82))</f>
        <v>OK</v>
      </c>
      <c r="BE82" s="210" t="str" cm="1">
        <f t="array" aca="1" ref="BE82" ca="1">_xll.d.Logic_IsTrue(_xll.d.Formatting_Equal(C82,AM82))</f>
        <v>OK</v>
      </c>
      <c r="BF82" s="210" t="str" cm="1">
        <f t="array" aca="1" ref="BF82" ca="1">_xll.d.Logic_IsTrue(_xll.d.Formatting_Equal(D82,AN82))</f>
        <v>OK</v>
      </c>
      <c r="BG82" s="210" t="str" cm="1">
        <f t="array" aca="1" ref="BG82" ca="1">_xll.d.Logic_IsTrue(_xll.d.Formatting_Equal(E82,AO82))</f>
        <v>OK</v>
      </c>
      <c r="BH82" s="210" t="str" cm="1">
        <f t="array" aca="1" ref="BH82" ca="1">_xll.d.Logic_IsTrue(_xll.d.Formatting_Equal(F82,AP82))</f>
        <v>OK</v>
      </c>
      <c r="BI82" s="210" t="str" cm="1">
        <f t="array" aca="1" ref="BI82" ca="1">_xll.d.Logic_IsTrue(_xll.d.Formatting_Equal(G82,AQ82))</f>
        <v>OK</v>
      </c>
      <c r="BJ82" s="210" t="str" cm="1">
        <f t="array" aca="1" ref="BJ82" ca="1">_xll.d.Logic_IsTrue(_xll.d.Formatting_Equal(H82,AR82))</f>
        <v>OK</v>
      </c>
      <c r="BK82" s="210" t="str" cm="1">
        <f t="array" aca="1" ref="BK82" ca="1">_xll.d.Logic_IsTrue(_xll.d.Formatting_Equal(I82,AS82))</f>
        <v>OK</v>
      </c>
      <c r="BL82" s="210" t="str" cm="1">
        <f t="array" aca="1" ref="BL82" ca="1">_xll.d.Logic_IsTrue(_xll.d.Formatting_Equal(J82,AT82))</f>
        <v>OK</v>
      </c>
      <c r="BM82" s="210" t="str" cm="1">
        <f t="array" aca="1" ref="BM82" ca="1">_xll.d.Logic_IsTrue(_xll.d.Formatting_Equal(K82,AU82))</f>
        <v>OK</v>
      </c>
      <c r="BN82" s="210" t="str" cm="1">
        <f t="array" aca="1" ref="BN82" ca="1">_xll.d.Logic_IsTrue(_xll.d.Formatting_Equal(L82,AV82))</f>
        <v>OK</v>
      </c>
      <c r="BO82" s="210" t="str" cm="1">
        <f t="array" aca="1" ref="BO82" ca="1">_xll.d.Logic_IsTrue(_xll.d.Formatting_Equal(M82,AW82))</f>
        <v>OK</v>
      </c>
      <c r="BP82" s="210" t="str" cm="1">
        <f t="array" aca="1" ref="BP82" ca="1">_xll.d.Logic_IsTrue(_xll.d.Formatting_Equal(N82,AX82))</f>
        <v>OK</v>
      </c>
      <c r="BQ82" s="210" t="str" cm="1">
        <f t="array" aca="1" ref="BQ82" ca="1">_xll.d.Logic_IsTrue(_xll.d.Formatting_Equal(O82,AY82))</f>
        <v>OK</v>
      </c>
      <c r="BR82" s="210" t="str" cm="1">
        <f t="array" aca="1" ref="BR82" ca="1">_xll.d.Logic_IsTrue(_xll.d.Formatting_Equal(P82,AZ82))</f>
        <v>OK</v>
      </c>
      <c r="BS82" s="210" t="str" cm="1">
        <f t="array" aca="1" ref="BS82" ca="1">_xll.d.Logic_IsTrue(_xll.d.Formatting_Equal(Q82,BA82))</f>
        <v>OK</v>
      </c>
      <c r="BT82" s="210" t="str" cm="1">
        <f t="array" aca="1" ref="BT82" ca="1">_xll.d.Logic_IsTrue(_xll.d.Formatting_Equal(R82,BB82))</f>
        <v>OK</v>
      </c>
    </row>
    <row r="83" spans="2:72" x14ac:dyDescent="0.25">
      <c r="B83" s="103">
        <v>44562</v>
      </c>
      <c r="C83" s="103">
        <v>44562</v>
      </c>
      <c r="D83" s="103">
        <v>1000</v>
      </c>
      <c r="E83" s="103">
        <v>1000</v>
      </c>
      <c r="F83" s="103">
        <v>1000</v>
      </c>
      <c r="G83" s="103">
        <v>1000</v>
      </c>
      <c r="H83" s="103">
        <v>0.3</v>
      </c>
      <c r="I83" s="103">
        <v>0.3</v>
      </c>
      <c r="J83" s="103">
        <v>0.3</v>
      </c>
      <c r="K83" s="103">
        <v>0.3</v>
      </c>
      <c r="L83" s="103">
        <v>0.3</v>
      </c>
      <c r="M83" s="103">
        <v>0.3</v>
      </c>
      <c r="N83" s="103">
        <v>0.3</v>
      </c>
      <c r="O83" s="103">
        <v>0.3</v>
      </c>
      <c r="P83" s="103">
        <v>0.3</v>
      </c>
      <c r="Q83" s="103">
        <v>0.3</v>
      </c>
      <c r="R83" s="103">
        <v>0.3</v>
      </c>
      <c r="T83" s="140">
        <v>44562</v>
      </c>
      <c r="U83" s="143">
        <v>44562</v>
      </c>
      <c r="V83" s="122">
        <v>1000</v>
      </c>
      <c r="W83" s="125">
        <v>1000</v>
      </c>
      <c r="X83" s="128">
        <v>1000</v>
      </c>
      <c r="Y83" s="131">
        <v>1000</v>
      </c>
      <c r="Z83" s="134">
        <v>0.3</v>
      </c>
      <c r="AA83" s="134">
        <v>0.3</v>
      </c>
      <c r="AB83" s="134">
        <v>0.3</v>
      </c>
      <c r="AC83" s="134">
        <v>0.3</v>
      </c>
      <c r="AD83" s="134">
        <v>0.3</v>
      </c>
      <c r="AE83" s="134">
        <v>0.3</v>
      </c>
      <c r="AF83" s="134">
        <v>0.3</v>
      </c>
      <c r="AG83" s="134">
        <v>0.3</v>
      </c>
      <c r="AH83" s="134">
        <v>0.3</v>
      </c>
      <c r="AI83" s="134">
        <v>0.3</v>
      </c>
      <c r="AJ83" s="137">
        <v>0.3</v>
      </c>
      <c r="AL83" s="168">
        <v>44562</v>
      </c>
      <c r="AM83" s="168">
        <v>44562</v>
      </c>
      <c r="AN83" s="169">
        <v>1000</v>
      </c>
      <c r="AO83" s="169">
        <v>1000</v>
      </c>
      <c r="AP83" s="169">
        <v>1000</v>
      </c>
      <c r="AQ83" s="169">
        <v>1000</v>
      </c>
      <c r="AR83" s="168">
        <v>0.3</v>
      </c>
      <c r="AS83" s="168">
        <v>0.3</v>
      </c>
      <c r="AT83" s="168">
        <v>0.3</v>
      </c>
      <c r="AU83" s="168">
        <v>0.3</v>
      </c>
      <c r="AV83" s="168">
        <v>0.3</v>
      </c>
      <c r="AW83" s="168">
        <v>0.3</v>
      </c>
      <c r="AX83" s="168">
        <v>0.3</v>
      </c>
      <c r="AY83" s="168">
        <v>0.3</v>
      </c>
      <c r="AZ83" s="168">
        <v>0.3</v>
      </c>
      <c r="BA83" s="168">
        <v>0.3</v>
      </c>
      <c r="BB83" s="168">
        <v>0.3</v>
      </c>
      <c r="BD83" s="210" t="str" cm="1">
        <f t="array" aca="1" ref="BD83" ca="1">_xll.d.Logic_IsTrue(_xll.d.Formatting_Equal(B83,AL83))</f>
        <v>OK</v>
      </c>
      <c r="BE83" s="210" t="str" cm="1">
        <f t="array" aca="1" ref="BE83" ca="1">_xll.d.Logic_IsTrue(_xll.d.Formatting_Equal(C83,AM83))</f>
        <v>OK</v>
      </c>
      <c r="BF83" s="210" t="str" cm="1">
        <f t="array" aca="1" ref="BF83" ca="1">_xll.d.Logic_IsTrue(_xll.d.Formatting_Equal(D83,AN83))</f>
        <v>OK</v>
      </c>
      <c r="BG83" s="210" t="str" cm="1">
        <f t="array" aca="1" ref="BG83" ca="1">_xll.d.Logic_IsTrue(_xll.d.Formatting_Equal(E83,AO83))</f>
        <v>OK</v>
      </c>
      <c r="BH83" s="210" t="str" cm="1">
        <f t="array" aca="1" ref="BH83" ca="1">_xll.d.Logic_IsTrue(_xll.d.Formatting_Equal(F83,AP83))</f>
        <v>OK</v>
      </c>
      <c r="BI83" s="210" t="str" cm="1">
        <f t="array" aca="1" ref="BI83" ca="1">_xll.d.Logic_IsTrue(_xll.d.Formatting_Equal(G83,AQ83))</f>
        <v>OK</v>
      </c>
      <c r="BJ83" s="210" t="str" cm="1">
        <f t="array" aca="1" ref="BJ83" ca="1">_xll.d.Logic_IsTrue(_xll.d.Formatting_Equal(H83,AR83))</f>
        <v>OK</v>
      </c>
      <c r="BK83" s="210" t="str" cm="1">
        <f t="array" aca="1" ref="BK83" ca="1">_xll.d.Logic_IsTrue(_xll.d.Formatting_Equal(I83,AS83))</f>
        <v>OK</v>
      </c>
      <c r="BL83" s="210" t="str" cm="1">
        <f t="array" aca="1" ref="BL83" ca="1">_xll.d.Logic_IsTrue(_xll.d.Formatting_Equal(J83,AT83))</f>
        <v>OK</v>
      </c>
      <c r="BM83" s="210" t="str" cm="1">
        <f t="array" aca="1" ref="BM83" ca="1">_xll.d.Logic_IsTrue(_xll.d.Formatting_Equal(K83,AU83))</f>
        <v>OK</v>
      </c>
      <c r="BN83" s="210" t="str" cm="1">
        <f t="array" aca="1" ref="BN83" ca="1">_xll.d.Logic_IsTrue(_xll.d.Formatting_Equal(L83,AV83))</f>
        <v>OK</v>
      </c>
      <c r="BO83" s="210" t="str" cm="1">
        <f t="array" aca="1" ref="BO83" ca="1">_xll.d.Logic_IsTrue(_xll.d.Formatting_Equal(M83,AW83))</f>
        <v>OK</v>
      </c>
      <c r="BP83" s="210" t="str" cm="1">
        <f t="array" aca="1" ref="BP83" ca="1">_xll.d.Logic_IsTrue(_xll.d.Formatting_Equal(N83,AX83))</f>
        <v>OK</v>
      </c>
      <c r="BQ83" s="210" t="str" cm="1">
        <f t="array" aca="1" ref="BQ83" ca="1">_xll.d.Logic_IsTrue(_xll.d.Formatting_Equal(O83,AY83))</f>
        <v>OK</v>
      </c>
      <c r="BR83" s="210" t="str" cm="1">
        <f t="array" aca="1" ref="BR83" ca="1">_xll.d.Logic_IsTrue(_xll.d.Formatting_Equal(P83,AZ83))</f>
        <v>OK</v>
      </c>
      <c r="BS83" s="210" t="str" cm="1">
        <f t="array" aca="1" ref="BS83" ca="1">_xll.d.Logic_IsTrue(_xll.d.Formatting_Equal(Q83,BA83))</f>
        <v>OK</v>
      </c>
      <c r="BT83" s="210" t="str" cm="1">
        <f t="array" aca="1" ref="BT83" ca="1">_xll.d.Logic_IsTrue(_xll.d.Formatting_Equal(R83,BB83))</f>
        <v>OK</v>
      </c>
    </row>
    <row r="84" spans="2:72" x14ac:dyDescent="0.25">
      <c r="B84" s="103">
        <v>44593</v>
      </c>
      <c r="C84" s="103">
        <v>44593</v>
      </c>
      <c r="D84" s="103">
        <v>2000</v>
      </c>
      <c r="E84" s="103">
        <v>2000</v>
      </c>
      <c r="F84" s="103">
        <v>2000</v>
      </c>
      <c r="G84" s="103">
        <v>2000</v>
      </c>
      <c r="H84" s="103">
        <v>0.4</v>
      </c>
      <c r="I84" s="103">
        <v>0.4</v>
      </c>
      <c r="J84" s="103">
        <v>0.4</v>
      </c>
      <c r="K84" s="103">
        <v>0.4</v>
      </c>
      <c r="L84" s="103">
        <v>0.4</v>
      </c>
      <c r="M84" s="103">
        <v>0.4</v>
      </c>
      <c r="N84" s="103">
        <v>0.4</v>
      </c>
      <c r="O84" s="103">
        <v>0.4</v>
      </c>
      <c r="P84" s="103">
        <v>0.4</v>
      </c>
      <c r="Q84" s="103">
        <v>0.4</v>
      </c>
      <c r="R84" s="103">
        <v>0.4</v>
      </c>
      <c r="T84" s="141">
        <v>44593</v>
      </c>
      <c r="U84" s="144">
        <v>44593</v>
      </c>
      <c r="V84" s="123">
        <v>2000</v>
      </c>
      <c r="W84" s="126">
        <v>2000</v>
      </c>
      <c r="X84" s="129">
        <v>2000</v>
      </c>
      <c r="Y84" s="132">
        <v>2000</v>
      </c>
      <c r="Z84" s="135">
        <v>0.4</v>
      </c>
      <c r="AA84" s="135">
        <v>0.4</v>
      </c>
      <c r="AB84" s="135">
        <v>0.4</v>
      </c>
      <c r="AC84" s="135">
        <v>0.4</v>
      </c>
      <c r="AD84" s="135">
        <v>0.4</v>
      </c>
      <c r="AE84" s="135">
        <v>0.4</v>
      </c>
      <c r="AF84" s="135">
        <v>0.4</v>
      </c>
      <c r="AG84" s="135">
        <v>0.4</v>
      </c>
      <c r="AH84" s="135">
        <v>0.4</v>
      </c>
      <c r="AI84" s="135">
        <v>0.4</v>
      </c>
      <c r="AJ84" s="138">
        <v>0.4</v>
      </c>
      <c r="AL84" s="168">
        <v>44593</v>
      </c>
      <c r="AM84" s="168">
        <v>44593</v>
      </c>
      <c r="AN84" s="169">
        <v>2000</v>
      </c>
      <c r="AO84" s="169">
        <v>2000</v>
      </c>
      <c r="AP84" s="169">
        <v>2000</v>
      </c>
      <c r="AQ84" s="169">
        <v>2000</v>
      </c>
      <c r="AR84" s="168">
        <v>0.4</v>
      </c>
      <c r="AS84" s="168">
        <v>0.4</v>
      </c>
      <c r="AT84" s="168">
        <v>0.4</v>
      </c>
      <c r="AU84" s="168">
        <v>0.4</v>
      </c>
      <c r="AV84" s="168">
        <v>0.4</v>
      </c>
      <c r="AW84" s="168">
        <v>0.4</v>
      </c>
      <c r="AX84" s="168">
        <v>0.4</v>
      </c>
      <c r="AY84" s="168">
        <v>0.4</v>
      </c>
      <c r="AZ84" s="168">
        <v>0.4</v>
      </c>
      <c r="BA84" s="168">
        <v>0.4</v>
      </c>
      <c r="BB84" s="168">
        <v>0.4</v>
      </c>
      <c r="BD84" s="210" t="str" cm="1">
        <f t="array" aca="1" ref="BD84" ca="1">_xll.d.Logic_IsTrue(_xll.d.Formatting_Equal(B84,AL84))</f>
        <v>OK</v>
      </c>
      <c r="BE84" s="210" t="str" cm="1">
        <f t="array" aca="1" ref="BE84" ca="1">_xll.d.Logic_IsTrue(_xll.d.Formatting_Equal(C84,AM84))</f>
        <v>OK</v>
      </c>
      <c r="BF84" s="210" t="str" cm="1">
        <f t="array" aca="1" ref="BF84" ca="1">_xll.d.Logic_IsTrue(_xll.d.Formatting_Equal(D84,AN84))</f>
        <v>OK</v>
      </c>
      <c r="BG84" s="210" t="str" cm="1">
        <f t="array" aca="1" ref="BG84" ca="1">_xll.d.Logic_IsTrue(_xll.d.Formatting_Equal(E84,AO84))</f>
        <v>OK</v>
      </c>
      <c r="BH84" s="210" t="str" cm="1">
        <f t="array" aca="1" ref="BH84" ca="1">_xll.d.Logic_IsTrue(_xll.d.Formatting_Equal(F84,AP84))</f>
        <v>OK</v>
      </c>
      <c r="BI84" s="210" t="str" cm="1">
        <f t="array" aca="1" ref="BI84" ca="1">_xll.d.Logic_IsTrue(_xll.d.Formatting_Equal(G84,AQ84))</f>
        <v>OK</v>
      </c>
      <c r="BJ84" s="210" t="str" cm="1">
        <f t="array" aca="1" ref="BJ84" ca="1">_xll.d.Logic_IsTrue(_xll.d.Formatting_Equal(H84,AR84))</f>
        <v>OK</v>
      </c>
      <c r="BK84" s="210" t="str" cm="1">
        <f t="array" aca="1" ref="BK84" ca="1">_xll.d.Logic_IsTrue(_xll.d.Formatting_Equal(I84,AS84))</f>
        <v>OK</v>
      </c>
      <c r="BL84" s="210" t="str" cm="1">
        <f t="array" aca="1" ref="BL84" ca="1">_xll.d.Logic_IsTrue(_xll.d.Formatting_Equal(J84,AT84))</f>
        <v>OK</v>
      </c>
      <c r="BM84" s="210" t="str" cm="1">
        <f t="array" aca="1" ref="BM84" ca="1">_xll.d.Logic_IsTrue(_xll.d.Formatting_Equal(K84,AU84))</f>
        <v>OK</v>
      </c>
      <c r="BN84" s="210" t="str" cm="1">
        <f t="array" aca="1" ref="BN84" ca="1">_xll.d.Logic_IsTrue(_xll.d.Formatting_Equal(L84,AV84))</f>
        <v>OK</v>
      </c>
      <c r="BO84" s="210" t="str" cm="1">
        <f t="array" aca="1" ref="BO84" ca="1">_xll.d.Logic_IsTrue(_xll.d.Formatting_Equal(M84,AW84))</f>
        <v>OK</v>
      </c>
      <c r="BP84" s="210" t="str" cm="1">
        <f t="array" aca="1" ref="BP84" ca="1">_xll.d.Logic_IsTrue(_xll.d.Formatting_Equal(N84,AX84))</f>
        <v>OK</v>
      </c>
      <c r="BQ84" s="210" t="str" cm="1">
        <f t="array" aca="1" ref="BQ84" ca="1">_xll.d.Logic_IsTrue(_xll.d.Formatting_Equal(O84,AY84))</f>
        <v>OK</v>
      </c>
      <c r="BR84" s="210" t="str" cm="1">
        <f t="array" aca="1" ref="BR84" ca="1">_xll.d.Logic_IsTrue(_xll.d.Formatting_Equal(P84,AZ84))</f>
        <v>OK</v>
      </c>
      <c r="BS84" s="210" t="str" cm="1">
        <f t="array" aca="1" ref="BS84" ca="1">_xll.d.Logic_IsTrue(_xll.d.Formatting_Equal(Q84,BA84))</f>
        <v>OK</v>
      </c>
      <c r="BT84" s="210" t="str" cm="1">
        <f t="array" aca="1" ref="BT84" ca="1">_xll.d.Logic_IsTrue(_xll.d.Formatting_Equal(R84,BB84))</f>
        <v>OK</v>
      </c>
    </row>
    <row r="85" spans="2:72" x14ac:dyDescent="0.25">
      <c r="B85" s="103">
        <v>44621</v>
      </c>
      <c r="C85" s="103">
        <v>44621</v>
      </c>
      <c r="D85" s="103">
        <v>3000</v>
      </c>
      <c r="E85" s="103">
        <v>3000</v>
      </c>
      <c r="F85" s="103">
        <v>3000</v>
      </c>
      <c r="G85" s="103">
        <v>3000</v>
      </c>
      <c r="H85" s="103">
        <v>0.5</v>
      </c>
      <c r="I85" s="103">
        <v>0.5</v>
      </c>
      <c r="J85" s="103">
        <v>0.5</v>
      </c>
      <c r="K85" s="103">
        <v>0.5</v>
      </c>
      <c r="L85" s="103">
        <v>0.5</v>
      </c>
      <c r="M85" s="103">
        <v>0.5</v>
      </c>
      <c r="N85" s="103">
        <v>0.5</v>
      </c>
      <c r="O85" s="103">
        <v>0.5</v>
      </c>
      <c r="P85" s="103">
        <v>0.5</v>
      </c>
      <c r="Q85" s="103">
        <v>0.5</v>
      </c>
      <c r="R85" s="103">
        <v>0.5</v>
      </c>
      <c r="T85" s="142">
        <v>44621</v>
      </c>
      <c r="U85" s="145">
        <v>44621</v>
      </c>
      <c r="V85" s="124">
        <v>3000</v>
      </c>
      <c r="W85" s="127">
        <v>3000</v>
      </c>
      <c r="X85" s="130">
        <v>3000</v>
      </c>
      <c r="Y85" s="133">
        <v>3000</v>
      </c>
      <c r="Z85" s="136">
        <v>0.5</v>
      </c>
      <c r="AA85" s="136">
        <v>0.5</v>
      </c>
      <c r="AB85" s="136">
        <v>0.5</v>
      </c>
      <c r="AC85" s="136">
        <v>0.5</v>
      </c>
      <c r="AD85" s="136">
        <v>0.5</v>
      </c>
      <c r="AE85" s="136">
        <v>0.5</v>
      </c>
      <c r="AF85" s="136">
        <v>0.5</v>
      </c>
      <c r="AG85" s="136">
        <v>0.5</v>
      </c>
      <c r="AH85" s="136">
        <v>0.5</v>
      </c>
      <c r="AI85" s="136">
        <v>0.5</v>
      </c>
      <c r="AJ85" s="139">
        <v>0.5</v>
      </c>
      <c r="AL85" s="168">
        <v>44621</v>
      </c>
      <c r="AM85" s="168">
        <v>44621</v>
      </c>
      <c r="AN85" s="169">
        <v>3000</v>
      </c>
      <c r="AO85" s="169">
        <v>3000</v>
      </c>
      <c r="AP85" s="169">
        <v>3000</v>
      </c>
      <c r="AQ85" s="169">
        <v>3000</v>
      </c>
      <c r="AR85" s="168">
        <v>0.5</v>
      </c>
      <c r="AS85" s="168">
        <v>0.5</v>
      </c>
      <c r="AT85" s="168">
        <v>0.5</v>
      </c>
      <c r="AU85" s="168">
        <v>0.5</v>
      </c>
      <c r="AV85" s="168">
        <v>0.5</v>
      </c>
      <c r="AW85" s="168">
        <v>0.5</v>
      </c>
      <c r="AX85" s="168">
        <v>0.5</v>
      </c>
      <c r="AY85" s="168">
        <v>0.5</v>
      </c>
      <c r="AZ85" s="168">
        <v>0.5</v>
      </c>
      <c r="BA85" s="168">
        <v>0.5</v>
      </c>
      <c r="BB85" s="168">
        <v>0.5</v>
      </c>
      <c r="BD85" s="210" t="str" cm="1">
        <f t="array" aca="1" ref="BD85" ca="1">_xll.d.Logic_IsTrue(_xll.d.Formatting_Equal(B85,AL85))</f>
        <v>OK</v>
      </c>
      <c r="BE85" s="210" t="str" cm="1">
        <f t="array" aca="1" ref="BE85" ca="1">_xll.d.Logic_IsTrue(_xll.d.Formatting_Equal(C85,AM85))</f>
        <v>OK</v>
      </c>
      <c r="BF85" s="210" t="str" cm="1">
        <f t="array" aca="1" ref="BF85" ca="1">_xll.d.Logic_IsTrue(_xll.d.Formatting_Equal(D85,AN85))</f>
        <v>OK</v>
      </c>
      <c r="BG85" s="210" t="str" cm="1">
        <f t="array" aca="1" ref="BG85" ca="1">_xll.d.Logic_IsTrue(_xll.d.Formatting_Equal(E85,AO85))</f>
        <v>OK</v>
      </c>
      <c r="BH85" s="210" t="str" cm="1">
        <f t="array" aca="1" ref="BH85" ca="1">_xll.d.Logic_IsTrue(_xll.d.Formatting_Equal(F85,AP85))</f>
        <v>OK</v>
      </c>
      <c r="BI85" s="210" t="str" cm="1">
        <f t="array" aca="1" ref="BI85" ca="1">_xll.d.Logic_IsTrue(_xll.d.Formatting_Equal(G85,AQ85))</f>
        <v>OK</v>
      </c>
      <c r="BJ85" s="210" t="str" cm="1">
        <f t="array" aca="1" ref="BJ85" ca="1">_xll.d.Logic_IsTrue(_xll.d.Formatting_Equal(H85,AR85))</f>
        <v>OK</v>
      </c>
      <c r="BK85" s="210" t="str" cm="1">
        <f t="array" aca="1" ref="BK85" ca="1">_xll.d.Logic_IsTrue(_xll.d.Formatting_Equal(I85,AS85))</f>
        <v>OK</v>
      </c>
      <c r="BL85" s="210" t="str" cm="1">
        <f t="array" aca="1" ref="BL85" ca="1">_xll.d.Logic_IsTrue(_xll.d.Formatting_Equal(J85,AT85))</f>
        <v>OK</v>
      </c>
      <c r="BM85" s="210" t="str" cm="1">
        <f t="array" aca="1" ref="BM85" ca="1">_xll.d.Logic_IsTrue(_xll.d.Formatting_Equal(K85,AU85))</f>
        <v>OK</v>
      </c>
      <c r="BN85" s="210" t="str" cm="1">
        <f t="array" aca="1" ref="BN85" ca="1">_xll.d.Logic_IsTrue(_xll.d.Formatting_Equal(L85,AV85))</f>
        <v>OK</v>
      </c>
      <c r="BO85" s="210" t="str" cm="1">
        <f t="array" aca="1" ref="BO85" ca="1">_xll.d.Logic_IsTrue(_xll.d.Formatting_Equal(M85,AW85))</f>
        <v>OK</v>
      </c>
      <c r="BP85" s="210" t="str" cm="1">
        <f t="array" aca="1" ref="BP85" ca="1">_xll.d.Logic_IsTrue(_xll.d.Formatting_Equal(N85,AX85))</f>
        <v>OK</v>
      </c>
      <c r="BQ85" s="210" t="str" cm="1">
        <f t="array" aca="1" ref="BQ85" ca="1">_xll.d.Logic_IsTrue(_xll.d.Formatting_Equal(O85,AY85))</f>
        <v>OK</v>
      </c>
      <c r="BR85" s="210" t="str" cm="1">
        <f t="array" aca="1" ref="BR85" ca="1">_xll.d.Logic_IsTrue(_xll.d.Formatting_Equal(P85,AZ85))</f>
        <v>OK</v>
      </c>
      <c r="BS85" s="210" t="str" cm="1">
        <f t="array" aca="1" ref="BS85" ca="1">_xll.d.Logic_IsTrue(_xll.d.Formatting_Equal(Q85,BA85))</f>
        <v>OK</v>
      </c>
      <c r="BT85" s="210" t="str" cm="1">
        <f t="array" aca="1" ref="BT85" ca="1">_xll.d.Logic_IsTrue(_xll.d.Formatting_Equal(R85,BB85))</f>
        <v>OK</v>
      </c>
    </row>
    <row r="86" spans="2:72" x14ac:dyDescent="0.25">
      <c r="B86" s="68"/>
      <c r="C86" s="68"/>
    </row>
    <row r="87" spans="2:72" x14ac:dyDescent="0.25">
      <c r="B87" s="68"/>
      <c r="C87" s="68"/>
    </row>
    <row r="88" spans="2:72" ht="18.75" x14ac:dyDescent="0.3">
      <c r="B88" s="3" t="s">
        <v>126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</row>
    <row r="90" spans="2:72" x14ac:dyDescent="0.25">
      <c r="B90" s="60" t="s">
        <v>145</v>
      </c>
      <c r="C90" s="210" t="str" cm="1">
        <f t="array" aca="1" ref="C90" ca="1">_xll.d.Logic_And(T105:X121)</f>
        <v>OK</v>
      </c>
    </row>
    <row r="92" spans="2:72" x14ac:dyDescent="0.25">
      <c r="B92" s="60" t="s">
        <v>120</v>
      </c>
      <c r="C92" s="60" t="s">
        <v>33</v>
      </c>
    </row>
    <row r="93" spans="2:72" x14ac:dyDescent="0.25">
      <c r="B93" s="110" t="s">
        <v>115</v>
      </c>
      <c r="C93" s="111" t="s">
        <v>140</v>
      </c>
    </row>
    <row r="94" spans="2:72" x14ac:dyDescent="0.25">
      <c r="B94" s="104" t="s">
        <v>116</v>
      </c>
      <c r="C94" s="105" t="s">
        <v>0</v>
      </c>
    </row>
    <row r="95" spans="2:72" x14ac:dyDescent="0.25">
      <c r="B95" s="106"/>
      <c r="C95" s="107" t="s">
        <v>117</v>
      </c>
    </row>
    <row r="96" spans="2:72" x14ac:dyDescent="0.25">
      <c r="B96" s="108"/>
      <c r="C96" s="109" t="s">
        <v>118</v>
      </c>
    </row>
    <row r="97" spans="2:24" x14ac:dyDescent="0.25">
      <c r="B97" s="179" t="s">
        <v>139</v>
      </c>
      <c r="C97" s="185">
        <v>0</v>
      </c>
    </row>
    <row r="98" spans="2:24" x14ac:dyDescent="0.25">
      <c r="B98" s="179" t="s">
        <v>140</v>
      </c>
      <c r="C98" s="185">
        <v>2</v>
      </c>
    </row>
    <row r="99" spans="2:24" x14ac:dyDescent="0.25">
      <c r="B99" s="162" t="s">
        <v>127</v>
      </c>
      <c r="C99" s="161"/>
    </row>
    <row r="101" spans="2:24" x14ac:dyDescent="0.25">
      <c r="B101" t="s">
        <v>97</v>
      </c>
    </row>
    <row r="103" spans="2:24" x14ac:dyDescent="0.25">
      <c r="B103" s="82" t="s">
        <v>94</v>
      </c>
      <c r="H103" s="82" t="s">
        <v>113</v>
      </c>
      <c r="N103" s="82" t="s">
        <v>114</v>
      </c>
      <c r="T103" s="82" t="s">
        <v>148</v>
      </c>
    </row>
    <row r="105" spans="2:24" ht="15" customHeight="1" x14ac:dyDescent="0.25">
      <c r="B105" s="268" t="s">
        <v>99</v>
      </c>
      <c r="C105" s="212" t="s">
        <v>35</v>
      </c>
      <c r="D105" s="204">
        <v>44562</v>
      </c>
      <c r="E105" s="207">
        <v>44593</v>
      </c>
      <c r="F105" s="225">
        <v>44621</v>
      </c>
      <c r="H105" s="112" t="s">
        <v>99</v>
      </c>
      <c r="I105" s="112" t="s">
        <v>35</v>
      </c>
      <c r="J105" s="148">
        <v>44562</v>
      </c>
      <c r="K105" s="148">
        <v>44593</v>
      </c>
      <c r="L105" s="148">
        <v>44621</v>
      </c>
      <c r="N105" s="268" t="s">
        <v>99</v>
      </c>
      <c r="O105" s="212" t="s">
        <v>35</v>
      </c>
      <c r="P105" s="204">
        <v>44562</v>
      </c>
      <c r="Q105" s="207">
        <v>44593</v>
      </c>
      <c r="R105" s="225">
        <v>44621</v>
      </c>
      <c r="T105" s="210" t="str" cm="1">
        <f t="array" aca="1" ref="T105" ca="1">_xll.d.Logic_IsTrue(_xll.d.Formatting_Equal(B105,N105))</f>
        <v>OK</v>
      </c>
      <c r="U105" s="210" t="str" cm="1">
        <f t="array" aca="1" ref="U105" ca="1">_xll.d.Logic_IsTrue(_xll.d.Formatting_Equal(C105,O105))</f>
        <v>OK</v>
      </c>
      <c r="V105" s="210" t="str" cm="1">
        <f t="array" aca="1" ref="V105" ca="1">_xll.d.Logic_IsTrue(_xll.d.Formatting_Equal(D105,P105))</f>
        <v>OK</v>
      </c>
      <c r="W105" s="210" t="str" cm="1">
        <f t="array" aca="1" ref="W105" ca="1">_xll.d.Logic_IsTrue(_xll.d.Formatting_Equal(E105,Q105))</f>
        <v>OK</v>
      </c>
      <c r="X105" s="210" t="str" cm="1">
        <f t="array" aca="1" ref="X105" ca="1">_xll.d.Logic_IsTrue(_xll.d.Formatting_Equal(F105,R105))</f>
        <v>OK</v>
      </c>
    </row>
    <row r="106" spans="2:24" x14ac:dyDescent="0.25">
      <c r="B106" s="269"/>
      <c r="C106" s="213" t="s">
        <v>0</v>
      </c>
      <c r="D106" s="205">
        <v>44562</v>
      </c>
      <c r="E106" s="208">
        <v>44593</v>
      </c>
      <c r="F106" s="226">
        <v>44621</v>
      </c>
      <c r="H106" s="112"/>
      <c r="I106" s="112" t="s">
        <v>0</v>
      </c>
      <c r="J106" s="148">
        <v>44562</v>
      </c>
      <c r="K106" s="148">
        <v>44593</v>
      </c>
      <c r="L106" s="148">
        <v>44621</v>
      </c>
      <c r="N106" s="269"/>
      <c r="O106" s="213" t="s">
        <v>0</v>
      </c>
      <c r="P106" s="205">
        <v>44562</v>
      </c>
      <c r="Q106" s="208">
        <v>44593</v>
      </c>
      <c r="R106" s="226">
        <v>44621</v>
      </c>
      <c r="T106" s="210" t="str" cm="1">
        <f t="array" aca="1" ref="T106" ca="1">_xll.d.Logic_IsTrue(_xll.d.Formatting_Equal(B106,N106))</f>
        <v>OK</v>
      </c>
      <c r="U106" s="210" t="str" cm="1">
        <f t="array" aca="1" ref="U106" ca="1">_xll.d.Logic_IsTrue(_xll.d.Formatting_Equal(C106,O106))</f>
        <v>OK</v>
      </c>
      <c r="V106" s="210" t="str" cm="1">
        <f t="array" aca="1" ref="V106" ca="1">_xll.d.Logic_IsTrue(_xll.d.Formatting_Equal(D106,P106))</f>
        <v>OK</v>
      </c>
      <c r="W106" s="210" t="str" cm="1">
        <f t="array" aca="1" ref="W106" ca="1">_xll.d.Logic_IsTrue(_xll.d.Formatting_Equal(E106,Q106))</f>
        <v>OK</v>
      </c>
      <c r="X106" s="210" t="str" cm="1">
        <f t="array" aca="1" ref="X106" ca="1">_xll.d.Logic_IsTrue(_xll.d.Formatting_Equal(F106,R106))</f>
        <v>OK</v>
      </c>
    </row>
    <row r="107" spans="2:24" x14ac:dyDescent="0.25">
      <c r="B107" s="269"/>
      <c r="C107" s="213" t="s">
        <v>100</v>
      </c>
      <c r="D107" s="215">
        <v>1000</v>
      </c>
      <c r="E107" s="187">
        <v>2000</v>
      </c>
      <c r="F107" s="216">
        <v>3000</v>
      </c>
      <c r="H107" s="112"/>
      <c r="I107" s="112" t="s">
        <v>100</v>
      </c>
      <c r="J107" s="148">
        <v>1000</v>
      </c>
      <c r="K107" s="148">
        <v>2000</v>
      </c>
      <c r="L107" s="148">
        <v>3000</v>
      </c>
      <c r="N107" s="269"/>
      <c r="O107" s="213" t="s">
        <v>100</v>
      </c>
      <c r="P107" s="215">
        <v>1000</v>
      </c>
      <c r="Q107" s="187">
        <v>2000</v>
      </c>
      <c r="R107" s="216">
        <v>3000</v>
      </c>
      <c r="T107" s="210" t="str" cm="1">
        <f t="array" aca="1" ref="T107" ca="1">_xll.d.Logic_IsTrue(_xll.d.Formatting_Equal(B107,N107))</f>
        <v>OK</v>
      </c>
      <c r="U107" s="210" t="str" cm="1">
        <f t="array" aca="1" ref="U107" ca="1">_xll.d.Logic_IsTrue(_xll.d.Formatting_Equal(C107,O107))</f>
        <v>OK</v>
      </c>
      <c r="V107" s="210" t="str" cm="1">
        <f t="array" aca="1" ref="V107" ca="1">_xll.d.Logic_IsTrue(_xll.d.Formatting_Equal(D107,P107))</f>
        <v>OK</v>
      </c>
      <c r="W107" s="210" t="str" cm="1">
        <f t="array" aca="1" ref="W107" ca="1">_xll.d.Logic_IsTrue(_xll.d.Formatting_Equal(E107,Q107))</f>
        <v>OK</v>
      </c>
      <c r="X107" s="210" t="str" cm="1">
        <f t="array" aca="1" ref="X107" ca="1">_xll.d.Logic_IsTrue(_xll.d.Formatting_Equal(F107,R107))</f>
        <v>OK</v>
      </c>
    </row>
    <row r="108" spans="2:24" x14ac:dyDescent="0.25">
      <c r="B108" s="269"/>
      <c r="C108" s="213" t="s">
        <v>101</v>
      </c>
      <c r="D108" s="217">
        <v>1000</v>
      </c>
      <c r="E108" s="190">
        <v>2000</v>
      </c>
      <c r="F108" s="218">
        <v>3000</v>
      </c>
      <c r="H108" s="112"/>
      <c r="I108" s="112" t="s">
        <v>101</v>
      </c>
      <c r="J108" s="148">
        <v>1000</v>
      </c>
      <c r="K108" s="148">
        <v>2000</v>
      </c>
      <c r="L108" s="148">
        <v>3000</v>
      </c>
      <c r="N108" s="269"/>
      <c r="O108" s="213" t="s">
        <v>101</v>
      </c>
      <c r="P108" s="217">
        <v>1000</v>
      </c>
      <c r="Q108" s="190">
        <v>2000</v>
      </c>
      <c r="R108" s="218">
        <v>3000</v>
      </c>
      <c r="T108" s="210" t="str" cm="1">
        <f t="array" aca="1" ref="T108" ca="1">_xll.d.Logic_IsTrue(_xll.d.Formatting_Equal(B108,N108))</f>
        <v>OK</v>
      </c>
      <c r="U108" s="210" t="str" cm="1">
        <f t="array" aca="1" ref="U108" ca="1">_xll.d.Logic_IsTrue(_xll.d.Formatting_Equal(C108,O108))</f>
        <v>OK</v>
      </c>
      <c r="V108" s="210" t="str" cm="1">
        <f t="array" aca="1" ref="V108" ca="1">_xll.d.Logic_IsTrue(_xll.d.Formatting_Equal(D108,P108))</f>
        <v>OK</v>
      </c>
      <c r="W108" s="210" t="str" cm="1">
        <f t="array" aca="1" ref="W108" ca="1">_xll.d.Logic_IsTrue(_xll.d.Formatting_Equal(E108,Q108))</f>
        <v>OK</v>
      </c>
      <c r="X108" s="210" t="str" cm="1">
        <f t="array" aca="1" ref="X108" ca="1">_xll.d.Logic_IsTrue(_xll.d.Formatting_Equal(F108,R108))</f>
        <v>OK</v>
      </c>
    </row>
    <row r="109" spans="2:24" x14ac:dyDescent="0.25">
      <c r="B109" s="269"/>
      <c r="C109" s="213" t="s">
        <v>102</v>
      </c>
      <c r="D109" s="219">
        <v>1000</v>
      </c>
      <c r="E109" s="193">
        <v>2000</v>
      </c>
      <c r="F109" s="220">
        <v>3000</v>
      </c>
      <c r="H109" s="112"/>
      <c r="I109" s="112" t="s">
        <v>102</v>
      </c>
      <c r="J109" s="148">
        <v>1000</v>
      </c>
      <c r="K109" s="148">
        <v>2000</v>
      </c>
      <c r="L109" s="148">
        <v>3000</v>
      </c>
      <c r="N109" s="269"/>
      <c r="O109" s="213" t="s">
        <v>102</v>
      </c>
      <c r="P109" s="219">
        <v>1000</v>
      </c>
      <c r="Q109" s="193">
        <v>2000</v>
      </c>
      <c r="R109" s="220">
        <v>3000</v>
      </c>
      <c r="T109" s="210" t="str" cm="1">
        <f t="array" aca="1" ref="T109" ca="1">_xll.d.Logic_IsTrue(_xll.d.Formatting_Equal(B109,N109))</f>
        <v>OK</v>
      </c>
      <c r="U109" s="210" t="str" cm="1">
        <f t="array" aca="1" ref="U109" ca="1">_xll.d.Logic_IsTrue(_xll.d.Formatting_Equal(C109,O109))</f>
        <v>OK</v>
      </c>
      <c r="V109" s="210" t="str" cm="1">
        <f t="array" aca="1" ref="V109" ca="1">_xll.d.Logic_IsTrue(_xll.d.Formatting_Equal(D109,P109))</f>
        <v>OK</v>
      </c>
      <c r="W109" s="210" t="str" cm="1">
        <f t="array" aca="1" ref="W109" ca="1">_xll.d.Logic_IsTrue(_xll.d.Formatting_Equal(E109,Q109))</f>
        <v>OK</v>
      </c>
      <c r="X109" s="210" t="str" cm="1">
        <f t="array" aca="1" ref="X109" ca="1">_xll.d.Logic_IsTrue(_xll.d.Formatting_Equal(F109,R109))</f>
        <v>OK</v>
      </c>
    </row>
    <row r="110" spans="2:24" x14ac:dyDescent="0.25">
      <c r="B110" s="269"/>
      <c r="C110" s="213" t="s">
        <v>103</v>
      </c>
      <c r="D110" s="221">
        <v>1000</v>
      </c>
      <c r="E110" s="196">
        <v>2000</v>
      </c>
      <c r="F110" s="222">
        <v>3000</v>
      </c>
      <c r="H110" s="112"/>
      <c r="I110" s="112" t="s">
        <v>103</v>
      </c>
      <c r="J110" s="148">
        <v>1000</v>
      </c>
      <c r="K110" s="148">
        <v>2000</v>
      </c>
      <c r="L110" s="148">
        <v>3000</v>
      </c>
      <c r="N110" s="269"/>
      <c r="O110" s="213" t="s">
        <v>103</v>
      </c>
      <c r="P110" s="221">
        <v>1000</v>
      </c>
      <c r="Q110" s="196">
        <v>2000</v>
      </c>
      <c r="R110" s="222">
        <v>3000</v>
      </c>
      <c r="T110" s="210" t="str" cm="1">
        <f t="array" aca="1" ref="T110" ca="1">_xll.d.Logic_IsTrue(_xll.d.Formatting_Equal(B110,N110))</f>
        <v>OK</v>
      </c>
      <c r="U110" s="210" t="str" cm="1">
        <f t="array" aca="1" ref="U110" ca="1">_xll.d.Logic_IsTrue(_xll.d.Formatting_Equal(C110,O110))</f>
        <v>OK</v>
      </c>
      <c r="V110" s="210" t="str" cm="1">
        <f t="array" aca="1" ref="V110" ca="1">_xll.d.Logic_IsTrue(_xll.d.Formatting_Equal(D110,P110))</f>
        <v>OK</v>
      </c>
      <c r="W110" s="210" t="str" cm="1">
        <f t="array" aca="1" ref="W110" ca="1">_xll.d.Logic_IsTrue(_xll.d.Formatting_Equal(E110,Q110))</f>
        <v>OK</v>
      </c>
      <c r="X110" s="210" t="str" cm="1">
        <f t="array" aca="1" ref="X110" ca="1">_xll.d.Logic_IsTrue(_xll.d.Formatting_Equal(F110,R110))</f>
        <v>OK</v>
      </c>
    </row>
    <row r="111" spans="2:24" x14ac:dyDescent="0.25">
      <c r="B111" s="269"/>
      <c r="C111" s="213" t="s">
        <v>104</v>
      </c>
      <c r="D111" s="223">
        <v>0.3</v>
      </c>
      <c r="E111" s="199">
        <v>0.4</v>
      </c>
      <c r="F111" s="202">
        <v>0.5</v>
      </c>
      <c r="H111" s="112"/>
      <c r="I111" s="112" t="s">
        <v>104</v>
      </c>
      <c r="J111" s="147">
        <v>0.3</v>
      </c>
      <c r="K111" s="147">
        <v>0.4</v>
      </c>
      <c r="L111" s="147">
        <v>0.5</v>
      </c>
      <c r="N111" s="269"/>
      <c r="O111" s="213" t="s">
        <v>104</v>
      </c>
      <c r="P111" s="223">
        <v>0.3</v>
      </c>
      <c r="Q111" s="199">
        <v>0.4</v>
      </c>
      <c r="R111" s="202">
        <v>0.5</v>
      </c>
      <c r="T111" s="210" t="str" cm="1">
        <f t="array" aca="1" ref="T111" ca="1">_xll.d.Logic_IsTrue(_xll.d.Formatting_Equal(B111,N111))</f>
        <v>OK</v>
      </c>
      <c r="U111" s="210" t="str" cm="1">
        <f t="array" aca="1" ref="U111" ca="1">_xll.d.Logic_IsTrue(_xll.d.Formatting_Equal(C111,O111))</f>
        <v>OK</v>
      </c>
      <c r="V111" s="210" t="str" cm="1">
        <f t="array" aca="1" ref="V111" ca="1">_xll.d.Logic_IsTrue(_xll.d.Formatting_Equal(D111,P111))</f>
        <v>OK</v>
      </c>
      <c r="W111" s="210" t="str" cm="1">
        <f t="array" aca="1" ref="W111" ca="1">_xll.d.Logic_IsTrue(_xll.d.Formatting_Equal(E111,Q111))</f>
        <v>OK</v>
      </c>
      <c r="X111" s="210" t="str" cm="1">
        <f t="array" aca="1" ref="X111" ca="1">_xll.d.Logic_IsTrue(_xll.d.Formatting_Equal(F111,R111))</f>
        <v>OK</v>
      </c>
    </row>
    <row r="112" spans="2:24" x14ac:dyDescent="0.25">
      <c r="B112" s="269"/>
      <c r="C112" s="213" t="s">
        <v>83</v>
      </c>
      <c r="D112" s="223">
        <v>0.3</v>
      </c>
      <c r="E112" s="199">
        <v>0.4</v>
      </c>
      <c r="F112" s="202">
        <v>0.5</v>
      </c>
      <c r="H112" s="112"/>
      <c r="I112" s="112" t="s">
        <v>83</v>
      </c>
      <c r="J112" s="147">
        <v>0.3</v>
      </c>
      <c r="K112" s="147">
        <v>0.4</v>
      </c>
      <c r="L112" s="147">
        <v>0.5</v>
      </c>
      <c r="N112" s="269"/>
      <c r="O112" s="213" t="s">
        <v>83</v>
      </c>
      <c r="P112" s="223">
        <v>0.3</v>
      </c>
      <c r="Q112" s="199">
        <v>0.4</v>
      </c>
      <c r="R112" s="202">
        <v>0.5</v>
      </c>
      <c r="T112" s="210" t="str" cm="1">
        <f t="array" aca="1" ref="T112" ca="1">_xll.d.Logic_IsTrue(_xll.d.Formatting_Equal(B112,N112))</f>
        <v>OK</v>
      </c>
      <c r="U112" s="210" t="str" cm="1">
        <f t="array" aca="1" ref="U112" ca="1">_xll.d.Logic_IsTrue(_xll.d.Formatting_Equal(C112,O112))</f>
        <v>OK</v>
      </c>
      <c r="V112" s="210" t="str" cm="1">
        <f t="array" aca="1" ref="V112" ca="1">_xll.d.Logic_IsTrue(_xll.d.Formatting_Equal(D112,P112))</f>
        <v>OK</v>
      </c>
      <c r="W112" s="210" t="str" cm="1">
        <f t="array" aca="1" ref="W112" ca="1">_xll.d.Logic_IsTrue(_xll.d.Formatting_Equal(E112,Q112))</f>
        <v>OK</v>
      </c>
      <c r="X112" s="210" t="str" cm="1">
        <f t="array" aca="1" ref="X112" ca="1">_xll.d.Logic_IsTrue(_xll.d.Formatting_Equal(F112,R112))</f>
        <v>OK</v>
      </c>
    </row>
    <row r="113" spans="2:55" x14ac:dyDescent="0.25">
      <c r="B113" s="269"/>
      <c r="C113" s="213" t="s">
        <v>84</v>
      </c>
      <c r="D113" s="223">
        <v>0.3</v>
      </c>
      <c r="E113" s="199">
        <v>0.4</v>
      </c>
      <c r="F113" s="202">
        <v>0.5</v>
      </c>
      <c r="H113" s="112"/>
      <c r="I113" s="112" t="s">
        <v>84</v>
      </c>
      <c r="J113" s="147">
        <v>0.3</v>
      </c>
      <c r="K113" s="147">
        <v>0.4</v>
      </c>
      <c r="L113" s="147">
        <v>0.5</v>
      </c>
      <c r="N113" s="269"/>
      <c r="O113" s="213" t="s">
        <v>84</v>
      </c>
      <c r="P113" s="223">
        <v>0.3</v>
      </c>
      <c r="Q113" s="199">
        <v>0.4</v>
      </c>
      <c r="R113" s="202">
        <v>0.5</v>
      </c>
      <c r="T113" s="210" t="str" cm="1">
        <f t="array" aca="1" ref="T113" ca="1">_xll.d.Logic_IsTrue(_xll.d.Formatting_Equal(B113,N113))</f>
        <v>OK</v>
      </c>
      <c r="U113" s="210" t="str" cm="1">
        <f t="array" aca="1" ref="U113" ca="1">_xll.d.Logic_IsTrue(_xll.d.Formatting_Equal(C113,O113))</f>
        <v>OK</v>
      </c>
      <c r="V113" s="210" t="str" cm="1">
        <f t="array" aca="1" ref="V113" ca="1">_xll.d.Logic_IsTrue(_xll.d.Formatting_Equal(D113,P113))</f>
        <v>OK</v>
      </c>
      <c r="W113" s="210" t="str" cm="1">
        <f t="array" aca="1" ref="W113" ca="1">_xll.d.Logic_IsTrue(_xll.d.Formatting_Equal(E113,Q113))</f>
        <v>OK</v>
      </c>
      <c r="X113" s="210" t="str" cm="1">
        <f t="array" aca="1" ref="X113" ca="1">_xll.d.Logic_IsTrue(_xll.d.Formatting_Equal(F113,R113))</f>
        <v>OK</v>
      </c>
    </row>
    <row r="114" spans="2:55" x14ac:dyDescent="0.25">
      <c r="B114" s="269"/>
      <c r="C114" s="213" t="s">
        <v>85</v>
      </c>
      <c r="D114" s="223">
        <v>0.3</v>
      </c>
      <c r="E114" s="199">
        <v>0.4</v>
      </c>
      <c r="F114" s="202">
        <v>0.5</v>
      </c>
      <c r="H114" s="112"/>
      <c r="I114" s="112" t="s">
        <v>85</v>
      </c>
      <c r="J114" s="147">
        <v>0.3</v>
      </c>
      <c r="K114" s="147">
        <v>0.4</v>
      </c>
      <c r="L114" s="147">
        <v>0.5</v>
      </c>
      <c r="N114" s="269"/>
      <c r="O114" s="213" t="s">
        <v>85</v>
      </c>
      <c r="P114" s="223">
        <v>0.3</v>
      </c>
      <c r="Q114" s="199">
        <v>0.4</v>
      </c>
      <c r="R114" s="202">
        <v>0.5</v>
      </c>
      <c r="T114" s="210" t="str" cm="1">
        <f t="array" aca="1" ref="T114" ca="1">_xll.d.Logic_IsTrue(_xll.d.Formatting_Equal(B114,N114))</f>
        <v>OK</v>
      </c>
      <c r="U114" s="210" t="str" cm="1">
        <f t="array" aca="1" ref="U114" ca="1">_xll.d.Logic_IsTrue(_xll.d.Formatting_Equal(C114,O114))</f>
        <v>OK</v>
      </c>
      <c r="V114" s="210" t="str" cm="1">
        <f t="array" aca="1" ref="V114" ca="1">_xll.d.Logic_IsTrue(_xll.d.Formatting_Equal(D114,P114))</f>
        <v>OK</v>
      </c>
      <c r="W114" s="210" t="str" cm="1">
        <f t="array" aca="1" ref="W114" ca="1">_xll.d.Logic_IsTrue(_xll.d.Formatting_Equal(E114,Q114))</f>
        <v>OK</v>
      </c>
      <c r="X114" s="210" t="str" cm="1">
        <f t="array" aca="1" ref="X114" ca="1">_xll.d.Logic_IsTrue(_xll.d.Formatting_Equal(F114,R114))</f>
        <v>OK</v>
      </c>
    </row>
    <row r="115" spans="2:55" x14ac:dyDescent="0.25">
      <c r="B115" s="269"/>
      <c r="C115" s="213" t="s">
        <v>105</v>
      </c>
      <c r="D115" s="223">
        <v>0.3</v>
      </c>
      <c r="E115" s="199">
        <v>0.4</v>
      </c>
      <c r="F115" s="202">
        <v>0.5</v>
      </c>
      <c r="H115" s="112"/>
      <c r="I115" s="112" t="s">
        <v>105</v>
      </c>
      <c r="J115" s="147">
        <v>0.3</v>
      </c>
      <c r="K115" s="147">
        <v>0.4</v>
      </c>
      <c r="L115" s="147">
        <v>0.5</v>
      </c>
      <c r="N115" s="269"/>
      <c r="O115" s="213" t="s">
        <v>105</v>
      </c>
      <c r="P115" s="223">
        <v>0.3</v>
      </c>
      <c r="Q115" s="199">
        <v>0.4</v>
      </c>
      <c r="R115" s="202">
        <v>0.5</v>
      </c>
      <c r="T115" s="210" t="str" cm="1">
        <f t="array" aca="1" ref="T115" ca="1">_xll.d.Logic_IsTrue(_xll.d.Formatting_Equal(B115,N115))</f>
        <v>OK</v>
      </c>
      <c r="U115" s="210" t="str" cm="1">
        <f t="array" aca="1" ref="U115" ca="1">_xll.d.Logic_IsTrue(_xll.d.Formatting_Equal(C115,O115))</f>
        <v>OK</v>
      </c>
      <c r="V115" s="210" t="str" cm="1">
        <f t="array" aca="1" ref="V115" ca="1">_xll.d.Logic_IsTrue(_xll.d.Formatting_Equal(D115,P115))</f>
        <v>OK</v>
      </c>
      <c r="W115" s="210" t="str" cm="1">
        <f t="array" aca="1" ref="W115" ca="1">_xll.d.Logic_IsTrue(_xll.d.Formatting_Equal(E115,Q115))</f>
        <v>OK</v>
      </c>
      <c r="X115" s="210" t="str" cm="1">
        <f t="array" aca="1" ref="X115" ca="1">_xll.d.Logic_IsTrue(_xll.d.Formatting_Equal(F115,R115))</f>
        <v>OK</v>
      </c>
    </row>
    <row r="116" spans="2:55" x14ac:dyDescent="0.25">
      <c r="B116" s="269"/>
      <c r="C116" s="213" t="s">
        <v>25</v>
      </c>
      <c r="D116" s="223">
        <v>0.3</v>
      </c>
      <c r="E116" s="199">
        <v>0.4</v>
      </c>
      <c r="F116" s="202">
        <v>0.5</v>
      </c>
      <c r="H116" s="112"/>
      <c r="I116" s="112" t="s">
        <v>25</v>
      </c>
      <c r="J116" s="147">
        <v>0.3</v>
      </c>
      <c r="K116" s="147">
        <v>0.4</v>
      </c>
      <c r="L116" s="147">
        <v>0.5</v>
      </c>
      <c r="N116" s="269"/>
      <c r="O116" s="213" t="s">
        <v>25</v>
      </c>
      <c r="P116" s="223">
        <v>0.3</v>
      </c>
      <c r="Q116" s="199">
        <v>0.4</v>
      </c>
      <c r="R116" s="202">
        <v>0.5</v>
      </c>
      <c r="T116" s="210" t="str" cm="1">
        <f t="array" aca="1" ref="T116" ca="1">_xll.d.Logic_IsTrue(_xll.d.Formatting_Equal(B116,N116))</f>
        <v>OK</v>
      </c>
      <c r="U116" s="210" t="str" cm="1">
        <f t="array" aca="1" ref="U116" ca="1">_xll.d.Logic_IsTrue(_xll.d.Formatting_Equal(C116,O116))</f>
        <v>OK</v>
      </c>
      <c r="V116" s="210" t="str" cm="1">
        <f t="array" aca="1" ref="V116" ca="1">_xll.d.Logic_IsTrue(_xll.d.Formatting_Equal(D116,P116))</f>
        <v>OK</v>
      </c>
      <c r="W116" s="210" t="str" cm="1">
        <f t="array" aca="1" ref="W116" ca="1">_xll.d.Logic_IsTrue(_xll.d.Formatting_Equal(E116,Q116))</f>
        <v>OK</v>
      </c>
      <c r="X116" s="210" t="str" cm="1">
        <f t="array" aca="1" ref="X116" ca="1">_xll.d.Logic_IsTrue(_xll.d.Formatting_Equal(F116,R116))</f>
        <v>OK</v>
      </c>
    </row>
    <row r="117" spans="2:55" x14ac:dyDescent="0.25">
      <c r="B117" s="269"/>
      <c r="C117" s="213" t="s">
        <v>40</v>
      </c>
      <c r="D117" s="223">
        <v>0.3</v>
      </c>
      <c r="E117" s="199">
        <v>0.4</v>
      </c>
      <c r="F117" s="202">
        <v>0.5</v>
      </c>
      <c r="H117" s="112"/>
      <c r="I117" s="112" t="s">
        <v>40</v>
      </c>
      <c r="J117" s="147">
        <v>0.3</v>
      </c>
      <c r="K117" s="147">
        <v>0.4</v>
      </c>
      <c r="L117" s="147">
        <v>0.5</v>
      </c>
      <c r="N117" s="269"/>
      <c r="O117" s="213" t="s">
        <v>40</v>
      </c>
      <c r="P117" s="223">
        <v>0.3</v>
      </c>
      <c r="Q117" s="199">
        <v>0.4</v>
      </c>
      <c r="R117" s="202">
        <v>0.5</v>
      </c>
      <c r="T117" s="210" t="str" cm="1">
        <f t="array" aca="1" ref="T117" ca="1">_xll.d.Logic_IsTrue(_xll.d.Formatting_Equal(B117,N117))</f>
        <v>OK</v>
      </c>
      <c r="U117" s="210" t="str" cm="1">
        <f t="array" aca="1" ref="U117" ca="1">_xll.d.Logic_IsTrue(_xll.d.Formatting_Equal(C117,O117))</f>
        <v>OK</v>
      </c>
      <c r="V117" s="210" t="str" cm="1">
        <f t="array" aca="1" ref="V117" ca="1">_xll.d.Logic_IsTrue(_xll.d.Formatting_Equal(D117,P117))</f>
        <v>OK</v>
      </c>
      <c r="W117" s="210" t="str" cm="1">
        <f t="array" aca="1" ref="W117" ca="1">_xll.d.Logic_IsTrue(_xll.d.Formatting_Equal(E117,Q117))</f>
        <v>OK</v>
      </c>
      <c r="X117" s="210" t="str" cm="1">
        <f t="array" aca="1" ref="X117" ca="1">_xll.d.Logic_IsTrue(_xll.d.Formatting_Equal(F117,R117))</f>
        <v>OK</v>
      </c>
    </row>
    <row r="118" spans="2:55" x14ac:dyDescent="0.25">
      <c r="B118" s="269"/>
      <c r="C118" s="213" t="s">
        <v>106</v>
      </c>
      <c r="D118" s="223">
        <v>0.3</v>
      </c>
      <c r="E118" s="199">
        <v>0.4</v>
      </c>
      <c r="F118" s="202">
        <v>0.5</v>
      </c>
      <c r="H118" s="112"/>
      <c r="I118" s="112" t="s">
        <v>106</v>
      </c>
      <c r="J118" s="147">
        <v>0.3</v>
      </c>
      <c r="K118" s="147">
        <v>0.4</v>
      </c>
      <c r="L118" s="147">
        <v>0.5</v>
      </c>
      <c r="N118" s="269"/>
      <c r="O118" s="213" t="s">
        <v>106</v>
      </c>
      <c r="P118" s="223">
        <v>0.3</v>
      </c>
      <c r="Q118" s="199">
        <v>0.4</v>
      </c>
      <c r="R118" s="202">
        <v>0.5</v>
      </c>
      <c r="T118" s="210" t="str" cm="1">
        <f t="array" aca="1" ref="T118" ca="1">_xll.d.Logic_IsTrue(_xll.d.Formatting_Equal(B118,N118))</f>
        <v>OK</v>
      </c>
      <c r="U118" s="210" t="str" cm="1">
        <f t="array" aca="1" ref="U118" ca="1">_xll.d.Logic_IsTrue(_xll.d.Formatting_Equal(C118,O118))</f>
        <v>OK</v>
      </c>
      <c r="V118" s="210" t="str" cm="1">
        <f t="array" aca="1" ref="V118" ca="1">_xll.d.Logic_IsTrue(_xll.d.Formatting_Equal(D118,P118))</f>
        <v>OK</v>
      </c>
      <c r="W118" s="210" t="str" cm="1">
        <f t="array" aca="1" ref="W118" ca="1">_xll.d.Logic_IsTrue(_xll.d.Formatting_Equal(E118,Q118))</f>
        <v>OK</v>
      </c>
      <c r="X118" s="210" t="str" cm="1">
        <f t="array" aca="1" ref="X118" ca="1">_xll.d.Logic_IsTrue(_xll.d.Formatting_Equal(F118,R118))</f>
        <v>OK</v>
      </c>
    </row>
    <row r="119" spans="2:55" x14ac:dyDescent="0.25">
      <c r="B119" s="269"/>
      <c r="C119" s="213" t="s">
        <v>98</v>
      </c>
      <c r="D119" s="223">
        <v>0.3</v>
      </c>
      <c r="E119" s="199">
        <v>0.4</v>
      </c>
      <c r="F119" s="202">
        <v>0.5</v>
      </c>
      <c r="H119" s="112"/>
      <c r="I119" s="112" t="s">
        <v>98</v>
      </c>
      <c r="J119" s="147">
        <v>0.3</v>
      </c>
      <c r="K119" s="147">
        <v>0.4</v>
      </c>
      <c r="L119" s="147">
        <v>0.5</v>
      </c>
      <c r="N119" s="269"/>
      <c r="O119" s="213" t="s">
        <v>98</v>
      </c>
      <c r="P119" s="223">
        <v>0.3</v>
      </c>
      <c r="Q119" s="199">
        <v>0.4</v>
      </c>
      <c r="R119" s="202">
        <v>0.5</v>
      </c>
      <c r="T119" s="210" t="str" cm="1">
        <f t="array" aca="1" ref="T119" ca="1">_xll.d.Logic_IsTrue(_xll.d.Formatting_Equal(B119,N119))</f>
        <v>OK</v>
      </c>
      <c r="U119" s="210" t="str" cm="1">
        <f t="array" aca="1" ref="U119" ca="1">_xll.d.Logic_IsTrue(_xll.d.Formatting_Equal(C119,O119))</f>
        <v>OK</v>
      </c>
      <c r="V119" s="210" t="str" cm="1">
        <f t="array" aca="1" ref="V119" ca="1">_xll.d.Logic_IsTrue(_xll.d.Formatting_Equal(D119,P119))</f>
        <v>OK</v>
      </c>
      <c r="W119" s="210" t="str" cm="1">
        <f t="array" aca="1" ref="W119" ca="1">_xll.d.Logic_IsTrue(_xll.d.Formatting_Equal(E119,Q119))</f>
        <v>OK</v>
      </c>
      <c r="X119" s="210" t="str" cm="1">
        <f t="array" aca="1" ref="X119" ca="1">_xll.d.Logic_IsTrue(_xll.d.Formatting_Equal(F119,R119))</f>
        <v>OK</v>
      </c>
    </row>
    <row r="120" spans="2:55" x14ac:dyDescent="0.25">
      <c r="B120" s="269"/>
      <c r="C120" s="213" t="s">
        <v>108</v>
      </c>
      <c r="D120" s="223">
        <v>0.3</v>
      </c>
      <c r="E120" s="199">
        <v>0.4</v>
      </c>
      <c r="F120" s="202">
        <v>0.5</v>
      </c>
      <c r="H120" s="112"/>
      <c r="I120" s="112" t="s">
        <v>108</v>
      </c>
      <c r="J120" s="147">
        <v>0.3</v>
      </c>
      <c r="K120" s="147">
        <v>0.4</v>
      </c>
      <c r="L120" s="147">
        <v>0.5</v>
      </c>
      <c r="N120" s="269"/>
      <c r="O120" s="213" t="s">
        <v>108</v>
      </c>
      <c r="P120" s="223">
        <v>0.3</v>
      </c>
      <c r="Q120" s="199">
        <v>0.4</v>
      </c>
      <c r="R120" s="202">
        <v>0.5</v>
      </c>
      <c r="T120" s="210" t="str" cm="1">
        <f t="array" aca="1" ref="T120" ca="1">_xll.d.Logic_IsTrue(_xll.d.Formatting_Equal(B120,N120))</f>
        <v>OK</v>
      </c>
      <c r="U120" s="210" t="str" cm="1">
        <f t="array" aca="1" ref="U120" ca="1">_xll.d.Logic_IsTrue(_xll.d.Formatting_Equal(C120,O120))</f>
        <v>OK</v>
      </c>
      <c r="V120" s="210" t="str" cm="1">
        <f t="array" aca="1" ref="V120" ca="1">_xll.d.Logic_IsTrue(_xll.d.Formatting_Equal(D120,P120))</f>
        <v>OK</v>
      </c>
      <c r="W120" s="210" t="str" cm="1">
        <f t="array" aca="1" ref="W120" ca="1">_xll.d.Logic_IsTrue(_xll.d.Formatting_Equal(E120,Q120))</f>
        <v>OK</v>
      </c>
      <c r="X120" s="210" t="str" cm="1">
        <f t="array" aca="1" ref="X120" ca="1">_xll.d.Logic_IsTrue(_xll.d.Formatting_Equal(F120,R120))</f>
        <v>OK</v>
      </c>
    </row>
    <row r="121" spans="2:55" x14ac:dyDescent="0.25">
      <c r="B121" s="270"/>
      <c r="C121" s="214" t="s">
        <v>107</v>
      </c>
      <c r="D121" s="224">
        <v>0.3</v>
      </c>
      <c r="E121" s="200">
        <v>0.4</v>
      </c>
      <c r="F121" s="203">
        <v>0.5</v>
      </c>
      <c r="H121" s="112"/>
      <c r="I121" s="112" t="s">
        <v>107</v>
      </c>
      <c r="J121" s="147">
        <v>0.3</v>
      </c>
      <c r="K121" s="147">
        <v>0.4</v>
      </c>
      <c r="L121" s="147">
        <v>0.5</v>
      </c>
      <c r="N121" s="270"/>
      <c r="O121" s="214" t="s">
        <v>107</v>
      </c>
      <c r="P121" s="224">
        <v>0.3</v>
      </c>
      <c r="Q121" s="200">
        <v>0.4</v>
      </c>
      <c r="R121" s="203">
        <v>0.5</v>
      </c>
      <c r="T121" s="210" t="str" cm="1">
        <f t="array" aca="1" ref="T121" ca="1">_xll.d.Logic_IsTrue(_xll.d.Formatting_Equal(B121,N121))</f>
        <v>OK</v>
      </c>
      <c r="U121" s="210" t="str" cm="1">
        <f t="array" aca="1" ref="U121" ca="1">_xll.d.Logic_IsTrue(_xll.d.Formatting_Equal(C121,O121))</f>
        <v>OK</v>
      </c>
      <c r="V121" s="210" t="str" cm="1">
        <f t="array" aca="1" ref="V121" ca="1">_xll.d.Logic_IsTrue(_xll.d.Formatting_Equal(D121,P121))</f>
        <v>OK</v>
      </c>
      <c r="W121" s="210" t="str" cm="1">
        <f t="array" aca="1" ref="W121" ca="1">_xll.d.Logic_IsTrue(_xll.d.Formatting_Equal(E121,Q121))</f>
        <v>OK</v>
      </c>
      <c r="X121" s="210" t="str" cm="1">
        <f t="array" aca="1" ref="X121" ca="1">_xll.d.Logic_IsTrue(_xll.d.Formatting_Equal(F121,R121))</f>
        <v>OK</v>
      </c>
    </row>
    <row r="124" spans="2:55" ht="18.75" x14ac:dyDescent="0.3">
      <c r="B124" s="3" t="s">
        <v>129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6" spans="2:55" x14ac:dyDescent="0.25">
      <c r="B126" s="60" t="s">
        <v>145</v>
      </c>
      <c r="C126" s="210" t="str" cm="1">
        <f t="array" aca="1" ref="C126" ca="1">_xll.d.Logic_And(T141:X157)</f>
        <v>OK</v>
      </c>
    </row>
    <row r="128" spans="2:55" x14ac:dyDescent="0.25">
      <c r="B128" s="60" t="s">
        <v>120</v>
      </c>
      <c r="C128" s="60" t="s">
        <v>33</v>
      </c>
    </row>
    <row r="129" spans="2:24" x14ac:dyDescent="0.25">
      <c r="B129" s="110" t="s">
        <v>115</v>
      </c>
      <c r="C129" s="111" t="s">
        <v>139</v>
      </c>
    </row>
    <row r="130" spans="2:24" x14ac:dyDescent="0.25">
      <c r="B130" s="104" t="s">
        <v>116</v>
      </c>
      <c r="C130" s="105" t="s">
        <v>0</v>
      </c>
    </row>
    <row r="131" spans="2:24" x14ac:dyDescent="0.25">
      <c r="B131" s="106"/>
      <c r="C131" s="107" t="s">
        <v>117</v>
      </c>
    </row>
    <row r="132" spans="2:24" x14ac:dyDescent="0.25">
      <c r="B132" s="108"/>
      <c r="C132" s="109" t="s">
        <v>118</v>
      </c>
    </row>
    <row r="133" spans="2:24" x14ac:dyDescent="0.25">
      <c r="B133" s="179" t="s">
        <v>139</v>
      </c>
      <c r="C133" s="185">
        <v>0</v>
      </c>
    </row>
    <row r="134" spans="2:24" x14ac:dyDescent="0.25">
      <c r="B134" s="179" t="s">
        <v>140</v>
      </c>
      <c r="C134" s="185">
        <v>2</v>
      </c>
    </row>
    <row r="135" spans="2:24" x14ac:dyDescent="0.25">
      <c r="B135" s="162" t="s">
        <v>127</v>
      </c>
      <c r="C135" s="163"/>
    </row>
    <row r="137" spans="2:24" x14ac:dyDescent="0.25">
      <c r="B137" t="s">
        <v>128</v>
      </c>
    </row>
    <row r="139" spans="2:24" x14ac:dyDescent="0.25">
      <c r="B139" s="82" t="s">
        <v>94</v>
      </c>
      <c r="H139" s="82" t="s">
        <v>113</v>
      </c>
      <c r="N139" s="82" t="s">
        <v>114</v>
      </c>
      <c r="T139" s="82" t="s">
        <v>148</v>
      </c>
    </row>
    <row r="141" spans="2:24" ht="15" customHeight="1" x14ac:dyDescent="0.25">
      <c r="B141" s="168" t="s">
        <v>99</v>
      </c>
      <c r="C141" s="168" t="s">
        <v>35</v>
      </c>
      <c r="D141" s="168">
        <v>44562</v>
      </c>
      <c r="E141" s="168">
        <v>44593</v>
      </c>
      <c r="F141" s="168">
        <v>44621</v>
      </c>
      <c r="H141" s="271" t="s">
        <v>99</v>
      </c>
      <c r="I141" s="113" t="s">
        <v>35</v>
      </c>
      <c r="J141" s="94">
        <v>44562</v>
      </c>
      <c r="K141" s="98">
        <v>44593</v>
      </c>
      <c r="L141" s="116">
        <v>44621</v>
      </c>
      <c r="N141" s="168" t="s">
        <v>99</v>
      </c>
      <c r="O141" s="168" t="s">
        <v>35</v>
      </c>
      <c r="P141" s="168">
        <v>44562</v>
      </c>
      <c r="Q141" s="168">
        <v>44593</v>
      </c>
      <c r="R141" s="168">
        <v>44621</v>
      </c>
      <c r="T141" s="210" t="str" cm="1">
        <f t="array" aca="1" ref="T141" ca="1">_xll.d.Logic_IsTrue(_xll.d.Formatting_Equal(B141,N141))</f>
        <v>OK</v>
      </c>
      <c r="U141" s="210" t="str" cm="1">
        <f t="array" aca="1" ref="U141" ca="1">_xll.d.Logic_IsTrue(_xll.d.Formatting_Equal(C141,O141))</f>
        <v>OK</v>
      </c>
      <c r="V141" s="210" t="str" cm="1">
        <f t="array" aca="1" ref="V141" ca="1">_xll.d.Logic_IsTrue(_xll.d.Formatting_Equal(D141,P141))</f>
        <v>OK</v>
      </c>
      <c r="W141" s="210" t="str" cm="1">
        <f t="array" aca="1" ref="W141" ca="1">_xll.d.Logic_IsTrue(_xll.d.Formatting_Equal(E141,Q141))</f>
        <v>OK</v>
      </c>
      <c r="X141" s="210" t="str" cm="1">
        <f t="array" aca="1" ref="X141" ca="1">_xll.d.Logic_IsTrue(_xll.d.Formatting_Equal(F141,R141))</f>
        <v>OK</v>
      </c>
    </row>
    <row r="142" spans="2:24" x14ac:dyDescent="0.25">
      <c r="B142" s="169"/>
      <c r="C142" s="168" t="s">
        <v>0</v>
      </c>
      <c r="D142" s="168">
        <v>44562</v>
      </c>
      <c r="E142" s="168">
        <v>44593</v>
      </c>
      <c r="F142" s="168">
        <v>44621</v>
      </c>
      <c r="H142" s="272"/>
      <c r="I142" s="114" t="s">
        <v>0</v>
      </c>
      <c r="J142" s="95">
        <v>44562</v>
      </c>
      <c r="K142" s="99">
        <v>44593</v>
      </c>
      <c r="L142" s="117">
        <v>44621</v>
      </c>
      <c r="N142" s="169"/>
      <c r="O142" s="168" t="s">
        <v>0</v>
      </c>
      <c r="P142" s="168">
        <v>44562</v>
      </c>
      <c r="Q142" s="168">
        <v>44593</v>
      </c>
      <c r="R142" s="168">
        <v>44621</v>
      </c>
      <c r="T142" s="210" t="str" cm="1">
        <f t="array" aca="1" ref="T142" ca="1">_xll.d.Logic_IsTrue(_xll.d.Formatting_Equal(B142,N142))</f>
        <v>OK</v>
      </c>
      <c r="U142" s="210" t="str" cm="1">
        <f t="array" aca="1" ref="U142" ca="1">_xll.d.Logic_IsTrue(_xll.d.Formatting_Equal(C142,O142))</f>
        <v>OK</v>
      </c>
      <c r="V142" s="210" t="str" cm="1">
        <f t="array" aca="1" ref="V142" ca="1">_xll.d.Logic_IsTrue(_xll.d.Formatting_Equal(D142,P142))</f>
        <v>OK</v>
      </c>
      <c r="W142" s="210" t="str" cm="1">
        <f t="array" aca="1" ref="W142" ca="1">_xll.d.Logic_IsTrue(_xll.d.Formatting_Equal(E142,Q142))</f>
        <v>OK</v>
      </c>
      <c r="X142" s="210" t="str" cm="1">
        <f t="array" aca="1" ref="X142" ca="1">_xll.d.Logic_IsTrue(_xll.d.Formatting_Equal(F142,R142))</f>
        <v>OK</v>
      </c>
    </row>
    <row r="143" spans="2:24" x14ac:dyDescent="0.25">
      <c r="B143" s="169"/>
      <c r="C143" s="168" t="s">
        <v>100</v>
      </c>
      <c r="D143" s="169">
        <v>1000</v>
      </c>
      <c r="E143" s="169">
        <v>2000</v>
      </c>
      <c r="F143" s="169">
        <v>3000</v>
      </c>
      <c r="H143" s="272"/>
      <c r="I143" s="114" t="s">
        <v>100</v>
      </c>
      <c r="J143" s="118">
        <v>1000</v>
      </c>
      <c r="K143" s="100">
        <v>2000</v>
      </c>
      <c r="L143" s="119">
        <v>3000</v>
      </c>
      <c r="N143" s="169"/>
      <c r="O143" s="168" t="s">
        <v>100</v>
      </c>
      <c r="P143" s="169">
        <v>1000</v>
      </c>
      <c r="Q143" s="169">
        <v>2000</v>
      </c>
      <c r="R143" s="169">
        <v>3000</v>
      </c>
      <c r="T143" s="210" t="str" cm="1">
        <f t="array" aca="1" ref="T143" ca="1">_xll.d.Logic_IsTrue(_xll.d.Formatting_Equal(B143,N143))</f>
        <v>OK</v>
      </c>
      <c r="U143" s="210" t="str" cm="1">
        <f t="array" aca="1" ref="U143" ca="1">_xll.d.Logic_IsTrue(_xll.d.Formatting_Equal(C143,O143))</f>
        <v>OK</v>
      </c>
      <c r="V143" s="210" t="str" cm="1">
        <f t="array" aca="1" ref="V143" ca="1">_xll.d.Logic_IsTrue(_xll.d.Formatting_Equal(D143,P143))</f>
        <v>OK</v>
      </c>
      <c r="W143" s="210" t="str" cm="1">
        <f t="array" aca="1" ref="W143" ca="1">_xll.d.Logic_IsTrue(_xll.d.Formatting_Equal(E143,Q143))</f>
        <v>OK</v>
      </c>
      <c r="X143" s="210" t="str" cm="1">
        <f t="array" aca="1" ref="X143" ca="1">_xll.d.Logic_IsTrue(_xll.d.Formatting_Equal(F143,R143))</f>
        <v>OK</v>
      </c>
    </row>
    <row r="144" spans="2:24" x14ac:dyDescent="0.25">
      <c r="B144" s="169"/>
      <c r="C144" s="168" t="s">
        <v>101</v>
      </c>
      <c r="D144" s="169">
        <v>1000</v>
      </c>
      <c r="E144" s="169">
        <v>2000</v>
      </c>
      <c r="F144" s="169">
        <v>3000</v>
      </c>
      <c r="H144" s="272"/>
      <c r="I144" s="114" t="s">
        <v>101</v>
      </c>
      <c r="J144" s="118">
        <v>1000</v>
      </c>
      <c r="K144" s="100">
        <v>2000</v>
      </c>
      <c r="L144" s="119">
        <v>3000</v>
      </c>
      <c r="N144" s="169"/>
      <c r="O144" s="168" t="s">
        <v>101</v>
      </c>
      <c r="P144" s="169">
        <v>1000</v>
      </c>
      <c r="Q144" s="169">
        <v>2000</v>
      </c>
      <c r="R144" s="169">
        <v>3000</v>
      </c>
      <c r="T144" s="210" t="str" cm="1">
        <f t="array" aca="1" ref="T144" ca="1">_xll.d.Logic_IsTrue(_xll.d.Formatting_Equal(B144,N144))</f>
        <v>OK</v>
      </c>
      <c r="U144" s="210" t="str" cm="1">
        <f t="array" aca="1" ref="U144" ca="1">_xll.d.Logic_IsTrue(_xll.d.Formatting_Equal(C144,O144))</f>
        <v>OK</v>
      </c>
      <c r="V144" s="210" t="str" cm="1">
        <f t="array" aca="1" ref="V144" ca="1">_xll.d.Logic_IsTrue(_xll.d.Formatting_Equal(D144,P144))</f>
        <v>OK</v>
      </c>
      <c r="W144" s="210" t="str" cm="1">
        <f t="array" aca="1" ref="W144" ca="1">_xll.d.Logic_IsTrue(_xll.d.Formatting_Equal(E144,Q144))</f>
        <v>OK</v>
      </c>
      <c r="X144" s="210" t="str" cm="1">
        <f t="array" aca="1" ref="X144" ca="1">_xll.d.Logic_IsTrue(_xll.d.Formatting_Equal(F144,R144))</f>
        <v>OK</v>
      </c>
    </row>
    <row r="145" spans="2:55" x14ac:dyDescent="0.25">
      <c r="B145" s="169"/>
      <c r="C145" s="168" t="s">
        <v>102</v>
      </c>
      <c r="D145" s="169">
        <v>1000</v>
      </c>
      <c r="E145" s="169">
        <v>2000</v>
      </c>
      <c r="F145" s="169">
        <v>3000</v>
      </c>
      <c r="H145" s="272"/>
      <c r="I145" s="114" t="s">
        <v>102</v>
      </c>
      <c r="J145" s="118">
        <v>1000</v>
      </c>
      <c r="K145" s="100">
        <v>2000</v>
      </c>
      <c r="L145" s="119">
        <v>3000</v>
      </c>
      <c r="N145" s="169"/>
      <c r="O145" s="168" t="s">
        <v>102</v>
      </c>
      <c r="P145" s="169">
        <v>1000</v>
      </c>
      <c r="Q145" s="169">
        <v>2000</v>
      </c>
      <c r="R145" s="169">
        <v>3000</v>
      </c>
      <c r="T145" s="210" t="str" cm="1">
        <f t="array" aca="1" ref="T145" ca="1">_xll.d.Logic_IsTrue(_xll.d.Formatting_Equal(B145,N145))</f>
        <v>OK</v>
      </c>
      <c r="U145" s="210" t="str" cm="1">
        <f t="array" aca="1" ref="U145" ca="1">_xll.d.Logic_IsTrue(_xll.d.Formatting_Equal(C145,O145))</f>
        <v>OK</v>
      </c>
      <c r="V145" s="210" t="str" cm="1">
        <f t="array" aca="1" ref="V145" ca="1">_xll.d.Logic_IsTrue(_xll.d.Formatting_Equal(D145,P145))</f>
        <v>OK</v>
      </c>
      <c r="W145" s="210" t="str" cm="1">
        <f t="array" aca="1" ref="W145" ca="1">_xll.d.Logic_IsTrue(_xll.d.Formatting_Equal(E145,Q145))</f>
        <v>OK</v>
      </c>
      <c r="X145" s="210" t="str" cm="1">
        <f t="array" aca="1" ref="X145" ca="1">_xll.d.Logic_IsTrue(_xll.d.Formatting_Equal(F145,R145))</f>
        <v>OK</v>
      </c>
    </row>
    <row r="146" spans="2:55" x14ac:dyDescent="0.25">
      <c r="B146" s="169"/>
      <c r="C146" s="168" t="s">
        <v>103</v>
      </c>
      <c r="D146" s="169">
        <v>1000</v>
      </c>
      <c r="E146" s="169">
        <v>2000</v>
      </c>
      <c r="F146" s="169">
        <v>3000</v>
      </c>
      <c r="H146" s="272"/>
      <c r="I146" s="114" t="s">
        <v>103</v>
      </c>
      <c r="J146" s="118">
        <v>1000</v>
      </c>
      <c r="K146" s="100">
        <v>2000</v>
      </c>
      <c r="L146" s="119">
        <v>3000</v>
      </c>
      <c r="N146" s="169"/>
      <c r="O146" s="168" t="s">
        <v>103</v>
      </c>
      <c r="P146" s="169">
        <v>1000</v>
      </c>
      <c r="Q146" s="169">
        <v>2000</v>
      </c>
      <c r="R146" s="169">
        <v>3000</v>
      </c>
      <c r="T146" s="210" t="str" cm="1">
        <f t="array" aca="1" ref="T146" ca="1">_xll.d.Logic_IsTrue(_xll.d.Formatting_Equal(B146,N146))</f>
        <v>OK</v>
      </c>
      <c r="U146" s="210" t="str" cm="1">
        <f t="array" aca="1" ref="U146" ca="1">_xll.d.Logic_IsTrue(_xll.d.Formatting_Equal(C146,O146))</f>
        <v>OK</v>
      </c>
      <c r="V146" s="210" t="str" cm="1">
        <f t="array" aca="1" ref="V146" ca="1">_xll.d.Logic_IsTrue(_xll.d.Formatting_Equal(D146,P146))</f>
        <v>OK</v>
      </c>
      <c r="W146" s="210" t="str" cm="1">
        <f t="array" aca="1" ref="W146" ca="1">_xll.d.Logic_IsTrue(_xll.d.Formatting_Equal(E146,Q146))</f>
        <v>OK</v>
      </c>
      <c r="X146" s="210" t="str" cm="1">
        <f t="array" aca="1" ref="X146" ca="1">_xll.d.Logic_IsTrue(_xll.d.Formatting_Equal(F146,R146))</f>
        <v>OK</v>
      </c>
    </row>
    <row r="147" spans="2:55" x14ac:dyDescent="0.25">
      <c r="B147" s="169"/>
      <c r="C147" s="168" t="s">
        <v>104</v>
      </c>
      <c r="D147" s="168">
        <v>0.3</v>
      </c>
      <c r="E147" s="168">
        <v>0.4</v>
      </c>
      <c r="F147" s="168">
        <v>0.5</v>
      </c>
      <c r="H147" s="272"/>
      <c r="I147" s="114" t="s">
        <v>104</v>
      </c>
      <c r="J147" s="120">
        <v>0.3</v>
      </c>
      <c r="K147" s="101">
        <v>0.4</v>
      </c>
      <c r="L147" s="92">
        <v>0.5</v>
      </c>
      <c r="N147" s="169"/>
      <c r="O147" s="168" t="s">
        <v>104</v>
      </c>
      <c r="P147" s="168">
        <v>0.3</v>
      </c>
      <c r="Q147" s="168">
        <v>0.4</v>
      </c>
      <c r="R147" s="168">
        <v>0.5</v>
      </c>
      <c r="T147" s="210" t="str" cm="1">
        <f t="array" aca="1" ref="T147" ca="1">_xll.d.Logic_IsTrue(_xll.d.Formatting_Equal(B147,N147))</f>
        <v>OK</v>
      </c>
      <c r="U147" s="210" t="str" cm="1">
        <f t="array" aca="1" ref="U147" ca="1">_xll.d.Logic_IsTrue(_xll.d.Formatting_Equal(C147,O147))</f>
        <v>OK</v>
      </c>
      <c r="V147" s="210" t="str" cm="1">
        <f t="array" aca="1" ref="V147" ca="1">_xll.d.Logic_IsTrue(_xll.d.Formatting_Equal(D147,P147))</f>
        <v>OK</v>
      </c>
      <c r="W147" s="210" t="str" cm="1">
        <f t="array" aca="1" ref="W147" ca="1">_xll.d.Logic_IsTrue(_xll.d.Formatting_Equal(E147,Q147))</f>
        <v>OK</v>
      </c>
      <c r="X147" s="210" t="str" cm="1">
        <f t="array" aca="1" ref="X147" ca="1">_xll.d.Logic_IsTrue(_xll.d.Formatting_Equal(F147,R147))</f>
        <v>OK</v>
      </c>
    </row>
    <row r="148" spans="2:55" x14ac:dyDescent="0.25">
      <c r="B148" s="169"/>
      <c r="C148" s="168" t="s">
        <v>83</v>
      </c>
      <c r="D148" s="168">
        <v>0.3</v>
      </c>
      <c r="E148" s="168">
        <v>0.4</v>
      </c>
      <c r="F148" s="168">
        <v>0.5</v>
      </c>
      <c r="H148" s="272"/>
      <c r="I148" s="114" t="s">
        <v>83</v>
      </c>
      <c r="J148" s="120">
        <v>0.3</v>
      </c>
      <c r="K148" s="101">
        <v>0.4</v>
      </c>
      <c r="L148" s="92">
        <v>0.5</v>
      </c>
      <c r="N148" s="169"/>
      <c r="O148" s="168" t="s">
        <v>83</v>
      </c>
      <c r="P148" s="168">
        <v>0.3</v>
      </c>
      <c r="Q148" s="168">
        <v>0.4</v>
      </c>
      <c r="R148" s="168">
        <v>0.5</v>
      </c>
      <c r="T148" s="210" t="str" cm="1">
        <f t="array" aca="1" ref="T148" ca="1">_xll.d.Logic_IsTrue(_xll.d.Formatting_Equal(B148,N148))</f>
        <v>OK</v>
      </c>
      <c r="U148" s="210" t="str" cm="1">
        <f t="array" aca="1" ref="U148" ca="1">_xll.d.Logic_IsTrue(_xll.d.Formatting_Equal(C148,O148))</f>
        <v>OK</v>
      </c>
      <c r="V148" s="210" t="str" cm="1">
        <f t="array" aca="1" ref="V148" ca="1">_xll.d.Logic_IsTrue(_xll.d.Formatting_Equal(D148,P148))</f>
        <v>OK</v>
      </c>
      <c r="W148" s="210" t="str" cm="1">
        <f t="array" aca="1" ref="W148" ca="1">_xll.d.Logic_IsTrue(_xll.d.Formatting_Equal(E148,Q148))</f>
        <v>OK</v>
      </c>
      <c r="X148" s="210" t="str" cm="1">
        <f t="array" aca="1" ref="X148" ca="1">_xll.d.Logic_IsTrue(_xll.d.Formatting_Equal(F148,R148))</f>
        <v>OK</v>
      </c>
    </row>
    <row r="149" spans="2:55" x14ac:dyDescent="0.25">
      <c r="B149" s="169"/>
      <c r="C149" s="168" t="s">
        <v>84</v>
      </c>
      <c r="D149" s="168">
        <v>0.3</v>
      </c>
      <c r="E149" s="168">
        <v>0.4</v>
      </c>
      <c r="F149" s="168">
        <v>0.5</v>
      </c>
      <c r="H149" s="272"/>
      <c r="I149" s="114" t="s">
        <v>84</v>
      </c>
      <c r="J149" s="120">
        <v>0.3</v>
      </c>
      <c r="K149" s="101">
        <v>0.4</v>
      </c>
      <c r="L149" s="92">
        <v>0.5</v>
      </c>
      <c r="N149" s="169"/>
      <c r="O149" s="168" t="s">
        <v>84</v>
      </c>
      <c r="P149" s="168">
        <v>0.3</v>
      </c>
      <c r="Q149" s="168">
        <v>0.4</v>
      </c>
      <c r="R149" s="168">
        <v>0.5</v>
      </c>
      <c r="T149" s="210" t="str" cm="1">
        <f t="array" aca="1" ref="T149" ca="1">_xll.d.Logic_IsTrue(_xll.d.Formatting_Equal(B149,N149))</f>
        <v>OK</v>
      </c>
      <c r="U149" s="210" t="str" cm="1">
        <f t="array" aca="1" ref="U149" ca="1">_xll.d.Logic_IsTrue(_xll.d.Formatting_Equal(C149,O149))</f>
        <v>OK</v>
      </c>
      <c r="V149" s="210" t="str" cm="1">
        <f t="array" aca="1" ref="V149" ca="1">_xll.d.Logic_IsTrue(_xll.d.Formatting_Equal(D149,P149))</f>
        <v>OK</v>
      </c>
      <c r="W149" s="210" t="str" cm="1">
        <f t="array" aca="1" ref="W149" ca="1">_xll.d.Logic_IsTrue(_xll.d.Formatting_Equal(E149,Q149))</f>
        <v>OK</v>
      </c>
      <c r="X149" s="210" t="str" cm="1">
        <f t="array" aca="1" ref="X149" ca="1">_xll.d.Logic_IsTrue(_xll.d.Formatting_Equal(F149,R149))</f>
        <v>OK</v>
      </c>
    </row>
    <row r="150" spans="2:55" x14ac:dyDescent="0.25">
      <c r="B150" s="169"/>
      <c r="C150" s="168" t="s">
        <v>85</v>
      </c>
      <c r="D150" s="168">
        <v>0.3</v>
      </c>
      <c r="E150" s="168">
        <v>0.4</v>
      </c>
      <c r="F150" s="168">
        <v>0.5</v>
      </c>
      <c r="H150" s="272"/>
      <c r="I150" s="114" t="s">
        <v>85</v>
      </c>
      <c r="J150" s="120">
        <v>0.3</v>
      </c>
      <c r="K150" s="101">
        <v>0.4</v>
      </c>
      <c r="L150" s="92">
        <v>0.5</v>
      </c>
      <c r="N150" s="169"/>
      <c r="O150" s="168" t="s">
        <v>85</v>
      </c>
      <c r="P150" s="168">
        <v>0.3</v>
      </c>
      <c r="Q150" s="168">
        <v>0.4</v>
      </c>
      <c r="R150" s="168">
        <v>0.5</v>
      </c>
      <c r="T150" s="210" t="str" cm="1">
        <f t="array" aca="1" ref="T150" ca="1">_xll.d.Logic_IsTrue(_xll.d.Formatting_Equal(B150,N150))</f>
        <v>OK</v>
      </c>
      <c r="U150" s="210" t="str" cm="1">
        <f t="array" aca="1" ref="U150" ca="1">_xll.d.Logic_IsTrue(_xll.d.Formatting_Equal(C150,O150))</f>
        <v>OK</v>
      </c>
      <c r="V150" s="210" t="str" cm="1">
        <f t="array" aca="1" ref="V150" ca="1">_xll.d.Logic_IsTrue(_xll.d.Formatting_Equal(D150,P150))</f>
        <v>OK</v>
      </c>
      <c r="W150" s="210" t="str" cm="1">
        <f t="array" aca="1" ref="W150" ca="1">_xll.d.Logic_IsTrue(_xll.d.Formatting_Equal(E150,Q150))</f>
        <v>OK</v>
      </c>
      <c r="X150" s="210" t="str" cm="1">
        <f t="array" aca="1" ref="X150" ca="1">_xll.d.Logic_IsTrue(_xll.d.Formatting_Equal(F150,R150))</f>
        <v>OK</v>
      </c>
    </row>
    <row r="151" spans="2:55" x14ac:dyDescent="0.25">
      <c r="B151" s="169"/>
      <c r="C151" s="168" t="s">
        <v>105</v>
      </c>
      <c r="D151" s="168">
        <v>0.3</v>
      </c>
      <c r="E151" s="168">
        <v>0.4</v>
      </c>
      <c r="F151" s="168">
        <v>0.5</v>
      </c>
      <c r="H151" s="272"/>
      <c r="I151" s="114" t="s">
        <v>105</v>
      </c>
      <c r="J151" s="120">
        <v>0.3</v>
      </c>
      <c r="K151" s="101">
        <v>0.4</v>
      </c>
      <c r="L151" s="92">
        <v>0.5</v>
      </c>
      <c r="N151" s="169"/>
      <c r="O151" s="168" t="s">
        <v>105</v>
      </c>
      <c r="P151" s="168">
        <v>0.3</v>
      </c>
      <c r="Q151" s="168">
        <v>0.4</v>
      </c>
      <c r="R151" s="168">
        <v>0.5</v>
      </c>
      <c r="T151" s="210" t="str" cm="1">
        <f t="array" aca="1" ref="T151" ca="1">_xll.d.Logic_IsTrue(_xll.d.Formatting_Equal(B151,N151))</f>
        <v>OK</v>
      </c>
      <c r="U151" s="210" t="str" cm="1">
        <f t="array" aca="1" ref="U151" ca="1">_xll.d.Logic_IsTrue(_xll.d.Formatting_Equal(C151,O151))</f>
        <v>OK</v>
      </c>
      <c r="V151" s="210" t="str" cm="1">
        <f t="array" aca="1" ref="V151" ca="1">_xll.d.Logic_IsTrue(_xll.d.Formatting_Equal(D151,P151))</f>
        <v>OK</v>
      </c>
      <c r="W151" s="210" t="str" cm="1">
        <f t="array" aca="1" ref="W151" ca="1">_xll.d.Logic_IsTrue(_xll.d.Formatting_Equal(E151,Q151))</f>
        <v>OK</v>
      </c>
      <c r="X151" s="210" t="str" cm="1">
        <f t="array" aca="1" ref="X151" ca="1">_xll.d.Logic_IsTrue(_xll.d.Formatting_Equal(F151,R151))</f>
        <v>OK</v>
      </c>
    </row>
    <row r="152" spans="2:55" x14ac:dyDescent="0.25">
      <c r="B152" s="169"/>
      <c r="C152" s="168" t="s">
        <v>25</v>
      </c>
      <c r="D152" s="168">
        <v>0.3</v>
      </c>
      <c r="E152" s="168">
        <v>0.4</v>
      </c>
      <c r="F152" s="168">
        <v>0.5</v>
      </c>
      <c r="H152" s="272"/>
      <c r="I152" s="114" t="s">
        <v>25</v>
      </c>
      <c r="J152" s="120">
        <v>0.3</v>
      </c>
      <c r="K152" s="101">
        <v>0.4</v>
      </c>
      <c r="L152" s="92">
        <v>0.5</v>
      </c>
      <c r="N152" s="169"/>
      <c r="O152" s="168" t="s">
        <v>25</v>
      </c>
      <c r="P152" s="168">
        <v>0.3</v>
      </c>
      <c r="Q152" s="168">
        <v>0.4</v>
      </c>
      <c r="R152" s="168">
        <v>0.5</v>
      </c>
      <c r="T152" s="210" t="str" cm="1">
        <f t="array" aca="1" ref="T152" ca="1">_xll.d.Logic_IsTrue(_xll.d.Formatting_Equal(B152,N152))</f>
        <v>OK</v>
      </c>
      <c r="U152" s="210" t="str" cm="1">
        <f t="array" aca="1" ref="U152" ca="1">_xll.d.Logic_IsTrue(_xll.d.Formatting_Equal(C152,O152))</f>
        <v>OK</v>
      </c>
      <c r="V152" s="210" t="str" cm="1">
        <f t="array" aca="1" ref="V152" ca="1">_xll.d.Logic_IsTrue(_xll.d.Formatting_Equal(D152,P152))</f>
        <v>OK</v>
      </c>
      <c r="W152" s="210" t="str" cm="1">
        <f t="array" aca="1" ref="W152" ca="1">_xll.d.Logic_IsTrue(_xll.d.Formatting_Equal(E152,Q152))</f>
        <v>OK</v>
      </c>
      <c r="X152" s="210" t="str" cm="1">
        <f t="array" aca="1" ref="X152" ca="1">_xll.d.Logic_IsTrue(_xll.d.Formatting_Equal(F152,R152))</f>
        <v>OK</v>
      </c>
    </row>
    <row r="153" spans="2:55" x14ac:dyDescent="0.25">
      <c r="B153" s="169"/>
      <c r="C153" s="168" t="s">
        <v>40</v>
      </c>
      <c r="D153" s="168">
        <v>0.3</v>
      </c>
      <c r="E153" s="168">
        <v>0.4</v>
      </c>
      <c r="F153" s="168">
        <v>0.5</v>
      </c>
      <c r="H153" s="272"/>
      <c r="I153" s="114" t="s">
        <v>40</v>
      </c>
      <c r="J153" s="120">
        <v>0.3</v>
      </c>
      <c r="K153" s="101">
        <v>0.4</v>
      </c>
      <c r="L153" s="92">
        <v>0.5</v>
      </c>
      <c r="N153" s="169"/>
      <c r="O153" s="168" t="s">
        <v>40</v>
      </c>
      <c r="P153" s="168">
        <v>0.3</v>
      </c>
      <c r="Q153" s="168">
        <v>0.4</v>
      </c>
      <c r="R153" s="168">
        <v>0.5</v>
      </c>
      <c r="T153" s="210" t="str" cm="1">
        <f t="array" aca="1" ref="T153" ca="1">_xll.d.Logic_IsTrue(_xll.d.Formatting_Equal(B153,N153))</f>
        <v>OK</v>
      </c>
      <c r="U153" s="210" t="str" cm="1">
        <f t="array" aca="1" ref="U153" ca="1">_xll.d.Logic_IsTrue(_xll.d.Formatting_Equal(C153,O153))</f>
        <v>OK</v>
      </c>
      <c r="V153" s="210" t="str" cm="1">
        <f t="array" aca="1" ref="V153" ca="1">_xll.d.Logic_IsTrue(_xll.d.Formatting_Equal(D153,P153))</f>
        <v>OK</v>
      </c>
      <c r="W153" s="210" t="str" cm="1">
        <f t="array" aca="1" ref="W153" ca="1">_xll.d.Logic_IsTrue(_xll.d.Formatting_Equal(E153,Q153))</f>
        <v>OK</v>
      </c>
      <c r="X153" s="210" t="str" cm="1">
        <f t="array" aca="1" ref="X153" ca="1">_xll.d.Logic_IsTrue(_xll.d.Formatting_Equal(F153,R153))</f>
        <v>OK</v>
      </c>
    </row>
    <row r="154" spans="2:55" x14ac:dyDescent="0.25">
      <c r="B154" s="169"/>
      <c r="C154" s="168" t="s">
        <v>106</v>
      </c>
      <c r="D154" s="168">
        <v>0.3</v>
      </c>
      <c r="E154" s="168">
        <v>0.4</v>
      </c>
      <c r="F154" s="168">
        <v>0.5</v>
      </c>
      <c r="H154" s="272"/>
      <c r="I154" s="114" t="s">
        <v>106</v>
      </c>
      <c r="J154" s="120">
        <v>0.3</v>
      </c>
      <c r="K154" s="101">
        <v>0.4</v>
      </c>
      <c r="L154" s="92">
        <v>0.5</v>
      </c>
      <c r="N154" s="169"/>
      <c r="O154" s="168" t="s">
        <v>106</v>
      </c>
      <c r="P154" s="168">
        <v>0.3</v>
      </c>
      <c r="Q154" s="168">
        <v>0.4</v>
      </c>
      <c r="R154" s="168">
        <v>0.5</v>
      </c>
      <c r="T154" s="210" t="str" cm="1">
        <f t="array" aca="1" ref="T154" ca="1">_xll.d.Logic_IsTrue(_xll.d.Formatting_Equal(B154,N154))</f>
        <v>OK</v>
      </c>
      <c r="U154" s="210" t="str" cm="1">
        <f t="array" aca="1" ref="U154" ca="1">_xll.d.Logic_IsTrue(_xll.d.Formatting_Equal(C154,O154))</f>
        <v>OK</v>
      </c>
      <c r="V154" s="210" t="str" cm="1">
        <f t="array" aca="1" ref="V154" ca="1">_xll.d.Logic_IsTrue(_xll.d.Formatting_Equal(D154,P154))</f>
        <v>OK</v>
      </c>
      <c r="W154" s="210" t="str" cm="1">
        <f t="array" aca="1" ref="W154" ca="1">_xll.d.Logic_IsTrue(_xll.d.Formatting_Equal(E154,Q154))</f>
        <v>OK</v>
      </c>
      <c r="X154" s="210" t="str" cm="1">
        <f t="array" aca="1" ref="X154" ca="1">_xll.d.Logic_IsTrue(_xll.d.Formatting_Equal(F154,R154))</f>
        <v>OK</v>
      </c>
    </row>
    <row r="155" spans="2:55" x14ac:dyDescent="0.25">
      <c r="B155" s="169"/>
      <c r="C155" s="168" t="s">
        <v>98</v>
      </c>
      <c r="D155" s="168">
        <v>0.3</v>
      </c>
      <c r="E155" s="168">
        <v>0.4</v>
      </c>
      <c r="F155" s="168">
        <v>0.5</v>
      </c>
      <c r="H155" s="272"/>
      <c r="I155" s="114" t="s">
        <v>98</v>
      </c>
      <c r="J155" s="120">
        <v>0.3</v>
      </c>
      <c r="K155" s="101">
        <v>0.4</v>
      </c>
      <c r="L155" s="92">
        <v>0.5</v>
      </c>
      <c r="N155" s="169"/>
      <c r="O155" s="168" t="s">
        <v>98</v>
      </c>
      <c r="P155" s="168">
        <v>0.3</v>
      </c>
      <c r="Q155" s="168">
        <v>0.4</v>
      </c>
      <c r="R155" s="168">
        <v>0.5</v>
      </c>
      <c r="T155" s="210" t="str" cm="1">
        <f t="array" aca="1" ref="T155" ca="1">_xll.d.Logic_IsTrue(_xll.d.Formatting_Equal(B155,N155))</f>
        <v>OK</v>
      </c>
      <c r="U155" s="210" t="str" cm="1">
        <f t="array" aca="1" ref="U155" ca="1">_xll.d.Logic_IsTrue(_xll.d.Formatting_Equal(C155,O155))</f>
        <v>OK</v>
      </c>
      <c r="V155" s="210" t="str" cm="1">
        <f t="array" aca="1" ref="V155" ca="1">_xll.d.Logic_IsTrue(_xll.d.Formatting_Equal(D155,P155))</f>
        <v>OK</v>
      </c>
      <c r="W155" s="210" t="str" cm="1">
        <f t="array" aca="1" ref="W155" ca="1">_xll.d.Logic_IsTrue(_xll.d.Formatting_Equal(E155,Q155))</f>
        <v>OK</v>
      </c>
      <c r="X155" s="210" t="str" cm="1">
        <f t="array" aca="1" ref="X155" ca="1">_xll.d.Logic_IsTrue(_xll.d.Formatting_Equal(F155,R155))</f>
        <v>OK</v>
      </c>
    </row>
    <row r="156" spans="2:55" x14ac:dyDescent="0.25">
      <c r="B156" s="169"/>
      <c r="C156" s="168" t="s">
        <v>108</v>
      </c>
      <c r="D156" s="168">
        <v>0.3</v>
      </c>
      <c r="E156" s="168">
        <v>0.4</v>
      </c>
      <c r="F156" s="168">
        <v>0.5</v>
      </c>
      <c r="H156" s="272"/>
      <c r="I156" s="114" t="s">
        <v>108</v>
      </c>
      <c r="J156" s="120">
        <v>0.3</v>
      </c>
      <c r="K156" s="101">
        <v>0.4</v>
      </c>
      <c r="L156" s="92">
        <v>0.5</v>
      </c>
      <c r="N156" s="169"/>
      <c r="O156" s="168" t="s">
        <v>108</v>
      </c>
      <c r="P156" s="168">
        <v>0.3</v>
      </c>
      <c r="Q156" s="168">
        <v>0.4</v>
      </c>
      <c r="R156" s="168">
        <v>0.5</v>
      </c>
      <c r="T156" s="210" t="str" cm="1">
        <f t="array" aca="1" ref="T156" ca="1">_xll.d.Logic_IsTrue(_xll.d.Formatting_Equal(B156,N156))</f>
        <v>OK</v>
      </c>
      <c r="U156" s="210" t="str" cm="1">
        <f t="array" aca="1" ref="U156" ca="1">_xll.d.Logic_IsTrue(_xll.d.Formatting_Equal(C156,O156))</f>
        <v>OK</v>
      </c>
      <c r="V156" s="210" t="str" cm="1">
        <f t="array" aca="1" ref="V156" ca="1">_xll.d.Logic_IsTrue(_xll.d.Formatting_Equal(D156,P156))</f>
        <v>OK</v>
      </c>
      <c r="W156" s="210" t="str" cm="1">
        <f t="array" aca="1" ref="W156" ca="1">_xll.d.Logic_IsTrue(_xll.d.Formatting_Equal(E156,Q156))</f>
        <v>OK</v>
      </c>
      <c r="X156" s="210" t="str" cm="1">
        <f t="array" aca="1" ref="X156" ca="1">_xll.d.Logic_IsTrue(_xll.d.Formatting_Equal(F156,R156))</f>
        <v>OK</v>
      </c>
    </row>
    <row r="157" spans="2:55" x14ac:dyDescent="0.25">
      <c r="B157" s="169"/>
      <c r="C157" s="168" t="s">
        <v>107</v>
      </c>
      <c r="D157" s="168">
        <v>0.3</v>
      </c>
      <c r="E157" s="168">
        <v>0.4</v>
      </c>
      <c r="F157" s="168">
        <v>0.5</v>
      </c>
      <c r="H157" s="272"/>
      <c r="I157" s="115" t="s">
        <v>107</v>
      </c>
      <c r="J157" s="121">
        <v>0.3</v>
      </c>
      <c r="K157" s="102">
        <v>0.4</v>
      </c>
      <c r="L157" s="93">
        <v>0.5</v>
      </c>
      <c r="N157" s="169"/>
      <c r="O157" s="168" t="s">
        <v>107</v>
      </c>
      <c r="P157" s="168">
        <v>0.3</v>
      </c>
      <c r="Q157" s="168">
        <v>0.4</v>
      </c>
      <c r="R157" s="168">
        <v>0.5</v>
      </c>
      <c r="T157" s="210" t="str" cm="1">
        <f t="array" aca="1" ref="T157" ca="1">_xll.d.Logic_IsTrue(_xll.d.Formatting_Equal(B157,N157))</f>
        <v>OK</v>
      </c>
      <c r="U157" s="210" t="str" cm="1">
        <f t="array" aca="1" ref="U157" ca="1">_xll.d.Logic_IsTrue(_xll.d.Formatting_Equal(C157,O157))</f>
        <v>OK</v>
      </c>
      <c r="V157" s="210" t="str" cm="1">
        <f t="array" aca="1" ref="V157" ca="1">_xll.d.Logic_IsTrue(_xll.d.Formatting_Equal(D157,P157))</f>
        <v>OK</v>
      </c>
      <c r="W157" s="210" t="str" cm="1">
        <f t="array" aca="1" ref="W157" ca="1">_xll.d.Logic_IsTrue(_xll.d.Formatting_Equal(E157,Q157))</f>
        <v>OK</v>
      </c>
      <c r="X157" s="210" t="str" cm="1">
        <f t="array" aca="1" ref="X157" ca="1">_xll.d.Logic_IsTrue(_xll.d.Formatting_Equal(F157,R157))</f>
        <v>OK</v>
      </c>
    </row>
    <row r="160" spans="2:55" ht="18.75" x14ac:dyDescent="0.3">
      <c r="B160" s="3" t="s">
        <v>136</v>
      </c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2" spans="2:12" x14ac:dyDescent="0.25">
      <c r="B162" s="60" t="s">
        <v>145</v>
      </c>
      <c r="C162" s="210" t="str" cm="1">
        <f t="array" aca="1" ref="C162" ca="1">_xll.d.Logic_And(K175:L178)</f>
        <v>OK</v>
      </c>
    </row>
    <row r="164" spans="2:12" x14ac:dyDescent="0.25">
      <c r="B164" s="60" t="s">
        <v>120</v>
      </c>
      <c r="C164" s="60" t="s">
        <v>33</v>
      </c>
    </row>
    <row r="165" spans="2:12" x14ac:dyDescent="0.25">
      <c r="B165" s="110" t="s">
        <v>115</v>
      </c>
      <c r="C165" s="111" t="s">
        <v>140</v>
      </c>
    </row>
    <row r="166" spans="2:12" x14ac:dyDescent="0.25">
      <c r="B166" s="104" t="s">
        <v>116</v>
      </c>
      <c r="C166" s="105" t="s">
        <v>137</v>
      </c>
    </row>
    <row r="167" spans="2:12" x14ac:dyDescent="0.25">
      <c r="B167" s="110" t="s">
        <v>139</v>
      </c>
      <c r="C167" s="184">
        <v>2</v>
      </c>
    </row>
    <row r="168" spans="2:12" x14ac:dyDescent="0.25">
      <c r="B168" s="179" t="s">
        <v>140</v>
      </c>
      <c r="C168" s="185">
        <v>0</v>
      </c>
    </row>
    <row r="169" spans="2:12" x14ac:dyDescent="0.25">
      <c r="B169" s="162" t="s">
        <v>127</v>
      </c>
      <c r="C169" s="163"/>
    </row>
    <row r="171" spans="2:12" x14ac:dyDescent="0.25">
      <c r="B171" t="s">
        <v>186</v>
      </c>
    </row>
    <row r="173" spans="2:12" x14ac:dyDescent="0.25">
      <c r="B173" s="82" t="s">
        <v>94</v>
      </c>
      <c r="E173" s="82" t="s">
        <v>113</v>
      </c>
      <c r="H173" s="82" t="s">
        <v>114</v>
      </c>
      <c r="K173" s="82" t="s">
        <v>148</v>
      </c>
    </row>
    <row r="175" spans="2:12" x14ac:dyDescent="0.25">
      <c r="B175" s="151" t="s">
        <v>58</v>
      </c>
      <c r="C175" s="152"/>
      <c r="E175" t="s">
        <v>58</v>
      </c>
      <c r="H175" s="151" t="s">
        <v>58</v>
      </c>
      <c r="I175" s="152"/>
      <c r="K175" s="210" t="str" cm="1">
        <f t="array" aca="1" ref="K175" ca="1">_xll.d.Logic_IsTrue(_xll.d.Formatting_Equal(B175,H175))</f>
        <v>OK</v>
      </c>
      <c r="L175" s="210" t="str" cm="1">
        <f t="array" aca="1" ref="L175" ca="1">_xll.d.Logic_IsTrue(_xll.d.Formatting_Equal(C175,I175))</f>
        <v>OK</v>
      </c>
    </row>
    <row r="176" spans="2:12" x14ac:dyDescent="0.25">
      <c r="B176" s="149" t="s">
        <v>32</v>
      </c>
      <c r="C176" s="150" t="s">
        <v>33</v>
      </c>
      <c r="E176" t="s">
        <v>32</v>
      </c>
      <c r="F176" t="s">
        <v>33</v>
      </c>
      <c r="H176" s="149" t="s">
        <v>32</v>
      </c>
      <c r="I176" s="150" t="s">
        <v>33</v>
      </c>
      <c r="K176" s="210" t="str" cm="1">
        <f t="array" aca="1" ref="K176" ca="1">_xll.d.Logic_IsTrue(_xll.d.Formatting_Equal(B176,H176))</f>
        <v>OK</v>
      </c>
      <c r="L176" s="210" t="str" cm="1">
        <f t="array" aca="1" ref="L176" ca="1">_xll.d.Logic_IsTrue(_xll.d.Formatting_Equal(C176,I176))</f>
        <v>OK</v>
      </c>
    </row>
    <row r="177" spans="2:55" x14ac:dyDescent="0.25">
      <c r="B177" s="153" t="s">
        <v>13</v>
      </c>
      <c r="C177" s="154" t="s">
        <v>47</v>
      </c>
      <c r="E177" t="s">
        <v>13</v>
      </c>
      <c r="F177" t="s">
        <v>47</v>
      </c>
      <c r="H177" s="153" t="s">
        <v>13</v>
      </c>
      <c r="I177" s="154" t="s">
        <v>47</v>
      </c>
      <c r="K177" s="210" t="str" cm="1">
        <f t="array" aca="1" ref="K177" ca="1">_xll.d.Logic_IsTrue(_xll.d.Formatting_Equal(B177,H177))</f>
        <v>OK</v>
      </c>
      <c r="L177" s="210" t="str" cm="1">
        <f t="array" aca="1" ref="L177" ca="1">_xll.d.Logic_IsTrue(_xll.d.Formatting_Equal(C177,I177))</f>
        <v>OK</v>
      </c>
    </row>
    <row r="178" spans="2:55" x14ac:dyDescent="0.25">
      <c r="B178" s="155" t="s">
        <v>36</v>
      </c>
      <c r="C178" s="156" t="s">
        <v>37</v>
      </c>
      <c r="E178" t="s">
        <v>36</v>
      </c>
      <c r="F178" t="s">
        <v>37</v>
      </c>
      <c r="H178" s="155" t="s">
        <v>36</v>
      </c>
      <c r="I178" s="156" t="s">
        <v>37</v>
      </c>
      <c r="K178" s="210" t="str" cm="1">
        <f t="array" aca="1" ref="K178" ca="1">_xll.d.Logic_IsTrue(_xll.d.Formatting_Equal(B178,H178))</f>
        <v>OK</v>
      </c>
      <c r="L178" s="210" t="str" cm="1">
        <f t="array" aca="1" ref="L178" ca="1">_xll.d.Logic_IsTrue(_xll.d.Formatting_Equal(C178,I178))</f>
        <v>OK</v>
      </c>
    </row>
    <row r="179" spans="2:55" x14ac:dyDescent="0.25">
      <c r="B179" s="157" t="s">
        <v>57</v>
      </c>
      <c r="C179" s="158" t="s">
        <v>26</v>
      </c>
      <c r="E179" t="s">
        <v>57</v>
      </c>
      <c r="F179" t="s">
        <v>26</v>
      </c>
      <c r="H179" s="157" t="s">
        <v>57</v>
      </c>
      <c r="I179" s="158" t="s">
        <v>26</v>
      </c>
      <c r="K179" s="210" t="str" cm="1">
        <f t="array" aca="1" ref="K179" ca="1">_xll.d.Logic_IsTrue(_xll.d.Formatting_Equal(B179,H179))</f>
        <v>OK</v>
      </c>
      <c r="L179" s="210" t="str" cm="1">
        <f t="array" aca="1" ref="L179" ca="1">_xll.d.Logic_IsTrue(_xll.d.Formatting_Equal(C179,I179))</f>
        <v>OK</v>
      </c>
    </row>
    <row r="182" spans="2:55" ht="18.75" x14ac:dyDescent="0.3">
      <c r="B182" s="3" t="s">
        <v>138</v>
      </c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4" spans="2:55" x14ac:dyDescent="0.25">
      <c r="B184" s="60" t="s">
        <v>145</v>
      </c>
      <c r="C184" s="210" t="str" cm="1">
        <f t="array" aca="1" ref="C184" ca="1">_xll.d.Logic_And(K195:L199)</f>
        <v>OK</v>
      </c>
    </row>
    <row r="186" spans="2:55" x14ac:dyDescent="0.25">
      <c r="B186" s="60" t="s">
        <v>120</v>
      </c>
      <c r="C186" s="60" t="s">
        <v>33</v>
      </c>
    </row>
    <row r="187" spans="2:55" x14ac:dyDescent="0.25">
      <c r="B187" s="110" t="s">
        <v>115</v>
      </c>
      <c r="C187" s="111" t="s">
        <v>140</v>
      </c>
    </row>
    <row r="188" spans="2:55" x14ac:dyDescent="0.25">
      <c r="B188" s="104" t="s">
        <v>116</v>
      </c>
      <c r="C188" s="105" t="s">
        <v>137</v>
      </c>
    </row>
    <row r="189" spans="2:55" x14ac:dyDescent="0.25">
      <c r="B189" s="162" t="s">
        <v>127</v>
      </c>
      <c r="C189" s="163"/>
    </row>
    <row r="191" spans="2:55" x14ac:dyDescent="0.25">
      <c r="B191" t="s">
        <v>141</v>
      </c>
    </row>
    <row r="193" spans="2:55" x14ac:dyDescent="0.25">
      <c r="B193" s="82" t="s">
        <v>94</v>
      </c>
      <c r="E193" s="82" t="s">
        <v>113</v>
      </c>
      <c r="H193" s="82" t="s">
        <v>114</v>
      </c>
      <c r="K193" s="82" t="s">
        <v>148</v>
      </c>
    </row>
    <row r="195" spans="2:55" x14ac:dyDescent="0.25">
      <c r="B195" s="168" t="s">
        <v>58</v>
      </c>
      <c r="C195" s="168"/>
      <c r="E195" s="151" t="s">
        <v>58</v>
      </c>
      <c r="F195" s="152"/>
      <c r="H195" s="169" t="s">
        <v>58</v>
      </c>
      <c r="I195" s="169"/>
      <c r="K195" s="210" t="str" cm="1">
        <f t="array" aca="1" ref="K195" ca="1">_xll.d.Logic_IsTrue(_xll.d.Formatting_Equal(B195,H195))</f>
        <v>OK</v>
      </c>
      <c r="L195" s="210" t="str" cm="1">
        <f t="array" aca="1" ref="L195" ca="1">_xll.d.Logic_IsTrue(_xll.d.Formatting_Equal(C195,I195))</f>
        <v>OK</v>
      </c>
    </row>
    <row r="196" spans="2:55" x14ac:dyDescent="0.25">
      <c r="B196" s="168" t="s">
        <v>32</v>
      </c>
      <c r="C196" s="168" t="s">
        <v>33</v>
      </c>
      <c r="E196" s="149" t="s">
        <v>32</v>
      </c>
      <c r="F196" s="150" t="s">
        <v>33</v>
      </c>
      <c r="H196" s="169" t="s">
        <v>32</v>
      </c>
      <c r="I196" s="169" t="s">
        <v>33</v>
      </c>
      <c r="K196" s="210" t="str" cm="1">
        <f t="array" aca="1" ref="K196" ca="1">_xll.d.Logic_IsTrue(_xll.d.Formatting_Equal(B196,H196))</f>
        <v>OK</v>
      </c>
      <c r="L196" s="210" t="str" cm="1">
        <f t="array" aca="1" ref="L196" ca="1">_xll.d.Logic_IsTrue(_xll.d.Formatting_Equal(C196,I196))</f>
        <v>OK</v>
      </c>
    </row>
    <row r="197" spans="2:55" x14ac:dyDescent="0.25">
      <c r="B197" s="168" t="s">
        <v>13</v>
      </c>
      <c r="C197" s="168" t="s">
        <v>47</v>
      </c>
      <c r="E197" s="153" t="s">
        <v>13</v>
      </c>
      <c r="F197" s="154" t="s">
        <v>47</v>
      </c>
      <c r="H197" s="169" t="s">
        <v>13</v>
      </c>
      <c r="I197" s="169" t="s">
        <v>47</v>
      </c>
      <c r="K197" s="210" t="str" cm="1">
        <f t="array" aca="1" ref="K197" ca="1">_xll.d.Logic_IsTrue(_xll.d.Formatting_Equal(B197,H197))</f>
        <v>OK</v>
      </c>
      <c r="L197" s="210" t="str" cm="1">
        <f t="array" aca="1" ref="L197" ca="1">_xll.d.Logic_IsTrue(_xll.d.Formatting_Equal(C197,I197))</f>
        <v>OK</v>
      </c>
    </row>
    <row r="198" spans="2:55" x14ac:dyDescent="0.25">
      <c r="B198" s="168" t="s">
        <v>36</v>
      </c>
      <c r="C198" s="168" t="s">
        <v>37</v>
      </c>
      <c r="E198" s="155" t="s">
        <v>36</v>
      </c>
      <c r="F198" s="156" t="s">
        <v>37</v>
      </c>
      <c r="H198" s="169" t="s">
        <v>36</v>
      </c>
      <c r="I198" s="169" t="s">
        <v>37</v>
      </c>
      <c r="K198" s="210" t="str" cm="1">
        <f t="array" aca="1" ref="K198" ca="1">_xll.d.Logic_IsTrue(_xll.d.Formatting_Equal(B198,H198))</f>
        <v>OK</v>
      </c>
      <c r="L198" s="210" t="str" cm="1">
        <f t="array" aca="1" ref="L198" ca="1">_xll.d.Logic_IsTrue(_xll.d.Formatting_Equal(C198,I198))</f>
        <v>OK</v>
      </c>
    </row>
    <row r="199" spans="2:55" x14ac:dyDescent="0.25">
      <c r="B199" s="168" t="s">
        <v>57</v>
      </c>
      <c r="C199" s="168" t="s">
        <v>26</v>
      </c>
      <c r="E199" s="157" t="s">
        <v>57</v>
      </c>
      <c r="F199" s="158" t="s">
        <v>26</v>
      </c>
      <c r="H199" s="169" t="s">
        <v>57</v>
      </c>
      <c r="I199" s="169" t="s">
        <v>26</v>
      </c>
      <c r="K199" s="210" t="str" cm="1">
        <f t="array" aca="1" ref="K199" ca="1">_xll.d.Logic_IsTrue(_xll.d.Formatting_Equal(B199,H199))</f>
        <v>OK</v>
      </c>
      <c r="L199" s="210" t="str" cm="1">
        <f t="array" aca="1" ref="L199" ca="1">_xll.d.Logic_IsTrue(_xll.d.Formatting_Equal(C199,I199))</f>
        <v>OK</v>
      </c>
    </row>
    <row r="202" spans="2:55" ht="18.75" x14ac:dyDescent="0.3">
      <c r="B202" s="3" t="s">
        <v>198</v>
      </c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4" spans="2:55" x14ac:dyDescent="0.25">
      <c r="B204" s="60" t="s">
        <v>145</v>
      </c>
      <c r="C204" s="210" t="str" cm="1">
        <f t="array" aca="1" ref="C204" ca="1">_xll.d.Logic_And(T215:X216)</f>
        <v>OK</v>
      </c>
    </row>
    <row r="206" spans="2:55" x14ac:dyDescent="0.25">
      <c r="B206" s="60" t="s">
        <v>120</v>
      </c>
      <c r="C206" s="60" t="s">
        <v>33</v>
      </c>
    </row>
    <row r="207" spans="2:55" x14ac:dyDescent="0.25">
      <c r="B207" s="110" t="s">
        <v>115</v>
      </c>
      <c r="C207" s="111" t="s">
        <v>139</v>
      </c>
    </row>
    <row r="208" spans="2:55" x14ac:dyDescent="0.25">
      <c r="B208" s="104" t="s">
        <v>116</v>
      </c>
      <c r="C208" s="105" t="s">
        <v>137</v>
      </c>
    </row>
    <row r="209" spans="2:24" x14ac:dyDescent="0.25">
      <c r="B209" s="162" t="s">
        <v>127</v>
      </c>
      <c r="C209" s="163"/>
    </row>
    <row r="211" spans="2:24" x14ac:dyDescent="0.25">
      <c r="B211" t="s">
        <v>141</v>
      </c>
    </row>
    <row r="213" spans="2:24" x14ac:dyDescent="0.25">
      <c r="B213" s="82" t="s">
        <v>94</v>
      </c>
      <c r="H213" s="82" t="s">
        <v>113</v>
      </c>
      <c r="N213" s="82" t="s">
        <v>114</v>
      </c>
      <c r="T213" s="82" t="s">
        <v>148</v>
      </c>
    </row>
    <row r="214" spans="2:24" x14ac:dyDescent="0.25">
      <c r="B214" s="168"/>
      <c r="C214" s="168"/>
      <c r="L214" s="169"/>
      <c r="M214" s="169"/>
    </row>
    <row r="215" spans="2:24" ht="15" customHeight="1" x14ac:dyDescent="0.25">
      <c r="B215" s="273" t="s">
        <v>58</v>
      </c>
      <c r="C215" s="255" t="s">
        <v>32</v>
      </c>
      <c r="D215" s="153" t="s">
        <v>13</v>
      </c>
      <c r="E215" s="257" t="s">
        <v>36</v>
      </c>
      <c r="F215" s="154" t="s">
        <v>57</v>
      </c>
      <c r="H215" s="169" t="s">
        <v>58</v>
      </c>
      <c r="I215" s="169" t="s">
        <v>32</v>
      </c>
      <c r="J215" s="169" t="s">
        <v>13</v>
      </c>
      <c r="K215" s="169" t="s">
        <v>36</v>
      </c>
      <c r="L215" s="169" t="s">
        <v>57</v>
      </c>
      <c r="N215" s="268" t="s">
        <v>58</v>
      </c>
      <c r="O215" s="212" t="s">
        <v>32</v>
      </c>
      <c r="P215" s="261" t="s">
        <v>13</v>
      </c>
      <c r="Q215" s="262" t="s">
        <v>36</v>
      </c>
      <c r="R215" s="263" t="s">
        <v>57</v>
      </c>
      <c r="T215" s="210" t="str" cm="1">
        <f t="array" aca="1" ref="T215" ca="1">_xll.d.Logic_IsTrue(_xll.d.Formatting_Equal(B215,N215))</f>
        <v>OK</v>
      </c>
      <c r="U215" s="210" t="str" cm="1">
        <f t="array" aca="1" ref="U215" ca="1">_xll.d.Logic_IsTrue(_xll.d.Formatting_Equal(C215,O215))</f>
        <v>OK</v>
      </c>
      <c r="V215" s="210" t="str" cm="1">
        <f t="array" aca="1" ref="V215" ca="1">_xll.d.Logic_IsTrue(_xll.d.Formatting_Equal(D215,P215))</f>
        <v>OK</v>
      </c>
      <c r="W215" s="210" t="str" cm="1">
        <f t="array" aca="1" ref="W215" ca="1">_xll.d.Logic_IsTrue(_xll.d.Formatting_Equal(E215,Q215))</f>
        <v>OK</v>
      </c>
      <c r="X215" s="210" t="str" cm="1">
        <f t="array" aca="1" ref="X215" ca="1">_xll.d.Logic_IsTrue(_xll.d.Formatting_Equal(F215,R215))</f>
        <v>OK</v>
      </c>
    </row>
    <row r="216" spans="2:24" x14ac:dyDescent="0.25">
      <c r="B216" s="274"/>
      <c r="C216" s="256" t="s">
        <v>33</v>
      </c>
      <c r="D216" s="157" t="s">
        <v>47</v>
      </c>
      <c r="E216" s="258" t="s">
        <v>37</v>
      </c>
      <c r="F216" s="158" t="s">
        <v>26</v>
      </c>
      <c r="H216" s="169"/>
      <c r="I216" s="169" t="s">
        <v>33</v>
      </c>
      <c r="J216" s="169" t="s">
        <v>47</v>
      </c>
      <c r="K216" s="169" t="s">
        <v>37</v>
      </c>
      <c r="L216" s="169" t="s">
        <v>26</v>
      </c>
      <c r="N216" s="270"/>
      <c r="O216" s="214" t="s">
        <v>33</v>
      </c>
      <c r="P216" s="264" t="s">
        <v>47</v>
      </c>
      <c r="Q216" s="265" t="s">
        <v>37</v>
      </c>
      <c r="R216" s="266" t="s">
        <v>26</v>
      </c>
      <c r="T216" s="210" t="str" cm="1">
        <f t="array" aca="1" ref="T216" ca="1">_xll.d.Logic_IsTrue(_xll.d.Formatting_Equal(B216,N216))</f>
        <v>OK</v>
      </c>
      <c r="U216" s="210" t="str" cm="1">
        <f t="array" aca="1" ref="U216" ca="1">_xll.d.Logic_IsTrue(_xll.d.Formatting_Equal(C216,O216))</f>
        <v>OK</v>
      </c>
      <c r="V216" s="210" t="str" cm="1">
        <f t="array" aca="1" ref="V216" ca="1">_xll.d.Logic_IsTrue(_xll.d.Formatting_Equal(D216,P216))</f>
        <v>OK</v>
      </c>
      <c r="W216" s="210" t="str" cm="1">
        <f t="array" aca="1" ref="W216" ca="1">_xll.d.Logic_IsTrue(_xll.d.Formatting_Equal(E216,Q216))</f>
        <v>OK</v>
      </c>
      <c r="X216" s="210" t="str" cm="1">
        <f t="array" aca="1" ref="X216" ca="1">_xll.d.Logic_IsTrue(_xll.d.Formatting_Equal(F216,R216))</f>
        <v>OK</v>
      </c>
    </row>
  </sheetData>
  <mergeCells count="5">
    <mergeCell ref="B105:B121"/>
    <mergeCell ref="H141:H157"/>
    <mergeCell ref="N105:N121"/>
    <mergeCell ref="B215:B216"/>
    <mergeCell ref="N215:N216"/>
  </mergeCells>
  <conditionalFormatting sqref="C4">
    <cfRule type="cellIs" dxfId="50" priority="7" stopIfTrue="1" operator="equal">
      <formula>"ERROR"</formula>
    </cfRule>
    <cfRule type="cellIs" dxfId="49" priority="8" stopIfTrue="1" operator="equal">
      <formula>"OK"</formula>
    </cfRule>
    <cfRule type="cellIs" dxfId="48" priority="9" stopIfTrue="1" operator="equal">
      <formula>"WARNING"</formula>
    </cfRule>
  </conditionalFormatting>
  <conditionalFormatting sqref="C7:C12">
    <cfRule type="cellIs" dxfId="47" priority="10" stopIfTrue="1" operator="equal">
      <formula>"ERROR"</formula>
    </cfRule>
    <cfRule type="cellIs" dxfId="46" priority="11" stopIfTrue="1" operator="equal">
      <formula>"OK"</formula>
    </cfRule>
    <cfRule type="cellIs" dxfId="45" priority="12" stopIfTrue="1" operator="equal">
      <formula>"WARNING"</formula>
    </cfRule>
  </conditionalFormatting>
  <conditionalFormatting sqref="C42">
    <cfRule type="cellIs" dxfId="44" priority="13" stopIfTrue="1" operator="equal">
      <formula>"ERROR"</formula>
    </cfRule>
    <cfRule type="cellIs" dxfId="43" priority="14" stopIfTrue="1" operator="equal">
      <formula>"OK"</formula>
    </cfRule>
    <cfRule type="cellIs" dxfId="42" priority="15" stopIfTrue="1" operator="equal">
      <formula>"WARNING"</formula>
    </cfRule>
  </conditionalFormatting>
  <conditionalFormatting sqref="BD57:BT61">
    <cfRule type="cellIs" dxfId="41" priority="16" stopIfTrue="1" operator="equal">
      <formula>"ERROR"</formula>
    </cfRule>
    <cfRule type="cellIs" dxfId="40" priority="17" stopIfTrue="1" operator="equal">
      <formula>"OK"</formula>
    </cfRule>
    <cfRule type="cellIs" dxfId="39" priority="18" stopIfTrue="1" operator="equal">
      <formula>"WARNING"</formula>
    </cfRule>
  </conditionalFormatting>
  <conditionalFormatting sqref="C66">
    <cfRule type="cellIs" dxfId="38" priority="19" stopIfTrue="1" operator="equal">
      <formula>"ERROR"</formula>
    </cfRule>
    <cfRule type="cellIs" dxfId="37" priority="20" stopIfTrue="1" operator="equal">
      <formula>"OK"</formula>
    </cfRule>
    <cfRule type="cellIs" dxfId="36" priority="21" stopIfTrue="1" operator="equal">
      <formula>"WARNING"</formula>
    </cfRule>
  </conditionalFormatting>
  <conditionalFormatting sqref="BD81:BT85">
    <cfRule type="cellIs" dxfId="35" priority="22" stopIfTrue="1" operator="equal">
      <formula>"ERROR"</formula>
    </cfRule>
    <cfRule type="cellIs" dxfId="34" priority="23" stopIfTrue="1" operator="equal">
      <formula>"OK"</formula>
    </cfRule>
    <cfRule type="cellIs" dxfId="33" priority="24" stopIfTrue="1" operator="equal">
      <formula>"WARNING"</formula>
    </cfRule>
  </conditionalFormatting>
  <conditionalFormatting sqref="C90">
    <cfRule type="cellIs" dxfId="32" priority="25" stopIfTrue="1" operator="equal">
      <formula>"ERROR"</formula>
    </cfRule>
    <cfRule type="cellIs" dxfId="31" priority="26" stopIfTrue="1" operator="equal">
      <formula>"OK"</formula>
    </cfRule>
    <cfRule type="cellIs" dxfId="30" priority="27" stopIfTrue="1" operator="equal">
      <formula>"WARNING"</formula>
    </cfRule>
  </conditionalFormatting>
  <conditionalFormatting sqref="T105:X121">
    <cfRule type="cellIs" dxfId="29" priority="28" stopIfTrue="1" operator="equal">
      <formula>"ERROR"</formula>
    </cfRule>
    <cfRule type="cellIs" dxfId="28" priority="29" stopIfTrue="1" operator="equal">
      <formula>"OK"</formula>
    </cfRule>
    <cfRule type="cellIs" dxfId="27" priority="30" stopIfTrue="1" operator="equal">
      <formula>"WARNING"</formula>
    </cfRule>
  </conditionalFormatting>
  <conditionalFormatting sqref="C126">
    <cfRule type="cellIs" dxfId="26" priority="31" stopIfTrue="1" operator="equal">
      <formula>"ERROR"</formula>
    </cfRule>
    <cfRule type="cellIs" dxfId="25" priority="32" stopIfTrue="1" operator="equal">
      <formula>"OK"</formula>
    </cfRule>
    <cfRule type="cellIs" dxfId="24" priority="33" stopIfTrue="1" operator="equal">
      <formula>"WARNING"</formula>
    </cfRule>
  </conditionalFormatting>
  <conditionalFormatting sqref="T141:X157">
    <cfRule type="cellIs" dxfId="23" priority="34" stopIfTrue="1" operator="equal">
      <formula>"ERROR"</formula>
    </cfRule>
    <cfRule type="cellIs" dxfId="22" priority="35" stopIfTrue="1" operator="equal">
      <formula>"OK"</formula>
    </cfRule>
    <cfRule type="cellIs" dxfId="21" priority="36" stopIfTrue="1" operator="equal">
      <formula>"WARNING"</formula>
    </cfRule>
  </conditionalFormatting>
  <conditionalFormatting sqref="C162">
    <cfRule type="cellIs" dxfId="20" priority="37" stopIfTrue="1" operator="equal">
      <formula>"ERROR"</formula>
    </cfRule>
    <cfRule type="cellIs" dxfId="19" priority="38" stopIfTrue="1" operator="equal">
      <formula>"OK"</formula>
    </cfRule>
    <cfRule type="cellIs" dxfId="18" priority="39" stopIfTrue="1" operator="equal">
      <formula>"WARNING"</formula>
    </cfRule>
  </conditionalFormatting>
  <conditionalFormatting sqref="K175:L179">
    <cfRule type="cellIs" dxfId="17" priority="40" stopIfTrue="1" operator="equal">
      <formula>"ERROR"</formula>
    </cfRule>
    <cfRule type="cellIs" dxfId="16" priority="41" stopIfTrue="1" operator="equal">
      <formula>"OK"</formula>
    </cfRule>
    <cfRule type="cellIs" dxfId="15" priority="42" stopIfTrue="1" operator="equal">
      <formula>"WARNING"</formula>
    </cfRule>
  </conditionalFormatting>
  <conditionalFormatting sqref="K195:L199">
    <cfRule type="cellIs" dxfId="14" priority="43" stopIfTrue="1" operator="equal">
      <formula>"ERROR"</formula>
    </cfRule>
    <cfRule type="cellIs" dxfId="13" priority="44" stopIfTrue="1" operator="equal">
      <formula>"OK"</formula>
    </cfRule>
    <cfRule type="cellIs" dxfId="12" priority="45" stopIfTrue="1" operator="equal">
      <formula>"WARNING"</formula>
    </cfRule>
  </conditionalFormatting>
  <conditionalFormatting sqref="C184">
    <cfRule type="cellIs" dxfId="11" priority="46" stopIfTrue="1" operator="equal">
      <formula>"ERROR"</formula>
    </cfRule>
    <cfRule type="cellIs" dxfId="10" priority="47" stopIfTrue="1" operator="equal">
      <formula>"OK"</formula>
    </cfRule>
    <cfRule type="cellIs" dxfId="9" priority="48" stopIfTrue="1" operator="equal">
      <formula>"WARNING"</formula>
    </cfRule>
  </conditionalFormatting>
  <conditionalFormatting sqref="C204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15:X216">
    <cfRule type="cellIs" dxfId="5" priority="49" stopIfTrue="1" operator="equal">
      <formula>"ERROR"</formula>
    </cfRule>
    <cfRule type="cellIs" dxfId="4" priority="50" stopIfTrue="1" operator="equal">
      <formula>"OK"</formula>
    </cfRule>
    <cfRule type="cellIs" dxfId="3" priority="51" stopIfTrue="1" operator="equal">
      <formula>"WARNING"</formula>
    </cfRule>
  </conditionalFormatting>
  <conditionalFormatting sqref="C13">
    <cfRule type="cellIs" dxfId="2" priority="52" stopIfTrue="1" operator="equal">
      <formula>"ERROR"</formula>
    </cfRule>
    <cfRule type="cellIs" dxfId="1" priority="53" stopIfTrue="1" operator="equal">
      <formula>"OK"</formula>
    </cfRule>
    <cfRule type="cellIs" dxfId="0" priority="54" stopIfTrue="1" operator="equal">
      <formula>"WARNING"</formula>
    </cfRule>
  </conditionalFormatting>
  <hyperlinks>
    <hyperlink ref="B51:C51" location="TableFormatting.Test1.ResetTest" display="Reset Test" xr:uid="{C6E968F6-A89C-442F-A0AC-BA7ABF55F044}"/>
    <hyperlink ref="B75:C75" location="TableFormatting.Test2.ResetTest" display="Reset Test" xr:uid="{7E746732-EBEF-49E4-BE94-F57093061195}"/>
    <hyperlink ref="B99:C99" location="TableFormatting.Test3.ResetTest" display="Reset Test" xr:uid="{D41723A6-7013-49D9-B59B-B09BB98748D2}"/>
    <hyperlink ref="B135" location="TableFormatting.Test4.ResetTest" display="Reset Test" xr:uid="{917E8DDA-4904-498B-A095-7B7F3681FFF7}"/>
    <hyperlink ref="B135:C135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69" location="TableFormatting.Test4.ResetTest" display="Reset Test" xr:uid="{A346A7D6-BC13-45E1-A933-5844A359F14E}"/>
    <hyperlink ref="B169:C169" location="TableFormatting.Test5.ResetTest" display="Reset Test" xr:uid="{AE57B19C-0F52-459D-A81B-6B12F4B8A5E9}"/>
    <hyperlink ref="B189" location="TableFormatting.Test4.ResetTest" display="Reset Test" xr:uid="{3232C02B-4A1D-485A-87BF-BC3F4B1652B2}"/>
    <hyperlink ref="B189:C189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209" location="TableFormatting.Test4.ResetTest" display="Reset Test" xr:uid="{E26FBFB9-A010-4C10-8036-2BC9DCEE3656}"/>
    <hyperlink ref="B209:C209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Logic</vt:lpstr>
      <vt:lpstr>Table Formatting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2022-07-19T16:50:20Z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