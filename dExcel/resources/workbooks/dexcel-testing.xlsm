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C4F09AEB-3664-49EC-BB2D-7F675CB0CE6B}" xr6:coauthVersionLast="47" xr6:coauthVersionMax="47" xr10:uidLastSave="{00000000-0000-0000-0000-000000000000}"/>
  <bookViews>
    <workbookView xWindow="-120" yWindow="-120" windowWidth="24240" windowHeight="13140" tabRatio="721" activeTab="8" xr2:uid="{CFAC4E8B-1C32-41D2-A11E-38180CE9FB57}"/>
  </bookViews>
  <sheets>
    <sheet name="Summary" sheetId="8" r:id="rId1"/>
    <sheet name="Utilities" sheetId="12" r:id="rId2"/>
    <sheet name="Dates" sheetId="13" r:id="rId3"/>
    <sheet name="Mathematics" sheetId="14" r:id="rId4"/>
    <sheet name="Stats" sheetId="15" r:id="rId5"/>
    <sheet name="Interest Rates" sheetId="6" r:id="rId6"/>
    <sheet name="Curves" sheetId="1" r:id="rId7"/>
    <sheet name="SinlgeCurveBootstrapping" sheetId="3" r:id="rId8"/>
    <sheet name="MultiCurveBootstrapping" sheetId="4" r:id="rId9"/>
    <sheet name="HullWhite" sheetId="2" r:id="rId10"/>
    <sheet name="Fixed Income Instruments" sheetId="10" r:id="rId11"/>
    <sheet name="Interest Rate Swaps" sheetId="11" r:id="rId12"/>
    <sheet name="Other" sheetId="7" r:id="rId13"/>
    <sheet name="Test Utils" sheetId="9" r:id="rId14"/>
    <sheet name="Table Formatting" sheetId="5" r:id="rId15"/>
  </sheets>
  <definedNames>
    <definedName name="Curves.Title" localSheetId="2">Dates!$B$2</definedName>
    <definedName name="Curves.Title" localSheetId="3">Mathematics!$B$2</definedName>
    <definedName name="Curves.Title" localSheetId="4">Stats!$B$2</definedName>
    <definedName name="Curves.Title">Curves!$B$2</definedName>
    <definedName name="Logic.Title">'Test Utils'!$B$2</definedName>
    <definedName name="Summary.ResetTestsInAllSheets">Summary!$B$6:$C$6</definedName>
    <definedName name="Summary.RunTestsInAllSheets">Summary!$B$5:$C$5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Formatting'!$T$39:$AJ$43</definedName>
    <definedName name="TableFormatting.Test1.Output">'Table Formatting'!$AL$39:$BB$43</definedName>
    <definedName name="TableFormatting.Test1.ResetTest">'Table Formatting'!$B$33:$C$33</definedName>
    <definedName name="TableFormatting.Test1.Title">'Table Formatting'!$B$22</definedName>
    <definedName name="TableFormatting.Test2.Input">'Table Formatting'!$T$63:$AJ$67</definedName>
    <definedName name="TableFormatting.Test2.Output">'Table Formatting'!$AL$63:$BB$67</definedName>
    <definedName name="TableFormatting.Test2.ResetTest">'Table Formatting'!$B$57:$C$57</definedName>
    <definedName name="TableFormatting.Test2.Title">'Table Formatting'!$B$46</definedName>
    <definedName name="TableFormatting.Test3.Expected.PrimaryHeader">'Table Formatting'!$B$87</definedName>
    <definedName name="TableFormatting.Test3.Input">'Table Formatting'!$H$87:$L$103</definedName>
    <definedName name="TableFormatting.Test3.Output">'Table Formatting'!$N$87:$R$103</definedName>
    <definedName name="TableFormatting.Test3.Output.PrimaryHeader">'Table Formatting'!$N$87</definedName>
    <definedName name="TableFormatting.Test3.ResetTest">'Table Formatting'!$B$81:$C$81</definedName>
    <definedName name="TableFormatting.Test3.Title">'Table Formatting'!$B$70</definedName>
    <definedName name="TableFormatting.Test4.Input">'Table Formatting'!$H$123:$L$139</definedName>
    <definedName name="TableFormatting.Test4.Output">'Table Formatting'!$N$123:$R$139</definedName>
    <definedName name="TableFormatting.Test4.ResetTest">'Table Formatting'!$B$117:$C$117</definedName>
    <definedName name="TableFormatting.Test4.Title">'Table Formatting'!$B$106</definedName>
    <definedName name="TableFormatting.Test5.Input">'Table Formatting'!$E$157:$F$161</definedName>
    <definedName name="TableFormatting.Test5.Output">'Table Formatting'!$H$157:$I$161</definedName>
    <definedName name="TableFormatting.Test5.ResetTest">'Table Formatting'!$B$151:$C$151</definedName>
    <definedName name="TableFormatting.Test5.Title">'Table Formatting'!$B$142</definedName>
    <definedName name="TableFormatting.Test6.Input">'Table Formatting'!$E$177:$F$181</definedName>
    <definedName name="TableFormatting.Test6.Output">'Table Formatting'!$H$177:$I$181</definedName>
    <definedName name="TableFormatting.Test6.ResetTest">'Table Formatting'!$B$171:$C$171</definedName>
    <definedName name="TableFormatting.Test6.Title">'Table Formatting'!$B$164</definedName>
    <definedName name="TableFormatting.Test7.Expected.PrimaryHeader">'Table Formatting'!$B$197</definedName>
    <definedName name="TableFormatting.Test7.Input">'Table Formatting'!$H$197:$L$198</definedName>
    <definedName name="TableFormatting.Test7.Output">'Table Formatting'!$N$197:$R$198</definedName>
    <definedName name="TableFormatting.Test7.Output.PrimaryHeader">'Table Formatting'!$N$197:$N$198</definedName>
    <definedName name="TableFormatting.Test7.ResetTest">'Table Formatting'!$B$191:$C$191</definedName>
    <definedName name="TableFormatting.Test7.Title">'Table Formatting'!$B$184</definedName>
    <definedName name="TableFormatting.Test8.Expected.PrimaryHeader">'Table Formatting'!$B$219</definedName>
    <definedName name="TableFormatting.Test8.Input">'Table Formatting'!$H$217:$L$223</definedName>
    <definedName name="TableFormatting.Test8.Output">'Table Formatting'!$N$217:$R$223</definedName>
    <definedName name="TableFormatting.Test8.Output.PrimaryHeader">'Table Formatting'!$N$219</definedName>
    <definedName name="TableFormatting.Test8.ResetTest">'Table Formatting'!$B$211:$C$211</definedName>
    <definedName name="TableFormatting.Test8.Title">'Table Formatting'!$B$201</definedName>
    <definedName name="TableFormatting.Title">'Table Formatting'!$B$2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8" l="1"/>
  <c r="Y35" i="15"/>
  <c r="Z35" i="15"/>
  <c r="X35" i="15"/>
  <c r="Y34" i="15"/>
  <c r="Z34" i="15"/>
  <c r="X34" i="15"/>
  <c r="Y33" i="15"/>
  <c r="Z33" i="15"/>
  <c r="X33" i="15"/>
  <c r="J34" i="15"/>
  <c r="I34" i="15"/>
  <c r="J33" i="15"/>
  <c r="I33" i="15"/>
  <c r="AF18" i="14"/>
  <c r="T20" i="14"/>
  <c r="T19" i="14"/>
  <c r="O18" i="14"/>
  <c r="G18" i="14"/>
  <c r="R33" i="3"/>
  <c r="R34" i="3"/>
  <c r="R35" i="3"/>
  <c r="R36" i="3"/>
  <c r="R37" i="3"/>
  <c r="R38" i="3"/>
  <c r="R39" i="3"/>
  <c r="W30" i="14" a="1"/>
  <c r="B186" i="13" a="1"/>
  <c r="L155" i="13" a="1"/>
  <c r="S128" i="13" a="1"/>
  <c r="L70" i="13" a="1"/>
  <c r="Z40" i="13" a="1"/>
  <c r="L25" i="13" a="1"/>
  <c r="E128" i="13" a="1"/>
  <c r="L40" i="13" a="1"/>
  <c r="B171" i="13" a="1"/>
  <c r="L128" i="13" a="1"/>
  <c r="E70" i="13" a="1"/>
  <c r="S40" i="13" a="1"/>
  <c r="E25" i="13" a="1"/>
  <c r="Z155" i="13" a="1"/>
  <c r="Z55" i="13" a="1"/>
  <c r="S70" i="13" a="1"/>
  <c r="S155" i="13" a="1"/>
  <c r="E155" i="13" a="1"/>
  <c r="B84" i="13" a="1"/>
  <c r="S55" i="13" a="1"/>
  <c r="E40" i="13" a="1"/>
  <c r="Z25" i="13" a="1"/>
  <c r="S25" i="13" a="1"/>
  <c r="Z70" i="13" a="1"/>
  <c r="L55" i="13" a="1"/>
  <c r="E55" i="13" a="1"/>
  <c r="L115" i="13" a="1"/>
  <c r="O98" i="13" a="1"/>
  <c r="M114" i="13" a="1"/>
  <c r="N113" i="13" a="1"/>
  <c r="O104" i="13" a="1"/>
  <c r="M101" i="13" a="1"/>
  <c r="I171" i="13" a="1"/>
  <c r="M91" i="13" a="1"/>
  <c r="M89" i="13" a="1"/>
  <c r="G135" i="13" a="1"/>
  <c r="L101" i="13" a="1"/>
  <c r="L93" i="13" a="1"/>
  <c r="N112" i="13" a="1"/>
  <c r="L89" i="13" a="1"/>
  <c r="O113" i="13" a="1"/>
  <c r="BG30" i="14" a="1"/>
  <c r="X217" i="5" a="1"/>
  <c r="T87" i="5" a="1"/>
  <c r="T103" i="5" a="1"/>
  <c r="W221" i="5" a="1"/>
  <c r="N96" i="13" a="1"/>
  <c r="M48" i="15" a="1"/>
  <c r="T101" i="5" a="1"/>
  <c r="T33" i="15" a="1"/>
  <c r="AC35" i="15" s="1" a="1"/>
  <c r="L104" i="13" a="1"/>
  <c r="N115" i="13" a="1"/>
  <c r="N187" i="13" a="1"/>
  <c r="N97" i="13" a="1"/>
  <c r="O88" i="13" a="1"/>
  <c r="M85" i="13" a="1"/>
  <c r="N90" i="13" a="1"/>
  <c r="M186" i="13" a="1"/>
  <c r="O190" i="13" a="1"/>
  <c r="O188" i="13" a="1"/>
  <c r="O96" i="13" a="1"/>
  <c r="L114" i="13" a="1"/>
  <c r="M115" i="13" a="1"/>
  <c r="O97" i="13" a="1"/>
  <c r="N18" i="14" a="1"/>
  <c r="AB34" i="15" a="1"/>
  <c r="D48" i="15" a="1"/>
  <c r="X222" i="5" a="1"/>
  <c r="U217" i="5" a="1"/>
  <c r="T219" i="5" a="1"/>
  <c r="N109" i="13" a="1"/>
  <c r="L99" i="13" a="1"/>
  <c r="H174" i="13" a="1"/>
  <c r="V222" i="5" a="1"/>
  <c r="U222" i="5" a="1"/>
  <c r="O99" i="13" a="1"/>
  <c r="W222" i="5" a="1"/>
  <c r="G130" i="13" a="1"/>
  <c r="D24" i="3" a="1"/>
  <c r="L105" i="13" a="1"/>
  <c r="O111" i="13" a="1"/>
  <c r="O187" i="13" a="1"/>
  <c r="M93" i="13" a="1"/>
  <c r="M109" i="13" a="1"/>
  <c r="G132" i="13" a="1"/>
  <c r="G133" i="13" a="1"/>
  <c r="L102" i="13" a="1"/>
  <c r="O112" i="13" a="1"/>
  <c r="O109" i="13" a="1"/>
  <c r="O92" i="13" a="1"/>
  <c r="N104" i="13" a="1"/>
  <c r="L106" i="13" a="1"/>
  <c r="O94" i="13" a="1"/>
  <c r="I174" i="13" a="1"/>
  <c r="AD35" i="15" a="1"/>
  <c r="T93" i="5" a="1"/>
  <c r="X221" i="5" a="1"/>
  <c r="V217" i="5" a="1"/>
  <c r="V218" i="5" a="1"/>
  <c r="T94" i="5" a="1"/>
  <c r="V221" i="5" a="1"/>
  <c r="O95" i="13" a="1"/>
  <c r="N186" i="13" a="1"/>
  <c r="H173" i="13" a="1"/>
  <c r="T92" i="5" a="1"/>
  <c r="G134" i="13" a="1"/>
  <c r="N99" i="13" a="1"/>
  <c r="N86" i="13" a="1"/>
  <c r="O189" i="13" a="1"/>
  <c r="O89" i="13" a="1"/>
  <c r="I172" i="13" a="1"/>
  <c r="M102" i="13" a="1"/>
  <c r="O108" i="13" a="1"/>
  <c r="L108" i="13" a="1"/>
  <c r="M103" i="13" a="1"/>
  <c r="L92" i="13" a="1"/>
  <c r="L111" i="13" a="1"/>
  <c r="L112" i="13" a="1"/>
  <c r="I173" i="13" a="1"/>
  <c r="AE18" i="14" a="1"/>
  <c r="AJ19" i="15" a="1"/>
  <c r="U219" i="5" a="1"/>
  <c r="T218" i="5" a="1"/>
  <c r="X218" i="5" a="1"/>
  <c r="T90" i="5" a="1"/>
  <c r="M87" i="13" a="1"/>
  <c r="N88" i="13" a="1"/>
  <c r="AB19" i="15" a="1"/>
  <c r="L103" i="13" a="1"/>
  <c r="L190" i="13" a="1"/>
  <c r="M187" i="13" a="1"/>
  <c r="L95" i="13" a="1"/>
  <c r="N114" i="13" a="1"/>
  <c r="M111" i="13" a="1"/>
  <c r="O105" i="13" a="1"/>
  <c r="O86" i="13" a="1"/>
  <c r="L85" i="13" a="1"/>
  <c r="N107" i="13" a="1"/>
  <c r="M88" i="13" a="1"/>
  <c r="L188" i="13" a="1"/>
  <c r="L109" i="13" a="1"/>
  <c r="N84" i="13" a="1"/>
  <c r="L87" i="13" a="1"/>
  <c r="I175" i="13" a="1"/>
  <c r="J30" i="14" a="1"/>
  <c r="AB35" i="15" a="1"/>
  <c r="U221" i="5" a="1"/>
  <c r="U220" i="5" a="1"/>
  <c r="T95" i="5" a="1"/>
  <c r="W220" i="5" a="1"/>
  <c r="T89" i="5" a="1"/>
  <c r="G129" i="13" a="1"/>
  <c r="M110" i="13" a="1"/>
  <c r="BC18" i="14" a="1"/>
  <c r="W219" i="5" a="1"/>
  <c r="N188" i="13" a="1"/>
  <c r="O91" i="13" a="1"/>
  <c r="L96" i="13" a="1"/>
  <c r="O102" i="13" a="1"/>
  <c r="M104" i="13" a="1"/>
  <c r="L110" i="13" a="1"/>
  <c r="V223" i="5" a="1"/>
  <c r="M189" i="13" a="1"/>
  <c r="M190" i="13" a="1"/>
  <c r="O107" i="13" a="1"/>
  <c r="N91" i="13" a="1"/>
  <c r="M84" i="13" a="1"/>
  <c r="M188" i="13" a="1"/>
  <c r="N92" i="13" a="1"/>
  <c r="L91" i="13" a="1"/>
  <c r="M97" i="13" a="1"/>
  <c r="M94" i="13" a="1"/>
  <c r="M112" i="13" a="1"/>
  <c r="N100" i="13" a="1"/>
  <c r="F18" i="14" a="1"/>
  <c r="X48" i="15" a="1"/>
  <c r="T19" i="15" a="1"/>
  <c r="T99" i="5" a="1"/>
  <c r="T96" i="5" a="1"/>
  <c r="T222" i="5" a="1"/>
  <c r="T88" i="5" a="1"/>
  <c r="N89" i="13" a="1"/>
  <c r="O100" i="13" a="1"/>
  <c r="N110" i="13" a="1"/>
  <c r="N101" i="13" a="1"/>
  <c r="M99" i="13" a="1"/>
  <c r="T221" i="5" a="1"/>
  <c r="E35" i="9" a="1"/>
  <c r="L189" i="13" a="1"/>
  <c r="L88" i="13" a="1"/>
  <c r="O87" i="13" a="1"/>
  <c r="O84" i="13" a="1"/>
  <c r="M86" i="13" a="1"/>
  <c r="M107" i="13" a="1"/>
  <c r="M100" i="13" a="1"/>
  <c r="L113" i="13" a="1"/>
  <c r="M105" i="13" a="1"/>
  <c r="M90" i="13" a="1"/>
  <c r="H172" i="13" a="1"/>
  <c r="N85" i="13" a="1"/>
  <c r="O115" i="13" a="1"/>
  <c r="O85" i="13" a="1"/>
  <c r="N116" i="13" a="1"/>
  <c r="AU18" i="14" a="1"/>
  <c r="F19" i="15" a="1"/>
  <c r="AD34" i="15" a="1"/>
  <c r="X219" i="5" a="1"/>
  <c r="V220" i="5" a="1"/>
  <c r="X220" i="5" a="1"/>
  <c r="T98" i="5" a="1"/>
  <c r="O103" i="13" a="1"/>
  <c r="O186" i="13" a="1"/>
  <c r="M116" i="13" a="1"/>
  <c r="N111" i="13" a="1"/>
  <c r="O106" i="13" a="1"/>
  <c r="F33" i="15" a="1"/>
  <c r="L34" i="15" s="1" a="1"/>
  <c r="O117" i="13" a="1"/>
  <c r="O101" i="13" a="1"/>
  <c r="L90" i="13" a="1"/>
  <c r="L117" i="13" a="1"/>
  <c r="N106" i="13" a="1"/>
  <c r="M106" i="13" a="1"/>
  <c r="N189" i="13" a="1"/>
  <c r="N95" i="13" a="1"/>
  <c r="L107" i="13" a="1"/>
  <c r="O110" i="13" a="1"/>
  <c r="L116" i="13" a="1"/>
  <c r="N117" i="13" a="1"/>
  <c r="N105" i="13" a="1"/>
  <c r="N87" i="13" a="1"/>
  <c r="M108" i="13" a="1"/>
  <c r="AU30" i="14" a="1"/>
  <c r="AC34" i="15" a="1"/>
  <c r="M33" i="15" a="1"/>
  <c r="T100" i="5" a="1"/>
  <c r="U218" i="5" a="1"/>
  <c r="T97" i="5" a="1"/>
  <c r="W223" i="5" a="1"/>
  <c r="V219" i="5" a="1"/>
  <c r="M117" i="13" a="1"/>
  <c r="L86" i="13" a="1"/>
  <c r="O93" i="13" a="1"/>
  <c r="L100" i="13" a="1"/>
  <c r="W18" i="14" a="1"/>
  <c r="T217" i="5" a="1"/>
  <c r="X223" i="5" a="1"/>
  <c r="W217" i="5" a="1"/>
  <c r="M96" i="13" a="1"/>
  <c r="N108" i="13" a="1"/>
  <c r="M98" i="13" a="1"/>
  <c r="N190" i="13" a="1"/>
  <c r="L98" i="13" a="1"/>
  <c r="N98" i="13" a="1"/>
  <c r="N102" i="13" a="1"/>
  <c r="M113" i="13" a="1"/>
  <c r="N93" i="13" a="1"/>
  <c r="L187" i="13" a="1"/>
  <c r="O90" i="13" a="1"/>
  <c r="L94" i="13" a="1"/>
  <c r="O116" i="13" a="1"/>
  <c r="N103" i="13" a="1"/>
  <c r="M92" i="13" a="1"/>
  <c r="AI30" i="14" a="1"/>
  <c r="AC33" i="15" a="1"/>
  <c r="M34" i="15" a="1"/>
  <c r="W218" i="5" a="1"/>
  <c r="T102" i="5" a="1"/>
  <c r="T220" i="5" a="1"/>
  <c r="T223" i="5" a="1"/>
  <c r="M95" i="13" a="1"/>
  <c r="N94" i="13" a="1"/>
  <c r="L97" i="13" a="1"/>
  <c r="O114" i="13" a="1"/>
  <c r="AD33" i="15" a="1"/>
  <c r="T91" i="5" a="1"/>
  <c r="U223" i="5" a="1"/>
  <c r="AM18" i="14" a="1"/>
  <c r="G136" i="13" a="1"/>
  <c r="W30" i="14" l="1"/>
  <c r="E55" i="13"/>
  <c r="L55" i="13"/>
  <c r="Z70" i="13"/>
  <c r="S25" i="13"/>
  <c r="Z25" i="13"/>
  <c r="E40" i="13"/>
  <c r="S55" i="13"/>
  <c r="B84" i="13"/>
  <c r="E155" i="13"/>
  <c r="E156" i="13"/>
  <c r="E157" i="13"/>
  <c r="E158" i="13"/>
  <c r="E159" i="13"/>
  <c r="S157" i="13"/>
  <c r="S155" i="13"/>
  <c r="S158" i="13"/>
  <c r="S159" i="13"/>
  <c r="S156" i="13"/>
  <c r="S70" i="13"/>
  <c r="Z55" i="13"/>
  <c r="Z155" i="13"/>
  <c r="E25" i="13"/>
  <c r="S40" i="13"/>
  <c r="E70" i="13"/>
  <c r="L128" i="13"/>
  <c r="B171" i="13"/>
  <c r="L40" i="13"/>
  <c r="E128" i="13"/>
  <c r="L25" i="13"/>
  <c r="Z40" i="13"/>
  <c r="L70" i="13"/>
  <c r="S128" i="13"/>
  <c r="L155" i="13"/>
  <c r="L158" i="13"/>
  <c r="L156" i="13"/>
  <c r="L157" i="13"/>
  <c r="L159" i="13"/>
  <c r="B186" i="13"/>
  <c r="N48" i="15"/>
  <c r="Q49" i="15"/>
  <c r="O51" i="15"/>
  <c r="M53" i="15"/>
  <c r="P54" i="15"/>
  <c r="N56" i="15"/>
  <c r="Q57" i="15"/>
  <c r="O59" i="15"/>
  <c r="M61" i="15"/>
  <c r="P62" i="15"/>
  <c r="N64" i="15"/>
  <c r="O48" i="15"/>
  <c r="M50" i="15"/>
  <c r="P51" i="15"/>
  <c r="N53" i="15"/>
  <c r="Q54" i="15"/>
  <c r="O56" i="15"/>
  <c r="M58" i="15"/>
  <c r="P59" i="15"/>
  <c r="N61" i="15"/>
  <c r="Q62" i="15"/>
  <c r="O64" i="15"/>
  <c r="M66" i="15"/>
  <c r="P67" i="15"/>
  <c r="N69" i="15"/>
  <c r="Q70" i="15"/>
  <c r="O72" i="15"/>
  <c r="M74" i="15"/>
  <c r="P75" i="15"/>
  <c r="N77" i="15"/>
  <c r="Q78" i="15"/>
  <c r="O80" i="15"/>
  <c r="M82" i="15"/>
  <c r="P83" i="15"/>
  <c r="N85" i="15"/>
  <c r="Q86" i="15"/>
  <c r="P48" i="15"/>
  <c r="N50" i="15"/>
  <c r="Q51" i="15"/>
  <c r="O53" i="15"/>
  <c r="M55" i="15"/>
  <c r="P56" i="15"/>
  <c r="N58" i="15"/>
  <c r="Q59" i="15"/>
  <c r="O61" i="15"/>
  <c r="M63" i="15"/>
  <c r="P64" i="15"/>
  <c r="N66" i="15"/>
  <c r="Q67" i="15"/>
  <c r="O69" i="15"/>
  <c r="M71" i="15"/>
  <c r="P72" i="15"/>
  <c r="N74" i="15"/>
  <c r="Q75" i="15"/>
  <c r="O77" i="15"/>
  <c r="M79" i="15"/>
  <c r="P80" i="15"/>
  <c r="N82" i="15"/>
  <c r="Q83" i="15"/>
  <c r="O85" i="15"/>
  <c r="M87" i="15"/>
  <c r="Q48" i="15"/>
  <c r="O50" i="15"/>
  <c r="M52" i="15"/>
  <c r="P53" i="15"/>
  <c r="N55" i="15"/>
  <c r="Q56" i="15"/>
  <c r="O58" i="15"/>
  <c r="M60" i="15"/>
  <c r="P61" i="15"/>
  <c r="N63" i="15"/>
  <c r="Q64" i="15"/>
  <c r="O66" i="15"/>
  <c r="M68" i="15"/>
  <c r="P69" i="15"/>
  <c r="N71" i="15"/>
  <c r="Q72" i="15"/>
  <c r="O74" i="15"/>
  <c r="M76" i="15"/>
  <c r="P77" i="15"/>
  <c r="N79" i="15"/>
  <c r="Q80" i="15"/>
  <c r="O82" i="15"/>
  <c r="M84" i="15"/>
  <c r="P85" i="15"/>
  <c r="N87" i="15"/>
  <c r="M49" i="15"/>
  <c r="P50" i="15"/>
  <c r="N52" i="15"/>
  <c r="Q53" i="15"/>
  <c r="O55" i="15"/>
  <c r="M57" i="15"/>
  <c r="P58" i="15"/>
  <c r="N60" i="15"/>
  <c r="Q61" i="15"/>
  <c r="O63" i="15"/>
  <c r="N49" i="15"/>
  <c r="Q50" i="15"/>
  <c r="O52" i="15"/>
  <c r="M54" i="15"/>
  <c r="P55" i="15"/>
  <c r="N57" i="15"/>
  <c r="Q58" i="15"/>
  <c r="O60" i="15"/>
  <c r="M62" i="15"/>
  <c r="P63" i="15"/>
  <c r="N65" i="15"/>
  <c r="Q66" i="15"/>
  <c r="O68" i="15"/>
  <c r="M70" i="15"/>
  <c r="P71" i="15"/>
  <c r="N73" i="15"/>
  <c r="Q74" i="15"/>
  <c r="O76" i="15"/>
  <c r="M78" i="15"/>
  <c r="P79" i="15"/>
  <c r="N81" i="15"/>
  <c r="Q82" i="15"/>
  <c r="O84" i="15"/>
  <c r="M86" i="15"/>
  <c r="P87" i="15"/>
  <c r="O49" i="15"/>
  <c r="M51" i="15"/>
  <c r="P52" i="15"/>
  <c r="N54" i="15"/>
  <c r="Q55" i="15"/>
  <c r="O57" i="15"/>
  <c r="M59" i="15"/>
  <c r="P60" i="15"/>
  <c r="N62" i="15"/>
  <c r="Q63" i="15"/>
  <c r="O65" i="15"/>
  <c r="M67" i="15"/>
  <c r="P68" i="15"/>
  <c r="N70" i="15"/>
  <c r="Q71" i="15"/>
  <c r="O73" i="15"/>
  <c r="M75" i="15"/>
  <c r="P76" i="15"/>
  <c r="N78" i="15"/>
  <c r="Q79" i="15"/>
  <c r="M48" i="15"/>
  <c r="Q60" i="15"/>
  <c r="O67" i="15"/>
  <c r="M72" i="15"/>
  <c r="N76" i="15"/>
  <c r="N80" i="15"/>
  <c r="O83" i="15"/>
  <c r="P86" i="15"/>
  <c r="M83" i="15"/>
  <c r="N51" i="15"/>
  <c r="M64" i="15"/>
  <c r="Q68" i="15"/>
  <c r="M73" i="15"/>
  <c r="M77" i="15"/>
  <c r="O81" i="15"/>
  <c r="P84" i="15"/>
  <c r="Q87" i="15"/>
  <c r="M56" i="15"/>
  <c r="P82" i="15"/>
  <c r="P70" i="15"/>
  <c r="Q52" i="15"/>
  <c r="M65" i="15"/>
  <c r="M69" i="15"/>
  <c r="P73" i="15"/>
  <c r="Q77" i="15"/>
  <c r="P81" i="15"/>
  <c r="Q84" i="15"/>
  <c r="Q65" i="15"/>
  <c r="O70" i="15"/>
  <c r="P74" i="15"/>
  <c r="P78" i="15"/>
  <c r="Q85" i="15"/>
  <c r="P57" i="15"/>
  <c r="O79" i="15"/>
  <c r="N86" i="15"/>
  <c r="O54" i="15"/>
  <c r="P65" i="15"/>
  <c r="Q69" i="15"/>
  <c r="Q73" i="15"/>
  <c r="O78" i="15"/>
  <c r="Q81" i="15"/>
  <c r="M85" i="15"/>
  <c r="P66" i="15"/>
  <c r="N59" i="15"/>
  <c r="N67" i="15"/>
  <c r="O71" i="15"/>
  <c r="O75" i="15"/>
  <c r="M80" i="15"/>
  <c r="N83" i="15"/>
  <c r="O86" i="15"/>
  <c r="P49" i="15"/>
  <c r="O62" i="15"/>
  <c r="N68" i="15"/>
  <c r="N72" i="15"/>
  <c r="Q76" i="15"/>
  <c r="M81" i="15"/>
  <c r="N84" i="15"/>
  <c r="O87" i="15"/>
  <c r="N75" i="15"/>
  <c r="Z87" i="15"/>
  <c r="AB85" i="15"/>
  <c r="Y84" i="15"/>
  <c r="AA82" i="15"/>
  <c r="X81" i="15"/>
  <c r="Z79" i="15"/>
  <c r="AB77" i="15"/>
  <c r="Y76" i="15"/>
  <c r="AA74" i="15"/>
  <c r="X73" i="15"/>
  <c r="Z71" i="15"/>
  <c r="AB69" i="15"/>
  <c r="Y68" i="15"/>
  <c r="AA66" i="15"/>
  <c r="X65" i="15"/>
  <c r="Z63" i="15"/>
  <c r="AB61" i="15"/>
  <c r="Y60" i="15"/>
  <c r="AA58" i="15"/>
  <c r="X57" i="15"/>
  <c r="Z55" i="15"/>
  <c r="AB53" i="15"/>
  <c r="Y52" i="15"/>
  <c r="AA50" i="15"/>
  <c r="X49" i="15"/>
  <c r="AA79" i="15"/>
  <c r="AB74" i="15"/>
  <c r="X70" i="15"/>
  <c r="AA63" i="15"/>
  <c r="AA55" i="15"/>
  <c r="Y87" i="15"/>
  <c r="AA85" i="15"/>
  <c r="X84" i="15"/>
  <c r="Z82" i="15"/>
  <c r="AB80" i="15"/>
  <c r="Y79" i="15"/>
  <c r="AA77" i="15"/>
  <c r="X76" i="15"/>
  <c r="Z74" i="15"/>
  <c r="AB72" i="15"/>
  <c r="Y71" i="15"/>
  <c r="AA69" i="15"/>
  <c r="X68" i="15"/>
  <c r="Z66" i="15"/>
  <c r="AB64" i="15"/>
  <c r="Y63" i="15"/>
  <c r="AA61" i="15"/>
  <c r="X60" i="15"/>
  <c r="Z58" i="15"/>
  <c r="AB56" i="15"/>
  <c r="Y55" i="15"/>
  <c r="AA53" i="15"/>
  <c r="X52" i="15"/>
  <c r="Z50" i="15"/>
  <c r="AB48" i="15"/>
  <c r="Y81" i="15"/>
  <c r="X62" i="15"/>
  <c r="AB50" i="15"/>
  <c r="X87" i="15"/>
  <c r="Z85" i="15"/>
  <c r="AB83" i="15"/>
  <c r="Y82" i="15"/>
  <c r="AA80" i="15"/>
  <c r="X79" i="15"/>
  <c r="Z77" i="15"/>
  <c r="AB75" i="15"/>
  <c r="Y74" i="15"/>
  <c r="AA72" i="15"/>
  <c r="X71" i="15"/>
  <c r="Z69" i="15"/>
  <c r="AB67" i="15"/>
  <c r="Y66" i="15"/>
  <c r="AA64" i="15"/>
  <c r="X63" i="15"/>
  <c r="Z61" i="15"/>
  <c r="AB59" i="15"/>
  <c r="Y58" i="15"/>
  <c r="AA56" i="15"/>
  <c r="X55" i="15"/>
  <c r="Z53" i="15"/>
  <c r="AB51" i="15"/>
  <c r="Y50" i="15"/>
  <c r="AA48" i="15"/>
  <c r="X78" i="15"/>
  <c r="Y65" i="15"/>
  <c r="X54" i="15"/>
  <c r="AB86" i="15"/>
  <c r="Y85" i="15"/>
  <c r="AA83" i="15"/>
  <c r="X82" i="15"/>
  <c r="Z80" i="15"/>
  <c r="AB78" i="15"/>
  <c r="Y77" i="15"/>
  <c r="AA75" i="15"/>
  <c r="X74" i="15"/>
  <c r="Z72" i="15"/>
  <c r="AB70" i="15"/>
  <c r="Y69" i="15"/>
  <c r="AA67" i="15"/>
  <c r="X66" i="15"/>
  <c r="Z64" i="15"/>
  <c r="AB62" i="15"/>
  <c r="Y61" i="15"/>
  <c r="AA59" i="15"/>
  <c r="X58" i="15"/>
  <c r="Z56" i="15"/>
  <c r="AB54" i="15"/>
  <c r="Y53" i="15"/>
  <c r="AA51" i="15"/>
  <c r="X50" i="15"/>
  <c r="Z48" i="15"/>
  <c r="Z84" i="15"/>
  <c r="Z76" i="15"/>
  <c r="Z68" i="15"/>
  <c r="AB58" i="15"/>
  <c r="AA86" i="15"/>
  <c r="X85" i="15"/>
  <c r="Z83" i="15"/>
  <c r="AB81" i="15"/>
  <c r="Y80" i="15"/>
  <c r="AA78" i="15"/>
  <c r="X77" i="15"/>
  <c r="Z75" i="15"/>
  <c r="AB73" i="15"/>
  <c r="Y72" i="15"/>
  <c r="AA70" i="15"/>
  <c r="X69" i="15"/>
  <c r="Z67" i="15"/>
  <c r="AB65" i="15"/>
  <c r="Y64" i="15"/>
  <c r="AA62" i="15"/>
  <c r="X61" i="15"/>
  <c r="Z59" i="15"/>
  <c r="AB57" i="15"/>
  <c r="Y56" i="15"/>
  <c r="AA54" i="15"/>
  <c r="X53" i="15"/>
  <c r="Z51" i="15"/>
  <c r="AB49" i="15"/>
  <c r="Y48" i="15"/>
  <c r="AB82" i="15"/>
  <c r="Y49" i="15"/>
  <c r="Z86" i="15"/>
  <c r="AB84" i="15"/>
  <c r="Y83" i="15"/>
  <c r="AA81" i="15"/>
  <c r="X80" i="15"/>
  <c r="Z78" i="15"/>
  <c r="AB76" i="15"/>
  <c r="Y75" i="15"/>
  <c r="AA73" i="15"/>
  <c r="X72" i="15"/>
  <c r="Z70" i="15"/>
  <c r="AB68" i="15"/>
  <c r="Y67" i="15"/>
  <c r="AA65" i="15"/>
  <c r="X64" i="15"/>
  <c r="Z62" i="15"/>
  <c r="AB60" i="15"/>
  <c r="Y59" i="15"/>
  <c r="AA57" i="15"/>
  <c r="X56" i="15"/>
  <c r="Z54" i="15"/>
  <c r="AB52" i="15"/>
  <c r="Y51" i="15"/>
  <c r="AA49" i="15"/>
  <c r="X48" i="15"/>
  <c r="X86" i="15"/>
  <c r="AA71" i="15"/>
  <c r="Z60" i="15"/>
  <c r="Z52" i="15"/>
  <c r="AB87" i="15"/>
  <c r="Y86" i="15"/>
  <c r="AA84" i="15"/>
  <c r="X83" i="15"/>
  <c r="Z81" i="15"/>
  <c r="AB79" i="15"/>
  <c r="Y78" i="15"/>
  <c r="AA76" i="15"/>
  <c r="X75" i="15"/>
  <c r="Z73" i="15"/>
  <c r="AB71" i="15"/>
  <c r="Y70" i="15"/>
  <c r="AA68" i="15"/>
  <c r="X67" i="15"/>
  <c r="Z65" i="15"/>
  <c r="AB63" i="15"/>
  <c r="Y62" i="15"/>
  <c r="AA60" i="15"/>
  <c r="X59" i="15"/>
  <c r="Z57" i="15"/>
  <c r="AB55" i="15"/>
  <c r="Y54" i="15"/>
  <c r="AA52" i="15"/>
  <c r="X51" i="15"/>
  <c r="Z49" i="15"/>
  <c r="AA87" i="15"/>
  <c r="Y73" i="15"/>
  <c r="AB66" i="15"/>
  <c r="Y57" i="15"/>
  <c r="F48" i="15"/>
  <c r="D50" i="15"/>
  <c r="G51" i="15"/>
  <c r="E53" i="15"/>
  <c r="H54" i="15"/>
  <c r="F56" i="15"/>
  <c r="D58" i="15"/>
  <c r="G59" i="15"/>
  <c r="E61" i="15"/>
  <c r="H62" i="15"/>
  <c r="F64" i="15"/>
  <c r="D66" i="15"/>
  <c r="G67" i="15"/>
  <c r="E69" i="15"/>
  <c r="H70" i="15"/>
  <c r="F72" i="15"/>
  <c r="D74" i="15"/>
  <c r="G75" i="15"/>
  <c r="E77" i="15"/>
  <c r="H78" i="15"/>
  <c r="F80" i="15"/>
  <c r="D82" i="15"/>
  <c r="G83" i="15"/>
  <c r="E85" i="15"/>
  <c r="H86" i="15"/>
  <c r="G48" i="15"/>
  <c r="E50" i="15"/>
  <c r="H51" i="15"/>
  <c r="F53" i="15"/>
  <c r="D55" i="15"/>
  <c r="G56" i="15"/>
  <c r="E58" i="15"/>
  <c r="H59" i="15"/>
  <c r="H48" i="15"/>
  <c r="D49" i="15"/>
  <c r="G50" i="15"/>
  <c r="E52" i="15"/>
  <c r="H53" i="15"/>
  <c r="F55" i="15"/>
  <c r="D57" i="15"/>
  <c r="G58" i="15"/>
  <c r="E60" i="15"/>
  <c r="H61" i="15"/>
  <c r="F63" i="15"/>
  <c r="D65" i="15"/>
  <c r="G66" i="15"/>
  <c r="E68" i="15"/>
  <c r="H69" i="15"/>
  <c r="F71" i="15"/>
  <c r="D73" i="15"/>
  <c r="G74" i="15"/>
  <c r="E76" i="15"/>
  <c r="H77" i="15"/>
  <c r="F79" i="15"/>
  <c r="D81" i="15"/>
  <c r="G82" i="15"/>
  <c r="E84" i="15"/>
  <c r="H85" i="15"/>
  <c r="F87" i="15"/>
  <c r="G63" i="15"/>
  <c r="D70" i="15"/>
  <c r="E73" i="15"/>
  <c r="F76" i="15"/>
  <c r="G79" i="15"/>
  <c r="E81" i="15"/>
  <c r="F84" i="15"/>
  <c r="D86" i="15"/>
  <c r="E49" i="15"/>
  <c r="H50" i="15"/>
  <c r="F52" i="15"/>
  <c r="D54" i="15"/>
  <c r="G55" i="15"/>
  <c r="E57" i="15"/>
  <c r="H58" i="15"/>
  <c r="F60" i="15"/>
  <c r="D62" i="15"/>
  <c r="E65" i="15"/>
  <c r="H66" i="15"/>
  <c r="F68" i="15"/>
  <c r="G71" i="15"/>
  <c r="H74" i="15"/>
  <c r="D78" i="15"/>
  <c r="H82" i="15"/>
  <c r="G87" i="15"/>
  <c r="F49" i="15"/>
  <c r="D51" i="15"/>
  <c r="G52" i="15"/>
  <c r="E54" i="15"/>
  <c r="H55" i="15"/>
  <c r="F57" i="15"/>
  <c r="D59" i="15"/>
  <c r="G60" i="15"/>
  <c r="E62" i="15"/>
  <c r="H63" i="15"/>
  <c r="F65" i="15"/>
  <c r="D67" i="15"/>
  <c r="G68" i="15"/>
  <c r="E70" i="15"/>
  <c r="H71" i="15"/>
  <c r="F73" i="15"/>
  <c r="D75" i="15"/>
  <c r="G76" i="15"/>
  <c r="E78" i="15"/>
  <c r="H79" i="15"/>
  <c r="F81" i="15"/>
  <c r="D83" i="15"/>
  <c r="G84" i="15"/>
  <c r="E86" i="15"/>
  <c r="H87" i="15"/>
  <c r="D48" i="15"/>
  <c r="G49" i="15"/>
  <c r="H52" i="15"/>
  <c r="D56" i="15"/>
  <c r="G57" i="15"/>
  <c r="H60" i="15"/>
  <c r="D64" i="15"/>
  <c r="G65" i="15"/>
  <c r="H68" i="15"/>
  <c r="D72" i="15"/>
  <c r="G73" i="15"/>
  <c r="H76" i="15"/>
  <c r="F78" i="15"/>
  <c r="G81" i="15"/>
  <c r="E83" i="15"/>
  <c r="F86" i="15"/>
  <c r="E51" i="15"/>
  <c r="F54" i="15"/>
  <c r="E59" i="15"/>
  <c r="F62" i="15"/>
  <c r="E67" i="15"/>
  <c r="F70" i="15"/>
  <c r="E75" i="15"/>
  <c r="D80" i="15"/>
  <c r="H84" i="15"/>
  <c r="E48" i="15"/>
  <c r="H49" i="15"/>
  <c r="F51" i="15"/>
  <c r="D53" i="15"/>
  <c r="G54" i="15"/>
  <c r="E56" i="15"/>
  <c r="H57" i="15"/>
  <c r="F59" i="15"/>
  <c r="D61" i="15"/>
  <c r="G62" i="15"/>
  <c r="E64" i="15"/>
  <c r="H65" i="15"/>
  <c r="F67" i="15"/>
  <c r="D69" i="15"/>
  <c r="G70" i="15"/>
  <c r="E72" i="15"/>
  <c r="H73" i="15"/>
  <c r="F75" i="15"/>
  <c r="D77" i="15"/>
  <c r="G78" i="15"/>
  <c r="E80" i="15"/>
  <c r="H81" i="15"/>
  <c r="F83" i="15"/>
  <c r="D85" i="15"/>
  <c r="G86" i="15"/>
  <c r="G61" i="15"/>
  <c r="E87" i="15"/>
  <c r="G53" i="15"/>
  <c r="E63" i="15"/>
  <c r="G69" i="15"/>
  <c r="D76" i="15"/>
  <c r="F82" i="15"/>
  <c r="H56" i="15"/>
  <c r="E71" i="15"/>
  <c r="G77" i="15"/>
  <c r="F58" i="15"/>
  <c r="G72" i="15"/>
  <c r="D79" i="15"/>
  <c r="D60" i="15"/>
  <c r="H72" i="15"/>
  <c r="G85" i="15"/>
  <c r="E55" i="15"/>
  <c r="G64" i="15"/>
  <c r="D71" i="15"/>
  <c r="F77" i="15"/>
  <c r="H83" i="15"/>
  <c r="H64" i="15"/>
  <c r="D84" i="15"/>
  <c r="E66" i="15"/>
  <c r="F85" i="15"/>
  <c r="F66" i="15"/>
  <c r="E79" i="15"/>
  <c r="F61" i="15"/>
  <c r="H67" i="15"/>
  <c r="E74" i="15"/>
  <c r="G80" i="15"/>
  <c r="D87" i="15"/>
  <c r="F50" i="15"/>
  <c r="D68" i="15"/>
  <c r="F74" i="15"/>
  <c r="H80" i="15"/>
  <c r="D52" i="15"/>
  <c r="D63" i="15"/>
  <c r="F69" i="15"/>
  <c r="H75" i="15"/>
  <c r="E82" i="15"/>
  <c r="AC34" i="15"/>
  <c r="AD33" i="15"/>
  <c r="AD34" i="15"/>
  <c r="AB35" i="15"/>
  <c r="AC35" i="15"/>
  <c r="AD35" i="15"/>
  <c r="AB34" i="15"/>
  <c r="AC33" i="15"/>
  <c r="T33" i="15"/>
  <c r="F33" i="15"/>
  <c r="L34" i="15"/>
  <c r="M34" i="15"/>
  <c r="M33" i="15"/>
  <c r="AB19" i="15"/>
  <c r="AJ19" i="15"/>
  <c r="T19" i="15"/>
  <c r="G21" i="15"/>
  <c r="F21" i="15"/>
  <c r="F19" i="15"/>
  <c r="H21" i="15"/>
  <c r="G19" i="15"/>
  <c r="H19" i="15"/>
  <c r="F20" i="15"/>
  <c r="G20" i="15"/>
  <c r="H20" i="15"/>
  <c r="AU30" i="14"/>
  <c r="BG30" i="14"/>
  <c r="AI30" i="14"/>
  <c r="J30" i="14"/>
  <c r="N18" i="14"/>
  <c r="BC18" i="14"/>
  <c r="AU18" i="14"/>
  <c r="AM18" i="14"/>
  <c r="AE18" i="14"/>
  <c r="W18" i="14"/>
  <c r="F18" i="14"/>
  <c r="E35" i="9"/>
  <c r="L189" i="13"/>
  <c r="L188" i="13"/>
  <c r="L187" i="13"/>
  <c r="O188" i="13"/>
  <c r="O190" i="13"/>
  <c r="M186" i="13"/>
  <c r="O189" i="13"/>
  <c r="M187" i="13"/>
  <c r="M189" i="13"/>
  <c r="N186" i="13"/>
  <c r="M85" i="13"/>
  <c r="M87" i="13"/>
  <c r="M89" i="13"/>
  <c r="M91" i="13"/>
  <c r="M93" i="13"/>
  <c r="M95" i="13"/>
  <c r="M97" i="13"/>
  <c r="M99" i="13"/>
  <c r="M103" i="13"/>
  <c r="M107" i="13"/>
  <c r="M109" i="13"/>
  <c r="M113" i="13"/>
  <c r="M117" i="13"/>
  <c r="L100" i="13"/>
  <c r="N85" i="13"/>
  <c r="N87" i="13"/>
  <c r="N89" i="13"/>
  <c r="N91" i="13"/>
  <c r="N93" i="13"/>
  <c r="N95" i="13"/>
  <c r="N97" i="13"/>
  <c r="N99" i="13"/>
  <c r="N101" i="13"/>
  <c r="N103" i="13"/>
  <c r="N105" i="13"/>
  <c r="N107" i="13"/>
  <c r="N109" i="13"/>
  <c r="N111" i="13"/>
  <c r="N113" i="13"/>
  <c r="N115" i="13"/>
  <c r="N117" i="13"/>
  <c r="L89" i="13"/>
  <c r="L95" i="13"/>
  <c r="L101" i="13"/>
  <c r="L107" i="13"/>
  <c r="L113" i="13"/>
  <c r="N190" i="13"/>
  <c r="L106" i="13"/>
  <c r="L94" i="13"/>
  <c r="M115" i="13"/>
  <c r="M101" i="13"/>
  <c r="H174" i="13"/>
  <c r="M188" i="13"/>
  <c r="L117" i="13"/>
  <c r="L105" i="13"/>
  <c r="L93" i="13"/>
  <c r="O114" i="13"/>
  <c r="O110" i="13"/>
  <c r="O108" i="13"/>
  <c r="O106" i="13"/>
  <c r="O102" i="13"/>
  <c r="O100" i="13"/>
  <c r="O98" i="13"/>
  <c r="O96" i="13"/>
  <c r="O94" i="13"/>
  <c r="O92" i="13"/>
  <c r="O90" i="13"/>
  <c r="O88" i="13"/>
  <c r="O86" i="13"/>
  <c r="O84" i="13"/>
  <c r="I173" i="13"/>
  <c r="N188" i="13"/>
  <c r="L112" i="13"/>
  <c r="L88" i="13"/>
  <c r="M111" i="13"/>
  <c r="M105" i="13"/>
  <c r="I172" i="13"/>
  <c r="M190" i="13"/>
  <c r="L111" i="13"/>
  <c r="L99" i="13"/>
  <c r="L87" i="13"/>
  <c r="O116" i="13"/>
  <c r="O112" i="13"/>
  <c r="O104" i="13"/>
  <c r="L190" i="13"/>
  <c r="L110" i="13"/>
  <c r="L116" i="13"/>
  <c r="L98" i="13"/>
  <c r="L86" i="13"/>
  <c r="N114" i="13"/>
  <c r="N108" i="13"/>
  <c r="N104" i="13"/>
  <c r="N100" i="13"/>
  <c r="N98" i="13"/>
  <c r="N94" i="13"/>
  <c r="N92" i="13"/>
  <c r="N90" i="13"/>
  <c r="N86" i="13"/>
  <c r="N84" i="13"/>
  <c r="I171" i="13"/>
  <c r="O187" i="13"/>
  <c r="L104" i="13"/>
  <c r="L92" i="13"/>
  <c r="N116" i="13"/>
  <c r="N112" i="13"/>
  <c r="N110" i="13"/>
  <c r="N106" i="13"/>
  <c r="N102" i="13"/>
  <c r="N96" i="13"/>
  <c r="N88" i="13"/>
  <c r="H172" i="13"/>
  <c r="O186" i="13"/>
  <c r="N189" i="13"/>
  <c r="N187" i="13"/>
  <c r="L115" i="13"/>
  <c r="L109" i="13"/>
  <c r="L103" i="13"/>
  <c r="L97" i="13"/>
  <c r="L91" i="13"/>
  <c r="L85" i="13"/>
  <c r="M116" i="13"/>
  <c r="M114" i="13"/>
  <c r="M112" i="13"/>
  <c r="M110" i="13"/>
  <c r="M108" i="13"/>
  <c r="M106" i="13"/>
  <c r="M104" i="13"/>
  <c r="M102" i="13"/>
  <c r="M100" i="13"/>
  <c r="M98" i="13"/>
  <c r="M96" i="13"/>
  <c r="M94" i="13"/>
  <c r="M92" i="13"/>
  <c r="M90" i="13"/>
  <c r="M88" i="13"/>
  <c r="M86" i="13"/>
  <c r="M84" i="13"/>
  <c r="I175" i="13"/>
  <c r="L114" i="13"/>
  <c r="L108" i="13"/>
  <c r="L102" i="13"/>
  <c r="L96" i="13"/>
  <c r="L90" i="13"/>
  <c r="O117" i="13"/>
  <c r="O115" i="13"/>
  <c r="O113" i="13"/>
  <c r="O111" i="13"/>
  <c r="O109" i="13"/>
  <c r="O107" i="13"/>
  <c r="O105" i="13"/>
  <c r="O103" i="13"/>
  <c r="O101" i="13"/>
  <c r="O99" i="13"/>
  <c r="O97" i="13"/>
  <c r="O95" i="13"/>
  <c r="O93" i="13"/>
  <c r="O91" i="13"/>
  <c r="O89" i="13"/>
  <c r="O87" i="13"/>
  <c r="O85" i="13"/>
  <c r="I174" i="13"/>
  <c r="H173" i="13"/>
  <c r="G136" i="13"/>
  <c r="G130" i="13"/>
  <c r="G135" i="13"/>
  <c r="G129" i="13"/>
  <c r="G134" i="13"/>
  <c r="G133" i="13"/>
  <c r="G132" i="13"/>
  <c r="T90" i="5"/>
  <c r="T91" i="5"/>
  <c r="T97" i="5"/>
  <c r="T103" i="5"/>
  <c r="T92" i="5"/>
  <c r="T98" i="5"/>
  <c r="T102" i="5"/>
  <c r="T93" i="5"/>
  <c r="T94" i="5"/>
  <c r="T100" i="5"/>
  <c r="T96" i="5"/>
  <c r="T99" i="5"/>
  <c r="T88" i="5"/>
  <c r="T89" i="5"/>
  <c r="T95" i="5"/>
  <c r="T101" i="5"/>
  <c r="T87" i="5"/>
  <c r="T217" i="5"/>
  <c r="T218" i="5"/>
  <c r="W222" i="5"/>
  <c r="V221" i="5"/>
  <c r="U220" i="5"/>
  <c r="T219" i="5"/>
  <c r="T223" i="5"/>
  <c r="U218" i="5"/>
  <c r="V222" i="5"/>
  <c r="U221" i="5"/>
  <c r="T220" i="5"/>
  <c r="X222" i="5"/>
  <c r="U217" i="5"/>
  <c r="V218" i="5"/>
  <c r="U222" i="5"/>
  <c r="T221" i="5"/>
  <c r="X219" i="5"/>
  <c r="X223" i="5"/>
  <c r="V217" i="5"/>
  <c r="W218" i="5"/>
  <c r="T222" i="5"/>
  <c r="X220" i="5"/>
  <c r="W219" i="5"/>
  <c r="W223" i="5"/>
  <c r="W217" i="5"/>
  <c r="X218" i="5"/>
  <c r="X221" i="5"/>
  <c r="W220" i="5"/>
  <c r="V219" i="5"/>
  <c r="V223" i="5"/>
  <c r="X217" i="5"/>
  <c r="W221" i="5"/>
  <c r="V220" i="5"/>
  <c r="U219" i="5"/>
  <c r="U223" i="5"/>
  <c r="D24" i="3"/>
  <c r="R32" i="3"/>
  <c r="R31" i="3"/>
  <c r="R30" i="3"/>
  <c r="R29" i="3"/>
  <c r="R28" i="3"/>
  <c r="R27" i="3"/>
  <c r="R26" i="3"/>
  <c r="R25" i="3"/>
  <c r="R24" i="3"/>
  <c r="S49" i="3"/>
  <c r="S48" i="3"/>
  <c r="S47" i="3"/>
  <c r="R23" i="3"/>
  <c r="Y30" i="14" a="1"/>
  <c r="M21" i="15" a="1"/>
  <c r="AB55" i="13" a="1"/>
  <c r="G159" i="13" a="1"/>
  <c r="G40" i="13" a="1"/>
  <c r="N138" i="13" a="1"/>
  <c r="U25" i="13" a="1"/>
  <c r="H18" i="14" a="1"/>
  <c r="AB25" i="13" a="1"/>
  <c r="U159" i="13" a="1"/>
  <c r="P18" i="14" a="1"/>
  <c r="N158" i="13" a="1"/>
  <c r="N19" i="15" a="1"/>
  <c r="U40" i="13" a="1"/>
  <c r="N129" i="13" a="1"/>
  <c r="L33" i="15" a="1"/>
  <c r="U55" i="13" a="1"/>
  <c r="L84" i="13" a="1"/>
  <c r="M19" i="15" a="1"/>
  <c r="G55" i="13" a="1"/>
  <c r="U158" i="13" a="1"/>
  <c r="N142" i="13" a="1"/>
  <c r="N135" i="13" a="1"/>
  <c r="U70" i="13" a="1"/>
  <c r="N128" i="13" a="1"/>
  <c r="N139" i="13" a="1"/>
  <c r="BI30" i="14" a="1"/>
  <c r="N20" i="15" a="1"/>
  <c r="G131" i="13" a="1"/>
  <c r="N143" i="13" a="1"/>
  <c r="G25" i="13" a="1"/>
  <c r="N141" i="13" a="1"/>
  <c r="L30" i="14" a="1"/>
  <c r="AL19" i="15" a="1"/>
  <c r="G70" i="13" a="1"/>
  <c r="N155" i="13" a="1"/>
  <c r="N70" i="13" a="1"/>
  <c r="N131" i="13" a="1"/>
  <c r="AB40" i="13" a="1"/>
  <c r="N25" i="13" a="1"/>
  <c r="Y18" i="14" a="1"/>
  <c r="AD19" i="15" a="1"/>
  <c r="U128" i="13" a="1"/>
  <c r="G158" i="13" a="1"/>
  <c r="N137" i="13" a="1"/>
  <c r="N132" i="13" a="1"/>
  <c r="AG18" i="14" a="1"/>
  <c r="L19" i="15" a="1"/>
  <c r="U155" i="13" a="1"/>
  <c r="H171" i="13" a="1"/>
  <c r="AE48" i="15" a="1"/>
  <c r="G156" i="13" a="1"/>
  <c r="N21" i="15" a="1"/>
  <c r="AB155" i="13" a="1"/>
  <c r="G128" i="13" a="1"/>
  <c r="N55" i="13" a="1"/>
  <c r="AW30" i="14" a="1"/>
  <c r="L21" i="15" a="1"/>
  <c r="U156" i="13" a="1"/>
  <c r="N134" i="13" a="1"/>
  <c r="N40" i="13" a="1"/>
  <c r="AW18" i="14" a="1"/>
  <c r="O24" i="3" a="1"/>
  <c r="N140" i="13" a="1"/>
  <c r="G157" i="13" a="1"/>
  <c r="N130" i="13" a="1"/>
  <c r="N157" i="13" a="1"/>
  <c r="AK30" i="14" a="1"/>
  <c r="AB33" i="15" a="1"/>
  <c r="L20" i="15" a="1"/>
  <c r="H175" i="13" a="1"/>
  <c r="G155" i="13" a="1"/>
  <c r="N156" i="13" a="1"/>
  <c r="N136" i="13" a="1"/>
  <c r="AB70" i="13" a="1"/>
  <c r="AO18" i="14" a="1"/>
  <c r="C203" i="5" a="1"/>
  <c r="N145" i="13" a="1"/>
  <c r="N133" i="13" a="1"/>
  <c r="N159" i="13" a="1"/>
  <c r="L186" i="13" a="1"/>
  <c r="M20" i="15" a="1"/>
  <c r="N144" i="13" a="1"/>
  <c r="BE18" i="14" a="1"/>
  <c r="U157" i="13" a="1"/>
  <c r="V19" i="15" a="1"/>
  <c r="Y30" i="14" l="1"/>
  <c r="AE48" i="15"/>
  <c r="K48" i="15"/>
  <c r="J48" i="15"/>
  <c r="T48" i="15"/>
  <c r="S48" i="15"/>
  <c r="AB33" i="15"/>
  <c r="L33" i="15"/>
  <c r="AL19" i="15"/>
  <c r="V19" i="15"/>
  <c r="AD19" i="15"/>
  <c r="M20" i="15"/>
  <c r="N19" i="15"/>
  <c r="M19" i="15"/>
  <c r="L20" i="15"/>
  <c r="N21" i="15"/>
  <c r="L21" i="15"/>
  <c r="M21" i="15"/>
  <c r="L19" i="15"/>
  <c r="N20" i="15"/>
  <c r="BI30" i="14"/>
  <c r="AW30" i="14"/>
  <c r="AK30" i="14"/>
  <c r="L30" i="14"/>
  <c r="BE18" i="14"/>
  <c r="AW18" i="14"/>
  <c r="AO18" i="14"/>
  <c r="AG18" i="14"/>
  <c r="Y18" i="14"/>
  <c r="P18" i="14"/>
  <c r="H18" i="14"/>
  <c r="AB155" i="13"/>
  <c r="H175" i="13"/>
  <c r="N159" i="13"/>
  <c r="U159" i="13"/>
  <c r="N155" i="13"/>
  <c r="N157" i="13"/>
  <c r="U158" i="13"/>
  <c r="N156" i="13"/>
  <c r="U157" i="13"/>
  <c r="U156" i="13"/>
  <c r="G157" i="13"/>
  <c r="U155" i="13"/>
  <c r="G156" i="13"/>
  <c r="G155" i="13"/>
  <c r="G159" i="13"/>
  <c r="L84" i="13"/>
  <c r="G158" i="13"/>
  <c r="L186" i="13"/>
  <c r="N158" i="13"/>
  <c r="U70" i="13"/>
  <c r="U128" i="13"/>
  <c r="N70" i="13"/>
  <c r="H171" i="13"/>
  <c r="AB70" i="13"/>
  <c r="G131" i="13"/>
  <c r="G70" i="13"/>
  <c r="G55" i="13"/>
  <c r="N40" i="13"/>
  <c r="N55" i="13"/>
  <c r="U40" i="13"/>
  <c r="AB55" i="13"/>
  <c r="AB40" i="13"/>
  <c r="U55" i="13"/>
  <c r="G40" i="13"/>
  <c r="N139" i="13"/>
  <c r="N134" i="13"/>
  <c r="N142" i="13"/>
  <c r="G128" i="13"/>
  <c r="N136" i="13"/>
  <c r="N140" i="13"/>
  <c r="N141" i="13"/>
  <c r="N144" i="13"/>
  <c r="N138" i="13"/>
  <c r="N128" i="13"/>
  <c r="N143" i="13"/>
  <c r="N132" i="13"/>
  <c r="N137" i="13"/>
  <c r="N131" i="13"/>
  <c r="N145" i="13"/>
  <c r="N130" i="13"/>
  <c r="N135" i="13"/>
  <c r="N129" i="13"/>
  <c r="AB25" i="13"/>
  <c r="N133" i="13"/>
  <c r="N25" i="13"/>
  <c r="G25" i="13"/>
  <c r="U25" i="13"/>
  <c r="C203" i="5"/>
  <c r="C14" i="5" s="1"/>
  <c r="O24" i="3"/>
  <c r="S28" i="3"/>
  <c r="S24" i="3"/>
  <c r="S29" i="3"/>
  <c r="S30" i="3"/>
  <c r="S35" i="3"/>
  <c r="S27" i="3"/>
  <c r="S36" i="3"/>
  <c r="S31" i="3"/>
  <c r="S32" i="3"/>
  <c r="S38" i="3"/>
  <c r="S39" i="3"/>
  <c r="S26" i="3"/>
  <c r="S37" i="3"/>
  <c r="S25" i="3"/>
  <c r="S33" i="3"/>
  <c r="S34" i="3"/>
  <c r="T28" i="3" a="1"/>
  <c r="T32" i="3" a="1"/>
  <c r="C25" i="14" a="1"/>
  <c r="C14" i="15" a="1"/>
  <c r="C50" i="13" a="1"/>
  <c r="T35" i="3" a="1"/>
  <c r="C150" i="13" a="1"/>
  <c r="C65" i="13" a="1"/>
  <c r="T38" i="3" a="1"/>
  <c r="T27" i="3" a="1"/>
  <c r="T37" i="3" a="1"/>
  <c r="T39" i="3" a="1"/>
  <c r="C20" i="13" a="1"/>
  <c r="T24" i="3" a="1"/>
  <c r="C35" i="13" a="1"/>
  <c r="C166" i="13" a="1"/>
  <c r="T31" i="3" a="1"/>
  <c r="T25" i="3" a="1"/>
  <c r="C79" i="13" a="1"/>
  <c r="C123" i="13" a="1"/>
  <c r="C13" i="14" a="1"/>
  <c r="T33" i="3" a="1"/>
  <c r="T23" i="3" a="1"/>
  <c r="C181" i="13" a="1"/>
  <c r="T29" i="3" a="1"/>
  <c r="T34" i="3" a="1"/>
  <c r="T30" i="3" a="1"/>
  <c r="T26" i="3" a="1"/>
  <c r="T36" i="3" a="1"/>
  <c r="C27" i="15" a="1"/>
  <c r="S50" i="15" a="1"/>
  <c r="K50" i="15" a="1"/>
  <c r="J50" i="15" a="1"/>
  <c r="T50" i="15" a="1"/>
  <c r="K50" i="15" l="1"/>
  <c r="T50" i="15"/>
  <c r="J50" i="15"/>
  <c r="S50" i="15"/>
  <c r="C27" i="15"/>
  <c r="D8" i="15" s="1"/>
  <c r="C14" i="15"/>
  <c r="D7" i="15" s="1"/>
  <c r="C25" i="14"/>
  <c r="C13" i="14"/>
  <c r="D7" i="14" s="1"/>
  <c r="D8" i="14"/>
  <c r="C150" i="13"/>
  <c r="D13" i="13" s="1"/>
  <c r="C181" i="13"/>
  <c r="D15" i="13" s="1"/>
  <c r="C79" i="13"/>
  <c r="D11" i="13" s="1"/>
  <c r="C166" i="13"/>
  <c r="D14" i="13" s="1"/>
  <c r="C123" i="13"/>
  <c r="D12" i="13" s="1"/>
  <c r="C65" i="13"/>
  <c r="D10" i="13" s="1"/>
  <c r="C50" i="13"/>
  <c r="D9" i="13" s="1"/>
  <c r="C35" i="13"/>
  <c r="D8" i="13" s="1"/>
  <c r="C20" i="13"/>
  <c r="D7" i="13" s="1"/>
  <c r="T29" i="3"/>
  <c r="T30" i="3"/>
  <c r="T31" i="3"/>
  <c r="T37" i="3"/>
  <c r="T32" i="3"/>
  <c r="T38" i="3"/>
  <c r="T33" i="3"/>
  <c r="T39" i="3"/>
  <c r="T34" i="3"/>
  <c r="T35" i="3"/>
  <c r="T36" i="3"/>
  <c r="T25" i="3"/>
  <c r="T24" i="3"/>
  <c r="T27" i="3"/>
  <c r="T28" i="3"/>
  <c r="T26" i="3"/>
  <c r="T23" i="3"/>
  <c r="U35" i="3" a="1"/>
  <c r="U36" i="3" a="1"/>
  <c r="U30" i="3" a="1"/>
  <c r="U31" i="3" a="1"/>
  <c r="U38" i="3" a="1"/>
  <c r="U39" i="3" a="1"/>
  <c r="U33" i="3" a="1"/>
  <c r="U34" i="3" a="1"/>
  <c r="U37" i="3" a="1"/>
  <c r="C4" i="13" a="1"/>
  <c r="U32" i="3" a="1"/>
  <c r="C4" i="14" a="1"/>
  <c r="U24" i="3" a="1"/>
  <c r="C4" i="15" a="1"/>
  <c r="U25" i="3" a="1"/>
  <c r="C43" i="15" a="1"/>
  <c r="C43" i="15" l="1"/>
  <c r="D9" i="15" s="1"/>
  <c r="C4" i="15"/>
  <c r="C11" i="8" s="1"/>
  <c r="C4" i="14"/>
  <c r="C10" i="8" s="1"/>
  <c r="C4" i="13"/>
  <c r="U32" i="3"/>
  <c r="U37" i="3"/>
  <c r="U31" i="3"/>
  <c r="U30" i="3"/>
  <c r="U36" i="3"/>
  <c r="U35" i="3"/>
  <c r="U34" i="3"/>
  <c r="U39" i="3"/>
  <c r="U33" i="3"/>
  <c r="U38" i="3"/>
  <c r="U25" i="3"/>
  <c r="U24" i="3"/>
  <c r="B13" i="3" l="1"/>
  <c r="B9" i="3"/>
  <c r="C29" i="11"/>
  <c r="G22" i="11"/>
  <c r="G27" i="11" s="1"/>
  <c r="D13" i="11"/>
  <c r="B13" i="11"/>
  <c r="B10" i="11"/>
  <c r="B10" i="3"/>
  <c r="T231" i="9"/>
  <c r="Q231" i="9"/>
  <c r="N230" i="9"/>
  <c r="K230" i="9"/>
  <c r="H232" i="9"/>
  <c r="E232" i="9"/>
  <c r="B232" i="9"/>
  <c r="G38" i="1"/>
  <c r="F25" i="1"/>
  <c r="G25" i="1" s="1"/>
  <c r="F39" i="1"/>
  <c r="G39" i="1" s="1"/>
  <c r="F24" i="1"/>
  <c r="G24" i="1" s="1"/>
  <c r="F23" i="1"/>
  <c r="G23" i="1" s="1"/>
  <c r="F22" i="1"/>
  <c r="G22" i="1" s="1"/>
  <c r="F21" i="1"/>
  <c r="J21" i="1" s="1"/>
  <c r="G30" i="1"/>
  <c r="G36" i="1"/>
  <c r="G34" i="1"/>
  <c r="G32" i="1"/>
  <c r="F37" i="1"/>
  <c r="G37" i="1" s="1"/>
  <c r="F35" i="1"/>
  <c r="G35" i="1" s="1"/>
  <c r="F33" i="1"/>
  <c r="G33" i="1" s="1"/>
  <c r="F31" i="1"/>
  <c r="F29" i="1"/>
  <c r="I10" i="4"/>
  <c r="I15" i="4" s="1"/>
  <c r="G23" i="3"/>
  <c r="G25" i="3" s="1"/>
  <c r="C62" i="2"/>
  <c r="E64" i="2"/>
  <c r="E186" i="9" a="1"/>
  <c r="O120" i="9" a="1"/>
  <c r="I27" i="11" a="1"/>
  <c r="O98" i="9" a="1"/>
  <c r="BS66" i="5" a="1"/>
  <c r="T197" i="5" a="1"/>
  <c r="BD66" i="5" a="1"/>
  <c r="X94" i="5" a="1"/>
  <c r="W98" i="5" a="1"/>
  <c r="BS39" i="5" a="1"/>
  <c r="BL39" i="5" a="1"/>
  <c r="X100" i="5" a="1"/>
  <c r="U135" i="5" a="1"/>
  <c r="BJ40" i="5" a="1"/>
  <c r="BG63" i="5" a="1"/>
  <c r="BT40" i="5" a="1"/>
  <c r="W133" i="5" a="1"/>
  <c r="W134" i="5" a="1"/>
  <c r="X131" i="5" a="1"/>
  <c r="U198" i="5" a="1"/>
  <c r="W128" i="5" a="1"/>
  <c r="K159" i="5" a="1"/>
  <c r="C98" i="9" a="1"/>
  <c r="R230" i="9" a="1"/>
  <c r="BT66" i="5" a="1"/>
  <c r="X91" i="5" a="1"/>
  <c r="W132" i="5" a="1"/>
  <c r="U131" i="5" a="1"/>
  <c r="BQ63" i="5" a="1"/>
  <c r="T133" i="5" a="1"/>
  <c r="O208" i="9" a="1"/>
  <c r="BN67" i="5" a="1"/>
  <c r="L157" i="5" a="1"/>
  <c r="BS67" i="5" a="1"/>
  <c r="U89" i="5" a="1"/>
  <c r="W99" i="5" a="1"/>
  <c r="D4" i="4" a="1"/>
  <c r="BQ66" i="5" a="1"/>
  <c r="K157" i="5" a="1"/>
  <c r="BL65" i="5" a="1"/>
  <c r="W131" i="5" a="1"/>
  <c r="BL43" i="5" a="1"/>
  <c r="BR40" i="5" a="1"/>
  <c r="J142" i="9" a="1"/>
  <c r="O142" i="9" a="1"/>
  <c r="BI43" i="5" a="1"/>
  <c r="U94" i="5" a="1"/>
  <c r="W90" i="5" a="1"/>
  <c r="BT67" i="5" a="1"/>
  <c r="BP43" i="5" a="1"/>
  <c r="T132" i="5" a="1"/>
  <c r="V96" i="5" a="1"/>
  <c r="U138" i="5" a="1"/>
  <c r="BP63" i="5" a="1"/>
  <c r="C54" i="9" a="1"/>
  <c r="W91" i="5" a="1"/>
  <c r="V127" i="5" a="1"/>
  <c r="BE67" i="5" a="1"/>
  <c r="U128" i="5" a="1"/>
  <c r="BN65" i="5" a="1"/>
  <c r="BN66" i="5" a="1"/>
  <c r="U103" i="5" a="1"/>
  <c r="C32" i="9" a="1"/>
  <c r="E76" i="9" a="1"/>
  <c r="U230" i="9" a="1"/>
  <c r="J208" i="9" a="1"/>
  <c r="C164" i="9" a="1"/>
  <c r="BF67" i="5" a="1"/>
  <c r="BT41" i="5" a="1"/>
  <c r="BM64" i="5" a="1"/>
  <c r="X92" i="5" a="1"/>
  <c r="BK67" i="5" a="1"/>
  <c r="V133" i="5" a="1"/>
  <c r="BD43" i="5" a="1"/>
  <c r="K177" i="5" a="1"/>
  <c r="BJ42" i="5" a="1"/>
  <c r="V134" i="5" a="1"/>
  <c r="BG42" i="5" a="1"/>
  <c r="BH43" i="5" a="1"/>
  <c r="BT42" i="5" a="1"/>
  <c r="U197" i="5" a="1"/>
  <c r="BD64" i="5" a="1"/>
  <c r="X97" i="5" a="1"/>
  <c r="BF39" i="5" a="1"/>
  <c r="BG64" i="5" a="1"/>
  <c r="BJ66" i="5" a="1"/>
  <c r="U134" i="5" a="1"/>
  <c r="BJ64" i="5" a="1"/>
  <c r="W124" i="5" a="1"/>
  <c r="BR65" i="5" a="1"/>
  <c r="W97" i="5" a="1"/>
  <c r="W93" i="5" a="1"/>
  <c r="L158" i="5" a="1"/>
  <c r="X135" i="5" a="1"/>
  <c r="BI65" i="5" a="1"/>
  <c r="BN64" i="5" a="1"/>
  <c r="U88" i="5" a="1"/>
  <c r="L161" i="5" a="1"/>
  <c r="L180" i="5" a="1"/>
  <c r="T123" i="5" a="1"/>
  <c r="C230" i="9" a="1"/>
  <c r="V95" i="5" a="1"/>
  <c r="W103" i="5" a="1"/>
  <c r="T198" i="5" a="1"/>
  <c r="U136" i="5" a="1"/>
  <c r="BN42" i="5" a="1"/>
  <c r="BH40" i="5" a="1"/>
  <c r="BM41" i="5" a="1"/>
  <c r="W125" i="5" a="1"/>
  <c r="X93" i="5" a="1"/>
  <c r="V125" i="5" a="1"/>
  <c r="W137" i="5" a="1"/>
  <c r="BI42" i="5" a="1"/>
  <c r="BS65" i="5" a="1"/>
  <c r="W96" i="5" a="1"/>
  <c r="I230" i="9" a="1"/>
  <c r="W139" i="5" a="1"/>
  <c r="BE64" i="5" a="1"/>
  <c r="BG39" i="5" a="1"/>
  <c r="BO40" i="5" a="1"/>
  <c r="BT64" i="5" a="1"/>
  <c r="L178" i="5" a="1"/>
  <c r="X125" i="5" a="1"/>
  <c r="V138" i="5" a="1"/>
  <c r="BJ67" i="5" a="1"/>
  <c r="BF40" i="5" a="1"/>
  <c r="J76" i="9" a="1"/>
  <c r="L181" i="5" a="1"/>
  <c r="BI40" i="5" a="1"/>
  <c r="BL42" i="5" a="1"/>
  <c r="BE65" i="5" a="1"/>
  <c r="BH67" i="5" a="1"/>
  <c r="W198" i="5" a="1"/>
  <c r="U132" i="5" a="1"/>
  <c r="D5" i="4" a="1"/>
  <c r="J186" i="9" a="1"/>
  <c r="F230" i="9" a="1"/>
  <c r="O54" i="9" a="1"/>
  <c r="L230" i="9" a="1"/>
  <c r="BP42" i="5" a="1"/>
  <c r="T137" i="5" a="1"/>
  <c r="BQ65" i="5" a="1"/>
  <c r="T135" i="5" a="1"/>
  <c r="V103" i="5" a="1"/>
  <c r="BR64" i="5" a="1"/>
  <c r="X96" i="5" a="1"/>
  <c r="BF66" i="5" a="1"/>
  <c r="BD65" i="5" a="1"/>
  <c r="U91" i="5" a="1"/>
  <c r="T128" i="5" a="1"/>
  <c r="T139" i="5" a="1"/>
  <c r="AJ21" i="3" a="1"/>
  <c r="C6" i="2" a="1"/>
  <c r="BQ41" i="5" a="1"/>
  <c r="BD63" i="5" a="1"/>
  <c r="BH63" i="5" a="1"/>
  <c r="U139" i="5" a="1"/>
  <c r="BD40" i="5" a="1"/>
  <c r="BS63" i="5" a="1"/>
  <c r="V136" i="5" a="1"/>
  <c r="V89" i="5" a="1"/>
  <c r="J54" i="9" a="1"/>
  <c r="W123" i="5" a="1"/>
  <c r="BO63" i="5" a="1"/>
  <c r="BK66" i="5" a="1"/>
  <c r="X124" i="5" a="1"/>
  <c r="X90" i="5" a="1"/>
  <c r="BL40" i="5" a="1"/>
  <c r="V102" i="5" a="1"/>
  <c r="V88" i="5" a="1"/>
  <c r="Z21" i="3" a="1"/>
  <c r="BM43" i="5" a="1"/>
  <c r="BT63" i="5" a="1"/>
  <c r="V129" i="5" a="1"/>
  <c r="V124" i="5" a="1"/>
  <c r="V137" i="5" a="1"/>
  <c r="X87" i="5" a="1"/>
  <c r="BK65" i="5" a="1"/>
  <c r="V90" i="5" a="1"/>
  <c r="X127" i="5" a="1"/>
  <c r="BN40" i="5" a="1"/>
  <c r="BD39" i="5" a="1"/>
  <c r="C120" i="9" a="1"/>
  <c r="E142" i="9" a="1"/>
  <c r="J120" i="9" a="1"/>
  <c r="C186" i="9" a="1"/>
  <c r="BO43" i="5" a="1"/>
  <c r="W135" i="5" a="1"/>
  <c r="K179" i="5" a="1"/>
  <c r="U124" i="5" a="1"/>
  <c r="BE42" i="5" a="1"/>
  <c r="U93" i="5" a="1"/>
  <c r="U96" i="5" a="1"/>
  <c r="U90" i="5" a="1"/>
  <c r="BK43" i="5" a="1"/>
  <c r="U127" i="5" a="1"/>
  <c r="V139" i="5" a="1"/>
  <c r="BF65" i="5" a="1"/>
  <c r="K181" i="5" a="1"/>
  <c r="BM39" i="5" a="1"/>
  <c r="BP41" i="5" a="1"/>
  <c r="BS64" i="5" a="1"/>
  <c r="BE66" i="5" a="1"/>
  <c r="X98" i="5" a="1"/>
  <c r="BI41" i="5" a="1"/>
  <c r="X129" i="5" a="1"/>
  <c r="T138" i="5" a="1"/>
  <c r="BL63" i="5" a="1"/>
  <c r="X101" i="5" a="1"/>
  <c r="U101" i="5" a="1"/>
  <c r="U87" i="5" a="1"/>
  <c r="BO64" i="5" a="1"/>
  <c r="X130" i="5" a="1"/>
  <c r="BP64" i="5" a="1"/>
  <c r="U133" i="5" a="1"/>
  <c r="T126" i="5" a="1"/>
  <c r="E98" i="9" a="1"/>
  <c r="O230" i="9" a="1"/>
  <c r="J164" i="9" a="1"/>
  <c r="J32" i="9" a="1"/>
  <c r="V99" i="5" a="1"/>
  <c r="BS40" i="5" a="1"/>
  <c r="BR41" i="5" a="1"/>
  <c r="BK39" i="5" a="1"/>
  <c r="W92" i="5" a="1"/>
  <c r="X138" i="5" a="1"/>
  <c r="V135" i="5" a="1"/>
  <c r="V132" i="5" a="1"/>
  <c r="V98" i="5" a="1"/>
  <c r="BP40" i="5" a="1"/>
  <c r="W94" i="5" a="1"/>
  <c r="X128" i="5" a="1"/>
  <c r="BR66" i="5" a="1"/>
  <c r="BR67" i="5" a="1"/>
  <c r="U95" i="5" a="1"/>
  <c r="V101" i="5" a="1"/>
  <c r="W88" i="5" a="1"/>
  <c r="BP67" i="5" a="1"/>
  <c r="T136" i="5" a="1"/>
  <c r="X95" i="5" a="1"/>
  <c r="V94" i="5" a="1"/>
  <c r="W129" i="5" a="1"/>
  <c r="BG43" i="5" a="1"/>
  <c r="BR43" i="5" a="1"/>
  <c r="BS43" i="5" a="1"/>
  <c r="BE40" i="5" a="1"/>
  <c r="BL64" i="5" a="1"/>
  <c r="BF41" i="5" a="1"/>
  <c r="L177" i="5" a="1"/>
  <c r="BD67" i="5" a="1"/>
  <c r="BM66" i="5" a="1"/>
  <c r="U98" i="5" a="1"/>
  <c r="O76" i="9" a="1"/>
  <c r="BF43" i="5" a="1"/>
  <c r="W138" i="5" a="1"/>
  <c r="X136" i="5" a="1"/>
  <c r="BK64" i="5" a="1"/>
  <c r="C142" i="9" a="1"/>
  <c r="J98" i="9" a="1"/>
  <c r="C16" i="1" a="1"/>
  <c r="O164" i="9" a="1"/>
  <c r="U126" i="5" a="1"/>
  <c r="BK40" i="5" a="1"/>
  <c r="T129" i="5" a="1"/>
  <c r="BH42" i="5" a="1"/>
  <c r="BT39" i="5" a="1"/>
  <c r="X137" i="5" a="1"/>
  <c r="X88" i="5" a="1"/>
  <c r="BP66" i="5" a="1"/>
  <c r="U100" i="5" a="1"/>
  <c r="BJ43" i="5" a="1"/>
  <c r="W101" i="5" a="1"/>
  <c r="T130" i="5" a="1"/>
  <c r="BK63" i="5" a="1"/>
  <c r="BO65" i="5" a="1"/>
  <c r="W127" i="5" a="1"/>
  <c r="BM67" i="5" a="1"/>
  <c r="T131" i="5" a="1"/>
  <c r="BQ43" i="5" a="1"/>
  <c r="BH64" i="5" a="1"/>
  <c r="X123" i="5" a="1"/>
  <c r="U92" i="5" a="1"/>
  <c r="BQ39" i="5" a="1"/>
  <c r="BT43" i="5" a="1"/>
  <c r="BK42" i="5" a="1"/>
  <c r="BN39" i="5" a="1"/>
  <c r="X139" i="5" a="1"/>
  <c r="BJ63" i="5" a="1"/>
  <c r="L160" i="5" a="1"/>
  <c r="BQ64" i="5" a="1"/>
  <c r="BR63" i="5" a="1"/>
  <c r="K180" i="5" a="1"/>
  <c r="X198" i="5" a="1"/>
  <c r="U99" i="5" a="1"/>
  <c r="I22" i="11" a="1"/>
  <c r="BI39" i="5" a="1"/>
  <c r="BH39" i="5" a="1"/>
  <c r="U125" i="5" a="1"/>
  <c r="BM63" i="5" a="1"/>
  <c r="BE63" i="5" a="1"/>
  <c r="BO66" i="5" a="1"/>
  <c r="BP39" i="5" a="1"/>
  <c r="E164" i="9" a="1"/>
  <c r="BI64" i="5" a="1"/>
  <c r="W197" i="5" a="1"/>
  <c r="V97" i="5" a="1"/>
  <c r="L179" i="5" a="1"/>
  <c r="U137" i="5" a="1"/>
  <c r="V198" i="5" a="1"/>
  <c r="E208" i="9" a="1"/>
  <c r="BM40" i="5" a="1"/>
  <c r="BH66" i="5" a="1"/>
  <c r="BO39" i="5" a="1"/>
  <c r="X126" i="5" a="1"/>
  <c r="W126" i="5" a="1"/>
  <c r="BQ42" i="5" a="1"/>
  <c r="V100" i="5" a="1"/>
  <c r="BG65" i="5" a="1"/>
  <c r="BI63" i="5" a="1"/>
  <c r="BM42" i="5" a="1"/>
  <c r="C76" i="9" a="1"/>
  <c r="U129" i="5" a="1"/>
  <c r="BE41" i="5" a="1"/>
  <c r="V91" i="5" a="1"/>
  <c r="X132" i="5" a="1"/>
  <c r="BJ41" i="5" a="1"/>
  <c r="E120" i="9" a="1"/>
  <c r="AU21" i="3" a="1"/>
  <c r="O186" i="9" a="1"/>
  <c r="C208" i="9" a="1"/>
  <c r="O32" i="9" a="1"/>
  <c r="BO41" i="5" a="1"/>
  <c r="BS41" i="5" a="1"/>
  <c r="V131" i="5" a="1"/>
  <c r="BG67" i="5" a="1"/>
  <c r="V126" i="5" a="1"/>
  <c r="BO42" i="5" a="1"/>
  <c r="BK41" i="5" a="1"/>
  <c r="BT65" i="5" a="1"/>
  <c r="T125" i="5" a="1"/>
  <c r="BS42" i="5" a="1"/>
  <c r="W100" i="5" a="1"/>
  <c r="W89" i="5" a="1"/>
  <c r="W136" i="5" a="1"/>
  <c r="BF42" i="5" a="1"/>
  <c r="V92" i="5" a="1"/>
  <c r="BM65" i="5" a="1"/>
  <c r="K160" i="5" a="1"/>
  <c r="BQ67" i="5" a="1"/>
  <c r="BR39" i="5" a="1"/>
  <c r="BN63" i="5" a="1"/>
  <c r="BJ39" i="5" a="1"/>
  <c r="BI67" i="5" a="1"/>
  <c r="K178" i="5" a="1"/>
  <c r="BP65" i="5" a="1"/>
  <c r="W95" i="5" a="1"/>
  <c r="BF63" i="5" a="1"/>
  <c r="X134" i="5" a="1"/>
  <c r="W87" i="5" a="1"/>
  <c r="V130" i="5" a="1"/>
  <c r="U23" i="3" a="1"/>
  <c r="X197" i="5" a="1"/>
  <c r="BQ40" i="5" a="1"/>
  <c r="BL67" i="5" a="1"/>
  <c r="BH65" i="5" a="1"/>
  <c r="X133" i="5" a="1"/>
  <c r="BO67" i="5" a="1"/>
  <c r="V87" i="5" a="1"/>
  <c r="T124" i="5" a="1"/>
  <c r="X102" i="5" a="1"/>
  <c r="BJ65" i="5" a="1"/>
  <c r="X99" i="5" a="1"/>
  <c r="BG41" i="5" a="1"/>
  <c r="W102" i="5" a="1"/>
  <c r="BD41" i="5" a="1"/>
  <c r="BL41" i="5" a="1"/>
  <c r="BE43" i="5" a="1"/>
  <c r="BF64" i="5" a="1"/>
  <c r="T134" i="5" a="1"/>
  <c r="V128" i="5" a="1"/>
  <c r="BG40" i="5" a="1"/>
  <c r="BH41" i="5" a="1"/>
  <c r="BN43" i="5" a="1"/>
  <c r="W130" i="5" a="1"/>
  <c r="BG66" i="5" a="1"/>
  <c r="L159" i="5" a="1"/>
  <c r="U130" i="5" a="1"/>
  <c r="V197" i="5" a="1"/>
  <c r="BI66" i="5" a="1"/>
  <c r="BE39" i="5" a="1"/>
  <c r="U102" i="5" a="1"/>
  <c r="BN41" i="5" a="1"/>
  <c r="V123" i="5" a="1"/>
  <c r="BD42" i="5" a="1"/>
  <c r="U123" i="5" a="1"/>
  <c r="BR42" i="5" a="1"/>
  <c r="BL66" i="5" a="1"/>
  <c r="X89" i="5" a="1"/>
  <c r="K161" i="5" a="1"/>
  <c r="K158" i="5" a="1"/>
  <c r="U97" i="5" a="1"/>
  <c r="E54" i="9" a="1"/>
  <c r="X103" i="5" a="1"/>
  <c r="T127" i="5" a="1"/>
  <c r="V93" i="5" a="1"/>
  <c r="I27" i="11" l="1"/>
  <c r="I22" i="11"/>
  <c r="C16" i="1"/>
  <c r="C6" i="2"/>
  <c r="U23" i="3"/>
  <c r="Z21" i="3"/>
  <c r="G25" i="11"/>
  <c r="G23" i="11"/>
  <c r="G24" i="11"/>
  <c r="G26" i="11"/>
  <c r="H25" i="3"/>
  <c r="AU21" i="3"/>
  <c r="AJ21" i="3"/>
  <c r="D4" i="4"/>
  <c r="BJ40" i="5"/>
  <c r="BM63" i="5"/>
  <c r="BK39" i="5"/>
  <c r="BE43" i="5"/>
  <c r="BF64" i="5"/>
  <c r="BR67" i="5"/>
  <c r="V93" i="5"/>
  <c r="V96" i="5"/>
  <c r="K181" i="5"/>
  <c r="BE66" i="5"/>
  <c r="BN66" i="5"/>
  <c r="BH67" i="5"/>
  <c r="BS67" i="5"/>
  <c r="W103" i="5"/>
  <c r="T126" i="5"/>
  <c r="T132" i="5"/>
  <c r="BL39" i="5"/>
  <c r="BD40" i="5"/>
  <c r="BM40" i="5"/>
  <c r="BE41" i="5"/>
  <c r="BN41" i="5"/>
  <c r="BF42" i="5"/>
  <c r="BO42" i="5"/>
  <c r="BG43" i="5"/>
  <c r="BP43" i="5"/>
  <c r="BG63" i="5"/>
  <c r="BP63" i="5"/>
  <c r="BI64" i="5"/>
  <c r="BR64" i="5"/>
  <c r="BL65" i="5"/>
  <c r="BF66" i="5"/>
  <c r="W88" i="5"/>
  <c r="W100" i="5"/>
  <c r="W197" i="5"/>
  <c r="BD39" i="5"/>
  <c r="BE40" i="5"/>
  <c r="BF41" i="5"/>
  <c r="BG42" i="5"/>
  <c r="BH43" i="5"/>
  <c r="BH63" i="5"/>
  <c r="BJ64" i="5"/>
  <c r="BQ66" i="5"/>
  <c r="BI67" i="5"/>
  <c r="BT67" i="5"/>
  <c r="X88" i="5"/>
  <c r="U133" i="5"/>
  <c r="BR39" i="5"/>
  <c r="BM43" i="5"/>
  <c r="BL41" i="5"/>
  <c r="BS65" i="5"/>
  <c r="BT40" i="5"/>
  <c r="BO43" i="5"/>
  <c r="BK65" i="5"/>
  <c r="BE39" i="5"/>
  <c r="BN40" i="5"/>
  <c r="BO41" i="5"/>
  <c r="BI43" i="5"/>
  <c r="BI63" i="5"/>
  <c r="BD65" i="5"/>
  <c r="BR66" i="5"/>
  <c r="W97" i="5"/>
  <c r="V134" i="5"/>
  <c r="BK64" i="5"/>
  <c r="BE65" i="5"/>
  <c r="BL67" i="5"/>
  <c r="W91" i="5"/>
  <c r="W94" i="5"/>
  <c r="U101" i="5"/>
  <c r="W123" i="5"/>
  <c r="U127" i="5"/>
  <c r="W135" i="5"/>
  <c r="BS40" i="5"/>
  <c r="BJ65" i="5"/>
  <c r="BS39" i="5"/>
  <c r="BE63" i="5"/>
  <c r="BF40" i="5"/>
  <c r="BH42" i="5"/>
  <c r="BM65" i="5"/>
  <c r="BF39" i="5"/>
  <c r="BO39" i="5"/>
  <c r="BG40" i="5"/>
  <c r="BP40" i="5"/>
  <c r="BH41" i="5"/>
  <c r="BQ41" i="5"/>
  <c r="BI42" i="5"/>
  <c r="BR42" i="5"/>
  <c r="BJ43" i="5"/>
  <c r="BS43" i="5"/>
  <c r="BJ63" i="5"/>
  <c r="BS63" i="5"/>
  <c r="BP65" i="5"/>
  <c r="BH66" i="5"/>
  <c r="BS66" i="5"/>
  <c r="BM67" i="5"/>
  <c r="X136" i="5"/>
  <c r="BT41" i="5"/>
  <c r="BM42" i="5"/>
  <c r="BD42" i="5"/>
  <c r="BO63" i="5"/>
  <c r="V90" i="5"/>
  <c r="BM39" i="5"/>
  <c r="BG41" i="5"/>
  <c r="BP42" i="5"/>
  <c r="BQ43" i="5"/>
  <c r="BQ63" i="5"/>
  <c r="BG66" i="5"/>
  <c r="BP39" i="5"/>
  <c r="BQ40" i="5"/>
  <c r="BR41" i="5"/>
  <c r="BS42" i="5"/>
  <c r="BT43" i="5"/>
  <c r="BT63" i="5"/>
  <c r="BL64" i="5"/>
  <c r="BF65" i="5"/>
  <c r="BQ65" i="5"/>
  <c r="V87" i="5"/>
  <c r="U89" i="5"/>
  <c r="U92" i="5"/>
  <c r="V128" i="5"/>
  <c r="T138" i="5"/>
  <c r="BG39" i="5"/>
  <c r="BQ39" i="5"/>
  <c r="BH40" i="5"/>
  <c r="BR40" i="5"/>
  <c r="BI41" i="5"/>
  <c r="BS41" i="5"/>
  <c r="BJ42" i="5"/>
  <c r="BT42" i="5"/>
  <c r="BK43" i="5"/>
  <c r="BK63" i="5"/>
  <c r="BD64" i="5"/>
  <c r="BK66" i="5"/>
  <c r="BT66" i="5"/>
  <c r="BN67" i="5"/>
  <c r="W87" i="5"/>
  <c r="U95" i="5"/>
  <c r="X98" i="5"/>
  <c r="U139" i="5"/>
  <c r="BI39" i="5"/>
  <c r="BD43" i="5"/>
  <c r="BJ39" i="5"/>
  <c r="BN63" i="5"/>
  <c r="BN42" i="5"/>
  <c r="BQ64" i="5"/>
  <c r="BO64" i="5"/>
  <c r="BG65" i="5"/>
  <c r="BR65" i="5"/>
  <c r="BL66" i="5"/>
  <c r="X89" i="5"/>
  <c r="V102" i="5"/>
  <c r="X124" i="5"/>
  <c r="W129" i="5"/>
  <c r="L157" i="5"/>
  <c r="BK41" i="5"/>
  <c r="BD63" i="5"/>
  <c r="BE64" i="5"/>
  <c r="BP64" i="5"/>
  <c r="BF67" i="5"/>
  <c r="BO67" i="5"/>
  <c r="X87" i="5"/>
  <c r="X92" i="5"/>
  <c r="L160" i="5"/>
  <c r="BL42" i="5"/>
  <c r="BK40" i="5"/>
  <c r="BM66" i="5"/>
  <c r="BG67" i="5"/>
  <c r="X130" i="5"/>
  <c r="K178" i="5"/>
  <c r="BN43" i="5"/>
  <c r="BL40" i="5"/>
  <c r="BM41" i="5"/>
  <c r="BT39" i="5"/>
  <c r="BO40" i="5"/>
  <c r="BJ41" i="5"/>
  <c r="BE42" i="5"/>
  <c r="BF43" i="5"/>
  <c r="BR43" i="5"/>
  <c r="BL63" i="5"/>
  <c r="BG64" i="5"/>
  <c r="BH65" i="5"/>
  <c r="BT65" i="5"/>
  <c r="BO66" i="5"/>
  <c r="BD67" i="5"/>
  <c r="BP67" i="5"/>
  <c r="U88" i="5"/>
  <c r="V89" i="5"/>
  <c r="X91" i="5"/>
  <c r="U94" i="5"/>
  <c r="V95" i="5"/>
  <c r="W96" i="5"/>
  <c r="X97" i="5"/>
  <c r="U100" i="5"/>
  <c r="V101" i="5"/>
  <c r="W102" i="5"/>
  <c r="X123" i="5"/>
  <c r="T125" i="5"/>
  <c r="U126" i="5"/>
  <c r="V127" i="5"/>
  <c r="W128" i="5"/>
  <c r="X129" i="5"/>
  <c r="T131" i="5"/>
  <c r="U132" i="5"/>
  <c r="V133" i="5"/>
  <c r="W134" i="5"/>
  <c r="X135" i="5"/>
  <c r="T137" i="5"/>
  <c r="U138" i="5"/>
  <c r="V139" i="5"/>
  <c r="K158" i="5"/>
  <c r="K161" i="5"/>
  <c r="L178" i="5"/>
  <c r="L181" i="5"/>
  <c r="X197" i="5"/>
  <c r="BH39" i="5"/>
  <c r="BN39" i="5"/>
  <c r="BI40" i="5"/>
  <c r="BD41" i="5"/>
  <c r="BP41" i="5"/>
  <c r="BK42" i="5"/>
  <c r="BQ42" i="5"/>
  <c r="BL43" i="5"/>
  <c r="BF63" i="5"/>
  <c r="BR63" i="5"/>
  <c r="BM64" i="5"/>
  <c r="BS64" i="5"/>
  <c r="BN65" i="5"/>
  <c r="BI66" i="5"/>
  <c r="BJ67" i="5"/>
  <c r="W90" i="5"/>
  <c r="X103" i="5"/>
  <c r="BN64" i="5"/>
  <c r="BI65" i="5"/>
  <c r="BJ66" i="5"/>
  <c r="BE67" i="5"/>
  <c r="BQ67" i="5"/>
  <c r="V88" i="5"/>
  <c r="X90" i="5"/>
  <c r="U93" i="5"/>
  <c r="W95" i="5"/>
  <c r="U99" i="5"/>
  <c r="W101" i="5"/>
  <c r="U125" i="5"/>
  <c r="V126" i="5"/>
  <c r="X128" i="5"/>
  <c r="T130" i="5"/>
  <c r="U131" i="5"/>
  <c r="V132" i="5"/>
  <c r="W133" i="5"/>
  <c r="X134" i="5"/>
  <c r="U137" i="5"/>
  <c r="V138" i="5"/>
  <c r="W139" i="5"/>
  <c r="L158" i="5"/>
  <c r="L161" i="5"/>
  <c r="K179" i="5"/>
  <c r="T198" i="5"/>
  <c r="BH64" i="5"/>
  <c r="BT64" i="5"/>
  <c r="BO65" i="5"/>
  <c r="BD66" i="5"/>
  <c r="BP66" i="5"/>
  <c r="BK67" i="5"/>
  <c r="U87" i="5"/>
  <c r="W89" i="5"/>
  <c r="V94" i="5"/>
  <c r="X96" i="5"/>
  <c r="V100" i="5"/>
  <c r="X102" i="5"/>
  <c r="T124" i="5"/>
  <c r="W127" i="5"/>
  <c r="T136" i="5"/>
  <c r="X95" i="5"/>
  <c r="U98" i="5"/>
  <c r="V99" i="5"/>
  <c r="X101" i="5"/>
  <c r="T123" i="5"/>
  <c r="U124" i="5"/>
  <c r="V125" i="5"/>
  <c r="W126" i="5"/>
  <c r="X127" i="5"/>
  <c r="T129" i="5"/>
  <c r="U130" i="5"/>
  <c r="V131" i="5"/>
  <c r="W132" i="5"/>
  <c r="X133" i="5"/>
  <c r="T135" i="5"/>
  <c r="U136" i="5"/>
  <c r="V137" i="5"/>
  <c r="W138" i="5"/>
  <c r="X139" i="5"/>
  <c r="K159" i="5"/>
  <c r="L179" i="5"/>
  <c r="T197" i="5"/>
  <c r="U198" i="5"/>
  <c r="U91" i="5"/>
  <c r="V92" i="5"/>
  <c r="W93" i="5"/>
  <c r="X94" i="5"/>
  <c r="U97" i="5"/>
  <c r="V98" i="5"/>
  <c r="W99" i="5"/>
  <c r="X100" i="5"/>
  <c r="U103" i="5"/>
  <c r="U123" i="5"/>
  <c r="V124" i="5"/>
  <c r="W125" i="5"/>
  <c r="X126" i="5"/>
  <c r="T128" i="5"/>
  <c r="U129" i="5"/>
  <c r="V130" i="5"/>
  <c r="W131" i="5"/>
  <c r="X132" i="5"/>
  <c r="T134" i="5"/>
  <c r="U135" i="5"/>
  <c r="V136" i="5"/>
  <c r="W137" i="5"/>
  <c r="X138" i="5"/>
  <c r="L159" i="5"/>
  <c r="K177" i="5"/>
  <c r="K180" i="5"/>
  <c r="U197" i="5"/>
  <c r="V198" i="5"/>
  <c r="U90" i="5"/>
  <c r="V91" i="5"/>
  <c r="W92" i="5"/>
  <c r="X93" i="5"/>
  <c r="U96" i="5"/>
  <c r="V97" i="5"/>
  <c r="W98" i="5"/>
  <c r="X99" i="5"/>
  <c r="U102" i="5"/>
  <c r="V103" i="5"/>
  <c r="V123" i="5"/>
  <c r="W124" i="5"/>
  <c r="X125" i="5"/>
  <c r="T127" i="5"/>
  <c r="U128" i="5"/>
  <c r="V129" i="5"/>
  <c r="W130" i="5"/>
  <c r="X131" i="5"/>
  <c r="T133" i="5"/>
  <c r="U134" i="5"/>
  <c r="V135" i="5"/>
  <c r="W136" i="5"/>
  <c r="X137" i="5"/>
  <c r="T139" i="5"/>
  <c r="K157" i="5"/>
  <c r="K160" i="5"/>
  <c r="L177" i="5"/>
  <c r="L180" i="5"/>
  <c r="V197" i="5"/>
  <c r="W198" i="5"/>
  <c r="X198" i="5"/>
  <c r="R230" i="9"/>
  <c r="U230" i="9"/>
  <c r="O230" i="9"/>
  <c r="L230" i="9"/>
  <c r="I233" i="9"/>
  <c r="I230" i="9"/>
  <c r="I232" i="9"/>
  <c r="I231" i="9"/>
  <c r="C230" i="9"/>
  <c r="F230" i="9"/>
  <c r="J23" i="1"/>
  <c r="M21" i="1"/>
  <c r="G21" i="1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54" i="9"/>
  <c r="E98" i="9"/>
  <c r="E142" i="9"/>
  <c r="E186" i="9"/>
  <c r="M25" i="1"/>
  <c r="J22" i="1"/>
  <c r="M24" i="1"/>
  <c r="M23" i="1"/>
  <c r="M22" i="1"/>
  <c r="J24" i="1"/>
  <c r="J25" i="1"/>
  <c r="G31" i="1"/>
  <c r="I12" i="4"/>
  <c r="J12" i="4" s="1"/>
  <c r="I14" i="4"/>
  <c r="J14" i="4" s="1"/>
  <c r="J15" i="4" s="1"/>
  <c r="D5" i="4"/>
  <c r="I11" i="4"/>
  <c r="J11" i="4" s="1"/>
  <c r="I13" i="4"/>
  <c r="J13" i="4" s="1"/>
  <c r="G26" i="3"/>
  <c r="H26" i="3" s="1"/>
  <c r="G27" i="3"/>
  <c r="G24" i="3"/>
  <c r="H24" i="3" s="1"/>
  <c r="G28" i="3"/>
  <c r="E62" i="2"/>
  <c r="K12" i="4" a="1"/>
  <c r="D64" i="2" a="1"/>
  <c r="K11" i="4" a="1"/>
  <c r="K13" i="4" a="1"/>
  <c r="D62" i="2" a="1"/>
  <c r="K14" i="4" a="1"/>
  <c r="K10" i="4" a="1"/>
  <c r="K15" i="4" a="1"/>
  <c r="C71" i="9" a="1"/>
  <c r="P93" i="9" a="1"/>
  <c r="U225" i="9" a="1"/>
  <c r="H38" i="1" a="1"/>
  <c r="H30" i="1" a="1"/>
  <c r="P203" i="9" a="1"/>
  <c r="K23" i="1" a="1"/>
  <c r="F137" i="9" a="1"/>
  <c r="F27" i="9" a="1"/>
  <c r="P137" i="9" a="1"/>
  <c r="Q19" i="1" a="1"/>
  <c r="N25" i="1" a="1"/>
  <c r="I23" i="11" a="1"/>
  <c r="H37" i="1" a="1"/>
  <c r="H31" i="1" a="1"/>
  <c r="N21" i="1" a="1"/>
  <c r="K93" i="9" a="1"/>
  <c r="C225" i="9" a="1"/>
  <c r="H32" i="1" a="1"/>
  <c r="C137" i="9" a="1"/>
  <c r="K159" i="9" a="1"/>
  <c r="C115" i="9" a="1"/>
  <c r="C72" i="5" a="1"/>
  <c r="K22" i="1" a="1"/>
  <c r="C159" i="9" a="1"/>
  <c r="I26" i="11" a="1"/>
  <c r="H39" i="1" a="1"/>
  <c r="K27" i="9" a="1"/>
  <c r="C108" i="5" a="1"/>
  <c r="N23" i="1" a="1"/>
  <c r="I24" i="3" a="1"/>
  <c r="P49" i="9" a="1"/>
  <c r="C144" i="5" a="1"/>
  <c r="I26" i="3" a="1"/>
  <c r="K25" i="1" a="1"/>
  <c r="H35" i="1" a="1"/>
  <c r="F225" i="9" a="1"/>
  <c r="F181" i="9" a="1"/>
  <c r="J22" i="11" a="1"/>
  <c r="C27" i="9" a="1"/>
  <c r="K49" i="9" a="1"/>
  <c r="F49" i="9" a="1"/>
  <c r="C166" i="5" a="1"/>
  <c r="H33" i="1" a="1"/>
  <c r="C48" i="5" a="1"/>
  <c r="H21" i="1" a="1"/>
  <c r="K181" i="9" a="1"/>
  <c r="K24" i="1" a="1"/>
  <c r="O225" i="9" a="1"/>
  <c r="I28" i="3" a="1"/>
  <c r="I25" i="3" a="1"/>
  <c r="K137" i="9" a="1"/>
  <c r="H36" i="1" a="1"/>
  <c r="N24" i="1" a="1"/>
  <c r="I27" i="3" a="1"/>
  <c r="I23" i="3" a="1"/>
  <c r="C186" i="5" a="1"/>
  <c r="N22" i="1" a="1"/>
  <c r="C181" i="9" a="1"/>
  <c r="F159" i="9" a="1"/>
  <c r="F71" i="9" a="1"/>
  <c r="P71" i="9" a="1"/>
  <c r="C24" i="5" a="1"/>
  <c r="H17" i="2" a="1"/>
  <c r="L225" i="9" a="1"/>
  <c r="F115" i="9" a="1"/>
  <c r="I225" i="9" a="1"/>
  <c r="P115" i="9" a="1"/>
  <c r="K203" i="9" a="1"/>
  <c r="H34" i="1" a="1"/>
  <c r="I24" i="11" a="1"/>
  <c r="H29" i="1" a="1"/>
  <c r="K21" i="1" a="1"/>
  <c r="I25" i="11" a="1"/>
  <c r="R225" i="9" a="1"/>
  <c r="P159" i="9" a="1"/>
  <c r="K71" i="9" a="1"/>
  <c r="K115" i="9" a="1"/>
  <c r="P27" i="9" a="1"/>
  <c r="C49" i="9" a="1"/>
  <c r="F93" i="9" a="1"/>
  <c r="F203" i="9" a="1"/>
  <c r="C93" i="9" a="1"/>
  <c r="P181" i="9" a="1"/>
  <c r="C203" i="9" a="1"/>
  <c r="H27" i="3" l="1"/>
  <c r="H28" i="3" s="1"/>
  <c r="I23" i="11"/>
  <c r="I25" i="11"/>
  <c r="J22" i="11"/>
  <c r="I26" i="11"/>
  <c r="I24" i="11"/>
  <c r="H23" i="11"/>
  <c r="H25" i="11"/>
  <c r="H26" i="11" s="1"/>
  <c r="H24" i="11"/>
  <c r="I28" i="3"/>
  <c r="I27" i="3"/>
  <c r="I26" i="3"/>
  <c r="I25" i="3"/>
  <c r="I24" i="3"/>
  <c r="I23" i="3"/>
  <c r="K25" i="1"/>
  <c r="K24" i="1"/>
  <c r="K23" i="1"/>
  <c r="K22" i="1"/>
  <c r="K21" i="1"/>
  <c r="H24" i="1"/>
  <c r="H25" i="1"/>
  <c r="H21" i="1"/>
  <c r="H23" i="1"/>
  <c r="H22" i="1"/>
  <c r="F225" i="9"/>
  <c r="C108" i="5"/>
  <c r="C10" i="5" s="1"/>
  <c r="C24" i="5"/>
  <c r="C7" i="5" s="1"/>
  <c r="C166" i="5"/>
  <c r="C12" i="5" s="1"/>
  <c r="I225" i="9"/>
  <c r="C72" i="5"/>
  <c r="C9" i="5" s="1"/>
  <c r="L225" i="9"/>
  <c r="O225" i="9"/>
  <c r="C186" i="5"/>
  <c r="C13" i="5" s="1"/>
  <c r="C144" i="5"/>
  <c r="C11" i="5" s="1"/>
  <c r="C48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H37" i="1"/>
  <c r="H39" i="1"/>
  <c r="H38" i="1"/>
  <c r="H33" i="1"/>
  <c r="H31" i="1"/>
  <c r="H34" i="1"/>
  <c r="H29" i="1"/>
  <c r="H32" i="1"/>
  <c r="H35" i="1"/>
  <c r="H36" i="1"/>
  <c r="H30" i="1"/>
  <c r="Q19" i="1"/>
  <c r="N25" i="1"/>
  <c r="N24" i="1"/>
  <c r="N23" i="1"/>
  <c r="N22" i="1"/>
  <c r="N21" i="1"/>
  <c r="K11" i="4"/>
  <c r="L11" i="4" s="1"/>
  <c r="M11" i="4" s="1"/>
  <c r="K13" i="4"/>
  <c r="L13" i="4" s="1"/>
  <c r="M13" i="4" s="1"/>
  <c r="K15" i="4"/>
  <c r="L15" i="4" s="1"/>
  <c r="M15" i="4" s="1"/>
  <c r="K14" i="4"/>
  <c r="L14" i="4" s="1"/>
  <c r="M14" i="4" s="1"/>
  <c r="K12" i="4"/>
  <c r="L12" i="4" s="1"/>
  <c r="M12" i="4" s="1"/>
  <c r="K10" i="4"/>
  <c r="L10" i="4" s="1"/>
  <c r="M10" i="4" s="1"/>
  <c r="H17" i="2"/>
  <c r="D64" i="2"/>
  <c r="D62" i="2"/>
  <c r="F62" i="2" a="1"/>
  <c r="F64" i="2" a="1"/>
  <c r="J25" i="3" a="1"/>
  <c r="J23" i="3" a="1"/>
  <c r="L25" i="1" a="1"/>
  <c r="J24" i="11" a="1"/>
  <c r="I22" i="1" a="1"/>
  <c r="C21" i="9" a="1"/>
  <c r="I30" i="1" a="1"/>
  <c r="J28" i="3" a="1"/>
  <c r="C87" i="9" a="1"/>
  <c r="U26" i="3" a="1"/>
  <c r="J24" i="3" a="1"/>
  <c r="C109" i="9" a="1"/>
  <c r="I33" i="1" a="1"/>
  <c r="L21" i="1" a="1"/>
  <c r="O23" i="1" a="1"/>
  <c r="J23" i="11" a="1"/>
  <c r="L23" i="1" a="1"/>
  <c r="L24" i="1" a="1"/>
  <c r="J26" i="3" a="1"/>
  <c r="L22" i="1" a="1"/>
  <c r="J27" i="3" a="1"/>
  <c r="C219" i="9" a="1"/>
  <c r="U27" i="3" a="1"/>
  <c r="O24" i="1" a="1"/>
  <c r="I34" i="1" a="1"/>
  <c r="C43" i="9" a="1"/>
  <c r="G21" i="2" a="1"/>
  <c r="U28" i="3" a="1"/>
  <c r="O25" i="1" a="1"/>
  <c r="I39" i="1" a="1"/>
  <c r="I31" i="1" a="1"/>
  <c r="J26" i="11" a="1"/>
  <c r="I25" i="1" a="1"/>
  <c r="I21" i="1" a="1"/>
  <c r="I37" i="1" a="1"/>
  <c r="U29" i="3" a="1"/>
  <c r="I29" i="1" a="1"/>
  <c r="C197" i="9" a="1"/>
  <c r="I24" i="1" a="1"/>
  <c r="I36" i="1" a="1"/>
  <c r="C175" i="9" a="1"/>
  <c r="O22" i="1" a="1"/>
  <c r="J25" i="11" a="1"/>
  <c r="I32" i="1" a="1"/>
  <c r="C131" i="9" a="1"/>
  <c r="I23" i="1" a="1"/>
  <c r="I35" i="1" a="1"/>
  <c r="S19" i="1" a="1"/>
  <c r="I38" i="1" a="1"/>
  <c r="C153" i="9" a="1"/>
  <c r="O21" i="1" a="1"/>
  <c r="C65" i="9" a="1"/>
  <c r="C4" i="5" a="1"/>
  <c r="C4" i="5" l="1"/>
  <c r="C22" i="8" s="1"/>
  <c r="J26" i="11"/>
  <c r="J24" i="11"/>
  <c r="J23" i="11"/>
  <c r="J25" i="11"/>
  <c r="H27" i="11"/>
  <c r="U27" i="3"/>
  <c r="J24" i="3"/>
  <c r="U26" i="3"/>
  <c r="U28" i="3"/>
  <c r="J23" i="3"/>
  <c r="J25" i="3"/>
  <c r="J28" i="3"/>
  <c r="J26" i="3"/>
  <c r="U29" i="3"/>
  <c r="J27" i="3"/>
  <c r="I30" i="1"/>
  <c r="I36" i="1"/>
  <c r="I22" i="1"/>
  <c r="I38" i="1"/>
  <c r="I32" i="1"/>
  <c r="I21" i="1"/>
  <c r="I25" i="1"/>
  <c r="O23" i="1"/>
  <c r="I34" i="1"/>
  <c r="I24" i="1"/>
  <c r="I35" i="1"/>
  <c r="I23" i="1"/>
  <c r="O21" i="1"/>
  <c r="O22" i="1"/>
  <c r="I29" i="1"/>
  <c r="O24" i="1"/>
  <c r="I31" i="1"/>
  <c r="L21" i="1"/>
  <c r="O25" i="1"/>
  <c r="I33" i="1"/>
  <c r="L22" i="1"/>
  <c r="L23" i="1"/>
  <c r="I39" i="1"/>
  <c r="L24" i="1"/>
  <c r="S19" i="1"/>
  <c r="I37" i="1"/>
  <c r="L25" i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58" i="2" a="1"/>
  <c r="C21" i="3" a="1"/>
  <c r="N21" i="3" a="1"/>
  <c r="C4" i="9" a="1"/>
  <c r="J27" i="11" a="1"/>
  <c r="G16" i="1" a="1"/>
  <c r="N21" i="3" l="1"/>
  <c r="D13" i="3" s="1"/>
  <c r="J27" i="11"/>
  <c r="C21" i="3"/>
  <c r="G16" i="1"/>
  <c r="C12" i="1" s="1"/>
  <c r="C4" i="9"/>
  <c r="C21" i="8" s="1"/>
  <c r="C58" i="2"/>
  <c r="C20" i="11" a="1"/>
  <c r="C20" i="11" l="1"/>
  <c r="D10" i="11" s="1"/>
  <c r="D10" i="3"/>
  <c r="C6" i="3" a="1"/>
  <c r="C6" i="11" a="1"/>
  <c r="C6" i="11" l="1"/>
  <c r="C6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<sst xmlns="http://schemas.openxmlformats.org/spreadsheetml/2006/main" count="2233" uniqueCount="433">
  <si>
    <t>Dates</t>
  </si>
  <si>
    <t>Curves</t>
  </si>
  <si>
    <t>Discount Factors</t>
  </si>
  <si>
    <t>Curve Handle</t>
  </si>
  <si>
    <t>Curve Construction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</si>
  <si>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</si>
  <si>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</si>
  <si>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</si>
  <si>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</si>
  <si>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</si>
  <si>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</si>
  <si>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</si>
  <si>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</si>
  <si>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</si>
  <si>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</si>
  <si>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</si>
  <si>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</si>
  <si>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</si>
  <si>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</si>
  <si>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</si>
  <si>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</si>
  <si>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</si>
  <si>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</si>
  <si>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</si>
  <si>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</si>
  <si>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</si>
  <si>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</si>
  <si>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</si>
  <si>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</si>
  <si>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</si>
  <si>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</si>
  <si>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</si>
  <si>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</si>
  <si>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</si>
  <si>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</si>
  <si>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</si>
  <si>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</si>
  <si>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</si>
  <si>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</si>
  <si>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</si>
  <si>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</si>
  <si>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</si>
  <si>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</si>
  <si>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</si>
  <si>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</si>
  <si>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</si>
  <si>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</si>
  <si>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</si>
  <si>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</si>
  <si>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</si>
  <si>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</si>
  <si>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</si>
  <si>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</si>
  <si>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</si>
  <si>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</si>
  <si>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</si>
  <si>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</si>
  <si>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</si>
  <si>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</si>
  <si>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</si>
  <si>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</si>
  <si>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Curve Parameters</t>
  </si>
  <si>
    <t>1y</t>
  </si>
  <si>
    <t>2y</t>
  </si>
  <si>
    <t>ForecastCurve</t>
  </si>
  <si>
    <t>DiscountCurve</t>
  </si>
  <si>
    <t>OISs</t>
  </si>
  <si>
    <t>FEDFUND</t>
  </si>
  <si>
    <t>1d</t>
  </si>
  <si>
    <t>EndDates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</si>
  <si>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</si>
  <si>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</si>
  <si>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</si>
  <si>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</si>
  <si>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</si>
  <si>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</si>
  <si>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</si>
  <si>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</si>
  <si>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</si>
  <si>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</si>
  <si>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White rows are anchor dates, light grey rows are interpolated dates.</t>
    </r>
  </si>
  <si>
    <t>NACC</t>
  </si>
  <si>
    <t>NACM</t>
  </si>
  <si>
    <t>NACQ</t>
  </si>
  <si>
    <t>Zero Rates</t>
  </si>
  <si>
    <t>#ERROR: Invalid compounding convention 'NACP'.</t>
  </si>
  <si>
    <t>Actual</t>
  </si>
  <si>
    <t>Expected</t>
  </si>
  <si>
    <t>Check</t>
  </si>
  <si>
    <t>loglinear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</si>
  <si>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</si>
  <si>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</si>
  <si>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</si>
  <si>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r>
      <t xml:space="preserve">These tests work by copying the </t>
    </r>
    <r>
      <rPr>
        <b/>
        <sz val="11"/>
        <color theme="1"/>
        <rFont val="Calibri Light"/>
        <family val="2"/>
        <scheme val="minor"/>
      </rPr>
      <t>Before</t>
    </r>
    <r>
      <rPr>
        <sz val="11"/>
        <color theme="1"/>
        <rFont val="Calibri Light"/>
        <family val="2"/>
        <scheme val="minor"/>
      </rPr>
      <t xml:space="preserve"> section to the </t>
    </r>
    <r>
      <rPr>
        <b/>
        <sz val="11"/>
        <color theme="1"/>
        <rFont val="Calibri Light"/>
        <family val="2"/>
        <scheme val="minor"/>
      </rPr>
      <t>After</t>
    </r>
    <r>
      <rPr>
        <sz val="11"/>
        <color theme="1"/>
        <rFont val="Calibri Light"/>
        <family val="2"/>
        <scheme val="minor"/>
      </rPr>
      <t xml:space="preserve"> section and then applying the relevant formatting option.</t>
    </r>
  </si>
  <si>
    <r>
      <t xml:space="preserve">The </t>
    </r>
    <r>
      <rPr>
        <b/>
        <sz val="11"/>
        <color theme="1"/>
        <rFont val="Calibri Light"/>
        <family val="2"/>
        <scheme val="minor"/>
      </rPr>
      <t>After</t>
    </r>
    <r>
      <rPr>
        <b/>
        <i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 xml:space="preserve">section is then compared to the </t>
    </r>
    <r>
      <rPr>
        <b/>
        <sz val="11"/>
        <color theme="1"/>
        <rFont val="Calibri Light"/>
        <family val="2"/>
        <scheme val="minor"/>
      </rPr>
      <t xml:space="preserve">Expected </t>
    </r>
    <r>
      <rPr>
        <sz val="11"/>
        <color theme="1"/>
        <rFont val="Calibri Light"/>
        <family val="2"/>
        <scheme val="minor"/>
      </rPr>
      <t>section.</t>
    </r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</si>
  <si>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</si>
  <si>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</si>
  <si>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</si>
  <si>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</si>
  <si>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</si>
  <si>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</si>
  <si>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</si>
  <si>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</si>
  <si>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</si>
  <si>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</si>
  <si>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</si>
  <si>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</si>
  <si>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r>
      <t xml:space="preserve">The formatting for date and numeric values is inferred from titles and is </t>
    </r>
    <r>
      <rPr>
        <b/>
        <sz val="11"/>
        <color theme="1"/>
        <rFont val="Calibri Light"/>
        <family val="2"/>
        <scheme val="minor"/>
      </rPr>
      <t>case insensitive</t>
    </r>
    <r>
      <rPr>
        <sz val="11"/>
        <color theme="1"/>
        <rFont val="Calibri Light"/>
        <family val="2"/>
        <scheme val="minor"/>
      </rPr>
      <t>.</t>
    </r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</si>
  <si>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</si>
  <si>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</si>
  <si>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</si>
  <si>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</si>
  <si>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</si>
  <si>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</si>
  <si>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</si>
  <si>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</si>
  <si>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</si>
  <si>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</si>
  <si>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</si>
  <si>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</si>
  <si>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</si>
  <si>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Reset Alll Sheet Tests</t>
  </si>
  <si>
    <t>Run Alll Sheet Tests</t>
  </si>
  <si>
    <t>Macros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</si>
  <si>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</si>
  <si>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</si>
  <si>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</si>
  <si>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</si>
  <si>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</si>
  <si>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</si>
  <si>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</si>
  <si>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Summary</t>
  </si>
  <si>
    <t>Other</t>
  </si>
  <si>
    <t>Test Result</t>
  </si>
  <si>
    <t>Test Checks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</si>
  <si>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</si>
  <si>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</si>
  <si>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</si>
  <si>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</si>
  <si>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</si>
  <si>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</si>
  <si>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</si>
  <si>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</si>
  <si>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</si>
  <si>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</si>
  <si>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</si>
  <si>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</si>
  <si>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</si>
  <si>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</si>
  <si>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</si>
  <si>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</si>
  <si>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</si>
  <si>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</si>
  <si>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</si>
  <si>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</si>
  <si>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</si>
  <si>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</si>
  <si>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</si>
  <si>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</si>
  <si>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</si>
  <si>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</si>
  <si>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</si>
  <si>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</si>
  <si>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</si>
  <si>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</si>
  <si>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</si>
  <si>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Test Results</t>
  </si>
  <si>
    <t>Here we test table applying formatting where the table content is purely text.</t>
  </si>
  <si>
    <t>All Test Results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</si>
  <si>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</si>
  <si>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</si>
  <si>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</si>
  <si>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</si>
  <si>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</si>
  <si>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</si>
  <si>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</si>
  <si>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</si>
  <si>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</si>
  <si>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</si>
  <si>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Test 9</t>
  </si>
  <si>
    <t>Run Tests in All Sheets</t>
  </si>
  <si>
    <t>Reset Tests in All Sheets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</si>
  <si>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</si>
  <si>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</si>
  <si>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</si>
  <si>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</si>
  <si>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</si>
  <si>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</si>
  <si>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</si>
  <si>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</si>
  <si>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</si>
  <si>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</si>
  <si>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</si>
  <si>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</si>
  <si>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</si>
  <si>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</si>
  <si>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</si>
  <si>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</si>
  <si>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</si>
  <si>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</si>
  <si>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</si>
  <si>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</si>
  <si>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</si>
  <si>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</si>
  <si>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</si>
  <si>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</si>
  <si>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</si>
  <si>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</si>
  <si>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</si>
  <si>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</si>
  <si>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</si>
  <si>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</si>
  <si>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</si>
  <si>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</si>
  <si>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#Error: Please provide a rate index in the curve parameters.</t>
  </si>
  <si>
    <t>UMBOR</t>
  </si>
  <si>
    <t>#Error: Unsupported rate index: UMBOR</t>
  </si>
  <si>
    <t>#Error: Please provide a base date in the curve parameters.</t>
  </si>
  <si>
    <t>Missing BaseDate</t>
  </si>
  <si>
    <t>Checks</t>
  </si>
  <si>
    <t>ZAR-Swap Testing</t>
  </si>
  <si>
    <t>USD OIS Testing</t>
  </si>
  <si>
    <t># TODO: Incorporate swap par rates in checks.</t>
  </si>
  <si>
    <t>Flat Curve, 3m JIBAR</t>
  </si>
  <si>
    <t>FraTenors</t>
  </si>
  <si>
    <t>3x6</t>
  </si>
  <si>
    <t>6x9</t>
  </si>
  <si>
    <t>9x12</t>
  </si>
  <si>
    <t>Vanilla ZAR Swap</t>
  </si>
  <si>
    <t>Swap Parameters</t>
  </si>
  <si>
    <t>EffectiveDate</t>
  </si>
  <si>
    <t>MaturityDate</t>
  </si>
  <si>
    <t>Type</t>
  </si>
  <si>
    <t>Interest Rate Swap</t>
  </si>
  <si>
    <t>@ZAR-IRS1</t>
  </si>
  <si>
    <t>Payer</t>
  </si>
  <si>
    <t>Notional</t>
  </si>
  <si>
    <t>FloatingLegFrequency</t>
  </si>
  <si>
    <t>Currency</t>
  </si>
  <si>
    <t>← Note: Used for calendar.</t>
  </si>
  <si>
    <t>BusinessDayConvetion</t>
  </si>
  <si>
    <t>Tests</t>
  </si>
  <si>
    <t>ZAR Swap Curve Testing</t>
  </si>
  <si>
    <t>USD OIS Curve Testing</t>
  </si>
  <si>
    <t>Non-Flat Curve, FEDFUND</t>
  </si>
  <si>
    <t>https://wiki.fsa-aks.deloitte.co.za/doku.php?id=valuations:methodology:instruments:interest_rate_swaps</t>
  </si>
  <si>
    <t>See link below for par rate calculation details:</t>
  </si>
  <si>
    <t>Calendar</t>
  </si>
  <si>
    <t>Business Day Convention</t>
  </si>
  <si>
    <t>MODFOL</t>
  </si>
  <si>
    <t>RateIndexName</t>
  </si>
  <si>
    <t>Simple</t>
  </si>
  <si>
    <t>Compounded</t>
  </si>
  <si>
    <t>Vol Surface</t>
  </si>
  <si>
    <t>Moneyness</t>
  </si>
  <si>
    <t>Column Header</t>
  </si>
  <si>
    <t>Here we test apply formatting where there are both column and row headers.</t>
  </si>
  <si>
    <t>-</t>
  </si>
  <si>
    <t>Holidays</t>
  </si>
  <si>
    <t>Inputs</t>
  </si>
  <si>
    <t>Test 1: Custom Holidays</t>
  </si>
  <si>
    <t>Expected Output</t>
  </si>
  <si>
    <t>Test 2: Specific Calendar</t>
  </si>
  <si>
    <t>Test 3: Joint Calendar</t>
  </si>
  <si>
    <t>USD,ZAR</t>
  </si>
  <si>
    <t>Start Date</t>
  </si>
  <si>
    <t>End Date</t>
  </si>
  <si>
    <t>Test 1: Single Calendar</t>
  </si>
  <si>
    <t>Test 2: Joint Calendar</t>
  </si>
  <si>
    <t>Test 4: Invalid Calendar</t>
  </si>
  <si>
    <t>USD,WRE</t>
  </si>
  <si>
    <t>#∂Excel Error: Unknown calendar: WRE</t>
  </si>
  <si>
    <t>Test 3: Invalid Calendar</t>
  </si>
  <si>
    <t>Test 4: Invalid Business Day Convention</t>
  </si>
  <si>
    <t>ASD</t>
  </si>
  <si>
    <t>#∂Excel Error: Unknown business day convention: ASD</t>
  </si>
  <si>
    <t>Interest Rate Curves</t>
  </si>
  <si>
    <t>Utilities</t>
  </si>
  <si>
    <t>Variant 1</t>
  </si>
  <si>
    <t>Variant 2</t>
  </si>
  <si>
    <t>Fol</t>
  </si>
  <si>
    <t>Following</t>
  </si>
  <si>
    <t>ModFol</t>
  </si>
  <si>
    <t>ModifiedFollowing</t>
  </si>
  <si>
    <t>ModPrec</t>
  </si>
  <si>
    <t>ModPreceding</t>
  </si>
  <si>
    <t>Prec</t>
  </si>
  <si>
    <t>Preceding</t>
  </si>
  <si>
    <t>Variant 3</t>
  </si>
  <si>
    <t>Variant 4</t>
  </si>
  <si>
    <t>Act360</t>
  </si>
  <si>
    <t>Actual360</t>
  </si>
  <si>
    <t/>
  </si>
  <si>
    <t>Act365</t>
  </si>
  <si>
    <t>Act365F</t>
  </si>
  <si>
    <t>Actual365F</t>
  </si>
  <si>
    <t>ActAct</t>
  </si>
  <si>
    <t>ActualActual</t>
  </si>
  <si>
    <t>Bus252</t>
  </si>
  <si>
    <t>Business252</t>
  </si>
  <si>
    <t>ARS</t>
  </si>
  <si>
    <t>Argentina</t>
  </si>
  <si>
    <t>AUD</t>
  </si>
  <si>
    <t>Australia</t>
  </si>
  <si>
    <t>BWP</t>
  </si>
  <si>
    <t>Botswana</t>
  </si>
  <si>
    <t>BRL</t>
  </si>
  <si>
    <t>Brazil</t>
  </si>
  <si>
    <t>CAD</t>
  </si>
  <si>
    <t>Canada</t>
  </si>
  <si>
    <t>CHF</t>
  </si>
  <si>
    <t>Switzerland</t>
  </si>
  <si>
    <t>CNH</t>
  </si>
  <si>
    <t>China</t>
  </si>
  <si>
    <t>CZK</t>
  </si>
  <si>
    <t>Czech Republic</t>
  </si>
  <si>
    <t>DKK</t>
  </si>
  <si>
    <t>Denmark</t>
  </si>
  <si>
    <t>EUR</t>
  </si>
  <si>
    <t>Euro</t>
  </si>
  <si>
    <t>GBP</t>
  </si>
  <si>
    <t>Great Britain</t>
  </si>
  <si>
    <t>Germany</t>
  </si>
  <si>
    <t>HUF</t>
  </si>
  <si>
    <t>Hungary</t>
  </si>
  <si>
    <t>INR</t>
  </si>
  <si>
    <t>India</t>
  </si>
  <si>
    <t>ILS</t>
  </si>
  <si>
    <t>Israel</t>
  </si>
  <si>
    <t>Italy</t>
  </si>
  <si>
    <t>JPY</t>
  </si>
  <si>
    <t>Japan</t>
  </si>
  <si>
    <t>KRW</t>
  </si>
  <si>
    <t>South Korea</t>
  </si>
  <si>
    <t>MXN</t>
  </si>
  <si>
    <t>Mexico</t>
  </si>
  <si>
    <t>NOK</t>
  </si>
  <si>
    <t>Norway</t>
  </si>
  <si>
    <t>NZD</t>
  </si>
  <si>
    <t>New Zealand</t>
  </si>
  <si>
    <t>PLN</t>
  </si>
  <si>
    <t>Poland</t>
  </si>
  <si>
    <t>RON</t>
  </si>
  <si>
    <t>Romania</t>
  </si>
  <si>
    <t>RUB</t>
  </si>
  <si>
    <t>Russia</t>
  </si>
  <si>
    <t>SGD</t>
  </si>
  <si>
    <t>Singapore</t>
  </si>
  <si>
    <t>SKK</t>
  </si>
  <si>
    <t>Sweden</t>
  </si>
  <si>
    <t>SLOVAKIA</t>
  </si>
  <si>
    <t>THB</t>
  </si>
  <si>
    <t>Thailand</t>
  </si>
  <si>
    <t>TRY</t>
  </si>
  <si>
    <t>Turkey</t>
  </si>
  <si>
    <t>TWD</t>
  </si>
  <si>
    <t>Taiwan</t>
  </si>
  <si>
    <t>UAH</t>
  </si>
  <si>
    <t>Ukraine</t>
  </si>
  <si>
    <t>USD</t>
  </si>
  <si>
    <t>USA</t>
  </si>
  <si>
    <t>United States</t>
  </si>
  <si>
    <t>United States of America</t>
  </si>
  <si>
    <t>South Africa</t>
  </si>
  <si>
    <t>Frequency</t>
  </si>
  <si>
    <t>Calendar(s)</t>
  </si>
  <si>
    <t>Rule</t>
  </si>
  <si>
    <t>Backward</t>
  </si>
  <si>
    <t>Test 1: Backward Rule</t>
  </si>
  <si>
    <t>Forward</t>
  </si>
  <si>
    <t>Test 2: Forward Rule</t>
  </si>
  <si>
    <t>Test 2: IMM Rule</t>
  </si>
  <si>
    <t>IMM</t>
  </si>
  <si>
    <t>Mathematics</t>
  </si>
  <si>
    <t>d.Math_Interpolate</t>
  </si>
  <si>
    <t>Test 1: Linear Interpolation</t>
  </si>
  <si>
    <t>X Column</t>
  </si>
  <si>
    <t>Y Column</t>
  </si>
  <si>
    <t>Xi Value</t>
  </si>
  <si>
    <t>Test 2: Exponential Interpolation</t>
  </si>
  <si>
    <t>EXP(Y Column)</t>
  </si>
  <si>
    <t>Test 3: Exponential Interpolation on EXP(Y) = EXP(Linear Interpolation on Y)</t>
  </si>
  <si>
    <t>Test 4: Flat Interpolation</t>
  </si>
  <si>
    <t>#∂Excel Error: Row dimensions do not match or there is more than one column in x or y.</t>
  </si>
  <si>
    <t>Test 5: Invalid Row Dimensions</t>
  </si>
  <si>
    <t>Test 5: Invalid Interpolation Method</t>
  </si>
  <si>
    <t>#∂Excel Error: Invalid method of interpolation specified.</t>
  </si>
  <si>
    <t>Y</t>
  </si>
  <si>
    <t>X</t>
  </si>
  <si>
    <t>Y Values</t>
  </si>
  <si>
    <t>X Values</t>
  </si>
  <si>
    <t>Interpolate For</t>
  </si>
  <si>
    <t>d.Math_Interpolate2D</t>
  </si>
  <si>
    <t>Test 1: Two-Dimensional Linear Interpolation (Bilinear Interpolation)</t>
  </si>
  <si>
    <t>Test 2: Two-Dimensional Exponential Interpolation</t>
  </si>
  <si>
    <t>Test 3: Two-Dimensional Flat Interpolation</t>
  </si>
  <si>
    <t>Test 4: Extrapolation</t>
  </si>
  <si>
    <t>#∂Excel Error: Extrapolation not supported.</t>
  </si>
  <si>
    <t>Test 6: Invalid Columns</t>
  </si>
  <si>
    <t>Test 7: Invalid Interpolation Method</t>
  </si>
  <si>
    <t>Stats</t>
  </si>
  <si>
    <t>d.Stats_Cholesky</t>
  </si>
  <si>
    <t>d.Stats_CorrelationMatrix</t>
  </si>
  <si>
    <t>d.Stats_NormalRandomNumbers</t>
  </si>
  <si>
    <t>Test 1: Symmetric and Positive-Definite Matrix</t>
  </si>
  <si>
    <t>N x N Matrix</t>
  </si>
  <si>
    <t>#∂Excel Error: Matrix supplied is not square.</t>
  </si>
  <si>
    <t>Test 2: Non-Square Matrix</t>
  </si>
  <si>
    <t>#∂Excel Error: Matrix supplied is not symmetric.</t>
  </si>
  <si>
    <t>#∂Excel Error: Matrix supplied is not positive-definite.</t>
  </si>
  <si>
    <t>Test 3: Non-Symmetric Matrix</t>
  </si>
  <si>
    <t>Test 4: Non Positive-Definite Matrix</t>
  </si>
  <si>
    <t>Test 1: Two Columns of Data</t>
  </si>
  <si>
    <t>Z</t>
  </si>
  <si>
    <t>Test 2: Three Columns of Data</t>
  </si>
  <si>
    <t>Seed</t>
  </si>
  <si>
    <t>Mean</t>
  </si>
  <si>
    <t>Std. Dev.</t>
  </si>
  <si>
    <t>Test 1: Normal Random Numbers for a Given Seed</t>
  </si>
  <si>
    <t>Test 2: Normal Random Numbers for a Blank Seed</t>
  </si>
  <si>
    <t>Test 3: Invalid Seed</t>
  </si>
  <si>
    <t>Not a Number</t>
  </si>
  <si>
    <t>#∂Excel Error: Invalid seed specified.</t>
  </si>
  <si>
    <t>d.Dates_FolDay</t>
  </si>
  <si>
    <t>d.Dates_ModFolDay</t>
  </si>
  <si>
    <t>d.Dates_PrevDay</t>
  </si>
  <si>
    <t>d.Dates_AddTenorToDate</t>
  </si>
  <si>
    <t>d.Dates_GetListOfCalendars</t>
  </si>
  <si>
    <t>d.Dates_GetListOfHolidays</t>
  </si>
  <si>
    <t>d.Dates_GenerateSchedule</t>
  </si>
  <si>
    <t>d.Dates_GetAvailableBusinessDayConventions</t>
  </si>
  <si>
    <t>d.Dates_GetAvailableDayCountConventions</t>
  </si>
  <si>
    <t>&lt;Go To Summary Sheet&gt;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</si>
</sst>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0.0000"/>
    <numFmt numFmtId="165" formatCode="0.0000000000000000"/>
    <numFmt numFmtId="166" formatCode="yyyy\-mm\-dd;@"/>
    <numFmt numFmtId="167" formatCode="#,##0.000000"/>
    <numFmt numFmtId="168" formatCode="#,##0.000000000"/>
    <numFmt numFmtId="169" formatCode="0.0000%"/>
    <numFmt numFmtId="170" formatCode="[$€-2]#,##0.00"/>
    <numFmt numFmtId="171" formatCode="[$£-809]#,##0.00"/>
    <numFmt numFmtId="172" formatCode="[$₽-419]#,##0.00"/>
    <numFmt numFmtId="173" formatCode="[$R-1C09]#,##0.00"/>
    <numFmt numFmtId="174" formatCode="#,##0.0000000"/>
    <numFmt numFmtId="175" formatCode="#,##0.0000000000"/>
    <numFmt numFmtId="176" formatCode="#,##0.00000000"/>
    <numFmt numFmtId="177" formatCode="0.00000000000"/>
    <numFmt numFmtId="178" formatCode="0.000000000000"/>
    <numFmt numFmtId="179" formatCode="#,##0.00000000000"/>
  </numFmts>
  <fonts count="40" x14ac:knownFonts="1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sz val="12"/>
      <name val="Calibri Light"/>
      <family val="2"/>
      <scheme val="min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0"/>
      <color rgb="FF000000"/>
      <name val="Calibri Light"/>
      <family val="2"/>
    </font>
    <font>
      <b/>
      <sz val="14"/>
      <color theme="4" tint="-0.249977111117893"/>
      <name val="Calibri Light"/>
      <family val="2"/>
      <scheme val="minor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b/>
      <sz val="10"/>
      <color theme="0"/>
      <name val="Calibri Light"/>
      <family val="2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i/>
      <sz val="11"/>
      <color rgb="FFFFC000"/>
      <name val="Calibri Light"/>
      <family val="2"/>
      <scheme val="minor"/>
    </font>
    <font>
      <b/>
      <sz val="10"/>
      <name val="Calibri Light"/>
      <family val="2"/>
      <scheme val="minor"/>
    </font>
    <font>
      <b/>
      <sz val="10"/>
      <color theme="4" tint="-0.24994659260841701"/>
      <name val="Calibri Light"/>
      <family val="2"/>
      <scheme val="minor"/>
    </font>
    <font>
      <u/>
      <sz val="10"/>
      <color theme="8" tint="-0.24994659260841701"/>
      <name val="Calibri"/>
      <family val="2"/>
    </font>
    <font>
      <u/>
      <sz val="10"/>
      <color theme="8" tint="-0.24994659260841701"/>
      <name val="Calibri Light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137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hair">
        <color theme="1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dotted">
        <color theme="1"/>
      </bottom>
      <diagonal/>
    </border>
    <border>
      <left/>
      <right/>
      <top/>
      <bottom style="hair">
        <color theme="0" tint="-0.24994659260841701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hair">
        <color indexed="64"/>
      </bottom>
      <diagonal/>
    </border>
    <border>
      <left style="thin">
        <color rgb="FF000000"/>
      </left>
      <right/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 style="hair">
        <color rgb="FF000000"/>
      </left>
      <right style="thin">
        <color indexed="64"/>
      </right>
      <top/>
      <bottom style="thin">
        <color indexed="64"/>
      </bottom>
      <diagonal/>
    </border>
    <border>
      <left style="hair">
        <color rgb="FF000000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indexed="64"/>
      </right>
      <top style="hair">
        <color rgb="FF000000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indexed="64"/>
      </right>
      <top/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</borders>
  <cellStyleXfs count="6">
    <xf numFmtId="0" fontId="0" fillId="0" borderId="0"/>
    <xf numFmtId="0" fontId="15" fillId="0" borderId="1" applyNumberFormat="0" applyFill="0" applyAlignment="0" applyProtection="0"/>
    <xf numFmtId="0" fontId="32" fillId="0" borderId="91" applyNumberFormat="0" applyFill="0" applyAlignment="0" applyProtection="0"/>
    <xf numFmtId="0" fontId="33" fillId="0" borderId="92" applyNumberFormat="0" applyFill="0" applyAlignment="0" applyProtection="0"/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</cellStyleXfs>
  <cellXfs count="496">
    <xf numFmtId="0" fontId="0" fillId="0" borderId="0" xfId="0"/>
    <xf numFmtId="14" fontId="0" fillId="0" borderId="0" xfId="0" applyNumberFormat="1"/>
    <xf numFmtId="0" fontId="15" fillId="0" borderId="1" xfId="1"/>
    <xf numFmtId="0" fontId="32" fillId="0" borderId="91" xfId="2"/>
    <xf numFmtId="0" fontId="33" fillId="0" borderId="92" xfId="3"/>
    <xf numFmtId="164" fontId="0" fillId="0" borderId="0" xfId="0" applyNumberFormat="1"/>
    <xf numFmtId="165" fontId="0" fillId="0" borderId="0" xfId="0" applyNumberFormat="1"/>
    <xf numFmtId="0" fontId="16" fillId="2" borderId="0" xfId="0" applyFont="1" applyFill="1"/>
    <xf numFmtId="166" fontId="0" fillId="0" borderId="0" xfId="0" applyNumberFormat="1"/>
    <xf numFmtId="4" fontId="0" fillId="0" borderId="0" xfId="0" applyNumberFormat="1"/>
    <xf numFmtId="0" fontId="0" fillId="0" borderId="0" xfId="0" quotePrefix="1"/>
    <xf numFmtId="166" fontId="0" fillId="0" borderId="0" xfId="0" quotePrefix="1" applyNumberFormat="1"/>
    <xf numFmtId="0" fontId="18" fillId="3" borderId="4" xfId="0" applyFont="1" applyFill="1" applyBorder="1" applyAlignment="1">
      <alignment horizontal="centerContinuous" vertical="center"/>
    </xf>
    <xf numFmtId="0" fontId="18" fillId="3" borderId="5" xfId="0" applyFont="1" applyFill="1" applyBorder="1" applyAlignment="1">
      <alignment horizontal="centerContinuous" vertical="center"/>
    </xf>
    <xf numFmtId="4" fontId="17" fillId="0" borderId="9" xfId="0" applyNumberFormat="1" applyFont="1" applyBorder="1" applyAlignment="1">
      <alignment horizontal="right" vertical="center"/>
    </xf>
    <xf numFmtId="4" fontId="17" fillId="0" borderId="11" xfId="0" applyNumberFormat="1" applyFont="1" applyBorder="1" applyAlignment="1">
      <alignment horizontal="right" vertical="center"/>
    </xf>
    <xf numFmtId="4" fontId="17" fillId="0" borderId="13" xfId="0" applyNumberFormat="1" applyFont="1" applyBorder="1" applyAlignment="1">
      <alignment horizontal="right" vertical="center"/>
    </xf>
    <xf numFmtId="166" fontId="17" fillId="0" borderId="9" xfId="0" applyNumberFormat="1" applyFont="1" applyBorder="1" applyAlignment="1">
      <alignment horizontal="right" vertical="center"/>
    </xf>
    <xf numFmtId="166" fontId="17" fillId="0" borderId="11" xfId="0" applyNumberFormat="1" applyFont="1" applyBorder="1" applyAlignment="1">
      <alignment horizontal="right" vertical="center"/>
    </xf>
    <xf numFmtId="166" fontId="17" fillId="0" borderId="13" xfId="0" applyNumberFormat="1" applyFont="1" applyBorder="1" applyAlignment="1">
      <alignment horizontal="right" vertical="center"/>
    </xf>
    <xf numFmtId="167" fontId="17" fillId="0" borderId="10" xfId="0" applyNumberFormat="1" applyFont="1" applyBorder="1" applyAlignment="1">
      <alignment horizontal="right" vertical="center"/>
    </xf>
    <xf numFmtId="167" fontId="17" fillId="0" borderId="12" xfId="0" applyNumberFormat="1" applyFont="1" applyBorder="1" applyAlignment="1">
      <alignment horizontal="right" vertical="center"/>
    </xf>
    <xf numFmtId="167" fontId="17" fillId="0" borderId="14" xfId="0" applyNumberFormat="1" applyFont="1" applyBorder="1" applyAlignment="1">
      <alignment horizontal="right" vertical="center"/>
    </xf>
    <xf numFmtId="0" fontId="18" fillId="3" borderId="7" xfId="0" applyFont="1" applyFill="1" applyBorder="1" applyAlignment="1">
      <alignment horizontal="centerContinuous" vertical="center"/>
    </xf>
    <xf numFmtId="0" fontId="18" fillId="3" borderId="8" xfId="0" applyFont="1" applyFill="1" applyBorder="1" applyAlignment="1">
      <alignment horizontal="centerContinuous" vertical="center"/>
    </xf>
    <xf numFmtId="0" fontId="0" fillId="0" borderId="3" xfId="0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18" fillId="3" borderId="6" xfId="0" applyFont="1" applyFill="1" applyBorder="1" applyAlignment="1">
      <alignment horizontal="centerContinuous" vertical="center"/>
    </xf>
    <xf numFmtId="4" fontId="17" fillId="0" borderId="15" xfId="0" applyNumberFormat="1" applyFont="1" applyBorder="1" applyAlignment="1">
      <alignment horizontal="right" vertical="center"/>
    </xf>
    <xf numFmtId="4" fontId="17" fillId="0" borderId="16" xfId="0" applyNumberFormat="1" applyFont="1" applyBorder="1" applyAlignment="1">
      <alignment horizontal="right" vertical="center"/>
    </xf>
    <xf numFmtId="4" fontId="17" fillId="0" borderId="17" xfId="0" applyNumberFormat="1" applyFont="1" applyBorder="1" applyAlignment="1">
      <alignment horizontal="right" vertical="center"/>
    </xf>
    <xf numFmtId="10" fontId="17" fillId="0" borderId="15" xfId="0" applyNumberFormat="1" applyFont="1" applyBorder="1" applyAlignment="1">
      <alignment horizontal="right" vertical="center"/>
    </xf>
    <xf numFmtId="10" fontId="17" fillId="0" borderId="16" xfId="0" applyNumberFormat="1" applyFont="1" applyBorder="1" applyAlignment="1">
      <alignment horizontal="right" vertical="center"/>
    </xf>
    <xf numFmtId="10" fontId="17" fillId="0" borderId="17" xfId="0" applyNumberFormat="1" applyFont="1" applyBorder="1" applyAlignment="1">
      <alignment horizontal="right" vertical="center"/>
    </xf>
    <xf numFmtId="10" fontId="17" fillId="0" borderId="10" xfId="0" applyNumberFormat="1" applyFont="1" applyBorder="1" applyAlignment="1">
      <alignment horizontal="right" vertical="center"/>
    </xf>
    <xf numFmtId="10" fontId="17" fillId="0" borderId="12" xfId="0" applyNumberFormat="1" applyFont="1" applyBorder="1" applyAlignment="1">
      <alignment horizontal="right" vertical="center"/>
    </xf>
    <xf numFmtId="10" fontId="17" fillId="0" borderId="14" xfId="0" applyNumberFormat="1" applyFont="1" applyBorder="1" applyAlignment="1">
      <alignment horizontal="right" vertical="center"/>
    </xf>
    <xf numFmtId="0" fontId="18" fillId="3" borderId="18" xfId="0" applyFont="1" applyFill="1" applyBorder="1" applyAlignment="1">
      <alignment horizontal="centerContinuous" vertical="center"/>
    </xf>
    <xf numFmtId="0" fontId="18" fillId="3" borderId="19" xfId="0" applyFont="1" applyFill="1" applyBorder="1" applyAlignment="1">
      <alignment horizontal="centerContinuous" vertical="center"/>
    </xf>
    <xf numFmtId="0" fontId="0" fillId="0" borderId="3" xfId="0" applyBorder="1"/>
    <xf numFmtId="0" fontId="0" fillId="0" borderId="2" xfId="0" applyBorder="1"/>
    <xf numFmtId="0" fontId="18" fillId="3" borderId="0" xfId="0" applyFont="1" applyFill="1" applyBorder="1" applyAlignment="1">
      <alignment horizontal="centerContinuous" vertical="center"/>
    </xf>
    <xf numFmtId="0" fontId="17" fillId="0" borderId="0" xfId="0" applyFont="1"/>
    <xf numFmtId="0" fontId="18" fillId="4" borderId="20" xfId="0" applyFont="1" applyFill="1" applyBorder="1" applyAlignment="1">
      <alignment horizontal="center" vertical="center"/>
    </xf>
    <xf numFmtId="0" fontId="18" fillId="4" borderId="21" xfId="0" applyFont="1" applyFill="1" applyBorder="1" applyAlignment="1">
      <alignment horizontal="center" vertical="center"/>
    </xf>
    <xf numFmtId="0" fontId="18" fillId="4" borderId="22" xfId="0" applyFont="1" applyFill="1" applyBorder="1" applyAlignment="1">
      <alignment horizontal="center" vertical="center"/>
    </xf>
    <xf numFmtId="166" fontId="17" fillId="0" borderId="0" xfId="0" applyNumberFormat="1" applyFont="1"/>
    <xf numFmtId="0" fontId="19" fillId="2" borderId="0" xfId="0" applyFont="1" applyFill="1" applyAlignment="1">
      <alignment horizontal="centerContinuous"/>
    </xf>
    <xf numFmtId="168" fontId="0" fillId="0" borderId="0" xfId="0" applyNumberFormat="1"/>
    <xf numFmtId="169" fontId="0" fillId="0" borderId="0" xfId="0" applyNumberFormat="1"/>
    <xf numFmtId="0" fontId="0" fillId="0" borderId="23" xfId="0" applyFont="1" applyBorder="1" applyAlignment="1">
      <alignment horizontal="centerContinuous"/>
    </xf>
    <xf numFmtId="0" fontId="0" fillId="0" borderId="24" xfId="0" applyFont="1" applyBorder="1" applyAlignment="1">
      <alignment horizontal="centerContinuous"/>
    </xf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166" fontId="17" fillId="0" borderId="0" xfId="0" applyNumberFormat="1" applyFont="1" applyAlignment="1">
      <alignment horizontal="right"/>
    </xf>
    <xf numFmtId="0" fontId="17" fillId="0" borderId="0" xfId="0" applyFont="1" applyFill="1" applyBorder="1"/>
    <xf numFmtId="167" fontId="17" fillId="0" borderId="15" xfId="0" applyNumberFormat="1" applyFont="1" applyBorder="1" applyAlignment="1">
      <alignment horizontal="right" vertical="center"/>
    </xf>
    <xf numFmtId="167" fontId="17" fillId="0" borderId="16" xfId="0" applyNumberFormat="1" applyFont="1" applyBorder="1" applyAlignment="1">
      <alignment horizontal="right" vertical="center"/>
    </xf>
    <xf numFmtId="0" fontId="18" fillId="3" borderId="27" xfId="0" applyFont="1" applyFill="1" applyBorder="1" applyAlignment="1">
      <alignment horizontal="centerContinuous" vertical="center"/>
    </xf>
    <xf numFmtId="0" fontId="18" fillId="3" borderId="28" xfId="0" applyFont="1" applyFill="1" applyBorder="1" applyAlignment="1">
      <alignment horizontal="centerContinuous" vertical="center"/>
    </xf>
    <xf numFmtId="0" fontId="18" fillId="4" borderId="29" xfId="0" applyFont="1" applyFill="1" applyBorder="1" applyAlignment="1">
      <alignment horizontal="center" vertical="center"/>
    </xf>
    <xf numFmtId="0" fontId="18" fillId="4" borderId="30" xfId="0" applyFont="1" applyFill="1" applyBorder="1" applyAlignment="1">
      <alignment horizontal="center" vertical="center"/>
    </xf>
    <xf numFmtId="4" fontId="17" fillId="0" borderId="0" xfId="0" applyNumberFormat="1" applyFont="1"/>
    <xf numFmtId="0" fontId="18" fillId="4" borderId="31" xfId="0" applyFont="1" applyFill="1" applyBorder="1" applyAlignment="1">
      <alignment horizontal="center" vertical="center"/>
    </xf>
    <xf numFmtId="0" fontId="0" fillId="0" borderId="0" xfId="0" applyBorder="1"/>
    <xf numFmtId="0" fontId="20" fillId="0" borderId="3" xfId="0" applyFont="1" applyBorder="1" applyAlignment="1">
      <alignment horizontal="centerContinuous"/>
    </xf>
    <xf numFmtId="0" fontId="19" fillId="2" borderId="0" xfId="0" applyFont="1" applyFill="1" applyAlignment="1">
      <alignment horizontal="centerContinuous" vertical="center"/>
    </xf>
    <xf numFmtId="0" fontId="21" fillId="0" borderId="32" xfId="2" applyFont="1" applyBorder="1"/>
    <xf numFmtId="0" fontId="32" fillId="0" borderId="32" xfId="2" applyBorder="1"/>
    <xf numFmtId="0" fontId="23" fillId="0" borderId="0" xfId="0" applyFont="1"/>
    <xf numFmtId="0" fontId="24" fillId="0" borderId="0" xfId="0" applyFont="1"/>
    <xf numFmtId="4" fontId="17" fillId="0" borderId="10" xfId="0" applyNumberFormat="1" applyFont="1" applyBorder="1" applyAlignment="1">
      <alignment horizontal="right" vertical="center"/>
    </xf>
    <xf numFmtId="4" fontId="17" fillId="0" borderId="12" xfId="0" applyNumberFormat="1" applyFont="1" applyBorder="1" applyAlignment="1">
      <alignment horizontal="right" vertical="center"/>
    </xf>
    <xf numFmtId="4" fontId="17" fillId="0" borderId="14" xfId="0" applyNumberFormat="1" applyFont="1" applyBorder="1" applyAlignment="1">
      <alignment horizontal="right" vertical="center"/>
    </xf>
    <xf numFmtId="0" fontId="18" fillId="4" borderId="33" xfId="0" applyFont="1" applyFill="1" applyBorder="1" applyAlignment="1">
      <alignment horizontal="center" vertical="center"/>
    </xf>
    <xf numFmtId="0" fontId="18" fillId="4" borderId="34" xfId="0" applyFont="1" applyFill="1" applyBorder="1" applyAlignment="1">
      <alignment horizontal="center" vertical="center"/>
    </xf>
    <xf numFmtId="0" fontId="18" fillId="4" borderId="35" xfId="0" applyFont="1" applyFill="1" applyBorder="1" applyAlignment="1">
      <alignment horizontal="center" vertical="center"/>
    </xf>
    <xf numFmtId="0" fontId="0" fillId="0" borderId="25" xfId="0" applyBorder="1"/>
    <xf numFmtId="0" fontId="15" fillId="0" borderId="1" xfId="1" applyFont="1"/>
    <xf numFmtId="0" fontId="26" fillId="0" borderId="25" xfId="0" applyFont="1" applyBorder="1"/>
    <xf numFmtId="9" fontId="17" fillId="0" borderId="39" xfId="0" applyNumberFormat="1" applyFont="1" applyBorder="1" applyAlignment="1">
      <alignment horizontal="right"/>
    </xf>
    <xf numFmtId="9" fontId="17" fillId="0" borderId="41" xfId="0" applyNumberFormat="1" applyFont="1" applyBorder="1" applyAlignment="1">
      <alignment horizontal="right"/>
    </xf>
    <xf numFmtId="166" fontId="17" fillId="0" borderId="36" xfId="0" applyNumberFormat="1" applyFont="1" applyBorder="1"/>
    <xf numFmtId="166" fontId="17" fillId="0" borderId="38" xfId="0" applyNumberFormat="1" applyFont="1" applyBorder="1"/>
    <xf numFmtId="166" fontId="17" fillId="0" borderId="42" xfId="0" applyNumberFormat="1" applyFont="1" applyBorder="1"/>
    <xf numFmtId="166" fontId="17" fillId="0" borderId="43" xfId="0" applyNumberFormat="1" applyFont="1" applyBorder="1"/>
    <xf numFmtId="0" fontId="0" fillId="0" borderId="43" xfId="0" applyBorder="1"/>
    <xf numFmtId="9" fontId="17" fillId="0" borderId="43" xfId="0" applyNumberFormat="1" applyFont="1" applyBorder="1" applyAlignment="1">
      <alignment horizontal="right"/>
    </xf>
    <xf numFmtId="9" fontId="17" fillId="0" borderId="44" xfId="0" applyNumberFormat="1" applyFont="1" applyBorder="1" applyAlignment="1">
      <alignment horizontal="right"/>
    </xf>
    <xf numFmtId="0" fontId="27" fillId="5" borderId="0" xfId="0" applyFont="1" applyFill="1" applyBorder="1" applyAlignment="1">
      <alignment horizontal="left" vertical="center"/>
    </xf>
    <xf numFmtId="0" fontId="24" fillId="0" borderId="27" xfId="0" applyFont="1" applyBorder="1"/>
    <xf numFmtId="0" fontId="0" fillId="0" borderId="28" xfId="0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0" fontId="0" fillId="0" borderId="48" xfId="0" applyBorder="1"/>
    <xf numFmtId="0" fontId="24" fillId="0" borderId="49" xfId="0" applyFont="1" applyBorder="1"/>
    <xf numFmtId="0" fontId="0" fillId="0" borderId="50" xfId="0" applyBorder="1"/>
    <xf numFmtId="4" fontId="27" fillId="5" borderId="0" xfId="0" applyNumberFormat="1" applyFont="1" applyFill="1" applyBorder="1" applyAlignment="1">
      <alignment horizontal="left" vertical="center"/>
    </xf>
    <xf numFmtId="0" fontId="18" fillId="4" borderId="51" xfId="0" applyFont="1" applyFill="1" applyBorder="1" applyAlignment="1">
      <alignment horizontal="center" vertical="center"/>
    </xf>
    <xf numFmtId="0" fontId="18" fillId="4" borderId="52" xfId="0" applyFont="1" applyFill="1" applyBorder="1" applyAlignment="1">
      <alignment horizontal="center" vertical="center"/>
    </xf>
    <xf numFmtId="0" fontId="18" fillId="4" borderId="53" xfId="0" applyFont="1" applyFill="1" applyBorder="1" applyAlignment="1">
      <alignment horizontal="center" vertical="center"/>
    </xf>
    <xf numFmtId="166" fontId="17" fillId="0" borderId="37" xfId="0" applyNumberFormat="1" applyFont="1" applyBorder="1"/>
    <xf numFmtId="166" fontId="17" fillId="0" borderId="39" xfId="0" applyNumberFormat="1" applyFont="1" applyBorder="1"/>
    <xf numFmtId="0" fontId="0" fillId="0" borderId="38" xfId="0" applyBorder="1"/>
    <xf numFmtId="0" fontId="0" fillId="0" borderId="39" xfId="0" applyBorder="1"/>
    <xf numFmtId="9" fontId="17" fillId="0" borderId="38" xfId="0" applyNumberFormat="1" applyFont="1" applyBorder="1" applyAlignment="1">
      <alignment horizontal="right"/>
    </xf>
    <xf numFmtId="9" fontId="17" fillId="0" borderId="40" xfId="0" applyNumberFormat="1" applyFont="1" applyBorder="1" applyAlignment="1">
      <alignment horizontal="right"/>
    </xf>
    <xf numFmtId="170" fontId="28" fillId="0" borderId="15" xfId="0" applyNumberFormat="1" applyFont="1" applyBorder="1" applyAlignment="1">
      <alignment horizontal="right" vertical="center"/>
    </xf>
    <xf numFmtId="170" fontId="28" fillId="0" borderId="16" xfId="0" applyNumberFormat="1" applyFont="1" applyBorder="1" applyAlignment="1">
      <alignment horizontal="right" vertical="center"/>
    </xf>
    <xf numFmtId="170" fontId="28" fillId="0" borderId="17" xfId="0" applyNumberFormat="1" applyFont="1" applyBorder="1" applyAlignment="1">
      <alignment horizontal="right" vertical="center"/>
    </xf>
    <xf numFmtId="171" fontId="28" fillId="0" borderId="15" xfId="0" applyNumberFormat="1" applyFont="1" applyBorder="1" applyAlignment="1">
      <alignment horizontal="right" vertical="center"/>
    </xf>
    <xf numFmtId="171" fontId="28" fillId="0" borderId="16" xfId="0" applyNumberFormat="1" applyFont="1" applyBorder="1" applyAlignment="1">
      <alignment horizontal="right" vertical="center"/>
    </xf>
    <xf numFmtId="171" fontId="28" fillId="0" borderId="17" xfId="0" applyNumberFormat="1" applyFont="1" applyBorder="1" applyAlignment="1">
      <alignment horizontal="right" vertical="center"/>
    </xf>
    <xf numFmtId="172" fontId="28" fillId="0" borderId="15" xfId="0" applyNumberFormat="1" applyFont="1" applyBorder="1" applyAlignment="1">
      <alignment horizontal="right" vertical="center"/>
    </xf>
    <xf numFmtId="172" fontId="28" fillId="0" borderId="16" xfId="0" applyNumberFormat="1" applyFont="1" applyBorder="1" applyAlignment="1">
      <alignment horizontal="right" vertical="center"/>
    </xf>
    <xf numFmtId="172" fontId="28" fillId="0" borderId="17" xfId="0" applyNumberFormat="1" applyFont="1" applyBorder="1" applyAlignment="1">
      <alignment horizontal="right" vertical="center"/>
    </xf>
    <xf numFmtId="173" fontId="28" fillId="0" borderId="15" xfId="0" applyNumberFormat="1" applyFont="1" applyBorder="1" applyAlignment="1">
      <alignment horizontal="right" vertical="center"/>
    </xf>
    <xf numFmtId="173" fontId="28" fillId="0" borderId="16" xfId="0" applyNumberFormat="1" applyFont="1" applyBorder="1" applyAlignment="1">
      <alignment horizontal="right" vertical="center"/>
    </xf>
    <xf numFmtId="173" fontId="28" fillId="0" borderId="17" xfId="0" applyNumberFormat="1" applyFont="1" applyBorder="1" applyAlignment="1">
      <alignment horizontal="right" vertical="center"/>
    </xf>
    <xf numFmtId="10" fontId="14" fillId="0" borderId="15" xfId="0" applyNumberFormat="1" applyFont="1" applyBorder="1" applyAlignment="1">
      <alignment horizontal="right" vertical="center"/>
    </xf>
    <xf numFmtId="10" fontId="14" fillId="0" borderId="16" xfId="0" applyNumberFormat="1" applyFont="1" applyBorder="1" applyAlignment="1">
      <alignment horizontal="right" vertical="center"/>
    </xf>
    <xf numFmtId="10" fontId="14" fillId="0" borderId="17" xfId="0" applyNumberFormat="1" applyFont="1" applyBorder="1" applyAlignment="1">
      <alignment horizontal="right" vertical="center"/>
    </xf>
    <xf numFmtId="10" fontId="14" fillId="0" borderId="10" xfId="0" applyNumberFormat="1" applyFont="1" applyBorder="1" applyAlignment="1">
      <alignment horizontal="right" vertical="center"/>
    </xf>
    <xf numFmtId="10" fontId="14" fillId="0" borderId="12" xfId="0" applyNumberFormat="1" applyFont="1" applyBorder="1" applyAlignment="1">
      <alignment horizontal="right" vertical="center"/>
    </xf>
    <xf numFmtId="10" fontId="14" fillId="0" borderId="14" xfId="0" applyNumberFormat="1" applyFont="1" applyBorder="1" applyAlignment="1">
      <alignment horizontal="right" vertical="center"/>
    </xf>
    <xf numFmtId="166" fontId="14" fillId="0" borderId="9" xfId="0" applyNumberFormat="1" applyFont="1" applyBorder="1" applyAlignment="1">
      <alignment horizontal="right" vertical="center"/>
    </xf>
    <xf numFmtId="166" fontId="14" fillId="0" borderId="11" xfId="0" applyNumberFormat="1" applyFont="1" applyBorder="1" applyAlignment="1">
      <alignment horizontal="right" vertical="center"/>
    </xf>
    <xf numFmtId="166" fontId="14" fillId="0" borderId="13" xfId="0" applyNumberFormat="1" applyFont="1" applyBorder="1" applyAlignment="1">
      <alignment horizontal="right" vertical="center"/>
    </xf>
    <xf numFmtId="166" fontId="14" fillId="0" borderId="15" xfId="0" applyNumberFormat="1" applyFont="1" applyBorder="1" applyAlignment="1">
      <alignment horizontal="right" vertical="center"/>
    </xf>
    <xf numFmtId="166" fontId="14" fillId="0" borderId="16" xfId="0" applyNumberFormat="1" applyFont="1" applyBorder="1" applyAlignment="1">
      <alignment horizontal="right" vertical="center"/>
    </xf>
    <xf numFmtId="166" fontId="14" fillId="0" borderId="17" xfId="0" applyNumberFormat="1" applyFont="1" applyBorder="1" applyAlignment="1">
      <alignment horizontal="right" vertical="center"/>
    </xf>
    <xf numFmtId="4" fontId="27" fillId="5" borderId="0" xfId="0" applyNumberFormat="1" applyFont="1" applyFill="1" applyBorder="1" applyAlignment="1">
      <alignment vertical="center"/>
    </xf>
    <xf numFmtId="3" fontId="27" fillId="5" borderId="0" xfId="0" applyNumberFormat="1" applyFont="1" applyFill="1" applyBorder="1" applyAlignment="1">
      <alignment vertical="center"/>
    </xf>
    <xf numFmtId="0" fontId="29" fillId="4" borderId="33" xfId="0" applyFont="1" applyFill="1" applyBorder="1" applyAlignment="1">
      <alignment horizontal="center" vertical="center"/>
    </xf>
    <xf numFmtId="0" fontId="29" fillId="4" borderId="35" xfId="0" applyFont="1" applyFill="1" applyBorder="1" applyAlignment="1">
      <alignment horizontal="center" vertical="center"/>
    </xf>
    <xf numFmtId="0" fontId="29" fillId="3" borderId="4" xfId="0" applyFont="1" applyFill="1" applyBorder="1" applyAlignment="1">
      <alignment horizontal="centerContinuous" vertical="center"/>
    </xf>
    <xf numFmtId="0" fontId="29" fillId="3" borderId="5" xfId="0" applyFont="1" applyFill="1" applyBorder="1" applyAlignment="1">
      <alignment horizontal="centerContinuous" vertical="center"/>
    </xf>
    <xf numFmtId="4" fontId="28" fillId="0" borderId="9" xfId="0" applyNumberFormat="1" applyFont="1" applyBorder="1" applyAlignment="1">
      <alignment horizontal="center" vertical="center"/>
    </xf>
    <xf numFmtId="4" fontId="28" fillId="0" borderId="10" xfId="0" applyNumberFormat="1" applyFont="1" applyBorder="1" applyAlignment="1">
      <alignment horizontal="center" vertical="center"/>
    </xf>
    <xf numFmtId="4" fontId="28" fillId="0" borderId="11" xfId="0" applyNumberFormat="1" applyFont="1" applyBorder="1" applyAlignment="1">
      <alignment horizontal="center" vertical="center"/>
    </xf>
    <xf numFmtId="4" fontId="28" fillId="0" borderId="12" xfId="0" applyNumberFormat="1" applyFont="1" applyBorder="1" applyAlignment="1">
      <alignment horizontal="center" vertical="center"/>
    </xf>
    <xf numFmtId="4" fontId="28" fillId="0" borderId="13" xfId="0" applyNumberFormat="1" applyFont="1" applyBorder="1" applyAlignment="1">
      <alignment horizontal="center" vertical="center"/>
    </xf>
    <xf numFmtId="4" fontId="28" fillId="0" borderId="14" xfId="0" applyNumberFormat="1" applyFont="1" applyBorder="1" applyAlignment="1">
      <alignment horizontal="center" vertical="center"/>
    </xf>
    <xf numFmtId="0" fontId="38" fillId="0" borderId="47" xfId="4" applyBorder="1" applyAlignment="1">
      <alignment horizontal="centerContinuous" vertical="center"/>
    </xf>
    <xf numFmtId="0" fontId="38" fillId="0" borderId="48" xfId="4" applyBorder="1" applyAlignment="1">
      <alignment horizontal="centerContinuous" vertical="center"/>
    </xf>
    <xf numFmtId="0" fontId="38" fillId="0" borderId="50" xfId="4" applyBorder="1" applyAlignment="1">
      <alignment horizontal="centerContinuous" vertical="center"/>
    </xf>
    <xf numFmtId="0" fontId="38" fillId="0" borderId="49" xfId="4" applyFill="1" applyBorder="1" applyAlignment="1">
      <alignment horizontal="centerContinuous"/>
    </xf>
    <xf numFmtId="0" fontId="38" fillId="0" borderId="50" xfId="4" applyFill="1" applyBorder="1" applyAlignment="1">
      <alignment horizontal="centerContinuous"/>
    </xf>
    <xf numFmtId="0" fontId="18" fillId="3" borderId="54" xfId="0" applyFont="1" applyFill="1" applyBorder="1" applyAlignment="1">
      <alignment horizontal="centerContinuous" vertical="center"/>
    </xf>
    <xf numFmtId="4" fontId="25" fillId="5" borderId="0" xfId="0" applyNumberFormat="1" applyFont="1" applyFill="1" applyBorder="1" applyAlignment="1">
      <alignment horizontal="left" vertical="center"/>
    </xf>
    <xf numFmtId="4" fontId="27" fillId="5" borderId="0" xfId="0" applyNumberFormat="1" applyFont="1" applyFill="1" applyBorder="1" applyAlignment="1">
      <alignment horizontal="left" vertical="center"/>
    </xf>
    <xf numFmtId="4" fontId="18" fillId="3" borderId="5" xfId="0" applyNumberFormat="1" applyFont="1" applyFill="1" applyBorder="1" applyAlignment="1">
      <alignment horizontal="centerContinuous" vertical="center"/>
    </xf>
    <xf numFmtId="4" fontId="18" fillId="4" borderId="35" xfId="0" applyNumberFormat="1" applyFont="1" applyFill="1" applyBorder="1" applyAlignment="1">
      <alignment horizontal="center" vertical="center"/>
    </xf>
    <xf numFmtId="4" fontId="13" fillId="0" borderId="9" xfId="0" applyNumberFormat="1" applyFont="1" applyBorder="1" applyAlignment="1">
      <alignment horizontal="center" vertical="center"/>
    </xf>
    <xf numFmtId="4" fontId="13" fillId="0" borderId="10" xfId="0" applyNumberFormat="1" applyFont="1" applyBorder="1" applyAlignment="1">
      <alignment horizontal="center" vertical="center"/>
    </xf>
    <xf numFmtId="4" fontId="13" fillId="0" borderId="11" xfId="0" applyNumberFormat="1" applyFont="1" applyBorder="1" applyAlignment="1">
      <alignment horizontal="center" vertical="center"/>
    </xf>
    <xf numFmtId="4" fontId="13" fillId="0" borderId="12" xfId="0" applyNumberFormat="1" applyFont="1" applyBorder="1" applyAlignment="1">
      <alignment horizontal="center" vertical="center"/>
    </xf>
    <xf numFmtId="4" fontId="13" fillId="0" borderId="13" xfId="0" applyNumberFormat="1" applyFont="1" applyBorder="1" applyAlignment="1">
      <alignment horizontal="center" vertical="center"/>
    </xf>
    <xf numFmtId="4" fontId="13" fillId="0" borderId="14" xfId="0" applyNumberFormat="1" applyFont="1" applyBorder="1" applyAlignment="1">
      <alignment horizontal="center" vertical="center"/>
    </xf>
    <xf numFmtId="15" fontId="0" fillId="0" borderId="0" xfId="0" applyNumberFormat="1"/>
    <xf numFmtId="0" fontId="24" fillId="0" borderId="47" xfId="0" applyFont="1" applyBorder="1"/>
    <xf numFmtId="0" fontId="0" fillId="0" borderId="50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46" xfId="0" applyBorder="1" applyAlignment="1">
      <alignment horizontal="left"/>
    </xf>
    <xf numFmtId="0" fontId="0" fillId="0" borderId="48" xfId="0" applyBorder="1" applyAlignment="1">
      <alignment horizontal="left"/>
    </xf>
    <xf numFmtId="0" fontId="0" fillId="0" borderId="50" xfId="0" applyBorder="1" applyAlignment="1">
      <alignment horizontal="right"/>
    </xf>
    <xf numFmtId="0" fontId="0" fillId="0" borderId="48" xfId="0" applyBorder="1" applyAlignment="1">
      <alignment horizontal="right"/>
    </xf>
    <xf numFmtId="170" fontId="27" fillId="5" borderId="16" xfId="0" applyNumberFormat="1" applyFont="1" applyFill="1" applyBorder="1" applyAlignment="1">
      <alignment horizontal="right" vertical="center"/>
    </xf>
    <xf numFmtId="171" fontId="27" fillId="5" borderId="16" xfId="0" applyNumberFormat="1" applyFont="1" applyFill="1" applyBorder="1" applyAlignment="1">
      <alignment horizontal="right" vertical="center"/>
    </xf>
    <xf numFmtId="172" fontId="27" fillId="5" borderId="16" xfId="0" applyNumberFormat="1" applyFont="1" applyFill="1" applyBorder="1" applyAlignment="1">
      <alignment horizontal="right" vertical="center"/>
    </xf>
    <xf numFmtId="173" fontId="27" fillId="5" borderId="16" xfId="0" applyNumberFormat="1" applyFont="1" applyFill="1" applyBorder="1" applyAlignment="1">
      <alignment horizontal="right" vertical="center"/>
    </xf>
    <xf numFmtId="10" fontId="27" fillId="5" borderId="16" xfId="0" applyNumberFormat="1" applyFont="1" applyFill="1" applyBorder="1" applyAlignment="1">
      <alignment horizontal="right" vertical="center"/>
    </xf>
    <xf numFmtId="10" fontId="27" fillId="5" borderId="17" xfId="0" applyNumberFormat="1" applyFont="1" applyFill="1" applyBorder="1" applyAlignment="1">
      <alignment horizontal="right" vertical="center"/>
    </xf>
    <xf numFmtId="10" fontId="27" fillId="5" borderId="12" xfId="0" applyNumberFormat="1" applyFont="1" applyFill="1" applyBorder="1" applyAlignment="1">
      <alignment horizontal="right" vertical="center"/>
    </xf>
    <xf numFmtId="10" fontId="27" fillId="5" borderId="14" xfId="0" applyNumberFormat="1" applyFont="1" applyFill="1" applyBorder="1" applyAlignment="1">
      <alignment horizontal="right" vertical="center"/>
    </xf>
    <xf numFmtId="166" fontId="27" fillId="5" borderId="9" xfId="0" applyNumberFormat="1" applyFont="1" applyFill="1" applyBorder="1" applyAlignment="1">
      <alignment horizontal="right" vertical="center"/>
    </xf>
    <xf numFmtId="166" fontId="27" fillId="5" borderId="11" xfId="0" applyNumberFormat="1" applyFont="1" applyFill="1" applyBorder="1" applyAlignment="1">
      <alignment horizontal="right" vertical="center"/>
    </xf>
    <xf numFmtId="166" fontId="27" fillId="5" borderId="15" xfId="0" applyNumberFormat="1" applyFont="1" applyFill="1" applyBorder="1" applyAlignment="1">
      <alignment horizontal="right" vertical="center"/>
    </xf>
    <xf numFmtId="166" fontId="27" fillId="5" borderId="16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29" fillId="4" borderId="57" xfId="0" applyNumberFormat="1" applyFont="1" applyFill="1" applyBorder="1" applyAlignment="1">
      <alignment horizontal="center" vertical="center"/>
    </xf>
    <xf numFmtId="4" fontId="29" fillId="4" borderId="58" xfId="0" applyNumberFormat="1" applyFont="1" applyFill="1" applyBorder="1" applyAlignment="1">
      <alignment horizontal="center" vertical="center"/>
    </xf>
    <xf numFmtId="4" fontId="29" fillId="4" borderId="59" xfId="0" applyNumberFormat="1" applyFont="1" applyFill="1" applyBorder="1" applyAlignment="1">
      <alignment horizontal="center" vertical="center"/>
    </xf>
    <xf numFmtId="170" fontId="27" fillId="5" borderId="11" xfId="0" applyNumberFormat="1" applyFont="1" applyFill="1" applyBorder="1" applyAlignment="1">
      <alignment horizontal="right" vertical="center"/>
    </xf>
    <xf numFmtId="170" fontId="27" fillId="5" borderId="12" xfId="0" applyNumberFormat="1" applyFont="1" applyFill="1" applyBorder="1" applyAlignment="1">
      <alignment horizontal="right" vertical="center"/>
    </xf>
    <xf numFmtId="171" fontId="27" fillId="5" borderId="11" xfId="0" applyNumberFormat="1" applyFont="1" applyFill="1" applyBorder="1" applyAlignment="1">
      <alignment horizontal="right" vertical="center"/>
    </xf>
    <xf numFmtId="171" fontId="27" fillId="5" borderId="12" xfId="0" applyNumberFormat="1" applyFont="1" applyFill="1" applyBorder="1" applyAlignment="1">
      <alignment horizontal="right" vertical="center"/>
    </xf>
    <xf numFmtId="172" fontId="27" fillId="5" borderId="11" xfId="0" applyNumberFormat="1" applyFont="1" applyFill="1" applyBorder="1" applyAlignment="1">
      <alignment horizontal="right" vertical="center"/>
    </xf>
    <xf numFmtId="172" fontId="27" fillId="5" borderId="12" xfId="0" applyNumberFormat="1" applyFont="1" applyFill="1" applyBorder="1" applyAlignment="1">
      <alignment horizontal="right" vertical="center"/>
    </xf>
    <xf numFmtId="173" fontId="27" fillId="5" borderId="11" xfId="0" applyNumberFormat="1" applyFont="1" applyFill="1" applyBorder="1" applyAlignment="1">
      <alignment horizontal="right" vertical="center"/>
    </xf>
    <xf numFmtId="173" fontId="27" fillId="5" borderId="12" xfId="0" applyNumberFormat="1" applyFont="1" applyFill="1" applyBorder="1" applyAlignment="1">
      <alignment horizontal="right" vertical="center"/>
    </xf>
    <xf numFmtId="10" fontId="27" fillId="5" borderId="11" xfId="0" applyNumberFormat="1" applyFont="1" applyFill="1" applyBorder="1" applyAlignment="1">
      <alignment horizontal="right" vertical="center"/>
    </xf>
    <xf numFmtId="10" fontId="27" fillId="5" borderId="13" xfId="0" applyNumberFormat="1" applyFont="1" applyFill="1" applyBorder="1" applyAlignment="1">
      <alignment horizontal="right" vertical="center"/>
    </xf>
    <xf numFmtId="166" fontId="27" fillId="5" borderId="10" xfId="0" applyNumberFormat="1" applyFont="1" applyFill="1" applyBorder="1" applyAlignment="1">
      <alignment horizontal="right" vertical="center"/>
    </xf>
    <xf numFmtId="166" fontId="27" fillId="5" borderId="12" xfId="0" applyNumberFormat="1" applyFont="1" applyFill="1" applyBorder="1" applyAlignment="1">
      <alignment horizontal="right" vertical="center"/>
    </xf>
    <xf numFmtId="0" fontId="24" fillId="0" borderId="0" xfId="0" applyFont="1" applyAlignment="1">
      <alignment horizontal="center"/>
    </xf>
    <xf numFmtId="0" fontId="24" fillId="0" borderId="0" xfId="0" applyFont="1" applyAlignment="1">
      <alignment horizontal="center" vertical="center"/>
    </xf>
    <xf numFmtId="166" fontId="17" fillId="6" borderId="11" xfId="0" applyNumberFormat="1" applyFont="1" applyFill="1" applyBorder="1" applyAlignment="1">
      <alignment horizontal="right" vertical="center"/>
    </xf>
    <xf numFmtId="167" fontId="17" fillId="6" borderId="16" xfId="0" applyNumberFormat="1" applyFont="1" applyFill="1" applyBorder="1" applyAlignment="1">
      <alignment horizontal="right" vertical="center"/>
    </xf>
    <xf numFmtId="167" fontId="17" fillId="0" borderId="15" xfId="0" applyNumberFormat="1" applyFont="1" applyBorder="1" applyAlignment="1">
      <alignment horizontal="center" vertical="center"/>
    </xf>
    <xf numFmtId="0" fontId="18" fillId="4" borderId="34" xfId="0" applyFont="1" applyFill="1" applyBorder="1" applyAlignment="1">
      <alignment horizontal="centerContinuous" vertical="center"/>
    </xf>
    <xf numFmtId="0" fontId="18" fillId="4" borderId="35" xfId="0" applyFont="1" applyFill="1" applyBorder="1" applyAlignment="1">
      <alignment horizontal="centerContinuous" vertical="center"/>
    </xf>
    <xf numFmtId="167" fontId="17" fillId="0" borderId="60" xfId="0" applyNumberFormat="1" applyFont="1" applyBorder="1" applyAlignment="1">
      <alignment horizontal="center" vertical="center"/>
    </xf>
    <xf numFmtId="0" fontId="18" fillId="4" borderId="33" xfId="0" applyFont="1" applyFill="1" applyBorder="1" applyAlignment="1">
      <alignment horizontal="centerContinuous" vertical="center"/>
    </xf>
    <xf numFmtId="0" fontId="18" fillId="4" borderId="4" xfId="0" applyFont="1" applyFill="1" applyBorder="1" applyAlignment="1">
      <alignment horizontal="center" vertical="center"/>
    </xf>
    <xf numFmtId="4" fontId="30" fillId="7" borderId="49" xfId="0" applyNumberFormat="1" applyFont="1" applyFill="1" applyBorder="1" applyAlignment="1">
      <alignment horizontal="center" vertical="center"/>
    </xf>
    <xf numFmtId="4" fontId="30" fillId="7" borderId="61" xfId="0" applyNumberFormat="1" applyFont="1" applyFill="1" applyBorder="1" applyAlignment="1">
      <alignment horizontal="center" vertical="center"/>
    </xf>
    <xf numFmtId="4" fontId="30" fillId="7" borderId="62" xfId="0" applyNumberFormat="1" applyFont="1" applyFill="1" applyBorder="1" applyAlignment="1">
      <alignment horizontal="center" vertical="center"/>
    </xf>
    <xf numFmtId="4" fontId="30" fillId="7" borderId="63" xfId="0" applyNumberFormat="1" applyFont="1" applyFill="1" applyBorder="1" applyAlignment="1">
      <alignment horizontal="center" vertical="center"/>
    </xf>
    <xf numFmtId="169" fontId="17" fillId="0" borderId="60" xfId="0" applyNumberFormat="1" applyFont="1" applyBorder="1" applyAlignment="1">
      <alignment horizontal="right" vertical="center"/>
    </xf>
    <xf numFmtId="169" fontId="17" fillId="0" borderId="16" xfId="0" applyNumberFormat="1" applyFont="1" applyBorder="1" applyAlignment="1">
      <alignment horizontal="right" vertical="center"/>
    </xf>
    <xf numFmtId="169" fontId="17" fillId="0" borderId="17" xfId="0" applyNumberFormat="1" applyFon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4" fontId="18" fillId="4" borderId="20" xfId="0" applyNumberFormat="1" applyFont="1" applyFill="1" applyBorder="1" applyAlignment="1">
      <alignment horizontal="center" vertical="center"/>
    </xf>
    <xf numFmtId="4" fontId="18" fillId="4" borderId="21" xfId="0" applyNumberFormat="1" applyFont="1" applyFill="1" applyBorder="1" applyAlignment="1">
      <alignment horizontal="center" vertical="center"/>
    </xf>
    <xf numFmtId="4" fontId="18" fillId="4" borderId="22" xfId="0" applyNumberFormat="1" applyFont="1" applyFill="1" applyBorder="1" applyAlignment="1">
      <alignment horizontal="center" vertical="center"/>
    </xf>
    <xf numFmtId="0" fontId="38" fillId="0" borderId="0" xfId="4" applyAlignment="1">
      <alignment horizontal="center"/>
    </xf>
    <xf numFmtId="0" fontId="38" fillId="8" borderId="0" xfId="4" applyFill="1" applyBorder="1" applyAlignment="1">
      <alignment horizontal="centerContinuous" vertical="center"/>
    </xf>
    <xf numFmtId="0" fontId="18" fillId="3" borderId="64" xfId="0" applyFont="1" applyFill="1" applyBorder="1" applyAlignment="1">
      <alignment horizontal="centerContinuous" vertical="center"/>
    </xf>
    <xf numFmtId="0" fontId="31" fillId="3" borderId="65" xfId="0" applyFont="1" applyFill="1" applyBorder="1" applyAlignment="1">
      <alignment horizontal="center" vertical="center"/>
    </xf>
    <xf numFmtId="0" fontId="18" fillId="3" borderId="66" xfId="0" applyFont="1" applyFill="1" applyBorder="1" applyAlignment="1">
      <alignment horizontal="centerContinuous" vertical="center"/>
    </xf>
    <xf numFmtId="0" fontId="18" fillId="3" borderId="50" xfId="0" applyFont="1" applyFill="1" applyBorder="1" applyAlignment="1">
      <alignment horizontal="centerContinuous" vertical="center"/>
    </xf>
    <xf numFmtId="4" fontId="28" fillId="0" borderId="17" xfId="0" applyNumberFormat="1" applyFont="1" applyBorder="1" applyAlignment="1">
      <alignment horizontal="center" vertical="center"/>
    </xf>
    <xf numFmtId="0" fontId="29" fillId="3" borderId="6" xfId="0" applyFont="1" applyFill="1" applyBorder="1" applyAlignment="1">
      <alignment horizontal="centerContinuous" vertical="center"/>
    </xf>
    <xf numFmtId="4" fontId="27" fillId="5" borderId="9" xfId="0" applyNumberFormat="1" applyFont="1" applyFill="1" applyBorder="1" applyAlignment="1">
      <alignment horizontal="center" vertical="center"/>
    </xf>
    <xf numFmtId="4" fontId="27" fillId="5" borderId="15" xfId="0" applyNumberFormat="1" applyFont="1" applyFill="1" applyBorder="1" applyAlignment="1">
      <alignment horizontal="center" vertical="center"/>
    </xf>
    <xf numFmtId="4" fontId="27" fillId="5" borderId="10" xfId="0" applyNumberFormat="1" applyFont="1" applyFill="1" applyBorder="1" applyAlignment="1">
      <alignment horizontal="center" vertical="center"/>
    </xf>
    <xf numFmtId="4" fontId="27" fillId="5" borderId="13" xfId="0" applyNumberFormat="1" applyFont="1" applyFill="1" applyBorder="1" applyAlignment="1">
      <alignment horizontal="center" vertical="center"/>
    </xf>
    <xf numFmtId="4" fontId="27" fillId="5" borderId="17" xfId="0" applyNumberFormat="1" applyFont="1" applyFill="1" applyBorder="1" applyAlignment="1">
      <alignment horizontal="center" vertical="center"/>
    </xf>
    <xf numFmtId="4" fontId="27" fillId="5" borderId="14" xfId="0" applyNumberFormat="1" applyFont="1" applyFill="1" applyBorder="1" applyAlignment="1">
      <alignment horizontal="center" vertical="center"/>
    </xf>
    <xf numFmtId="0" fontId="34" fillId="0" borderId="0" xfId="0" applyFont="1" applyFill="1" applyBorder="1" applyAlignment="1">
      <alignment horizontal="centerContinuous" vertical="center"/>
    </xf>
    <xf numFmtId="0" fontId="31" fillId="3" borderId="18" xfId="0" applyFont="1" applyFill="1" applyBorder="1" applyAlignment="1">
      <alignment horizontal="centerContinuous" vertical="center"/>
    </xf>
    <xf numFmtId="0" fontId="31" fillId="3" borderId="19" xfId="0" applyFont="1" applyFill="1" applyBorder="1" applyAlignment="1">
      <alignment horizontal="centerContinuous" vertical="center"/>
    </xf>
    <xf numFmtId="0" fontId="38" fillId="0" borderId="0" xfId="4" applyAlignment="1">
      <alignment horizontal="centerContinuous"/>
    </xf>
    <xf numFmtId="0" fontId="0" fillId="0" borderId="67" xfId="0" applyBorder="1"/>
    <xf numFmtId="0" fontId="0" fillId="0" borderId="68" xfId="0" applyBorder="1"/>
    <xf numFmtId="166" fontId="12" fillId="0" borderId="9" xfId="0" applyNumberFormat="1" applyFont="1" applyBorder="1" applyAlignment="1">
      <alignment horizontal="right" vertical="center"/>
    </xf>
    <xf numFmtId="166" fontId="12" fillId="0" borderId="11" xfId="0" applyNumberFormat="1" applyFont="1" applyBorder="1" applyAlignment="1">
      <alignment horizontal="right" vertical="center"/>
    </xf>
    <xf numFmtId="4" fontId="12" fillId="0" borderId="10" xfId="0" applyNumberFormat="1" applyFont="1" applyBorder="1" applyAlignment="1">
      <alignment horizontal="center" vertical="center"/>
    </xf>
    <xf numFmtId="4" fontId="12" fillId="0" borderId="12" xfId="0" applyNumberFormat="1" applyFont="1" applyBorder="1" applyAlignment="1">
      <alignment horizontal="center" vertical="center"/>
    </xf>
    <xf numFmtId="4" fontId="12" fillId="0" borderId="14" xfId="0" applyNumberFormat="1" applyFont="1" applyBorder="1" applyAlignment="1">
      <alignment horizontal="center" vertical="center"/>
    </xf>
    <xf numFmtId="166" fontId="12" fillId="0" borderId="13" xfId="0" applyNumberFormat="1" applyFont="1" applyBorder="1" applyAlignment="1">
      <alignment horizontal="right" vertical="center"/>
    </xf>
    <xf numFmtId="0" fontId="20" fillId="0" borderId="3" xfId="0" applyFont="1" applyBorder="1" applyAlignment="1">
      <alignment horizontal="centerContinuous" vertical="center"/>
    </xf>
    <xf numFmtId="0" fontId="0" fillId="0" borderId="2" xfId="0" applyBorder="1" applyAlignment="1">
      <alignment horizontal="centerContinuous" vertical="center"/>
    </xf>
    <xf numFmtId="0" fontId="11" fillId="0" borderId="0" xfId="0" applyFont="1"/>
    <xf numFmtId="0" fontId="10" fillId="0" borderId="0" xfId="0" applyFont="1"/>
    <xf numFmtId="166" fontId="10" fillId="0" borderId="0" xfId="0" applyNumberFormat="1" applyFont="1" applyAlignment="1">
      <alignment horizontal="right"/>
    </xf>
    <xf numFmtId="166" fontId="9" fillId="0" borderId="0" xfId="0" applyNumberFormat="1" applyFont="1" applyAlignment="1">
      <alignment horizontal="right"/>
    </xf>
    <xf numFmtId="0" fontId="8" fillId="0" borderId="0" xfId="0" applyFont="1"/>
    <xf numFmtId="166" fontId="8" fillId="0" borderId="0" xfId="0" applyNumberFormat="1" applyFont="1" applyAlignment="1">
      <alignment horizontal="right"/>
    </xf>
    <xf numFmtId="4" fontId="7" fillId="0" borderId="9" xfId="0" applyNumberFormat="1" applyFont="1" applyBorder="1" applyAlignment="1">
      <alignment horizontal="center" vertical="center"/>
    </xf>
    <xf numFmtId="4" fontId="7" fillId="0" borderId="10" xfId="0" applyNumberFormat="1" applyFont="1" applyBorder="1" applyAlignment="1">
      <alignment horizontal="center" vertical="center"/>
    </xf>
    <xf numFmtId="4" fontId="7" fillId="0" borderId="13" xfId="0" applyNumberFormat="1" applyFont="1" applyBorder="1" applyAlignment="1">
      <alignment horizontal="center" vertical="center"/>
    </xf>
    <xf numFmtId="4" fontId="7" fillId="0" borderId="14" xfId="0" applyNumberFormat="1" applyFont="1" applyBorder="1" applyAlignment="1">
      <alignment horizontal="center" vertical="center"/>
    </xf>
    <xf numFmtId="166" fontId="7" fillId="0" borderId="10" xfId="0" applyNumberFormat="1" applyFont="1" applyBorder="1" applyAlignment="1">
      <alignment horizontal="center" vertical="center"/>
    </xf>
    <xf numFmtId="4" fontId="7" fillId="0" borderId="12" xfId="0" applyNumberFormat="1" applyFont="1" applyBorder="1" applyAlignment="1">
      <alignment horizontal="center" vertical="center"/>
    </xf>
    <xf numFmtId="10" fontId="7" fillId="0" borderId="15" xfId="0" applyNumberFormat="1" applyFont="1" applyBorder="1" applyAlignment="1">
      <alignment horizontal="right" vertical="center"/>
    </xf>
    <xf numFmtId="10" fontId="7" fillId="0" borderId="16" xfId="0" applyNumberFormat="1" applyFont="1" applyBorder="1" applyAlignment="1">
      <alignment horizontal="right" vertical="center"/>
    </xf>
    <xf numFmtId="10" fontId="7" fillId="0" borderId="17" xfId="0" applyNumberFormat="1" applyFont="1" applyBorder="1" applyAlignment="1">
      <alignment horizontal="right" vertical="center"/>
    </xf>
    <xf numFmtId="4" fontId="7" fillId="0" borderId="20" xfId="0" applyNumberFormat="1" applyFont="1" applyBorder="1" applyAlignment="1">
      <alignment horizontal="center" vertical="center"/>
    </xf>
    <xf numFmtId="4" fontId="7" fillId="0" borderId="22" xfId="0" applyNumberFormat="1" applyFont="1" applyBorder="1" applyAlignment="1">
      <alignment horizontal="center" vertical="center"/>
    </xf>
    <xf numFmtId="10" fontId="7" fillId="0" borderId="21" xfId="0" applyNumberFormat="1" applyFont="1" applyBorder="1" applyAlignment="1">
      <alignment horizontal="right" vertical="center"/>
    </xf>
    <xf numFmtId="166" fontId="7" fillId="0" borderId="9" xfId="0" applyNumberFormat="1" applyFont="1" applyBorder="1" applyAlignment="1">
      <alignment horizontal="right" vertical="center"/>
    </xf>
    <xf numFmtId="166" fontId="7" fillId="0" borderId="11" xfId="0" applyNumberFormat="1" applyFont="1" applyBorder="1" applyAlignment="1">
      <alignment horizontal="right" vertical="center"/>
    </xf>
    <xf numFmtId="166" fontId="7" fillId="0" borderId="13" xfId="0" applyNumberFormat="1" applyFont="1" applyBorder="1" applyAlignment="1">
      <alignment horizontal="right" vertical="center"/>
    </xf>
    <xf numFmtId="0" fontId="29" fillId="3" borderId="4" xfId="2" applyFont="1" applyFill="1" applyBorder="1" applyAlignment="1">
      <alignment horizontal="centerContinuous" vertical="center"/>
    </xf>
    <xf numFmtId="0" fontId="29" fillId="3" borderId="6" xfId="2" applyFont="1" applyFill="1" applyBorder="1" applyAlignment="1">
      <alignment horizontal="centerContinuous" vertical="center"/>
    </xf>
    <xf numFmtId="0" fontId="29" fillId="3" borderId="5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18" fillId="4" borderId="69" xfId="0" applyFont="1" applyFill="1" applyBorder="1" applyAlignment="1">
      <alignment horizontal="centerContinuous" vertical="center"/>
    </xf>
    <xf numFmtId="0" fontId="18" fillId="4" borderId="70" xfId="0" applyFont="1" applyFill="1" applyBorder="1" applyAlignment="1">
      <alignment horizontal="centerContinuous" vertical="center"/>
    </xf>
    <xf numFmtId="0" fontId="18" fillId="4" borderId="71" xfId="0" applyFont="1" applyFill="1" applyBorder="1" applyAlignment="1">
      <alignment horizontal="centerContinuous" vertical="center"/>
    </xf>
    <xf numFmtId="167" fontId="7" fillId="0" borderId="15" xfId="0" applyNumberFormat="1" applyFont="1" applyBorder="1" applyAlignment="1">
      <alignment horizontal="center" vertical="center"/>
    </xf>
    <xf numFmtId="167" fontId="7" fillId="0" borderId="16" xfId="0" applyNumberFormat="1" applyFont="1" applyBorder="1" applyAlignment="1">
      <alignment horizontal="center" vertical="center"/>
    </xf>
    <xf numFmtId="167" fontId="7" fillId="0" borderId="17" xfId="0" applyNumberFormat="1" applyFont="1" applyBorder="1" applyAlignment="1">
      <alignment horizontal="center" vertical="center"/>
    </xf>
    <xf numFmtId="166" fontId="7" fillId="0" borderId="12" xfId="0" applyNumberFormat="1" applyFont="1" applyBorder="1" applyAlignment="1">
      <alignment horizontal="center" vertical="center"/>
    </xf>
    <xf numFmtId="175" fontId="0" fillId="0" borderId="0" xfId="0" applyNumberFormat="1"/>
    <xf numFmtId="10" fontId="6" fillId="0" borderId="16" xfId="0" applyNumberFormat="1" applyFont="1" applyBorder="1" applyAlignment="1">
      <alignment horizontal="right" vertical="center"/>
    </xf>
    <xf numFmtId="4" fontId="6" fillId="0" borderId="12" xfId="0" applyNumberFormat="1" applyFont="1" applyBorder="1" applyAlignment="1">
      <alignment horizontal="center" vertical="center"/>
    </xf>
    <xf numFmtId="10" fontId="6" fillId="0" borderId="17" xfId="0" applyNumberFormat="1" applyFont="1" applyBorder="1" applyAlignment="1">
      <alignment horizontal="right" vertical="center"/>
    </xf>
    <xf numFmtId="4" fontId="6" fillId="0" borderId="14" xfId="0" applyNumberFormat="1" applyFont="1" applyBorder="1" applyAlignment="1">
      <alignment horizontal="center" vertical="center"/>
    </xf>
    <xf numFmtId="4" fontId="6" fillId="0" borderId="10" xfId="0" applyNumberFormat="1" applyFont="1" applyBorder="1" applyAlignment="1">
      <alignment horizontal="center" vertical="center"/>
    </xf>
    <xf numFmtId="10" fontId="6" fillId="0" borderId="15" xfId="0" applyNumberFormat="1" applyFont="1" applyBorder="1" applyAlignment="1">
      <alignment horizontal="right" vertical="center"/>
    </xf>
    <xf numFmtId="4" fontId="7" fillId="0" borderId="72" xfId="0" applyNumberFormat="1" applyFont="1" applyBorder="1" applyAlignment="1">
      <alignment horizontal="center" vertical="center"/>
    </xf>
    <xf numFmtId="10" fontId="7" fillId="0" borderId="73" xfId="0" applyNumberFormat="1" applyFont="1" applyBorder="1" applyAlignment="1">
      <alignment horizontal="right" vertical="center"/>
    </xf>
    <xf numFmtId="4" fontId="7" fillId="0" borderId="74" xfId="0" applyNumberFormat="1" applyFont="1" applyBorder="1" applyAlignment="1">
      <alignment horizontal="center" vertical="center"/>
    </xf>
    <xf numFmtId="4" fontId="7" fillId="0" borderId="75" xfId="0" applyNumberFormat="1" applyFont="1" applyBorder="1" applyAlignment="1">
      <alignment horizontal="center" vertical="center"/>
    </xf>
    <xf numFmtId="4" fontId="7" fillId="0" borderId="76" xfId="0" applyNumberFormat="1" applyFont="1" applyBorder="1" applyAlignment="1">
      <alignment horizontal="center" vertical="center"/>
    </xf>
    <xf numFmtId="4" fontId="7" fillId="0" borderId="77" xfId="0" applyNumberFormat="1" applyFont="1" applyBorder="1" applyAlignment="1">
      <alignment horizontal="center" vertical="center"/>
    </xf>
    <xf numFmtId="10" fontId="7" fillId="0" borderId="78" xfId="0" applyNumberFormat="1" applyFont="1" applyBorder="1" applyAlignment="1">
      <alignment horizontal="right" vertical="center"/>
    </xf>
    <xf numFmtId="4" fontId="7" fillId="0" borderId="79" xfId="0" applyNumberFormat="1" applyFont="1" applyBorder="1" applyAlignment="1">
      <alignment horizontal="center" vertical="center"/>
    </xf>
    <xf numFmtId="0" fontId="35" fillId="0" borderId="0" xfId="0" applyFont="1"/>
    <xf numFmtId="4" fontId="5" fillId="0" borderId="9" xfId="0" applyNumberFormat="1" applyFont="1" applyBorder="1" applyAlignment="1">
      <alignment horizontal="center" vertical="center"/>
    </xf>
    <xf numFmtId="4" fontId="5" fillId="0" borderId="11" xfId="0" applyNumberFormat="1" applyFont="1" applyBorder="1" applyAlignment="1">
      <alignment horizontal="center" vertical="center"/>
    </xf>
    <xf numFmtId="4" fontId="5" fillId="0" borderId="13" xfId="0" applyNumberFormat="1" applyFont="1" applyBorder="1" applyAlignment="1">
      <alignment horizontal="center" vertical="center"/>
    </xf>
    <xf numFmtId="4" fontId="4" fillId="0" borderId="9" xfId="0" applyNumberFormat="1" applyFont="1" applyBorder="1" applyAlignment="1">
      <alignment horizontal="center" vertical="center"/>
    </xf>
    <xf numFmtId="4" fontId="4" fillId="0" borderId="11" xfId="0" applyNumberFormat="1" applyFont="1" applyBorder="1" applyAlignment="1">
      <alignment horizontal="center" vertical="center"/>
    </xf>
    <xf numFmtId="4" fontId="4" fillId="0" borderId="13" xfId="0" applyNumberFormat="1" applyFont="1" applyBorder="1" applyAlignment="1">
      <alignment horizontal="center" vertical="center"/>
    </xf>
    <xf numFmtId="0" fontId="20" fillId="0" borderId="3" xfId="0" quotePrefix="1" applyFont="1" applyBorder="1" applyAlignment="1">
      <alignment horizontal="centerContinuous" vertical="center"/>
    </xf>
    <xf numFmtId="4" fontId="4" fillId="0" borderId="14" xfId="0" applyNumberFormat="1" applyFont="1" applyBorder="1" applyAlignment="1">
      <alignment horizontal="center" vertical="center"/>
    </xf>
    <xf numFmtId="4" fontId="4" fillId="0" borderId="7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left" vertical="center"/>
    </xf>
    <xf numFmtId="166" fontId="3" fillId="0" borderId="9" xfId="0" applyNumberFormat="1" applyFont="1" applyBorder="1" applyAlignment="1">
      <alignment horizontal="right" vertical="center"/>
    </xf>
    <xf numFmtId="166" fontId="3" fillId="0" borderId="11" xfId="0" applyNumberFormat="1" applyFont="1" applyBorder="1" applyAlignment="1">
      <alignment horizontal="right" vertical="center"/>
    </xf>
    <xf numFmtId="4" fontId="3" fillId="0" borderId="10" xfId="0" applyNumberFormat="1" applyFont="1" applyBorder="1" applyAlignment="1">
      <alignment horizontal="center" vertical="center"/>
    </xf>
    <xf numFmtId="4" fontId="3" fillId="0" borderId="12" xfId="0" applyNumberFormat="1" applyFont="1" applyBorder="1" applyAlignment="1">
      <alignment horizontal="center" vertical="center"/>
    </xf>
    <xf numFmtId="4" fontId="3" fillId="0" borderId="14" xfId="0" applyNumberFormat="1" applyFont="1" applyBorder="1" applyAlignment="1">
      <alignment horizontal="center" vertical="center"/>
    </xf>
    <xf numFmtId="174" fontId="38" fillId="0" borderId="0" xfId="4" applyNumberFormat="1"/>
    <xf numFmtId="4" fontId="2" fillId="0" borderId="11" xfId="0" applyNumberFormat="1" applyFont="1" applyBorder="1" applyAlignment="1">
      <alignment horizontal="center" vertical="center"/>
    </xf>
    <xf numFmtId="4" fontId="2" fillId="0" borderId="13" xfId="0" applyNumberFormat="1" applyFont="1" applyBorder="1" applyAlignment="1">
      <alignment horizontal="center" vertical="center"/>
    </xf>
    <xf numFmtId="4" fontId="2" fillId="0" borderId="9" xfId="0" applyNumberFormat="1" applyFont="1" applyBorder="1" applyAlignment="1">
      <alignment horizontal="center" vertical="center"/>
    </xf>
    <xf numFmtId="4" fontId="2" fillId="0" borderId="12" xfId="0" applyNumberFormat="1" applyFont="1" applyBorder="1" applyAlignment="1">
      <alignment horizontal="center" vertical="center"/>
    </xf>
    <xf numFmtId="15" fontId="2" fillId="0" borderId="10" xfId="0" applyNumberFormat="1" applyFont="1" applyBorder="1" applyAlignment="1">
      <alignment horizontal="center" vertical="center"/>
    </xf>
    <xf numFmtId="176" fontId="3" fillId="0" borderId="15" xfId="0" applyNumberFormat="1" applyFont="1" applyBorder="1" applyAlignment="1">
      <alignment horizontal="center" vertical="center"/>
    </xf>
    <xf numFmtId="176" fontId="3" fillId="0" borderId="16" xfId="0" applyNumberFormat="1" applyFont="1" applyBorder="1" applyAlignment="1">
      <alignment horizontal="center" vertical="center"/>
    </xf>
    <xf numFmtId="177" fontId="0" fillId="0" borderId="0" xfId="0" applyNumberFormat="1"/>
    <xf numFmtId="169" fontId="12" fillId="0" borderId="15" xfId="0" applyNumberFormat="1" applyFont="1" applyBorder="1" applyAlignment="1">
      <alignment horizontal="right" vertical="center"/>
    </xf>
    <xf numFmtId="169" fontId="12" fillId="0" borderId="16" xfId="0" applyNumberFormat="1" applyFont="1" applyBorder="1" applyAlignment="1">
      <alignment horizontal="right" vertical="center"/>
    </xf>
    <xf numFmtId="169" fontId="12" fillId="0" borderId="17" xfId="0" applyNumberFormat="1" applyFont="1" applyBorder="1" applyAlignment="1">
      <alignment horizontal="right" vertical="center"/>
    </xf>
    <xf numFmtId="178" fontId="0" fillId="0" borderId="0" xfId="0" applyNumberFormat="1"/>
    <xf numFmtId="179" fontId="3" fillId="0" borderId="15" xfId="0" applyNumberFormat="1" applyFont="1" applyBorder="1" applyAlignment="1">
      <alignment horizontal="center" vertical="center"/>
    </xf>
    <xf numFmtId="179" fontId="3" fillId="0" borderId="16" xfId="0" applyNumberFormat="1" applyFont="1" applyBorder="1" applyAlignment="1">
      <alignment horizontal="center" vertical="center"/>
    </xf>
    <xf numFmtId="179" fontId="0" fillId="0" borderId="0" xfId="0" applyNumberFormat="1"/>
    <xf numFmtId="0" fontId="18" fillId="4" borderId="0" xfId="0" applyFont="1" applyFill="1" applyBorder="1" applyAlignment="1">
      <alignment horizontal="center" vertical="center"/>
    </xf>
    <xf numFmtId="4" fontId="28" fillId="0" borderId="16" xfId="0" applyNumberFormat="1" applyFont="1" applyBorder="1" applyAlignment="1">
      <alignment horizontal="center" vertical="center"/>
    </xf>
    <xf numFmtId="4" fontId="28" fillId="0" borderId="60" xfId="0" applyNumberFormat="1" applyFont="1" applyBorder="1" applyAlignment="1">
      <alignment horizontal="center" vertical="center"/>
    </xf>
    <xf numFmtId="4" fontId="28" fillId="0" borderId="83" xfId="0" applyNumberFormat="1" applyFont="1" applyBorder="1" applyAlignment="1">
      <alignment horizontal="center" vertical="center"/>
    </xf>
    <xf numFmtId="0" fontId="29" fillId="4" borderId="20" xfId="0" applyFont="1" applyFill="1" applyBorder="1" applyAlignment="1">
      <alignment horizontal="center" vertical="center"/>
    </xf>
    <xf numFmtId="0" fontId="29" fillId="4" borderId="21" xfId="0" applyFont="1" applyFill="1" applyBorder="1" applyAlignment="1">
      <alignment horizontal="center" vertical="center"/>
    </xf>
    <xf numFmtId="0" fontId="29" fillId="4" borderId="22" xfId="0" applyFont="1" applyFill="1" applyBorder="1" applyAlignment="1">
      <alignment horizontal="center" vertical="center"/>
    </xf>
    <xf numFmtId="4" fontId="28" fillId="0" borderId="84" xfId="0" applyNumberFormat="1" applyFont="1" applyBorder="1" applyAlignment="1">
      <alignment horizontal="center" vertical="center"/>
    </xf>
    <xf numFmtId="4" fontId="28" fillId="0" borderId="85" xfId="0" applyNumberFormat="1" applyFont="1" applyBorder="1" applyAlignment="1">
      <alignment horizontal="center" vertical="center"/>
    </xf>
    <xf numFmtId="4" fontId="28" fillId="0" borderId="86" xfId="0" applyNumberFormat="1" applyFont="1" applyBorder="1" applyAlignment="1">
      <alignment horizontal="center" vertical="center"/>
    </xf>
    <xf numFmtId="0" fontId="29" fillId="4" borderId="80" xfId="0" applyFont="1" applyFill="1" applyBorder="1" applyAlignment="1">
      <alignment horizontal="center" vertical="center"/>
    </xf>
    <xf numFmtId="0" fontId="29" fillId="4" borderId="81" xfId="0" applyFont="1" applyFill="1" applyBorder="1" applyAlignment="1">
      <alignment horizontal="center" vertical="center"/>
    </xf>
    <xf numFmtId="0" fontId="29" fillId="4" borderId="82" xfId="0" applyFont="1" applyFill="1" applyBorder="1" applyAlignment="1">
      <alignment horizontal="center" vertical="center"/>
    </xf>
    <xf numFmtId="0" fontId="29" fillId="4" borderId="34" xfId="0" applyFont="1" applyFill="1" applyBorder="1" applyAlignment="1">
      <alignment horizontal="center" vertical="center"/>
    </xf>
    <xf numFmtId="170" fontId="27" fillId="5" borderId="15" xfId="0" applyNumberFormat="1" applyFont="1" applyFill="1" applyBorder="1" applyAlignment="1">
      <alignment horizontal="right" vertical="center"/>
    </xf>
    <xf numFmtId="170" fontId="27" fillId="5" borderId="17" xfId="0" applyNumberFormat="1" applyFont="1" applyFill="1" applyBorder="1" applyAlignment="1">
      <alignment horizontal="right" vertical="center"/>
    </xf>
    <xf numFmtId="171" fontId="27" fillId="5" borderId="15" xfId="0" applyNumberFormat="1" applyFont="1" applyFill="1" applyBorder="1" applyAlignment="1">
      <alignment horizontal="right" vertical="center"/>
    </xf>
    <xf numFmtId="171" fontId="27" fillId="5" borderId="17" xfId="0" applyNumberFormat="1" applyFont="1" applyFill="1" applyBorder="1" applyAlignment="1">
      <alignment horizontal="right" vertical="center"/>
    </xf>
    <xf numFmtId="172" fontId="27" fillId="5" borderId="15" xfId="0" applyNumberFormat="1" applyFont="1" applyFill="1" applyBorder="1" applyAlignment="1">
      <alignment horizontal="right" vertical="center"/>
    </xf>
    <xf numFmtId="172" fontId="27" fillId="5" borderId="17" xfId="0" applyNumberFormat="1" applyFont="1" applyFill="1" applyBorder="1" applyAlignment="1">
      <alignment horizontal="right" vertical="center"/>
    </xf>
    <xf numFmtId="173" fontId="27" fillId="5" borderId="15" xfId="0" applyNumberFormat="1" applyFont="1" applyFill="1" applyBorder="1" applyAlignment="1">
      <alignment horizontal="right" vertical="center"/>
    </xf>
    <xf numFmtId="173" fontId="27" fillId="5" borderId="17" xfId="0" applyNumberFormat="1" applyFont="1" applyFill="1" applyBorder="1" applyAlignment="1">
      <alignment horizontal="right" vertical="center"/>
    </xf>
    <xf numFmtId="10" fontId="27" fillId="5" borderId="15" xfId="0" applyNumberFormat="1" applyFont="1" applyFill="1" applyBorder="1" applyAlignment="1">
      <alignment horizontal="right" vertical="center"/>
    </xf>
    <xf numFmtId="10" fontId="27" fillId="5" borderId="10" xfId="0" applyNumberFormat="1" applyFont="1" applyFill="1" applyBorder="1" applyAlignment="1">
      <alignment horizontal="right" vertical="center"/>
    </xf>
    <xf numFmtId="166" fontId="27" fillId="5" borderId="13" xfId="0" applyNumberFormat="1" applyFont="1" applyFill="1" applyBorder="1" applyAlignment="1">
      <alignment horizontal="right" vertical="center"/>
    </xf>
    <xf numFmtId="166" fontId="27" fillId="5" borderId="17" xfId="0" applyNumberFormat="1" applyFont="1" applyFill="1" applyBorder="1" applyAlignment="1">
      <alignment horizontal="right" vertical="center"/>
    </xf>
    <xf numFmtId="4" fontId="27" fillId="5" borderId="16" xfId="0" applyNumberFormat="1" applyFont="1" applyFill="1" applyBorder="1" applyAlignment="1">
      <alignment horizontal="center" vertical="center"/>
    </xf>
    <xf numFmtId="4" fontId="27" fillId="5" borderId="12" xfId="0" applyNumberFormat="1" applyFont="1" applyFill="1" applyBorder="1" applyAlignment="1">
      <alignment horizontal="center" vertical="center"/>
    </xf>
    <xf numFmtId="4" fontId="29" fillId="4" borderId="80" xfId="0" applyNumberFormat="1" applyFont="1" applyFill="1" applyBorder="1" applyAlignment="1">
      <alignment horizontal="center" vertical="center"/>
    </xf>
    <xf numFmtId="4" fontId="29" fillId="4" borderId="81" xfId="0" applyNumberFormat="1" applyFont="1" applyFill="1" applyBorder="1" applyAlignment="1">
      <alignment horizontal="center" vertical="center"/>
    </xf>
    <xf numFmtId="4" fontId="29" fillId="4" borderId="82" xfId="0" applyNumberFormat="1" applyFont="1" applyFill="1" applyBorder="1" applyAlignment="1">
      <alignment horizontal="center" vertical="center"/>
    </xf>
    <xf numFmtId="4" fontId="27" fillId="5" borderId="60" xfId="0" applyNumberFormat="1" applyFont="1" applyFill="1" applyBorder="1" applyAlignment="1">
      <alignment horizontal="center" vertical="center"/>
    </xf>
    <xf numFmtId="4" fontId="27" fillId="5" borderId="83" xfId="0" applyNumberFormat="1" applyFont="1" applyFill="1" applyBorder="1" applyAlignment="1">
      <alignment horizontal="center" vertical="center"/>
    </xf>
    <xf numFmtId="4" fontId="27" fillId="5" borderId="85" xfId="0" applyNumberFormat="1" applyFont="1" applyFill="1" applyBorder="1" applyAlignment="1">
      <alignment horizontal="center" vertical="center"/>
    </xf>
    <xf numFmtId="4" fontId="27" fillId="5" borderId="86" xfId="0" applyNumberFormat="1" applyFont="1" applyFill="1" applyBorder="1" applyAlignment="1">
      <alignment horizontal="center" vertical="center"/>
    </xf>
    <xf numFmtId="4" fontId="27" fillId="5" borderId="0" xfId="0" quotePrefix="1" applyNumberFormat="1" applyFont="1" applyFill="1" applyBorder="1" applyAlignment="1">
      <alignment horizontal="left" vertical="center"/>
    </xf>
    <xf numFmtId="4" fontId="29" fillId="3" borderId="4" xfId="0" applyNumberFormat="1" applyFont="1" applyFill="1" applyBorder="1" applyAlignment="1">
      <alignment horizontal="centerContinuous" vertical="center"/>
    </xf>
    <xf numFmtId="4" fontId="29" fillId="3" borderId="6" xfId="0" applyNumberFormat="1" applyFont="1" applyFill="1" applyBorder="1" applyAlignment="1">
      <alignment horizontal="centerContinuous" vertical="center"/>
    </xf>
    <xf numFmtId="4" fontId="29" fillId="3" borderId="5" xfId="0" applyNumberFormat="1" applyFont="1" applyFill="1" applyBorder="1" applyAlignment="1">
      <alignment horizontal="centerContinuous" vertical="center"/>
    </xf>
    <xf numFmtId="4" fontId="29" fillId="4" borderId="20" xfId="0" applyNumberFormat="1" applyFont="1" applyFill="1" applyBorder="1" applyAlignment="1">
      <alignment horizontal="center" vertical="center"/>
    </xf>
    <xf numFmtId="4" fontId="29" fillId="4" borderId="21" xfId="0" applyNumberFormat="1" applyFont="1" applyFill="1" applyBorder="1" applyAlignment="1">
      <alignment horizontal="center" vertical="center"/>
    </xf>
    <xf numFmtId="4" fontId="29" fillId="4" borderId="22" xfId="0" applyNumberFormat="1" applyFont="1" applyFill="1" applyBorder="1" applyAlignment="1">
      <alignment horizontal="center" vertical="center"/>
    </xf>
    <xf numFmtId="4" fontId="27" fillId="5" borderId="84" xfId="0" applyNumberFormat="1" applyFont="1" applyFill="1" applyBorder="1" applyAlignment="1">
      <alignment horizontal="center" vertical="center"/>
    </xf>
    <xf numFmtId="0" fontId="28" fillId="0" borderId="0" xfId="0" applyFont="1"/>
    <xf numFmtId="166" fontId="28" fillId="0" borderId="0" xfId="0" applyNumberFormat="1" applyFont="1" applyAlignment="1">
      <alignment horizontal="center"/>
    </xf>
    <xf numFmtId="0" fontId="28" fillId="0" borderId="0" xfId="0" applyFont="1" applyAlignment="1">
      <alignment horizontal="center" vertical="center"/>
    </xf>
    <xf numFmtId="166" fontId="28" fillId="0" borderId="10" xfId="0" applyNumberFormat="1" applyFont="1" applyBorder="1" applyAlignment="1">
      <alignment horizontal="center" vertical="center"/>
    </xf>
    <xf numFmtId="0" fontId="18" fillId="4" borderId="87" xfId="0" applyFont="1" applyFill="1" applyBorder="1" applyAlignment="1">
      <alignment horizontal="center" vertical="center"/>
    </xf>
    <xf numFmtId="4" fontId="28" fillId="0" borderId="69" xfId="0" applyNumberFormat="1" applyFont="1" applyBorder="1" applyAlignment="1">
      <alignment horizontal="center" vertical="center"/>
    </xf>
    <xf numFmtId="166" fontId="28" fillId="0" borderId="71" xfId="0" applyNumberFormat="1" applyFont="1" applyBorder="1" applyAlignment="1">
      <alignment horizontal="center" vertical="center"/>
    </xf>
    <xf numFmtId="0" fontId="36" fillId="0" borderId="1" xfId="1" applyFont="1"/>
    <xf numFmtId="0" fontId="37" fillId="0" borderId="91" xfId="2" applyFont="1"/>
    <xf numFmtId="0" fontId="37" fillId="0" borderId="92" xfId="3" applyFont="1"/>
    <xf numFmtId="166" fontId="28" fillId="0" borderId="49" xfId="0" applyNumberFormat="1" applyFont="1" applyBorder="1" applyAlignment="1">
      <alignment horizontal="center"/>
    </xf>
    <xf numFmtId="166" fontId="28" fillId="0" borderId="90" xfId="0" applyNumberFormat="1" applyFont="1" applyBorder="1" applyAlignment="1">
      <alignment horizontal="center"/>
    </xf>
    <xf numFmtId="0" fontId="28" fillId="0" borderId="50" xfId="0" applyFont="1" applyBorder="1" applyAlignment="1">
      <alignment horizontal="center" vertical="center"/>
    </xf>
    <xf numFmtId="166" fontId="1" fillId="0" borderId="88" xfId="0" applyNumberFormat="1" applyFont="1" applyBorder="1" applyAlignment="1">
      <alignment horizontal="center" vertical="center"/>
    </xf>
    <xf numFmtId="166" fontId="1" fillId="0" borderId="89" xfId="0" applyNumberFormat="1" applyFont="1" applyBorder="1" applyAlignment="1">
      <alignment horizontal="center" vertical="center"/>
    </xf>
    <xf numFmtId="166" fontId="28" fillId="0" borderId="12" xfId="0" applyNumberFormat="1" applyFont="1" applyBorder="1" applyAlignment="1">
      <alignment horizontal="center" vertical="center"/>
    </xf>
    <xf numFmtId="166" fontId="28" fillId="0" borderId="9" xfId="0" applyNumberFormat="1" applyFont="1" applyBorder="1" applyAlignment="1">
      <alignment horizontal="center" vertical="center"/>
    </xf>
    <xf numFmtId="166" fontId="28" fillId="0" borderId="15" xfId="0" applyNumberFormat="1" applyFont="1" applyBorder="1" applyAlignment="1">
      <alignment horizontal="center" vertical="center"/>
    </xf>
    <xf numFmtId="166" fontId="28" fillId="0" borderId="11" xfId="0" applyNumberFormat="1" applyFont="1" applyBorder="1" applyAlignment="1">
      <alignment horizontal="center" vertical="center"/>
    </xf>
    <xf numFmtId="166" fontId="28" fillId="0" borderId="16" xfId="0" applyNumberFormat="1" applyFont="1" applyBorder="1" applyAlignment="1">
      <alignment horizontal="center" vertical="center"/>
    </xf>
    <xf numFmtId="166" fontId="28" fillId="0" borderId="13" xfId="0" applyNumberFormat="1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4" fontId="28" fillId="0" borderId="15" xfId="0" applyNumberFormat="1" applyFont="1" applyBorder="1" applyAlignment="1">
      <alignment horizontal="center" vertical="center"/>
    </xf>
    <xf numFmtId="166" fontId="28" fillId="0" borderId="14" xfId="0" applyNumberFormat="1" applyFont="1" applyBorder="1" applyAlignment="1">
      <alignment horizontal="center" vertical="center"/>
    </xf>
    <xf numFmtId="166" fontId="28" fillId="0" borderId="69" xfId="0" applyNumberFormat="1" applyFont="1" applyBorder="1" applyAlignment="1">
      <alignment horizontal="center" vertical="center"/>
    </xf>
    <xf numFmtId="4" fontId="29" fillId="4" borderId="33" xfId="0" applyNumberFormat="1" applyFont="1" applyFill="1" applyBorder="1" applyAlignment="1">
      <alignment horizontal="center" vertical="center"/>
    </xf>
    <xf numFmtId="166" fontId="29" fillId="4" borderId="34" xfId="0" applyNumberFormat="1" applyFont="1" applyFill="1" applyBorder="1" applyAlignment="1">
      <alignment horizontal="center" vertical="center"/>
    </xf>
    <xf numFmtId="4" fontId="28" fillId="0" borderId="93" xfId="0" applyNumberFormat="1" applyFont="1" applyBorder="1" applyAlignment="1">
      <alignment horizontal="center" vertical="center"/>
    </xf>
    <xf numFmtId="2" fontId="28" fillId="0" borderId="49" xfId="0" applyNumberFormat="1" applyFont="1" applyBorder="1" applyAlignment="1">
      <alignment horizontal="center"/>
    </xf>
    <xf numFmtId="2" fontId="28" fillId="0" borderId="90" xfId="0" applyNumberFormat="1" applyFont="1" applyBorder="1" applyAlignment="1">
      <alignment horizontal="center"/>
    </xf>
    <xf numFmtId="4" fontId="28" fillId="0" borderId="94" xfId="0" applyNumberFormat="1" applyFont="1" applyBorder="1" applyAlignment="1">
      <alignment horizontal="center" vertical="center"/>
    </xf>
    <xf numFmtId="4" fontId="28" fillId="0" borderId="79" xfId="0" applyNumberFormat="1" applyFont="1" applyBorder="1" applyAlignment="1">
      <alignment horizontal="center" vertical="center"/>
    </xf>
    <xf numFmtId="4" fontId="28" fillId="0" borderId="96" xfId="0" applyNumberFormat="1" applyFont="1" applyBorder="1" applyAlignment="1">
      <alignment horizontal="center" vertical="center"/>
    </xf>
    <xf numFmtId="4" fontId="28" fillId="0" borderId="95" xfId="0" applyNumberFormat="1" applyFont="1" applyBorder="1" applyAlignment="1">
      <alignment horizontal="center" vertical="center"/>
    </xf>
    <xf numFmtId="2" fontId="31" fillId="4" borderId="57" xfId="0" applyNumberFormat="1" applyFont="1" applyFill="1" applyBorder="1" applyAlignment="1">
      <alignment horizontal="center" vertical="center"/>
    </xf>
    <xf numFmtId="0" fontId="29" fillId="3" borderId="18" xfId="0" applyFont="1" applyFill="1" applyBorder="1" applyAlignment="1">
      <alignment horizontal="centerContinuous" vertical="center"/>
    </xf>
    <xf numFmtId="0" fontId="31" fillId="3" borderId="97" xfId="0" applyFont="1" applyFill="1" applyBorder="1" applyAlignment="1">
      <alignment horizontal="centerContinuous" vertical="center"/>
    </xf>
    <xf numFmtId="0" fontId="31" fillId="3" borderId="56" xfId="0" applyFont="1" applyFill="1" applyBorder="1" applyAlignment="1">
      <alignment horizontal="centerContinuous" vertical="center"/>
    </xf>
    <xf numFmtId="0" fontId="31" fillId="3" borderId="7" xfId="0" applyFont="1" applyFill="1" applyBorder="1" applyAlignment="1">
      <alignment horizontal="centerContinuous" vertical="center"/>
    </xf>
    <xf numFmtId="0" fontId="31" fillId="3" borderId="4" xfId="0" applyFont="1" applyFill="1" applyBorder="1" applyAlignment="1">
      <alignment horizontal="centerContinuous" vertical="center"/>
    </xf>
    <xf numFmtId="0" fontId="31" fillId="3" borderId="5" xfId="0" applyFont="1" applyFill="1" applyBorder="1" applyAlignment="1">
      <alignment horizontal="centerContinuous" vertical="center"/>
    </xf>
    <xf numFmtId="4" fontId="28" fillId="0" borderId="22" xfId="0" applyNumberFormat="1" applyFont="1" applyBorder="1" applyAlignment="1">
      <alignment horizontal="center" vertical="center"/>
    </xf>
    <xf numFmtId="0" fontId="31" fillId="3" borderId="6" xfId="0" applyFont="1" applyFill="1" applyBorder="1" applyAlignment="1">
      <alignment horizontal="centerContinuous" vertical="center"/>
    </xf>
    <xf numFmtId="0" fontId="29" fillId="3" borderId="8" xfId="0" applyFont="1" applyFill="1" applyBorder="1" applyAlignment="1">
      <alignment horizontal="centerContinuous" vertical="center"/>
    </xf>
    <xf numFmtId="0" fontId="29" fillId="3" borderId="0" xfId="0" applyFont="1" applyFill="1" applyBorder="1" applyAlignment="1">
      <alignment horizontal="centerContinuous" vertical="center"/>
    </xf>
    <xf numFmtId="0" fontId="29" fillId="4" borderId="98" xfId="0" applyFont="1" applyFill="1" applyBorder="1" applyAlignment="1">
      <alignment horizontal="center" vertical="center"/>
    </xf>
    <xf numFmtId="4" fontId="28" fillId="0" borderId="99" xfId="0" applyNumberFormat="1" applyFont="1" applyBorder="1" applyAlignment="1">
      <alignment horizontal="center" vertical="center"/>
    </xf>
    <xf numFmtId="2" fontId="31" fillId="4" borderId="33" xfId="0" applyNumberFormat="1" applyFont="1" applyFill="1" applyBorder="1" applyAlignment="1">
      <alignment horizontal="center" vertical="center"/>
    </xf>
    <xf numFmtId="2" fontId="31" fillId="4" borderId="34" xfId="0" applyNumberFormat="1" applyFont="1" applyFill="1" applyBorder="1" applyAlignment="1">
      <alignment horizontal="center" vertical="center"/>
    </xf>
    <xf numFmtId="2" fontId="31" fillId="4" borderId="35" xfId="0" applyNumberFormat="1" applyFont="1" applyFill="1" applyBorder="1" applyAlignment="1">
      <alignment horizontal="center" vertical="center"/>
    </xf>
    <xf numFmtId="2" fontId="28" fillId="0" borderId="36" xfId="0" applyNumberFormat="1" applyFont="1" applyBorder="1" applyAlignment="1">
      <alignment horizontal="center"/>
    </xf>
    <xf numFmtId="2" fontId="28" fillId="0" borderId="42" xfId="0" applyNumberFormat="1" applyFont="1" applyBorder="1" applyAlignment="1">
      <alignment horizontal="center"/>
    </xf>
    <xf numFmtId="2" fontId="0" fillId="0" borderId="42" xfId="0" applyNumberFormat="1" applyBorder="1" applyAlignment="1">
      <alignment horizontal="center"/>
    </xf>
    <xf numFmtId="2" fontId="0" fillId="0" borderId="37" xfId="0" applyNumberFormat="1" applyBorder="1" applyAlignment="1">
      <alignment horizontal="center"/>
    </xf>
    <xf numFmtId="2" fontId="31" fillId="4" borderId="56" xfId="0" applyNumberFormat="1" applyFont="1" applyFill="1" applyBorder="1" applyAlignment="1">
      <alignment horizontal="center" vertical="center"/>
    </xf>
    <xf numFmtId="2" fontId="0" fillId="0" borderId="100" xfId="0" applyNumberFormat="1" applyBorder="1" applyAlignment="1">
      <alignment horizontal="center"/>
    </xf>
    <xf numFmtId="2" fontId="0" fillId="0" borderId="101" xfId="0" applyNumberFormat="1" applyBorder="1" applyAlignment="1">
      <alignment horizontal="center"/>
    </xf>
    <xf numFmtId="2" fontId="0" fillId="0" borderId="102" xfId="0" applyNumberFormat="1" applyBorder="1" applyAlignment="1">
      <alignment horizontal="center"/>
    </xf>
    <xf numFmtId="2" fontId="31" fillId="4" borderId="103" xfId="0" applyNumberFormat="1" applyFont="1" applyFill="1" applyBorder="1" applyAlignment="1">
      <alignment horizontal="center" vertical="center"/>
    </xf>
    <xf numFmtId="2" fontId="0" fillId="0" borderId="38" xfId="0" applyNumberFormat="1" applyBorder="1" applyAlignment="1">
      <alignment horizontal="center"/>
    </xf>
    <xf numFmtId="2" fontId="0" fillId="0" borderId="43" xfId="0" applyNumberFormat="1" applyBorder="1" applyAlignment="1">
      <alignment horizontal="center"/>
    </xf>
    <xf numFmtId="2" fontId="0" fillId="0" borderId="39" xfId="0" applyNumberFormat="1" applyBorder="1" applyAlignment="1">
      <alignment horizontal="center"/>
    </xf>
    <xf numFmtId="2" fontId="31" fillId="4" borderId="104" xfId="0" applyNumberFormat="1" applyFont="1" applyFill="1" applyBorder="1" applyAlignment="1">
      <alignment horizontal="center" vertical="center"/>
    </xf>
    <xf numFmtId="4" fontId="28" fillId="0" borderId="105" xfId="0" applyNumberFormat="1" applyFont="1" applyBorder="1" applyAlignment="1">
      <alignment horizontal="center" vertical="center"/>
    </xf>
    <xf numFmtId="4" fontId="29" fillId="4" borderId="20" xfId="0" applyNumberFormat="1" applyFont="1" applyFill="1" applyBorder="1" applyAlignment="1">
      <alignment horizontal="centerContinuous" vertical="center"/>
    </xf>
    <xf numFmtId="4" fontId="29" fillId="4" borderId="21" xfId="0" applyNumberFormat="1" applyFont="1" applyFill="1" applyBorder="1" applyAlignment="1">
      <alignment horizontal="centerContinuous" vertical="center"/>
    </xf>
    <xf numFmtId="4" fontId="29" fillId="4" borderId="22" xfId="0" applyNumberFormat="1" applyFont="1" applyFill="1" applyBorder="1" applyAlignment="1">
      <alignment horizontal="centerContinuous" vertical="center"/>
    </xf>
    <xf numFmtId="4" fontId="28" fillId="0" borderId="106" xfId="0" applyNumberFormat="1" applyFont="1" applyBorder="1" applyAlignment="1">
      <alignment horizontal="center" vertical="center"/>
    </xf>
    <xf numFmtId="4" fontId="28" fillId="0" borderId="107" xfId="0" applyNumberFormat="1" applyFont="1" applyBorder="1" applyAlignment="1">
      <alignment horizontal="center" vertical="center"/>
    </xf>
    <xf numFmtId="4" fontId="28" fillId="0" borderId="108" xfId="0" applyNumberFormat="1" applyFont="1" applyBorder="1" applyAlignment="1">
      <alignment horizontal="center" vertical="center"/>
    </xf>
    <xf numFmtId="4" fontId="28" fillId="0" borderId="109" xfId="0" applyNumberFormat="1" applyFont="1" applyBorder="1" applyAlignment="1">
      <alignment horizontal="center" vertical="center"/>
    </xf>
    <xf numFmtId="4" fontId="28" fillId="0" borderId="110" xfId="0" applyNumberFormat="1" applyFont="1" applyBorder="1" applyAlignment="1">
      <alignment horizontal="center" vertical="center"/>
    </xf>
    <xf numFmtId="4" fontId="28" fillId="0" borderId="111" xfId="0" applyNumberFormat="1" applyFont="1" applyBorder="1" applyAlignment="1">
      <alignment horizontal="center" vertical="center"/>
    </xf>
    <xf numFmtId="4" fontId="28" fillId="0" borderId="112" xfId="0" applyNumberFormat="1" applyFont="1" applyBorder="1" applyAlignment="1">
      <alignment horizontal="center" vertical="center"/>
    </xf>
    <xf numFmtId="0" fontId="31" fillId="4" borderId="33" xfId="0" applyFont="1" applyFill="1" applyBorder="1" applyAlignment="1">
      <alignment horizontal="center" vertical="center"/>
    </xf>
    <xf numFmtId="0" fontId="31" fillId="4" borderId="35" xfId="0" applyFont="1" applyFill="1" applyBorder="1" applyAlignment="1">
      <alignment horizontal="center" vertical="center"/>
    </xf>
    <xf numFmtId="4" fontId="28" fillId="0" borderId="72" xfId="0" applyNumberFormat="1" applyFont="1" applyBorder="1" applyAlignment="1">
      <alignment horizontal="center" vertical="center"/>
    </xf>
    <xf numFmtId="4" fontId="28" fillId="0" borderId="74" xfId="0" applyNumberFormat="1" applyFont="1" applyBorder="1" applyAlignment="1">
      <alignment horizontal="center" vertical="center"/>
    </xf>
    <xf numFmtId="4" fontId="28" fillId="0" borderId="115" xfId="0" applyNumberFormat="1" applyFont="1" applyBorder="1" applyAlignment="1">
      <alignment horizontal="center" vertical="center"/>
    </xf>
    <xf numFmtId="4" fontId="28" fillId="0" borderId="116" xfId="0" applyNumberFormat="1" applyFont="1" applyBorder="1" applyAlignment="1">
      <alignment horizontal="center" vertical="center"/>
    </xf>
    <xf numFmtId="4" fontId="28" fillId="0" borderId="117" xfId="0" applyNumberFormat="1" applyFont="1" applyBorder="1" applyAlignment="1">
      <alignment horizontal="center" vertical="center"/>
    </xf>
    <xf numFmtId="4" fontId="28" fillId="0" borderId="118" xfId="0" applyNumberFormat="1" applyFont="1" applyBorder="1" applyAlignment="1">
      <alignment horizontal="center" vertical="center"/>
    </xf>
    <xf numFmtId="4" fontId="28" fillId="0" borderId="119" xfId="0" applyNumberFormat="1" applyFont="1" applyBorder="1" applyAlignment="1">
      <alignment horizontal="center" vertical="center"/>
    </xf>
    <xf numFmtId="4" fontId="28" fillId="0" borderId="120" xfId="0" applyNumberFormat="1" applyFont="1" applyBorder="1" applyAlignment="1">
      <alignment horizontal="center" vertical="center"/>
    </xf>
    <xf numFmtId="4" fontId="28" fillId="0" borderId="121" xfId="0" applyNumberFormat="1" applyFont="1" applyBorder="1" applyAlignment="1">
      <alignment horizontal="center" vertical="center"/>
    </xf>
    <xf numFmtId="4" fontId="29" fillId="4" borderId="122" xfId="0" applyNumberFormat="1" applyFont="1" applyFill="1" applyBorder="1" applyAlignment="1">
      <alignment horizontal="center" vertical="center"/>
    </xf>
    <xf numFmtId="4" fontId="29" fillId="4" borderId="114" xfId="0" applyNumberFormat="1" applyFont="1" applyFill="1" applyBorder="1" applyAlignment="1">
      <alignment horizontal="center" vertical="center"/>
    </xf>
    <xf numFmtId="4" fontId="29" fillId="4" borderId="99" xfId="0" applyNumberFormat="1" applyFont="1" applyFill="1" applyBorder="1" applyAlignment="1">
      <alignment horizontal="center" vertical="center"/>
    </xf>
    <xf numFmtId="4" fontId="29" fillId="4" borderId="123" xfId="0" applyNumberFormat="1" applyFont="1" applyFill="1" applyBorder="1" applyAlignment="1">
      <alignment horizontal="center" vertical="center"/>
    </xf>
    <xf numFmtId="4" fontId="29" fillId="4" borderId="65" xfId="0" applyNumberFormat="1" applyFont="1" applyFill="1" applyBorder="1" applyAlignment="1">
      <alignment horizontal="center" vertical="center"/>
    </xf>
    <xf numFmtId="4" fontId="28" fillId="0" borderId="124" xfId="0" applyNumberFormat="1" applyFont="1" applyBorder="1" applyAlignment="1">
      <alignment horizontal="center" vertical="center"/>
    </xf>
    <xf numFmtId="4" fontId="28" fillId="0" borderId="125" xfId="0" applyNumberFormat="1" applyFont="1" applyBorder="1" applyAlignment="1">
      <alignment horizontal="center" vertical="center"/>
    </xf>
    <xf numFmtId="4" fontId="28" fillId="0" borderId="48" xfId="0" applyNumberFormat="1" applyFont="1" applyBorder="1" applyAlignment="1">
      <alignment horizontal="center" vertical="center"/>
    </xf>
    <xf numFmtId="4" fontId="28" fillId="0" borderId="126" xfId="0" applyNumberFormat="1" applyFont="1" applyBorder="1" applyAlignment="1">
      <alignment horizontal="center" vertical="center"/>
    </xf>
    <xf numFmtId="4" fontId="28" fillId="0" borderId="127" xfId="0" applyNumberFormat="1" applyFont="1" applyBorder="1" applyAlignment="1">
      <alignment horizontal="center" vertical="center"/>
    </xf>
    <xf numFmtId="4" fontId="28" fillId="0" borderId="128" xfId="0" applyNumberFormat="1" applyFont="1" applyBorder="1" applyAlignment="1">
      <alignment horizontal="center" vertical="center"/>
    </xf>
    <xf numFmtId="0" fontId="31" fillId="4" borderId="5" xfId="0" applyFont="1" applyFill="1" applyBorder="1" applyAlignment="1">
      <alignment horizontal="center" vertical="center"/>
    </xf>
    <xf numFmtId="0" fontId="31" fillId="4" borderId="129" xfId="0" applyFont="1" applyFill="1" applyBorder="1" applyAlignment="1">
      <alignment horizontal="center" vertical="center"/>
    </xf>
    <xf numFmtId="4" fontId="29" fillId="4" borderId="19" xfId="0" applyNumberFormat="1" applyFont="1" applyFill="1" applyBorder="1" applyAlignment="1">
      <alignment horizontal="center" vertical="center"/>
    </xf>
    <xf numFmtId="4" fontId="28" fillId="0" borderId="113" xfId="0" applyNumberFormat="1" applyFont="1" applyBorder="1" applyAlignment="1">
      <alignment horizontal="center" vertical="center"/>
    </xf>
    <xf numFmtId="4" fontId="29" fillId="4" borderId="130" xfId="0" applyNumberFormat="1" applyFont="1" applyFill="1" applyBorder="1" applyAlignment="1">
      <alignment horizontal="center" vertical="center"/>
    </xf>
    <xf numFmtId="4" fontId="28" fillId="0" borderId="132" xfId="0" applyNumberFormat="1" applyFont="1" applyBorder="1" applyAlignment="1">
      <alignment horizontal="center" vertical="center"/>
    </xf>
    <xf numFmtId="4" fontId="28" fillId="0" borderId="131" xfId="0" applyNumberFormat="1" applyFont="1" applyBorder="1" applyAlignment="1">
      <alignment horizontal="center" vertical="center"/>
    </xf>
    <xf numFmtId="4" fontId="28" fillId="0" borderId="133" xfId="0" applyNumberFormat="1" applyFont="1" applyBorder="1" applyAlignment="1">
      <alignment horizontal="center" vertical="center"/>
    </xf>
    <xf numFmtId="4" fontId="28" fillId="0" borderId="135" xfId="0" applyNumberFormat="1" applyFont="1" applyBorder="1" applyAlignment="1">
      <alignment horizontal="center" vertical="center"/>
    </xf>
    <xf numFmtId="4" fontId="28" fillId="0" borderId="134" xfId="0" applyNumberFormat="1" applyFont="1" applyBorder="1" applyAlignment="1">
      <alignment horizontal="center" vertical="center"/>
    </xf>
    <xf numFmtId="4" fontId="28" fillId="0" borderId="136" xfId="0" applyNumberFormat="1" applyFont="1" applyBorder="1" applyAlignment="1">
      <alignment horizontal="center" vertical="center"/>
    </xf>
    <xf numFmtId="0" fontId="29" fillId="3" borderId="54" xfId="0" applyFont="1" applyFill="1" applyBorder="1" applyAlignment="1">
      <alignment horizontal="centerContinuous" vertical="center"/>
    </xf>
    <xf numFmtId="0" fontId="29" fillId="4" borderId="54" xfId="0" applyFont="1" applyFill="1" applyBorder="1" applyAlignment="1">
      <alignment horizontal="center" vertical="center"/>
    </xf>
    <xf numFmtId="4" fontId="28" fillId="0" borderId="65" xfId="0" applyNumberFormat="1" applyFont="1" applyBorder="1" applyAlignment="1">
      <alignment horizontal="center" vertical="center"/>
    </xf>
    <xf numFmtId="4" fontId="28" fillId="0" borderId="20" xfId="0" applyNumberFormat="1" applyFont="1" applyBorder="1" applyAlignment="1">
      <alignment horizontal="center" vertical="center"/>
    </xf>
    <xf numFmtId="3" fontId="28" fillId="0" borderId="65" xfId="0" applyNumberFormat="1" applyFont="1" applyBorder="1" applyAlignment="1">
      <alignment horizontal="center" vertical="center"/>
    </xf>
    <xf numFmtId="0" fontId="38" fillId="0" borderId="0" xfId="4" applyFill="1" applyBorder="1" applyAlignment="1">
      <alignment horizontal="centerContinuous" vertical="center"/>
    </xf>
    <xf numFmtId="0" fontId="38" fillId="0" borderId="0" xfId="4"/>
    <xf numFmtId="0" fontId="38" fillId="0" borderId="49" xfId="4" applyFill="1" applyBorder="1" applyAlignment="1">
      <alignment horizontal="centerContinuous" vertical="center"/>
    </xf>
    <xf numFmtId="0" fontId="38" fillId="0" borderId="50" xfId="4" applyFill="1" applyBorder="1" applyAlignment="1">
      <alignment horizontal="centerContinuous" vertical="center"/>
    </xf>
    <xf numFmtId="4" fontId="38" fillId="0" borderId="55" xfId="4" applyNumberFormat="1" applyBorder="1" applyAlignment="1">
      <alignment horizontal="centerContinuous" vertical="center"/>
    </xf>
    <xf numFmtId="10" fontId="39" fillId="0" borderId="80" xfId="4" applyNumberFormat="1" applyFont="1" applyBorder="1" applyAlignment="1">
      <alignment horizontal="center" vertical="center"/>
    </xf>
    <xf numFmtId="10" fontId="28" fillId="0" borderId="82" xfId="0" applyNumberFormat="1" applyFont="1" applyBorder="1" applyAlignment="1">
      <alignment horizontal="center" vertical="center"/>
    </xf>
    <xf numFmtId="4" fontId="39" fillId="0" borderId="9" xfId="4" applyNumberFormat="1" applyFont="1" applyBorder="1" applyAlignment="1">
      <alignment horizontal="center" vertical="center"/>
    </xf>
    <xf numFmtId="4" fontId="39" fillId="0" borderId="11" xfId="4" applyNumberFormat="1" applyFont="1" applyBorder="1" applyAlignment="1">
      <alignment horizontal="center" vertical="center"/>
    </xf>
    <xf numFmtId="4" fontId="39" fillId="0" borderId="13" xfId="4" applyNumberFormat="1" applyFont="1" applyBorder="1" applyAlignment="1">
      <alignment horizontal="center" vertical="center"/>
    </xf>
    <xf numFmtId="4" fontId="29" fillId="3" borderId="4" xfId="0" applyNumberFormat="1" applyFont="1" applyFill="1" applyBorder="1" applyAlignment="1">
      <alignment horizontal="center" vertical="center" textRotation="90"/>
    </xf>
    <xf numFmtId="0" fontId="0" fillId="0" borderId="7" xfId="0" applyBorder="1" applyAlignment="1">
      <alignment horizontal="center" vertical="center" textRotation="90"/>
    </xf>
    <xf numFmtId="0" fontId="0" fillId="0" borderId="56" xfId="0" applyBorder="1" applyAlignment="1">
      <alignment horizontal="center" vertical="center" textRotation="90"/>
    </xf>
    <xf numFmtId="0" fontId="18" fillId="3" borderId="28" xfId="0" applyFont="1" applyFill="1" applyBorder="1" applyAlignment="1">
      <alignment horizontal="center" vertical="distributed" textRotation="90"/>
    </xf>
    <xf numFmtId="0" fontId="0" fillId="0" borderId="46" xfId="0" applyBorder="1" applyAlignment="1">
      <alignment horizontal="center" vertical="distributed"/>
    </xf>
  </cellXfs>
  <cellStyles count="6">
    <cellStyle name="Followed Hyperlink" xfId="5" builtinId="9" customBuiltin="1"/>
    <cellStyle name="Heading 1" xfId="1" builtinId="16" customBuiltin="1"/>
    <cellStyle name="Heading 2" xfId="2" builtinId="17" customBuiltin="1"/>
    <cellStyle name="Heading 3" xfId="3" builtinId="18" customBuiltin="1"/>
    <cellStyle name="Hyperlink" xfId="4" builtinId="8" customBuiltin="1"/>
    <cellStyle name="Normal" xfId="0" builtinId="0"/>
  </cellStyles>
  <dxfs count="396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</dxfs>
  <tableStyles count="0" defaultTableStyle="TableStyleMedium2" defaultPivotStyle="PivotStyleLight16"/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heet8">
    <tabColor theme="9" tint="-0.499984740745262"/>
  </sheetPr>
  <dimension ref="B2:E27"/>
  <sheetViews>
    <sheetView showGridLines="0" workbookViewId="0">
      <selection activeCell="M2" sqref="M2"/>
    </sheetView>
  </sheetViews>
  <sheetFormatPr defaultRowHeight="15" x14ac:dyDescent="0.25"/>
  <cols>
    <col min="1" max="1" width="3.75" customWidth="1"/>
    <col min="2" max="2" width="21.5" bestFit="1" customWidth="1"/>
  </cols>
  <sheetData>
    <row r="2" spans="2:3" ht="26.25" x14ac:dyDescent="0.4">
      <c r="B2" s="2" t="s">
        <v>131</v>
      </c>
      <c r="C2" s="2"/>
    </row>
    <row r="4" spans="2:3" x14ac:dyDescent="0.25">
      <c r="B4" s="234" t="s">
        <v>123</v>
      </c>
      <c r="C4" s="235"/>
    </row>
    <row r="5" spans="2:3" x14ac:dyDescent="0.25">
      <c r="B5" s="236" t="s">
        <v>180</v>
      </c>
      <c r="C5" s="236"/>
    </row>
    <row r="6" spans="2:3" x14ac:dyDescent="0.25">
      <c r="B6" s="236" t="s">
        <v>181</v>
      </c>
      <c r="C6" s="236"/>
    </row>
    <row r="8" spans="2:3" x14ac:dyDescent="0.25">
      <c r="B8" s="136" t="s">
        <v>277</v>
      </c>
      <c r="C8" s="137"/>
    </row>
    <row r="9" spans="2:3" x14ac:dyDescent="0.25">
      <c r="B9" s="488" t="s">
        <v>0</v>
      </c>
      <c r="C9" s="139" t="str">
        <f ca="1">Dates!C4</f>
        <v>Ok</v>
      </c>
    </row>
    <row r="10" spans="2:3" x14ac:dyDescent="0.25">
      <c r="B10" s="489" t="s">
        <v>373</v>
      </c>
      <c r="C10" s="141" t="str">
        <f ca="1">Mathematics!C4</f>
        <v>Ok</v>
      </c>
    </row>
    <row r="11" spans="2:3" x14ac:dyDescent="0.25">
      <c r="B11" s="490" t="s">
        <v>400</v>
      </c>
      <c r="C11" s="143" t="str">
        <f ca="1">Stats!C4</f>
        <v>Ok</v>
      </c>
    </row>
    <row r="14" spans="2:3" x14ac:dyDescent="0.25">
      <c r="B14" s="476" t="s">
        <v>276</v>
      </c>
      <c r="C14" s="235"/>
    </row>
    <row r="15" spans="2:3" x14ac:dyDescent="0.25">
      <c r="B15" s="486" t="s">
        <v>1</v>
      </c>
    </row>
    <row r="16" spans="2:3" x14ac:dyDescent="0.25">
      <c r="B16" s="487" t="s">
        <v>22</v>
      </c>
    </row>
    <row r="20" spans="2:5" x14ac:dyDescent="0.25">
      <c r="B20" s="234" t="s">
        <v>132</v>
      </c>
      <c r="C20" s="235"/>
    </row>
    <row r="21" spans="2:5" x14ac:dyDescent="0.25">
      <c r="B21" s="219" t="s">
        <v>182</v>
      </c>
      <c r="C21" s="180" t="str">
        <f>'Test Utils'!C4</f>
        <v>Ok</v>
      </c>
    </row>
    <row r="22" spans="2:5" x14ac:dyDescent="0.25">
      <c r="B22" s="219" t="s">
        <v>90</v>
      </c>
      <c r="C22" s="180" t="str">
        <f ca="1">'Table Formatting'!C4</f>
        <v>Ok</v>
      </c>
    </row>
    <row r="27" spans="2:5" x14ac:dyDescent="0.25">
      <c r="E27" s="180"/>
    </row>
  </sheetData>
  <conditionalFormatting sqref="C21">
    <cfRule type="cellIs" dxfId="395" priority="7" stopIfTrue="1" operator="equal">
      <formula>"OK"</formula>
    </cfRule>
    <cfRule type="cellIs" dxfId="394" priority="8" stopIfTrue="1" operator="equal">
      <formula>"ERROR"</formula>
    </cfRule>
  </conditionalFormatting>
  <conditionalFormatting sqref="C22">
    <cfRule type="cellIs" dxfId="393" priority="9" stopIfTrue="1" operator="equal">
      <formula>"OK"</formula>
    </cfRule>
    <cfRule type="cellIs" dxfId="392" priority="10" stopIfTrue="1" operator="equal">
      <formula>"ERROR"</formula>
    </cfRule>
  </conditionalFormatting>
  <conditionalFormatting sqref="C9">
    <cfRule type="cellIs" dxfId="391" priority="11" stopIfTrue="1" operator="equal">
      <formula>"ERROR"</formula>
    </cfRule>
    <cfRule type="cellIs" dxfId="390" priority="12" stopIfTrue="1" operator="equal">
      <formula>"OK"</formula>
    </cfRule>
    <cfRule type="cellIs" dxfId="389" priority="13" stopIfTrue="1" operator="equal">
      <formula>"WARNING"</formula>
    </cfRule>
  </conditionalFormatting>
  <conditionalFormatting sqref="C10">
    <cfRule type="cellIs" dxfId="388" priority="4" stopIfTrue="1" operator="equal">
      <formula>"ERROR"</formula>
    </cfRule>
    <cfRule type="cellIs" dxfId="387" priority="5" stopIfTrue="1" operator="equal">
      <formula>"OK"</formula>
    </cfRule>
    <cfRule type="cellIs" dxfId="386" priority="6" stopIfTrue="1" operator="equal">
      <formula>"WARNING"</formula>
    </cfRule>
  </conditionalFormatting>
  <conditionalFormatting sqref="C11">
    <cfRule type="cellIs" dxfId="385" priority="1" stopIfTrue="1" operator="equal">
      <formula>"ERROR"</formula>
    </cfRule>
    <cfRule type="cellIs" dxfId="384" priority="2" stopIfTrue="1" operator="equal">
      <formula>"OK"</formula>
    </cfRule>
    <cfRule type="cellIs" dxfId="383" priority="3" stopIfTrue="1" operator="equal">
      <formula>"WARNING"</formula>
    </cfRule>
  </conditionalFormatting>
  <hyperlinks>
    <hyperlink ref="B15" location="Curves.Title" display="Curves" xr:uid="{55B00831-142E-4799-B620-B8B79F221D3E}"/>
    <hyperlink ref="B22" location="TableFormatting.Title" display="Table Formatting" xr:uid="{36F5A4C0-4058-4EAB-B9F0-3120B1D828EB}"/>
    <hyperlink ref="B21" location="Logic.Title" display="Logic" xr:uid="{4452807D-B6BF-4ED4-B910-965E05209AC7}"/>
    <hyperlink ref="B5:C5" location="Summary.RunTestsInAllSheets" display="Run Tests in All Sheets" xr:uid="{7E1216C1-1362-48AD-AE0A-14787F111170}"/>
    <hyperlink ref="B6:C6" location="Summary.ResetTestsInAllSheets" display="Reset Tests in All Sheets" xr:uid="{B022C234-599C-4C0D-97E0-30EE93D3111C}"/>
    <hyperlink ref="B9" location="Dates!A1" display="Dates" xr:uid="{1C6E0862-C178-4103-8DF3-D79D9F618623}"/>
    <hyperlink ref="B10" location="Mathematics!A1" display="Mathematics!A1" xr:uid="{82EDFA2E-E168-47CE-85FC-32CEA1424EFE}"/>
    <hyperlink ref="B11" location="Stats!A1" display="Stats!A1" xr:uid="{E66F4C27-E756-48AF-8864-A9B0F349D836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Sheet12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9" t="s">
        <v>124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Sheet13">
    <tabColor theme="4" tint="-0.499984740745262"/>
  </sheetPr>
  <dimension ref="B1:AB190"/>
  <sheetViews>
    <sheetView showGridLines="0" zoomScaleNormal="100" workbookViewId="0">
      <selection activeCell="D31" sqref="D31"/>
    </sheetView>
  </sheetViews>
  <sheetFormatPr defaultColWidth="9" defaultRowHeight="12.75" x14ac:dyDescent="0.2"/>
  <cols>
    <col min="1" max="1" width="3.75" style="369" customWidth="1"/>
    <col min="2" max="2" width="15.875" style="369" customWidth="1"/>
    <col min="3" max="3" width="17" style="369" customWidth="1"/>
    <col min="4" max="4" width="11.375" style="369" customWidth="1"/>
    <col min="5" max="5" width="10.75" style="369" customWidth="1"/>
    <col min="6" max="6" width="13.875" style="369" bestFit="1" customWidth="1"/>
    <col min="7" max="7" width="12.375" style="369" customWidth="1"/>
    <col min="8" max="8" width="11.625" style="369" customWidth="1"/>
    <col min="9" max="9" width="17.625" style="369" customWidth="1"/>
    <col min="10" max="10" width="8.875" style="369" bestFit="1" customWidth="1"/>
    <col min="11" max="11" width="9.625" style="369" customWidth="1"/>
    <col min="12" max="12" width="12.625" style="369" customWidth="1"/>
    <col min="13" max="13" width="13.875" style="369" bestFit="1" customWidth="1"/>
    <col min="14" max="14" width="9.375" style="369" customWidth="1"/>
    <col min="15" max="15" width="10" style="369" customWidth="1"/>
    <col min="16" max="16" width="16" style="369" customWidth="1"/>
    <col min="17" max="17" width="8.875" style="369" bestFit="1" customWidth="1"/>
    <col min="18" max="18" width="10.625" style="369" customWidth="1"/>
    <col min="19" max="19" width="36" style="369" bestFit="1" customWidth="1"/>
    <col min="20" max="20" width="30.25" style="369" customWidth="1"/>
    <col min="21" max="22" width="9" style="369"/>
    <col min="23" max="23" width="20.5" style="369" customWidth="1"/>
    <col min="24" max="25" width="9" style="369"/>
    <col min="26" max="27" width="37.125" style="369" bestFit="1" customWidth="1"/>
    <col min="28" max="16384" width="9" style="369"/>
  </cols>
  <sheetData>
    <row r="1" spans="2:28" x14ac:dyDescent="0.2">
      <c r="B1" s="482" t="s">
        <v>432</v>
      </c>
    </row>
    <row r="2" spans="2:28" ht="26.25" x14ac:dyDescent="0.4">
      <c r="B2" s="2" t="s">
        <v>0</v>
      </c>
      <c r="C2" s="376"/>
      <c r="D2" s="376"/>
      <c r="E2" s="376"/>
      <c r="F2" s="376"/>
      <c r="G2" s="376"/>
      <c r="H2" s="376"/>
      <c r="I2" s="376"/>
      <c r="J2" s="376"/>
      <c r="K2" s="376"/>
      <c r="L2" s="376"/>
      <c r="M2" s="376"/>
      <c r="N2" s="376"/>
      <c r="O2" s="376"/>
      <c r="P2" s="376"/>
      <c r="Q2" s="376"/>
      <c r="R2" s="376"/>
      <c r="S2" s="376"/>
      <c r="T2" s="376"/>
      <c r="U2" s="376"/>
      <c r="V2" s="376"/>
      <c r="W2" s="376"/>
      <c r="X2" s="376"/>
      <c r="Y2" s="376"/>
      <c r="Z2" s="376"/>
      <c r="AA2" s="376"/>
      <c r="AB2" s="376"/>
    </row>
    <row r="4" spans="2:28" x14ac:dyDescent="0.2">
      <c r="B4" s="59" t="s">
        <v>166</v>
      </c>
      <c r="C4" s="371" t="str" cm="1">
        <f t="array" aca="1" ref="C4" ca="1">_xll.d.TestUtils_And(D7:D15)</f>
        <v>Ok</v>
      </c>
    </row>
    <row r="6" spans="2:28" x14ac:dyDescent="0.2">
      <c r="B6" s="223" t="s">
        <v>241</v>
      </c>
      <c r="C6" s="223"/>
      <c r="D6" s="224" t="s">
        <v>11</v>
      </c>
    </row>
    <row r="7" spans="2:28" x14ac:dyDescent="0.2">
      <c r="B7" s="481" t="s">
        <v>423</v>
      </c>
      <c r="C7" s="236"/>
      <c r="D7" s="371" t="str">
        <f ca="1">C20</f>
        <v>Ok</v>
      </c>
    </row>
    <row r="8" spans="2:28" x14ac:dyDescent="0.2">
      <c r="B8" s="481" t="s">
        <v>424</v>
      </c>
      <c r="C8" s="236"/>
      <c r="D8" s="371" t="str">
        <f ca="1">C35</f>
        <v>Ok</v>
      </c>
    </row>
    <row r="9" spans="2:28" x14ac:dyDescent="0.2">
      <c r="B9" s="481" t="s">
        <v>425</v>
      </c>
      <c r="C9" s="236"/>
      <c r="D9" s="371" t="str">
        <f ca="1">C50</f>
        <v>Ok</v>
      </c>
    </row>
    <row r="10" spans="2:28" x14ac:dyDescent="0.2">
      <c r="B10" s="481" t="s">
        <v>426</v>
      </c>
      <c r="C10" s="236"/>
      <c r="D10" s="371" t="str">
        <f ca="1">C65</f>
        <v>Ok</v>
      </c>
    </row>
    <row r="11" spans="2:28" x14ac:dyDescent="0.2">
      <c r="B11" s="481" t="s">
        <v>427</v>
      </c>
      <c r="C11" s="236"/>
      <c r="D11" s="371" t="str">
        <f ca="1">C79</f>
        <v>Ok</v>
      </c>
    </row>
    <row r="12" spans="2:28" x14ac:dyDescent="0.2">
      <c r="B12" s="481" t="s">
        <v>428</v>
      </c>
      <c r="C12" s="236"/>
      <c r="D12" s="371" t="str">
        <f ca="1">C123</f>
        <v>Ok</v>
      </c>
    </row>
    <row r="13" spans="2:28" x14ac:dyDescent="0.2">
      <c r="B13" s="481" t="s">
        <v>429</v>
      </c>
      <c r="C13" s="236"/>
      <c r="D13" s="371" t="str">
        <f ca="1">C150</f>
        <v>Ok</v>
      </c>
    </row>
    <row r="14" spans="2:28" x14ac:dyDescent="0.2">
      <c r="B14" s="481" t="s">
        <v>430</v>
      </c>
      <c r="C14" s="236"/>
      <c r="D14" s="371" t="str">
        <f ca="1">C166</f>
        <v>Ok</v>
      </c>
    </row>
    <row r="15" spans="2:28" x14ac:dyDescent="0.2">
      <c r="B15" s="481" t="s">
        <v>431</v>
      </c>
      <c r="C15" s="236"/>
      <c r="D15" s="371" t="str">
        <f ca="1">C181</f>
        <v>Ok</v>
      </c>
    </row>
    <row r="18" spans="2:28" ht="18.75" x14ac:dyDescent="0.3">
      <c r="B18" s="3" t="s">
        <v>423</v>
      </c>
      <c r="C18" s="377"/>
      <c r="D18" s="377"/>
      <c r="E18" s="377"/>
      <c r="F18" s="377"/>
      <c r="G18" s="377"/>
      <c r="H18" s="377"/>
      <c r="I18" s="377"/>
      <c r="J18" s="377"/>
      <c r="K18" s="377"/>
      <c r="L18" s="377"/>
      <c r="M18" s="377"/>
      <c r="N18" s="377"/>
      <c r="O18" s="377"/>
      <c r="P18" s="377"/>
      <c r="Q18" s="377"/>
      <c r="R18" s="377"/>
      <c r="S18" s="377"/>
      <c r="T18" s="377"/>
      <c r="U18" s="377"/>
      <c r="V18" s="377"/>
      <c r="W18" s="377"/>
      <c r="X18" s="377"/>
      <c r="Y18" s="377"/>
      <c r="Z18" s="377"/>
      <c r="AA18" s="377"/>
      <c r="AB18" s="377"/>
    </row>
    <row r="20" spans="2:28" x14ac:dyDescent="0.2">
      <c r="B20" s="59" t="s">
        <v>166</v>
      </c>
      <c r="C20" s="371" t="str" cm="1">
        <f t="array" aca="1" ref="C20" ca="1">_xll.d.TestUtils_And(G25,N25,U25,AB25)</f>
        <v>Ok</v>
      </c>
    </row>
    <row r="21" spans="2:28" x14ac:dyDescent="0.2">
      <c r="G21" s="370"/>
    </row>
    <row r="22" spans="2:28" ht="15.75" x14ac:dyDescent="0.25">
      <c r="B22" s="4" t="s">
        <v>260</v>
      </c>
      <c r="C22" s="378"/>
      <c r="D22" s="378"/>
      <c r="E22" s="378"/>
      <c r="F22" s="378"/>
      <c r="G22" s="378"/>
      <c r="I22" s="4" t="s">
        <v>262</v>
      </c>
      <c r="J22" s="4"/>
      <c r="K22" s="378"/>
      <c r="L22" s="378"/>
      <c r="M22" s="378"/>
      <c r="N22" s="378"/>
      <c r="P22" s="4" t="s">
        <v>263</v>
      </c>
      <c r="Q22" s="378"/>
      <c r="R22" s="378"/>
      <c r="S22" s="378"/>
      <c r="T22" s="378"/>
      <c r="U22" s="378"/>
      <c r="W22" s="4" t="s">
        <v>269</v>
      </c>
      <c r="X22" s="378"/>
      <c r="Y22" s="378"/>
      <c r="Z22" s="378"/>
      <c r="AA22" s="378"/>
      <c r="AB22" s="378"/>
    </row>
    <row r="23" spans="2:28" x14ac:dyDescent="0.2">
      <c r="G23" s="370"/>
    </row>
    <row r="24" spans="2:28" x14ac:dyDescent="0.2">
      <c r="B24" s="136" t="s">
        <v>259</v>
      </c>
      <c r="C24" s="137"/>
      <c r="E24" s="136" t="s">
        <v>140</v>
      </c>
      <c r="F24" s="136" t="s">
        <v>261</v>
      </c>
      <c r="G24" s="136" t="s">
        <v>88</v>
      </c>
      <c r="I24" s="136" t="s">
        <v>259</v>
      </c>
      <c r="J24" s="137"/>
      <c r="L24" s="136" t="s">
        <v>140</v>
      </c>
      <c r="M24" s="136" t="s">
        <v>261</v>
      </c>
      <c r="N24" s="136" t="s">
        <v>88</v>
      </c>
      <c r="P24" s="136" t="s">
        <v>259</v>
      </c>
      <c r="Q24" s="137"/>
      <c r="S24" s="136" t="s">
        <v>140</v>
      </c>
      <c r="T24" s="136" t="s">
        <v>261</v>
      </c>
      <c r="U24" s="136" t="s">
        <v>88</v>
      </c>
      <c r="W24" s="136" t="s">
        <v>259</v>
      </c>
      <c r="X24" s="137"/>
      <c r="Z24" s="136" t="s">
        <v>140</v>
      </c>
      <c r="AA24" s="136" t="s">
        <v>261</v>
      </c>
      <c r="AB24" s="136" t="s">
        <v>88</v>
      </c>
    </row>
    <row r="25" spans="2:28" x14ac:dyDescent="0.2">
      <c r="B25" s="374" t="s">
        <v>35</v>
      </c>
      <c r="C25" s="375">
        <v>44742</v>
      </c>
      <c r="E25" s="379" cm="1">
        <f t="array" aca="1" ref="E25" ca="1">_xll.d.Dates_FolDay(C25,B27:B29)</f>
        <v>44743</v>
      </c>
      <c r="F25" s="380">
        <v>44743</v>
      </c>
      <c r="G25" s="381" t="str" cm="1">
        <f t="array" aca="1" ref="G25" ca="1">_xll.d.TestUtils_Equal(E25,F25)</f>
        <v>Ok</v>
      </c>
      <c r="I25" s="138" t="s">
        <v>35</v>
      </c>
      <c r="J25" s="372">
        <v>44728</v>
      </c>
      <c r="L25" s="379" cm="1">
        <f t="array" aca="1" ref="L25" ca="1">_xll.d.Dates_FolDay(J25,J26)</f>
        <v>44729</v>
      </c>
      <c r="M25" s="380">
        <v>44729</v>
      </c>
      <c r="N25" s="381" t="str" cm="1">
        <f t="array" aca="1" ref="N25" ca="1">_xll.d.TestUtils_Equal(L25,M25)</f>
        <v>Ok</v>
      </c>
      <c r="P25" s="138" t="s">
        <v>35</v>
      </c>
      <c r="Q25" s="372">
        <v>44746</v>
      </c>
      <c r="S25" s="379" cm="1">
        <f t="array" aca="1" ref="S25" ca="1">_xll.d.Dates_FolDay(Q25,Q26)</f>
        <v>44747</v>
      </c>
      <c r="T25" s="380">
        <v>44747</v>
      </c>
      <c r="U25" s="381" t="str" cm="1">
        <f t="array" aca="1" ref="U25" ca="1">_xll.d.TestUtils_Equal(S25,T25)</f>
        <v>Ok</v>
      </c>
      <c r="W25" s="138" t="s">
        <v>35</v>
      </c>
      <c r="X25" s="372">
        <v>44746</v>
      </c>
      <c r="Z25" s="379" t="str" cm="1">
        <f t="array" aca="1" ref="Z25" ca="1">_xll.d.Dates_FolDay(X25,X26)</f>
        <v>#∂Excel Error: Unknown calendar: WRE</v>
      </c>
      <c r="AA25" s="380" t="s">
        <v>271</v>
      </c>
      <c r="AB25" s="381" t="str" cm="1">
        <f t="array" aca="1" ref="AB25" ca="1">_xll.d.TestUtils_Equal(Z25,AA25)</f>
        <v>Ok</v>
      </c>
    </row>
    <row r="26" spans="2:28" x14ac:dyDescent="0.2">
      <c r="G26" s="370"/>
      <c r="I26" s="142" t="s">
        <v>247</v>
      </c>
      <c r="J26" s="143" t="s">
        <v>71</v>
      </c>
      <c r="P26" s="142" t="s">
        <v>247</v>
      </c>
      <c r="Q26" s="143" t="s">
        <v>264</v>
      </c>
      <c r="W26" s="142" t="s">
        <v>247</v>
      </c>
      <c r="X26" s="143" t="s">
        <v>270</v>
      </c>
    </row>
    <row r="27" spans="2:28" x14ac:dyDescent="0.2">
      <c r="B27" s="373" t="s">
        <v>258</v>
      </c>
      <c r="G27" s="370"/>
    </row>
    <row r="28" spans="2:28" x14ac:dyDescent="0.2">
      <c r="B28" s="382">
        <v>44742</v>
      </c>
    </row>
    <row r="29" spans="2:28" x14ac:dyDescent="0.2">
      <c r="B29" s="383">
        <v>44920</v>
      </c>
      <c r="G29" s="370"/>
    </row>
    <row r="30" spans="2:28" x14ac:dyDescent="0.2">
      <c r="G30" s="370"/>
    </row>
    <row r="31" spans="2:28" x14ac:dyDescent="0.2">
      <c r="G31" s="370"/>
    </row>
    <row r="32" spans="2:28" x14ac:dyDescent="0.2">
      <c r="G32" s="370"/>
    </row>
    <row r="33" spans="2:28" ht="18.75" x14ac:dyDescent="0.3">
      <c r="B33" s="3" t="s">
        <v>424</v>
      </c>
      <c r="C33" s="377"/>
      <c r="D33" s="377"/>
      <c r="E33" s="377"/>
      <c r="F33" s="377"/>
      <c r="G33" s="377"/>
      <c r="H33" s="377"/>
      <c r="I33" s="377"/>
      <c r="J33" s="377"/>
      <c r="K33" s="377"/>
      <c r="L33" s="377"/>
      <c r="M33" s="377"/>
      <c r="N33" s="377"/>
      <c r="O33" s="377"/>
      <c r="P33" s="377"/>
      <c r="Q33" s="377"/>
      <c r="R33" s="377"/>
      <c r="S33" s="377"/>
      <c r="T33" s="377"/>
      <c r="U33" s="377"/>
      <c r="V33" s="377"/>
      <c r="W33" s="377"/>
      <c r="X33" s="377"/>
      <c r="Y33" s="377"/>
      <c r="Z33" s="377"/>
      <c r="AA33" s="377"/>
      <c r="AB33" s="377"/>
    </row>
    <row r="35" spans="2:28" x14ac:dyDescent="0.2">
      <c r="B35" s="59" t="s">
        <v>166</v>
      </c>
      <c r="C35" s="371" t="str" cm="1">
        <f t="array" aca="1" ref="C35" ca="1">_xll.d.TestUtils_And(G40,N40,U40,AB40)</f>
        <v>Ok</v>
      </c>
    </row>
    <row r="37" spans="2:28" ht="15.75" x14ac:dyDescent="0.25">
      <c r="B37" s="4" t="s">
        <v>260</v>
      </c>
      <c r="C37" s="378"/>
      <c r="D37" s="378"/>
      <c r="E37" s="378"/>
      <c r="F37" s="378"/>
      <c r="G37" s="378"/>
      <c r="I37" s="4" t="s">
        <v>262</v>
      </c>
      <c r="J37" s="4"/>
      <c r="K37" s="378"/>
      <c r="L37" s="378"/>
      <c r="M37" s="378"/>
      <c r="N37" s="378"/>
      <c r="P37" s="4" t="s">
        <v>263</v>
      </c>
      <c r="Q37" s="378"/>
      <c r="R37" s="378"/>
      <c r="S37" s="378"/>
      <c r="T37" s="378"/>
      <c r="U37" s="378"/>
      <c r="W37" s="4" t="s">
        <v>269</v>
      </c>
      <c r="X37" s="378"/>
      <c r="Y37" s="378"/>
      <c r="Z37" s="378"/>
      <c r="AA37" s="378"/>
      <c r="AB37" s="378"/>
    </row>
    <row r="38" spans="2:28" x14ac:dyDescent="0.2">
      <c r="G38" s="370"/>
    </row>
    <row r="39" spans="2:28" x14ac:dyDescent="0.2">
      <c r="B39" s="136" t="s">
        <v>259</v>
      </c>
      <c r="C39" s="137"/>
      <c r="E39" s="136" t="s">
        <v>140</v>
      </c>
      <c r="F39" s="136" t="s">
        <v>261</v>
      </c>
      <c r="G39" s="136" t="s">
        <v>88</v>
      </c>
      <c r="I39" s="136" t="s">
        <v>259</v>
      </c>
      <c r="J39" s="137"/>
      <c r="L39" s="136" t="s">
        <v>140</v>
      </c>
      <c r="M39" s="136" t="s">
        <v>261</v>
      </c>
      <c r="N39" s="136" t="s">
        <v>88</v>
      </c>
      <c r="P39" s="136" t="s">
        <v>259</v>
      </c>
      <c r="Q39" s="137"/>
      <c r="S39" s="136" t="s">
        <v>140</v>
      </c>
      <c r="T39" s="136" t="s">
        <v>261</v>
      </c>
      <c r="U39" s="136" t="s">
        <v>88</v>
      </c>
      <c r="W39" s="136" t="s">
        <v>259</v>
      </c>
      <c r="X39" s="137"/>
      <c r="Z39" s="136" t="s">
        <v>140</v>
      </c>
      <c r="AA39" s="136" t="s">
        <v>261</v>
      </c>
      <c r="AB39" s="136" t="s">
        <v>88</v>
      </c>
    </row>
    <row r="40" spans="2:28" x14ac:dyDescent="0.2">
      <c r="B40" s="374" t="s">
        <v>35</v>
      </c>
      <c r="C40" s="375">
        <v>44742</v>
      </c>
      <c r="E40" s="379" cm="1">
        <f t="array" aca="1" ref="E40" ca="1">_xll.d.Dates_ModFolDay(C40,B42:B44)</f>
        <v>44741</v>
      </c>
      <c r="F40" s="380">
        <v>44741</v>
      </c>
      <c r="G40" s="381" t="str" cm="1">
        <f t="array" aca="1" ref="G40" ca="1">_xll.d.TestUtils_Equal(E40,F40)</f>
        <v>Ok</v>
      </c>
      <c r="I40" s="138" t="s">
        <v>35</v>
      </c>
      <c r="J40" s="372">
        <v>44728</v>
      </c>
      <c r="L40" s="379" cm="1">
        <f t="array" aca="1" ref="L40" ca="1">_xll.d.Dates_ModFolDay(J40,J41)</f>
        <v>44729</v>
      </c>
      <c r="M40" s="380">
        <v>44729</v>
      </c>
      <c r="N40" s="381" t="str" cm="1">
        <f t="array" aca="1" ref="N40" ca="1">_xll.d.TestUtils_Equal(L40,M40)</f>
        <v>Ok</v>
      </c>
      <c r="P40" s="138" t="s">
        <v>35</v>
      </c>
      <c r="Q40" s="372">
        <v>44746</v>
      </c>
      <c r="S40" s="379" cm="1">
        <f t="array" aca="1" ref="S40" ca="1">_xll.d.Dates_ModFolDay(Q40,Q41)</f>
        <v>44747</v>
      </c>
      <c r="T40" s="380">
        <v>44747</v>
      </c>
      <c r="U40" s="381" t="str" cm="1">
        <f t="array" aca="1" ref="U40" ca="1">_xll.d.TestUtils_Equal(S40,T40)</f>
        <v>Ok</v>
      </c>
      <c r="W40" s="138" t="s">
        <v>35</v>
      </c>
      <c r="X40" s="372">
        <v>44746</v>
      </c>
      <c r="Z40" s="379" t="str" cm="1">
        <f t="array" aca="1" ref="Z40" ca="1">_xll.d.Dates_ModFolDay(X40,X41)</f>
        <v>#∂Excel Error: Unknown calendar: WRE</v>
      </c>
      <c r="AA40" s="380" t="s">
        <v>271</v>
      </c>
      <c r="AB40" s="381" t="str" cm="1">
        <f t="array" aca="1" ref="AB40" ca="1">_xll.d.TestUtils_Equal(Z40,AA40)</f>
        <v>Ok</v>
      </c>
    </row>
    <row r="41" spans="2:28" x14ac:dyDescent="0.2">
      <c r="G41" s="370"/>
      <c r="I41" s="142" t="s">
        <v>247</v>
      </c>
      <c r="J41" s="143" t="s">
        <v>71</v>
      </c>
      <c r="P41" s="142" t="s">
        <v>247</v>
      </c>
      <c r="Q41" s="143" t="s">
        <v>264</v>
      </c>
      <c r="W41" s="142" t="s">
        <v>247</v>
      </c>
      <c r="X41" s="143" t="s">
        <v>270</v>
      </c>
    </row>
    <row r="42" spans="2:28" x14ac:dyDescent="0.2">
      <c r="B42" s="373" t="s">
        <v>258</v>
      </c>
      <c r="G42" s="370"/>
    </row>
    <row r="43" spans="2:28" x14ac:dyDescent="0.2">
      <c r="B43" s="382">
        <v>44742</v>
      </c>
    </row>
    <row r="44" spans="2:28" x14ac:dyDescent="0.2">
      <c r="B44" s="383">
        <v>44920</v>
      </c>
      <c r="G44" s="370"/>
    </row>
    <row r="45" spans="2:28" x14ac:dyDescent="0.2">
      <c r="G45" s="370"/>
    </row>
    <row r="46" spans="2:28" x14ac:dyDescent="0.2">
      <c r="G46" s="370"/>
    </row>
    <row r="47" spans="2:28" x14ac:dyDescent="0.2">
      <c r="G47" s="370"/>
    </row>
    <row r="48" spans="2:28" ht="18.75" x14ac:dyDescent="0.3">
      <c r="B48" s="3" t="s">
        <v>425</v>
      </c>
      <c r="C48" s="377"/>
      <c r="D48" s="377"/>
      <c r="E48" s="377"/>
      <c r="F48" s="377"/>
      <c r="G48" s="377"/>
      <c r="H48" s="377"/>
      <c r="I48" s="377"/>
      <c r="J48" s="377"/>
      <c r="K48" s="377"/>
      <c r="L48" s="377"/>
      <c r="M48" s="377"/>
      <c r="N48" s="377"/>
      <c r="O48" s="377"/>
      <c r="P48" s="377"/>
      <c r="Q48" s="377"/>
      <c r="R48" s="377"/>
      <c r="S48" s="377"/>
      <c r="T48" s="377"/>
      <c r="U48" s="377"/>
      <c r="V48" s="377"/>
      <c r="W48" s="377"/>
      <c r="X48" s="377"/>
      <c r="Y48" s="377"/>
      <c r="Z48" s="377"/>
      <c r="AA48" s="377"/>
      <c r="AB48" s="377"/>
    </row>
    <row r="50" spans="2:28" x14ac:dyDescent="0.2">
      <c r="B50" s="59" t="s">
        <v>166</v>
      </c>
      <c r="C50" s="371" t="str" cm="1">
        <f t="array" aca="1" ref="C50" ca="1">_xll.d.TestUtils_And(G55,N55,U55,AB55)</f>
        <v>Ok</v>
      </c>
    </row>
    <row r="51" spans="2:28" x14ac:dyDescent="0.2">
      <c r="G51" s="370"/>
    </row>
    <row r="52" spans="2:28" ht="15.75" x14ac:dyDescent="0.25">
      <c r="B52" s="4" t="s">
        <v>260</v>
      </c>
      <c r="C52" s="378"/>
      <c r="D52" s="378"/>
      <c r="E52" s="378"/>
      <c r="F52" s="378"/>
      <c r="G52" s="378"/>
      <c r="I52" s="4" t="s">
        <v>262</v>
      </c>
      <c r="J52" s="4"/>
      <c r="K52" s="378"/>
      <c r="L52" s="378"/>
      <c r="M52" s="378"/>
      <c r="N52" s="378"/>
      <c r="P52" s="4" t="s">
        <v>263</v>
      </c>
      <c r="Q52" s="378"/>
      <c r="R52" s="378"/>
      <c r="S52" s="378"/>
      <c r="T52" s="378"/>
      <c r="U52" s="378"/>
      <c r="W52" s="4" t="s">
        <v>269</v>
      </c>
      <c r="X52" s="378"/>
      <c r="Y52" s="378"/>
      <c r="Z52" s="378"/>
      <c r="AA52" s="378"/>
      <c r="AB52" s="378"/>
    </row>
    <row r="53" spans="2:28" x14ac:dyDescent="0.2">
      <c r="G53" s="370"/>
    </row>
    <row r="54" spans="2:28" x14ac:dyDescent="0.2">
      <c r="B54" s="136" t="s">
        <v>259</v>
      </c>
      <c r="C54" s="137"/>
      <c r="E54" s="136" t="s">
        <v>140</v>
      </c>
      <c r="F54" s="136" t="s">
        <v>261</v>
      </c>
      <c r="G54" s="136" t="s">
        <v>88</v>
      </c>
      <c r="I54" s="136" t="s">
        <v>259</v>
      </c>
      <c r="J54" s="137"/>
      <c r="L54" s="136" t="s">
        <v>140</v>
      </c>
      <c r="M54" s="136" t="s">
        <v>261</v>
      </c>
      <c r="N54" s="136" t="s">
        <v>88</v>
      </c>
      <c r="P54" s="136" t="s">
        <v>259</v>
      </c>
      <c r="Q54" s="137"/>
      <c r="S54" s="136" t="s">
        <v>140</v>
      </c>
      <c r="T54" s="136" t="s">
        <v>261</v>
      </c>
      <c r="U54" s="136" t="s">
        <v>88</v>
      </c>
      <c r="W54" s="136" t="s">
        <v>259</v>
      </c>
      <c r="X54" s="137"/>
      <c r="Z54" s="136" t="s">
        <v>140</v>
      </c>
      <c r="AA54" s="136" t="s">
        <v>261</v>
      </c>
      <c r="AB54" s="136" t="s">
        <v>88</v>
      </c>
    </row>
    <row r="55" spans="2:28" x14ac:dyDescent="0.2">
      <c r="B55" s="374" t="s">
        <v>35</v>
      </c>
      <c r="C55" s="375">
        <v>44742</v>
      </c>
      <c r="E55" s="379" cm="1">
        <f t="array" aca="1" ref="E55" ca="1">_xll.d.Dates_PrevDay(C55,B57:B59)</f>
        <v>44741</v>
      </c>
      <c r="F55" s="380">
        <v>44741</v>
      </c>
      <c r="G55" s="381" t="str" cm="1">
        <f t="array" aca="1" ref="G55" ca="1">_xll.d.TestUtils_Equal(E55,F55)</f>
        <v>Ok</v>
      </c>
      <c r="I55" s="138" t="s">
        <v>35</v>
      </c>
      <c r="J55" s="372">
        <v>44728</v>
      </c>
      <c r="L55" s="379" cm="1">
        <f t="array" aca="1" ref="L55" ca="1">_xll.d.Dates_PrevDay(J55,J56)</f>
        <v>44727</v>
      </c>
      <c r="M55" s="380">
        <v>44727</v>
      </c>
      <c r="N55" s="381" t="str" cm="1">
        <f t="array" aca="1" ref="N55" ca="1">_xll.d.TestUtils_Equal(L55,M55)</f>
        <v>Ok</v>
      </c>
      <c r="P55" s="138" t="s">
        <v>35</v>
      </c>
      <c r="Q55" s="372">
        <v>44746</v>
      </c>
      <c r="S55" s="379" cm="1">
        <f t="array" aca="1" ref="S55" ca="1">_xll.d.Dates_PrevDay(Q55,Q56)</f>
        <v>44743</v>
      </c>
      <c r="T55" s="380">
        <v>44743</v>
      </c>
      <c r="U55" s="381" t="str" cm="1">
        <f t="array" aca="1" ref="U55" ca="1">_xll.d.TestUtils_Equal(S55,T55)</f>
        <v>Ok</v>
      </c>
      <c r="W55" s="138" t="s">
        <v>35</v>
      </c>
      <c r="X55" s="372">
        <v>44746</v>
      </c>
      <c r="Z55" s="379" t="str" cm="1">
        <f t="array" aca="1" ref="Z55" ca="1">_xll.d.Dates_PrevDay(X55,X56)</f>
        <v>#∂Excel Error: Unknown calendar: WRE</v>
      </c>
      <c r="AA55" s="380" t="s">
        <v>271</v>
      </c>
      <c r="AB55" s="381" t="str" cm="1">
        <f t="array" aca="1" ref="AB55" ca="1">_xll.d.TestUtils_Equal(Z55,AA55)</f>
        <v>Ok</v>
      </c>
    </row>
    <row r="56" spans="2:28" x14ac:dyDescent="0.2">
      <c r="G56" s="370"/>
      <c r="I56" s="142" t="s">
        <v>247</v>
      </c>
      <c r="J56" s="143" t="s">
        <v>71</v>
      </c>
      <c r="P56" s="142" t="s">
        <v>247</v>
      </c>
      <c r="Q56" s="143" t="s">
        <v>264</v>
      </c>
      <c r="W56" s="142" t="s">
        <v>247</v>
      </c>
      <c r="X56" s="143" t="s">
        <v>270</v>
      </c>
    </row>
    <row r="57" spans="2:28" x14ac:dyDescent="0.2">
      <c r="B57" s="373" t="s">
        <v>258</v>
      </c>
      <c r="G57" s="370"/>
    </row>
    <row r="58" spans="2:28" x14ac:dyDescent="0.2">
      <c r="B58" s="382">
        <v>44742</v>
      </c>
    </row>
    <row r="59" spans="2:28" x14ac:dyDescent="0.2">
      <c r="B59" s="383">
        <v>44920</v>
      </c>
      <c r="G59" s="370"/>
    </row>
    <row r="60" spans="2:28" x14ac:dyDescent="0.2">
      <c r="G60" s="370"/>
    </row>
    <row r="61" spans="2:28" x14ac:dyDescent="0.2">
      <c r="G61" s="370"/>
    </row>
    <row r="62" spans="2:28" x14ac:dyDescent="0.2">
      <c r="G62" s="370"/>
    </row>
    <row r="63" spans="2:28" ht="18.75" x14ac:dyDescent="0.3">
      <c r="B63" s="3" t="s">
        <v>426</v>
      </c>
      <c r="C63" s="377"/>
      <c r="D63" s="377"/>
      <c r="E63" s="377"/>
      <c r="F63" s="377"/>
      <c r="G63" s="377"/>
      <c r="H63" s="377"/>
      <c r="I63" s="377"/>
      <c r="J63" s="377"/>
      <c r="K63" s="377"/>
      <c r="L63" s="377"/>
      <c r="M63" s="377"/>
      <c r="N63" s="377"/>
      <c r="O63" s="377"/>
      <c r="P63" s="377"/>
      <c r="Q63" s="377"/>
      <c r="R63" s="377"/>
      <c r="S63" s="377"/>
      <c r="T63" s="377"/>
      <c r="U63" s="377"/>
      <c r="V63" s="377"/>
      <c r="W63" s="377"/>
      <c r="X63" s="377"/>
      <c r="Y63" s="377"/>
      <c r="Z63" s="377"/>
      <c r="AA63" s="377"/>
      <c r="AB63" s="377"/>
    </row>
    <row r="65" spans="2:28" x14ac:dyDescent="0.2">
      <c r="B65" s="59" t="s">
        <v>166</v>
      </c>
      <c r="C65" s="371" t="str" cm="1">
        <f t="array" aca="1" ref="C65" ca="1">_xll.d.TestUtils_And(G70,N70,U70,AB70)</f>
        <v>Ok</v>
      </c>
    </row>
    <row r="67" spans="2:28" ht="15.75" x14ac:dyDescent="0.25">
      <c r="B67" s="4" t="s">
        <v>267</v>
      </c>
      <c r="C67" s="378"/>
      <c r="D67" s="378"/>
      <c r="E67" s="378"/>
      <c r="F67" s="378"/>
      <c r="G67" s="378"/>
      <c r="I67" s="4" t="s">
        <v>268</v>
      </c>
      <c r="J67" s="378"/>
      <c r="K67" s="378"/>
      <c r="L67" s="378"/>
      <c r="M67" s="378"/>
      <c r="N67" s="378"/>
      <c r="P67" s="4" t="s">
        <v>272</v>
      </c>
      <c r="Q67" s="378"/>
      <c r="R67" s="378"/>
      <c r="S67" s="378"/>
      <c r="T67" s="378"/>
      <c r="U67" s="378"/>
      <c r="W67" s="4" t="s">
        <v>273</v>
      </c>
      <c r="X67" s="378"/>
      <c r="Y67" s="378"/>
      <c r="Z67" s="378"/>
      <c r="AA67" s="378"/>
      <c r="AB67" s="378"/>
    </row>
    <row r="69" spans="2:28" x14ac:dyDescent="0.2">
      <c r="B69" s="136" t="s">
        <v>259</v>
      </c>
      <c r="C69" s="137"/>
      <c r="E69" s="12" t="s">
        <v>140</v>
      </c>
      <c r="F69" s="27" t="s">
        <v>261</v>
      </c>
      <c r="G69" s="137" t="s">
        <v>88</v>
      </c>
      <c r="I69" s="136" t="s">
        <v>259</v>
      </c>
      <c r="J69" s="137"/>
      <c r="L69" s="12" t="s">
        <v>140</v>
      </c>
      <c r="M69" s="27" t="s">
        <v>261</v>
      </c>
      <c r="N69" s="137" t="s">
        <v>88</v>
      </c>
      <c r="P69" s="136" t="s">
        <v>259</v>
      </c>
      <c r="Q69" s="137"/>
      <c r="S69" s="12" t="s">
        <v>140</v>
      </c>
      <c r="T69" s="27" t="s">
        <v>261</v>
      </c>
      <c r="U69" s="137" t="s">
        <v>88</v>
      </c>
      <c r="W69" s="136" t="s">
        <v>259</v>
      </c>
      <c r="X69" s="137"/>
      <c r="Z69" s="12" t="s">
        <v>140</v>
      </c>
      <c r="AA69" s="27" t="s">
        <v>261</v>
      </c>
      <c r="AB69" s="137" t="s">
        <v>88</v>
      </c>
    </row>
    <row r="70" spans="2:28" x14ac:dyDescent="0.2">
      <c r="B70" s="138" t="s">
        <v>35</v>
      </c>
      <c r="C70" s="372">
        <v>44562</v>
      </c>
      <c r="E70" s="379" cm="1">
        <f t="array" aca="1" ref="E70" ca="1">_xll.d.Dates_AddTenorToDate(C70,C71,C72,C73)</f>
        <v>44652</v>
      </c>
      <c r="F70" s="380">
        <v>44652</v>
      </c>
      <c r="G70" s="381" t="str" cm="1">
        <f t="array" aca="1" ref="G70" ca="1">_xll.d.TestUtils_Equal(E70,F70)</f>
        <v>Ok</v>
      </c>
      <c r="I70" s="138" t="s">
        <v>35</v>
      </c>
      <c r="J70" s="372">
        <v>44562</v>
      </c>
      <c r="L70" s="379" cm="1">
        <f t="array" aca="1" ref="L70" ca="1">_xll.d.Dates_AddTenorToDate(J70,J71,J72,J73)</f>
        <v>44652</v>
      </c>
      <c r="M70" s="380">
        <v>44652</v>
      </c>
      <c r="N70" s="381" t="str" cm="1">
        <f t="array" aca="1" ref="N70" ca="1">_xll.d.TestUtils_Equal(L70,M70)</f>
        <v>Ok</v>
      </c>
      <c r="P70" s="138" t="s">
        <v>35</v>
      </c>
      <c r="Q70" s="372">
        <v>44562</v>
      </c>
      <c r="S70" s="379" t="str" cm="1">
        <f t="array" aca="1" ref="S70" ca="1">_xll.d.Dates_AddTenorToDate(Q70,Q71,Q72,Q73)</f>
        <v>#∂Excel Error: Unknown calendar: WRE</v>
      </c>
      <c r="T70" s="380" t="s">
        <v>271</v>
      </c>
      <c r="U70" s="381" t="str" cm="1">
        <f t="array" aca="1" ref="U70" ca="1">_xll.d.TestUtils_Equal(S70,T70)</f>
        <v>Ok</v>
      </c>
      <c r="W70" s="138" t="s">
        <v>35</v>
      </c>
      <c r="X70" s="372">
        <v>44562</v>
      </c>
      <c r="Z70" s="379" t="str" cm="1">
        <f t="array" aca="1" ref="Z70" ca="1">_xll.d.Dates_AddTenorToDate(X70,X71,X72,X73)</f>
        <v>#∂Excel Error: Unknown business day convention: ASD</v>
      </c>
      <c r="AA70" s="380" t="s">
        <v>275</v>
      </c>
      <c r="AB70" s="381" t="str" cm="1">
        <f t="array" aca="1" ref="AB70" ca="1">_xll.d.TestUtils_Equal(Z70,AA70)</f>
        <v>Ok</v>
      </c>
    </row>
    <row r="71" spans="2:28" x14ac:dyDescent="0.2">
      <c r="B71" s="140" t="s">
        <v>24</v>
      </c>
      <c r="C71" s="384" t="s">
        <v>26</v>
      </c>
      <c r="I71" s="140" t="s">
        <v>24</v>
      </c>
      <c r="J71" s="384" t="s">
        <v>26</v>
      </c>
      <c r="P71" s="140" t="s">
        <v>24</v>
      </c>
      <c r="Q71" s="384" t="s">
        <v>26</v>
      </c>
      <c r="W71" s="140" t="s">
        <v>24</v>
      </c>
      <c r="X71" s="384" t="s">
        <v>26</v>
      </c>
    </row>
    <row r="72" spans="2:28" x14ac:dyDescent="0.2">
      <c r="B72" s="140" t="s">
        <v>247</v>
      </c>
      <c r="C72" s="384" t="s">
        <v>71</v>
      </c>
      <c r="I72" s="140" t="s">
        <v>247</v>
      </c>
      <c r="J72" s="384" t="s">
        <v>264</v>
      </c>
      <c r="P72" s="140" t="s">
        <v>247</v>
      </c>
      <c r="Q72" s="384" t="s">
        <v>270</v>
      </c>
      <c r="W72" s="140" t="s">
        <v>247</v>
      </c>
      <c r="X72" s="384" t="s">
        <v>264</v>
      </c>
    </row>
    <row r="73" spans="2:28" x14ac:dyDescent="0.2">
      <c r="B73" s="142" t="s">
        <v>248</v>
      </c>
      <c r="C73" s="143" t="s">
        <v>249</v>
      </c>
      <c r="I73" s="142" t="s">
        <v>248</v>
      </c>
      <c r="J73" s="143" t="s">
        <v>249</v>
      </c>
      <c r="P73" s="142" t="s">
        <v>248</v>
      </c>
      <c r="Q73" s="143" t="s">
        <v>249</v>
      </c>
      <c r="W73" s="142" t="s">
        <v>248</v>
      </c>
      <c r="X73" s="143" t="s">
        <v>274</v>
      </c>
    </row>
    <row r="74" spans="2:28" x14ac:dyDescent="0.2">
      <c r="B74" s="233"/>
    </row>
    <row r="75" spans="2:28" x14ac:dyDescent="0.2">
      <c r="B75" s="233"/>
    </row>
    <row r="77" spans="2:28" ht="18.75" x14ac:dyDescent="0.3">
      <c r="B77" s="3" t="s">
        <v>427</v>
      </c>
      <c r="C77" s="377"/>
      <c r="D77" s="377"/>
      <c r="E77" s="377"/>
      <c r="F77" s="377"/>
      <c r="G77" s="377"/>
      <c r="H77" s="377"/>
      <c r="I77" s="377"/>
      <c r="J77" s="377"/>
      <c r="K77" s="377"/>
      <c r="L77" s="377"/>
      <c r="M77" s="377"/>
      <c r="N77" s="377"/>
      <c r="O77" s="377"/>
      <c r="P77" s="377"/>
      <c r="Q77" s="377"/>
      <c r="R77" s="377"/>
      <c r="S77" s="377"/>
      <c r="T77" s="377"/>
      <c r="U77" s="377"/>
      <c r="V77" s="377"/>
      <c r="W77" s="377"/>
      <c r="X77" s="377"/>
      <c r="Y77" s="377"/>
      <c r="Z77" s="377"/>
      <c r="AA77" s="377"/>
      <c r="AB77" s="377"/>
    </row>
    <row r="79" spans="2:28" x14ac:dyDescent="0.2">
      <c r="B79" s="59" t="s">
        <v>166</v>
      </c>
      <c r="C79" s="371" t="str" cm="1">
        <f t="array" aca="1" ref="C79" ca="1">_xll.d.TestUtils_And(L84:O117)</f>
        <v>Ok</v>
      </c>
    </row>
    <row r="81" spans="2:15" ht="15.75" x14ac:dyDescent="0.25">
      <c r="B81" s="4" t="s">
        <v>114</v>
      </c>
      <c r="C81" s="378"/>
      <c r="D81" s="378"/>
      <c r="E81" s="378"/>
      <c r="F81" s="378"/>
      <c r="G81" s="378"/>
      <c r="H81" s="378"/>
      <c r="I81" s="378"/>
    </row>
    <row r="83" spans="2:15" x14ac:dyDescent="0.2">
      <c r="B83" s="136" t="s">
        <v>140</v>
      </c>
      <c r="C83" s="226"/>
      <c r="D83" s="226"/>
      <c r="E83" s="137"/>
      <c r="G83" s="136" t="s">
        <v>261</v>
      </c>
      <c r="H83" s="226"/>
      <c r="I83" s="226"/>
      <c r="J83" s="137"/>
      <c r="L83" s="136" t="s">
        <v>219</v>
      </c>
      <c r="M83" s="226"/>
      <c r="N83" s="226"/>
      <c r="O83" s="137"/>
    </row>
    <row r="84" spans="2:15" x14ac:dyDescent="0.2">
      <c r="B84" s="134" t="str" cm="1">
        <f t="array" aca="1" ref="B84:E117" ca="1">_xll.d.Dates_GetListOfCalendars()</f>
        <v>Variant 1</v>
      </c>
      <c r="C84" s="339" t="str">
        <f ca="1"/>
        <v>Variant 2</v>
      </c>
      <c r="D84" s="339" t="str">
        <f ca="1"/>
        <v>Variant 3</v>
      </c>
      <c r="E84" s="135" t="str">
        <f ca="1"/>
        <v>Variant 4</v>
      </c>
      <c r="G84" s="134" t="s">
        <v>278</v>
      </c>
      <c r="H84" s="339" t="s">
        <v>279</v>
      </c>
      <c r="I84" s="339" t="s">
        <v>288</v>
      </c>
      <c r="J84" s="135" t="s">
        <v>289</v>
      </c>
      <c r="L84" s="371" t="str" cm="1">
        <f t="array" aca="1" ref="L84" ca="1">_xll.d.TestUtils_Equal(B84,G84)</f>
        <v>Ok</v>
      </c>
      <c r="M84" s="371" t="str" cm="1">
        <f t="array" aca="1" ref="M84" ca="1">_xll.d.TestUtils_Equal(C84,H84)</f>
        <v>Ok</v>
      </c>
      <c r="N84" s="371" t="str" cm="1">
        <f t="array" aca="1" ref="N84" ca="1">_xll.d.TestUtils_Equal(D84,I84)</f>
        <v>Ok</v>
      </c>
      <c r="O84" s="371" t="str" cm="1">
        <f t="array" aca="1" ref="O84" ca="1">_xll.d.TestUtils_Equal(E84,J84)</f>
        <v>Ok</v>
      </c>
    </row>
    <row r="85" spans="2:15" x14ac:dyDescent="0.2">
      <c r="B85" s="138" t="str">
        <f ca="1"/>
        <v>ARS</v>
      </c>
      <c r="C85" s="391" t="str">
        <f ca="1"/>
        <v>Argentina</v>
      </c>
      <c r="D85" s="391" t="str">
        <f ca="1"/>
        <v/>
      </c>
      <c r="E85" s="139" t="str">
        <f ca="1"/>
        <v/>
      </c>
      <c r="G85" s="138" t="s">
        <v>300</v>
      </c>
      <c r="H85" s="391" t="s">
        <v>301</v>
      </c>
      <c r="I85" s="391" t="s">
        <v>292</v>
      </c>
      <c r="J85" s="139" t="s">
        <v>292</v>
      </c>
      <c r="L85" s="371" t="str" cm="1">
        <f t="array" aca="1" ref="L85" ca="1">_xll.d.TestUtils_Equal(B85,G85)</f>
        <v>Ok</v>
      </c>
      <c r="M85" s="371" t="str" cm="1">
        <f t="array" aca="1" ref="M85" ca="1">_xll.d.TestUtils_Equal(C85,H85)</f>
        <v>Ok</v>
      </c>
      <c r="N85" s="371" t="str" cm="1">
        <f t="array" aca="1" ref="N85" ca="1">_xll.d.TestUtils_Equal(D85,I85)</f>
        <v>Ok</v>
      </c>
      <c r="O85" s="371" t="str" cm="1">
        <f t="array" aca="1" ref="O85" ca="1">_xll.d.TestUtils_Equal(E85,J85)</f>
        <v>Ok</v>
      </c>
    </row>
    <row r="86" spans="2:15" x14ac:dyDescent="0.2">
      <c r="B86" s="140" t="str">
        <f ca="1"/>
        <v>AUD</v>
      </c>
      <c r="C86" s="327" t="str">
        <f ca="1"/>
        <v>Australia</v>
      </c>
      <c r="D86" s="327" t="str">
        <f ca="1"/>
        <v/>
      </c>
      <c r="E86" s="141" t="str">
        <f ca="1"/>
        <v/>
      </c>
      <c r="G86" s="140" t="s">
        <v>302</v>
      </c>
      <c r="H86" s="327" t="s">
        <v>303</v>
      </c>
      <c r="I86" s="327" t="s">
        <v>292</v>
      </c>
      <c r="J86" s="141" t="s">
        <v>292</v>
      </c>
      <c r="L86" s="371" t="str" cm="1">
        <f t="array" aca="1" ref="L86" ca="1">_xll.d.TestUtils_Equal(B86,G86)</f>
        <v>Ok</v>
      </c>
      <c r="M86" s="371" t="str" cm="1">
        <f t="array" aca="1" ref="M86" ca="1">_xll.d.TestUtils_Equal(C86,H86)</f>
        <v>Ok</v>
      </c>
      <c r="N86" s="371" t="str" cm="1">
        <f t="array" aca="1" ref="N86" ca="1">_xll.d.TestUtils_Equal(D86,I86)</f>
        <v>Ok</v>
      </c>
      <c r="O86" s="371" t="str" cm="1">
        <f t="array" aca="1" ref="O86" ca="1">_xll.d.TestUtils_Equal(E86,J86)</f>
        <v>Ok</v>
      </c>
    </row>
    <row r="87" spans="2:15" x14ac:dyDescent="0.2">
      <c r="B87" s="140" t="str">
        <f ca="1"/>
        <v>BWP</v>
      </c>
      <c r="C87" s="327" t="str">
        <f ca="1"/>
        <v>Botswana</v>
      </c>
      <c r="D87" s="327" t="str">
        <f ca="1"/>
        <v/>
      </c>
      <c r="E87" s="141" t="str">
        <f ca="1"/>
        <v/>
      </c>
      <c r="G87" s="140" t="s">
        <v>304</v>
      </c>
      <c r="H87" s="327" t="s">
        <v>305</v>
      </c>
      <c r="I87" s="327" t="s">
        <v>292</v>
      </c>
      <c r="J87" s="141" t="s">
        <v>292</v>
      </c>
      <c r="L87" s="371" t="str" cm="1">
        <f t="array" aca="1" ref="L87" ca="1">_xll.d.TestUtils_Equal(B87,G87)</f>
        <v>Ok</v>
      </c>
      <c r="M87" s="371" t="str" cm="1">
        <f t="array" aca="1" ref="M87" ca="1">_xll.d.TestUtils_Equal(C87,H87)</f>
        <v>Ok</v>
      </c>
      <c r="N87" s="371" t="str" cm="1">
        <f t="array" aca="1" ref="N87" ca="1">_xll.d.TestUtils_Equal(D87,I87)</f>
        <v>Ok</v>
      </c>
      <c r="O87" s="371" t="str" cm="1">
        <f t="array" aca="1" ref="O87" ca="1">_xll.d.TestUtils_Equal(E87,J87)</f>
        <v>Ok</v>
      </c>
    </row>
    <row r="88" spans="2:15" x14ac:dyDescent="0.2">
      <c r="B88" s="140" t="str">
        <f ca="1"/>
        <v>BRL</v>
      </c>
      <c r="C88" s="327" t="str">
        <f ca="1"/>
        <v>Brazil</v>
      </c>
      <c r="D88" s="327" t="str">
        <f ca="1"/>
        <v/>
      </c>
      <c r="E88" s="141" t="str">
        <f ca="1"/>
        <v/>
      </c>
      <c r="G88" s="140" t="s">
        <v>306</v>
      </c>
      <c r="H88" s="327" t="s">
        <v>307</v>
      </c>
      <c r="I88" s="327" t="s">
        <v>292</v>
      </c>
      <c r="J88" s="141" t="s">
        <v>292</v>
      </c>
      <c r="L88" s="371" t="str" cm="1">
        <f t="array" aca="1" ref="L88" ca="1">_xll.d.TestUtils_Equal(B88,G88)</f>
        <v>Ok</v>
      </c>
      <c r="M88" s="371" t="str" cm="1">
        <f t="array" aca="1" ref="M88" ca="1">_xll.d.TestUtils_Equal(C88,H88)</f>
        <v>Ok</v>
      </c>
      <c r="N88" s="371" t="str" cm="1">
        <f t="array" aca="1" ref="N88" ca="1">_xll.d.TestUtils_Equal(D88,I88)</f>
        <v>Ok</v>
      </c>
      <c r="O88" s="371" t="str" cm="1">
        <f t="array" aca="1" ref="O88" ca="1">_xll.d.TestUtils_Equal(E88,J88)</f>
        <v>Ok</v>
      </c>
    </row>
    <row r="89" spans="2:15" x14ac:dyDescent="0.2">
      <c r="B89" s="140" t="str">
        <f ca="1"/>
        <v>CAD</v>
      </c>
      <c r="C89" s="327" t="str">
        <f ca="1"/>
        <v>Canada</v>
      </c>
      <c r="D89" s="327" t="str">
        <f ca="1"/>
        <v/>
      </c>
      <c r="E89" s="141" t="str">
        <f ca="1"/>
        <v/>
      </c>
      <c r="G89" s="140" t="s">
        <v>308</v>
      </c>
      <c r="H89" s="327" t="s">
        <v>309</v>
      </c>
      <c r="I89" s="327" t="s">
        <v>292</v>
      </c>
      <c r="J89" s="141" t="s">
        <v>292</v>
      </c>
      <c r="L89" s="371" t="str" cm="1">
        <f t="array" aca="1" ref="L89" ca="1">_xll.d.TestUtils_Equal(B89,G89)</f>
        <v>Ok</v>
      </c>
      <c r="M89" s="371" t="str" cm="1">
        <f t="array" aca="1" ref="M89" ca="1">_xll.d.TestUtils_Equal(C89,H89)</f>
        <v>Ok</v>
      </c>
      <c r="N89" s="371" t="str" cm="1">
        <f t="array" aca="1" ref="N89" ca="1">_xll.d.TestUtils_Equal(D89,I89)</f>
        <v>Ok</v>
      </c>
      <c r="O89" s="371" t="str" cm="1">
        <f t="array" aca="1" ref="O89" ca="1">_xll.d.TestUtils_Equal(E89,J89)</f>
        <v>Ok</v>
      </c>
    </row>
    <row r="90" spans="2:15" x14ac:dyDescent="0.2">
      <c r="B90" s="140" t="str">
        <f ca="1"/>
        <v>CHF</v>
      </c>
      <c r="C90" s="327" t="str">
        <f ca="1"/>
        <v>Switzerland</v>
      </c>
      <c r="D90" s="327" t="str">
        <f ca="1"/>
        <v/>
      </c>
      <c r="E90" s="141" t="str">
        <f ca="1"/>
        <v/>
      </c>
      <c r="G90" s="140" t="s">
        <v>310</v>
      </c>
      <c r="H90" s="327" t="s">
        <v>311</v>
      </c>
      <c r="I90" s="327" t="s">
        <v>292</v>
      </c>
      <c r="J90" s="141" t="s">
        <v>292</v>
      </c>
      <c r="L90" s="371" t="str" cm="1">
        <f t="array" aca="1" ref="L90" ca="1">_xll.d.TestUtils_Equal(B90,G90)</f>
        <v>Ok</v>
      </c>
      <c r="M90" s="371" t="str" cm="1">
        <f t="array" aca="1" ref="M90" ca="1">_xll.d.TestUtils_Equal(C90,H90)</f>
        <v>Ok</v>
      </c>
      <c r="N90" s="371" t="str" cm="1">
        <f t="array" aca="1" ref="N90" ca="1">_xll.d.TestUtils_Equal(D90,I90)</f>
        <v>Ok</v>
      </c>
      <c r="O90" s="371" t="str" cm="1">
        <f t="array" aca="1" ref="O90" ca="1">_xll.d.TestUtils_Equal(E90,J90)</f>
        <v>Ok</v>
      </c>
    </row>
    <row r="91" spans="2:15" x14ac:dyDescent="0.2">
      <c r="B91" s="140" t="str">
        <f ca="1"/>
        <v>CNH</v>
      </c>
      <c r="C91" s="327" t="str">
        <f ca="1"/>
        <v>China</v>
      </c>
      <c r="D91" s="327" t="str">
        <f ca="1"/>
        <v/>
      </c>
      <c r="E91" s="141" t="str">
        <f ca="1"/>
        <v/>
      </c>
      <c r="G91" s="140" t="s">
        <v>312</v>
      </c>
      <c r="H91" s="327" t="s">
        <v>313</v>
      </c>
      <c r="I91" s="327" t="s">
        <v>292</v>
      </c>
      <c r="J91" s="141" t="s">
        <v>292</v>
      </c>
      <c r="L91" s="371" t="str" cm="1">
        <f t="array" aca="1" ref="L91" ca="1">_xll.d.TestUtils_Equal(B91,G91)</f>
        <v>Ok</v>
      </c>
      <c r="M91" s="371" t="str" cm="1">
        <f t="array" aca="1" ref="M91" ca="1">_xll.d.TestUtils_Equal(C91,H91)</f>
        <v>Ok</v>
      </c>
      <c r="N91" s="371" t="str" cm="1">
        <f t="array" aca="1" ref="N91" ca="1">_xll.d.TestUtils_Equal(D91,I91)</f>
        <v>Ok</v>
      </c>
      <c r="O91" s="371" t="str" cm="1">
        <f t="array" aca="1" ref="O91" ca="1">_xll.d.TestUtils_Equal(E91,J91)</f>
        <v>Ok</v>
      </c>
    </row>
    <row r="92" spans="2:15" x14ac:dyDescent="0.2">
      <c r="B92" s="140" t="str">
        <f ca="1"/>
        <v>CZK</v>
      </c>
      <c r="C92" s="327" t="str">
        <f ca="1"/>
        <v>Czech Republic</v>
      </c>
      <c r="D92" s="327" t="str">
        <f ca="1"/>
        <v/>
      </c>
      <c r="E92" s="141" t="str">
        <f ca="1"/>
        <v/>
      </c>
      <c r="G92" s="140" t="s">
        <v>314</v>
      </c>
      <c r="H92" s="327" t="s">
        <v>315</v>
      </c>
      <c r="I92" s="327" t="s">
        <v>292</v>
      </c>
      <c r="J92" s="141" t="s">
        <v>292</v>
      </c>
      <c r="L92" s="371" t="str" cm="1">
        <f t="array" aca="1" ref="L92" ca="1">_xll.d.TestUtils_Equal(B92,G92)</f>
        <v>Ok</v>
      </c>
      <c r="M92" s="371" t="str" cm="1">
        <f t="array" aca="1" ref="M92" ca="1">_xll.d.TestUtils_Equal(C92,H92)</f>
        <v>Ok</v>
      </c>
      <c r="N92" s="371" t="str" cm="1">
        <f t="array" aca="1" ref="N92" ca="1">_xll.d.TestUtils_Equal(D92,I92)</f>
        <v>Ok</v>
      </c>
      <c r="O92" s="371" t="str" cm="1">
        <f t="array" aca="1" ref="O92" ca="1">_xll.d.TestUtils_Equal(E92,J92)</f>
        <v>Ok</v>
      </c>
    </row>
    <row r="93" spans="2:15" x14ac:dyDescent="0.2">
      <c r="B93" s="140" t="str">
        <f ca="1"/>
        <v>DKK</v>
      </c>
      <c r="C93" s="327" t="str">
        <f ca="1"/>
        <v>Denmark</v>
      </c>
      <c r="D93" s="327" t="str">
        <f ca="1"/>
        <v/>
      </c>
      <c r="E93" s="141" t="str">
        <f ca="1"/>
        <v/>
      </c>
      <c r="G93" s="140" t="s">
        <v>316</v>
      </c>
      <c r="H93" s="327" t="s">
        <v>317</v>
      </c>
      <c r="I93" s="327" t="s">
        <v>292</v>
      </c>
      <c r="J93" s="141" t="s">
        <v>292</v>
      </c>
      <c r="L93" s="371" t="str" cm="1">
        <f t="array" aca="1" ref="L93" ca="1">_xll.d.TestUtils_Equal(B93,G93)</f>
        <v>Ok</v>
      </c>
      <c r="M93" s="371" t="str" cm="1">
        <f t="array" aca="1" ref="M93" ca="1">_xll.d.TestUtils_Equal(C93,H93)</f>
        <v>Ok</v>
      </c>
      <c r="N93" s="371" t="str" cm="1">
        <f t="array" aca="1" ref="N93" ca="1">_xll.d.TestUtils_Equal(D93,I93)</f>
        <v>Ok</v>
      </c>
      <c r="O93" s="371" t="str" cm="1">
        <f t="array" aca="1" ref="O93" ca="1">_xll.d.TestUtils_Equal(E93,J93)</f>
        <v>Ok</v>
      </c>
    </row>
    <row r="94" spans="2:15" x14ac:dyDescent="0.2">
      <c r="B94" s="140" t="str">
        <f ca="1"/>
        <v>EUR</v>
      </c>
      <c r="C94" s="327" t="str">
        <f ca="1"/>
        <v>Euro</v>
      </c>
      <c r="D94" s="327" t="str">
        <f ca="1"/>
        <v/>
      </c>
      <c r="E94" s="141" t="str">
        <f ca="1"/>
        <v/>
      </c>
      <c r="G94" s="140" t="s">
        <v>318</v>
      </c>
      <c r="H94" s="327" t="s">
        <v>319</v>
      </c>
      <c r="I94" s="327" t="s">
        <v>292</v>
      </c>
      <c r="J94" s="141" t="s">
        <v>292</v>
      </c>
      <c r="L94" s="371" t="str" cm="1">
        <f t="array" aca="1" ref="L94" ca="1">_xll.d.TestUtils_Equal(B94,G94)</f>
        <v>Ok</v>
      </c>
      <c r="M94" s="371" t="str" cm="1">
        <f t="array" aca="1" ref="M94" ca="1">_xll.d.TestUtils_Equal(C94,H94)</f>
        <v>Ok</v>
      </c>
      <c r="N94" s="371" t="str" cm="1">
        <f t="array" aca="1" ref="N94" ca="1">_xll.d.TestUtils_Equal(D94,I94)</f>
        <v>Ok</v>
      </c>
      <c r="O94" s="371" t="str" cm="1">
        <f t="array" aca="1" ref="O94" ca="1">_xll.d.TestUtils_Equal(E94,J94)</f>
        <v>Ok</v>
      </c>
    </row>
    <row r="95" spans="2:15" x14ac:dyDescent="0.2">
      <c r="B95" s="140" t="str">
        <f ca="1"/>
        <v>GBP</v>
      </c>
      <c r="C95" s="327" t="str">
        <f ca="1"/>
        <v>Great Britain</v>
      </c>
      <c r="D95" s="327" t="str">
        <f ca="1"/>
        <v/>
      </c>
      <c r="E95" s="141" t="str">
        <f ca="1"/>
        <v/>
      </c>
      <c r="G95" s="140" t="s">
        <v>320</v>
      </c>
      <c r="H95" s="327" t="s">
        <v>321</v>
      </c>
      <c r="I95" s="327" t="s">
        <v>292</v>
      </c>
      <c r="J95" s="141" t="s">
        <v>292</v>
      </c>
      <c r="L95" s="371" t="str" cm="1">
        <f t="array" aca="1" ref="L95" ca="1">_xll.d.TestUtils_Equal(B95,G95)</f>
        <v>Ok</v>
      </c>
      <c r="M95" s="371" t="str" cm="1">
        <f t="array" aca="1" ref="M95" ca="1">_xll.d.TestUtils_Equal(C95,H95)</f>
        <v>Ok</v>
      </c>
      <c r="N95" s="371" t="str" cm="1">
        <f t="array" aca="1" ref="N95" ca="1">_xll.d.TestUtils_Equal(D95,I95)</f>
        <v>Ok</v>
      </c>
      <c r="O95" s="371" t="str" cm="1">
        <f t="array" aca="1" ref="O95" ca="1">_xll.d.TestUtils_Equal(E95,J95)</f>
        <v>Ok</v>
      </c>
    </row>
    <row r="96" spans="2:15" x14ac:dyDescent="0.2">
      <c r="B96" s="140" t="str">
        <f ca="1"/>
        <v>Germany</v>
      </c>
      <c r="C96" s="327" t="str">
        <f ca="1"/>
        <v/>
      </c>
      <c r="D96" s="327" t="str">
        <f ca="1"/>
        <v/>
      </c>
      <c r="E96" s="141" t="str">
        <f ca="1"/>
        <v/>
      </c>
      <c r="G96" s="140" t="s">
        <v>322</v>
      </c>
      <c r="H96" s="327" t="s">
        <v>292</v>
      </c>
      <c r="I96" s="327" t="s">
        <v>292</v>
      </c>
      <c r="J96" s="141" t="s">
        <v>292</v>
      </c>
      <c r="L96" s="371" t="str" cm="1">
        <f t="array" aca="1" ref="L96" ca="1">_xll.d.TestUtils_Equal(B96,G96)</f>
        <v>Ok</v>
      </c>
      <c r="M96" s="371" t="str" cm="1">
        <f t="array" aca="1" ref="M96" ca="1">_xll.d.TestUtils_Equal(C96,H96)</f>
        <v>Ok</v>
      </c>
      <c r="N96" s="371" t="str" cm="1">
        <f t="array" aca="1" ref="N96" ca="1">_xll.d.TestUtils_Equal(D96,I96)</f>
        <v>Ok</v>
      </c>
      <c r="O96" s="371" t="str" cm="1">
        <f t="array" aca="1" ref="O96" ca="1">_xll.d.TestUtils_Equal(E96,J96)</f>
        <v>Ok</v>
      </c>
    </row>
    <row r="97" spans="2:15" x14ac:dyDescent="0.2">
      <c r="B97" s="140" t="str">
        <f ca="1"/>
        <v>HUF</v>
      </c>
      <c r="C97" s="327" t="str">
        <f ca="1"/>
        <v>Hungary</v>
      </c>
      <c r="D97" s="327" t="str">
        <f ca="1"/>
        <v/>
      </c>
      <c r="E97" s="141" t="str">
        <f ca="1"/>
        <v/>
      </c>
      <c r="G97" s="140" t="s">
        <v>323</v>
      </c>
      <c r="H97" s="327" t="s">
        <v>324</v>
      </c>
      <c r="I97" s="327" t="s">
        <v>292</v>
      </c>
      <c r="J97" s="141" t="s">
        <v>292</v>
      </c>
      <c r="L97" s="371" t="str" cm="1">
        <f t="array" aca="1" ref="L97" ca="1">_xll.d.TestUtils_Equal(B97,G97)</f>
        <v>Ok</v>
      </c>
      <c r="M97" s="371" t="str" cm="1">
        <f t="array" aca="1" ref="M97" ca="1">_xll.d.TestUtils_Equal(C97,H97)</f>
        <v>Ok</v>
      </c>
      <c r="N97" s="371" t="str" cm="1">
        <f t="array" aca="1" ref="N97" ca="1">_xll.d.TestUtils_Equal(D97,I97)</f>
        <v>Ok</v>
      </c>
      <c r="O97" s="371" t="str" cm="1">
        <f t="array" aca="1" ref="O97" ca="1">_xll.d.TestUtils_Equal(E97,J97)</f>
        <v>Ok</v>
      </c>
    </row>
    <row r="98" spans="2:15" x14ac:dyDescent="0.2">
      <c r="B98" s="140" t="str">
        <f ca="1"/>
        <v>INR</v>
      </c>
      <c r="C98" s="327" t="str">
        <f ca="1"/>
        <v>India</v>
      </c>
      <c r="D98" s="327" t="str">
        <f ca="1"/>
        <v/>
      </c>
      <c r="E98" s="141" t="str">
        <f ca="1"/>
        <v/>
      </c>
      <c r="G98" s="140" t="s">
        <v>325</v>
      </c>
      <c r="H98" s="327" t="s">
        <v>326</v>
      </c>
      <c r="I98" s="327" t="s">
        <v>292</v>
      </c>
      <c r="J98" s="141" t="s">
        <v>292</v>
      </c>
      <c r="L98" s="371" t="str" cm="1">
        <f t="array" aca="1" ref="L98" ca="1">_xll.d.TestUtils_Equal(B98,G98)</f>
        <v>Ok</v>
      </c>
      <c r="M98" s="371" t="str" cm="1">
        <f t="array" aca="1" ref="M98" ca="1">_xll.d.TestUtils_Equal(C98,H98)</f>
        <v>Ok</v>
      </c>
      <c r="N98" s="371" t="str" cm="1">
        <f t="array" aca="1" ref="N98" ca="1">_xll.d.TestUtils_Equal(D98,I98)</f>
        <v>Ok</v>
      </c>
      <c r="O98" s="371" t="str" cm="1">
        <f t="array" aca="1" ref="O98" ca="1">_xll.d.TestUtils_Equal(E98,J98)</f>
        <v>Ok</v>
      </c>
    </row>
    <row r="99" spans="2:15" x14ac:dyDescent="0.2">
      <c r="B99" s="140" t="str">
        <f ca="1"/>
        <v>ILS</v>
      </c>
      <c r="C99" s="327" t="str">
        <f ca="1"/>
        <v>Israel</v>
      </c>
      <c r="D99" s="327" t="str">
        <f ca="1"/>
        <v/>
      </c>
      <c r="E99" s="141" t="str">
        <f ca="1"/>
        <v/>
      </c>
      <c r="G99" s="140" t="s">
        <v>327</v>
      </c>
      <c r="H99" s="327" t="s">
        <v>328</v>
      </c>
      <c r="I99" s="327" t="s">
        <v>292</v>
      </c>
      <c r="J99" s="141" t="s">
        <v>292</v>
      </c>
      <c r="L99" s="371" t="str" cm="1">
        <f t="array" aca="1" ref="L99" ca="1">_xll.d.TestUtils_Equal(B99,G99)</f>
        <v>Ok</v>
      </c>
      <c r="M99" s="371" t="str" cm="1">
        <f t="array" aca="1" ref="M99" ca="1">_xll.d.TestUtils_Equal(C99,H99)</f>
        <v>Ok</v>
      </c>
      <c r="N99" s="371" t="str" cm="1">
        <f t="array" aca="1" ref="N99" ca="1">_xll.d.TestUtils_Equal(D99,I99)</f>
        <v>Ok</v>
      </c>
      <c r="O99" s="371" t="str" cm="1">
        <f t="array" aca="1" ref="O99" ca="1">_xll.d.TestUtils_Equal(E99,J99)</f>
        <v>Ok</v>
      </c>
    </row>
    <row r="100" spans="2:15" x14ac:dyDescent="0.2">
      <c r="B100" s="140" t="str">
        <f ca="1"/>
        <v>Italy</v>
      </c>
      <c r="C100" s="327" t="str">
        <f ca="1"/>
        <v/>
      </c>
      <c r="D100" s="327" t="str">
        <f ca="1"/>
        <v/>
      </c>
      <c r="E100" s="141" t="str">
        <f ca="1"/>
        <v/>
      </c>
      <c r="G100" s="140" t="s">
        <v>329</v>
      </c>
      <c r="H100" s="327" t="s">
        <v>292</v>
      </c>
      <c r="I100" s="327" t="s">
        <v>292</v>
      </c>
      <c r="J100" s="141" t="s">
        <v>292</v>
      </c>
      <c r="L100" s="371" t="str" cm="1">
        <f t="array" aca="1" ref="L100" ca="1">_xll.d.TestUtils_Equal(B100,G100)</f>
        <v>Ok</v>
      </c>
      <c r="M100" s="371" t="str" cm="1">
        <f t="array" aca="1" ref="M100" ca="1">_xll.d.TestUtils_Equal(C100,H100)</f>
        <v>Ok</v>
      </c>
      <c r="N100" s="371" t="str" cm="1">
        <f t="array" aca="1" ref="N100" ca="1">_xll.d.TestUtils_Equal(D100,I100)</f>
        <v>Ok</v>
      </c>
      <c r="O100" s="371" t="str" cm="1">
        <f t="array" aca="1" ref="O100" ca="1">_xll.d.TestUtils_Equal(E100,J100)</f>
        <v>Ok</v>
      </c>
    </row>
    <row r="101" spans="2:15" x14ac:dyDescent="0.2">
      <c r="B101" s="140" t="str">
        <f ca="1"/>
        <v>JPY</v>
      </c>
      <c r="C101" s="327" t="str">
        <f ca="1"/>
        <v>Japan</v>
      </c>
      <c r="D101" s="327" t="str">
        <f ca="1"/>
        <v/>
      </c>
      <c r="E101" s="141" t="str">
        <f ca="1"/>
        <v/>
      </c>
      <c r="G101" s="140" t="s">
        <v>330</v>
      </c>
      <c r="H101" s="327" t="s">
        <v>331</v>
      </c>
      <c r="I101" s="327" t="s">
        <v>292</v>
      </c>
      <c r="J101" s="141" t="s">
        <v>292</v>
      </c>
      <c r="L101" s="371" t="str" cm="1">
        <f t="array" aca="1" ref="L101" ca="1">_xll.d.TestUtils_Equal(B101,G101)</f>
        <v>Ok</v>
      </c>
      <c r="M101" s="371" t="str" cm="1">
        <f t="array" aca="1" ref="M101" ca="1">_xll.d.TestUtils_Equal(C101,H101)</f>
        <v>Ok</v>
      </c>
      <c r="N101" s="371" t="str" cm="1">
        <f t="array" aca="1" ref="N101" ca="1">_xll.d.TestUtils_Equal(D101,I101)</f>
        <v>Ok</v>
      </c>
      <c r="O101" s="371" t="str" cm="1">
        <f t="array" aca="1" ref="O101" ca="1">_xll.d.TestUtils_Equal(E101,J101)</f>
        <v>Ok</v>
      </c>
    </row>
    <row r="102" spans="2:15" x14ac:dyDescent="0.2">
      <c r="B102" s="140" t="str">
        <f ca="1"/>
        <v>KRW</v>
      </c>
      <c r="C102" s="327" t="str">
        <f ca="1"/>
        <v>South Korea</v>
      </c>
      <c r="D102" s="327" t="str">
        <f ca="1"/>
        <v/>
      </c>
      <c r="E102" s="141" t="str">
        <f ca="1"/>
        <v/>
      </c>
      <c r="G102" s="140" t="s">
        <v>332</v>
      </c>
      <c r="H102" s="327" t="s">
        <v>333</v>
      </c>
      <c r="I102" s="327" t="s">
        <v>292</v>
      </c>
      <c r="J102" s="141" t="s">
        <v>292</v>
      </c>
      <c r="L102" s="371" t="str" cm="1">
        <f t="array" aca="1" ref="L102" ca="1">_xll.d.TestUtils_Equal(B102,G102)</f>
        <v>Ok</v>
      </c>
      <c r="M102" s="371" t="str" cm="1">
        <f t="array" aca="1" ref="M102" ca="1">_xll.d.TestUtils_Equal(C102,H102)</f>
        <v>Ok</v>
      </c>
      <c r="N102" s="371" t="str" cm="1">
        <f t="array" aca="1" ref="N102" ca="1">_xll.d.TestUtils_Equal(D102,I102)</f>
        <v>Ok</v>
      </c>
      <c r="O102" s="371" t="str" cm="1">
        <f t="array" aca="1" ref="O102" ca="1">_xll.d.TestUtils_Equal(E102,J102)</f>
        <v>Ok</v>
      </c>
    </row>
    <row r="103" spans="2:15" x14ac:dyDescent="0.2">
      <c r="B103" s="140" t="str">
        <f ca="1"/>
        <v>MXN</v>
      </c>
      <c r="C103" s="327" t="str">
        <f ca="1"/>
        <v>Mexico</v>
      </c>
      <c r="D103" s="327" t="str">
        <f ca="1"/>
        <v/>
      </c>
      <c r="E103" s="141" t="str">
        <f ca="1"/>
        <v/>
      </c>
      <c r="G103" s="140" t="s">
        <v>334</v>
      </c>
      <c r="H103" s="327" t="s">
        <v>335</v>
      </c>
      <c r="I103" s="327" t="s">
        <v>292</v>
      </c>
      <c r="J103" s="141" t="s">
        <v>292</v>
      </c>
      <c r="L103" s="371" t="str" cm="1">
        <f t="array" aca="1" ref="L103" ca="1">_xll.d.TestUtils_Equal(B103,G103)</f>
        <v>Ok</v>
      </c>
      <c r="M103" s="371" t="str" cm="1">
        <f t="array" aca="1" ref="M103" ca="1">_xll.d.TestUtils_Equal(C103,H103)</f>
        <v>Ok</v>
      </c>
      <c r="N103" s="371" t="str" cm="1">
        <f t="array" aca="1" ref="N103" ca="1">_xll.d.TestUtils_Equal(D103,I103)</f>
        <v>Ok</v>
      </c>
      <c r="O103" s="371" t="str" cm="1">
        <f t="array" aca="1" ref="O103" ca="1">_xll.d.TestUtils_Equal(E103,J103)</f>
        <v>Ok</v>
      </c>
    </row>
    <row r="104" spans="2:15" x14ac:dyDescent="0.2">
      <c r="B104" s="140" t="str">
        <f ca="1"/>
        <v>NOK</v>
      </c>
      <c r="C104" s="327" t="str">
        <f ca="1"/>
        <v>Norway</v>
      </c>
      <c r="D104" s="327" t="str">
        <f ca="1"/>
        <v/>
      </c>
      <c r="E104" s="141" t="str">
        <f ca="1"/>
        <v/>
      </c>
      <c r="G104" s="140" t="s">
        <v>336</v>
      </c>
      <c r="H104" s="327" t="s">
        <v>337</v>
      </c>
      <c r="I104" s="327" t="s">
        <v>292</v>
      </c>
      <c r="J104" s="141" t="s">
        <v>292</v>
      </c>
      <c r="L104" s="371" t="str" cm="1">
        <f t="array" aca="1" ref="L104" ca="1">_xll.d.TestUtils_Equal(B104,G104)</f>
        <v>Ok</v>
      </c>
      <c r="M104" s="371" t="str" cm="1">
        <f t="array" aca="1" ref="M104" ca="1">_xll.d.TestUtils_Equal(C104,H104)</f>
        <v>Ok</v>
      </c>
      <c r="N104" s="371" t="str" cm="1">
        <f t="array" aca="1" ref="N104" ca="1">_xll.d.TestUtils_Equal(D104,I104)</f>
        <v>Ok</v>
      </c>
      <c r="O104" s="371" t="str" cm="1">
        <f t="array" aca="1" ref="O104" ca="1">_xll.d.TestUtils_Equal(E104,J104)</f>
        <v>Ok</v>
      </c>
    </row>
    <row r="105" spans="2:15" x14ac:dyDescent="0.2">
      <c r="B105" s="140" t="str">
        <f ca="1"/>
        <v>NZD</v>
      </c>
      <c r="C105" s="327" t="str">
        <f ca="1"/>
        <v>New Zealand</v>
      </c>
      <c r="D105" s="327" t="str">
        <f ca="1"/>
        <v/>
      </c>
      <c r="E105" s="141" t="str">
        <f ca="1"/>
        <v/>
      </c>
      <c r="G105" s="140" t="s">
        <v>338</v>
      </c>
      <c r="H105" s="327" t="s">
        <v>339</v>
      </c>
      <c r="I105" s="327" t="s">
        <v>292</v>
      </c>
      <c r="J105" s="141" t="s">
        <v>292</v>
      </c>
      <c r="L105" s="371" t="str" cm="1">
        <f t="array" aca="1" ref="L105" ca="1">_xll.d.TestUtils_Equal(B105,G105)</f>
        <v>Ok</v>
      </c>
      <c r="M105" s="371" t="str" cm="1">
        <f t="array" aca="1" ref="M105" ca="1">_xll.d.TestUtils_Equal(C105,H105)</f>
        <v>Ok</v>
      </c>
      <c r="N105" s="371" t="str" cm="1">
        <f t="array" aca="1" ref="N105" ca="1">_xll.d.TestUtils_Equal(D105,I105)</f>
        <v>Ok</v>
      </c>
      <c r="O105" s="371" t="str" cm="1">
        <f t="array" aca="1" ref="O105" ca="1">_xll.d.TestUtils_Equal(E105,J105)</f>
        <v>Ok</v>
      </c>
    </row>
    <row r="106" spans="2:15" x14ac:dyDescent="0.2">
      <c r="B106" s="140" t="str">
        <f ca="1"/>
        <v>PLN</v>
      </c>
      <c r="C106" s="327" t="str">
        <f ca="1"/>
        <v>Poland</v>
      </c>
      <c r="D106" s="327" t="str">
        <f ca="1"/>
        <v/>
      </c>
      <c r="E106" s="141" t="str">
        <f ca="1"/>
        <v/>
      </c>
      <c r="G106" s="140" t="s">
        <v>340</v>
      </c>
      <c r="H106" s="327" t="s">
        <v>341</v>
      </c>
      <c r="I106" s="327" t="s">
        <v>292</v>
      </c>
      <c r="J106" s="141" t="s">
        <v>292</v>
      </c>
      <c r="L106" s="371" t="str" cm="1">
        <f t="array" aca="1" ref="L106" ca="1">_xll.d.TestUtils_Equal(B106,G106)</f>
        <v>Ok</v>
      </c>
      <c r="M106" s="371" t="str" cm="1">
        <f t="array" aca="1" ref="M106" ca="1">_xll.d.TestUtils_Equal(C106,H106)</f>
        <v>Ok</v>
      </c>
      <c r="N106" s="371" t="str" cm="1">
        <f t="array" aca="1" ref="N106" ca="1">_xll.d.TestUtils_Equal(D106,I106)</f>
        <v>Ok</v>
      </c>
      <c r="O106" s="371" t="str" cm="1">
        <f t="array" aca="1" ref="O106" ca="1">_xll.d.TestUtils_Equal(E106,J106)</f>
        <v>Ok</v>
      </c>
    </row>
    <row r="107" spans="2:15" x14ac:dyDescent="0.2">
      <c r="B107" s="140" t="str">
        <f ca="1"/>
        <v>RON</v>
      </c>
      <c r="C107" s="327" t="str">
        <f ca="1"/>
        <v>Romania</v>
      </c>
      <c r="D107" s="327" t="str">
        <f ca="1"/>
        <v/>
      </c>
      <c r="E107" s="141" t="str">
        <f ca="1"/>
        <v/>
      </c>
      <c r="G107" s="140" t="s">
        <v>342</v>
      </c>
      <c r="H107" s="327" t="s">
        <v>343</v>
      </c>
      <c r="I107" s="327" t="s">
        <v>292</v>
      </c>
      <c r="J107" s="141" t="s">
        <v>292</v>
      </c>
      <c r="L107" s="371" t="str" cm="1">
        <f t="array" aca="1" ref="L107" ca="1">_xll.d.TestUtils_Equal(B107,G107)</f>
        <v>Ok</v>
      </c>
      <c r="M107" s="371" t="str" cm="1">
        <f t="array" aca="1" ref="M107" ca="1">_xll.d.TestUtils_Equal(C107,H107)</f>
        <v>Ok</v>
      </c>
      <c r="N107" s="371" t="str" cm="1">
        <f t="array" aca="1" ref="N107" ca="1">_xll.d.TestUtils_Equal(D107,I107)</f>
        <v>Ok</v>
      </c>
      <c r="O107" s="371" t="str" cm="1">
        <f t="array" aca="1" ref="O107" ca="1">_xll.d.TestUtils_Equal(E107,J107)</f>
        <v>Ok</v>
      </c>
    </row>
    <row r="108" spans="2:15" x14ac:dyDescent="0.2">
      <c r="B108" s="140" t="str">
        <f ca="1"/>
        <v>RUB</v>
      </c>
      <c r="C108" s="327" t="str">
        <f ca="1"/>
        <v>Russia</v>
      </c>
      <c r="D108" s="327" t="str">
        <f ca="1"/>
        <v/>
      </c>
      <c r="E108" s="141" t="str">
        <f ca="1"/>
        <v/>
      </c>
      <c r="G108" s="140" t="s">
        <v>344</v>
      </c>
      <c r="H108" s="327" t="s">
        <v>345</v>
      </c>
      <c r="I108" s="327" t="s">
        <v>292</v>
      </c>
      <c r="J108" s="141" t="s">
        <v>292</v>
      </c>
      <c r="L108" s="371" t="str" cm="1">
        <f t="array" aca="1" ref="L108" ca="1">_xll.d.TestUtils_Equal(B108,G108)</f>
        <v>Ok</v>
      </c>
      <c r="M108" s="371" t="str" cm="1">
        <f t="array" aca="1" ref="M108" ca="1">_xll.d.TestUtils_Equal(C108,H108)</f>
        <v>Ok</v>
      </c>
      <c r="N108" s="371" t="str" cm="1">
        <f t="array" aca="1" ref="N108" ca="1">_xll.d.TestUtils_Equal(D108,I108)</f>
        <v>Ok</v>
      </c>
      <c r="O108" s="371" t="str" cm="1">
        <f t="array" aca="1" ref="O108" ca="1">_xll.d.TestUtils_Equal(E108,J108)</f>
        <v>Ok</v>
      </c>
    </row>
    <row r="109" spans="2:15" x14ac:dyDescent="0.2">
      <c r="B109" s="140" t="str">
        <f ca="1"/>
        <v>SGD</v>
      </c>
      <c r="C109" s="327" t="str">
        <f ca="1"/>
        <v>Singapore</v>
      </c>
      <c r="D109" s="327" t="str">
        <f ca="1"/>
        <v/>
      </c>
      <c r="E109" s="141" t="str">
        <f ca="1"/>
        <v/>
      </c>
      <c r="G109" s="140" t="s">
        <v>346</v>
      </c>
      <c r="H109" s="327" t="s">
        <v>347</v>
      </c>
      <c r="I109" s="327" t="s">
        <v>292</v>
      </c>
      <c r="J109" s="141" t="s">
        <v>292</v>
      </c>
      <c r="L109" s="371" t="str" cm="1">
        <f t="array" aca="1" ref="L109" ca="1">_xll.d.TestUtils_Equal(B109,G109)</f>
        <v>Ok</v>
      </c>
      <c r="M109" s="371" t="str" cm="1">
        <f t="array" aca="1" ref="M109" ca="1">_xll.d.TestUtils_Equal(C109,H109)</f>
        <v>Ok</v>
      </c>
      <c r="N109" s="371" t="str" cm="1">
        <f t="array" aca="1" ref="N109" ca="1">_xll.d.TestUtils_Equal(D109,I109)</f>
        <v>Ok</v>
      </c>
      <c r="O109" s="371" t="str" cm="1">
        <f t="array" aca="1" ref="O109" ca="1">_xll.d.TestUtils_Equal(E109,J109)</f>
        <v>Ok</v>
      </c>
    </row>
    <row r="110" spans="2:15" x14ac:dyDescent="0.2">
      <c r="B110" s="140" t="str">
        <f ca="1"/>
        <v>SKK</v>
      </c>
      <c r="C110" s="327" t="str">
        <f ca="1"/>
        <v>Sweden</v>
      </c>
      <c r="D110" s="327" t="str">
        <f ca="1"/>
        <v/>
      </c>
      <c r="E110" s="141" t="str">
        <f ca="1"/>
        <v/>
      </c>
      <c r="G110" s="140" t="s">
        <v>348</v>
      </c>
      <c r="H110" s="327" t="s">
        <v>349</v>
      </c>
      <c r="I110" s="327" t="s">
        <v>292</v>
      </c>
      <c r="J110" s="141" t="s">
        <v>292</v>
      </c>
      <c r="L110" s="371" t="str" cm="1">
        <f t="array" aca="1" ref="L110" ca="1">_xll.d.TestUtils_Equal(B110,G110)</f>
        <v>Ok</v>
      </c>
      <c r="M110" s="371" t="str" cm="1">
        <f t="array" aca="1" ref="M110" ca="1">_xll.d.TestUtils_Equal(C110,H110)</f>
        <v>Ok</v>
      </c>
      <c r="N110" s="371" t="str" cm="1">
        <f t="array" aca="1" ref="N110" ca="1">_xll.d.TestUtils_Equal(D110,I110)</f>
        <v>Ok</v>
      </c>
      <c r="O110" s="371" t="str" cm="1">
        <f t="array" aca="1" ref="O110" ca="1">_xll.d.TestUtils_Equal(E110,J110)</f>
        <v>Ok</v>
      </c>
    </row>
    <row r="111" spans="2:15" x14ac:dyDescent="0.2">
      <c r="B111" s="140" t="str">
        <f ca="1"/>
        <v>SLOVAKIA</v>
      </c>
      <c r="C111" s="327" t="str">
        <f ca="1"/>
        <v/>
      </c>
      <c r="D111" s="327" t="str">
        <f ca="1"/>
        <v/>
      </c>
      <c r="E111" s="141" t="str">
        <f ca="1"/>
        <v/>
      </c>
      <c r="G111" s="140" t="s">
        <v>350</v>
      </c>
      <c r="H111" s="327" t="s">
        <v>292</v>
      </c>
      <c r="I111" s="327" t="s">
        <v>292</v>
      </c>
      <c r="J111" s="141" t="s">
        <v>292</v>
      </c>
      <c r="L111" s="371" t="str" cm="1">
        <f t="array" aca="1" ref="L111" ca="1">_xll.d.TestUtils_Equal(B111,G111)</f>
        <v>Ok</v>
      </c>
      <c r="M111" s="371" t="str" cm="1">
        <f t="array" aca="1" ref="M111" ca="1">_xll.d.TestUtils_Equal(C111,H111)</f>
        <v>Ok</v>
      </c>
      <c r="N111" s="371" t="str" cm="1">
        <f t="array" aca="1" ref="N111" ca="1">_xll.d.TestUtils_Equal(D111,I111)</f>
        <v>Ok</v>
      </c>
      <c r="O111" s="371" t="str" cm="1">
        <f t="array" aca="1" ref="O111" ca="1">_xll.d.TestUtils_Equal(E111,J111)</f>
        <v>Ok</v>
      </c>
    </row>
    <row r="112" spans="2:15" x14ac:dyDescent="0.2">
      <c r="B112" s="140" t="str">
        <f ca="1"/>
        <v>THB</v>
      </c>
      <c r="C112" s="327" t="str">
        <f ca="1"/>
        <v>Thailand</v>
      </c>
      <c r="D112" s="327" t="str">
        <f ca="1"/>
        <v/>
      </c>
      <c r="E112" s="141" t="str">
        <f ca="1"/>
        <v/>
      </c>
      <c r="G112" s="140" t="s">
        <v>351</v>
      </c>
      <c r="H112" s="327" t="s">
        <v>352</v>
      </c>
      <c r="I112" s="327" t="s">
        <v>292</v>
      </c>
      <c r="J112" s="141" t="s">
        <v>292</v>
      </c>
      <c r="L112" s="371" t="str" cm="1">
        <f t="array" aca="1" ref="L112" ca="1">_xll.d.TestUtils_Equal(B112,G112)</f>
        <v>Ok</v>
      </c>
      <c r="M112" s="371" t="str" cm="1">
        <f t="array" aca="1" ref="M112" ca="1">_xll.d.TestUtils_Equal(C112,H112)</f>
        <v>Ok</v>
      </c>
      <c r="N112" s="371" t="str" cm="1">
        <f t="array" aca="1" ref="N112" ca="1">_xll.d.TestUtils_Equal(D112,I112)</f>
        <v>Ok</v>
      </c>
      <c r="O112" s="371" t="str" cm="1">
        <f t="array" aca="1" ref="O112" ca="1">_xll.d.TestUtils_Equal(E112,J112)</f>
        <v>Ok</v>
      </c>
    </row>
    <row r="113" spans="2:28" x14ac:dyDescent="0.2">
      <c r="B113" s="140" t="str">
        <f ca="1"/>
        <v>TRY</v>
      </c>
      <c r="C113" s="327" t="str">
        <f ca="1"/>
        <v>Turkey</v>
      </c>
      <c r="D113" s="327" t="str">
        <f ca="1"/>
        <v/>
      </c>
      <c r="E113" s="141" t="str">
        <f ca="1"/>
        <v/>
      </c>
      <c r="G113" s="140" t="s">
        <v>353</v>
      </c>
      <c r="H113" s="327" t="s">
        <v>354</v>
      </c>
      <c r="I113" s="327" t="s">
        <v>292</v>
      </c>
      <c r="J113" s="141" t="s">
        <v>292</v>
      </c>
      <c r="L113" s="371" t="str" cm="1">
        <f t="array" aca="1" ref="L113" ca="1">_xll.d.TestUtils_Equal(B113,G113)</f>
        <v>Ok</v>
      </c>
      <c r="M113" s="371" t="str" cm="1">
        <f t="array" aca="1" ref="M113" ca="1">_xll.d.TestUtils_Equal(C113,H113)</f>
        <v>Ok</v>
      </c>
      <c r="N113" s="371" t="str" cm="1">
        <f t="array" aca="1" ref="N113" ca="1">_xll.d.TestUtils_Equal(D113,I113)</f>
        <v>Ok</v>
      </c>
      <c r="O113" s="371" t="str" cm="1">
        <f t="array" aca="1" ref="O113" ca="1">_xll.d.TestUtils_Equal(E113,J113)</f>
        <v>Ok</v>
      </c>
    </row>
    <row r="114" spans="2:28" x14ac:dyDescent="0.2">
      <c r="B114" s="140" t="str">
        <f ca="1"/>
        <v>TWD</v>
      </c>
      <c r="C114" s="327" t="str">
        <f ca="1"/>
        <v>Taiwan</v>
      </c>
      <c r="D114" s="327" t="str">
        <f ca="1"/>
        <v/>
      </c>
      <c r="E114" s="141" t="str">
        <f ca="1"/>
        <v/>
      </c>
      <c r="G114" s="140" t="s">
        <v>355</v>
      </c>
      <c r="H114" s="327" t="s">
        <v>356</v>
      </c>
      <c r="I114" s="327" t="s">
        <v>292</v>
      </c>
      <c r="J114" s="141" t="s">
        <v>292</v>
      </c>
      <c r="L114" s="371" t="str" cm="1">
        <f t="array" aca="1" ref="L114" ca="1">_xll.d.TestUtils_Equal(B114,G114)</f>
        <v>Ok</v>
      </c>
      <c r="M114" s="371" t="str" cm="1">
        <f t="array" aca="1" ref="M114" ca="1">_xll.d.TestUtils_Equal(C114,H114)</f>
        <v>Ok</v>
      </c>
      <c r="N114" s="371" t="str" cm="1">
        <f t="array" aca="1" ref="N114" ca="1">_xll.d.TestUtils_Equal(D114,I114)</f>
        <v>Ok</v>
      </c>
      <c r="O114" s="371" t="str" cm="1">
        <f t="array" aca="1" ref="O114" ca="1">_xll.d.TestUtils_Equal(E114,J114)</f>
        <v>Ok</v>
      </c>
    </row>
    <row r="115" spans="2:28" x14ac:dyDescent="0.2">
      <c r="B115" s="140" t="str">
        <f ca="1"/>
        <v>UAH</v>
      </c>
      <c r="C115" s="327" t="str">
        <f ca="1"/>
        <v>Ukraine</v>
      </c>
      <c r="D115" s="327" t="str">
        <f ca="1"/>
        <v/>
      </c>
      <c r="E115" s="141" t="str">
        <f ca="1"/>
        <v/>
      </c>
      <c r="G115" s="140" t="s">
        <v>357</v>
      </c>
      <c r="H115" s="327" t="s">
        <v>358</v>
      </c>
      <c r="I115" s="327" t="s">
        <v>292</v>
      </c>
      <c r="J115" s="141" t="s">
        <v>292</v>
      </c>
      <c r="L115" s="371" t="str" cm="1">
        <f t="array" aca="1" ref="L115" ca="1">_xll.d.TestUtils_Equal(B115,G115)</f>
        <v>Ok</v>
      </c>
      <c r="M115" s="371" t="str" cm="1">
        <f t="array" aca="1" ref="M115" ca="1">_xll.d.TestUtils_Equal(C115,H115)</f>
        <v>Ok</v>
      </c>
      <c r="N115" s="371" t="str" cm="1">
        <f t="array" aca="1" ref="N115" ca="1">_xll.d.TestUtils_Equal(D115,I115)</f>
        <v>Ok</v>
      </c>
      <c r="O115" s="371" t="str" cm="1">
        <f t="array" aca="1" ref="O115" ca="1">_xll.d.TestUtils_Equal(E115,J115)</f>
        <v>Ok</v>
      </c>
    </row>
    <row r="116" spans="2:28" x14ac:dyDescent="0.2">
      <c r="B116" s="140" t="str">
        <f ca="1"/>
        <v>USD</v>
      </c>
      <c r="C116" s="327" t="str">
        <f ca="1"/>
        <v>USA</v>
      </c>
      <c r="D116" s="327" t="str">
        <f ca="1"/>
        <v>United States</v>
      </c>
      <c r="E116" s="141" t="str">
        <f ca="1"/>
        <v>United States of America</v>
      </c>
      <c r="G116" s="140" t="s">
        <v>359</v>
      </c>
      <c r="H116" s="327" t="s">
        <v>360</v>
      </c>
      <c r="I116" s="327" t="s">
        <v>361</v>
      </c>
      <c r="J116" s="141" t="s">
        <v>362</v>
      </c>
      <c r="L116" s="371" t="str" cm="1">
        <f t="array" aca="1" ref="L116" ca="1">_xll.d.TestUtils_Equal(B116,G116)</f>
        <v>Ok</v>
      </c>
      <c r="M116" s="371" t="str" cm="1">
        <f t="array" aca="1" ref="M116" ca="1">_xll.d.TestUtils_Equal(C116,H116)</f>
        <v>Ok</v>
      </c>
      <c r="N116" s="371" t="str" cm="1">
        <f t="array" aca="1" ref="N116" ca="1">_xll.d.TestUtils_Equal(D116,I116)</f>
        <v>Ok</v>
      </c>
      <c r="O116" s="371" t="str" cm="1">
        <f t="array" aca="1" ref="O116" ca="1">_xll.d.TestUtils_Equal(E116,J116)</f>
        <v>Ok</v>
      </c>
    </row>
    <row r="117" spans="2:28" x14ac:dyDescent="0.2">
      <c r="B117" s="142" t="str">
        <f ca="1"/>
        <v>ZAR</v>
      </c>
      <c r="C117" s="225" t="str">
        <f ca="1"/>
        <v>South Africa</v>
      </c>
      <c r="D117" s="225" t="str">
        <f ca="1"/>
        <v/>
      </c>
      <c r="E117" s="143" t="str">
        <f ca="1"/>
        <v/>
      </c>
      <c r="G117" s="142" t="s">
        <v>71</v>
      </c>
      <c r="H117" s="225" t="s">
        <v>363</v>
      </c>
      <c r="I117" s="225" t="s">
        <v>292</v>
      </c>
      <c r="J117" s="143" t="s">
        <v>292</v>
      </c>
      <c r="L117" s="371" t="str" cm="1">
        <f t="array" aca="1" ref="L117" ca="1">_xll.d.TestUtils_Equal(B117,G117)</f>
        <v>Ok</v>
      </c>
      <c r="M117" s="371" t="str" cm="1">
        <f t="array" aca="1" ref="M117" ca="1">_xll.d.TestUtils_Equal(C117,H117)</f>
        <v>Ok</v>
      </c>
      <c r="N117" s="371" t="str" cm="1">
        <f t="array" aca="1" ref="N117" ca="1">_xll.d.TestUtils_Equal(D117,I117)</f>
        <v>Ok</v>
      </c>
      <c r="O117" s="371" t="str" cm="1">
        <f t="array" aca="1" ref="O117" ca="1">_xll.d.TestUtils_Equal(E117,J117)</f>
        <v>Ok</v>
      </c>
    </row>
    <row r="121" spans="2:28" ht="18.75" x14ac:dyDescent="0.3">
      <c r="B121" s="3" t="s">
        <v>428</v>
      </c>
      <c r="C121" s="377"/>
      <c r="D121" s="377"/>
      <c r="E121" s="377"/>
      <c r="F121" s="377"/>
      <c r="G121" s="377"/>
      <c r="H121" s="377"/>
      <c r="I121" s="377"/>
      <c r="J121" s="377"/>
      <c r="K121" s="377"/>
      <c r="L121" s="377"/>
      <c r="M121" s="377"/>
      <c r="N121" s="377"/>
      <c r="O121" s="377"/>
      <c r="P121" s="377"/>
      <c r="Q121" s="377"/>
      <c r="R121" s="377"/>
      <c r="S121" s="377"/>
      <c r="T121" s="377"/>
      <c r="U121" s="377"/>
      <c r="V121" s="377"/>
      <c r="W121" s="377"/>
      <c r="X121" s="377"/>
      <c r="Y121" s="377"/>
      <c r="Z121" s="377"/>
      <c r="AA121" s="377"/>
      <c r="AB121" s="377"/>
    </row>
    <row r="123" spans="2:28" x14ac:dyDescent="0.2">
      <c r="B123" s="59" t="s">
        <v>166</v>
      </c>
      <c r="C123" s="371" t="str" cm="1">
        <f t="array" aca="1" ref="C123" ca="1">_xll.d.TestUtils_And(G128:G136,N128:N145,U128)</f>
        <v>Ok</v>
      </c>
    </row>
    <row r="125" spans="2:28" ht="15.75" x14ac:dyDescent="0.25">
      <c r="B125" s="4" t="s">
        <v>267</v>
      </c>
      <c r="C125" s="378"/>
      <c r="D125" s="378"/>
      <c r="E125" s="378"/>
      <c r="F125" s="378"/>
      <c r="G125" s="378"/>
      <c r="I125" s="4" t="s">
        <v>268</v>
      </c>
      <c r="J125" s="378"/>
      <c r="K125" s="378"/>
      <c r="L125" s="378"/>
      <c r="M125" s="378"/>
      <c r="N125" s="378"/>
      <c r="P125" s="4" t="s">
        <v>272</v>
      </c>
      <c r="Q125" s="378"/>
      <c r="R125" s="378"/>
      <c r="S125" s="378"/>
      <c r="T125" s="378"/>
      <c r="U125" s="378"/>
    </row>
    <row r="126" spans="2:28" x14ac:dyDescent="0.2">
      <c r="G126" s="370"/>
      <c r="N126" s="370"/>
    </row>
    <row r="127" spans="2:28" x14ac:dyDescent="0.2">
      <c r="B127" s="136" t="s">
        <v>259</v>
      </c>
      <c r="C127" s="137"/>
      <c r="E127" s="12" t="s">
        <v>140</v>
      </c>
      <c r="F127" s="27" t="s">
        <v>261</v>
      </c>
      <c r="G127" s="137" t="s">
        <v>88</v>
      </c>
      <c r="I127" s="136" t="s">
        <v>259</v>
      </c>
      <c r="J127" s="137"/>
      <c r="L127" s="12" t="s">
        <v>140</v>
      </c>
      <c r="M127" s="27" t="s">
        <v>261</v>
      </c>
      <c r="N127" s="137" t="s">
        <v>88</v>
      </c>
      <c r="P127" s="136" t="s">
        <v>259</v>
      </c>
      <c r="Q127" s="137"/>
      <c r="S127" s="12" t="s">
        <v>140</v>
      </c>
      <c r="T127" s="27" t="s">
        <v>261</v>
      </c>
      <c r="U127" s="137" t="s">
        <v>88</v>
      </c>
    </row>
    <row r="128" spans="2:28" x14ac:dyDescent="0.2">
      <c r="B128" s="138" t="s">
        <v>265</v>
      </c>
      <c r="C128" s="372">
        <v>44562</v>
      </c>
      <c r="E128" s="385" cm="1">
        <f t="array" aca="1" ref="E128:E136" ca="1">_xll.d.Dates_GetListOfHolidays(C128,C129,C130)</f>
        <v>44641</v>
      </c>
      <c r="F128" s="386">
        <v>44641</v>
      </c>
      <c r="G128" s="139" t="str" cm="1">
        <f t="array" aca="1" ref="G128" ca="1">_xll.d.TestUtils_Equal(E128,F128)</f>
        <v>Ok</v>
      </c>
      <c r="I128" s="138" t="s">
        <v>265</v>
      </c>
      <c r="J128" s="372">
        <v>44562</v>
      </c>
      <c r="L128" s="385" cm="1">
        <f t="array" aca="1" ref="L128:L145" ca="1">_xll.d.Dates_GetListOfHolidays(J128,J129,J130)</f>
        <v>44578</v>
      </c>
      <c r="M128" s="386">
        <v>44578</v>
      </c>
      <c r="N128" s="139" t="str" cm="1">
        <f t="array" aca="1" ref="N128" ca="1">_xll.d.TestUtils_Equal(L128,M128)</f>
        <v>Ok</v>
      </c>
      <c r="P128" s="138" t="s">
        <v>265</v>
      </c>
      <c r="Q128" s="372">
        <v>44562</v>
      </c>
      <c r="S128" s="379" t="str" cm="1">
        <f t="array" aca="1" ref="S128" ca="1">_xll.d.Dates_GetListOfHolidays(Q128,Q129,Q130)</f>
        <v>#∂Excel Error: Unknown calendar: WRE</v>
      </c>
      <c r="T128" s="380" t="s">
        <v>271</v>
      </c>
      <c r="U128" s="381" t="str" cm="1">
        <f t="array" aca="1" ref="U128" ca="1">_xll.d.TestUtils_Equal(S128,T128)</f>
        <v>Ok</v>
      </c>
    </row>
    <row r="129" spans="2:17" x14ac:dyDescent="0.2">
      <c r="B129" s="140" t="s">
        <v>266</v>
      </c>
      <c r="C129" s="384">
        <v>44926</v>
      </c>
      <c r="E129" s="387">
        <f ca="1"/>
        <v>44666</v>
      </c>
      <c r="F129" s="388">
        <v>44666</v>
      </c>
      <c r="G129" s="141" t="str" cm="1">
        <f t="array" aca="1" ref="G129" ca="1">_xll.d.TestUtils_Equal(E129,F129)</f>
        <v>Ok</v>
      </c>
      <c r="I129" s="140" t="s">
        <v>266</v>
      </c>
      <c r="J129" s="384">
        <v>44926</v>
      </c>
      <c r="L129" s="387">
        <f ca="1"/>
        <v>44613</v>
      </c>
      <c r="M129" s="388">
        <v>44613</v>
      </c>
      <c r="N129" s="141" t="str" cm="1">
        <f t="array" aca="1" ref="N129" ca="1">_xll.d.TestUtils_Equal(L129,M129)</f>
        <v>Ok</v>
      </c>
      <c r="P129" s="140" t="s">
        <v>266</v>
      </c>
      <c r="Q129" s="384">
        <v>44926</v>
      </c>
    </row>
    <row r="130" spans="2:17" x14ac:dyDescent="0.2">
      <c r="B130" s="142" t="s">
        <v>247</v>
      </c>
      <c r="C130" s="143" t="s">
        <v>71</v>
      </c>
      <c r="E130" s="387">
        <f ca="1"/>
        <v>44669</v>
      </c>
      <c r="F130" s="388">
        <v>44669</v>
      </c>
      <c r="G130" s="141" t="str" cm="1">
        <f t="array" aca="1" ref="G130" ca="1">_xll.d.TestUtils_Equal(E130,F130)</f>
        <v>Ok</v>
      </c>
      <c r="I130" s="142" t="s">
        <v>247</v>
      </c>
      <c r="J130" s="143" t="s">
        <v>264</v>
      </c>
      <c r="L130" s="387">
        <f ca="1"/>
        <v>44641</v>
      </c>
      <c r="M130" s="388">
        <v>44641</v>
      </c>
      <c r="N130" s="141" t="str" cm="1">
        <f t="array" aca="1" ref="N130" ca="1">_xll.d.TestUtils_Equal(L130,M130)</f>
        <v>Ok</v>
      </c>
      <c r="P130" s="142" t="s">
        <v>247</v>
      </c>
      <c r="Q130" s="143" t="s">
        <v>270</v>
      </c>
    </row>
    <row r="131" spans="2:17" x14ac:dyDescent="0.2">
      <c r="E131" s="387">
        <f ca="1"/>
        <v>44678</v>
      </c>
      <c r="F131" s="388">
        <v>44678</v>
      </c>
      <c r="G131" s="141" t="str" cm="1">
        <f t="array" aca="1" ref="G131" ca="1">_xll.d.TestUtils_Equal(E131,F131)</f>
        <v>Ok</v>
      </c>
      <c r="L131" s="387">
        <f ca="1"/>
        <v>44666</v>
      </c>
      <c r="M131" s="388">
        <v>44666</v>
      </c>
      <c r="N131" s="141" t="str" cm="1">
        <f t="array" aca="1" ref="N131" ca="1">_xll.d.TestUtils_Equal(L131,M131)</f>
        <v>Ok</v>
      </c>
    </row>
    <row r="132" spans="2:17" x14ac:dyDescent="0.2">
      <c r="E132" s="387">
        <f ca="1"/>
        <v>44683</v>
      </c>
      <c r="F132" s="388">
        <v>44683</v>
      </c>
      <c r="G132" s="141" t="str" cm="1">
        <f t="array" aca="1" ref="G132" ca="1">_xll.d.TestUtils_Equal(E132,F132)</f>
        <v>Ok</v>
      </c>
      <c r="L132" s="387">
        <f ca="1"/>
        <v>44669</v>
      </c>
      <c r="M132" s="388">
        <v>44669</v>
      </c>
      <c r="N132" s="141" t="str" cm="1">
        <f t="array" aca="1" ref="N132" ca="1">_xll.d.TestUtils_Equal(L132,M132)</f>
        <v>Ok</v>
      </c>
    </row>
    <row r="133" spans="2:17" x14ac:dyDescent="0.2">
      <c r="E133" s="387">
        <f ca="1"/>
        <v>44728</v>
      </c>
      <c r="F133" s="388">
        <v>44728</v>
      </c>
      <c r="G133" s="141" t="str" cm="1">
        <f t="array" aca="1" ref="G133" ca="1">_xll.d.TestUtils_Equal(E133,F133)</f>
        <v>Ok</v>
      </c>
      <c r="L133" s="387">
        <f ca="1"/>
        <v>44678</v>
      </c>
      <c r="M133" s="388">
        <v>44678</v>
      </c>
      <c r="N133" s="141" t="str" cm="1">
        <f t="array" aca="1" ref="N133" ca="1">_xll.d.TestUtils_Equal(L133,M133)</f>
        <v>Ok</v>
      </c>
    </row>
    <row r="134" spans="2:17" x14ac:dyDescent="0.2">
      <c r="E134" s="387">
        <f ca="1"/>
        <v>44782</v>
      </c>
      <c r="F134" s="388">
        <v>44782</v>
      </c>
      <c r="G134" s="141" t="str" cm="1">
        <f t="array" aca="1" ref="G134" ca="1">_xll.d.TestUtils_Equal(E134,F134)</f>
        <v>Ok</v>
      </c>
      <c r="L134" s="387">
        <f ca="1"/>
        <v>44683</v>
      </c>
      <c r="M134" s="388">
        <v>44683</v>
      </c>
      <c r="N134" s="141" t="str" cm="1">
        <f t="array" aca="1" ref="N134" ca="1">_xll.d.TestUtils_Equal(L134,M134)</f>
        <v>Ok</v>
      </c>
    </row>
    <row r="135" spans="2:17" x14ac:dyDescent="0.2">
      <c r="E135" s="387">
        <f ca="1"/>
        <v>44911</v>
      </c>
      <c r="F135" s="388">
        <v>44911</v>
      </c>
      <c r="G135" s="141" t="str" cm="1">
        <f t="array" aca="1" ref="G135" ca="1">_xll.d.TestUtils_Equal(E135,F135)</f>
        <v>Ok</v>
      </c>
      <c r="L135" s="387">
        <f ca="1"/>
        <v>44711</v>
      </c>
      <c r="M135" s="388">
        <v>44711</v>
      </c>
      <c r="N135" s="141" t="str" cm="1">
        <f t="array" aca="1" ref="N135" ca="1">_xll.d.TestUtils_Equal(L135,M135)</f>
        <v>Ok</v>
      </c>
    </row>
    <row r="136" spans="2:17" x14ac:dyDescent="0.2">
      <c r="E136" s="389">
        <f ca="1"/>
        <v>44921</v>
      </c>
      <c r="F136" s="390">
        <v>44921</v>
      </c>
      <c r="G136" s="143" t="str" cm="1">
        <f t="array" aca="1" ref="G136" ca="1">_xll.d.TestUtils_Equal(E136,F136)</f>
        <v>Ok</v>
      </c>
      <c r="L136" s="387">
        <f ca="1"/>
        <v>44728</v>
      </c>
      <c r="M136" s="388">
        <v>44728</v>
      </c>
      <c r="N136" s="141" t="str" cm="1">
        <f t="array" aca="1" ref="N136" ca="1">_xll.d.TestUtils_Equal(L136,M136)</f>
        <v>Ok</v>
      </c>
    </row>
    <row r="137" spans="2:17" x14ac:dyDescent="0.2">
      <c r="G137" s="370"/>
      <c r="L137" s="387">
        <f ca="1"/>
        <v>44732</v>
      </c>
      <c r="M137" s="388">
        <v>44732</v>
      </c>
      <c r="N137" s="141" t="str" cm="1">
        <f t="array" aca="1" ref="N137" ca="1">_xll.d.TestUtils_Equal(L137,M137)</f>
        <v>Ok</v>
      </c>
    </row>
    <row r="138" spans="2:17" x14ac:dyDescent="0.2">
      <c r="G138" s="370"/>
      <c r="L138" s="387">
        <f ca="1"/>
        <v>44746</v>
      </c>
      <c r="M138" s="388">
        <v>44746</v>
      </c>
      <c r="N138" s="141" t="str" cm="1">
        <f t="array" aca="1" ref="N138" ca="1">_xll.d.TestUtils_Equal(L138,M138)</f>
        <v>Ok</v>
      </c>
    </row>
    <row r="139" spans="2:17" x14ac:dyDescent="0.2">
      <c r="G139" s="370"/>
      <c r="L139" s="387">
        <f ca="1"/>
        <v>44782</v>
      </c>
      <c r="M139" s="388">
        <v>44782</v>
      </c>
      <c r="N139" s="141" t="str" cm="1">
        <f t="array" aca="1" ref="N139" ca="1">_xll.d.TestUtils_Equal(L139,M139)</f>
        <v>Ok</v>
      </c>
    </row>
    <row r="140" spans="2:17" x14ac:dyDescent="0.2">
      <c r="G140" s="370"/>
      <c r="L140" s="387">
        <f ca="1"/>
        <v>44809</v>
      </c>
      <c r="M140" s="388">
        <v>44809</v>
      </c>
      <c r="N140" s="141" t="str" cm="1">
        <f t="array" aca="1" ref="N140" ca="1">_xll.d.TestUtils_Equal(L140,M140)</f>
        <v>Ok</v>
      </c>
    </row>
    <row r="141" spans="2:17" x14ac:dyDescent="0.2">
      <c r="G141" s="370"/>
      <c r="L141" s="387">
        <f ca="1"/>
        <v>44844</v>
      </c>
      <c r="M141" s="388">
        <v>44844</v>
      </c>
      <c r="N141" s="141" t="str" cm="1">
        <f t="array" aca="1" ref="N141" ca="1">_xll.d.TestUtils_Equal(L141,M141)</f>
        <v>Ok</v>
      </c>
    </row>
    <row r="142" spans="2:17" x14ac:dyDescent="0.2">
      <c r="G142" s="370"/>
      <c r="L142" s="387">
        <f ca="1"/>
        <v>44876</v>
      </c>
      <c r="M142" s="388">
        <v>44876</v>
      </c>
      <c r="N142" s="141" t="str" cm="1">
        <f t="array" aca="1" ref="N142" ca="1">_xll.d.TestUtils_Equal(L142,M142)</f>
        <v>Ok</v>
      </c>
    </row>
    <row r="143" spans="2:17" x14ac:dyDescent="0.2">
      <c r="G143" s="370"/>
      <c r="L143" s="387">
        <f ca="1"/>
        <v>44889</v>
      </c>
      <c r="M143" s="388">
        <v>44889</v>
      </c>
      <c r="N143" s="141" t="str" cm="1">
        <f t="array" aca="1" ref="N143" ca="1">_xll.d.TestUtils_Equal(L143,M143)</f>
        <v>Ok</v>
      </c>
    </row>
    <row r="144" spans="2:17" x14ac:dyDescent="0.2">
      <c r="G144" s="370"/>
      <c r="L144" s="387">
        <f ca="1"/>
        <v>44911</v>
      </c>
      <c r="M144" s="388">
        <v>44911</v>
      </c>
      <c r="N144" s="141" t="str" cm="1">
        <f t="array" aca="1" ref="N144" ca="1">_xll.d.TestUtils_Equal(L144,M144)</f>
        <v>Ok</v>
      </c>
    </row>
    <row r="145" spans="2:28" x14ac:dyDescent="0.2">
      <c r="G145" s="370"/>
      <c r="L145" s="389">
        <f ca="1"/>
        <v>44921</v>
      </c>
      <c r="M145" s="390">
        <v>44921</v>
      </c>
      <c r="N145" s="143" t="str" cm="1">
        <f t="array" aca="1" ref="N145" ca="1">_xll.d.TestUtils_Equal(L145,M145)</f>
        <v>Ok</v>
      </c>
    </row>
    <row r="148" spans="2:28" ht="18.75" x14ac:dyDescent="0.3">
      <c r="B148" s="3" t="s">
        <v>429</v>
      </c>
      <c r="C148" s="377"/>
      <c r="D148" s="377"/>
      <c r="E148" s="377"/>
      <c r="F148" s="377"/>
      <c r="G148" s="377"/>
      <c r="H148" s="377"/>
      <c r="I148" s="377"/>
      <c r="J148" s="377"/>
      <c r="K148" s="377"/>
      <c r="L148" s="377"/>
      <c r="M148" s="377"/>
      <c r="N148" s="377"/>
      <c r="O148" s="377"/>
      <c r="P148" s="377"/>
      <c r="Q148" s="377"/>
      <c r="R148" s="377"/>
      <c r="S148" s="377"/>
      <c r="T148" s="377"/>
      <c r="U148" s="377"/>
    </row>
    <row r="150" spans="2:28" x14ac:dyDescent="0.2">
      <c r="B150" s="59" t="s">
        <v>166</v>
      </c>
      <c r="C150" s="371" t="str" cm="1">
        <f t="array" aca="1" ref="C150" ca="1">_xll.d.TestUtils_And(G155:G159,N155:N159,U155:U159)</f>
        <v>Ok</v>
      </c>
    </row>
    <row r="152" spans="2:28" ht="15.75" x14ac:dyDescent="0.25">
      <c r="B152" s="4" t="s">
        <v>368</v>
      </c>
      <c r="C152" s="378"/>
      <c r="D152" s="378"/>
      <c r="E152" s="378"/>
      <c r="F152" s="378"/>
      <c r="G152" s="378"/>
      <c r="I152" s="4" t="s">
        <v>370</v>
      </c>
      <c r="J152" s="378"/>
      <c r="K152" s="378"/>
      <c r="L152" s="378"/>
      <c r="M152" s="378"/>
      <c r="N152" s="378"/>
      <c r="P152" s="4" t="s">
        <v>371</v>
      </c>
      <c r="Q152" s="378"/>
      <c r="R152" s="378"/>
      <c r="S152" s="378"/>
      <c r="T152" s="378"/>
      <c r="U152" s="378"/>
      <c r="W152" s="4" t="s">
        <v>272</v>
      </c>
      <c r="X152" s="378"/>
      <c r="Y152" s="378"/>
      <c r="Z152" s="378"/>
      <c r="AA152" s="378"/>
      <c r="AB152" s="378"/>
    </row>
    <row r="154" spans="2:28" x14ac:dyDescent="0.2">
      <c r="B154" s="136" t="s">
        <v>259</v>
      </c>
      <c r="C154" s="137"/>
      <c r="E154" s="136" t="s">
        <v>140</v>
      </c>
      <c r="F154" s="137" t="s">
        <v>261</v>
      </c>
      <c r="G154" s="137" t="s">
        <v>88</v>
      </c>
      <c r="I154" s="136" t="s">
        <v>259</v>
      </c>
      <c r="J154" s="137"/>
      <c r="L154" s="136" t="s">
        <v>140</v>
      </c>
      <c r="M154" s="137" t="s">
        <v>261</v>
      </c>
      <c r="N154" s="137" t="s">
        <v>88</v>
      </c>
      <c r="P154" s="136" t="s">
        <v>259</v>
      </c>
      <c r="Q154" s="137"/>
      <c r="S154" s="136" t="s">
        <v>140</v>
      </c>
      <c r="T154" s="137" t="s">
        <v>261</v>
      </c>
      <c r="U154" s="137" t="s">
        <v>88</v>
      </c>
      <c r="W154" s="136" t="s">
        <v>259</v>
      </c>
      <c r="X154" s="137"/>
      <c r="Z154" s="136" t="s">
        <v>140</v>
      </c>
      <c r="AA154" s="137" t="s">
        <v>261</v>
      </c>
      <c r="AB154" s="137" t="s">
        <v>88</v>
      </c>
    </row>
    <row r="155" spans="2:28" x14ac:dyDescent="0.2">
      <c r="B155" s="138" t="s">
        <v>265</v>
      </c>
      <c r="C155" s="372">
        <v>44743</v>
      </c>
      <c r="E155" s="385">
        <f t="array" aca="1" ref="E155:E159" ca="1">_xll.d.Dates_GenerateSchedule(C155,C156,C157,C158,C159,C160)</f>
        <v>44743</v>
      </c>
      <c r="F155" s="372">
        <v>44743</v>
      </c>
      <c r="G155" s="371" t="str" cm="1">
        <f t="array" aca="1" ref="G155" ca="1">_xll.d.TestUtils_Equal(E155,F155)</f>
        <v>Ok</v>
      </c>
      <c r="I155" s="138" t="s">
        <v>265</v>
      </c>
      <c r="J155" s="372">
        <v>44743</v>
      </c>
      <c r="L155" s="385">
        <f t="array" aca="1" ref="L155:L159" ca="1">_xll.d.Dates_GenerateSchedule(J155,J156,J157,J158,J159,J160)</f>
        <v>44743</v>
      </c>
      <c r="M155" s="372">
        <v>44743</v>
      </c>
      <c r="N155" s="371" t="str" cm="1">
        <f t="array" aca="1" ref="N155" ca="1">_xll.d.TestUtils_Equal(L155,M155)</f>
        <v>Ok</v>
      </c>
      <c r="P155" s="138" t="s">
        <v>265</v>
      </c>
      <c r="Q155" s="372">
        <v>44743</v>
      </c>
      <c r="S155" s="385">
        <f t="array" aca="1" ref="S155:S159" ca="1">_xll.d.Dates_GenerateSchedule(Q155,Q156,Q157,Q158,Q159,Q160)</f>
        <v>44743</v>
      </c>
      <c r="T155" s="372">
        <v>44743</v>
      </c>
      <c r="U155" s="371" t="str" cm="1">
        <f t="array" aca="1" ref="U155" ca="1">_xll.d.TestUtils_Equal(S155,T155)</f>
        <v>Ok</v>
      </c>
      <c r="W155" s="138" t="s">
        <v>265</v>
      </c>
      <c r="X155" s="372">
        <v>44743</v>
      </c>
      <c r="Z155" s="393" t="str" cm="1">
        <f t="array" aca="1" ref="Z155" ca="1">_xll.d.Dates_GenerateSchedule(X155,X156,X157,X158,X159,X160)</f>
        <v>#∂Excel Error: Unknown calendar: WRE</v>
      </c>
      <c r="AA155" s="375" t="s">
        <v>271</v>
      </c>
      <c r="AB155" s="371" t="str" cm="1">
        <f t="array" aca="1" ref="AB155" ca="1">_xll.d.TestUtils_Equal(Z155,AA155)</f>
        <v>Ok</v>
      </c>
    </row>
    <row r="156" spans="2:28" x14ac:dyDescent="0.2">
      <c r="B156" s="140" t="s">
        <v>266</v>
      </c>
      <c r="C156" s="384">
        <v>45108</v>
      </c>
      <c r="E156" s="387">
        <f ca="1"/>
        <v>44837</v>
      </c>
      <c r="F156" s="384">
        <v>44837</v>
      </c>
      <c r="G156" s="371" t="str" cm="1">
        <f t="array" aca="1" ref="G156" ca="1">_xll.d.TestUtils_Equal(E156,F156)</f>
        <v>Ok</v>
      </c>
      <c r="I156" s="140" t="s">
        <v>266</v>
      </c>
      <c r="J156" s="384">
        <v>45108</v>
      </c>
      <c r="L156" s="387">
        <f ca="1"/>
        <v>44837</v>
      </c>
      <c r="M156" s="384">
        <v>44837</v>
      </c>
      <c r="N156" s="371" t="str" cm="1">
        <f t="array" aca="1" ref="N156" ca="1">_xll.d.TestUtils_Equal(L156,M156)</f>
        <v>Ok</v>
      </c>
      <c r="P156" s="140" t="s">
        <v>266</v>
      </c>
      <c r="Q156" s="384">
        <v>45108</v>
      </c>
      <c r="S156" s="387">
        <f ca="1"/>
        <v>44824</v>
      </c>
      <c r="T156" s="384">
        <v>44824</v>
      </c>
      <c r="U156" s="371" t="str" cm="1">
        <f t="array" aca="1" ref="U156" ca="1">_xll.d.TestUtils_Equal(S156,T156)</f>
        <v>Ok</v>
      </c>
      <c r="W156" s="140" t="s">
        <v>266</v>
      </c>
      <c r="X156" s="384">
        <v>45108</v>
      </c>
    </row>
    <row r="157" spans="2:28" x14ac:dyDescent="0.2">
      <c r="B157" s="140" t="s">
        <v>364</v>
      </c>
      <c r="C157" s="141" t="s">
        <v>26</v>
      </c>
      <c r="E157" s="387">
        <f ca="1"/>
        <v>44929</v>
      </c>
      <c r="F157" s="384">
        <v>44929</v>
      </c>
      <c r="G157" s="371" t="str" cm="1">
        <f t="array" aca="1" ref="G157" ca="1">_xll.d.TestUtils_Equal(E157,F157)</f>
        <v>Ok</v>
      </c>
      <c r="I157" s="140" t="s">
        <v>364</v>
      </c>
      <c r="J157" s="141" t="s">
        <v>26</v>
      </c>
      <c r="L157" s="387">
        <f ca="1"/>
        <v>44929</v>
      </c>
      <c r="M157" s="384">
        <v>44929</v>
      </c>
      <c r="N157" s="371" t="str" cm="1">
        <f t="array" aca="1" ref="N157" ca="1">_xll.d.TestUtils_Equal(L157,M157)</f>
        <v>Ok</v>
      </c>
      <c r="P157" s="140" t="s">
        <v>364</v>
      </c>
      <c r="Q157" s="141" t="s">
        <v>26</v>
      </c>
      <c r="S157" s="387">
        <f ca="1"/>
        <v>44915</v>
      </c>
      <c r="T157" s="384">
        <v>44915</v>
      </c>
      <c r="U157" s="371" t="str" cm="1">
        <f t="array" aca="1" ref="U157" ca="1">_xll.d.TestUtils_Equal(S157,T157)</f>
        <v>Ok</v>
      </c>
      <c r="W157" s="140" t="s">
        <v>364</v>
      </c>
      <c r="X157" s="141" t="s">
        <v>26</v>
      </c>
    </row>
    <row r="158" spans="2:28" x14ac:dyDescent="0.2">
      <c r="B158" s="140" t="s">
        <v>365</v>
      </c>
      <c r="C158" s="141" t="s">
        <v>264</v>
      </c>
      <c r="E158" s="387">
        <f ca="1"/>
        <v>45019</v>
      </c>
      <c r="F158" s="384">
        <v>45019</v>
      </c>
      <c r="G158" s="371" t="str" cm="1">
        <f t="array" aca="1" ref="G158" ca="1">_xll.d.TestUtils_Equal(E158,F158)</f>
        <v>Ok</v>
      </c>
      <c r="I158" s="140" t="s">
        <v>365</v>
      </c>
      <c r="J158" s="141" t="s">
        <v>264</v>
      </c>
      <c r="L158" s="387">
        <f ca="1"/>
        <v>45019</v>
      </c>
      <c r="M158" s="384">
        <v>45019</v>
      </c>
      <c r="N158" s="371" t="str" cm="1">
        <f t="array" aca="1" ref="N158" ca="1">_xll.d.TestUtils_Equal(L158,M158)</f>
        <v>Ok</v>
      </c>
      <c r="P158" s="140" t="s">
        <v>365</v>
      </c>
      <c r="Q158" s="141" t="s">
        <v>264</v>
      </c>
      <c r="S158" s="387">
        <f ca="1"/>
        <v>45005</v>
      </c>
      <c r="T158" s="384">
        <v>45005</v>
      </c>
      <c r="U158" s="371" t="str" cm="1">
        <f t="array" aca="1" ref="U158" ca="1">_xll.d.TestUtils_Equal(S158,T158)</f>
        <v>Ok</v>
      </c>
      <c r="W158" s="140" t="s">
        <v>365</v>
      </c>
      <c r="X158" s="141" t="s">
        <v>270</v>
      </c>
    </row>
    <row r="159" spans="2:28" x14ac:dyDescent="0.2">
      <c r="B159" s="140" t="s">
        <v>248</v>
      </c>
      <c r="C159" s="141" t="s">
        <v>249</v>
      </c>
      <c r="E159" s="389">
        <f ca="1"/>
        <v>45110</v>
      </c>
      <c r="F159" s="392">
        <v>45110</v>
      </c>
      <c r="G159" s="371" t="str" cm="1">
        <f t="array" aca="1" ref="G159" ca="1">_xll.d.TestUtils_Equal(E159,F159)</f>
        <v>Ok</v>
      </c>
      <c r="I159" s="140" t="s">
        <v>248</v>
      </c>
      <c r="J159" s="141" t="s">
        <v>249</v>
      </c>
      <c r="L159" s="389">
        <f ca="1"/>
        <v>45110</v>
      </c>
      <c r="M159" s="392">
        <v>45110</v>
      </c>
      <c r="N159" s="371" t="str" cm="1">
        <f t="array" aca="1" ref="N159" ca="1">_xll.d.TestUtils_Equal(L159,M159)</f>
        <v>Ok</v>
      </c>
      <c r="P159" s="140" t="s">
        <v>248</v>
      </c>
      <c r="Q159" s="141" t="s">
        <v>249</v>
      </c>
      <c r="S159" s="389">
        <f ca="1"/>
        <v>45097</v>
      </c>
      <c r="T159" s="392">
        <v>45097</v>
      </c>
      <c r="U159" s="371" t="str" cm="1">
        <f t="array" aca="1" ref="U159" ca="1">_xll.d.TestUtils_Equal(S159,T159)</f>
        <v>Ok</v>
      </c>
      <c r="W159" s="140" t="s">
        <v>248</v>
      </c>
      <c r="X159" s="141" t="s">
        <v>249</v>
      </c>
    </row>
    <row r="160" spans="2:28" x14ac:dyDescent="0.2">
      <c r="B160" s="142" t="s">
        <v>366</v>
      </c>
      <c r="C160" s="143" t="s">
        <v>367</v>
      </c>
      <c r="I160" s="142" t="s">
        <v>366</v>
      </c>
      <c r="J160" s="143" t="s">
        <v>369</v>
      </c>
      <c r="P160" s="142" t="s">
        <v>366</v>
      </c>
      <c r="Q160" s="143" t="s">
        <v>372</v>
      </c>
      <c r="W160" s="142" t="s">
        <v>366</v>
      </c>
      <c r="X160" s="143" t="s">
        <v>372</v>
      </c>
    </row>
    <row r="164" spans="2:21" ht="18.75" x14ac:dyDescent="0.3">
      <c r="B164" s="3" t="s">
        <v>430</v>
      </c>
      <c r="C164" s="377"/>
      <c r="D164" s="377"/>
      <c r="E164" s="377"/>
      <c r="F164" s="377"/>
      <c r="G164" s="377"/>
      <c r="H164" s="377"/>
      <c r="I164" s="377"/>
      <c r="J164" s="377"/>
      <c r="K164" s="377"/>
      <c r="L164" s="377"/>
      <c r="M164" s="377"/>
      <c r="N164" s="377"/>
      <c r="O164" s="377"/>
      <c r="P164" s="377"/>
      <c r="Q164" s="377"/>
      <c r="R164" s="377"/>
      <c r="S164" s="377"/>
      <c r="T164" s="377"/>
      <c r="U164" s="377"/>
    </row>
    <row r="166" spans="2:21" x14ac:dyDescent="0.2">
      <c r="B166" s="59" t="s">
        <v>166</v>
      </c>
      <c r="C166" s="371" t="str" cm="1">
        <f t="array" aca="1" ref="C166" ca="1">_xll.d.TestUtils_And(H171:I175)</f>
        <v>Ok</v>
      </c>
    </row>
    <row r="168" spans="2:21" ht="15.75" x14ac:dyDescent="0.25">
      <c r="B168" s="4" t="s">
        <v>114</v>
      </c>
      <c r="C168" s="378"/>
      <c r="D168" s="378"/>
      <c r="E168" s="378"/>
      <c r="F168" s="378"/>
      <c r="G168" s="378"/>
      <c r="H168" s="378"/>
      <c r="I168" s="378"/>
    </row>
    <row r="170" spans="2:21" x14ac:dyDescent="0.2">
      <c r="B170" s="136" t="s">
        <v>140</v>
      </c>
      <c r="C170" s="137"/>
      <c r="E170" s="136" t="s">
        <v>261</v>
      </c>
      <c r="F170" s="137"/>
      <c r="H170" s="136" t="s">
        <v>88</v>
      </c>
      <c r="I170" s="137"/>
    </row>
    <row r="171" spans="2:21" x14ac:dyDescent="0.2">
      <c r="B171" s="134" t="str" cm="1">
        <f t="array" aca="1" ref="B171:C175" ca="1">_xll.d.Dates_GetAvailableBusinessDayConventions()</f>
        <v>Variant 1</v>
      </c>
      <c r="C171" s="135" t="str">
        <f ca="1"/>
        <v>Variant 2</v>
      </c>
      <c r="E171" s="134" t="s">
        <v>278</v>
      </c>
      <c r="F171" s="135" t="s">
        <v>279</v>
      </c>
      <c r="H171" s="371" t="str" cm="1">
        <f t="array" aca="1" ref="H171" ca="1">_xll.d.TestUtils_Equal(B171,E171)</f>
        <v>Ok</v>
      </c>
      <c r="I171" s="371" t="str" cm="1">
        <f t="array" aca="1" ref="I171" ca="1">_xll.d.TestUtils_Equal(C171,F171)</f>
        <v>Ok</v>
      </c>
    </row>
    <row r="172" spans="2:21" x14ac:dyDescent="0.2">
      <c r="B172" s="138" t="str">
        <f ca="1"/>
        <v>Fol</v>
      </c>
      <c r="C172" s="139" t="str">
        <f ca="1"/>
        <v>Following</v>
      </c>
      <c r="E172" s="138" t="s">
        <v>280</v>
      </c>
      <c r="F172" s="139" t="s">
        <v>281</v>
      </c>
      <c r="H172" s="371" t="str" cm="1">
        <f t="array" aca="1" ref="H172" ca="1">_xll.d.TestUtils_Equal(B172,E172)</f>
        <v>Ok</v>
      </c>
      <c r="I172" s="371" t="str" cm="1">
        <f t="array" aca="1" ref="I172" ca="1">_xll.d.TestUtils_Equal(C172,F172)</f>
        <v>Ok</v>
      </c>
    </row>
    <row r="173" spans="2:21" x14ac:dyDescent="0.2">
      <c r="B173" s="140" t="str">
        <f ca="1"/>
        <v>ModFol</v>
      </c>
      <c r="C173" s="141" t="str">
        <f ca="1"/>
        <v>ModifiedFollowing</v>
      </c>
      <c r="E173" s="140" t="s">
        <v>282</v>
      </c>
      <c r="F173" s="141" t="s">
        <v>283</v>
      </c>
      <c r="H173" s="371" t="str" cm="1">
        <f t="array" aca="1" ref="H173" ca="1">_xll.d.TestUtils_Equal(B173,E173)</f>
        <v>Ok</v>
      </c>
      <c r="I173" s="371" t="str" cm="1">
        <f t="array" aca="1" ref="I173" ca="1">_xll.d.TestUtils_Equal(C173,F173)</f>
        <v>Ok</v>
      </c>
    </row>
    <row r="174" spans="2:21" x14ac:dyDescent="0.2">
      <c r="B174" s="140" t="str">
        <f ca="1"/>
        <v>ModPrec</v>
      </c>
      <c r="C174" s="141" t="str">
        <f ca="1"/>
        <v>ModPreceding</v>
      </c>
      <c r="E174" s="140" t="s">
        <v>284</v>
      </c>
      <c r="F174" s="141" t="s">
        <v>285</v>
      </c>
      <c r="H174" s="371" t="str" cm="1">
        <f t="array" aca="1" ref="H174" ca="1">_xll.d.TestUtils_Equal(B174,E174)</f>
        <v>Ok</v>
      </c>
      <c r="I174" s="371" t="str" cm="1">
        <f t="array" aca="1" ref="I174" ca="1">_xll.d.TestUtils_Equal(C174,F174)</f>
        <v>Ok</v>
      </c>
    </row>
    <row r="175" spans="2:21" x14ac:dyDescent="0.2">
      <c r="B175" s="142" t="str">
        <f ca="1"/>
        <v>Prec</v>
      </c>
      <c r="C175" s="143" t="str">
        <f ca="1"/>
        <v>Preceding</v>
      </c>
      <c r="E175" s="142" t="s">
        <v>286</v>
      </c>
      <c r="F175" s="143" t="s">
        <v>287</v>
      </c>
      <c r="H175" s="371" t="str" cm="1">
        <f t="array" aca="1" ref="H175" ca="1">_xll.d.TestUtils_Equal(B175,E175)</f>
        <v>Ok</v>
      </c>
      <c r="I175" s="371" t="str" cm="1">
        <f t="array" aca="1" ref="I175" ca="1">_xll.d.TestUtils_Equal(C175,F175)</f>
        <v>Ok</v>
      </c>
    </row>
    <row r="179" spans="2:21" ht="18.75" x14ac:dyDescent="0.3">
      <c r="B179" s="3" t="s">
        <v>431</v>
      </c>
      <c r="C179" s="377"/>
      <c r="D179" s="377"/>
      <c r="E179" s="377"/>
      <c r="F179" s="377"/>
      <c r="G179" s="377"/>
      <c r="H179" s="377"/>
      <c r="I179" s="377"/>
      <c r="J179" s="377"/>
      <c r="K179" s="377"/>
      <c r="L179" s="377"/>
      <c r="M179" s="377"/>
      <c r="N179" s="377"/>
      <c r="O179" s="377"/>
      <c r="P179" s="377"/>
      <c r="Q179" s="377"/>
      <c r="R179" s="377"/>
      <c r="S179" s="377"/>
      <c r="T179" s="377"/>
      <c r="U179" s="377"/>
    </row>
    <row r="181" spans="2:21" x14ac:dyDescent="0.2">
      <c r="B181" s="59" t="s">
        <v>166</v>
      </c>
      <c r="C181" s="371" t="str" cm="1">
        <f t="array" aca="1" ref="C181" ca="1">_xll.d.TestUtils_And(L186:O190)</f>
        <v>Ok</v>
      </c>
    </row>
    <row r="183" spans="2:21" ht="15.75" x14ac:dyDescent="0.25">
      <c r="B183" s="4" t="s">
        <v>114</v>
      </c>
      <c r="C183" s="378"/>
      <c r="D183" s="378"/>
      <c r="E183" s="378"/>
      <c r="F183" s="378"/>
      <c r="G183" s="378"/>
      <c r="H183" s="378"/>
      <c r="I183" s="378"/>
    </row>
    <row r="185" spans="2:21" x14ac:dyDescent="0.2">
      <c r="B185" s="136" t="s">
        <v>140</v>
      </c>
      <c r="C185" s="226"/>
      <c r="D185" s="226"/>
      <c r="E185" s="137"/>
      <c r="G185" s="136" t="s">
        <v>140</v>
      </c>
      <c r="H185" s="226"/>
      <c r="I185" s="226"/>
      <c r="J185" s="137"/>
      <c r="L185" s="136" t="s">
        <v>88</v>
      </c>
      <c r="M185" s="137"/>
      <c r="N185" s="137"/>
      <c r="O185" s="137"/>
    </row>
    <row r="186" spans="2:21" x14ac:dyDescent="0.2">
      <c r="B186" s="134" t="str" cm="1">
        <f t="array" aca="1" ref="B186:E190" ca="1">_xll.d.Dates_GetAvailableDayCountConventions()</f>
        <v>Variant 1</v>
      </c>
      <c r="C186" s="339" t="str">
        <f ca="1"/>
        <v>Variant 2</v>
      </c>
      <c r="D186" s="339" t="str">
        <f ca="1"/>
        <v>Variant 3</v>
      </c>
      <c r="E186" s="135" t="str">
        <f ca="1"/>
        <v>Variant 4</v>
      </c>
      <c r="G186" s="134" t="s">
        <v>278</v>
      </c>
      <c r="H186" s="339" t="s">
        <v>279</v>
      </c>
      <c r="I186" s="339" t="s">
        <v>288</v>
      </c>
      <c r="J186" s="135" t="s">
        <v>289</v>
      </c>
      <c r="L186" s="371" t="str" cm="1">
        <f t="array" aca="1" ref="L186" ca="1">_xll.d.TestUtils_Equal(B186,G186)</f>
        <v>Ok</v>
      </c>
      <c r="M186" s="371" t="str" cm="1">
        <f t="array" aca="1" ref="M186" ca="1">_xll.d.TestUtils_Equal(C186,H186)</f>
        <v>Ok</v>
      </c>
      <c r="N186" s="371" t="str" cm="1">
        <f t="array" aca="1" ref="N186" ca="1">_xll.d.TestUtils_Equal(D186,I186)</f>
        <v>Ok</v>
      </c>
      <c r="O186" s="371" t="str" cm="1">
        <f t="array" aca="1" ref="O186" ca="1">_xll.d.TestUtils_Equal(E186,J186)</f>
        <v>Ok</v>
      </c>
    </row>
    <row r="187" spans="2:21" x14ac:dyDescent="0.2">
      <c r="B187" s="138" t="str">
        <f ca="1"/>
        <v>Act360</v>
      </c>
      <c r="C187" s="391" t="str">
        <f ca="1"/>
        <v>Actual360</v>
      </c>
      <c r="D187" s="391" t="str">
        <f ca="1"/>
        <v/>
      </c>
      <c r="E187" s="139" t="str">
        <f ca="1"/>
        <v/>
      </c>
      <c r="G187" s="138" t="s">
        <v>290</v>
      </c>
      <c r="H187" s="391" t="s">
        <v>291</v>
      </c>
      <c r="I187" s="391" t="s">
        <v>292</v>
      </c>
      <c r="J187" s="139" t="s">
        <v>292</v>
      </c>
      <c r="L187" s="371" t="str" cm="1">
        <f t="array" aca="1" ref="L187" ca="1">_xll.d.TestUtils_Equal(B187,G187)</f>
        <v>Ok</v>
      </c>
      <c r="M187" s="371" t="str" cm="1">
        <f t="array" aca="1" ref="M187" ca="1">_xll.d.TestUtils_Equal(C187,H187)</f>
        <v>Ok</v>
      </c>
      <c r="N187" s="371" t="str" cm="1">
        <f t="array" aca="1" ref="N187" ca="1">_xll.d.TestUtils_Equal(D187,I187)</f>
        <v>Ok</v>
      </c>
      <c r="O187" s="371" t="str" cm="1">
        <f t="array" aca="1" ref="O187" ca="1">_xll.d.TestUtils_Equal(E187,J187)</f>
        <v>Ok</v>
      </c>
    </row>
    <row r="188" spans="2:21" x14ac:dyDescent="0.2">
      <c r="B188" s="140" t="str">
        <f ca="1"/>
        <v>Act365</v>
      </c>
      <c r="C188" s="327" t="str">
        <f ca="1"/>
        <v>Act365F</v>
      </c>
      <c r="D188" s="327" t="str">
        <f ca="1"/>
        <v>Actual365</v>
      </c>
      <c r="E188" s="141" t="str">
        <f ca="1"/>
        <v>Actual365F</v>
      </c>
      <c r="G188" s="140" t="s">
        <v>293</v>
      </c>
      <c r="H188" s="327" t="s">
        <v>294</v>
      </c>
      <c r="I188" s="327" t="s">
        <v>73</v>
      </c>
      <c r="J188" s="141" t="s">
        <v>295</v>
      </c>
      <c r="L188" s="371" t="str" cm="1">
        <f t="array" aca="1" ref="L188" ca="1">_xll.d.TestUtils_Equal(B188,G188)</f>
        <v>Ok</v>
      </c>
      <c r="M188" s="371" t="str" cm="1">
        <f t="array" aca="1" ref="M188" ca="1">_xll.d.TestUtils_Equal(C188,H188)</f>
        <v>Ok</v>
      </c>
      <c r="N188" s="371" t="str" cm="1">
        <f t="array" aca="1" ref="N188" ca="1">_xll.d.TestUtils_Equal(D188,I188)</f>
        <v>Ok</v>
      </c>
      <c r="O188" s="371" t="str" cm="1">
        <f t="array" aca="1" ref="O188" ca="1">_xll.d.TestUtils_Equal(E188,J188)</f>
        <v>Ok</v>
      </c>
    </row>
    <row r="189" spans="2:21" x14ac:dyDescent="0.2">
      <c r="B189" s="140" t="str">
        <f ca="1"/>
        <v>ActAct</v>
      </c>
      <c r="C189" s="327" t="str">
        <f ca="1"/>
        <v>ActualActual</v>
      </c>
      <c r="D189" s="327" t="str">
        <f ca="1"/>
        <v/>
      </c>
      <c r="E189" s="141" t="str">
        <f ca="1"/>
        <v/>
      </c>
      <c r="G189" s="140" t="s">
        <v>296</v>
      </c>
      <c r="H189" s="327" t="s">
        <v>297</v>
      </c>
      <c r="I189" s="327" t="s">
        <v>292</v>
      </c>
      <c r="J189" s="141" t="s">
        <v>292</v>
      </c>
      <c r="L189" s="371" t="str" cm="1">
        <f t="array" aca="1" ref="L189" ca="1">_xll.d.TestUtils_Equal(B189,G189)</f>
        <v>Ok</v>
      </c>
      <c r="M189" s="371" t="str" cm="1">
        <f t="array" aca="1" ref="M189" ca="1">_xll.d.TestUtils_Equal(C189,H189)</f>
        <v>Ok</v>
      </c>
      <c r="N189" s="371" t="str" cm="1">
        <f t="array" aca="1" ref="N189" ca="1">_xll.d.TestUtils_Equal(D189,I189)</f>
        <v>Ok</v>
      </c>
      <c r="O189" s="371" t="str" cm="1">
        <f t="array" aca="1" ref="O189" ca="1">_xll.d.TestUtils_Equal(E189,J189)</f>
        <v>Ok</v>
      </c>
    </row>
    <row r="190" spans="2:21" x14ac:dyDescent="0.2">
      <c r="B190" s="142" t="str">
        <f ca="1"/>
        <v>Bus252</v>
      </c>
      <c r="C190" s="225" t="str">
        <f ca="1"/>
        <v>Business252</v>
      </c>
      <c r="D190" s="225" t="str">
        <f ca="1"/>
        <v/>
      </c>
      <c r="E190" s="143" t="str">
        <f ca="1"/>
        <v/>
      </c>
      <c r="G190" s="142" t="s">
        <v>298</v>
      </c>
      <c r="H190" s="225" t="s">
        <v>299</v>
      </c>
      <c r="I190" s="225" t="s">
        <v>292</v>
      </c>
      <c r="J190" s="143" t="s">
        <v>292</v>
      </c>
      <c r="L190" s="371" t="str" cm="1">
        <f t="array" aca="1" ref="L190" ca="1">_xll.d.TestUtils_Equal(B190,G190)</f>
        <v>Ok</v>
      </c>
      <c r="M190" s="371" t="str" cm="1">
        <f t="array" aca="1" ref="M190" ca="1">_xll.d.TestUtils_Equal(C190,H190)</f>
        <v>Ok</v>
      </c>
      <c r="N190" s="371" t="str" cm="1">
        <f t="array" aca="1" ref="N190" ca="1">_xll.d.TestUtils_Equal(D190,I190)</f>
        <v>Ok</v>
      </c>
      <c r="O190" s="371" t="str" cm="1">
        <f t="array" aca="1" ref="O190" ca="1">_xll.d.TestUtils_Equal(E190,J190)</f>
        <v>Ok</v>
      </c>
    </row>
  </sheetData>
  <conditionalFormatting sqref="D7:D13">
    <cfRule type="cellIs" dxfId="382" priority="123" stopIfTrue="1" operator="equal">
      <formula>"ERROR"</formula>
    </cfRule>
    <cfRule type="cellIs" dxfId="381" priority="124" stopIfTrue="1" operator="equal">
      <formula>"OK"</formula>
    </cfRule>
    <cfRule type="cellIs" dxfId="380" priority="125" stopIfTrue="1" operator="equal">
      <formula>"WARNING"</formula>
    </cfRule>
  </conditionalFormatting>
  <conditionalFormatting sqref="C4">
    <cfRule type="cellIs" dxfId="379" priority="97" stopIfTrue="1" operator="equal">
      <formula>"ERROR"</formula>
    </cfRule>
    <cfRule type="cellIs" dxfId="378" priority="98" stopIfTrue="1" operator="equal">
      <formula>"OK"</formula>
    </cfRule>
    <cfRule type="cellIs" dxfId="377" priority="99" stopIfTrue="1" operator="equal">
      <formula>"WARNING"</formula>
    </cfRule>
  </conditionalFormatting>
  <conditionalFormatting sqref="C20">
    <cfRule type="cellIs" dxfId="376" priority="91" stopIfTrue="1" operator="equal">
      <formula>"ERROR"</formula>
    </cfRule>
  </conditionalFormatting>
  <conditionalFormatting sqref="C20">
    <cfRule type="cellIs" dxfId="375" priority="92" stopIfTrue="1" operator="equal">
      <formula>"OK"</formula>
    </cfRule>
  </conditionalFormatting>
  <conditionalFormatting sqref="C20">
    <cfRule type="cellIs" dxfId="374" priority="93" stopIfTrue="1" operator="equal">
      <formula>"WARNING"</formula>
    </cfRule>
  </conditionalFormatting>
  <conditionalFormatting sqref="G25">
    <cfRule type="cellIs" dxfId="373" priority="126" stopIfTrue="1" operator="equal">
      <formula>"ERROR"</formula>
    </cfRule>
    <cfRule type="cellIs" dxfId="372" priority="127" stopIfTrue="1" operator="equal">
      <formula>"OK"</formula>
    </cfRule>
    <cfRule type="cellIs" dxfId="371" priority="128" stopIfTrue="1" operator="equal">
      <formula>"WARNING"</formula>
    </cfRule>
  </conditionalFormatting>
  <conditionalFormatting sqref="N25">
    <cfRule type="cellIs" dxfId="370" priority="88" stopIfTrue="1" operator="equal">
      <formula>"ERROR"</formula>
    </cfRule>
    <cfRule type="cellIs" dxfId="369" priority="89" stopIfTrue="1" operator="equal">
      <formula>"OK"</formula>
    </cfRule>
    <cfRule type="cellIs" dxfId="368" priority="90" stopIfTrue="1" operator="equal">
      <formula>"WARNING"</formula>
    </cfRule>
  </conditionalFormatting>
  <conditionalFormatting sqref="U25">
    <cfRule type="cellIs" dxfId="367" priority="85" stopIfTrue="1" operator="equal">
      <formula>"ERROR"</formula>
    </cfRule>
    <cfRule type="cellIs" dxfId="366" priority="86" stopIfTrue="1" operator="equal">
      <formula>"OK"</formula>
    </cfRule>
    <cfRule type="cellIs" dxfId="365" priority="87" stopIfTrue="1" operator="equal">
      <formula>"WARNING"</formula>
    </cfRule>
  </conditionalFormatting>
  <conditionalFormatting sqref="G128:G136">
    <cfRule type="cellIs" dxfId="364" priority="129" stopIfTrue="1" operator="equal">
      <formula>"ERROR"</formula>
    </cfRule>
    <cfRule type="cellIs" dxfId="363" priority="130" stopIfTrue="1" operator="equal">
      <formula>"OK"</formula>
    </cfRule>
    <cfRule type="cellIs" dxfId="362" priority="131" stopIfTrue="1" operator="equal">
      <formula>"WARNING"</formula>
    </cfRule>
  </conditionalFormatting>
  <conditionalFormatting sqref="C123">
    <cfRule type="cellIs" dxfId="361" priority="82" stopIfTrue="1" operator="equal">
      <formula>"ERROR"</formula>
    </cfRule>
  </conditionalFormatting>
  <conditionalFormatting sqref="C123">
    <cfRule type="cellIs" dxfId="360" priority="83" stopIfTrue="1" operator="equal">
      <formula>"OK"</formula>
    </cfRule>
  </conditionalFormatting>
  <conditionalFormatting sqref="C123">
    <cfRule type="cellIs" dxfId="359" priority="84" stopIfTrue="1" operator="equal">
      <formula>"WARNING"</formula>
    </cfRule>
  </conditionalFormatting>
  <conditionalFormatting sqref="N128:N145">
    <cfRule type="cellIs" dxfId="358" priority="79" stopIfTrue="1" operator="equal">
      <formula>"ERROR"</formula>
    </cfRule>
    <cfRule type="cellIs" dxfId="357" priority="80" stopIfTrue="1" operator="equal">
      <formula>"OK"</formula>
    </cfRule>
    <cfRule type="cellIs" dxfId="356" priority="81" stopIfTrue="1" operator="equal">
      <formula>"WARNING"</formula>
    </cfRule>
  </conditionalFormatting>
  <conditionalFormatting sqref="AB25">
    <cfRule type="cellIs" dxfId="355" priority="76" stopIfTrue="1" operator="equal">
      <formula>"ERROR"</formula>
    </cfRule>
    <cfRule type="cellIs" dxfId="354" priority="77" stopIfTrue="1" operator="equal">
      <formula>"OK"</formula>
    </cfRule>
    <cfRule type="cellIs" dxfId="353" priority="78" stopIfTrue="1" operator="equal">
      <formula>"WARNING"</formula>
    </cfRule>
  </conditionalFormatting>
  <conditionalFormatting sqref="C35">
    <cfRule type="cellIs" dxfId="352" priority="70" stopIfTrue="1" operator="equal">
      <formula>"ERROR"</formula>
    </cfRule>
  </conditionalFormatting>
  <conditionalFormatting sqref="C35">
    <cfRule type="cellIs" dxfId="351" priority="71" stopIfTrue="1" operator="equal">
      <formula>"OK"</formula>
    </cfRule>
  </conditionalFormatting>
  <conditionalFormatting sqref="C35">
    <cfRule type="cellIs" dxfId="350" priority="72" stopIfTrue="1" operator="equal">
      <formula>"WARNING"</formula>
    </cfRule>
  </conditionalFormatting>
  <conditionalFormatting sqref="G40">
    <cfRule type="cellIs" dxfId="349" priority="73" stopIfTrue="1" operator="equal">
      <formula>"ERROR"</formula>
    </cfRule>
    <cfRule type="cellIs" dxfId="348" priority="74" stopIfTrue="1" operator="equal">
      <formula>"OK"</formula>
    </cfRule>
    <cfRule type="cellIs" dxfId="347" priority="75" stopIfTrue="1" operator="equal">
      <formula>"WARNING"</formula>
    </cfRule>
  </conditionalFormatting>
  <conditionalFormatting sqref="N40">
    <cfRule type="cellIs" dxfId="346" priority="67" stopIfTrue="1" operator="equal">
      <formula>"ERROR"</formula>
    </cfRule>
    <cfRule type="cellIs" dxfId="345" priority="68" stopIfTrue="1" operator="equal">
      <formula>"OK"</formula>
    </cfRule>
    <cfRule type="cellIs" dxfId="344" priority="69" stopIfTrue="1" operator="equal">
      <formula>"WARNING"</formula>
    </cfRule>
  </conditionalFormatting>
  <conditionalFormatting sqref="U40">
    <cfRule type="cellIs" dxfId="343" priority="64" stopIfTrue="1" operator="equal">
      <formula>"ERROR"</formula>
    </cfRule>
    <cfRule type="cellIs" dxfId="342" priority="65" stopIfTrue="1" operator="equal">
      <formula>"OK"</formula>
    </cfRule>
    <cfRule type="cellIs" dxfId="341" priority="66" stopIfTrue="1" operator="equal">
      <formula>"WARNING"</formula>
    </cfRule>
  </conditionalFormatting>
  <conditionalFormatting sqref="AB40">
    <cfRule type="cellIs" dxfId="340" priority="61" stopIfTrue="1" operator="equal">
      <formula>"ERROR"</formula>
    </cfRule>
    <cfRule type="cellIs" dxfId="339" priority="62" stopIfTrue="1" operator="equal">
      <formula>"OK"</formula>
    </cfRule>
    <cfRule type="cellIs" dxfId="338" priority="63" stopIfTrue="1" operator="equal">
      <formula>"WARNING"</formula>
    </cfRule>
  </conditionalFormatting>
  <conditionalFormatting sqref="C50">
    <cfRule type="cellIs" dxfId="337" priority="55" stopIfTrue="1" operator="equal">
      <formula>"ERROR"</formula>
    </cfRule>
  </conditionalFormatting>
  <conditionalFormatting sqref="C50">
    <cfRule type="cellIs" dxfId="336" priority="56" stopIfTrue="1" operator="equal">
      <formula>"OK"</formula>
    </cfRule>
  </conditionalFormatting>
  <conditionalFormatting sqref="C50">
    <cfRule type="cellIs" dxfId="335" priority="57" stopIfTrue="1" operator="equal">
      <formula>"WARNING"</formula>
    </cfRule>
  </conditionalFormatting>
  <conditionalFormatting sqref="G55">
    <cfRule type="cellIs" dxfId="334" priority="58" stopIfTrue="1" operator="equal">
      <formula>"ERROR"</formula>
    </cfRule>
    <cfRule type="cellIs" dxfId="333" priority="59" stopIfTrue="1" operator="equal">
      <formula>"OK"</formula>
    </cfRule>
    <cfRule type="cellIs" dxfId="332" priority="60" stopIfTrue="1" operator="equal">
      <formula>"WARNING"</formula>
    </cfRule>
  </conditionalFormatting>
  <conditionalFormatting sqref="N55">
    <cfRule type="cellIs" dxfId="331" priority="52" stopIfTrue="1" operator="equal">
      <formula>"ERROR"</formula>
    </cfRule>
    <cfRule type="cellIs" dxfId="330" priority="53" stopIfTrue="1" operator="equal">
      <formula>"OK"</formula>
    </cfRule>
    <cfRule type="cellIs" dxfId="329" priority="54" stopIfTrue="1" operator="equal">
      <formula>"WARNING"</formula>
    </cfRule>
  </conditionalFormatting>
  <conditionalFormatting sqref="U55">
    <cfRule type="cellIs" dxfId="328" priority="49" stopIfTrue="1" operator="equal">
      <formula>"ERROR"</formula>
    </cfRule>
    <cfRule type="cellIs" dxfId="327" priority="50" stopIfTrue="1" operator="equal">
      <formula>"OK"</formula>
    </cfRule>
    <cfRule type="cellIs" dxfId="326" priority="51" stopIfTrue="1" operator="equal">
      <formula>"WARNING"</formula>
    </cfRule>
  </conditionalFormatting>
  <conditionalFormatting sqref="AB55">
    <cfRule type="cellIs" dxfId="325" priority="46" stopIfTrue="1" operator="equal">
      <formula>"ERROR"</formula>
    </cfRule>
    <cfRule type="cellIs" dxfId="324" priority="47" stopIfTrue="1" operator="equal">
      <formula>"OK"</formula>
    </cfRule>
    <cfRule type="cellIs" dxfId="323" priority="48" stopIfTrue="1" operator="equal">
      <formula>"WARNING"</formula>
    </cfRule>
  </conditionalFormatting>
  <conditionalFormatting sqref="G70">
    <cfRule type="cellIs" dxfId="322" priority="40" stopIfTrue="1" operator="equal">
      <formula>"ERROR"</formula>
    </cfRule>
    <cfRule type="cellIs" dxfId="321" priority="41" stopIfTrue="1" operator="equal">
      <formula>"OK"</formula>
    </cfRule>
    <cfRule type="cellIs" dxfId="320" priority="42" stopIfTrue="1" operator="equal">
      <formula>"WARNING"</formula>
    </cfRule>
  </conditionalFormatting>
  <conditionalFormatting sqref="C65">
    <cfRule type="cellIs" dxfId="319" priority="37" stopIfTrue="1" operator="equal">
      <formula>"ERROR"</formula>
    </cfRule>
  </conditionalFormatting>
  <conditionalFormatting sqref="C65">
    <cfRule type="cellIs" dxfId="318" priority="38" stopIfTrue="1" operator="equal">
      <formula>"OK"</formula>
    </cfRule>
  </conditionalFormatting>
  <conditionalFormatting sqref="C65">
    <cfRule type="cellIs" dxfId="317" priority="39" stopIfTrue="1" operator="equal">
      <formula>"WARNING"</formula>
    </cfRule>
  </conditionalFormatting>
  <conditionalFormatting sqref="N70">
    <cfRule type="cellIs" dxfId="316" priority="34" stopIfTrue="1" operator="equal">
      <formula>"ERROR"</formula>
    </cfRule>
    <cfRule type="cellIs" dxfId="315" priority="35" stopIfTrue="1" operator="equal">
      <formula>"OK"</formula>
    </cfRule>
    <cfRule type="cellIs" dxfId="314" priority="36" stopIfTrue="1" operator="equal">
      <formula>"WARNING"</formula>
    </cfRule>
  </conditionalFormatting>
  <conditionalFormatting sqref="U70">
    <cfRule type="cellIs" dxfId="313" priority="31" stopIfTrue="1" operator="equal">
      <formula>"ERROR"</formula>
    </cfRule>
    <cfRule type="cellIs" dxfId="312" priority="32" stopIfTrue="1" operator="equal">
      <formula>"OK"</formula>
    </cfRule>
    <cfRule type="cellIs" dxfId="311" priority="33" stopIfTrue="1" operator="equal">
      <formula>"WARNING"</formula>
    </cfRule>
  </conditionalFormatting>
  <conditionalFormatting sqref="AB70">
    <cfRule type="cellIs" dxfId="310" priority="28" stopIfTrue="1" operator="equal">
      <formula>"ERROR"</formula>
    </cfRule>
    <cfRule type="cellIs" dxfId="309" priority="29" stopIfTrue="1" operator="equal">
      <formula>"OK"</formula>
    </cfRule>
    <cfRule type="cellIs" dxfId="308" priority="30" stopIfTrue="1" operator="equal">
      <formula>"WARNING"</formula>
    </cfRule>
  </conditionalFormatting>
  <conditionalFormatting sqref="U128">
    <cfRule type="cellIs" dxfId="307" priority="25" stopIfTrue="1" operator="equal">
      <formula>"ERROR"</formula>
    </cfRule>
    <cfRule type="cellIs" dxfId="306" priority="26" stopIfTrue="1" operator="equal">
      <formula>"OK"</formula>
    </cfRule>
    <cfRule type="cellIs" dxfId="305" priority="27" stopIfTrue="1" operator="equal">
      <formula>"WARNING"</formula>
    </cfRule>
  </conditionalFormatting>
  <conditionalFormatting sqref="C166">
    <cfRule type="cellIs" dxfId="304" priority="22" stopIfTrue="1" operator="equal">
      <formula>"ERROR"</formula>
    </cfRule>
  </conditionalFormatting>
  <conditionalFormatting sqref="C166">
    <cfRule type="cellIs" dxfId="303" priority="23" stopIfTrue="1" operator="equal">
      <formula>"OK"</formula>
    </cfRule>
  </conditionalFormatting>
  <conditionalFormatting sqref="C166">
    <cfRule type="cellIs" dxfId="302" priority="24" stopIfTrue="1" operator="equal">
      <formula>"WARNING"</formula>
    </cfRule>
  </conditionalFormatting>
  <conditionalFormatting sqref="H171:I175">
    <cfRule type="cellIs" dxfId="301" priority="132" stopIfTrue="1" operator="equal">
      <formula>"ERROR"</formula>
    </cfRule>
  </conditionalFormatting>
  <conditionalFormatting sqref="H171:I175">
    <cfRule type="cellIs" dxfId="300" priority="133" stopIfTrue="1" operator="equal">
      <formula>"OK"</formula>
    </cfRule>
  </conditionalFormatting>
  <conditionalFormatting sqref="H171:I175">
    <cfRule type="cellIs" dxfId="299" priority="134" stopIfTrue="1" operator="equal">
      <formula>"WARNING"</formula>
    </cfRule>
  </conditionalFormatting>
  <conditionalFormatting sqref="D12:D13">
    <cfRule type="cellIs" dxfId="298" priority="135" stopIfTrue="1" operator="equal">
      <formula>"ERROR"</formula>
    </cfRule>
    <cfRule type="cellIs" dxfId="297" priority="136" stopIfTrue="1" operator="equal">
      <formula>"OK"</formula>
    </cfRule>
    <cfRule type="cellIs" dxfId="296" priority="137" stopIfTrue="1" operator="equal">
      <formula>"WARNING"</formula>
    </cfRule>
  </conditionalFormatting>
  <conditionalFormatting sqref="D14:D15">
    <cfRule type="cellIs" dxfId="295" priority="138" stopIfTrue="1" operator="equal">
      <formula>"ERROR"</formula>
    </cfRule>
    <cfRule type="cellIs" dxfId="294" priority="139" stopIfTrue="1" operator="equal">
      <formula>"OK"</formula>
    </cfRule>
    <cfRule type="cellIs" dxfId="293" priority="140" stopIfTrue="1" operator="equal">
      <formula>"WARNING"</formula>
    </cfRule>
  </conditionalFormatting>
  <conditionalFormatting sqref="C181">
    <cfRule type="cellIs" dxfId="292" priority="16" stopIfTrue="1" operator="equal">
      <formula>"ERROR"</formula>
    </cfRule>
  </conditionalFormatting>
  <conditionalFormatting sqref="C181">
    <cfRule type="cellIs" dxfId="291" priority="17" stopIfTrue="1" operator="equal">
      <formula>"OK"</formula>
    </cfRule>
  </conditionalFormatting>
  <conditionalFormatting sqref="C181">
    <cfRule type="cellIs" dxfId="290" priority="18" stopIfTrue="1" operator="equal">
      <formula>"WARNING"</formula>
    </cfRule>
  </conditionalFormatting>
  <conditionalFormatting sqref="L186:O190">
    <cfRule type="cellIs" dxfId="289" priority="19" stopIfTrue="1" operator="equal">
      <formula>"ERROR"</formula>
    </cfRule>
  </conditionalFormatting>
  <conditionalFormatting sqref="L186:O190">
    <cfRule type="cellIs" dxfId="288" priority="20" stopIfTrue="1" operator="equal">
      <formula>"OK"</formula>
    </cfRule>
  </conditionalFormatting>
  <conditionalFormatting sqref="L186:O190">
    <cfRule type="cellIs" dxfId="287" priority="21" stopIfTrue="1" operator="equal">
      <formula>"WARNING"</formula>
    </cfRule>
  </conditionalFormatting>
  <conditionalFormatting sqref="C79">
    <cfRule type="cellIs" dxfId="286" priority="13" stopIfTrue="1" operator="equal">
      <formula>"ERROR"</formula>
    </cfRule>
  </conditionalFormatting>
  <conditionalFormatting sqref="C79">
    <cfRule type="cellIs" dxfId="285" priority="14" stopIfTrue="1" operator="equal">
      <formula>"OK"</formula>
    </cfRule>
  </conditionalFormatting>
  <conditionalFormatting sqref="C79">
    <cfRule type="cellIs" dxfId="284" priority="15" stopIfTrue="1" operator="equal">
      <formula>"WARNING"</formula>
    </cfRule>
  </conditionalFormatting>
  <conditionalFormatting sqref="L84:O117">
    <cfRule type="cellIs" dxfId="283" priority="141" stopIfTrue="1" operator="equal">
      <formula>"ERROR"</formula>
    </cfRule>
  </conditionalFormatting>
  <conditionalFormatting sqref="L84:O117">
    <cfRule type="cellIs" dxfId="282" priority="142" stopIfTrue="1" operator="equal">
      <formula>"OK"</formula>
    </cfRule>
  </conditionalFormatting>
  <conditionalFormatting sqref="L84:O117">
    <cfRule type="cellIs" dxfId="281" priority="143" stopIfTrue="1" operator="equal">
      <formula>"WARNING"</formula>
    </cfRule>
  </conditionalFormatting>
  <conditionalFormatting sqref="C150">
    <cfRule type="cellIs" dxfId="280" priority="10" stopIfTrue="1" operator="equal">
      <formula>"ERROR"</formula>
    </cfRule>
  </conditionalFormatting>
  <conditionalFormatting sqref="C150">
    <cfRule type="cellIs" dxfId="279" priority="11" stopIfTrue="1" operator="equal">
      <formula>"OK"</formula>
    </cfRule>
  </conditionalFormatting>
  <conditionalFormatting sqref="C150">
    <cfRule type="cellIs" dxfId="278" priority="12" stopIfTrue="1" operator="equal">
      <formula>"WARNING"</formula>
    </cfRule>
  </conditionalFormatting>
  <conditionalFormatting sqref="G155:G159">
    <cfRule type="cellIs" dxfId="277" priority="144" stopIfTrue="1" operator="equal">
      <formula>"ERROR"</formula>
    </cfRule>
  </conditionalFormatting>
  <conditionalFormatting sqref="G155:G159">
    <cfRule type="cellIs" dxfId="276" priority="145" stopIfTrue="1" operator="equal">
      <formula>"OK"</formula>
    </cfRule>
  </conditionalFormatting>
  <conditionalFormatting sqref="G155:G159">
    <cfRule type="cellIs" dxfId="275" priority="146" stopIfTrue="1" operator="equal">
      <formula>"WARNING"</formula>
    </cfRule>
  </conditionalFormatting>
  <conditionalFormatting sqref="N155:N159">
    <cfRule type="cellIs" dxfId="274" priority="7" stopIfTrue="1" operator="equal">
      <formula>"ERROR"</formula>
    </cfRule>
  </conditionalFormatting>
  <conditionalFormatting sqref="N155:N159">
    <cfRule type="cellIs" dxfId="273" priority="8" stopIfTrue="1" operator="equal">
      <formula>"OK"</formula>
    </cfRule>
  </conditionalFormatting>
  <conditionalFormatting sqref="N155:N159">
    <cfRule type="cellIs" dxfId="272" priority="9" stopIfTrue="1" operator="equal">
      <formula>"WARNING"</formula>
    </cfRule>
  </conditionalFormatting>
  <conditionalFormatting sqref="U155:U159">
    <cfRule type="cellIs" dxfId="271" priority="4" stopIfTrue="1" operator="equal">
      <formula>"ERROR"</formula>
    </cfRule>
  </conditionalFormatting>
  <conditionalFormatting sqref="U155:U159">
    <cfRule type="cellIs" dxfId="270" priority="5" stopIfTrue="1" operator="equal">
      <formula>"OK"</formula>
    </cfRule>
  </conditionalFormatting>
  <conditionalFormatting sqref="U155:U159">
    <cfRule type="cellIs" dxfId="269" priority="6" stopIfTrue="1" operator="equal">
      <formula>"WARNING"</formula>
    </cfRule>
  </conditionalFormatting>
  <conditionalFormatting sqref="AB155">
    <cfRule type="cellIs" dxfId="268" priority="1" stopIfTrue="1" operator="equal">
      <formula>"ERROR"</formula>
    </cfRule>
  </conditionalFormatting>
  <conditionalFormatting sqref="AB155">
    <cfRule type="cellIs" dxfId="267" priority="2" stopIfTrue="1" operator="equal">
      <formula>"OK"</formula>
    </cfRule>
  </conditionalFormatting>
  <conditionalFormatting sqref="AB155">
    <cfRule type="cellIs" dxfId="266" priority="3" stopIfTrue="1" operator="equal">
      <formula>"WARNING"</formula>
    </cfRule>
  </conditionalFormatting>
  <hyperlinks>
    <hyperlink ref="B7:C7" location="$B$19" display="$B$19" xr:uid="{2CFBFE33-343F-4088-BAEB-9AB5F6334776}"/>
    <hyperlink ref="B8:C8" location="$B$34" display="$B$34" xr:uid="{50331D7A-E0F0-4470-9819-445FBB10EFFF}"/>
    <hyperlink ref="B9:C9" location="$B$49" display="$B$49" xr:uid="{C1BF1C80-383A-4449-96B0-24C82F4C8C0C}"/>
    <hyperlink ref="B10:C10" location="$B$64" display="$B$64" xr:uid="{14FE2526-6A12-4186-B9F7-344C2BA85565}"/>
    <hyperlink ref="B11:C11" location="$B$78" display="$B$78" xr:uid="{C97C61E4-688F-47E6-A85C-88BFD601215B}"/>
    <hyperlink ref="B12:C12" location="$B$122" display="$B$122" xr:uid="{1FDBCA23-ACFF-4EA1-B7FD-98B2676350BC}"/>
    <hyperlink ref="B13:C13" location="$B$149" display="$B$149" xr:uid="{08EE9C5D-A8FC-42C1-90DF-5715F219CEBC}"/>
    <hyperlink ref="B14:C14" location="$B$165" display="$B$165" xr:uid="{9D6BA76B-C91F-42D3-B149-70F62218882D}"/>
    <hyperlink ref="B15:C15" location="$B$180" display="$B$180" xr:uid="{7526F68B-CA85-49D3-B204-CD57007E2F9C}"/>
    <hyperlink ref="B1" location="Summary!A1" display="Summary!A1" xr:uid="{97A6595A-52BD-4B05-998A-59178C5B1926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2809E-7E67-4C8A-96ED-61170B6BF16A}">
  <sheetPr codeName="Sheet14">
    <tabColor theme="4" tint="-0.499984740745262"/>
  </sheetPr>
  <dimension ref="A1:BI36"/>
  <sheetViews>
    <sheetView showGridLines="0" zoomScaleNormal="100" workbookViewId="0">
      <selection activeCell="B1" sqref="B1"/>
    </sheetView>
  </sheetViews>
  <sheetFormatPr defaultColWidth="14.75" defaultRowHeight="15" x14ac:dyDescent="0.25"/>
  <cols>
    <col min="1" max="1" width="3.75" customWidth="1"/>
    <col min="39" max="40" width="70" bestFit="1" customWidth="1"/>
    <col min="47" max="48" width="70" bestFit="1" customWidth="1"/>
    <col min="55" max="56" width="44.5" bestFit="1" customWidth="1"/>
    <col min="59" max="60" width="44.5" bestFit="1" customWidth="1"/>
  </cols>
  <sheetData>
    <row r="1" spans="1:61" x14ac:dyDescent="0.25">
      <c r="B1" s="482" t="s">
        <v>432</v>
      </c>
    </row>
    <row r="2" spans="1:61" ht="26.25" x14ac:dyDescent="0.4">
      <c r="B2" s="2" t="s">
        <v>373</v>
      </c>
      <c r="C2" s="376"/>
      <c r="D2" s="376"/>
      <c r="E2" s="376"/>
      <c r="F2" s="376"/>
      <c r="G2" s="376"/>
      <c r="H2" s="376"/>
      <c r="I2" s="376"/>
      <c r="J2" s="376"/>
      <c r="K2" s="376"/>
      <c r="L2" s="376"/>
      <c r="M2" s="376"/>
      <c r="N2" s="376"/>
      <c r="O2" s="376"/>
      <c r="P2" s="376"/>
      <c r="Q2" s="376"/>
      <c r="R2" s="376"/>
      <c r="S2" s="376"/>
      <c r="T2" s="376"/>
      <c r="U2" s="376"/>
      <c r="V2" s="376"/>
      <c r="W2" s="376"/>
      <c r="X2" s="376"/>
      <c r="Y2" s="376"/>
      <c r="Z2" s="376"/>
      <c r="AA2" s="376"/>
      <c r="AB2" s="376"/>
      <c r="AC2" s="376"/>
      <c r="AD2" s="376"/>
      <c r="AE2" s="376"/>
      <c r="AF2" s="376"/>
      <c r="AG2" s="376"/>
      <c r="AH2" s="376"/>
      <c r="AI2" s="376"/>
      <c r="AJ2" s="376"/>
      <c r="AK2" s="376"/>
      <c r="AL2" s="376"/>
      <c r="AM2" s="376"/>
      <c r="AN2" s="376"/>
      <c r="AO2" s="376"/>
      <c r="AP2" s="376"/>
      <c r="AQ2" s="376"/>
      <c r="AR2" s="376"/>
      <c r="AS2" s="376"/>
      <c r="AT2" s="376"/>
      <c r="AU2" s="376"/>
      <c r="AV2" s="376"/>
      <c r="AW2" s="376"/>
      <c r="AX2" s="376"/>
      <c r="AY2" s="376"/>
      <c r="AZ2" s="376"/>
      <c r="BA2" s="376"/>
      <c r="BB2" s="376"/>
      <c r="BC2" s="376"/>
      <c r="BD2" s="376"/>
      <c r="BE2" s="376"/>
      <c r="BF2" s="376"/>
      <c r="BG2" s="376"/>
      <c r="BH2" s="376"/>
      <c r="BI2" s="376"/>
    </row>
    <row r="4" spans="1:61" x14ac:dyDescent="0.25">
      <c r="B4" s="59" t="s">
        <v>166</v>
      </c>
      <c r="C4" s="371" t="str" cm="1">
        <f t="array" aca="1" ref="C4" ca="1">_xll.d.TestUtils_And(D7:D8)</f>
        <v>Ok</v>
      </c>
      <c r="D4" s="369"/>
      <c r="E4" s="369"/>
      <c r="F4" s="369"/>
      <c r="G4" s="369"/>
      <c r="H4" s="369"/>
      <c r="I4" s="369"/>
      <c r="J4" s="369"/>
      <c r="K4" s="369"/>
      <c r="L4" s="369"/>
      <c r="M4" s="369"/>
      <c r="N4" s="369"/>
      <c r="O4" s="369"/>
      <c r="P4" s="369"/>
      <c r="Q4" s="369"/>
      <c r="R4" s="369"/>
      <c r="S4" s="369"/>
      <c r="T4" s="369"/>
      <c r="U4" s="369"/>
      <c r="V4" s="369"/>
      <c r="W4" s="369"/>
      <c r="X4" s="369"/>
      <c r="Y4" s="369"/>
      <c r="Z4" s="369"/>
      <c r="AA4" s="369"/>
      <c r="AB4" s="369"/>
      <c r="AC4" s="369"/>
    </row>
    <row r="6" spans="1:61" x14ac:dyDescent="0.25">
      <c r="B6" s="223" t="s">
        <v>241</v>
      </c>
      <c r="C6" s="223"/>
      <c r="D6" s="224" t="s">
        <v>11</v>
      </c>
      <c r="E6" s="369"/>
      <c r="F6" s="369"/>
      <c r="G6" s="369"/>
      <c r="H6" s="369"/>
      <c r="I6" s="369"/>
      <c r="J6" s="369"/>
      <c r="K6" s="369"/>
      <c r="L6" s="369"/>
      <c r="M6" s="369"/>
      <c r="N6" s="369"/>
      <c r="O6" s="369"/>
      <c r="P6" s="369"/>
      <c r="Q6" s="369"/>
      <c r="R6" s="369"/>
      <c r="S6" s="369"/>
      <c r="T6" s="369"/>
      <c r="U6" s="369"/>
      <c r="V6" s="369"/>
      <c r="W6" s="369"/>
      <c r="X6" s="369"/>
      <c r="Y6" s="369"/>
      <c r="Z6" s="369"/>
      <c r="AA6" s="369"/>
      <c r="AB6" s="369"/>
      <c r="AC6" s="369"/>
    </row>
    <row r="7" spans="1:61" x14ac:dyDescent="0.25">
      <c r="B7" s="481" t="s">
        <v>374</v>
      </c>
      <c r="C7" s="236"/>
      <c r="D7" s="371" t="str">
        <f>C13</f>
        <v>Ok</v>
      </c>
      <c r="E7" s="369"/>
      <c r="F7" s="369"/>
      <c r="G7" s="369"/>
      <c r="H7" s="369"/>
      <c r="I7" s="369"/>
      <c r="J7" s="369"/>
      <c r="K7" s="369"/>
      <c r="L7" s="369"/>
      <c r="M7" s="369"/>
      <c r="N7" s="369"/>
      <c r="O7" s="369"/>
      <c r="P7" s="369"/>
      <c r="Q7" s="369"/>
      <c r="R7" s="369"/>
      <c r="S7" s="369"/>
      <c r="T7" s="369"/>
      <c r="U7" s="369"/>
      <c r="V7" s="369"/>
      <c r="W7" s="369"/>
      <c r="X7" s="369"/>
      <c r="Y7" s="369"/>
      <c r="Z7" s="369"/>
      <c r="AA7" s="369"/>
      <c r="AB7" s="369"/>
      <c r="AC7" s="369"/>
    </row>
    <row r="8" spans="1:61" x14ac:dyDescent="0.25">
      <c r="B8" s="481" t="s">
        <v>392</v>
      </c>
      <c r="C8" s="236"/>
      <c r="D8" s="371" t="str">
        <f ca="1">C25</f>
        <v>Ok</v>
      </c>
      <c r="E8" s="369"/>
      <c r="F8" s="369"/>
      <c r="G8" s="369"/>
      <c r="H8" s="369"/>
      <c r="I8" s="369"/>
      <c r="J8" s="369"/>
      <c r="K8" s="369"/>
      <c r="L8" s="369"/>
      <c r="M8" s="369"/>
      <c r="N8" s="369"/>
      <c r="O8" s="369"/>
      <c r="P8" s="369"/>
      <c r="Q8" s="369"/>
      <c r="R8" s="369"/>
      <c r="S8" s="369"/>
      <c r="T8" s="369"/>
      <c r="U8" s="369"/>
      <c r="V8" s="369"/>
      <c r="W8" s="369"/>
      <c r="X8" s="369"/>
      <c r="Y8" s="369"/>
      <c r="Z8" s="369"/>
      <c r="AA8" s="369"/>
      <c r="AB8" s="369"/>
      <c r="AC8" s="369"/>
    </row>
    <row r="11" spans="1:61" s="369" customFormat="1" ht="18.75" x14ac:dyDescent="0.3">
      <c r="A11"/>
      <c r="B11" s="3" t="s">
        <v>374</v>
      </c>
      <c r="C11" s="377"/>
      <c r="D11" s="377"/>
      <c r="E11" s="377"/>
      <c r="F11" s="377"/>
      <c r="G11" s="377"/>
      <c r="H11" s="377"/>
      <c r="I11" s="377"/>
      <c r="J11" s="377"/>
      <c r="K11" s="377"/>
      <c r="L11" s="377"/>
      <c r="M11" s="377"/>
      <c r="N11" s="377"/>
      <c r="O11" s="377"/>
      <c r="P11" s="377"/>
      <c r="Q11" s="377"/>
      <c r="R11" s="377"/>
      <c r="S11" s="377"/>
      <c r="T11" s="377"/>
      <c r="U11" s="377"/>
      <c r="V11" s="377"/>
      <c r="W11" s="377"/>
      <c r="X11" s="377"/>
      <c r="Y11" s="377"/>
      <c r="Z11" s="377"/>
      <c r="AA11" s="377"/>
      <c r="AB11" s="377"/>
      <c r="AC11" s="377"/>
      <c r="AD11" s="377"/>
      <c r="AE11" s="377"/>
      <c r="AF11" s="377"/>
      <c r="AG11" s="377"/>
      <c r="AH11" s="377"/>
      <c r="AI11" s="377"/>
      <c r="AJ11" s="377"/>
      <c r="AK11" s="377"/>
      <c r="AL11" s="377"/>
      <c r="AM11" s="377"/>
      <c r="AN11" s="377"/>
      <c r="AO11" s="377"/>
      <c r="AP11" s="377"/>
      <c r="AQ11" s="377"/>
      <c r="AR11" s="377"/>
      <c r="AS11" s="377"/>
      <c r="AT11" s="377"/>
      <c r="AU11" s="377"/>
      <c r="AV11" s="377"/>
      <c r="AW11" s="377"/>
      <c r="AX11" s="377"/>
      <c r="AY11" s="377"/>
      <c r="AZ11" s="377"/>
      <c r="BA11" s="377"/>
      <c r="BB11" s="377"/>
      <c r="BC11" s="377"/>
      <c r="BD11" s="377"/>
      <c r="BE11" s="377"/>
      <c r="BF11" s="377"/>
      <c r="BG11" s="377"/>
      <c r="BH11" s="377"/>
      <c r="BI11" s="377"/>
    </row>
    <row r="13" spans="1:61" x14ac:dyDescent="0.25">
      <c r="B13" s="59" t="s">
        <v>166</v>
      </c>
      <c r="C13" s="371" t="str" cm="1">
        <f t="array" ref="C13">_xll.d.TestUtils_And(H18,P18,Y18,AG18,AO18,AW18,BE18)</f>
        <v>Ok</v>
      </c>
      <c r="D13" s="369"/>
      <c r="E13" s="369"/>
      <c r="F13" s="369"/>
      <c r="G13" s="369"/>
    </row>
    <row r="14" spans="1:61" x14ac:dyDescent="0.25">
      <c r="B14" s="369"/>
      <c r="C14" s="369"/>
      <c r="D14" s="369"/>
      <c r="E14" s="369"/>
      <c r="F14" s="369"/>
      <c r="G14" s="370"/>
    </row>
    <row r="15" spans="1:61" ht="15.75" x14ac:dyDescent="0.25">
      <c r="B15" s="4" t="s">
        <v>375</v>
      </c>
      <c r="C15" s="378"/>
      <c r="D15" s="378"/>
      <c r="E15" s="378"/>
      <c r="F15" s="378"/>
      <c r="G15" s="378"/>
      <c r="H15" s="378"/>
      <c r="J15" s="4" t="s">
        <v>379</v>
      </c>
      <c r="K15" s="378"/>
      <c r="L15" s="378"/>
      <c r="M15" s="378"/>
      <c r="N15" s="378"/>
      <c r="O15" s="378"/>
      <c r="P15" s="378"/>
      <c r="R15" s="4" t="s">
        <v>381</v>
      </c>
      <c r="S15" s="378"/>
      <c r="T15" s="378"/>
      <c r="U15" s="378"/>
      <c r="V15" s="378"/>
      <c r="W15" s="378"/>
      <c r="X15" s="378"/>
      <c r="Y15" s="378"/>
      <c r="AA15" s="4" t="s">
        <v>382</v>
      </c>
      <c r="AB15" s="378"/>
      <c r="AC15" s="378"/>
      <c r="AD15" s="378"/>
      <c r="AE15" s="378"/>
      <c r="AF15" s="378"/>
      <c r="AG15" s="378"/>
      <c r="AI15" s="4" t="s">
        <v>384</v>
      </c>
      <c r="AJ15" s="378"/>
      <c r="AK15" s="378"/>
      <c r="AL15" s="378"/>
      <c r="AM15" s="378"/>
      <c r="AN15" s="378"/>
      <c r="AO15" s="378"/>
      <c r="AQ15" s="4" t="s">
        <v>398</v>
      </c>
      <c r="AR15" s="378"/>
      <c r="AS15" s="378"/>
      <c r="AT15" s="378"/>
      <c r="AU15" s="378"/>
      <c r="AV15" s="378"/>
      <c r="AW15" s="378"/>
      <c r="AY15" s="4" t="s">
        <v>399</v>
      </c>
      <c r="AZ15" s="378"/>
      <c r="BA15" s="378"/>
      <c r="BB15" s="378"/>
      <c r="BC15" s="378"/>
      <c r="BD15" s="378"/>
      <c r="BE15" s="378"/>
    </row>
    <row r="16" spans="1:61" x14ac:dyDescent="0.25">
      <c r="B16" s="369"/>
      <c r="C16" s="369"/>
      <c r="D16" s="369"/>
      <c r="E16" s="369"/>
      <c r="F16" s="369"/>
      <c r="G16" s="370"/>
      <c r="J16" s="369"/>
      <c r="K16" s="369"/>
      <c r="L16" s="369"/>
      <c r="M16" s="369"/>
      <c r="N16" s="369"/>
      <c r="O16" s="370"/>
      <c r="R16" s="369"/>
      <c r="S16" s="369"/>
      <c r="T16" s="369"/>
      <c r="U16" s="369"/>
      <c r="V16" s="369"/>
      <c r="W16" s="369"/>
      <c r="X16" s="370"/>
      <c r="AA16" s="369"/>
      <c r="AB16" s="369"/>
      <c r="AC16" s="369"/>
      <c r="AD16" s="369"/>
      <c r="AE16" s="369"/>
      <c r="AF16" s="370"/>
      <c r="AI16" s="369"/>
      <c r="AJ16" s="369"/>
      <c r="AK16" s="369"/>
      <c r="AL16" s="369"/>
      <c r="AM16" s="369"/>
      <c r="AN16" s="370"/>
      <c r="AQ16" s="369"/>
      <c r="AR16" s="369"/>
      <c r="AS16" s="369"/>
      <c r="AT16" s="369"/>
      <c r="AU16" s="369"/>
      <c r="AV16" s="370"/>
      <c r="AY16" s="369"/>
      <c r="AZ16" s="369"/>
      <c r="BA16" s="369"/>
      <c r="BB16" s="369"/>
      <c r="BC16" s="369"/>
      <c r="BD16" s="370"/>
    </row>
    <row r="17" spans="1:61" x14ac:dyDescent="0.25">
      <c r="B17" s="136" t="s">
        <v>259</v>
      </c>
      <c r="C17" s="226"/>
      <c r="D17" s="137"/>
      <c r="F17" s="136" t="s">
        <v>140</v>
      </c>
      <c r="G17" s="136" t="s">
        <v>261</v>
      </c>
      <c r="H17" s="136" t="s">
        <v>88</v>
      </c>
      <c r="J17" s="136" t="s">
        <v>259</v>
      </c>
      <c r="K17" s="226"/>
      <c r="L17" s="137"/>
      <c r="N17" s="136" t="s">
        <v>140</v>
      </c>
      <c r="O17" s="136" t="s">
        <v>261</v>
      </c>
      <c r="P17" s="136" t="s">
        <v>88</v>
      </c>
      <c r="R17" s="136" t="s">
        <v>259</v>
      </c>
      <c r="S17" s="226"/>
      <c r="T17" s="226"/>
      <c r="U17" s="137"/>
      <c r="W17" s="136" t="s">
        <v>140</v>
      </c>
      <c r="X17" s="136" t="s">
        <v>261</v>
      </c>
      <c r="Y17" s="136" t="s">
        <v>88</v>
      </c>
      <c r="AA17" s="136" t="s">
        <v>259</v>
      </c>
      <c r="AB17" s="226"/>
      <c r="AC17" s="137"/>
      <c r="AE17" s="136" t="s">
        <v>140</v>
      </c>
      <c r="AF17" s="136" t="s">
        <v>261</v>
      </c>
      <c r="AG17" s="136" t="s">
        <v>88</v>
      </c>
      <c r="AI17" s="136" t="s">
        <v>259</v>
      </c>
      <c r="AJ17" s="226"/>
      <c r="AK17" s="137"/>
      <c r="AM17" s="136" t="s">
        <v>140</v>
      </c>
      <c r="AN17" s="136" t="s">
        <v>261</v>
      </c>
      <c r="AO17" s="136" t="s">
        <v>88</v>
      </c>
      <c r="AQ17" s="136" t="s">
        <v>259</v>
      </c>
      <c r="AR17" s="226"/>
      <c r="AS17" s="137"/>
      <c r="AU17" s="136" t="s">
        <v>140</v>
      </c>
      <c r="AV17" s="136" t="s">
        <v>261</v>
      </c>
      <c r="AW17" s="136" t="s">
        <v>88</v>
      </c>
      <c r="AY17" s="136" t="s">
        <v>259</v>
      </c>
      <c r="AZ17" s="226"/>
      <c r="BA17" s="137"/>
      <c r="BC17" s="136" t="s">
        <v>140</v>
      </c>
      <c r="BD17" s="136" t="s">
        <v>261</v>
      </c>
      <c r="BE17" s="136" t="s">
        <v>88</v>
      </c>
    </row>
    <row r="18" spans="1:61" x14ac:dyDescent="0.25">
      <c r="B18" s="394" t="s">
        <v>376</v>
      </c>
      <c r="C18" s="395" t="s">
        <v>377</v>
      </c>
      <c r="D18" s="135" t="s">
        <v>378</v>
      </c>
      <c r="F18" s="397" cm="1">
        <f t="array" ref="F18">_xll.d.Math_Interpolate(B19:B20,C19:C20,D19,"linear")</f>
        <v>7.5000000000000011E-2</v>
      </c>
      <c r="G18" s="398">
        <f>(C20-C19)/(B20-B19)*(D19-B19)+C19</f>
        <v>7.5000000000000011E-2</v>
      </c>
      <c r="H18" s="381" t="str" cm="1">
        <f t="array" ref="H18">_xll.d.TestUtils_Equal(F18,G18)</f>
        <v>Ok</v>
      </c>
      <c r="J18" s="394" t="s">
        <v>376</v>
      </c>
      <c r="K18" s="395" t="s">
        <v>377</v>
      </c>
      <c r="L18" s="135" t="s">
        <v>378</v>
      </c>
      <c r="N18" s="397" cm="1">
        <f t="array" ref="N18">_xll.d.Math_Interpolate(J19:J20,K19:K20,L19,"exponential")</f>
        <v>7.0710678118654766E-2</v>
      </c>
      <c r="O18" s="398">
        <f>EXP((LN(K20/K19))/(J20-J19)*(L19-J19)+LN(K19))</f>
        <v>7.0710678118654766E-2</v>
      </c>
      <c r="P18" s="381" t="str" cm="1">
        <f t="array" ref="P18">_xll.d.TestUtils_Equal(N18,O18)</f>
        <v>Ok</v>
      </c>
      <c r="R18" s="394" t="s">
        <v>376</v>
      </c>
      <c r="S18" s="395" t="s">
        <v>377</v>
      </c>
      <c r="T18" s="395" t="s">
        <v>380</v>
      </c>
      <c r="U18" s="135" t="s">
        <v>378</v>
      </c>
      <c r="W18" s="397" cm="1">
        <f t="array" ref="W18">_xll.d.Math_Interpolate(R19:R20,T19:T20,U19,"exponential")-EXP(_xll.d.Math_Interpolate(R19:R20,S19:S20,U19,"linear"))</f>
        <v>0</v>
      </c>
      <c r="X18" s="398">
        <v>0</v>
      </c>
      <c r="Y18" s="381" t="str" cm="1">
        <f t="array" ref="Y18">_xll.d.TestUtils_Equal(W18,X18)</f>
        <v>Ok</v>
      </c>
      <c r="AA18" s="394" t="s">
        <v>376</v>
      </c>
      <c r="AB18" s="395" t="s">
        <v>377</v>
      </c>
      <c r="AC18" s="135" t="s">
        <v>378</v>
      </c>
      <c r="AE18" s="397" cm="1">
        <f t="array" ref="AE18">_xll.d.Math_Interpolate(AA19:AA20,AB19:AB20,AC19,"flat")</f>
        <v>0.05</v>
      </c>
      <c r="AF18" s="398">
        <f>IF(AC19&lt;AA20,AB19,AB20)</f>
        <v>0.05</v>
      </c>
      <c r="AG18" s="381" t="str" cm="1">
        <f t="array" ref="AG18">_xll.d.TestUtils_Equal(AE18,AF18)</f>
        <v>Ok</v>
      </c>
      <c r="AI18" s="394" t="s">
        <v>376</v>
      </c>
      <c r="AJ18" s="395" t="s">
        <v>377</v>
      </c>
      <c r="AK18" s="135" t="s">
        <v>378</v>
      </c>
      <c r="AM18" s="397" t="str" cm="1">
        <f t="array" ref="AM18">_xll.d.Math_Interpolate(AI19,AJ19:AJ20,AK19,"linear")</f>
        <v>#∂Excel Error: Row dimensions do not match or there is more than one column in x or y.</v>
      </c>
      <c r="AN18" s="398" t="s">
        <v>383</v>
      </c>
      <c r="AO18" s="381" t="str" cm="1">
        <f t="array" ref="AO18">_xll.d.TestUtils_Equal(AM18,AN18)</f>
        <v>Ok</v>
      </c>
      <c r="AQ18" s="394" t="s">
        <v>376</v>
      </c>
      <c r="AR18" s="395" t="s">
        <v>377</v>
      </c>
      <c r="AS18" s="135" t="s">
        <v>378</v>
      </c>
      <c r="AU18" s="397" t="str" cm="1">
        <f t="array" ref="AU18">_xll.d.Math_Interpolate(AQ19:AR20,AR19:AR20,AS19,"linear")</f>
        <v>#∂Excel Error: Row dimensions do not match or there is more than one column in x or y.</v>
      </c>
      <c r="AV18" s="398" t="s">
        <v>383</v>
      </c>
      <c r="AW18" s="381" t="str" cm="1">
        <f t="array" ref="AW18">_xll.d.TestUtils_Equal(AU18,AV18)</f>
        <v>Ok</v>
      </c>
      <c r="AY18" s="394" t="s">
        <v>376</v>
      </c>
      <c r="AZ18" s="395" t="s">
        <v>377</v>
      </c>
      <c r="BA18" s="135" t="s">
        <v>378</v>
      </c>
      <c r="BC18" s="397" t="str" cm="1">
        <f t="array" ref="BC18">_xll.d.Math_Interpolate(AY19:AY20,AZ19:AZ20,BA19,"magic")</f>
        <v>#∂Excel Error: Invalid method of interpolation specified.</v>
      </c>
      <c r="BD18" s="398" t="s">
        <v>386</v>
      </c>
      <c r="BE18" s="381" t="str" cm="1">
        <f t="array" ref="BE18">_xll.d.TestUtils_Equal(BC18,BD18)</f>
        <v>Ok</v>
      </c>
    </row>
    <row r="19" spans="1:61" x14ac:dyDescent="0.25">
      <c r="B19" s="138">
        <v>1</v>
      </c>
      <c r="C19" s="391">
        <v>0.05</v>
      </c>
      <c r="D19" s="396">
        <v>1.5</v>
      </c>
      <c r="E19" s="369"/>
      <c r="F19" s="369"/>
      <c r="G19" s="370"/>
      <c r="J19" s="138">
        <v>1</v>
      </c>
      <c r="K19" s="391">
        <v>0.05</v>
      </c>
      <c r="L19" s="396">
        <v>1.5</v>
      </c>
      <c r="M19" s="369"/>
      <c r="N19" s="369"/>
      <c r="O19" s="370"/>
      <c r="R19" s="138">
        <v>1</v>
      </c>
      <c r="S19" s="391">
        <v>0.05</v>
      </c>
      <c r="T19" s="391">
        <f>EXP(S19)</f>
        <v>1.0512710963760241</v>
      </c>
      <c r="U19" s="396">
        <v>1.5</v>
      </c>
      <c r="V19" s="369"/>
      <c r="W19" s="369"/>
      <c r="X19" s="370"/>
      <c r="AA19" s="138">
        <v>1</v>
      </c>
      <c r="AB19" s="391">
        <v>0.05</v>
      </c>
      <c r="AC19" s="396">
        <v>1.5</v>
      </c>
      <c r="AD19" s="369"/>
      <c r="AE19" s="369"/>
      <c r="AF19" s="370"/>
      <c r="AI19" s="138">
        <v>1</v>
      </c>
      <c r="AJ19" s="391">
        <v>0.05</v>
      </c>
      <c r="AK19" s="396">
        <v>1.5</v>
      </c>
      <c r="AL19" s="369"/>
      <c r="AM19" s="369"/>
      <c r="AN19" s="370"/>
      <c r="AQ19" s="138">
        <v>1</v>
      </c>
      <c r="AR19" s="391">
        <v>0.05</v>
      </c>
      <c r="AS19" s="396">
        <v>1.5</v>
      </c>
      <c r="AT19" s="369"/>
      <c r="AU19" s="369"/>
      <c r="AV19" s="370"/>
      <c r="AY19" s="138">
        <v>1</v>
      </c>
      <c r="AZ19" s="391">
        <v>0.05</v>
      </c>
      <c r="BA19" s="396">
        <v>1.5</v>
      </c>
      <c r="BB19" s="369"/>
      <c r="BC19" s="369"/>
      <c r="BD19" s="370"/>
    </row>
    <row r="20" spans="1:61" x14ac:dyDescent="0.25">
      <c r="B20" s="399">
        <v>2</v>
      </c>
      <c r="C20" s="400">
        <v>0.1</v>
      </c>
      <c r="E20" s="369"/>
      <c r="F20" s="369"/>
      <c r="G20" s="370"/>
      <c r="J20" s="399">
        <v>2</v>
      </c>
      <c r="K20" s="400">
        <v>0.1</v>
      </c>
      <c r="M20" s="369"/>
      <c r="N20" s="369"/>
      <c r="O20" s="370"/>
      <c r="R20" s="399">
        <v>2</v>
      </c>
      <c r="S20" s="402">
        <v>0.1</v>
      </c>
      <c r="T20" s="401">
        <f>EXP(S20)</f>
        <v>1.1051709180756477</v>
      </c>
      <c r="V20" s="369"/>
      <c r="W20" s="369"/>
      <c r="X20" s="370"/>
      <c r="AA20" s="399">
        <v>2</v>
      </c>
      <c r="AB20" s="400">
        <v>0.1</v>
      </c>
      <c r="AD20" s="369"/>
      <c r="AE20" s="369"/>
      <c r="AF20" s="370"/>
      <c r="AI20" s="399">
        <v>2</v>
      </c>
      <c r="AJ20" s="400">
        <v>0.1</v>
      </c>
      <c r="AL20" s="369"/>
      <c r="AM20" s="369"/>
      <c r="AN20" s="370"/>
      <c r="AQ20" s="399">
        <v>2</v>
      </c>
      <c r="AR20" s="400">
        <v>0.1</v>
      </c>
      <c r="AT20" s="369"/>
      <c r="AU20" s="369"/>
      <c r="AV20" s="370"/>
      <c r="AY20" s="399">
        <v>2</v>
      </c>
      <c r="AZ20" s="400">
        <v>0.1</v>
      </c>
      <c r="BB20" s="369"/>
      <c r="BC20" s="369"/>
      <c r="BD20" s="370"/>
    </row>
    <row r="21" spans="1:61" x14ac:dyDescent="0.25">
      <c r="B21" s="369"/>
      <c r="C21" s="369"/>
      <c r="D21" s="369"/>
      <c r="E21" s="369"/>
      <c r="F21" s="369"/>
      <c r="G21" s="370"/>
    </row>
    <row r="22" spans="1:61" x14ac:dyDescent="0.25">
      <c r="B22" s="369"/>
      <c r="C22" s="369"/>
      <c r="D22" s="369"/>
      <c r="E22" s="369"/>
      <c r="F22" s="369"/>
      <c r="G22" s="370"/>
    </row>
    <row r="23" spans="1:61" s="369" customFormat="1" ht="18.75" x14ac:dyDescent="0.3">
      <c r="A23"/>
      <c r="B23" s="3" t="s">
        <v>392</v>
      </c>
      <c r="C23" s="377"/>
      <c r="D23" s="377"/>
      <c r="E23" s="377"/>
      <c r="F23" s="377"/>
      <c r="G23" s="377"/>
      <c r="H23" s="377"/>
      <c r="I23" s="377"/>
      <c r="J23" s="377"/>
      <c r="K23" s="377"/>
      <c r="L23" s="377"/>
      <c r="M23" s="377"/>
      <c r="N23" s="377"/>
      <c r="O23" s="377"/>
      <c r="P23" s="377"/>
      <c r="Q23" s="377"/>
      <c r="R23" s="377"/>
      <c r="S23" s="377"/>
      <c r="T23" s="377"/>
      <c r="U23" s="377"/>
      <c r="V23" s="377"/>
      <c r="W23" s="377"/>
      <c r="X23" s="377"/>
      <c r="Y23" s="377"/>
      <c r="Z23" s="377"/>
      <c r="AA23" s="377"/>
      <c r="AB23" s="377"/>
      <c r="AC23" s="377"/>
      <c r="AD23" s="377"/>
      <c r="AE23" s="377"/>
      <c r="AF23" s="377"/>
      <c r="AG23" s="377"/>
      <c r="AH23" s="377"/>
      <c r="AI23" s="377"/>
      <c r="AJ23" s="377"/>
      <c r="AK23" s="377"/>
      <c r="AL23" s="377"/>
      <c r="AM23" s="377"/>
      <c r="AN23" s="377"/>
      <c r="AO23" s="377"/>
      <c r="AP23" s="377"/>
      <c r="AQ23" s="377"/>
      <c r="AR23" s="377"/>
      <c r="AS23" s="377"/>
      <c r="AT23" s="377"/>
      <c r="AU23" s="377"/>
      <c r="AV23" s="377"/>
      <c r="AW23" s="377"/>
      <c r="AX23" s="377"/>
      <c r="AY23" s="377"/>
      <c r="AZ23" s="377"/>
      <c r="BA23" s="377"/>
      <c r="BB23" s="377"/>
      <c r="BC23" s="377"/>
      <c r="BD23" s="377"/>
      <c r="BE23" s="377"/>
      <c r="BF23" s="377"/>
      <c r="BG23" s="377"/>
      <c r="BH23" s="377"/>
      <c r="BI23" s="377"/>
    </row>
    <row r="25" spans="1:61" s="369" customFormat="1" x14ac:dyDescent="0.25">
      <c r="A25"/>
      <c r="B25" s="59" t="s">
        <v>166</v>
      </c>
      <c r="C25" s="371" t="str" cm="1">
        <f t="array" aca="1" ref="C25" ca="1">_xll.d.TestUtils_And(L30,Y30,AK30,AW30,BI30)</f>
        <v>Ok</v>
      </c>
    </row>
    <row r="27" spans="1:61" ht="15.75" x14ac:dyDescent="0.25">
      <c r="B27" s="4" t="s">
        <v>393</v>
      </c>
      <c r="C27" s="378"/>
      <c r="D27" s="378"/>
      <c r="E27" s="378"/>
      <c r="F27" s="378"/>
      <c r="G27" s="378"/>
      <c r="H27" s="378"/>
      <c r="I27" s="378"/>
      <c r="J27" s="378"/>
      <c r="K27" s="378"/>
      <c r="L27" s="378"/>
      <c r="N27" s="4" t="s">
        <v>394</v>
      </c>
      <c r="O27" s="378"/>
      <c r="P27" s="378"/>
      <c r="Q27" s="378"/>
      <c r="R27" s="378"/>
      <c r="S27" s="378"/>
      <c r="T27" s="378"/>
      <c r="U27" s="378"/>
      <c r="V27" s="378"/>
      <c r="W27" s="378"/>
      <c r="X27" s="378"/>
      <c r="Y27" s="378"/>
      <c r="AA27" s="4" t="s">
        <v>395</v>
      </c>
      <c r="AB27" s="378"/>
      <c r="AC27" s="378"/>
      <c r="AD27" s="378"/>
      <c r="AE27" s="378"/>
      <c r="AF27" s="378"/>
      <c r="AG27" s="378"/>
      <c r="AH27" s="378"/>
      <c r="AI27" s="378"/>
      <c r="AJ27" s="378"/>
      <c r="AK27" s="378"/>
      <c r="AM27" s="4" t="s">
        <v>396</v>
      </c>
      <c r="AN27" s="378"/>
      <c r="AO27" s="378"/>
      <c r="AP27" s="378"/>
      <c r="AQ27" s="378"/>
      <c r="AR27" s="378"/>
      <c r="AS27" s="378"/>
      <c r="AT27" s="378"/>
      <c r="AU27" s="378"/>
      <c r="AV27" s="378"/>
      <c r="AW27" s="378"/>
      <c r="AY27" s="4" t="s">
        <v>385</v>
      </c>
      <c r="AZ27" s="378"/>
      <c r="BA27" s="378"/>
      <c r="BB27" s="378"/>
      <c r="BC27" s="378"/>
      <c r="BD27" s="378"/>
      <c r="BE27" s="378"/>
      <c r="BF27" s="378"/>
      <c r="BG27" s="378"/>
      <c r="BH27" s="378"/>
      <c r="BI27" s="378"/>
    </row>
    <row r="28" spans="1:61" x14ac:dyDescent="0.25">
      <c r="B28" s="369"/>
      <c r="C28" s="369"/>
      <c r="D28" s="369"/>
      <c r="E28" s="369"/>
      <c r="F28" s="369"/>
      <c r="G28" s="370"/>
      <c r="N28" s="369"/>
      <c r="O28" s="369"/>
      <c r="P28" s="369"/>
      <c r="Q28" s="369"/>
      <c r="R28" s="369"/>
      <c r="S28" s="370"/>
      <c r="AA28" s="369"/>
      <c r="AB28" s="369"/>
      <c r="AC28" s="369"/>
      <c r="AD28" s="369"/>
      <c r="AE28" s="369"/>
      <c r="AF28" s="370"/>
      <c r="AM28" s="369"/>
      <c r="AN28" s="369"/>
      <c r="AO28" s="369"/>
      <c r="AP28" s="369"/>
      <c r="AQ28" s="369"/>
      <c r="AR28" s="370"/>
      <c r="AY28" s="369"/>
      <c r="AZ28" s="369"/>
      <c r="BA28" s="369"/>
      <c r="BB28" s="369"/>
      <c r="BC28" s="369"/>
      <c r="BD28" s="370"/>
    </row>
    <row r="29" spans="1:61" x14ac:dyDescent="0.25">
      <c r="A29" s="151"/>
      <c r="B29" s="404" t="s">
        <v>259</v>
      </c>
      <c r="C29" s="226"/>
      <c r="D29" s="226"/>
      <c r="E29" s="411"/>
      <c r="F29" s="411"/>
      <c r="G29" s="405"/>
      <c r="H29" s="235"/>
      <c r="J29" s="136" t="s">
        <v>140</v>
      </c>
      <c r="K29" s="136" t="s">
        <v>261</v>
      </c>
      <c r="L29" s="136" t="s">
        <v>88</v>
      </c>
      <c r="N29" s="404" t="s">
        <v>259</v>
      </c>
      <c r="O29" s="226"/>
      <c r="P29" s="226"/>
      <c r="Q29" s="411"/>
      <c r="R29" s="411"/>
      <c r="S29" s="405"/>
      <c r="T29" s="235"/>
      <c r="W29" s="136" t="s">
        <v>140</v>
      </c>
      <c r="X29" s="136" t="s">
        <v>261</v>
      </c>
      <c r="Y29" s="136" t="s">
        <v>88</v>
      </c>
      <c r="AA29" s="404" t="s">
        <v>259</v>
      </c>
      <c r="AB29" s="226"/>
      <c r="AC29" s="226"/>
      <c r="AD29" s="411"/>
      <c r="AE29" s="411"/>
      <c r="AF29" s="405"/>
      <c r="AG29" s="235"/>
      <c r="AI29" s="136" t="s">
        <v>140</v>
      </c>
      <c r="AJ29" s="136" t="s">
        <v>261</v>
      </c>
      <c r="AK29" s="136" t="s">
        <v>88</v>
      </c>
      <c r="AM29" s="404" t="s">
        <v>259</v>
      </c>
      <c r="AN29" s="226"/>
      <c r="AO29" s="226"/>
      <c r="AP29" s="411"/>
      <c r="AQ29" s="411"/>
      <c r="AR29" s="405"/>
      <c r="AS29" s="235"/>
      <c r="AU29" s="136" t="s">
        <v>140</v>
      </c>
      <c r="AV29" s="136" t="s">
        <v>261</v>
      </c>
      <c r="AW29" s="136" t="s">
        <v>88</v>
      </c>
      <c r="AY29" s="404" t="s">
        <v>259</v>
      </c>
      <c r="AZ29" s="226"/>
      <c r="BA29" s="226"/>
      <c r="BB29" s="411"/>
      <c r="BC29" s="411"/>
      <c r="BD29" s="405"/>
      <c r="BE29" s="235"/>
      <c r="BG29" s="136" t="s">
        <v>140</v>
      </c>
      <c r="BH29" s="136" t="s">
        <v>261</v>
      </c>
      <c r="BI29" s="136" t="s">
        <v>88</v>
      </c>
    </row>
    <row r="30" spans="1:61" x14ac:dyDescent="0.25">
      <c r="A30" s="151"/>
      <c r="B30" s="406"/>
      <c r="C30" s="408" t="s">
        <v>390</v>
      </c>
      <c r="D30" s="411"/>
      <c r="E30" s="411"/>
      <c r="F30" s="409"/>
      <c r="G30" s="413" t="s">
        <v>391</v>
      </c>
      <c r="H30" s="412"/>
      <c r="J30" s="397" cm="1">
        <f t="array" ref="J30">_xll.d.Math_Interpolate2D(B31:F36,G32,H32,"linear")</f>
        <v>9.5</v>
      </c>
      <c r="K30" s="398">
        <v>9.5</v>
      </c>
      <c r="L30" s="381" t="str" cm="1">
        <f t="array" ref="L30">_xll.d.TestUtils_Equal(J30,K30)</f>
        <v>Ok</v>
      </c>
      <c r="N30" s="406"/>
      <c r="O30" s="408" t="s">
        <v>390</v>
      </c>
      <c r="P30" s="411"/>
      <c r="Q30" s="411"/>
      <c r="R30" s="409"/>
      <c r="S30" s="413" t="s">
        <v>391</v>
      </c>
      <c r="T30" s="412"/>
      <c r="W30" s="397" cm="1">
        <f t="array" aca="1" ref="W30" ca="1">_xll.d.Math_Interpolate2D(N31:R36,S32,T32,"exponential")</f>
        <v>9.2723643716594051</v>
      </c>
      <c r="X30" s="398">
        <v>9.272364616394043</v>
      </c>
      <c r="Y30" s="381" t="str" cm="1">
        <f t="array" aca="1" ref="Y30" ca="1">_xll.d.TestUtils_Equal(W30,X30,0.00001)</f>
        <v>Ok</v>
      </c>
      <c r="AA30" s="406"/>
      <c r="AB30" s="408" t="s">
        <v>390</v>
      </c>
      <c r="AC30" s="411"/>
      <c r="AD30" s="411"/>
      <c r="AE30" s="409"/>
      <c r="AF30" s="413" t="s">
        <v>391</v>
      </c>
      <c r="AG30" s="412"/>
      <c r="AI30" s="397" cm="1">
        <f t="array" ref="AI30">_xll.d.Math_Interpolate2D(AA31:AE36,AF32,AG32,"flat")</f>
        <v>7</v>
      </c>
      <c r="AJ30" s="398">
        <v>7</v>
      </c>
      <c r="AK30" s="381" t="str" cm="1">
        <f t="array" ref="AK30">_xll.d.TestUtils_Equal(AI30,AJ30)</f>
        <v>Ok</v>
      </c>
      <c r="AM30" s="406"/>
      <c r="AN30" s="408" t="s">
        <v>390</v>
      </c>
      <c r="AO30" s="411"/>
      <c r="AP30" s="411"/>
      <c r="AQ30" s="409"/>
      <c r="AR30" s="413" t="s">
        <v>391</v>
      </c>
      <c r="AS30" s="412"/>
      <c r="AU30" s="397" t="str" cm="1">
        <f t="array" ref="AU30">_xll.d.Math_Interpolate2D(AM31:AQ36,AR32,AS32,"linear")</f>
        <v>#∂Excel Error: Extrapolation not supported.</v>
      </c>
      <c r="AV30" s="398" t="s">
        <v>397</v>
      </c>
      <c r="AW30" s="381" t="str" cm="1">
        <f t="array" ref="AW30">_xll.d.TestUtils_Equal(AU30,AV30)</f>
        <v>Ok</v>
      </c>
      <c r="AY30" s="406"/>
      <c r="AZ30" s="408" t="s">
        <v>390</v>
      </c>
      <c r="BA30" s="411"/>
      <c r="BB30" s="411"/>
      <c r="BC30" s="409"/>
      <c r="BD30" s="413" t="s">
        <v>391</v>
      </c>
      <c r="BE30" s="412"/>
      <c r="BG30" s="397" t="str" cm="1">
        <f t="array" ref="BG30">_xll.d.Math_Interpolate2D(AY31:BC36,BD32,BE32,"magic")</f>
        <v>#∂Excel Error: Invalid method of interpolation specified.</v>
      </c>
      <c r="BH30" s="398" t="s">
        <v>386</v>
      </c>
      <c r="BI30" s="381" t="str" cm="1">
        <f t="array" ref="BI30">_xll.d.TestUtils_Equal(BG30,BH30)</f>
        <v>Ok</v>
      </c>
    </row>
    <row r="31" spans="1:61" x14ac:dyDescent="0.25">
      <c r="A31" s="151"/>
      <c r="B31" s="407" t="s">
        <v>389</v>
      </c>
      <c r="C31" s="416">
        <v>0</v>
      </c>
      <c r="D31" s="417">
        <v>1</v>
      </c>
      <c r="E31" s="417">
        <v>2</v>
      </c>
      <c r="F31" s="418">
        <v>3</v>
      </c>
      <c r="G31" s="414" t="s">
        <v>388</v>
      </c>
      <c r="H31" s="135" t="s">
        <v>387</v>
      </c>
      <c r="N31" s="407" t="s">
        <v>389</v>
      </c>
      <c r="O31" s="416">
        <v>0</v>
      </c>
      <c r="P31" s="417">
        <v>1</v>
      </c>
      <c r="Q31" s="417">
        <v>2</v>
      </c>
      <c r="R31" s="418">
        <v>3</v>
      </c>
      <c r="S31" s="414" t="s">
        <v>388</v>
      </c>
      <c r="T31" s="135" t="s">
        <v>387</v>
      </c>
      <c r="AA31" s="407" t="s">
        <v>389</v>
      </c>
      <c r="AB31" s="416">
        <v>0</v>
      </c>
      <c r="AC31" s="417">
        <v>1</v>
      </c>
      <c r="AD31" s="417">
        <v>2</v>
      </c>
      <c r="AE31" s="418">
        <v>3</v>
      </c>
      <c r="AF31" s="414" t="s">
        <v>388</v>
      </c>
      <c r="AG31" s="135" t="s">
        <v>387</v>
      </c>
      <c r="AM31" s="407" t="s">
        <v>389</v>
      </c>
      <c r="AN31" s="416">
        <v>0</v>
      </c>
      <c r="AO31" s="417">
        <v>1</v>
      </c>
      <c r="AP31" s="417">
        <v>2</v>
      </c>
      <c r="AQ31" s="418">
        <v>3</v>
      </c>
      <c r="AR31" s="414" t="s">
        <v>388</v>
      </c>
      <c r="AS31" s="135" t="s">
        <v>387</v>
      </c>
      <c r="AY31" s="407" t="s">
        <v>389</v>
      </c>
      <c r="AZ31" s="416">
        <v>0</v>
      </c>
      <c r="BA31" s="417">
        <v>1</v>
      </c>
      <c r="BB31" s="417">
        <v>2</v>
      </c>
      <c r="BC31" s="418">
        <v>3</v>
      </c>
      <c r="BD31" s="414" t="s">
        <v>388</v>
      </c>
      <c r="BE31" s="135" t="s">
        <v>387</v>
      </c>
    </row>
    <row r="32" spans="1:61" x14ac:dyDescent="0.25">
      <c r="B32" s="403">
        <v>0</v>
      </c>
      <c r="C32" s="419">
        <v>1</v>
      </c>
      <c r="D32" s="420">
        <v>2</v>
      </c>
      <c r="E32" s="421">
        <v>3</v>
      </c>
      <c r="F32" s="422">
        <v>4</v>
      </c>
      <c r="G32" s="415">
        <v>2.5</v>
      </c>
      <c r="H32" s="410">
        <v>1.5</v>
      </c>
      <c r="N32" s="403">
        <v>0</v>
      </c>
      <c r="O32" s="419">
        <v>1</v>
      </c>
      <c r="P32" s="420">
        <v>2</v>
      </c>
      <c r="Q32" s="421">
        <v>3</v>
      </c>
      <c r="R32" s="422">
        <v>4</v>
      </c>
      <c r="S32" s="415">
        <v>2.5</v>
      </c>
      <c r="T32" s="410">
        <v>1.5</v>
      </c>
      <c r="AA32" s="403">
        <v>0</v>
      </c>
      <c r="AB32" s="419">
        <v>1</v>
      </c>
      <c r="AC32" s="420">
        <v>2</v>
      </c>
      <c r="AD32" s="421">
        <v>3</v>
      </c>
      <c r="AE32" s="422">
        <v>4</v>
      </c>
      <c r="AF32" s="415">
        <v>2.5</v>
      </c>
      <c r="AG32" s="410">
        <v>1.5</v>
      </c>
      <c r="AM32" s="403">
        <v>0</v>
      </c>
      <c r="AN32" s="419">
        <v>1</v>
      </c>
      <c r="AO32" s="420">
        <v>2</v>
      </c>
      <c r="AP32" s="421">
        <v>3</v>
      </c>
      <c r="AQ32" s="422">
        <v>4</v>
      </c>
      <c r="AR32" s="415">
        <v>5</v>
      </c>
      <c r="AS32" s="410">
        <v>5</v>
      </c>
      <c r="AY32" s="403">
        <v>0</v>
      </c>
      <c r="AZ32" s="419">
        <v>1</v>
      </c>
      <c r="BA32" s="420">
        <v>2</v>
      </c>
      <c r="BB32" s="421">
        <v>3</v>
      </c>
      <c r="BC32" s="422">
        <v>4</v>
      </c>
      <c r="BD32" s="415">
        <v>2.5</v>
      </c>
      <c r="BE32" s="410">
        <v>1.5</v>
      </c>
    </row>
    <row r="33" spans="2:55" x14ac:dyDescent="0.25">
      <c r="B33" s="427">
        <v>1</v>
      </c>
      <c r="C33" s="428">
        <v>5</v>
      </c>
      <c r="D33" s="429">
        <v>6</v>
      </c>
      <c r="E33" s="429">
        <v>7</v>
      </c>
      <c r="F33" s="430">
        <v>8</v>
      </c>
      <c r="N33" s="427">
        <v>1</v>
      </c>
      <c r="O33" s="428">
        <v>5</v>
      </c>
      <c r="P33" s="429">
        <v>6</v>
      </c>
      <c r="Q33" s="429">
        <v>7</v>
      </c>
      <c r="R33" s="430">
        <v>8</v>
      </c>
      <c r="AA33" s="427">
        <v>1</v>
      </c>
      <c r="AB33" s="428">
        <v>5</v>
      </c>
      <c r="AC33" s="429">
        <v>6</v>
      </c>
      <c r="AD33" s="429">
        <v>7</v>
      </c>
      <c r="AE33" s="430">
        <v>8</v>
      </c>
      <c r="AM33" s="427">
        <v>1</v>
      </c>
      <c r="AN33" s="428">
        <v>5</v>
      </c>
      <c r="AO33" s="429">
        <v>6</v>
      </c>
      <c r="AP33" s="429">
        <v>7</v>
      </c>
      <c r="AQ33" s="430">
        <v>8</v>
      </c>
      <c r="AY33" s="427">
        <v>1</v>
      </c>
      <c r="AZ33" s="428">
        <v>5</v>
      </c>
      <c r="BA33" s="429">
        <v>6</v>
      </c>
      <c r="BB33" s="429">
        <v>7</v>
      </c>
      <c r="BC33" s="430">
        <v>8</v>
      </c>
    </row>
    <row r="34" spans="2:55" x14ac:dyDescent="0.25">
      <c r="B34" s="431">
        <v>2</v>
      </c>
      <c r="C34" s="428">
        <v>9</v>
      </c>
      <c r="D34" s="429">
        <v>10</v>
      </c>
      <c r="E34" s="429">
        <v>11</v>
      </c>
      <c r="F34" s="430">
        <v>12</v>
      </c>
      <c r="N34" s="431">
        <v>2</v>
      </c>
      <c r="O34" s="428">
        <v>9</v>
      </c>
      <c r="P34" s="429">
        <v>10</v>
      </c>
      <c r="Q34" s="429">
        <v>11</v>
      </c>
      <c r="R34" s="430">
        <v>12</v>
      </c>
      <c r="AA34" s="431">
        <v>2</v>
      </c>
      <c r="AB34" s="428">
        <v>9</v>
      </c>
      <c r="AC34" s="429">
        <v>10</v>
      </c>
      <c r="AD34" s="429">
        <v>11</v>
      </c>
      <c r="AE34" s="430">
        <v>12</v>
      </c>
      <c r="AM34" s="431">
        <v>2</v>
      </c>
      <c r="AN34" s="428">
        <v>9</v>
      </c>
      <c r="AO34" s="429">
        <v>10</v>
      </c>
      <c r="AP34" s="429">
        <v>11</v>
      </c>
      <c r="AQ34" s="430">
        <v>12</v>
      </c>
      <c r="AY34" s="431">
        <v>2</v>
      </c>
      <c r="AZ34" s="428">
        <v>9</v>
      </c>
      <c r="BA34" s="429">
        <v>10</v>
      </c>
      <c r="BB34" s="429">
        <v>11</v>
      </c>
      <c r="BC34" s="430">
        <v>12</v>
      </c>
    </row>
    <row r="35" spans="2:55" x14ac:dyDescent="0.25">
      <c r="B35" s="431">
        <v>3</v>
      </c>
      <c r="C35" s="428">
        <v>13</v>
      </c>
      <c r="D35" s="429">
        <v>14</v>
      </c>
      <c r="E35" s="429">
        <v>15</v>
      </c>
      <c r="F35" s="430">
        <v>16</v>
      </c>
      <c r="N35" s="431">
        <v>3</v>
      </c>
      <c r="O35" s="428">
        <v>13</v>
      </c>
      <c r="P35" s="429">
        <v>14</v>
      </c>
      <c r="Q35" s="429">
        <v>15</v>
      </c>
      <c r="R35" s="430">
        <v>16</v>
      </c>
      <c r="AA35" s="431">
        <v>3</v>
      </c>
      <c r="AB35" s="428">
        <v>13</v>
      </c>
      <c r="AC35" s="429">
        <v>14</v>
      </c>
      <c r="AD35" s="429">
        <v>15</v>
      </c>
      <c r="AE35" s="430">
        <v>16</v>
      </c>
      <c r="AM35" s="431">
        <v>3</v>
      </c>
      <c r="AN35" s="428">
        <v>13</v>
      </c>
      <c r="AO35" s="429">
        <v>14</v>
      </c>
      <c r="AP35" s="429">
        <v>15</v>
      </c>
      <c r="AQ35" s="430">
        <v>16</v>
      </c>
      <c r="AY35" s="431">
        <v>3</v>
      </c>
      <c r="AZ35" s="428">
        <v>13</v>
      </c>
      <c r="BA35" s="429">
        <v>14</v>
      </c>
      <c r="BB35" s="429">
        <v>15</v>
      </c>
      <c r="BC35" s="430">
        <v>16</v>
      </c>
    </row>
    <row r="36" spans="2:55" x14ac:dyDescent="0.25">
      <c r="B36" s="423">
        <v>4</v>
      </c>
      <c r="C36" s="424">
        <v>17</v>
      </c>
      <c r="D36" s="425">
        <v>18</v>
      </c>
      <c r="E36" s="425">
        <v>19</v>
      </c>
      <c r="F36" s="426">
        <v>20</v>
      </c>
      <c r="N36" s="423">
        <v>4</v>
      </c>
      <c r="O36" s="424">
        <v>17</v>
      </c>
      <c r="P36" s="425">
        <v>18</v>
      </c>
      <c r="Q36" s="425">
        <v>19</v>
      </c>
      <c r="R36" s="426">
        <v>20</v>
      </c>
      <c r="AA36" s="423">
        <v>4</v>
      </c>
      <c r="AB36" s="424">
        <v>17</v>
      </c>
      <c r="AC36" s="425">
        <v>18</v>
      </c>
      <c r="AD36" s="425">
        <v>19</v>
      </c>
      <c r="AE36" s="426">
        <v>20</v>
      </c>
      <c r="AM36" s="423">
        <v>4</v>
      </c>
      <c r="AN36" s="424">
        <v>17</v>
      </c>
      <c r="AO36" s="425">
        <v>18</v>
      </c>
      <c r="AP36" s="425">
        <v>19</v>
      </c>
      <c r="AQ36" s="426">
        <v>20</v>
      </c>
      <c r="AY36" s="423">
        <v>4</v>
      </c>
      <c r="AZ36" s="424">
        <v>17</v>
      </c>
      <c r="BA36" s="425">
        <v>18</v>
      </c>
      <c r="BB36" s="425">
        <v>19</v>
      </c>
      <c r="BC36" s="426">
        <v>20</v>
      </c>
    </row>
  </sheetData>
  <conditionalFormatting sqref="D7:D8">
    <cfRule type="cellIs" dxfId="265" priority="130" stopIfTrue="1" operator="equal">
      <formula>"ERROR"</formula>
    </cfRule>
    <cfRule type="cellIs" dxfId="264" priority="131" stopIfTrue="1" operator="equal">
      <formula>"OK"</formula>
    </cfRule>
    <cfRule type="cellIs" dxfId="263" priority="132" stopIfTrue="1" operator="equal">
      <formula>"WARNING"</formula>
    </cfRule>
  </conditionalFormatting>
  <conditionalFormatting sqref="C4">
    <cfRule type="cellIs" dxfId="262" priority="127" stopIfTrue="1" operator="equal">
      <formula>"ERROR"</formula>
    </cfRule>
    <cfRule type="cellIs" dxfId="261" priority="128" stopIfTrue="1" operator="equal">
      <formula>"OK"</formula>
    </cfRule>
    <cfRule type="cellIs" dxfId="260" priority="129" stopIfTrue="1" operator="equal">
      <formula>"WARNING"</formula>
    </cfRule>
  </conditionalFormatting>
  <conditionalFormatting sqref="C13">
    <cfRule type="cellIs" dxfId="259" priority="124" stopIfTrue="1" operator="equal">
      <formula>"ERROR"</formula>
    </cfRule>
  </conditionalFormatting>
  <conditionalFormatting sqref="C13">
    <cfRule type="cellIs" dxfId="258" priority="125" stopIfTrue="1" operator="equal">
      <formula>"OK"</formula>
    </cfRule>
  </conditionalFormatting>
  <conditionalFormatting sqref="C13">
    <cfRule type="cellIs" dxfId="257" priority="126" stopIfTrue="1" operator="equal">
      <formula>"WARNING"</formula>
    </cfRule>
  </conditionalFormatting>
  <conditionalFormatting sqref="H18">
    <cfRule type="cellIs" dxfId="256" priority="133" stopIfTrue="1" operator="equal">
      <formula>"ERROR"</formula>
    </cfRule>
    <cfRule type="cellIs" dxfId="255" priority="134" stopIfTrue="1" operator="equal">
      <formula>"OK"</formula>
    </cfRule>
    <cfRule type="cellIs" dxfId="254" priority="135" stopIfTrue="1" operator="equal">
      <formula>"WARNING"</formula>
    </cfRule>
  </conditionalFormatting>
  <conditionalFormatting sqref="C25">
    <cfRule type="cellIs" dxfId="253" priority="103" stopIfTrue="1" operator="equal">
      <formula>"ERROR"</formula>
    </cfRule>
  </conditionalFormatting>
  <conditionalFormatting sqref="C25">
    <cfRule type="cellIs" dxfId="252" priority="104" stopIfTrue="1" operator="equal">
      <formula>"OK"</formula>
    </cfRule>
  </conditionalFormatting>
  <conditionalFormatting sqref="C25">
    <cfRule type="cellIs" dxfId="251" priority="105" stopIfTrue="1" operator="equal">
      <formula>"WARNING"</formula>
    </cfRule>
  </conditionalFormatting>
  <conditionalFormatting sqref="P18">
    <cfRule type="cellIs" dxfId="250" priority="34" stopIfTrue="1" operator="equal">
      <formula>"ERROR"</formula>
    </cfRule>
    <cfRule type="cellIs" dxfId="249" priority="35" stopIfTrue="1" operator="equal">
      <formula>"OK"</formula>
    </cfRule>
    <cfRule type="cellIs" dxfId="248" priority="36" stopIfTrue="1" operator="equal">
      <formula>"WARNING"</formula>
    </cfRule>
  </conditionalFormatting>
  <conditionalFormatting sqref="Y18">
    <cfRule type="cellIs" dxfId="247" priority="31" stopIfTrue="1" operator="equal">
      <formula>"ERROR"</formula>
    </cfRule>
    <cfRule type="cellIs" dxfId="246" priority="32" stopIfTrue="1" operator="equal">
      <formula>"OK"</formula>
    </cfRule>
    <cfRule type="cellIs" dxfId="245" priority="33" stopIfTrue="1" operator="equal">
      <formula>"WARNING"</formula>
    </cfRule>
  </conditionalFormatting>
  <conditionalFormatting sqref="AG18">
    <cfRule type="cellIs" dxfId="244" priority="28" stopIfTrue="1" operator="equal">
      <formula>"ERROR"</formula>
    </cfRule>
    <cfRule type="cellIs" dxfId="243" priority="29" stopIfTrue="1" operator="equal">
      <formula>"OK"</formula>
    </cfRule>
    <cfRule type="cellIs" dxfId="242" priority="30" stopIfTrue="1" operator="equal">
      <formula>"WARNING"</formula>
    </cfRule>
  </conditionalFormatting>
  <conditionalFormatting sqref="AO18">
    <cfRule type="cellIs" dxfId="241" priority="25" stopIfTrue="1" operator="equal">
      <formula>"ERROR"</formula>
    </cfRule>
    <cfRule type="cellIs" dxfId="240" priority="26" stopIfTrue="1" operator="equal">
      <formula>"OK"</formula>
    </cfRule>
    <cfRule type="cellIs" dxfId="239" priority="27" stopIfTrue="1" operator="equal">
      <formula>"WARNING"</formula>
    </cfRule>
  </conditionalFormatting>
  <conditionalFormatting sqref="AW18">
    <cfRule type="cellIs" dxfId="238" priority="22" stopIfTrue="1" operator="equal">
      <formula>"ERROR"</formula>
    </cfRule>
    <cfRule type="cellIs" dxfId="237" priority="23" stopIfTrue="1" operator="equal">
      <formula>"OK"</formula>
    </cfRule>
    <cfRule type="cellIs" dxfId="236" priority="24" stopIfTrue="1" operator="equal">
      <formula>"WARNING"</formula>
    </cfRule>
  </conditionalFormatting>
  <conditionalFormatting sqref="BE18">
    <cfRule type="cellIs" dxfId="235" priority="19" stopIfTrue="1" operator="equal">
      <formula>"ERROR"</formula>
    </cfRule>
    <cfRule type="cellIs" dxfId="234" priority="20" stopIfTrue="1" operator="equal">
      <formula>"OK"</formula>
    </cfRule>
    <cfRule type="cellIs" dxfId="233" priority="21" stopIfTrue="1" operator="equal">
      <formula>"WARNING"</formula>
    </cfRule>
  </conditionalFormatting>
  <conditionalFormatting sqref="L30">
    <cfRule type="cellIs" dxfId="232" priority="13" stopIfTrue="1" operator="equal">
      <formula>"ERROR"</formula>
    </cfRule>
    <cfRule type="cellIs" dxfId="231" priority="14" stopIfTrue="1" operator="equal">
      <formula>"OK"</formula>
    </cfRule>
    <cfRule type="cellIs" dxfId="230" priority="15" stopIfTrue="1" operator="equal">
      <formula>"WARNING"</formula>
    </cfRule>
  </conditionalFormatting>
  <conditionalFormatting sqref="Y30">
    <cfRule type="cellIs" dxfId="229" priority="10" stopIfTrue="1" operator="equal">
      <formula>"ERROR"</formula>
    </cfRule>
    <cfRule type="cellIs" dxfId="228" priority="11" stopIfTrue="1" operator="equal">
      <formula>"OK"</formula>
    </cfRule>
    <cfRule type="cellIs" dxfId="227" priority="12" stopIfTrue="1" operator="equal">
      <formula>"WARNING"</formula>
    </cfRule>
  </conditionalFormatting>
  <conditionalFormatting sqref="AK30">
    <cfRule type="cellIs" dxfId="226" priority="7" stopIfTrue="1" operator="equal">
      <formula>"ERROR"</formula>
    </cfRule>
    <cfRule type="cellIs" dxfId="225" priority="8" stopIfTrue="1" operator="equal">
      <formula>"OK"</formula>
    </cfRule>
    <cfRule type="cellIs" dxfId="224" priority="9" stopIfTrue="1" operator="equal">
      <formula>"WARNING"</formula>
    </cfRule>
  </conditionalFormatting>
  <conditionalFormatting sqref="AW30">
    <cfRule type="cellIs" dxfId="223" priority="4" stopIfTrue="1" operator="equal">
      <formula>"ERROR"</formula>
    </cfRule>
    <cfRule type="cellIs" dxfId="222" priority="5" stopIfTrue="1" operator="equal">
      <formula>"OK"</formula>
    </cfRule>
    <cfRule type="cellIs" dxfId="221" priority="6" stopIfTrue="1" operator="equal">
      <formula>"WARNING"</formula>
    </cfRule>
  </conditionalFormatting>
  <conditionalFormatting sqref="BI30">
    <cfRule type="cellIs" dxfId="220" priority="1" stopIfTrue="1" operator="equal">
      <formula>"ERROR"</formula>
    </cfRule>
    <cfRule type="cellIs" dxfId="219" priority="2" stopIfTrue="1" operator="equal">
      <formula>"OK"</formula>
    </cfRule>
    <cfRule type="cellIs" dxfId="218" priority="3" stopIfTrue="1" operator="equal">
      <formula>"WARNING"</formula>
    </cfRule>
  </conditionalFormatting>
  <hyperlinks>
    <hyperlink ref="B7:C7" location="$B$11" display="$B$11" xr:uid="{92F72A9F-FAB0-4966-8F2C-DF45842AFE3F}"/>
    <hyperlink ref="B8:C8" location="$B$23" display="$B$23" xr:uid="{D74171B0-8728-49AC-883A-1937632D3B2D}"/>
    <hyperlink ref="B1" location="Summary!A1" display="Summary!A1" xr:uid="{78E98E84-6F6D-4905-9487-3CA035F51CB2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1E851-DB09-441D-8C15-60F1E0E84F32}">
  <sheetPr codeName="Sheet15">
    <tabColor theme="4" tint="-0.499984740745262"/>
  </sheetPr>
  <dimension ref="A1:AL87"/>
  <sheetViews>
    <sheetView showGridLines="0" topLeftCell="A10" zoomScaleNormal="100" workbookViewId="0">
      <selection activeCell="H15" sqref="H15"/>
    </sheetView>
  </sheetViews>
  <sheetFormatPr defaultColWidth="14.75" defaultRowHeight="15" x14ac:dyDescent="0.25"/>
  <cols>
    <col min="1" max="1" width="3.75" customWidth="1"/>
    <col min="20" max="21" width="35.5" bestFit="1" customWidth="1"/>
    <col min="24" max="24" width="31.625" bestFit="1" customWidth="1"/>
    <col min="25" max="27" width="29" bestFit="1" customWidth="1"/>
    <col min="28" max="29" width="38.375" bestFit="1" customWidth="1"/>
    <col min="30" max="30" width="29" bestFit="1" customWidth="1"/>
    <col min="31" max="31" width="14.75" customWidth="1"/>
    <col min="33" max="33" width="14.75" customWidth="1"/>
    <col min="36" max="37" width="42.875" bestFit="1" customWidth="1"/>
  </cols>
  <sheetData>
    <row r="1" spans="1:38" x14ac:dyDescent="0.25">
      <c r="B1" s="482" t="s">
        <v>432</v>
      </c>
    </row>
    <row r="2" spans="1:38" ht="26.25" x14ac:dyDescent="0.4">
      <c r="B2" s="2" t="s">
        <v>400</v>
      </c>
      <c r="C2" s="376"/>
      <c r="D2" s="376"/>
      <c r="E2" s="376"/>
      <c r="F2" s="376"/>
      <c r="G2" s="376"/>
      <c r="H2" s="376"/>
      <c r="I2" s="376"/>
      <c r="J2" s="376"/>
      <c r="K2" s="376"/>
      <c r="L2" s="376"/>
      <c r="M2" s="376"/>
      <c r="N2" s="376"/>
      <c r="O2" s="376"/>
      <c r="P2" s="376"/>
      <c r="Q2" s="376"/>
      <c r="R2" s="376"/>
      <c r="S2" s="376"/>
      <c r="T2" s="376"/>
      <c r="U2" s="376"/>
      <c r="V2" s="376"/>
      <c r="W2" s="376"/>
      <c r="X2" s="376"/>
      <c r="Y2" s="376"/>
      <c r="Z2" s="376"/>
      <c r="AA2" s="376"/>
      <c r="AB2" s="376"/>
      <c r="AC2" s="376"/>
      <c r="AD2" s="376"/>
      <c r="AE2" s="376"/>
      <c r="AF2" s="376"/>
      <c r="AG2" s="376"/>
      <c r="AH2" s="376"/>
      <c r="AI2" s="376"/>
      <c r="AJ2" s="376"/>
      <c r="AK2" s="376"/>
      <c r="AL2" s="376"/>
    </row>
    <row r="4" spans="1:38" x14ac:dyDescent="0.25">
      <c r="B4" s="59" t="s">
        <v>166</v>
      </c>
      <c r="C4" s="371" t="str" cm="1">
        <f t="array" ref="C4">_xll.d.TestUtils_And(D7:D8)</f>
        <v>Ok</v>
      </c>
      <c r="D4" s="369"/>
      <c r="E4" s="369"/>
      <c r="F4" s="369"/>
      <c r="G4" s="369"/>
      <c r="H4" s="369"/>
      <c r="I4" s="369"/>
      <c r="J4" s="369"/>
      <c r="K4" s="369"/>
      <c r="L4" s="369"/>
      <c r="M4" s="369"/>
      <c r="N4" s="369"/>
      <c r="O4" s="369"/>
      <c r="P4" s="369"/>
      <c r="Q4" s="369"/>
      <c r="R4" s="369"/>
      <c r="S4" s="369"/>
      <c r="T4" s="369"/>
      <c r="U4" s="369"/>
      <c r="V4" s="369"/>
      <c r="W4" s="369"/>
      <c r="X4" s="369"/>
      <c r="Y4" s="369"/>
      <c r="Z4" s="369"/>
      <c r="AA4" s="369"/>
      <c r="AB4" s="369"/>
      <c r="AC4" s="369"/>
    </row>
    <row r="6" spans="1:38" x14ac:dyDescent="0.25">
      <c r="B6" s="223" t="s">
        <v>241</v>
      </c>
      <c r="C6" s="223"/>
      <c r="D6" s="224" t="s">
        <v>11</v>
      </c>
      <c r="E6" s="369"/>
      <c r="F6" s="369"/>
      <c r="G6" s="369"/>
      <c r="H6" s="369"/>
      <c r="I6" s="369"/>
      <c r="J6" s="369"/>
      <c r="K6" s="369"/>
      <c r="L6" s="369"/>
      <c r="M6" s="369"/>
      <c r="N6" s="369"/>
      <c r="O6" s="369"/>
      <c r="P6" s="369"/>
      <c r="Q6" s="369"/>
      <c r="R6" s="369"/>
      <c r="S6" s="369"/>
      <c r="T6" s="369"/>
      <c r="U6" s="369"/>
      <c r="V6" s="369"/>
      <c r="W6" s="369"/>
      <c r="X6" s="369"/>
      <c r="Y6" s="369"/>
      <c r="Z6" s="369"/>
      <c r="AA6" s="369"/>
      <c r="AB6" s="369"/>
      <c r="AC6" s="369"/>
    </row>
    <row r="7" spans="1:38" x14ac:dyDescent="0.25">
      <c r="B7" s="481" t="s">
        <v>401</v>
      </c>
      <c r="C7" s="236"/>
      <c r="D7" s="371" t="str">
        <f>C14</f>
        <v>Ok</v>
      </c>
      <c r="E7" s="369"/>
      <c r="F7" s="369"/>
      <c r="G7" s="369"/>
      <c r="H7" s="369"/>
      <c r="I7" s="369"/>
      <c r="J7" s="369"/>
      <c r="K7" s="369"/>
      <c r="L7" s="369"/>
      <c r="M7" s="369"/>
      <c r="N7" s="369"/>
      <c r="O7" s="369"/>
      <c r="P7" s="369"/>
      <c r="Q7" s="369"/>
      <c r="R7" s="369"/>
      <c r="S7" s="369"/>
      <c r="T7" s="369"/>
      <c r="U7" s="369"/>
      <c r="V7" s="369"/>
      <c r="W7" s="369"/>
      <c r="X7" s="369"/>
      <c r="Y7" s="369"/>
      <c r="Z7" s="369"/>
      <c r="AA7" s="369"/>
      <c r="AB7" s="369"/>
      <c r="AC7" s="369"/>
    </row>
    <row r="8" spans="1:38" x14ac:dyDescent="0.25">
      <c r="B8" s="481" t="s">
        <v>402</v>
      </c>
      <c r="C8" s="236"/>
      <c r="D8" s="371" t="str">
        <f>C27</f>
        <v>Ok</v>
      </c>
      <c r="E8" s="369"/>
      <c r="F8" s="369"/>
      <c r="G8" s="369"/>
      <c r="H8" s="369"/>
      <c r="I8" s="369"/>
      <c r="J8" s="369"/>
      <c r="K8" s="369"/>
      <c r="L8" s="369"/>
      <c r="M8" s="369"/>
      <c r="N8" s="369"/>
      <c r="O8" s="369"/>
      <c r="P8" s="369"/>
      <c r="Q8" s="369"/>
      <c r="R8" s="369"/>
      <c r="S8" s="369"/>
      <c r="T8" s="369"/>
      <c r="U8" s="369"/>
      <c r="V8" s="369"/>
      <c r="W8" s="369"/>
      <c r="X8" s="369"/>
      <c r="Y8" s="369"/>
      <c r="Z8" s="369"/>
      <c r="AA8" s="369"/>
      <c r="AB8" s="369"/>
      <c r="AC8" s="369"/>
    </row>
    <row r="9" spans="1:38" x14ac:dyDescent="0.25">
      <c r="B9" s="481" t="s">
        <v>403</v>
      </c>
      <c r="C9" s="236"/>
      <c r="D9" s="371" t="str">
        <f ca="1">C43</f>
        <v>Ok</v>
      </c>
      <c r="E9" s="369"/>
      <c r="F9" s="369"/>
      <c r="G9" s="369"/>
      <c r="H9" s="369"/>
      <c r="I9" s="369"/>
      <c r="J9" s="369"/>
      <c r="K9" s="369"/>
      <c r="L9" s="369"/>
      <c r="M9" s="369"/>
      <c r="N9" s="369"/>
      <c r="O9" s="369"/>
      <c r="P9" s="369"/>
      <c r="Q9" s="369"/>
      <c r="R9" s="369"/>
      <c r="S9" s="369"/>
      <c r="T9" s="369"/>
      <c r="U9" s="369"/>
      <c r="V9" s="369"/>
      <c r="W9" s="369"/>
      <c r="X9" s="369"/>
      <c r="Y9" s="369"/>
      <c r="Z9" s="369"/>
      <c r="AA9" s="369"/>
      <c r="AB9" s="369"/>
      <c r="AC9" s="369"/>
    </row>
    <row r="12" spans="1:38" s="369" customFormat="1" ht="18.75" x14ac:dyDescent="0.3">
      <c r="A12"/>
      <c r="B12" s="3" t="s">
        <v>401</v>
      </c>
      <c r="C12" s="377"/>
      <c r="D12" s="377"/>
      <c r="E12" s="377"/>
      <c r="F12" s="377"/>
      <c r="G12" s="377"/>
      <c r="H12" s="377"/>
      <c r="I12" s="377"/>
      <c r="J12" s="377"/>
      <c r="K12" s="377"/>
      <c r="L12" s="377"/>
      <c r="M12" s="377"/>
      <c r="N12" s="377"/>
      <c r="O12" s="377"/>
      <c r="P12" s="377"/>
      <c r="Q12" s="377"/>
      <c r="R12" s="377"/>
      <c r="S12" s="377"/>
      <c r="T12" s="377"/>
      <c r="U12" s="377"/>
      <c r="V12" s="377"/>
      <c r="W12" s="377"/>
      <c r="X12" s="377"/>
      <c r="Y12" s="377"/>
      <c r="Z12" s="377"/>
      <c r="AA12" s="377"/>
      <c r="AB12" s="377"/>
      <c r="AC12" s="377"/>
      <c r="AD12" s="377"/>
      <c r="AE12" s="377"/>
      <c r="AF12" s="377"/>
      <c r="AG12" s="377"/>
      <c r="AH12" s="377"/>
      <c r="AI12" s="377"/>
      <c r="AJ12" s="377"/>
      <c r="AK12" s="377"/>
      <c r="AL12" s="377"/>
    </row>
    <row r="14" spans="1:38" x14ac:dyDescent="0.25">
      <c r="B14" s="59" t="s">
        <v>166</v>
      </c>
      <c r="C14" s="371" t="str" cm="1">
        <f t="array" ref="C14">_xll.d.TestUtils_And(L19:N21,V19,AD19,AL19)</f>
        <v>Ok</v>
      </c>
      <c r="D14" s="369"/>
      <c r="E14" s="369"/>
      <c r="F14" s="369"/>
      <c r="G14" s="369"/>
      <c r="H14" s="369"/>
      <c r="I14" s="369"/>
      <c r="J14" s="369"/>
      <c r="K14" s="369"/>
    </row>
    <row r="15" spans="1:38" x14ac:dyDescent="0.25">
      <c r="B15" s="369"/>
      <c r="C15" s="369"/>
      <c r="D15" s="369"/>
      <c r="E15" s="369"/>
      <c r="F15" s="369"/>
      <c r="G15" s="369"/>
      <c r="H15" s="369"/>
      <c r="I15" s="370"/>
      <c r="J15" s="370"/>
      <c r="K15" s="370"/>
    </row>
    <row r="16" spans="1:38" ht="15.75" x14ac:dyDescent="0.25">
      <c r="B16" s="4" t="s">
        <v>404</v>
      </c>
      <c r="C16" s="378"/>
      <c r="D16" s="378"/>
      <c r="E16" s="378"/>
      <c r="F16" s="378"/>
      <c r="G16" s="378"/>
      <c r="H16" s="378"/>
      <c r="I16" s="378"/>
      <c r="J16" s="378"/>
      <c r="K16" s="378"/>
      <c r="L16" s="378"/>
      <c r="M16" s="378"/>
      <c r="N16" s="378"/>
      <c r="P16" s="4" t="s">
        <v>407</v>
      </c>
      <c r="Q16" s="378"/>
      <c r="R16" s="378"/>
      <c r="S16" s="378"/>
      <c r="T16" s="378"/>
      <c r="U16" s="378"/>
      <c r="V16" s="378"/>
      <c r="X16" s="4" t="s">
        <v>410</v>
      </c>
      <c r="Y16" s="378"/>
      <c r="Z16" s="378"/>
      <c r="AA16" s="378"/>
      <c r="AB16" s="378"/>
      <c r="AC16" s="378"/>
      <c r="AD16" s="378"/>
      <c r="AF16" s="4" t="s">
        <v>411</v>
      </c>
      <c r="AG16" s="378"/>
      <c r="AH16" s="378"/>
      <c r="AI16" s="378"/>
      <c r="AJ16" s="378"/>
      <c r="AK16" s="378"/>
      <c r="AL16" s="378"/>
    </row>
    <row r="17" spans="2:38" x14ac:dyDescent="0.25">
      <c r="B17" s="369"/>
      <c r="C17" s="369"/>
      <c r="D17" s="369"/>
      <c r="E17" s="369"/>
      <c r="F17" s="369"/>
      <c r="G17" s="369"/>
      <c r="H17" s="369"/>
      <c r="I17" s="370"/>
      <c r="J17" s="370"/>
      <c r="K17" s="370"/>
      <c r="P17" s="369"/>
      <c r="Q17" s="369"/>
      <c r="R17" s="369"/>
      <c r="S17" s="369"/>
      <c r="T17" s="369"/>
      <c r="U17" s="370"/>
      <c r="X17" s="369"/>
      <c r="Y17" s="369"/>
      <c r="Z17" s="369"/>
      <c r="AA17" s="369"/>
      <c r="AB17" s="369"/>
      <c r="AC17" s="370"/>
      <c r="AF17" s="369"/>
      <c r="AG17" s="369"/>
      <c r="AH17" s="369"/>
      <c r="AI17" s="369"/>
      <c r="AJ17" s="369"/>
      <c r="AK17" s="370"/>
    </row>
    <row r="18" spans="2:38" x14ac:dyDescent="0.25">
      <c r="B18" s="136" t="s">
        <v>259</v>
      </c>
      <c r="C18" s="226"/>
      <c r="D18" s="137"/>
      <c r="F18" s="136" t="s">
        <v>140</v>
      </c>
      <c r="G18" s="136"/>
      <c r="H18" s="136"/>
      <c r="I18" s="136" t="s">
        <v>261</v>
      </c>
      <c r="J18" s="136"/>
      <c r="K18" s="136"/>
      <c r="L18" s="136" t="s">
        <v>88</v>
      </c>
      <c r="M18" s="413"/>
      <c r="N18" s="413"/>
      <c r="P18" s="136" t="s">
        <v>259</v>
      </c>
      <c r="Q18" s="226"/>
      <c r="R18" s="137"/>
      <c r="T18" s="136" t="s">
        <v>140</v>
      </c>
      <c r="U18" s="136" t="s">
        <v>261</v>
      </c>
      <c r="V18" s="136" t="s">
        <v>88</v>
      </c>
      <c r="X18" s="136" t="s">
        <v>259</v>
      </c>
      <c r="Y18" s="226"/>
      <c r="Z18" s="137"/>
      <c r="AB18" s="136" t="s">
        <v>140</v>
      </c>
      <c r="AC18" s="136" t="s">
        <v>261</v>
      </c>
      <c r="AD18" s="136" t="s">
        <v>88</v>
      </c>
      <c r="AF18" s="136" t="s">
        <v>259</v>
      </c>
      <c r="AG18" s="226"/>
      <c r="AH18" s="137"/>
      <c r="AJ18" s="136" t="s">
        <v>140</v>
      </c>
      <c r="AK18" s="136" t="s">
        <v>261</v>
      </c>
      <c r="AL18" s="136" t="s">
        <v>88</v>
      </c>
    </row>
    <row r="19" spans="2:38" x14ac:dyDescent="0.25">
      <c r="B19" s="433" t="s">
        <v>405</v>
      </c>
      <c r="C19" s="434"/>
      <c r="D19" s="435"/>
      <c r="F19" s="432">
        <f t="array" ref="F19:H21">_xll.d.Stats_Cholesky(B20:D22)</f>
        <v>1</v>
      </c>
      <c r="G19" s="328">
        <v>0</v>
      </c>
      <c r="H19" s="329">
        <v>0</v>
      </c>
      <c r="I19" s="432">
        <v>1</v>
      </c>
      <c r="J19" s="328">
        <v>0</v>
      </c>
      <c r="K19" s="329">
        <v>0</v>
      </c>
      <c r="L19" s="381" t="str" cm="1">
        <f t="array" ref="L19">_xll.d.TestUtils_Equal(F19,I19)</f>
        <v>Ok</v>
      </c>
      <c r="M19" s="381" t="str" cm="1">
        <f t="array" ref="M19">_xll.d.TestUtils_Equal(G19,J19)</f>
        <v>Ok</v>
      </c>
      <c r="N19" s="381" t="str" cm="1">
        <f t="array" ref="N19">_xll.d.TestUtils_Equal(H19,K19)</f>
        <v>Ok</v>
      </c>
      <c r="P19" s="433" t="s">
        <v>405</v>
      </c>
      <c r="Q19" s="434"/>
      <c r="R19" s="435"/>
      <c r="T19" s="442" t="str" cm="1">
        <f t="array" ref="T19">_xll.d.Stats_Cholesky(P20:R21)</f>
        <v>#∂Excel Error: Matrix supplied is not square.</v>
      </c>
      <c r="U19" s="442" t="s">
        <v>406</v>
      </c>
      <c r="V19" s="381" t="str" cm="1">
        <f t="array" ref="V19">_xll.d.TestUtils_Equal(T19,U19)</f>
        <v>Ok</v>
      </c>
      <c r="X19" s="433" t="s">
        <v>405</v>
      </c>
      <c r="Y19" s="434"/>
      <c r="Z19" s="435"/>
      <c r="AB19" s="442" t="str" cm="1">
        <f t="array" ref="AB19">_xll.d.Stats_Cholesky(X20:Z22)</f>
        <v>#∂Excel Error: Matrix supplied is not symmetric.</v>
      </c>
      <c r="AC19" s="442" t="s">
        <v>408</v>
      </c>
      <c r="AD19" s="381" t="str" cm="1">
        <f t="array" ref="AD19">_xll.d.TestUtils_Equal(AB19,AC19)</f>
        <v>Ok</v>
      </c>
      <c r="AF19" s="433" t="s">
        <v>405</v>
      </c>
      <c r="AG19" s="434"/>
      <c r="AH19" s="435"/>
      <c r="AJ19" s="442" t="str" cm="1">
        <f t="array" ref="AJ19">_xll.d.Stats_Cholesky(AF20:AH22)</f>
        <v>#∂Excel Error: Matrix supplied is not positive-definite.</v>
      </c>
      <c r="AK19" s="442" t="s">
        <v>409</v>
      </c>
      <c r="AL19" s="381" t="str" cm="1">
        <f t="array" ref="AL19">_xll.d.TestUtils_Equal(AJ19,AK19)</f>
        <v>Ok</v>
      </c>
    </row>
    <row r="20" spans="2:38" x14ac:dyDescent="0.25">
      <c r="B20" s="432">
        <v>1</v>
      </c>
      <c r="C20" s="328">
        <v>0.75</v>
      </c>
      <c r="D20" s="329">
        <v>0.5</v>
      </c>
      <c r="E20" s="369"/>
      <c r="F20" s="439">
        <v>0.75</v>
      </c>
      <c r="G20" s="440">
        <v>0.66143782776614768</v>
      </c>
      <c r="H20" s="441">
        <v>0</v>
      </c>
      <c r="I20" s="439">
        <v>0.75</v>
      </c>
      <c r="J20" s="440">
        <v>0.66143782776614768</v>
      </c>
      <c r="K20" s="441">
        <v>0</v>
      </c>
      <c r="L20" s="381" t="str" cm="1">
        <f t="array" ref="L20">_xll.d.TestUtils_Equal(F20,I20)</f>
        <v>Ok</v>
      </c>
      <c r="M20" s="381" t="str" cm="1">
        <f t="array" ref="M20">_xll.d.TestUtils_Equal(G20,J20)</f>
        <v>Ok</v>
      </c>
      <c r="N20" s="381" t="str" cm="1">
        <f t="array" ref="N20">_xll.d.TestUtils_Equal(H20,K20)</f>
        <v>Ok</v>
      </c>
      <c r="P20" s="432">
        <v>1</v>
      </c>
      <c r="Q20" s="328">
        <v>0.75</v>
      </c>
      <c r="R20" s="329">
        <v>0.5</v>
      </c>
      <c r="S20" s="369"/>
      <c r="X20" s="432">
        <v>1</v>
      </c>
      <c r="Y20" s="328">
        <v>0.75</v>
      </c>
      <c r="Z20" s="329">
        <v>10</v>
      </c>
      <c r="AA20" s="369"/>
      <c r="AF20" s="432">
        <v>1</v>
      </c>
      <c r="AG20" s="328">
        <v>2</v>
      </c>
      <c r="AH20" s="329">
        <v>3</v>
      </c>
      <c r="AI20" s="369"/>
    </row>
    <row r="21" spans="2:38" x14ac:dyDescent="0.25">
      <c r="B21" s="439">
        <v>0.75</v>
      </c>
      <c r="C21" s="440">
        <v>1</v>
      </c>
      <c r="D21" s="441">
        <v>0.75</v>
      </c>
      <c r="E21" s="369"/>
      <c r="F21" s="436">
        <v>0.5</v>
      </c>
      <c r="G21" s="437">
        <v>0.56694670951384085</v>
      </c>
      <c r="H21" s="438">
        <v>0.65465367070797709</v>
      </c>
      <c r="I21" s="436">
        <v>0.5</v>
      </c>
      <c r="J21" s="437">
        <v>0.56694670951384085</v>
      </c>
      <c r="K21" s="438">
        <v>0.65465367070797709</v>
      </c>
      <c r="L21" s="381" t="str" cm="1">
        <f t="array" ref="L21">_xll.d.TestUtils_Equal(F21,I21)</f>
        <v>Ok</v>
      </c>
      <c r="M21" s="381" t="str" cm="1">
        <f t="array" ref="M21">_xll.d.TestUtils_Equal(G21,J21)</f>
        <v>Ok</v>
      </c>
      <c r="N21" s="381" t="str" cm="1">
        <f t="array" ref="N21">_xll.d.TestUtils_Equal(H21,K21)</f>
        <v>Ok</v>
      </c>
      <c r="P21" s="436">
        <v>0.75</v>
      </c>
      <c r="Q21" s="437">
        <v>1</v>
      </c>
      <c r="R21" s="438">
        <v>0.75</v>
      </c>
      <c r="S21" s="369"/>
      <c r="X21" s="439">
        <v>0.75</v>
      </c>
      <c r="Y21" s="440">
        <v>1</v>
      </c>
      <c r="Z21" s="441">
        <v>0.75</v>
      </c>
      <c r="AA21" s="369"/>
      <c r="AF21" s="439">
        <v>2</v>
      </c>
      <c r="AG21" s="440">
        <v>3</v>
      </c>
      <c r="AH21" s="441">
        <v>4</v>
      </c>
      <c r="AI21" s="369"/>
    </row>
    <row r="22" spans="2:38" x14ac:dyDescent="0.25">
      <c r="B22" s="436">
        <v>0.5</v>
      </c>
      <c r="C22" s="437">
        <v>0.75</v>
      </c>
      <c r="D22" s="438">
        <v>1</v>
      </c>
      <c r="X22" s="436">
        <v>0.5</v>
      </c>
      <c r="Y22" s="437">
        <v>0.75</v>
      </c>
      <c r="Z22" s="438">
        <v>1</v>
      </c>
      <c r="AF22" s="436">
        <v>3</v>
      </c>
      <c r="AG22" s="437">
        <v>4</v>
      </c>
      <c r="AH22" s="438">
        <v>5</v>
      </c>
    </row>
    <row r="25" spans="2:38" ht="18.75" x14ac:dyDescent="0.3">
      <c r="B25" s="3" t="s">
        <v>402</v>
      </c>
      <c r="C25" s="377"/>
      <c r="D25" s="377"/>
      <c r="E25" s="377"/>
      <c r="F25" s="377"/>
      <c r="G25" s="377"/>
      <c r="H25" s="377"/>
      <c r="I25" s="377"/>
      <c r="J25" s="377"/>
      <c r="K25" s="377"/>
      <c r="L25" s="377"/>
      <c r="M25" s="377"/>
      <c r="N25" s="377"/>
      <c r="O25" s="377"/>
      <c r="P25" s="377"/>
      <c r="Q25" s="377"/>
      <c r="R25" s="377"/>
      <c r="S25" s="377"/>
      <c r="T25" s="377"/>
      <c r="U25" s="377"/>
      <c r="V25" s="377"/>
      <c r="W25" s="377"/>
      <c r="X25" s="377"/>
      <c r="Y25" s="377"/>
      <c r="Z25" s="377"/>
      <c r="AA25" s="377"/>
      <c r="AB25" s="377"/>
      <c r="AC25" s="377"/>
      <c r="AD25" s="377"/>
      <c r="AE25" s="377"/>
      <c r="AF25" s="377"/>
      <c r="AG25" s="377"/>
      <c r="AH25" s="377"/>
      <c r="AI25" s="377"/>
      <c r="AJ25" s="377"/>
      <c r="AK25" s="377"/>
      <c r="AL25" s="377"/>
    </row>
    <row r="27" spans="2:38" x14ac:dyDescent="0.25">
      <c r="B27" s="59" t="s">
        <v>166</v>
      </c>
      <c r="C27" s="371" t="str" cm="1">
        <f t="array" ref="C27">_xll.d.TestUtils_And(L33:M34,AB33:AD35)</f>
        <v>Ok</v>
      </c>
      <c r="D27" s="369"/>
      <c r="E27" s="369"/>
      <c r="F27" s="369"/>
      <c r="G27" s="369"/>
      <c r="H27" s="369"/>
      <c r="I27" s="369"/>
      <c r="J27" s="369"/>
      <c r="K27" s="369"/>
    </row>
    <row r="28" spans="2:38" x14ac:dyDescent="0.25">
      <c r="B28" s="369"/>
      <c r="C28" s="369"/>
      <c r="D28" s="369"/>
      <c r="E28" s="369"/>
      <c r="F28" s="369"/>
      <c r="G28" s="369"/>
      <c r="H28" s="369"/>
      <c r="I28" s="370"/>
      <c r="J28" s="370"/>
      <c r="K28" s="370"/>
    </row>
    <row r="29" spans="2:38" ht="15.75" x14ac:dyDescent="0.25">
      <c r="B29" s="4" t="s">
        <v>412</v>
      </c>
      <c r="C29" s="378"/>
      <c r="D29" s="378"/>
      <c r="E29" s="378"/>
      <c r="F29" s="378"/>
      <c r="G29" s="378"/>
      <c r="H29" s="378"/>
      <c r="I29" s="378"/>
      <c r="J29" s="378"/>
      <c r="K29" s="378"/>
      <c r="L29" s="378"/>
      <c r="M29" s="378"/>
      <c r="O29" s="4" t="s">
        <v>414</v>
      </c>
      <c r="P29" s="378"/>
      <c r="Q29" s="378"/>
      <c r="R29" s="378"/>
      <c r="S29" s="378"/>
      <c r="T29" s="378"/>
      <c r="U29" s="378"/>
      <c r="V29" s="378"/>
      <c r="W29" s="378"/>
      <c r="X29" s="378"/>
      <c r="Y29" s="378"/>
      <c r="Z29" s="378"/>
    </row>
    <row r="30" spans="2:38" x14ac:dyDescent="0.25">
      <c r="B30" s="369"/>
      <c r="C30" s="369"/>
      <c r="D30" s="369"/>
      <c r="E30" s="369"/>
      <c r="F30" s="369"/>
      <c r="G30" s="369"/>
      <c r="H30" s="369"/>
      <c r="I30" s="370"/>
      <c r="J30" s="370"/>
      <c r="K30" s="370"/>
      <c r="O30" s="369"/>
      <c r="P30" s="369"/>
      <c r="Q30" s="369"/>
      <c r="R30" s="369"/>
      <c r="S30" s="369"/>
      <c r="T30" s="369"/>
      <c r="U30" s="369"/>
      <c r="V30" s="370"/>
      <c r="W30" s="370"/>
      <c r="X30" s="370"/>
    </row>
    <row r="31" spans="2:38" x14ac:dyDescent="0.25">
      <c r="B31" s="136" t="s">
        <v>259</v>
      </c>
      <c r="C31" s="226"/>
      <c r="E31" s="136" t="s">
        <v>140</v>
      </c>
      <c r="F31" s="136"/>
      <c r="G31" s="136"/>
      <c r="H31" s="136" t="s">
        <v>261</v>
      </c>
      <c r="I31" s="136"/>
      <c r="J31" s="136"/>
      <c r="K31" s="136" t="s">
        <v>88</v>
      </c>
      <c r="L31" s="413"/>
      <c r="M31" s="413"/>
      <c r="O31" s="136" t="s">
        <v>259</v>
      </c>
      <c r="P31" s="226"/>
      <c r="Q31" s="413"/>
      <c r="S31" s="136" t="s">
        <v>140</v>
      </c>
      <c r="T31" s="136"/>
      <c r="U31" s="136"/>
      <c r="V31" s="136"/>
      <c r="W31" s="136" t="s">
        <v>261</v>
      </c>
      <c r="X31" s="136"/>
      <c r="Y31" s="136"/>
      <c r="Z31" s="136"/>
      <c r="AA31" s="136" t="s">
        <v>88</v>
      </c>
      <c r="AB31" s="413"/>
      <c r="AC31" s="413"/>
      <c r="AD31" s="413"/>
    </row>
    <row r="32" spans="2:38" x14ac:dyDescent="0.25">
      <c r="B32" s="443" t="s">
        <v>388</v>
      </c>
      <c r="C32" s="444" t="s">
        <v>387</v>
      </c>
      <c r="E32" s="458"/>
      <c r="F32" s="456" t="s">
        <v>388</v>
      </c>
      <c r="G32" s="367" t="s">
        <v>387</v>
      </c>
      <c r="H32" s="458"/>
      <c r="I32" s="456" t="s">
        <v>388</v>
      </c>
      <c r="J32" s="367" t="s">
        <v>387</v>
      </c>
      <c r="K32" s="458"/>
      <c r="L32" s="456" t="s">
        <v>388</v>
      </c>
      <c r="M32" s="367" t="s">
        <v>387</v>
      </c>
      <c r="O32" s="443" t="s">
        <v>388</v>
      </c>
      <c r="P32" s="466" t="s">
        <v>387</v>
      </c>
      <c r="Q32" s="465" t="s">
        <v>413</v>
      </c>
      <c r="S32" s="458"/>
      <c r="T32" s="456" t="s">
        <v>388</v>
      </c>
      <c r="U32" s="469" t="s">
        <v>387</v>
      </c>
      <c r="V32" s="467" t="s">
        <v>413</v>
      </c>
      <c r="W32" s="458"/>
      <c r="X32" s="456" t="s">
        <v>388</v>
      </c>
      <c r="Y32" s="469" t="s">
        <v>387</v>
      </c>
      <c r="Z32" s="467" t="s">
        <v>413</v>
      </c>
      <c r="AA32" s="458"/>
      <c r="AB32" s="456" t="s">
        <v>388</v>
      </c>
      <c r="AC32" s="469" t="s">
        <v>387</v>
      </c>
      <c r="AD32" s="467" t="s">
        <v>413</v>
      </c>
    </row>
    <row r="33" spans="2:38" x14ac:dyDescent="0.25">
      <c r="B33" s="445">
        <v>1</v>
      </c>
      <c r="C33" s="446">
        <v>0.5</v>
      </c>
      <c r="D33" s="369"/>
      <c r="E33" s="457" t="s">
        <v>388</v>
      </c>
      <c r="F33" s="452" cm="1">
        <f t="array" ref="F33:G34">_xll.d.Stats_CorrelationMatrix(B33:C38)</f>
        <v>1</v>
      </c>
      <c r="G33" s="451">
        <v>0.9855793842654561</v>
      </c>
      <c r="H33" s="457" t="s">
        <v>388</v>
      </c>
      <c r="I33" s="452">
        <f>CORREL(B33:B38,B33:B38)</f>
        <v>1</v>
      </c>
      <c r="J33" s="451">
        <f>CORREL(B33:B38,C33:C38)</f>
        <v>0.98557938426545633</v>
      </c>
      <c r="K33" s="457" t="s">
        <v>388</v>
      </c>
      <c r="L33" s="381" t="str" cm="1">
        <f t="array" ref="L33">_xll.d.TestUtils_Equal(F33,I33)</f>
        <v>Ok</v>
      </c>
      <c r="M33" s="381" t="str" cm="1">
        <f t="array" ref="M33">_xll.d.TestUtils_Equal(G33,J33)</f>
        <v>Ok</v>
      </c>
      <c r="O33" s="445">
        <v>1</v>
      </c>
      <c r="P33" s="462">
        <v>0.5</v>
      </c>
      <c r="Q33" s="459">
        <v>6.5</v>
      </c>
      <c r="R33" s="369"/>
      <c r="S33" s="457" t="s">
        <v>388</v>
      </c>
      <c r="T33" s="452" cm="1">
        <f t="array" ref="T33:V35">_xll.d.Stats_CorrelationMatrix(O33:Q38)</f>
        <v>1</v>
      </c>
      <c r="U33" s="471">
        <v>0.9855793842654561</v>
      </c>
      <c r="V33" s="470">
        <v>-0.96679334300694564</v>
      </c>
      <c r="W33" s="457" t="s">
        <v>388</v>
      </c>
      <c r="X33" s="452">
        <f>CORREL($O$33:$O$38,O$33:O$38)</f>
        <v>1</v>
      </c>
      <c r="Y33" s="471">
        <f t="shared" ref="Y33:Z33" si="0">CORREL($O$33:$O$38,P$33:P$38)</f>
        <v>0.98557938426545633</v>
      </c>
      <c r="Z33" s="470">
        <f t="shared" si="0"/>
        <v>-0.96679334300694575</v>
      </c>
      <c r="AA33" s="457" t="s">
        <v>388</v>
      </c>
      <c r="AB33" s="381" t="str" cm="1">
        <f t="array" ref="AB33">_xll.d.TestUtils_Equal(T33,X33)</f>
        <v>Ok</v>
      </c>
      <c r="AC33" s="381" t="str" cm="1">
        <f t="array" ref="AC33">_xll.d.TestUtils_Equal(U33,Y33)</f>
        <v>Ok</v>
      </c>
      <c r="AD33" s="381" t="str" cm="1">
        <f t="array" ref="AD33">_xll.d.TestUtils_Equal(V33,Z33)</f>
        <v>Ok</v>
      </c>
    </row>
    <row r="34" spans="2:38" x14ac:dyDescent="0.25">
      <c r="B34" s="447">
        <v>2</v>
      </c>
      <c r="C34" s="448">
        <v>2.2000000000000002</v>
      </c>
      <c r="D34" s="369"/>
      <c r="E34" s="356" t="s">
        <v>387</v>
      </c>
      <c r="F34" s="453">
        <v>0.9855793842654561</v>
      </c>
      <c r="G34" s="438">
        <v>1</v>
      </c>
      <c r="H34" s="356" t="s">
        <v>387</v>
      </c>
      <c r="I34" s="453">
        <f>CORREL(B33:B38,C33:C38)</f>
        <v>0.98557938426545633</v>
      </c>
      <c r="J34" s="438">
        <f>CORREL(C33:C38,C33:C38)</f>
        <v>1.0000000000000002</v>
      </c>
      <c r="K34" s="356" t="s">
        <v>387</v>
      </c>
      <c r="L34" s="381" t="str" cm="1">
        <f t="array" ref="L34">_xll.d.TestUtils_Equal(F34,I34)</f>
        <v>Ok</v>
      </c>
      <c r="M34" s="381" t="str" cm="1">
        <f t="array" ref="M34">_xll.d.TestUtils_Equal(G34,J34)</f>
        <v>Ok</v>
      </c>
      <c r="O34" s="447">
        <v>2</v>
      </c>
      <c r="P34" s="463">
        <v>2.2000000000000002</v>
      </c>
      <c r="Q34" s="460">
        <v>5.2</v>
      </c>
      <c r="R34" s="369"/>
      <c r="S34" s="454" t="s">
        <v>387</v>
      </c>
      <c r="T34" s="472">
        <v>0.9855793842654561</v>
      </c>
      <c r="U34" s="474">
        <v>1</v>
      </c>
      <c r="V34" s="475">
        <v>-0.9461544177169412</v>
      </c>
      <c r="W34" s="454" t="s">
        <v>387</v>
      </c>
      <c r="X34" s="472">
        <f>CORREL(O$33:O$38,$P$33:$P$38)</f>
        <v>0.98557938426545633</v>
      </c>
      <c r="Y34" s="474">
        <f t="shared" ref="Y34:Z34" si="1">CORREL(P$33:P$38,$P$33:$P$38)</f>
        <v>1.0000000000000002</v>
      </c>
      <c r="Z34" s="475">
        <f t="shared" si="1"/>
        <v>-0.94615441771694131</v>
      </c>
      <c r="AA34" s="454" t="s">
        <v>387</v>
      </c>
      <c r="AB34" s="381" t="str" cm="1">
        <f t="array" ref="AB34">_xll.d.TestUtils_Equal(T34,X34)</f>
        <v>Ok</v>
      </c>
      <c r="AC34" s="381" t="str" cm="1">
        <f t="array" ref="AC34">_xll.d.TestUtils_Equal(U34,Y34)</f>
        <v>Ok</v>
      </c>
      <c r="AD34" s="381" t="str" cm="1">
        <f t="array" ref="AD34">_xll.d.TestUtils_Equal(V34,Z34)</f>
        <v>Ok</v>
      </c>
    </row>
    <row r="35" spans="2:38" x14ac:dyDescent="0.25">
      <c r="B35" s="447">
        <v>3</v>
      </c>
      <c r="C35" s="448">
        <v>2.9</v>
      </c>
      <c r="O35" s="447">
        <v>3</v>
      </c>
      <c r="P35" s="463">
        <v>2.9</v>
      </c>
      <c r="Q35" s="460">
        <v>4.9000000000000004</v>
      </c>
      <c r="S35" s="455" t="s">
        <v>413</v>
      </c>
      <c r="T35" s="453">
        <v>-0.96679334300694564</v>
      </c>
      <c r="U35" s="473">
        <v>-0.9461544177169412</v>
      </c>
      <c r="V35" s="468">
        <v>1</v>
      </c>
      <c r="W35" s="455" t="s">
        <v>413</v>
      </c>
      <c r="X35" s="453">
        <f>CORREL(O$33:O$38,$Q$33:$Q$38)</f>
        <v>-0.96679334300694575</v>
      </c>
      <c r="Y35" s="473">
        <f t="shared" ref="Y35:Z35" si="2">CORREL(P$33:P$38,$Q$33:$Q$38)</f>
        <v>-0.94615441771694131</v>
      </c>
      <c r="Z35" s="468">
        <f t="shared" si="2"/>
        <v>0.99999999999999978</v>
      </c>
      <c r="AA35" s="455" t="s">
        <v>413</v>
      </c>
      <c r="AB35" s="381" t="str" cm="1">
        <f t="array" ref="AB35">_xll.d.TestUtils_Equal(T35,X35)</f>
        <v>Ok</v>
      </c>
      <c r="AC35" s="381" t="str" cm="1">
        <f t="array" ref="AC35">_xll.d.TestUtils_Equal(U35,Y35)</f>
        <v>Ok</v>
      </c>
      <c r="AD35" s="381" t="str" cm="1">
        <f t="array" ref="AD35">_xll.d.TestUtils_Equal(V35,Z35)</f>
        <v>Ok</v>
      </c>
    </row>
    <row r="36" spans="2:38" x14ac:dyDescent="0.25">
      <c r="B36" s="447">
        <v>4</v>
      </c>
      <c r="C36" s="448">
        <v>4.2</v>
      </c>
      <c r="O36" s="447">
        <v>4</v>
      </c>
      <c r="P36" s="463">
        <v>4.2</v>
      </c>
      <c r="Q36" s="460">
        <v>4</v>
      </c>
    </row>
    <row r="37" spans="2:38" x14ac:dyDescent="0.25">
      <c r="B37" s="447">
        <v>5</v>
      </c>
      <c r="C37" s="448">
        <v>5</v>
      </c>
      <c r="O37" s="447">
        <v>5</v>
      </c>
      <c r="P37" s="463">
        <v>5</v>
      </c>
      <c r="Q37" s="460">
        <v>3.8</v>
      </c>
    </row>
    <row r="38" spans="2:38" x14ac:dyDescent="0.25">
      <c r="B38" s="449">
        <v>6</v>
      </c>
      <c r="C38" s="450">
        <v>5.5</v>
      </c>
      <c r="O38" s="449">
        <v>6</v>
      </c>
      <c r="P38" s="464">
        <v>5.5</v>
      </c>
      <c r="Q38" s="461">
        <v>1.9</v>
      </c>
    </row>
    <row r="41" spans="2:38" ht="18.75" x14ac:dyDescent="0.3">
      <c r="B41" s="3" t="s">
        <v>403</v>
      </c>
      <c r="C41" s="377"/>
      <c r="D41" s="377"/>
      <c r="E41" s="377"/>
      <c r="F41" s="377"/>
      <c r="G41" s="377"/>
      <c r="H41" s="377"/>
      <c r="I41" s="377"/>
      <c r="J41" s="377"/>
      <c r="K41" s="377"/>
      <c r="L41" s="377"/>
      <c r="M41" s="377"/>
      <c r="N41" s="377"/>
      <c r="O41" s="377"/>
      <c r="P41" s="377"/>
      <c r="Q41" s="377"/>
      <c r="R41" s="377"/>
      <c r="S41" s="377"/>
      <c r="T41" s="377"/>
      <c r="U41" s="377"/>
      <c r="V41" s="377"/>
      <c r="W41" s="377"/>
      <c r="X41" s="377"/>
      <c r="Y41" s="377"/>
      <c r="Z41" s="377"/>
      <c r="AA41" s="377"/>
      <c r="AB41" s="377"/>
      <c r="AC41" s="377"/>
      <c r="AD41" s="377"/>
      <c r="AE41" s="377"/>
      <c r="AF41" s="377"/>
      <c r="AG41" s="377"/>
      <c r="AH41" s="377"/>
      <c r="AI41" s="377"/>
      <c r="AJ41" s="377"/>
      <c r="AK41" s="377"/>
      <c r="AL41" s="377"/>
    </row>
    <row r="43" spans="2:38" x14ac:dyDescent="0.25">
      <c r="B43" s="59" t="s">
        <v>166</v>
      </c>
      <c r="C43" s="371" t="str" cm="1">
        <f t="array" aca="1" ref="C43" ca="1">_xll.d.TestUtils_And(J50:K50,S50:T50,AE48)</f>
        <v>Ok</v>
      </c>
      <c r="D43" s="369"/>
      <c r="E43" s="369"/>
      <c r="F43" s="369"/>
      <c r="G43" s="369"/>
      <c r="H43" s="369"/>
      <c r="I43" s="369"/>
      <c r="J43" s="369"/>
      <c r="K43" s="369"/>
    </row>
    <row r="44" spans="2:38" x14ac:dyDescent="0.25">
      <c r="B44" s="369"/>
      <c r="C44" s="369"/>
      <c r="D44" s="369"/>
      <c r="E44" s="369"/>
      <c r="F44" s="369"/>
      <c r="G44" s="369"/>
      <c r="H44" s="369"/>
      <c r="I44" s="370"/>
      <c r="J44" s="370"/>
      <c r="K44" s="370"/>
    </row>
    <row r="45" spans="2:38" ht="15.75" x14ac:dyDescent="0.25">
      <c r="B45" s="4" t="s">
        <v>418</v>
      </c>
      <c r="C45" s="378"/>
      <c r="D45" s="378"/>
      <c r="E45" s="378"/>
      <c r="F45" s="378"/>
      <c r="G45" s="378"/>
      <c r="H45" s="378"/>
      <c r="I45" s="378"/>
      <c r="J45" s="378"/>
      <c r="K45" s="378"/>
      <c r="M45" s="4" t="s">
        <v>419</v>
      </c>
      <c r="N45" s="378"/>
      <c r="O45" s="378"/>
      <c r="P45" s="378"/>
      <c r="Q45" s="378"/>
      <c r="R45" s="378"/>
      <c r="S45" s="378"/>
      <c r="T45" s="378"/>
      <c r="V45" s="4" t="s">
        <v>420</v>
      </c>
      <c r="W45" s="378"/>
      <c r="X45" s="378"/>
      <c r="Y45" s="378"/>
      <c r="Z45" s="378"/>
      <c r="AA45" s="378"/>
      <c r="AB45" s="378"/>
      <c r="AC45" s="378"/>
      <c r="AD45" s="378"/>
      <c r="AE45" s="378"/>
    </row>
    <row r="47" spans="2:38" x14ac:dyDescent="0.25">
      <c r="B47" s="476" t="s">
        <v>259</v>
      </c>
      <c r="D47" s="136" t="s">
        <v>140</v>
      </c>
      <c r="E47" s="226"/>
      <c r="F47" s="226"/>
      <c r="G47" s="226"/>
      <c r="H47" s="137"/>
      <c r="J47" s="136" t="s">
        <v>416</v>
      </c>
      <c r="K47" s="137" t="s">
        <v>417</v>
      </c>
      <c r="M47" s="136" t="s">
        <v>140</v>
      </c>
      <c r="N47" s="226"/>
      <c r="O47" s="226"/>
      <c r="P47" s="226"/>
      <c r="Q47" s="137"/>
      <c r="S47" s="136" t="s">
        <v>416</v>
      </c>
      <c r="T47" s="137" t="s">
        <v>417</v>
      </c>
      <c r="V47" s="476" t="s">
        <v>259</v>
      </c>
      <c r="X47" s="136" t="s">
        <v>140</v>
      </c>
      <c r="Y47" s="226"/>
      <c r="Z47" s="226"/>
      <c r="AA47" s="226"/>
      <c r="AB47" s="137"/>
      <c r="AD47" s="136" t="s">
        <v>261</v>
      </c>
      <c r="AE47" s="136" t="s">
        <v>88</v>
      </c>
    </row>
    <row r="48" spans="2:38" x14ac:dyDescent="0.25">
      <c r="B48" s="477" t="s">
        <v>415</v>
      </c>
      <c r="D48" s="138">
        <f t="array" aca="1" ref="D48:H87" ca="1">_xll.d.Stats_NormalRandomNumbers(B49)</f>
        <v>-0.63711590014289476</v>
      </c>
      <c r="E48" s="391">
        <f ca="1"/>
        <v>0.70685522048944815</v>
      </c>
      <c r="F48" s="391">
        <f ca="1"/>
        <v>-0.31907668375768672</v>
      </c>
      <c r="G48" s="391">
        <f ca="1"/>
        <v>-0.40991003456258013</v>
      </c>
      <c r="H48" s="139">
        <f ca="1"/>
        <v>0.59461000541069997</v>
      </c>
      <c r="J48" s="479">
        <f ca="1">AVERAGE(D48:H87)</f>
        <v>9.2097931892436341E-2</v>
      </c>
      <c r="K48" s="410">
        <f ca="1">_xlfn.STDEV.S(D48:H87)</f>
        <v>0.96390177576967329</v>
      </c>
      <c r="M48" s="138">
        <f t="array" aca="1" ref="M48:Q87" ca="1">_xll.d.Stats_NormalRandomNumbers()</f>
        <v>0.46036408201354923</v>
      </c>
      <c r="N48" s="391">
        <f ca="1"/>
        <v>2.1497624368205339</v>
      </c>
      <c r="O48" s="391">
        <f ca="1"/>
        <v>-0.24528684009649518</v>
      </c>
      <c r="P48" s="391">
        <f ca="1"/>
        <v>-0.62465174686677127</v>
      </c>
      <c r="Q48" s="139">
        <f ca="1"/>
        <v>-2.5050435075716253</v>
      </c>
      <c r="S48" s="479">
        <f ca="1">AVERAGE(M48:Q87)</f>
        <v>-1.1933074939529576E-2</v>
      </c>
      <c r="T48" s="410">
        <f ca="1">_xlfn.STDEV.S(M48:Q87)</f>
        <v>0.97328848454950545</v>
      </c>
      <c r="V48" s="477" t="s">
        <v>415</v>
      </c>
      <c r="X48" s="138" t="str">
        <f t="array" aca="1" ref="X48:AB87" ca="1">_xll.d.Stats_NormalRandomNumbers(V49)</f>
        <v>#∂Excel Error: Invalid seed specified.</v>
      </c>
      <c r="Y48" s="391" t="str">
        <f ca="1"/>
        <v>#∂Excel Error: Invalid seed specified.</v>
      </c>
      <c r="Z48" s="391" t="str">
        <f ca="1"/>
        <v>#∂Excel Error: Invalid seed specified.</v>
      </c>
      <c r="AA48" s="391" t="str">
        <f ca="1"/>
        <v>#∂Excel Error: Invalid seed specified.</v>
      </c>
      <c r="AB48" s="139" t="str">
        <f ca="1"/>
        <v>#∂Excel Error: Invalid seed specified.</v>
      </c>
      <c r="AD48" s="442" t="s">
        <v>422</v>
      </c>
      <c r="AE48" s="381" t="str" cm="1">
        <f t="array" aca="1" ref="AE48" ca="1">_xll.d.TestUtils_Equal(X48,AD48)</f>
        <v>Ok</v>
      </c>
    </row>
    <row r="49" spans="2:28" x14ac:dyDescent="0.25">
      <c r="B49" s="480">
        <v>1337</v>
      </c>
      <c r="D49" s="140">
        <f ca="1"/>
        <v>0.15231246463563991</v>
      </c>
      <c r="E49" s="327">
        <f ca="1"/>
        <v>-0.33198021492010854</v>
      </c>
      <c r="F49" s="327">
        <f ca="1"/>
        <v>0.33468800840166441</v>
      </c>
      <c r="G49" s="327">
        <f ca="1"/>
        <v>2.1988514227094039E-2</v>
      </c>
      <c r="H49" s="141">
        <f ca="1"/>
        <v>-1.570800215687598</v>
      </c>
      <c r="J49" s="136" t="s">
        <v>88</v>
      </c>
      <c r="K49" s="136"/>
      <c r="M49" s="140">
        <f ca="1"/>
        <v>-0.95972933261522742</v>
      </c>
      <c r="N49" s="327">
        <f ca="1"/>
        <v>0.58020666207539928</v>
      </c>
      <c r="O49" s="327">
        <f ca="1"/>
        <v>-0.27011836722436422</v>
      </c>
      <c r="P49" s="327">
        <f ca="1"/>
        <v>6.0932621942725897E-2</v>
      </c>
      <c r="Q49" s="141">
        <f ca="1"/>
        <v>0.65205082207471476</v>
      </c>
      <c r="S49" s="136" t="s">
        <v>88</v>
      </c>
      <c r="T49" s="136"/>
      <c r="V49" s="478" t="s">
        <v>421</v>
      </c>
      <c r="X49" s="140" t="str">
        <f ca="1"/>
        <v>#∂Excel Error: Invalid seed specified.</v>
      </c>
      <c r="Y49" s="327" t="str">
        <f ca="1"/>
        <v>#∂Excel Error: Invalid seed specified.</v>
      </c>
      <c r="Z49" s="327" t="str">
        <f ca="1"/>
        <v>#∂Excel Error: Invalid seed specified.</v>
      </c>
      <c r="AA49" s="327" t="str">
        <f ca="1"/>
        <v>#∂Excel Error: Invalid seed specified.</v>
      </c>
      <c r="AB49" s="141" t="str">
        <f ca="1"/>
        <v>#∂Excel Error: Invalid seed specified.</v>
      </c>
    </row>
    <row r="50" spans="2:28" x14ac:dyDescent="0.25">
      <c r="D50" s="140">
        <f ca="1"/>
        <v>-0.9998813019474484</v>
      </c>
      <c r="E50" s="327">
        <f ca="1"/>
        <v>-0.88600131746401845</v>
      </c>
      <c r="F50" s="327">
        <f ca="1"/>
        <v>0.50499676151927686</v>
      </c>
      <c r="G50" s="327">
        <f ca="1"/>
        <v>0.59135175634258896</v>
      </c>
      <c r="H50" s="141">
        <f ca="1"/>
        <v>0.81695537082956271</v>
      </c>
      <c r="J50" s="381" t="str" cm="1">
        <f t="array" aca="1" ref="J50" ca="1">_xll.d.TestUtils_Equal(ABS(J48-0)&lt;0.1,TRUE)</f>
        <v>Ok</v>
      </c>
      <c r="K50" s="381" t="str" cm="1">
        <f t="array" aca="1" ref="K50" ca="1">_xll.d.TestUtils_Equal(ABS(K48-1)&lt;0.1,TRUE)</f>
        <v>Ok</v>
      </c>
      <c r="M50" s="140">
        <f ca="1"/>
        <v>-0.47056655672852216</v>
      </c>
      <c r="N50" s="327">
        <f ca="1"/>
        <v>-0.38649971479027001</v>
      </c>
      <c r="O50" s="327">
        <f ca="1"/>
        <v>0.40391044520740144</v>
      </c>
      <c r="P50" s="327">
        <f ca="1"/>
        <v>1.9600940164213976</v>
      </c>
      <c r="Q50" s="141">
        <f ca="1"/>
        <v>-0.38310375004070013</v>
      </c>
      <c r="S50" s="381" t="str" cm="1">
        <f t="array" aca="1" ref="S50" ca="1">_xll.d.TestUtils_Equal(ABS(S48-0)&lt;0.1,TRUE)</f>
        <v>Ok</v>
      </c>
      <c r="T50" s="381" t="str" cm="1">
        <f t="array" aca="1" ref="T50" ca="1">_xll.d.TestUtils_Equal(ABS(T48-1)&lt;0.1,TRUE)</f>
        <v>Ok</v>
      </c>
      <c r="X50" s="140" t="str">
        <f ca="1"/>
        <v>#∂Excel Error: Invalid seed specified.</v>
      </c>
      <c r="Y50" s="327" t="str">
        <f ca="1"/>
        <v>#∂Excel Error: Invalid seed specified.</v>
      </c>
      <c r="Z50" s="327" t="str">
        <f ca="1"/>
        <v>#∂Excel Error: Invalid seed specified.</v>
      </c>
      <c r="AA50" s="327" t="str">
        <f ca="1"/>
        <v>#∂Excel Error: Invalid seed specified.</v>
      </c>
      <c r="AB50" s="141" t="str">
        <f ca="1"/>
        <v>#∂Excel Error: Invalid seed specified.</v>
      </c>
    </row>
    <row r="51" spans="2:28" x14ac:dyDescent="0.25">
      <c r="D51" s="140">
        <f ca="1"/>
        <v>-0.79747485963926357</v>
      </c>
      <c r="E51" s="327">
        <f ca="1"/>
        <v>-6.1108551057670997E-2</v>
      </c>
      <c r="F51" s="327">
        <f ca="1"/>
        <v>0.863608628387463</v>
      </c>
      <c r="G51" s="327">
        <f ca="1"/>
        <v>-1.0507271193416956</v>
      </c>
      <c r="H51" s="141">
        <f ca="1"/>
        <v>0.4991414877992304</v>
      </c>
      <c r="M51" s="140">
        <f ca="1"/>
        <v>-0.52353521332733421</v>
      </c>
      <c r="N51" s="327">
        <f ca="1"/>
        <v>-1.6121933748029831</v>
      </c>
      <c r="O51" s="327">
        <f ca="1"/>
        <v>-0.38037597345802021</v>
      </c>
      <c r="P51" s="327">
        <f ca="1"/>
        <v>-0.64231926991446886</v>
      </c>
      <c r="Q51" s="141">
        <f ca="1"/>
        <v>-2.0402014364933541</v>
      </c>
      <c r="X51" s="140" t="str">
        <f ca="1"/>
        <v>#∂Excel Error: Invalid seed specified.</v>
      </c>
      <c r="Y51" s="327" t="str">
        <f ca="1"/>
        <v>#∂Excel Error: Invalid seed specified.</v>
      </c>
      <c r="Z51" s="327" t="str">
        <f ca="1"/>
        <v>#∂Excel Error: Invalid seed specified.</v>
      </c>
      <c r="AA51" s="327" t="str">
        <f ca="1"/>
        <v>#∂Excel Error: Invalid seed specified.</v>
      </c>
      <c r="AB51" s="141" t="str">
        <f ca="1"/>
        <v>#∂Excel Error: Invalid seed specified.</v>
      </c>
    </row>
    <row r="52" spans="2:28" x14ac:dyDescent="0.25">
      <c r="D52" s="140">
        <f ca="1"/>
        <v>-0.5884160994078016</v>
      </c>
      <c r="E52" s="327">
        <f ca="1"/>
        <v>-0.55874715130596764</v>
      </c>
      <c r="F52" s="327">
        <f ca="1"/>
        <v>-2.7587630599172877</v>
      </c>
      <c r="G52" s="327">
        <f ca="1"/>
        <v>-2.2939473468112239</v>
      </c>
      <c r="H52" s="141">
        <f ca="1"/>
        <v>-0.38120894845031827</v>
      </c>
      <c r="M52" s="140">
        <f ca="1"/>
        <v>0.76317439455190339</v>
      </c>
      <c r="N52" s="327">
        <f ca="1"/>
        <v>1.2090532367566801E-2</v>
      </c>
      <c r="O52" s="327">
        <f ca="1"/>
        <v>0.84149519704391296</v>
      </c>
      <c r="P52" s="327">
        <f ca="1"/>
        <v>0.42780619042525792</v>
      </c>
      <c r="Q52" s="141">
        <f ca="1"/>
        <v>1.3295944552380237</v>
      </c>
      <c r="X52" s="140" t="str">
        <f ca="1"/>
        <v>#∂Excel Error: Invalid seed specified.</v>
      </c>
      <c r="Y52" s="327" t="str">
        <f ca="1"/>
        <v>#∂Excel Error: Invalid seed specified.</v>
      </c>
      <c r="Z52" s="327" t="str">
        <f ca="1"/>
        <v>#∂Excel Error: Invalid seed specified.</v>
      </c>
      <c r="AA52" s="327" t="str">
        <f ca="1"/>
        <v>#∂Excel Error: Invalid seed specified.</v>
      </c>
      <c r="AB52" s="141" t="str">
        <f ca="1"/>
        <v>#∂Excel Error: Invalid seed specified.</v>
      </c>
    </row>
    <row r="53" spans="2:28" x14ac:dyDescent="0.25">
      <c r="D53" s="140">
        <f ca="1"/>
        <v>0.10819798524690837</v>
      </c>
      <c r="E53" s="327">
        <f ca="1"/>
        <v>1.0965073943909254</v>
      </c>
      <c r="F53" s="327">
        <f ca="1"/>
        <v>0.46240265761130123</v>
      </c>
      <c r="G53" s="327">
        <f ca="1"/>
        <v>0.48984251587331651</v>
      </c>
      <c r="H53" s="141">
        <f ca="1"/>
        <v>-2.25076658419695</v>
      </c>
      <c r="M53" s="140">
        <f ca="1"/>
        <v>0.19437577760042973</v>
      </c>
      <c r="N53" s="327">
        <f ca="1"/>
        <v>0.81884791607711371</v>
      </c>
      <c r="O53" s="327">
        <f ca="1"/>
        <v>0.86521376024473051</v>
      </c>
      <c r="P53" s="327">
        <f ca="1"/>
        <v>0.38009594160233856</v>
      </c>
      <c r="Q53" s="141">
        <f ca="1"/>
        <v>0.20540573392302788</v>
      </c>
      <c r="X53" s="140" t="str">
        <f ca="1"/>
        <v>#∂Excel Error: Invalid seed specified.</v>
      </c>
      <c r="Y53" s="327" t="str">
        <f ca="1"/>
        <v>#∂Excel Error: Invalid seed specified.</v>
      </c>
      <c r="Z53" s="327" t="str">
        <f ca="1"/>
        <v>#∂Excel Error: Invalid seed specified.</v>
      </c>
      <c r="AA53" s="327" t="str">
        <f ca="1"/>
        <v>#∂Excel Error: Invalid seed specified.</v>
      </c>
      <c r="AB53" s="141" t="str">
        <f ca="1"/>
        <v>#∂Excel Error: Invalid seed specified.</v>
      </c>
    </row>
    <row r="54" spans="2:28" x14ac:dyDescent="0.25">
      <c r="D54" s="140">
        <f ca="1"/>
        <v>-0.10215483425175563</v>
      </c>
      <c r="E54" s="327">
        <f ca="1"/>
        <v>0.44051757578957157</v>
      </c>
      <c r="F54" s="327">
        <f ca="1"/>
        <v>-0.33389589259671326</v>
      </c>
      <c r="G54" s="327">
        <f ca="1"/>
        <v>0.70615194140562998</v>
      </c>
      <c r="H54" s="141">
        <f ca="1"/>
        <v>1.3386245087251876</v>
      </c>
      <c r="M54" s="140">
        <f ca="1"/>
        <v>3.1641041343883111E-2</v>
      </c>
      <c r="N54" s="327">
        <f ca="1"/>
        <v>0.7536116759499063</v>
      </c>
      <c r="O54" s="327">
        <f ca="1"/>
        <v>-0.79967986131019186</v>
      </c>
      <c r="P54" s="327">
        <f ca="1"/>
        <v>2.4730551962822176</v>
      </c>
      <c r="Q54" s="141">
        <f ca="1"/>
        <v>0.40929981488267558</v>
      </c>
      <c r="X54" s="140" t="str">
        <f ca="1"/>
        <v>#∂Excel Error: Invalid seed specified.</v>
      </c>
      <c r="Y54" s="327" t="str">
        <f ca="1"/>
        <v>#∂Excel Error: Invalid seed specified.</v>
      </c>
      <c r="Z54" s="327" t="str">
        <f ca="1"/>
        <v>#∂Excel Error: Invalid seed specified.</v>
      </c>
      <c r="AA54" s="327" t="str">
        <f ca="1"/>
        <v>#∂Excel Error: Invalid seed specified.</v>
      </c>
      <c r="AB54" s="141" t="str">
        <f ca="1"/>
        <v>#∂Excel Error: Invalid seed specified.</v>
      </c>
    </row>
    <row r="55" spans="2:28" x14ac:dyDescent="0.25">
      <c r="D55" s="140">
        <f ca="1"/>
        <v>-1.8253861328037648</v>
      </c>
      <c r="E55" s="327">
        <f ca="1"/>
        <v>-0.24037216180075424</v>
      </c>
      <c r="F55" s="327">
        <f ca="1"/>
        <v>1.028058069270616</v>
      </c>
      <c r="G55" s="327">
        <f ca="1"/>
        <v>1.2259167836294167</v>
      </c>
      <c r="H55" s="141">
        <f ca="1"/>
        <v>-0.33280389867021648</v>
      </c>
      <c r="M55" s="140">
        <f ca="1"/>
        <v>0.54851720354644395</v>
      </c>
      <c r="N55" s="327">
        <f ca="1"/>
        <v>0.36136059869254528</v>
      </c>
      <c r="O55" s="327">
        <f ca="1"/>
        <v>0.47384482647199827</v>
      </c>
      <c r="P55" s="327">
        <f ca="1"/>
        <v>-3.8698224287097786E-2</v>
      </c>
      <c r="Q55" s="141">
        <f ca="1"/>
        <v>-0.60985444541194744</v>
      </c>
      <c r="X55" s="140" t="str">
        <f ca="1"/>
        <v>#∂Excel Error: Invalid seed specified.</v>
      </c>
      <c r="Y55" s="327" t="str">
        <f ca="1"/>
        <v>#∂Excel Error: Invalid seed specified.</v>
      </c>
      <c r="Z55" s="327" t="str">
        <f ca="1"/>
        <v>#∂Excel Error: Invalid seed specified.</v>
      </c>
      <c r="AA55" s="327" t="str">
        <f ca="1"/>
        <v>#∂Excel Error: Invalid seed specified.</v>
      </c>
      <c r="AB55" s="141" t="str">
        <f ca="1"/>
        <v>#∂Excel Error: Invalid seed specified.</v>
      </c>
    </row>
    <row r="56" spans="2:28" x14ac:dyDescent="0.25">
      <c r="D56" s="140">
        <f ca="1"/>
        <v>-0.46490277119672319</v>
      </c>
      <c r="E56" s="327">
        <f ca="1"/>
        <v>-8.8166823894022877E-4</v>
      </c>
      <c r="F56" s="327">
        <f ca="1"/>
        <v>-1.5659571515789519</v>
      </c>
      <c r="G56" s="327">
        <f ca="1"/>
        <v>0.44378998344608472</v>
      </c>
      <c r="H56" s="141">
        <f ca="1"/>
        <v>0.56184004420843314</v>
      </c>
      <c r="M56" s="140">
        <f ca="1"/>
        <v>1.4486320508865678</v>
      </c>
      <c r="N56" s="327">
        <f ca="1"/>
        <v>-0.21217312659280291</v>
      </c>
      <c r="O56" s="327">
        <f ca="1"/>
        <v>-0.19259603401813266</v>
      </c>
      <c r="P56" s="327">
        <f ca="1"/>
        <v>0.60925022581592214</v>
      </c>
      <c r="Q56" s="141">
        <f ca="1"/>
        <v>-0.15189103464244508</v>
      </c>
      <c r="X56" s="140" t="str">
        <f ca="1"/>
        <v>#∂Excel Error: Invalid seed specified.</v>
      </c>
      <c r="Y56" s="327" t="str">
        <f ca="1"/>
        <v>#∂Excel Error: Invalid seed specified.</v>
      </c>
      <c r="Z56" s="327" t="str">
        <f ca="1"/>
        <v>#∂Excel Error: Invalid seed specified.</v>
      </c>
      <c r="AA56" s="327" t="str">
        <f ca="1"/>
        <v>#∂Excel Error: Invalid seed specified.</v>
      </c>
      <c r="AB56" s="141" t="str">
        <f ca="1"/>
        <v>#∂Excel Error: Invalid seed specified.</v>
      </c>
    </row>
    <row r="57" spans="2:28" x14ac:dyDescent="0.25">
      <c r="D57" s="140">
        <f ca="1"/>
        <v>-0.72121450340504112</v>
      </c>
      <c r="E57" s="327">
        <f ca="1"/>
        <v>-0.14969739262215401</v>
      </c>
      <c r="F57" s="327">
        <f ca="1"/>
        <v>0.70609350471998489</v>
      </c>
      <c r="G57" s="327">
        <f ca="1"/>
        <v>9.6224928363146583E-2</v>
      </c>
      <c r="H57" s="141">
        <f ca="1"/>
        <v>0.2296039222600787</v>
      </c>
      <c r="M57" s="140">
        <f ca="1"/>
        <v>-1.3731519167389019</v>
      </c>
      <c r="N57" s="327">
        <f ca="1"/>
        <v>0.82783594169440899</v>
      </c>
      <c r="O57" s="327">
        <f ca="1"/>
        <v>0.57083382844888375</v>
      </c>
      <c r="P57" s="327">
        <f ca="1"/>
        <v>-0.27319345896756769</v>
      </c>
      <c r="Q57" s="141">
        <f ca="1"/>
        <v>-0.9765154026545706</v>
      </c>
      <c r="X57" s="140" t="str">
        <f ca="1"/>
        <v>#∂Excel Error: Invalid seed specified.</v>
      </c>
      <c r="Y57" s="327" t="str">
        <f ca="1"/>
        <v>#∂Excel Error: Invalid seed specified.</v>
      </c>
      <c r="Z57" s="327" t="str">
        <f ca="1"/>
        <v>#∂Excel Error: Invalid seed specified.</v>
      </c>
      <c r="AA57" s="327" t="str">
        <f ca="1"/>
        <v>#∂Excel Error: Invalid seed specified.</v>
      </c>
      <c r="AB57" s="141" t="str">
        <f ca="1"/>
        <v>#∂Excel Error: Invalid seed specified.</v>
      </c>
    </row>
    <row r="58" spans="2:28" x14ac:dyDescent="0.25">
      <c r="D58" s="140">
        <f ca="1"/>
        <v>4.6120309846438508E-2</v>
      </c>
      <c r="E58" s="327">
        <f ca="1"/>
        <v>-0.92083350795883689</v>
      </c>
      <c r="F58" s="327">
        <f ca="1"/>
        <v>0.80411972151375544</v>
      </c>
      <c r="G58" s="327">
        <f ca="1"/>
        <v>-0.8762556877814629</v>
      </c>
      <c r="H58" s="141">
        <f ca="1"/>
        <v>1.2660233063563722</v>
      </c>
      <c r="M58" s="140">
        <f ca="1"/>
        <v>0.53655042247040252</v>
      </c>
      <c r="N58" s="327">
        <f ca="1"/>
        <v>-8.7283835332652021E-2</v>
      </c>
      <c r="O58" s="327">
        <f ca="1"/>
        <v>0.34457900462078883</v>
      </c>
      <c r="P58" s="327">
        <f ca="1"/>
        <v>-0.17579312692673538</v>
      </c>
      <c r="Q58" s="141">
        <f ca="1"/>
        <v>9.6502584804587024E-2</v>
      </c>
      <c r="X58" s="140" t="str">
        <f ca="1"/>
        <v>#∂Excel Error: Invalid seed specified.</v>
      </c>
      <c r="Y58" s="327" t="str">
        <f ca="1"/>
        <v>#∂Excel Error: Invalid seed specified.</v>
      </c>
      <c r="Z58" s="327" t="str">
        <f ca="1"/>
        <v>#∂Excel Error: Invalid seed specified.</v>
      </c>
      <c r="AA58" s="327" t="str">
        <f ca="1"/>
        <v>#∂Excel Error: Invalid seed specified.</v>
      </c>
      <c r="AB58" s="141" t="str">
        <f ca="1"/>
        <v>#∂Excel Error: Invalid seed specified.</v>
      </c>
    </row>
    <row r="59" spans="2:28" x14ac:dyDescent="0.25">
      <c r="D59" s="140">
        <f ca="1"/>
        <v>0.23298387080043784</v>
      </c>
      <c r="E59" s="327">
        <f ca="1"/>
        <v>-1.0764899712107359</v>
      </c>
      <c r="F59" s="327">
        <f ca="1"/>
        <v>1.7547755576057253</v>
      </c>
      <c r="G59" s="327">
        <f ca="1"/>
        <v>0.72810708935373014</v>
      </c>
      <c r="H59" s="141">
        <f ca="1"/>
        <v>-4.9122462980273743E-2</v>
      </c>
      <c r="M59" s="140">
        <f ca="1"/>
        <v>0.82483532333422538</v>
      </c>
      <c r="N59" s="327">
        <f ca="1"/>
        <v>-0.58754359850399052</v>
      </c>
      <c r="O59" s="327">
        <f ca="1"/>
        <v>1.833126010801577</v>
      </c>
      <c r="P59" s="327">
        <f ca="1"/>
        <v>0.67644732237158556</v>
      </c>
      <c r="Q59" s="141">
        <f ca="1"/>
        <v>1.0174260460519506</v>
      </c>
      <c r="X59" s="140" t="str">
        <f ca="1"/>
        <v>#∂Excel Error: Invalid seed specified.</v>
      </c>
      <c r="Y59" s="327" t="str">
        <f ca="1"/>
        <v>#∂Excel Error: Invalid seed specified.</v>
      </c>
      <c r="Z59" s="327" t="str">
        <f ca="1"/>
        <v>#∂Excel Error: Invalid seed specified.</v>
      </c>
      <c r="AA59" s="327" t="str">
        <f ca="1"/>
        <v>#∂Excel Error: Invalid seed specified.</v>
      </c>
      <c r="AB59" s="141" t="str">
        <f ca="1"/>
        <v>#∂Excel Error: Invalid seed specified.</v>
      </c>
    </row>
    <row r="60" spans="2:28" x14ac:dyDescent="0.25">
      <c r="D60" s="140">
        <f ca="1"/>
        <v>-0.63736695093064755</v>
      </c>
      <c r="E60" s="327">
        <f ca="1"/>
        <v>-0.21947173866600425</v>
      </c>
      <c r="F60" s="327">
        <f ca="1"/>
        <v>-0.3859436116857301</v>
      </c>
      <c r="G60" s="327">
        <f ca="1"/>
        <v>0.43017177828252023</v>
      </c>
      <c r="H60" s="141">
        <f ca="1"/>
        <v>-0.20136053851420513</v>
      </c>
      <c r="M60" s="140">
        <f ca="1"/>
        <v>-0.79400917497086654</v>
      </c>
      <c r="N60" s="327">
        <f ca="1"/>
        <v>0.28517509890851039</v>
      </c>
      <c r="O60" s="327">
        <f ca="1"/>
        <v>0.3454630979365827</v>
      </c>
      <c r="P60" s="327">
        <f ca="1"/>
        <v>0.23227661039315389</v>
      </c>
      <c r="Q60" s="141">
        <f ca="1"/>
        <v>-0.13890461526227127</v>
      </c>
      <c r="X60" s="140" t="str">
        <f ca="1"/>
        <v>#∂Excel Error: Invalid seed specified.</v>
      </c>
      <c r="Y60" s="327" t="str">
        <f ca="1"/>
        <v>#∂Excel Error: Invalid seed specified.</v>
      </c>
      <c r="Z60" s="327" t="str">
        <f ca="1"/>
        <v>#∂Excel Error: Invalid seed specified.</v>
      </c>
      <c r="AA60" s="327" t="str">
        <f ca="1"/>
        <v>#∂Excel Error: Invalid seed specified.</v>
      </c>
      <c r="AB60" s="141" t="str">
        <f ca="1"/>
        <v>#∂Excel Error: Invalid seed specified.</v>
      </c>
    </row>
    <row r="61" spans="2:28" x14ac:dyDescent="0.25">
      <c r="D61" s="140">
        <f ca="1"/>
        <v>-0.42607435867377447</v>
      </c>
      <c r="E61" s="327">
        <f ca="1"/>
        <v>0.91605467339775526</v>
      </c>
      <c r="F61" s="327">
        <f ca="1"/>
        <v>-1.6169891726572032</v>
      </c>
      <c r="G61" s="327">
        <f ca="1"/>
        <v>-9.9853780857881491E-2</v>
      </c>
      <c r="H61" s="141">
        <f ca="1"/>
        <v>-0.83075713527444417</v>
      </c>
      <c r="M61" s="140">
        <f ca="1"/>
        <v>-8.9790950918625184E-2</v>
      </c>
      <c r="N61" s="327">
        <f ca="1"/>
        <v>-0.52312155083228928</v>
      </c>
      <c r="O61" s="327">
        <f ca="1"/>
        <v>2.2040894757967919</v>
      </c>
      <c r="P61" s="327">
        <f ca="1"/>
        <v>0.49471683473355627</v>
      </c>
      <c r="Q61" s="141">
        <f ca="1"/>
        <v>0.46279012183440366</v>
      </c>
      <c r="X61" s="140" t="str">
        <f ca="1"/>
        <v>#∂Excel Error: Invalid seed specified.</v>
      </c>
      <c r="Y61" s="327" t="str">
        <f ca="1"/>
        <v>#∂Excel Error: Invalid seed specified.</v>
      </c>
      <c r="Z61" s="327" t="str">
        <f ca="1"/>
        <v>#∂Excel Error: Invalid seed specified.</v>
      </c>
      <c r="AA61" s="327" t="str">
        <f ca="1"/>
        <v>#∂Excel Error: Invalid seed specified.</v>
      </c>
      <c r="AB61" s="141" t="str">
        <f ca="1"/>
        <v>#∂Excel Error: Invalid seed specified.</v>
      </c>
    </row>
    <row r="62" spans="2:28" x14ac:dyDescent="0.25">
      <c r="D62" s="140">
        <f ca="1"/>
        <v>1.9788808392213517</v>
      </c>
      <c r="E62" s="327">
        <f ca="1"/>
        <v>-0.8444992802006771</v>
      </c>
      <c r="F62" s="327">
        <f ca="1"/>
        <v>0.53167290579956916</v>
      </c>
      <c r="G62" s="327">
        <f ca="1"/>
        <v>1.3476990609315769</v>
      </c>
      <c r="H62" s="141">
        <f ca="1"/>
        <v>-8.1515249102279419E-2</v>
      </c>
      <c r="M62" s="140">
        <f ca="1"/>
        <v>-0.53882243189771617</v>
      </c>
      <c r="N62" s="327">
        <f ca="1"/>
        <v>-0.33632750508018561</v>
      </c>
      <c r="O62" s="327">
        <f ca="1"/>
        <v>-0.24558127900439866</v>
      </c>
      <c r="P62" s="327">
        <f ca="1"/>
        <v>-0.17275854729272397</v>
      </c>
      <c r="Q62" s="141">
        <f ca="1"/>
        <v>-0.85068262438202258</v>
      </c>
      <c r="X62" s="140" t="str">
        <f ca="1"/>
        <v>#∂Excel Error: Invalid seed specified.</v>
      </c>
      <c r="Y62" s="327" t="str">
        <f ca="1"/>
        <v>#∂Excel Error: Invalid seed specified.</v>
      </c>
      <c r="Z62" s="327" t="str">
        <f ca="1"/>
        <v>#∂Excel Error: Invalid seed specified.</v>
      </c>
      <c r="AA62" s="327" t="str">
        <f ca="1"/>
        <v>#∂Excel Error: Invalid seed specified.</v>
      </c>
      <c r="AB62" s="141" t="str">
        <f ca="1"/>
        <v>#∂Excel Error: Invalid seed specified.</v>
      </c>
    </row>
    <row r="63" spans="2:28" x14ac:dyDescent="0.25">
      <c r="D63" s="140">
        <f ca="1"/>
        <v>-0.61135617247427165</v>
      </c>
      <c r="E63" s="327">
        <f ca="1"/>
        <v>1.2682963768981825</v>
      </c>
      <c r="F63" s="327">
        <f ca="1"/>
        <v>6.5443228707294687E-2</v>
      </c>
      <c r="G63" s="327">
        <f ca="1"/>
        <v>0.43254942321321643</v>
      </c>
      <c r="H63" s="141">
        <f ca="1"/>
        <v>0.42060061179352987</v>
      </c>
      <c r="M63" s="140">
        <f ca="1"/>
        <v>-1.2120425402026234</v>
      </c>
      <c r="N63" s="327">
        <f ca="1"/>
        <v>-0.88947140462888696</v>
      </c>
      <c r="O63" s="327">
        <f ca="1"/>
        <v>1.0554691265231217</v>
      </c>
      <c r="P63" s="327">
        <f ca="1"/>
        <v>0.97311092794478904</v>
      </c>
      <c r="Q63" s="141">
        <f ca="1"/>
        <v>0.71246342235191173</v>
      </c>
      <c r="X63" s="140" t="str">
        <f ca="1"/>
        <v>#∂Excel Error: Invalid seed specified.</v>
      </c>
      <c r="Y63" s="327" t="str">
        <f ca="1"/>
        <v>#∂Excel Error: Invalid seed specified.</v>
      </c>
      <c r="Z63" s="327" t="str">
        <f ca="1"/>
        <v>#∂Excel Error: Invalid seed specified.</v>
      </c>
      <c r="AA63" s="327" t="str">
        <f ca="1"/>
        <v>#∂Excel Error: Invalid seed specified.</v>
      </c>
      <c r="AB63" s="141" t="str">
        <f ca="1"/>
        <v>#∂Excel Error: Invalid seed specified.</v>
      </c>
    </row>
    <row r="64" spans="2:28" x14ac:dyDescent="0.25">
      <c r="D64" s="140">
        <f ca="1"/>
        <v>0.62134768002507634</v>
      </c>
      <c r="E64" s="327">
        <f ca="1"/>
        <v>7.9542410013188777E-2</v>
      </c>
      <c r="F64" s="327">
        <f ca="1"/>
        <v>-2.1987215358931604E-2</v>
      </c>
      <c r="G64" s="327">
        <f ca="1"/>
        <v>-0.98579270828865395</v>
      </c>
      <c r="H64" s="141">
        <f ca="1"/>
        <v>1.3042580425018544</v>
      </c>
      <c r="M64" s="140">
        <f ca="1"/>
        <v>-0.6833964139212656</v>
      </c>
      <c r="N64" s="327">
        <f ca="1"/>
        <v>-1.0211693010090512</v>
      </c>
      <c r="O64" s="327">
        <f ca="1"/>
        <v>7.0179560816961098E-2</v>
      </c>
      <c r="P64" s="327">
        <f ca="1"/>
        <v>0.84920700055636045</v>
      </c>
      <c r="Q64" s="141">
        <f ca="1"/>
        <v>0.11011179324580102</v>
      </c>
      <c r="X64" s="140" t="str">
        <f ca="1"/>
        <v>#∂Excel Error: Invalid seed specified.</v>
      </c>
      <c r="Y64" s="327" t="str">
        <f ca="1"/>
        <v>#∂Excel Error: Invalid seed specified.</v>
      </c>
      <c r="Z64" s="327" t="str">
        <f ca="1"/>
        <v>#∂Excel Error: Invalid seed specified.</v>
      </c>
      <c r="AA64" s="327" t="str">
        <f ca="1"/>
        <v>#∂Excel Error: Invalid seed specified.</v>
      </c>
      <c r="AB64" s="141" t="str">
        <f ca="1"/>
        <v>#∂Excel Error: Invalid seed specified.</v>
      </c>
    </row>
    <row r="65" spans="4:28" x14ac:dyDescent="0.25">
      <c r="D65" s="140">
        <f ca="1"/>
        <v>-0.50308335820540317</v>
      </c>
      <c r="E65" s="327">
        <f ca="1"/>
        <v>1.4640300463756799</v>
      </c>
      <c r="F65" s="327">
        <f ca="1"/>
        <v>0.46256721575986759</v>
      </c>
      <c r="G65" s="327">
        <f ca="1"/>
        <v>0.13757711286725449</v>
      </c>
      <c r="H65" s="141">
        <f ca="1"/>
        <v>1.903663328597879</v>
      </c>
      <c r="M65" s="140">
        <f ca="1"/>
        <v>-0.93778257165907053</v>
      </c>
      <c r="N65" s="327">
        <f ca="1"/>
        <v>1.3982710225037225</v>
      </c>
      <c r="O65" s="327">
        <f ca="1"/>
        <v>0.51950303339860249</v>
      </c>
      <c r="P65" s="327">
        <f ca="1"/>
        <v>-0.43482119686294141</v>
      </c>
      <c r="Q65" s="141">
        <f ca="1"/>
        <v>1.2136872368390135</v>
      </c>
      <c r="X65" s="140" t="str">
        <f ca="1"/>
        <v>#∂Excel Error: Invalid seed specified.</v>
      </c>
      <c r="Y65" s="327" t="str">
        <f ca="1"/>
        <v>#∂Excel Error: Invalid seed specified.</v>
      </c>
      <c r="Z65" s="327" t="str">
        <f ca="1"/>
        <v>#∂Excel Error: Invalid seed specified.</v>
      </c>
      <c r="AA65" s="327" t="str">
        <f ca="1"/>
        <v>#∂Excel Error: Invalid seed specified.</v>
      </c>
      <c r="AB65" s="141" t="str">
        <f ca="1"/>
        <v>#∂Excel Error: Invalid seed specified.</v>
      </c>
    </row>
    <row r="66" spans="4:28" x14ac:dyDescent="0.25">
      <c r="D66" s="140">
        <f ca="1"/>
        <v>-1.198947290104817</v>
      </c>
      <c r="E66" s="327">
        <f ca="1"/>
        <v>0.96357590104857871</v>
      </c>
      <c r="F66" s="327">
        <f ca="1"/>
        <v>1.9247923185797389</v>
      </c>
      <c r="G66" s="327">
        <f ca="1"/>
        <v>1.3443248184039669</v>
      </c>
      <c r="H66" s="141">
        <f ca="1"/>
        <v>0.34126673979749322</v>
      </c>
      <c r="M66" s="140">
        <f ca="1"/>
        <v>-0.78392973417989997</v>
      </c>
      <c r="N66" s="327">
        <f ca="1"/>
        <v>0.3546352523115911</v>
      </c>
      <c r="O66" s="327">
        <f ca="1"/>
        <v>1.3018302696595014</v>
      </c>
      <c r="P66" s="327">
        <f ca="1"/>
        <v>-0.69296716458021101</v>
      </c>
      <c r="Q66" s="141">
        <f ca="1"/>
        <v>0.9988182460034587</v>
      </c>
      <c r="X66" s="140" t="str">
        <f ca="1"/>
        <v>#∂Excel Error: Invalid seed specified.</v>
      </c>
      <c r="Y66" s="327" t="str">
        <f ca="1"/>
        <v>#∂Excel Error: Invalid seed specified.</v>
      </c>
      <c r="Z66" s="327" t="str">
        <f ca="1"/>
        <v>#∂Excel Error: Invalid seed specified.</v>
      </c>
      <c r="AA66" s="327" t="str">
        <f ca="1"/>
        <v>#∂Excel Error: Invalid seed specified.</v>
      </c>
      <c r="AB66" s="141" t="str">
        <f ca="1"/>
        <v>#∂Excel Error: Invalid seed specified.</v>
      </c>
    </row>
    <row r="67" spans="4:28" x14ac:dyDescent="0.25">
      <c r="D67" s="140">
        <f ca="1"/>
        <v>0.85011456561901899</v>
      </c>
      <c r="E67" s="327">
        <f ca="1"/>
        <v>0.30429192596407545</v>
      </c>
      <c r="F67" s="327">
        <f ca="1"/>
        <v>0.67152742633508133</v>
      </c>
      <c r="G67" s="327">
        <f ca="1"/>
        <v>0.80782203516718254</v>
      </c>
      <c r="H67" s="141">
        <f ca="1"/>
        <v>-8.2646524328612386E-2</v>
      </c>
      <c r="M67" s="140">
        <f ca="1"/>
        <v>2.6459202114675664</v>
      </c>
      <c r="N67" s="327">
        <f ca="1"/>
        <v>2.3166009821468911</v>
      </c>
      <c r="O67" s="327">
        <f ca="1"/>
        <v>9.0184936816045586E-2</v>
      </c>
      <c r="P67" s="327">
        <f ca="1"/>
        <v>0.27703178046321297</v>
      </c>
      <c r="Q67" s="141">
        <f ca="1"/>
        <v>-1.0390151672211856</v>
      </c>
      <c r="X67" s="140" t="str">
        <f ca="1"/>
        <v>#∂Excel Error: Invalid seed specified.</v>
      </c>
      <c r="Y67" s="327" t="str">
        <f ca="1"/>
        <v>#∂Excel Error: Invalid seed specified.</v>
      </c>
      <c r="Z67" s="327" t="str">
        <f ca="1"/>
        <v>#∂Excel Error: Invalid seed specified.</v>
      </c>
      <c r="AA67" s="327" t="str">
        <f ca="1"/>
        <v>#∂Excel Error: Invalid seed specified.</v>
      </c>
      <c r="AB67" s="141" t="str">
        <f ca="1"/>
        <v>#∂Excel Error: Invalid seed specified.</v>
      </c>
    </row>
    <row r="68" spans="4:28" x14ac:dyDescent="0.25">
      <c r="D68" s="140">
        <f ca="1"/>
        <v>-0.28904080804777654</v>
      </c>
      <c r="E68" s="327">
        <f ca="1"/>
        <v>-0.89553364635263466</v>
      </c>
      <c r="F68" s="327">
        <f ca="1"/>
        <v>0.9780203880833418</v>
      </c>
      <c r="G68" s="327">
        <f ca="1"/>
        <v>-0.45554694662875511</v>
      </c>
      <c r="H68" s="141">
        <f ca="1"/>
        <v>8.2384361896065766E-2</v>
      </c>
      <c r="M68" s="140">
        <f ca="1"/>
        <v>-1.5835763719050904</v>
      </c>
      <c r="N68" s="327">
        <f ca="1"/>
        <v>-0.54486787470102505</v>
      </c>
      <c r="O68" s="327">
        <f ca="1"/>
        <v>0.3643091825986669</v>
      </c>
      <c r="P68" s="327">
        <f ca="1"/>
        <v>-0.74381819870082944</v>
      </c>
      <c r="Q68" s="141">
        <f ca="1"/>
        <v>-1.0846886591426319</v>
      </c>
      <c r="X68" s="140" t="str">
        <f ca="1"/>
        <v>#∂Excel Error: Invalid seed specified.</v>
      </c>
      <c r="Y68" s="327" t="str">
        <f ca="1"/>
        <v>#∂Excel Error: Invalid seed specified.</v>
      </c>
      <c r="Z68" s="327" t="str">
        <f ca="1"/>
        <v>#∂Excel Error: Invalid seed specified.</v>
      </c>
      <c r="AA68" s="327" t="str">
        <f ca="1"/>
        <v>#∂Excel Error: Invalid seed specified.</v>
      </c>
      <c r="AB68" s="141" t="str">
        <f ca="1"/>
        <v>#∂Excel Error: Invalid seed specified.</v>
      </c>
    </row>
    <row r="69" spans="4:28" x14ac:dyDescent="0.25">
      <c r="D69" s="140">
        <f ca="1"/>
        <v>-1.3097052116291188</v>
      </c>
      <c r="E69" s="327">
        <f ca="1"/>
        <v>1.7215300670511962</v>
      </c>
      <c r="F69" s="327">
        <f ca="1"/>
        <v>9.7776697591451453E-2</v>
      </c>
      <c r="G69" s="327">
        <f ca="1"/>
        <v>1.1490936456210052</v>
      </c>
      <c r="H69" s="141">
        <f ca="1"/>
        <v>-2.069075586550726</v>
      </c>
      <c r="M69" s="140">
        <f ca="1"/>
        <v>9.0101265980145534E-2</v>
      </c>
      <c r="N69" s="327">
        <f ca="1"/>
        <v>-0.34411435712936184</v>
      </c>
      <c r="O69" s="327">
        <f ca="1"/>
        <v>-0.45278571469083095</v>
      </c>
      <c r="P69" s="327">
        <f ca="1"/>
        <v>-1.5337104120029526</v>
      </c>
      <c r="Q69" s="141">
        <f ca="1"/>
        <v>1.480234162539549</v>
      </c>
      <c r="X69" s="140" t="str">
        <f ca="1"/>
        <v>#∂Excel Error: Invalid seed specified.</v>
      </c>
      <c r="Y69" s="327" t="str">
        <f ca="1"/>
        <v>#∂Excel Error: Invalid seed specified.</v>
      </c>
      <c r="Z69" s="327" t="str">
        <f ca="1"/>
        <v>#∂Excel Error: Invalid seed specified.</v>
      </c>
      <c r="AA69" s="327" t="str">
        <f ca="1"/>
        <v>#∂Excel Error: Invalid seed specified.</v>
      </c>
      <c r="AB69" s="141" t="str">
        <f ca="1"/>
        <v>#∂Excel Error: Invalid seed specified.</v>
      </c>
    </row>
    <row r="70" spans="4:28" x14ac:dyDescent="0.25">
      <c r="D70" s="140">
        <f ca="1"/>
        <v>0.32788629545256831</v>
      </c>
      <c r="E70" s="327">
        <f ca="1"/>
        <v>1.720830635000675</v>
      </c>
      <c r="F70" s="327">
        <f ca="1"/>
        <v>0.27993766822148569</v>
      </c>
      <c r="G70" s="327">
        <f ca="1"/>
        <v>0.52525898259965065</v>
      </c>
      <c r="H70" s="141">
        <f ca="1"/>
        <v>-0.71433261283908289</v>
      </c>
      <c r="M70" s="140">
        <f ca="1"/>
        <v>6.2685790968541946E-2</v>
      </c>
      <c r="N70" s="327">
        <f ca="1"/>
        <v>2.2495696669739242</v>
      </c>
      <c r="O70" s="327">
        <f ca="1"/>
        <v>0.16609700703932537</v>
      </c>
      <c r="P70" s="327">
        <f ca="1"/>
        <v>1.5702049299825112</v>
      </c>
      <c r="Q70" s="141">
        <f ca="1"/>
        <v>0.36456417290296828</v>
      </c>
      <c r="X70" s="140" t="str">
        <f ca="1"/>
        <v>#∂Excel Error: Invalid seed specified.</v>
      </c>
      <c r="Y70" s="327" t="str">
        <f ca="1"/>
        <v>#∂Excel Error: Invalid seed specified.</v>
      </c>
      <c r="Z70" s="327" t="str">
        <f ca="1"/>
        <v>#∂Excel Error: Invalid seed specified.</v>
      </c>
      <c r="AA70" s="327" t="str">
        <f ca="1"/>
        <v>#∂Excel Error: Invalid seed specified.</v>
      </c>
      <c r="AB70" s="141" t="str">
        <f ca="1"/>
        <v>#∂Excel Error: Invalid seed specified.</v>
      </c>
    </row>
    <row r="71" spans="4:28" x14ac:dyDescent="0.25">
      <c r="D71" s="140">
        <f ca="1"/>
        <v>-0.35007770185857218</v>
      </c>
      <c r="E71" s="327">
        <f ca="1"/>
        <v>1.1800027393927328</v>
      </c>
      <c r="F71" s="327">
        <f ca="1"/>
        <v>-0.62779716766341387</v>
      </c>
      <c r="G71" s="327">
        <f ca="1"/>
        <v>1.0849418236383948</v>
      </c>
      <c r="H71" s="141">
        <f ca="1"/>
        <v>-0.6285170754115107</v>
      </c>
      <c r="M71" s="140">
        <f ca="1"/>
        <v>0.42830471810154241</v>
      </c>
      <c r="N71" s="327">
        <f ca="1"/>
        <v>0.35352636069027465</v>
      </c>
      <c r="O71" s="327">
        <f ca="1"/>
        <v>0.28640654166852508</v>
      </c>
      <c r="P71" s="327">
        <f ca="1"/>
        <v>-1.0299667198987918</v>
      </c>
      <c r="Q71" s="141">
        <f ca="1"/>
        <v>-0.76267629455310026</v>
      </c>
      <c r="X71" s="140" t="str">
        <f ca="1"/>
        <v>#∂Excel Error: Invalid seed specified.</v>
      </c>
      <c r="Y71" s="327" t="str">
        <f ca="1"/>
        <v>#∂Excel Error: Invalid seed specified.</v>
      </c>
      <c r="Z71" s="327" t="str">
        <f ca="1"/>
        <v>#∂Excel Error: Invalid seed specified.</v>
      </c>
      <c r="AA71" s="327" t="str">
        <f ca="1"/>
        <v>#∂Excel Error: Invalid seed specified.</v>
      </c>
      <c r="AB71" s="141" t="str">
        <f ca="1"/>
        <v>#∂Excel Error: Invalid seed specified.</v>
      </c>
    </row>
    <row r="72" spans="4:28" x14ac:dyDescent="0.25">
      <c r="D72" s="140">
        <f ca="1"/>
        <v>-1.1500680545803554</v>
      </c>
      <c r="E72" s="327">
        <f ca="1"/>
        <v>-0.18806037521523697</v>
      </c>
      <c r="F72" s="327">
        <f ca="1"/>
        <v>0.16243660080584485</v>
      </c>
      <c r="G72" s="327">
        <f ca="1"/>
        <v>-0.62663170461412543</v>
      </c>
      <c r="H72" s="141">
        <f ca="1"/>
        <v>1.6118611296858081</v>
      </c>
      <c r="M72" s="140">
        <f ca="1"/>
        <v>-0.94162261272242276</v>
      </c>
      <c r="N72" s="327">
        <f ca="1"/>
        <v>0.48013892776675637</v>
      </c>
      <c r="O72" s="327">
        <f ca="1"/>
        <v>0.29765139569597743</v>
      </c>
      <c r="P72" s="327">
        <f ca="1"/>
        <v>-0.58601822432282769</v>
      </c>
      <c r="Q72" s="141">
        <f ca="1"/>
        <v>0.1493381140262032</v>
      </c>
      <c r="X72" s="140" t="str">
        <f ca="1"/>
        <v>#∂Excel Error: Invalid seed specified.</v>
      </c>
      <c r="Y72" s="327" t="str">
        <f ca="1"/>
        <v>#∂Excel Error: Invalid seed specified.</v>
      </c>
      <c r="Z72" s="327" t="str">
        <f ca="1"/>
        <v>#∂Excel Error: Invalid seed specified.</v>
      </c>
      <c r="AA72" s="327" t="str">
        <f ca="1"/>
        <v>#∂Excel Error: Invalid seed specified.</v>
      </c>
      <c r="AB72" s="141" t="str">
        <f ca="1"/>
        <v>#∂Excel Error: Invalid seed specified.</v>
      </c>
    </row>
    <row r="73" spans="4:28" x14ac:dyDescent="0.25">
      <c r="D73" s="140">
        <f ca="1"/>
        <v>0.64691193539250558</v>
      </c>
      <c r="E73" s="327">
        <f ca="1"/>
        <v>0.89115808668949248</v>
      </c>
      <c r="F73" s="327">
        <f ca="1"/>
        <v>0.9860723619258096</v>
      </c>
      <c r="G73" s="327">
        <f ca="1"/>
        <v>-0.506742454491937</v>
      </c>
      <c r="H73" s="141">
        <f ca="1"/>
        <v>7.2347348245717744E-2</v>
      </c>
      <c r="M73" s="140">
        <f ca="1"/>
        <v>0.25039862681842967</v>
      </c>
      <c r="N73" s="327">
        <f ca="1"/>
        <v>-1.1273658988027913</v>
      </c>
      <c r="O73" s="327">
        <f ca="1"/>
        <v>-1.1100788661412715</v>
      </c>
      <c r="P73" s="327">
        <f ca="1"/>
        <v>-9.9407704974389E-2</v>
      </c>
      <c r="Q73" s="141">
        <f ca="1"/>
        <v>-3.9278979180002683E-3</v>
      </c>
      <c r="X73" s="140" t="str">
        <f ca="1"/>
        <v>#∂Excel Error: Invalid seed specified.</v>
      </c>
      <c r="Y73" s="327" t="str">
        <f ca="1"/>
        <v>#∂Excel Error: Invalid seed specified.</v>
      </c>
      <c r="Z73" s="327" t="str">
        <f ca="1"/>
        <v>#∂Excel Error: Invalid seed specified.</v>
      </c>
      <c r="AA73" s="327" t="str">
        <f ca="1"/>
        <v>#∂Excel Error: Invalid seed specified.</v>
      </c>
      <c r="AB73" s="141" t="str">
        <f ca="1"/>
        <v>#∂Excel Error: Invalid seed specified.</v>
      </c>
    </row>
    <row r="74" spans="4:28" x14ac:dyDescent="0.25">
      <c r="D74" s="140">
        <f ca="1"/>
        <v>2.1332675037689501</v>
      </c>
      <c r="E74" s="327">
        <f ca="1"/>
        <v>1.0044329379325341E-2</v>
      </c>
      <c r="F74" s="327">
        <f ca="1"/>
        <v>2.7930281231195897</v>
      </c>
      <c r="G74" s="327">
        <f ca="1"/>
        <v>4.7540172641717976E-2</v>
      </c>
      <c r="H74" s="141">
        <f ca="1"/>
        <v>0.14952454772362248</v>
      </c>
      <c r="M74" s="140">
        <f ca="1"/>
        <v>1.3480475308023552</v>
      </c>
      <c r="N74" s="327">
        <f ca="1"/>
        <v>-0.52437614166730395</v>
      </c>
      <c r="O74" s="327">
        <f ca="1"/>
        <v>-0.5756727882120023</v>
      </c>
      <c r="P74" s="327">
        <f ca="1"/>
        <v>1.0920476856696368</v>
      </c>
      <c r="Q74" s="141">
        <f ca="1"/>
        <v>0.48744336491888446</v>
      </c>
      <c r="X74" s="140" t="str">
        <f ca="1"/>
        <v>#∂Excel Error: Invalid seed specified.</v>
      </c>
      <c r="Y74" s="327" t="str">
        <f ca="1"/>
        <v>#∂Excel Error: Invalid seed specified.</v>
      </c>
      <c r="Z74" s="327" t="str">
        <f ca="1"/>
        <v>#∂Excel Error: Invalid seed specified.</v>
      </c>
      <c r="AA74" s="327" t="str">
        <f ca="1"/>
        <v>#∂Excel Error: Invalid seed specified.</v>
      </c>
      <c r="AB74" s="141" t="str">
        <f ca="1"/>
        <v>#∂Excel Error: Invalid seed specified.</v>
      </c>
    </row>
    <row r="75" spans="4:28" x14ac:dyDescent="0.25">
      <c r="D75" s="140">
        <f ca="1"/>
        <v>-0.99466901445455624</v>
      </c>
      <c r="E75" s="327">
        <f ca="1"/>
        <v>0.50225278398034379</v>
      </c>
      <c r="F75" s="327">
        <f ca="1"/>
        <v>0.62792680297973469</v>
      </c>
      <c r="G75" s="327">
        <f ca="1"/>
        <v>2.0691183604794094</v>
      </c>
      <c r="H75" s="141">
        <f ca="1"/>
        <v>-1.04703872441546</v>
      </c>
      <c r="M75" s="140">
        <f ca="1"/>
        <v>-2.1871208257573214</v>
      </c>
      <c r="N75" s="327">
        <f ca="1"/>
        <v>-0.59169778695409414</v>
      </c>
      <c r="O75" s="327">
        <f ca="1"/>
        <v>0.14941283808368908</v>
      </c>
      <c r="P75" s="327">
        <f ca="1"/>
        <v>0.5483202400652738</v>
      </c>
      <c r="Q75" s="141">
        <f ca="1"/>
        <v>-0.48491641671002389</v>
      </c>
      <c r="X75" s="140" t="str">
        <f ca="1"/>
        <v>#∂Excel Error: Invalid seed specified.</v>
      </c>
      <c r="Y75" s="327" t="str">
        <f ca="1"/>
        <v>#∂Excel Error: Invalid seed specified.</v>
      </c>
      <c r="Z75" s="327" t="str">
        <f ca="1"/>
        <v>#∂Excel Error: Invalid seed specified.</v>
      </c>
      <c r="AA75" s="327" t="str">
        <f ca="1"/>
        <v>#∂Excel Error: Invalid seed specified.</v>
      </c>
      <c r="AB75" s="141" t="str">
        <f ca="1"/>
        <v>#∂Excel Error: Invalid seed specified.</v>
      </c>
    </row>
    <row r="76" spans="4:28" x14ac:dyDescent="0.25">
      <c r="D76" s="140">
        <f ca="1"/>
        <v>-0.14279798956905393</v>
      </c>
      <c r="E76" s="327">
        <f ca="1"/>
        <v>2.6249780866021383E-2</v>
      </c>
      <c r="F76" s="327">
        <f ca="1"/>
        <v>-0.65969703489988807</v>
      </c>
      <c r="G76" s="327">
        <f ca="1"/>
        <v>-0.925057575262345</v>
      </c>
      <c r="H76" s="141">
        <f ca="1"/>
        <v>0.69780853400880927</v>
      </c>
      <c r="M76" s="140">
        <f ca="1"/>
        <v>7.1666599395338274E-2</v>
      </c>
      <c r="N76" s="327">
        <f ca="1"/>
        <v>-0.68604927766425572</v>
      </c>
      <c r="O76" s="327">
        <f ca="1"/>
        <v>-0.53682113341666482</v>
      </c>
      <c r="P76" s="327">
        <f ca="1"/>
        <v>0.79801391915561093</v>
      </c>
      <c r="Q76" s="141">
        <f ca="1"/>
        <v>-0.69474914150929157</v>
      </c>
      <c r="X76" s="140" t="str">
        <f ca="1"/>
        <v>#∂Excel Error: Invalid seed specified.</v>
      </c>
      <c r="Y76" s="327" t="str">
        <f ca="1"/>
        <v>#∂Excel Error: Invalid seed specified.</v>
      </c>
      <c r="Z76" s="327" t="str">
        <f ca="1"/>
        <v>#∂Excel Error: Invalid seed specified.</v>
      </c>
      <c r="AA76" s="327" t="str">
        <f ca="1"/>
        <v>#∂Excel Error: Invalid seed specified.</v>
      </c>
      <c r="AB76" s="141" t="str">
        <f ca="1"/>
        <v>#∂Excel Error: Invalid seed specified.</v>
      </c>
    </row>
    <row r="77" spans="4:28" x14ac:dyDescent="0.25">
      <c r="D77" s="140">
        <f ca="1"/>
        <v>1.092291704880513</v>
      </c>
      <c r="E77" s="327">
        <f ca="1"/>
        <v>0.50433622145908918</v>
      </c>
      <c r="F77" s="327">
        <f ca="1"/>
        <v>1.0826951457065646</v>
      </c>
      <c r="G77" s="327">
        <f ca="1"/>
        <v>0.59345089881883117</v>
      </c>
      <c r="H77" s="141">
        <f ca="1"/>
        <v>1.1610661581658341E-2</v>
      </c>
      <c r="M77" s="140">
        <f ca="1"/>
        <v>-1.7304502279961782</v>
      </c>
      <c r="N77" s="327">
        <f ca="1"/>
        <v>0.56679092989695756</v>
      </c>
      <c r="O77" s="327">
        <f ca="1"/>
        <v>-0.78741542806620002</v>
      </c>
      <c r="P77" s="327">
        <f ca="1"/>
        <v>-0.62833501284316895</v>
      </c>
      <c r="Q77" s="141">
        <f ca="1"/>
        <v>-0.31118603312163073</v>
      </c>
      <c r="X77" s="140" t="str">
        <f ca="1"/>
        <v>#∂Excel Error: Invalid seed specified.</v>
      </c>
      <c r="Y77" s="327" t="str">
        <f ca="1"/>
        <v>#∂Excel Error: Invalid seed specified.</v>
      </c>
      <c r="Z77" s="327" t="str">
        <f ca="1"/>
        <v>#∂Excel Error: Invalid seed specified.</v>
      </c>
      <c r="AA77" s="327" t="str">
        <f ca="1"/>
        <v>#∂Excel Error: Invalid seed specified.</v>
      </c>
      <c r="AB77" s="141" t="str">
        <f ca="1"/>
        <v>#∂Excel Error: Invalid seed specified.</v>
      </c>
    </row>
    <row r="78" spans="4:28" x14ac:dyDescent="0.25">
      <c r="D78" s="140">
        <f ca="1"/>
        <v>0.80488972711453355</v>
      </c>
      <c r="E78" s="327">
        <f ca="1"/>
        <v>-2.1496502133888749</v>
      </c>
      <c r="F78" s="327">
        <f ca="1"/>
        <v>-2.1868193390200261</v>
      </c>
      <c r="G78" s="327">
        <f ca="1"/>
        <v>-8.0685653261843113E-2</v>
      </c>
      <c r="H78" s="141">
        <f ca="1"/>
        <v>-0.71874440154847874</v>
      </c>
      <c r="M78" s="140">
        <f ca="1"/>
        <v>-0.52567122275425127</v>
      </c>
      <c r="N78" s="327">
        <f ca="1"/>
        <v>-2.1682469100354429</v>
      </c>
      <c r="O78" s="327">
        <f ca="1"/>
        <v>-0.49690150069288419</v>
      </c>
      <c r="P78" s="327">
        <f ca="1"/>
        <v>-0.54132069019140561</v>
      </c>
      <c r="Q78" s="141">
        <f ca="1"/>
        <v>-6.2992411585646668E-2</v>
      </c>
      <c r="X78" s="140" t="str">
        <f ca="1"/>
        <v>#∂Excel Error: Invalid seed specified.</v>
      </c>
      <c r="Y78" s="327" t="str">
        <f ca="1"/>
        <v>#∂Excel Error: Invalid seed specified.</v>
      </c>
      <c r="Z78" s="327" t="str">
        <f ca="1"/>
        <v>#∂Excel Error: Invalid seed specified.</v>
      </c>
      <c r="AA78" s="327" t="str">
        <f ca="1"/>
        <v>#∂Excel Error: Invalid seed specified.</v>
      </c>
      <c r="AB78" s="141" t="str">
        <f ca="1"/>
        <v>#∂Excel Error: Invalid seed specified.</v>
      </c>
    </row>
    <row r="79" spans="4:28" x14ac:dyDescent="0.25">
      <c r="D79" s="140">
        <f ca="1"/>
        <v>0.80605770412109401</v>
      </c>
      <c r="E79" s="327">
        <f ca="1"/>
        <v>0.98500956747093471</v>
      </c>
      <c r="F79" s="327">
        <f ca="1"/>
        <v>-0.51374156559767825</v>
      </c>
      <c r="G79" s="327">
        <f ca="1"/>
        <v>-0.10210221862083954</v>
      </c>
      <c r="H79" s="141">
        <f ca="1"/>
        <v>-0.52081378098183195</v>
      </c>
      <c r="M79" s="140">
        <f ca="1"/>
        <v>0.73691424666134853</v>
      </c>
      <c r="N79" s="327">
        <f ca="1"/>
        <v>0.71436113686507285</v>
      </c>
      <c r="O79" s="327">
        <f ca="1"/>
        <v>-2.2163144909208631E-2</v>
      </c>
      <c r="P79" s="327">
        <f ca="1"/>
        <v>0.8472554954854804</v>
      </c>
      <c r="Q79" s="141">
        <f ca="1"/>
        <v>-0.44070638841080451</v>
      </c>
      <c r="X79" s="140" t="str">
        <f ca="1"/>
        <v>#∂Excel Error: Invalid seed specified.</v>
      </c>
      <c r="Y79" s="327" t="str">
        <f ca="1"/>
        <v>#∂Excel Error: Invalid seed specified.</v>
      </c>
      <c r="Z79" s="327" t="str">
        <f ca="1"/>
        <v>#∂Excel Error: Invalid seed specified.</v>
      </c>
      <c r="AA79" s="327" t="str">
        <f ca="1"/>
        <v>#∂Excel Error: Invalid seed specified.</v>
      </c>
      <c r="AB79" s="141" t="str">
        <f ca="1"/>
        <v>#∂Excel Error: Invalid seed specified.</v>
      </c>
    </row>
    <row r="80" spans="4:28" x14ac:dyDescent="0.25">
      <c r="D80" s="140">
        <f ca="1"/>
        <v>0.82079536005409337</v>
      </c>
      <c r="E80" s="327">
        <f ca="1"/>
        <v>0.61793246371250865</v>
      </c>
      <c r="F80" s="327">
        <f ca="1"/>
        <v>-1.3466588678274796</v>
      </c>
      <c r="G80" s="327">
        <f ca="1"/>
        <v>-0.12827791600451344</v>
      </c>
      <c r="H80" s="141">
        <f ca="1"/>
        <v>-0.17698844504820233</v>
      </c>
      <c r="M80" s="140">
        <f ca="1"/>
        <v>0.10571340356881136</v>
      </c>
      <c r="N80" s="327">
        <f ca="1"/>
        <v>0.43510185885383795</v>
      </c>
      <c r="O80" s="327">
        <f ca="1"/>
        <v>-0.7743316438829051</v>
      </c>
      <c r="P80" s="327">
        <f ca="1"/>
        <v>0.47571409078950894</v>
      </c>
      <c r="Q80" s="141">
        <f ca="1"/>
        <v>1.1933246485837257</v>
      </c>
      <c r="X80" s="140" t="str">
        <f ca="1"/>
        <v>#∂Excel Error: Invalid seed specified.</v>
      </c>
      <c r="Y80" s="327" t="str">
        <f ca="1"/>
        <v>#∂Excel Error: Invalid seed specified.</v>
      </c>
      <c r="Z80" s="327" t="str">
        <f ca="1"/>
        <v>#∂Excel Error: Invalid seed specified.</v>
      </c>
      <c r="AA80" s="327" t="str">
        <f ca="1"/>
        <v>#∂Excel Error: Invalid seed specified.</v>
      </c>
      <c r="AB80" s="141" t="str">
        <f ca="1"/>
        <v>#∂Excel Error: Invalid seed specified.</v>
      </c>
    </row>
    <row r="81" spans="4:28" x14ac:dyDescent="0.25">
      <c r="D81" s="140">
        <f ca="1"/>
        <v>-2.5528312879719279</v>
      </c>
      <c r="E81" s="327">
        <f ca="1"/>
        <v>0.29691031563146875</v>
      </c>
      <c r="F81" s="327">
        <f ca="1"/>
        <v>0.27808394980380907</v>
      </c>
      <c r="G81" s="327">
        <f ca="1"/>
        <v>0.44539774631615076</v>
      </c>
      <c r="H81" s="141">
        <f ca="1"/>
        <v>-0.31079358334370855</v>
      </c>
      <c r="M81" s="140">
        <f ca="1"/>
        <v>-0.62104898948677878</v>
      </c>
      <c r="N81" s="327">
        <f ca="1"/>
        <v>-1.2081369052411983</v>
      </c>
      <c r="O81" s="327">
        <f ca="1"/>
        <v>-1.4691061673130124</v>
      </c>
      <c r="P81" s="327">
        <f ca="1"/>
        <v>-0.23927867544397788</v>
      </c>
      <c r="Q81" s="141">
        <f ca="1"/>
        <v>1.0352564863345588</v>
      </c>
      <c r="X81" s="140" t="str">
        <f ca="1"/>
        <v>#∂Excel Error: Invalid seed specified.</v>
      </c>
      <c r="Y81" s="327" t="str">
        <f ca="1"/>
        <v>#∂Excel Error: Invalid seed specified.</v>
      </c>
      <c r="Z81" s="327" t="str">
        <f ca="1"/>
        <v>#∂Excel Error: Invalid seed specified.</v>
      </c>
      <c r="AA81" s="327" t="str">
        <f ca="1"/>
        <v>#∂Excel Error: Invalid seed specified.</v>
      </c>
      <c r="AB81" s="141" t="str">
        <f ca="1"/>
        <v>#∂Excel Error: Invalid seed specified.</v>
      </c>
    </row>
    <row r="82" spans="4:28" x14ac:dyDescent="0.25">
      <c r="D82" s="140">
        <f ca="1"/>
        <v>-0.35508869593067621</v>
      </c>
      <c r="E82" s="327">
        <f ca="1"/>
        <v>2.473226548926343</v>
      </c>
      <c r="F82" s="327">
        <f ca="1"/>
        <v>1.5462889736876682</v>
      </c>
      <c r="G82" s="327">
        <f ca="1"/>
        <v>-0.26354671448282113</v>
      </c>
      <c r="H82" s="141">
        <f ca="1"/>
        <v>-0.26861340529971534</v>
      </c>
      <c r="M82" s="140">
        <f ca="1"/>
        <v>0.51636476423005795</v>
      </c>
      <c r="N82" s="327">
        <f ca="1"/>
        <v>-1.5099329746090204</v>
      </c>
      <c r="O82" s="327">
        <f ca="1"/>
        <v>0.20991578422797322</v>
      </c>
      <c r="P82" s="327">
        <f ca="1"/>
        <v>2.2459454568674366</v>
      </c>
      <c r="Q82" s="141">
        <f ca="1"/>
        <v>2.1930541544827396E-2</v>
      </c>
      <c r="X82" s="140" t="str">
        <f ca="1"/>
        <v>#∂Excel Error: Invalid seed specified.</v>
      </c>
      <c r="Y82" s="327" t="str">
        <f ca="1"/>
        <v>#∂Excel Error: Invalid seed specified.</v>
      </c>
      <c r="Z82" s="327" t="str">
        <f ca="1"/>
        <v>#∂Excel Error: Invalid seed specified.</v>
      </c>
      <c r="AA82" s="327" t="str">
        <f ca="1"/>
        <v>#∂Excel Error: Invalid seed specified.</v>
      </c>
      <c r="AB82" s="141" t="str">
        <f ca="1"/>
        <v>#∂Excel Error: Invalid seed specified.</v>
      </c>
    </row>
    <row r="83" spans="4:28" x14ac:dyDescent="0.25">
      <c r="D83" s="140">
        <f ca="1"/>
        <v>-9.1431096942242635E-2</v>
      </c>
      <c r="E83" s="327">
        <f ca="1"/>
        <v>0.42641284474781083</v>
      </c>
      <c r="F83" s="327">
        <f ca="1"/>
        <v>-0.5923458699002222</v>
      </c>
      <c r="G83" s="327">
        <f ca="1"/>
        <v>1.2013235212028235</v>
      </c>
      <c r="H83" s="141">
        <f ca="1"/>
        <v>2.3611673657222285</v>
      </c>
      <c r="M83" s="140">
        <f ca="1"/>
        <v>-1.6488431393256051</v>
      </c>
      <c r="N83" s="327">
        <f ca="1"/>
        <v>0.57999105518427585</v>
      </c>
      <c r="O83" s="327">
        <f ca="1"/>
        <v>-0.48254658553627244</v>
      </c>
      <c r="P83" s="327">
        <f ca="1"/>
        <v>-1.5421751637979619</v>
      </c>
      <c r="Q83" s="141">
        <f ca="1"/>
        <v>0.15009116287960578</v>
      </c>
      <c r="X83" s="140" t="str">
        <f ca="1"/>
        <v>#∂Excel Error: Invalid seed specified.</v>
      </c>
      <c r="Y83" s="327" t="str">
        <f ca="1"/>
        <v>#∂Excel Error: Invalid seed specified.</v>
      </c>
      <c r="Z83" s="327" t="str">
        <f ca="1"/>
        <v>#∂Excel Error: Invalid seed specified.</v>
      </c>
      <c r="AA83" s="327" t="str">
        <f ca="1"/>
        <v>#∂Excel Error: Invalid seed specified.</v>
      </c>
      <c r="AB83" s="141" t="str">
        <f ca="1"/>
        <v>#∂Excel Error: Invalid seed specified.</v>
      </c>
    </row>
    <row r="84" spans="4:28" x14ac:dyDescent="0.25">
      <c r="D84" s="140">
        <f ca="1"/>
        <v>-0.21187073507578053</v>
      </c>
      <c r="E84" s="327">
        <f ca="1"/>
        <v>-0.98270009982047668</v>
      </c>
      <c r="F84" s="327">
        <f ca="1"/>
        <v>1.9342596462199904</v>
      </c>
      <c r="G84" s="327">
        <f ca="1"/>
        <v>0.81312021724325545</v>
      </c>
      <c r="H84" s="141">
        <f ca="1"/>
        <v>2.6847701181165196E-2</v>
      </c>
      <c r="M84" s="140">
        <f ca="1"/>
        <v>-0.23032048068376157</v>
      </c>
      <c r="N84" s="327">
        <f ca="1"/>
        <v>0.88538865198190642</v>
      </c>
      <c r="O84" s="327">
        <f ca="1"/>
        <v>1.2392586026239403</v>
      </c>
      <c r="P84" s="327">
        <f ca="1"/>
        <v>1.2294539401036757</v>
      </c>
      <c r="Q84" s="141">
        <f ca="1"/>
        <v>-0.3471396921131748</v>
      </c>
      <c r="X84" s="140" t="str">
        <f ca="1"/>
        <v>#∂Excel Error: Invalid seed specified.</v>
      </c>
      <c r="Y84" s="327" t="str">
        <f ca="1"/>
        <v>#∂Excel Error: Invalid seed specified.</v>
      </c>
      <c r="Z84" s="327" t="str">
        <f ca="1"/>
        <v>#∂Excel Error: Invalid seed specified.</v>
      </c>
      <c r="AA84" s="327" t="str">
        <f ca="1"/>
        <v>#∂Excel Error: Invalid seed specified.</v>
      </c>
      <c r="AB84" s="141" t="str">
        <f ca="1"/>
        <v>#∂Excel Error: Invalid seed specified.</v>
      </c>
    </row>
    <row r="85" spans="4:28" x14ac:dyDescent="0.25">
      <c r="D85" s="140">
        <f ca="1"/>
        <v>-0.30267530359008576</v>
      </c>
      <c r="E85" s="327">
        <f ca="1"/>
        <v>-0.10619811325803392</v>
      </c>
      <c r="F85" s="327">
        <f ca="1"/>
        <v>1.1920352851635663</v>
      </c>
      <c r="G85" s="327">
        <f ca="1"/>
        <v>-4.2323241996771725E-2</v>
      </c>
      <c r="H85" s="141">
        <f ca="1"/>
        <v>0.82332740776042657</v>
      </c>
      <c r="M85" s="140">
        <f ca="1"/>
        <v>-1.7242412097578461</v>
      </c>
      <c r="N85" s="327">
        <f ca="1"/>
        <v>-0.22001815639448172</v>
      </c>
      <c r="O85" s="327">
        <f ca="1"/>
        <v>-0.17208666940529432</v>
      </c>
      <c r="P85" s="327">
        <f ca="1"/>
        <v>-0.78869765146498261</v>
      </c>
      <c r="Q85" s="141">
        <f ca="1"/>
        <v>-1.0872759244853312</v>
      </c>
      <c r="X85" s="140" t="str">
        <f ca="1"/>
        <v>#∂Excel Error: Invalid seed specified.</v>
      </c>
      <c r="Y85" s="327" t="str">
        <f ca="1"/>
        <v>#∂Excel Error: Invalid seed specified.</v>
      </c>
      <c r="Z85" s="327" t="str">
        <f ca="1"/>
        <v>#∂Excel Error: Invalid seed specified.</v>
      </c>
      <c r="AA85" s="327" t="str">
        <f ca="1"/>
        <v>#∂Excel Error: Invalid seed specified.</v>
      </c>
      <c r="AB85" s="141" t="str">
        <f ca="1"/>
        <v>#∂Excel Error: Invalid seed specified.</v>
      </c>
    </row>
    <row r="86" spans="4:28" x14ac:dyDescent="0.25">
      <c r="D86" s="140">
        <f ca="1"/>
        <v>0.21279899182954726</v>
      </c>
      <c r="E86" s="327">
        <f ca="1"/>
        <v>-1.1424438777784323</v>
      </c>
      <c r="F86" s="327">
        <f ca="1"/>
        <v>-2.1354251794755204E-2</v>
      </c>
      <c r="G86" s="327">
        <f ca="1"/>
        <v>-1.6548896512828936E-2</v>
      </c>
      <c r="H86" s="141">
        <f ca="1"/>
        <v>-1.1483938988369959</v>
      </c>
      <c r="M86" s="140">
        <f ca="1"/>
        <v>-0.86816082408272477</v>
      </c>
      <c r="N86" s="327">
        <f ca="1"/>
        <v>1.2127254381649304</v>
      </c>
      <c r="O86" s="327">
        <f ca="1"/>
        <v>0.68264324688392519</v>
      </c>
      <c r="P86" s="327">
        <f ca="1"/>
        <v>-0.56803359029051959</v>
      </c>
      <c r="Q86" s="141">
        <f ca="1"/>
        <v>-0.72503523400698555</v>
      </c>
      <c r="X86" s="140" t="str">
        <f ca="1"/>
        <v>#∂Excel Error: Invalid seed specified.</v>
      </c>
      <c r="Y86" s="327" t="str">
        <f ca="1"/>
        <v>#∂Excel Error: Invalid seed specified.</v>
      </c>
      <c r="Z86" s="327" t="str">
        <f ca="1"/>
        <v>#∂Excel Error: Invalid seed specified.</v>
      </c>
      <c r="AA86" s="327" t="str">
        <f ca="1"/>
        <v>#∂Excel Error: Invalid seed specified.</v>
      </c>
      <c r="AB86" s="141" t="str">
        <f ca="1"/>
        <v>#∂Excel Error: Invalid seed specified.</v>
      </c>
    </row>
    <row r="87" spans="4:28" x14ac:dyDescent="0.25">
      <c r="D87" s="142">
        <f ca="1"/>
        <v>5.1409210374823731E-2</v>
      </c>
      <c r="E87" s="225">
        <f ca="1"/>
        <v>-0.21243260074195636</v>
      </c>
      <c r="F87" s="225">
        <f ca="1"/>
        <v>-0.55942050834103574</v>
      </c>
      <c r="G87" s="225">
        <f ca="1"/>
        <v>-0.21798606731311601</v>
      </c>
      <c r="H87" s="143">
        <f ca="1"/>
        <v>-0.77437601649928833</v>
      </c>
      <c r="M87" s="142">
        <f ca="1"/>
        <v>0.26964013420384109</v>
      </c>
      <c r="N87" s="225">
        <f ca="1"/>
        <v>-1.775592969970049</v>
      </c>
      <c r="O87" s="225">
        <f ca="1"/>
        <v>-2.3523246764015675</v>
      </c>
      <c r="P87" s="225">
        <f ca="1"/>
        <v>-2.9683604040472202</v>
      </c>
      <c r="Q87" s="143">
        <f ca="1"/>
        <v>1.491514088630282</v>
      </c>
      <c r="X87" s="142" t="str">
        <f ca="1"/>
        <v>#∂Excel Error: Invalid seed specified.</v>
      </c>
      <c r="Y87" s="225" t="str">
        <f ca="1"/>
        <v>#∂Excel Error: Invalid seed specified.</v>
      </c>
      <c r="Z87" s="225" t="str">
        <f ca="1"/>
        <v>#∂Excel Error: Invalid seed specified.</v>
      </c>
      <c r="AA87" s="225" t="str">
        <f ca="1"/>
        <v>#∂Excel Error: Invalid seed specified.</v>
      </c>
      <c r="AB87" s="143" t="str">
        <f ca="1"/>
        <v>#∂Excel Error: Invalid seed specified.</v>
      </c>
    </row>
  </sheetData>
  <conditionalFormatting sqref="D7:D8">
    <cfRule type="cellIs" dxfId="217" priority="88" stopIfTrue="1" operator="equal">
      <formula>"ERROR"</formula>
    </cfRule>
    <cfRule type="cellIs" dxfId="216" priority="89" stopIfTrue="1" operator="equal">
      <formula>"OK"</formula>
    </cfRule>
    <cfRule type="cellIs" dxfId="215" priority="90" stopIfTrue="1" operator="equal">
      <formula>"WARNING"</formula>
    </cfRule>
  </conditionalFormatting>
  <conditionalFormatting sqref="C4">
    <cfRule type="cellIs" dxfId="214" priority="85" stopIfTrue="1" operator="equal">
      <formula>"ERROR"</formula>
    </cfRule>
    <cfRule type="cellIs" dxfId="213" priority="86" stopIfTrue="1" operator="equal">
      <formula>"OK"</formula>
    </cfRule>
    <cfRule type="cellIs" dxfId="212" priority="87" stopIfTrue="1" operator="equal">
      <formula>"WARNING"</formula>
    </cfRule>
  </conditionalFormatting>
  <conditionalFormatting sqref="C14">
    <cfRule type="cellIs" dxfId="211" priority="82" stopIfTrue="1" operator="equal">
      <formula>"ERROR"</formula>
    </cfRule>
  </conditionalFormatting>
  <conditionalFormatting sqref="C14">
    <cfRule type="cellIs" dxfId="210" priority="83" stopIfTrue="1" operator="equal">
      <formula>"OK"</formula>
    </cfRule>
  </conditionalFormatting>
  <conditionalFormatting sqref="C14">
    <cfRule type="cellIs" dxfId="209" priority="84" stopIfTrue="1" operator="equal">
      <formula>"WARNING"</formula>
    </cfRule>
  </conditionalFormatting>
  <conditionalFormatting sqref="L19:N21">
    <cfRule type="cellIs" dxfId="208" priority="91" stopIfTrue="1" operator="equal">
      <formula>"ERROR"</formula>
    </cfRule>
    <cfRule type="cellIs" dxfId="207" priority="92" stopIfTrue="1" operator="equal">
      <formula>"OK"</formula>
    </cfRule>
    <cfRule type="cellIs" dxfId="206" priority="93" stopIfTrue="1" operator="equal">
      <formula>"WARNING"</formula>
    </cfRule>
  </conditionalFormatting>
  <conditionalFormatting sqref="D9">
    <cfRule type="cellIs" dxfId="205" priority="43" stopIfTrue="1" operator="equal">
      <formula>"ERROR"</formula>
    </cfRule>
    <cfRule type="cellIs" dxfId="204" priority="44" stopIfTrue="1" operator="equal">
      <formula>"OK"</formula>
    </cfRule>
    <cfRule type="cellIs" dxfId="203" priority="45" stopIfTrue="1" operator="equal">
      <formula>"WARNING"</formula>
    </cfRule>
  </conditionalFormatting>
  <conditionalFormatting sqref="V19">
    <cfRule type="cellIs" dxfId="202" priority="40" stopIfTrue="1" operator="equal">
      <formula>"ERROR"</formula>
    </cfRule>
    <cfRule type="cellIs" dxfId="201" priority="41" stopIfTrue="1" operator="equal">
      <formula>"OK"</formula>
    </cfRule>
    <cfRule type="cellIs" dxfId="200" priority="42" stopIfTrue="1" operator="equal">
      <formula>"WARNING"</formula>
    </cfRule>
  </conditionalFormatting>
  <conditionalFormatting sqref="AD19">
    <cfRule type="cellIs" dxfId="199" priority="37" stopIfTrue="1" operator="equal">
      <formula>"ERROR"</formula>
    </cfRule>
    <cfRule type="cellIs" dxfId="198" priority="38" stopIfTrue="1" operator="equal">
      <formula>"OK"</formula>
    </cfRule>
    <cfRule type="cellIs" dxfId="197" priority="39" stopIfTrue="1" operator="equal">
      <formula>"WARNING"</formula>
    </cfRule>
  </conditionalFormatting>
  <conditionalFormatting sqref="AL19">
    <cfRule type="cellIs" dxfId="196" priority="34" stopIfTrue="1" operator="equal">
      <formula>"ERROR"</formula>
    </cfRule>
    <cfRule type="cellIs" dxfId="195" priority="35" stopIfTrue="1" operator="equal">
      <formula>"OK"</formula>
    </cfRule>
    <cfRule type="cellIs" dxfId="194" priority="36" stopIfTrue="1" operator="equal">
      <formula>"WARNING"</formula>
    </cfRule>
  </conditionalFormatting>
  <conditionalFormatting sqref="C27">
    <cfRule type="cellIs" dxfId="193" priority="28" stopIfTrue="1" operator="equal">
      <formula>"ERROR"</formula>
    </cfRule>
  </conditionalFormatting>
  <conditionalFormatting sqref="C27">
    <cfRule type="cellIs" dxfId="192" priority="29" stopIfTrue="1" operator="equal">
      <formula>"OK"</formula>
    </cfRule>
  </conditionalFormatting>
  <conditionalFormatting sqref="C27">
    <cfRule type="cellIs" dxfId="191" priority="30" stopIfTrue="1" operator="equal">
      <formula>"WARNING"</formula>
    </cfRule>
  </conditionalFormatting>
  <conditionalFormatting sqref="L33:M34">
    <cfRule type="cellIs" dxfId="190" priority="31" stopIfTrue="1" operator="equal">
      <formula>"ERROR"</formula>
    </cfRule>
    <cfRule type="cellIs" dxfId="189" priority="32" stopIfTrue="1" operator="equal">
      <formula>"OK"</formula>
    </cfRule>
    <cfRule type="cellIs" dxfId="188" priority="33" stopIfTrue="1" operator="equal">
      <formula>"WARNING"</formula>
    </cfRule>
  </conditionalFormatting>
  <conditionalFormatting sqref="AB33:AD35">
    <cfRule type="cellIs" dxfId="187" priority="16" stopIfTrue="1" operator="equal">
      <formula>"ERROR"</formula>
    </cfRule>
    <cfRule type="cellIs" dxfId="186" priority="17" stopIfTrue="1" operator="equal">
      <formula>"OK"</formula>
    </cfRule>
    <cfRule type="cellIs" dxfId="185" priority="18" stopIfTrue="1" operator="equal">
      <formula>"WARNING"</formula>
    </cfRule>
  </conditionalFormatting>
  <conditionalFormatting sqref="C43">
    <cfRule type="cellIs" dxfId="184" priority="13" stopIfTrue="1" operator="equal">
      <formula>"ERROR"</formula>
    </cfRule>
  </conditionalFormatting>
  <conditionalFormatting sqref="C43">
    <cfRule type="cellIs" dxfId="183" priority="14" stopIfTrue="1" operator="equal">
      <formula>"OK"</formula>
    </cfRule>
  </conditionalFormatting>
  <conditionalFormatting sqref="C43">
    <cfRule type="cellIs" dxfId="182" priority="15" stopIfTrue="1" operator="equal">
      <formula>"WARNING"</formula>
    </cfRule>
  </conditionalFormatting>
  <conditionalFormatting sqref="J50:K50">
    <cfRule type="cellIs" dxfId="181" priority="10" stopIfTrue="1" operator="equal">
      <formula>"ERROR"</formula>
    </cfRule>
    <cfRule type="cellIs" dxfId="180" priority="11" stopIfTrue="1" operator="equal">
      <formula>"OK"</formula>
    </cfRule>
    <cfRule type="cellIs" dxfId="179" priority="12" stopIfTrue="1" operator="equal">
      <formula>"WARNING"</formula>
    </cfRule>
  </conditionalFormatting>
  <conditionalFormatting sqref="S50:T50">
    <cfRule type="cellIs" dxfId="178" priority="7" stopIfTrue="1" operator="equal">
      <formula>"ERROR"</formula>
    </cfRule>
    <cfRule type="cellIs" dxfId="177" priority="8" stopIfTrue="1" operator="equal">
      <formula>"OK"</formula>
    </cfRule>
    <cfRule type="cellIs" dxfId="176" priority="9" stopIfTrue="1" operator="equal">
      <formula>"WARNING"</formula>
    </cfRule>
  </conditionalFormatting>
  <conditionalFormatting sqref="AE48">
    <cfRule type="cellIs" dxfId="175" priority="1" stopIfTrue="1" operator="equal">
      <formula>"ERROR"</formula>
    </cfRule>
    <cfRule type="cellIs" dxfId="174" priority="2" stopIfTrue="1" operator="equal">
      <formula>"OK"</formula>
    </cfRule>
    <cfRule type="cellIs" dxfId="173" priority="3" stopIfTrue="1" operator="equal">
      <formula>"WARNING"</formula>
    </cfRule>
  </conditionalFormatting>
  <hyperlinks>
    <hyperlink ref="B1" location="Summary!A1" display="Summary!A1" xr:uid="{C953E8CE-F9B0-4635-AD33-59B44B53DCE7}"/>
    <hyperlink ref="B7:C7" location="$B$13" display="$B$13" xr:uid="{E4450090-8140-4882-9D4E-646D0A0830E1}"/>
    <hyperlink ref="B8:C8" location="$B$26" display="$B$26" xr:uid="{F7076B8E-761F-422D-95C7-88A540A4DFDD}"/>
    <hyperlink ref="B9:C9" location="$B$42" display="$B$42" xr:uid="{24C28D86-8B3F-4361-83C0-98370FFAED2D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Sheet2">
    <tabColor theme="1"/>
  </sheetPr>
  <dimension ref="B2"/>
  <sheetViews>
    <sheetView showGridLines="0" workbookViewId="0">
      <selection activeCell="J17" sqref="J17"/>
    </sheetView>
  </sheetViews>
  <sheetFormatPr defaultRowHeight="15" x14ac:dyDescent="0.25"/>
  <cols>
    <col min="1" max="1" width="3.75" customWidth="1"/>
  </cols>
  <sheetData>
    <row r="2" spans="2:2" x14ac:dyDescent="0.25">
      <c r="B2" s="69" t="s">
        <v>124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Sheet1">
    <tabColor theme="4" tint="-0.499984740745262"/>
  </sheetPr>
  <dimension ref="B1:V49"/>
  <sheetViews>
    <sheetView showGridLines="0" zoomScaleNormal="100" workbookViewId="0">
      <selection activeCell="B1" sqref="B1"/>
    </sheetView>
  </sheetViews>
  <sheetFormatPr defaultRowHeight="15" x14ac:dyDescent="0.25"/>
  <cols>
    <col min="1" max="1" width="3.75" customWidth="1"/>
    <col min="2" max="2" width="17.375" customWidth="1"/>
    <col min="3" max="3" width="14.25" customWidth="1"/>
    <col min="4" max="4" width="11.375" customWidth="1"/>
    <col min="5" max="6" width="10.75" customWidth="1"/>
    <col min="7" max="7" width="23.875" customWidth="1"/>
    <col min="8" max="8" width="22.875" customWidth="1"/>
    <col min="9" max="9" width="10" customWidth="1"/>
    <col min="10" max="10" width="17.875" customWidth="1"/>
    <col min="11" max="11" width="16.875" customWidth="1"/>
    <col min="12" max="12" width="10" customWidth="1"/>
    <col min="13" max="13" width="18" customWidth="1"/>
    <col min="14" max="14" width="16.875" customWidth="1"/>
    <col min="15" max="15" width="10" customWidth="1"/>
    <col min="17" max="17" width="44.875" customWidth="1"/>
    <col min="18" max="18" width="45.75" customWidth="1"/>
  </cols>
  <sheetData>
    <row r="1" spans="2:22" x14ac:dyDescent="0.25">
      <c r="B1" s="482" t="s">
        <v>432</v>
      </c>
    </row>
    <row r="2" spans="2:22" ht="26.25" x14ac:dyDescent="0.4">
      <c r="B2" s="2" t="s">
        <v>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4" spans="2:22" x14ac:dyDescent="0.25">
      <c r="B4" s="59" t="s">
        <v>166</v>
      </c>
    </row>
    <row r="10" spans="2:22" ht="18.75" x14ac:dyDescent="0.3">
      <c r="B10" s="3" t="s">
        <v>4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</row>
    <row r="12" spans="2:22" x14ac:dyDescent="0.25">
      <c r="B12" s="66" t="s">
        <v>114</v>
      </c>
      <c r="C12" s="180" t="str">
        <f>G16</f>
        <v>Ok</v>
      </c>
    </row>
    <row r="14" spans="2:22" ht="18.75" x14ac:dyDescent="0.3">
      <c r="B14" s="67" t="s">
        <v>75</v>
      </c>
      <c r="C14" s="68"/>
      <c r="D14" s="68"/>
      <c r="F14" s="67" t="s">
        <v>114</v>
      </c>
      <c r="G14" s="68"/>
      <c r="H14" s="68"/>
      <c r="I14" s="68"/>
      <c r="J14" s="68"/>
      <c r="K14" s="68"/>
      <c r="L14" s="68"/>
      <c r="M14" s="68"/>
      <c r="N14" s="68"/>
      <c r="O14" s="68"/>
      <c r="Q14" s="67" t="s">
        <v>116</v>
      </c>
      <c r="R14" s="68"/>
      <c r="S14" s="68"/>
      <c r="T14" s="68"/>
      <c r="U14" s="68"/>
      <c r="V14" s="68"/>
    </row>
    <row r="16" spans="2:22" x14ac:dyDescent="0.25">
      <c r="B16" s="66" t="s">
        <v>3</v>
      </c>
      <c r="C16" s="65" t="str" cm="1">
        <f t="array" ref="C16">_xll.d.Curve_Create("ExampleCurve",B19:C22,B26:B31,C26:C31)</f>
        <v>@@ExampleCurve::17:03:11</v>
      </c>
      <c r="D16" s="26"/>
      <c r="F16" s="59" t="s">
        <v>133</v>
      </c>
      <c r="G16" s="180" t="str" cm="1">
        <f t="array" ref="G16">_xll.d.TestUtils_And(I29:I39)</f>
        <v>Ok</v>
      </c>
    </row>
    <row r="17" spans="2:19" x14ac:dyDescent="0.25">
      <c r="Q17" s="27" t="s">
        <v>165</v>
      </c>
      <c r="R17" s="27"/>
      <c r="S17" s="27"/>
    </row>
    <row r="18" spans="2:19" x14ac:dyDescent="0.25">
      <c r="B18" s="12" t="s">
        <v>61</v>
      </c>
      <c r="C18" s="152"/>
      <c r="F18" s="12" t="s">
        <v>84</v>
      </c>
      <c r="G18" s="27"/>
      <c r="H18" s="27"/>
      <c r="I18" s="27"/>
      <c r="J18" s="27"/>
      <c r="K18" s="27"/>
      <c r="L18" s="27"/>
      <c r="M18" s="27"/>
      <c r="N18" s="27"/>
      <c r="O18" s="13"/>
      <c r="Q18" s="216" t="s">
        <v>86</v>
      </c>
      <c r="R18" s="217" t="s">
        <v>87</v>
      </c>
      <c r="S18" s="218" t="s">
        <v>88</v>
      </c>
    </row>
    <row r="19" spans="2:19" x14ac:dyDescent="0.25">
      <c r="B19" s="74" t="s">
        <v>32</v>
      </c>
      <c r="C19" s="153" t="s">
        <v>33</v>
      </c>
      <c r="F19" s="206"/>
      <c r="G19" s="205" t="s">
        <v>81</v>
      </c>
      <c r="H19" s="202"/>
      <c r="I19" s="203"/>
      <c r="J19" s="205" t="s">
        <v>82</v>
      </c>
      <c r="K19" s="202"/>
      <c r="L19" s="203"/>
      <c r="M19" s="205" t="s">
        <v>83</v>
      </c>
      <c r="N19" s="202"/>
      <c r="O19" s="203"/>
      <c r="Q19" s="214" t="str" cm="1">
        <f t="array" ref="Q19">_xll.d.Curve_GetZeroRates($C$16,$F21,"NACP")</f>
        <v>#ERROR: Invalid compounding convention 'NACP'.</v>
      </c>
      <c r="R19" s="215" t="s">
        <v>85</v>
      </c>
      <c r="S19" s="201" t="str" cm="1">
        <f t="array" ref="S19">_xll.d.TestUtils_Equal(Q19,R19)</f>
        <v>Ok</v>
      </c>
    </row>
    <row r="20" spans="2:19" x14ac:dyDescent="0.25">
      <c r="B20" s="154" t="s">
        <v>74</v>
      </c>
      <c r="C20" s="155" t="s">
        <v>71</v>
      </c>
      <c r="F20" s="207" t="s">
        <v>35</v>
      </c>
      <c r="G20" s="208" t="s">
        <v>76</v>
      </c>
      <c r="H20" s="209" t="s">
        <v>77</v>
      </c>
      <c r="I20" s="210" t="s">
        <v>88</v>
      </c>
      <c r="J20" s="208" t="s">
        <v>76</v>
      </c>
      <c r="K20" s="209" t="s">
        <v>77</v>
      </c>
      <c r="L20" s="210" t="s">
        <v>88</v>
      </c>
      <c r="M20" s="208" t="s">
        <v>76</v>
      </c>
      <c r="N20" s="209" t="s">
        <v>77</v>
      </c>
      <c r="O20" s="210" t="s">
        <v>88</v>
      </c>
    </row>
    <row r="21" spans="2:19" x14ac:dyDescent="0.25">
      <c r="B21" s="156" t="s">
        <v>72</v>
      </c>
      <c r="C21" s="157" t="s">
        <v>73</v>
      </c>
      <c r="E21" s="160"/>
      <c r="F21" s="18">
        <f>B27</f>
        <v>44593</v>
      </c>
      <c r="G21" s="211">
        <f>-LN(C27)/YEARFRAC($B$26,F21,3)</f>
        <v>0.11833459956542031</v>
      </c>
      <c r="H21" s="211">
        <f t="array" ref="H21:H25">_xll.d.Curve_GetZeroRates($C$16,F21:F25)</f>
        <v>0.11833459956542096</v>
      </c>
      <c r="I21" s="204" t="str" cm="1">
        <f t="array" ref="I21">_xll.d.TestUtils_Equal(G21,H21)</f>
        <v>Ok</v>
      </c>
      <c r="J21" s="211">
        <f>12*($C27^(-1/(12*YEARFRAC($B$26,$F21,3)))-1)</f>
        <v>0.11891998374379664</v>
      </c>
      <c r="K21" s="211">
        <f t="array" ref="K21">_xll.d.Curve_GetZeroRates($C$16,$F21,"NACM")</f>
        <v>0.11891998374379664</v>
      </c>
      <c r="L21" s="204" t="str" cm="1">
        <f t="array" ref="L21">_xll.d.TestUtils_Equal(J21,K21)</f>
        <v>Ok</v>
      </c>
      <c r="M21" s="211">
        <f>4*($C27^(-1/(4*YEARFRAC($B$26,$F21,3)))-1)</f>
        <v>0.12010237358908604</v>
      </c>
      <c r="N21" s="211" cm="1">
        <f t="array" ref="N21">_xll.d.Curve_GetZeroRates($C$16,$F21,"NACQ")</f>
        <v>0.12010237358908693</v>
      </c>
      <c r="O21" s="204" t="str" cm="1">
        <f t="array" ref="O21">_xll.d.TestUtils_Equal(M21,N21)</f>
        <v>Ok</v>
      </c>
    </row>
    <row r="22" spans="2:19" x14ac:dyDescent="0.25">
      <c r="B22" s="158" t="s">
        <v>54</v>
      </c>
      <c r="C22" s="159" t="s">
        <v>89</v>
      </c>
      <c r="F22" s="18">
        <f>B28</f>
        <v>44621</v>
      </c>
      <c r="G22" s="212">
        <f>-LN(C28)/YEARFRAC($B$26,F22,3)</f>
        <v>0.12498285035414584</v>
      </c>
      <c r="H22" s="212">
        <v>0.12498285035414587</v>
      </c>
      <c r="I22" s="201" t="str" cm="1">
        <f t="array" ref="I22">_xll.d.TestUtils_Equal(G22,H22)</f>
        <v>Ok</v>
      </c>
      <c r="J22" s="212">
        <f>12*($C28^(-1/(12*YEARFRAC($B$26,$F22,3)))-1)</f>
        <v>0.12563597891789247</v>
      </c>
      <c r="K22" s="212" cm="1">
        <f t="array" ref="K22">_xll.d.Curve_GetZeroRates($C$16,$F22,"NACM")</f>
        <v>0.1256359789178898</v>
      </c>
      <c r="L22" s="201" t="str" cm="1">
        <f t="array" ref="L22">_xll.d.TestUtils_Equal(J22,K22)</f>
        <v>Ok</v>
      </c>
      <c r="M22" s="212">
        <f>4*($C28^(-1/(4*YEARFRAC($B$26,$F22,3)))-1)</f>
        <v>0.12695593600029031</v>
      </c>
      <c r="N22" s="212" cm="1">
        <f t="array" ref="N22">_xll.d.Curve_GetZeroRates($C$16,$F22,"NACQ")</f>
        <v>0.12695593600029031</v>
      </c>
      <c r="O22" s="201" t="str" cm="1">
        <f t="array" ref="O22">_xll.d.TestUtils_Equal(M22,N22)</f>
        <v>Ok</v>
      </c>
    </row>
    <row r="23" spans="2:19" x14ac:dyDescent="0.25">
      <c r="F23" s="18">
        <f>B29</f>
        <v>44652</v>
      </c>
      <c r="G23" s="212">
        <f>-LN(C29)/YEARFRAC($B$26,F23,3)</f>
        <v>0.12352900813242923</v>
      </c>
      <c r="H23" s="212">
        <v>0.12352900813242955</v>
      </c>
      <c r="I23" s="201" t="str" cm="1">
        <f t="array" ref="I23">_xll.d.TestUtils_Equal(G23,H23)</f>
        <v>Ok</v>
      </c>
      <c r="J23" s="212">
        <f>12*($C29^(-1/(12*YEARFRAC($B$26,$F23,3)))-1)</f>
        <v>0.12416700444279183</v>
      </c>
      <c r="K23" s="212" cm="1">
        <f t="array" ref="K23">_xll.d.Curve_GetZeroRates($C$16,$F23,"NACM")</f>
        <v>0.12416700444279183</v>
      </c>
      <c r="L23" s="201" t="str" cm="1">
        <f t="array" ref="L23">_xll.d.TestUtils_Equal(J23,K23)</f>
        <v>Ok</v>
      </c>
      <c r="M23" s="212">
        <f>4*($C29^(-1/(4*YEARFRAC($B$26,$F23,3)))-1)</f>
        <v>0.12545622286335512</v>
      </c>
      <c r="N23" s="212" cm="1">
        <f t="array" ref="N23">_xll.d.Curve_GetZeroRates($C$16,$F23,"NACQ")</f>
        <v>0.12545622286335512</v>
      </c>
      <c r="O23" s="201" t="str" cm="1">
        <f t="array" ref="O23">_xll.d.TestUtils_Equal(M23,N23)</f>
        <v>Ok</v>
      </c>
    </row>
    <row r="24" spans="2:19" x14ac:dyDescent="0.25">
      <c r="E24" s="10"/>
      <c r="F24" s="18">
        <f>B30</f>
        <v>44682</v>
      </c>
      <c r="G24" s="212">
        <f>-LN(C30)/YEARFRAC($B$26,F24,3)</f>
        <v>0.12416689999910947</v>
      </c>
      <c r="H24" s="212">
        <v>0.12416689999910957</v>
      </c>
      <c r="I24" s="201" t="str" cm="1">
        <f t="array" ref="I24">_xll.d.TestUtils_Equal(G24,H24)</f>
        <v>Ok</v>
      </c>
      <c r="J24" s="212">
        <f>12*($C30^(-1/(12*YEARFRAC($B$26,$F24,3)))-1)</f>
        <v>0.12481151386647849</v>
      </c>
      <c r="K24" s="212" cm="1">
        <f t="array" ref="K24">_xll.d.Curve_GetZeroRates($C$16,$F24,"NACM")</f>
        <v>0.12481151386647849</v>
      </c>
      <c r="L24" s="201" t="str" cm="1">
        <f t="array" ref="L24">_xll.d.TestUtils_Equal(J24,K24)</f>
        <v>Ok</v>
      </c>
      <c r="M24" s="212">
        <f>4*($C30^(-1/(4*YEARFRAC($B$26,$F24,3)))-1)</f>
        <v>0.12611417406740255</v>
      </c>
      <c r="N24" s="212" cm="1">
        <f t="array" ref="N24">_xll.d.Curve_GetZeroRates($C$16,$F24,"NACQ")</f>
        <v>0.12611417406740344</v>
      </c>
      <c r="O24" s="201" t="str" cm="1">
        <f t="array" ref="O24">_xll.d.TestUtils_Equal(M24,N24)</f>
        <v>Ok</v>
      </c>
    </row>
    <row r="25" spans="2:19" x14ac:dyDescent="0.25">
      <c r="B25" s="12" t="s">
        <v>0</v>
      </c>
      <c r="C25" s="13" t="s">
        <v>2</v>
      </c>
      <c r="E25" s="11"/>
      <c r="F25" s="19">
        <f>B31</f>
        <v>46022</v>
      </c>
      <c r="G25" s="213">
        <f>-LN(C31)/YEARFRAC($B$26,F25,3)</f>
        <v>0.11950895023574995</v>
      </c>
      <c r="H25" s="213">
        <v>0.11950895023574998</v>
      </c>
      <c r="I25" s="201" t="str" cm="1">
        <f t="array" ref="I25">_xll.d.TestUtils_Equal(G25,H25)</f>
        <v>Ok</v>
      </c>
      <c r="J25" s="213">
        <f>12*($C31^(-1/(12*YEARFRAC($B$26,$F25,3)))-1)</f>
        <v>0.12010603026150424</v>
      </c>
      <c r="K25" s="213" cm="1">
        <f t="array" ref="K25">_xll.d.Curve_GetZeroRates($C$16,$F25,"NACM")</f>
        <v>0.12010603026150424</v>
      </c>
      <c r="L25" s="201" t="str" cm="1">
        <f t="array" ref="L25">_xll.d.TestUtils_Equal(J25,K25)</f>
        <v>Ok</v>
      </c>
      <c r="M25" s="213">
        <f>4*($C31^(-1/(4*YEARFRAC($B$26,$F25,3)))-1)</f>
        <v>0.1213121624159994</v>
      </c>
      <c r="N25" s="213" cm="1">
        <f t="array" ref="N25">_xll.d.Curve_GetZeroRates($C$16,$F25,"NACQ")</f>
        <v>0.1213121624159994</v>
      </c>
      <c r="O25" s="201" t="str" cm="1">
        <f t="array" ref="O25">_xll.d.TestUtils_Equal(M25,N25)</f>
        <v>Ok</v>
      </c>
    </row>
    <row r="26" spans="2:19" x14ac:dyDescent="0.25">
      <c r="B26" s="17">
        <v>44562</v>
      </c>
      <c r="C26" s="71">
        <v>1</v>
      </c>
      <c r="E26" s="8"/>
    </row>
    <row r="27" spans="2:19" x14ac:dyDescent="0.25">
      <c r="B27" s="18">
        <v>44593</v>
      </c>
      <c r="C27" s="72">
        <v>0.99</v>
      </c>
      <c r="E27" s="8"/>
      <c r="F27" s="70" t="s">
        <v>2</v>
      </c>
      <c r="H27" s="69" t="s">
        <v>80</v>
      </c>
    </row>
    <row r="28" spans="2:19" x14ac:dyDescent="0.25">
      <c r="B28" s="18">
        <v>44621</v>
      </c>
      <c r="C28" s="72">
        <v>0.98</v>
      </c>
      <c r="F28" s="12" t="s">
        <v>35</v>
      </c>
      <c r="G28" s="27" t="s">
        <v>78</v>
      </c>
      <c r="H28" s="27" t="s">
        <v>79</v>
      </c>
      <c r="I28" s="27" t="s">
        <v>88</v>
      </c>
    </row>
    <row r="29" spans="2:19" x14ac:dyDescent="0.25">
      <c r="B29" s="18">
        <v>44652</v>
      </c>
      <c r="C29" s="72">
        <v>0.97</v>
      </c>
      <c r="F29" s="17">
        <f>B26</f>
        <v>44562</v>
      </c>
      <c r="G29" s="56">
        <v>1</v>
      </c>
      <c r="H29" s="56" cm="1">
        <f t="array" ref="H29">_xll.d.Curve_GetDiscountFactors($C$16,F29)</f>
        <v>1</v>
      </c>
      <c r="I29" s="201" t="str" cm="1">
        <f t="array" ref="I29">_xll.d.TestUtils_Equal(G29,H29)</f>
        <v>Ok</v>
      </c>
    </row>
    <row r="30" spans="2:19" x14ac:dyDescent="0.25">
      <c r="B30" s="18">
        <v>44682</v>
      </c>
      <c r="C30" s="72">
        <v>0.96</v>
      </c>
      <c r="F30" s="199">
        <v>44576</v>
      </c>
      <c r="G30" s="200">
        <f>EXP((LN(C27)-LN(C26))/((B27-B26)/365)*((F30-B26)/365)+LN(C26))</f>
        <v>0.99547142371128639</v>
      </c>
      <c r="H30" s="200" cm="1">
        <f t="array" ref="H30">_xll.d.Curve_GetDiscountFactors($C$16,F30)</f>
        <v>0.99547142371128639</v>
      </c>
      <c r="I30" s="201" t="str" cm="1">
        <f t="array" ref="I30">_xll.d.TestUtils_Equal(G30,H30)</f>
        <v>Ok</v>
      </c>
    </row>
    <row r="31" spans="2:19" x14ac:dyDescent="0.25">
      <c r="B31" s="19">
        <v>46022</v>
      </c>
      <c r="C31" s="73">
        <v>0.62</v>
      </c>
      <c r="F31" s="18">
        <f>B27</f>
        <v>44593</v>
      </c>
      <c r="G31" s="57">
        <f>EXP((LN(C27)-LN(C26))/((B27-B26)/365)*((F31-B26)/365)+LN(C26))</f>
        <v>0.99</v>
      </c>
      <c r="H31" s="57" cm="1">
        <f t="array" ref="H31">_xll.d.Curve_GetDiscountFactors($C$16,F31)</f>
        <v>0.99</v>
      </c>
      <c r="I31" s="201" t="str" cm="1">
        <f t="array" ref="I31">_xll.d.TestUtils_Equal(G31,H31)</f>
        <v>Ok</v>
      </c>
    </row>
    <row r="32" spans="2:19" x14ac:dyDescent="0.25">
      <c r="F32" s="199">
        <v>44607</v>
      </c>
      <c r="G32" s="200">
        <f>EXP((LN(C28)-LN(C27))/((B28-B27)/365)*((F32-B27)/365)+LN(C27))</f>
        <v>0.98498730956292024</v>
      </c>
      <c r="H32" s="200" cm="1">
        <f t="array" ref="H32">_xll.d.Curve_GetDiscountFactors($C$16,F32)</f>
        <v>0.98498730956292024</v>
      </c>
      <c r="I32" s="201" t="str" cm="1">
        <f t="array" ref="I32">_xll.d.TestUtils_Equal(G32,H32)</f>
        <v>Ok</v>
      </c>
    </row>
    <row r="33" spans="2:9" x14ac:dyDescent="0.25">
      <c r="F33" s="18">
        <f>B28</f>
        <v>44621</v>
      </c>
      <c r="G33" s="57">
        <f>EXP((LN(C28)-LN(C27))/((B28-B27)/365)*((F33-B27)/365)+LN(C27))</f>
        <v>0.98</v>
      </c>
      <c r="H33" s="57" cm="1">
        <f t="array" ref="H33">_xll.d.Curve_GetDiscountFactors($C$16,F33)</f>
        <v>0.98</v>
      </c>
      <c r="I33" s="201" t="str" cm="1">
        <f t="array" ref="I33">_xll.d.TestUtils_Equal(G33,H33)</f>
        <v>Ok</v>
      </c>
    </row>
    <row r="34" spans="2:9" x14ac:dyDescent="0.25">
      <c r="F34" s="199">
        <v>44635</v>
      </c>
      <c r="G34" s="200">
        <f>EXP((LN(C29)-LN(C28))/((B29-B28)/365)*((F34-B28)/365)+LN(C28))</f>
        <v>0.97547116833738268</v>
      </c>
      <c r="H34" s="200" cm="1">
        <f t="array" ref="H34">_xll.d.Curve_GetDiscountFactors($C$16,F34)</f>
        <v>0.97547116833738268</v>
      </c>
      <c r="I34" s="201" t="str" cm="1">
        <f t="array" ref="I34">_xll.d.TestUtils_Equal(G34,H34)</f>
        <v>Ok</v>
      </c>
    </row>
    <row r="35" spans="2:9" x14ac:dyDescent="0.25">
      <c r="F35" s="18">
        <f>B29</f>
        <v>44652</v>
      </c>
      <c r="G35" s="57">
        <f>EXP((LN(C29)-LN(C28))/((B29-B28)/365)*((F35-B28)/365)+LN(C28))</f>
        <v>0.97</v>
      </c>
      <c r="H35" s="57" cm="1">
        <f t="array" ref="H35">_xll.d.Curve_GetDiscountFactors($C$16,F35)</f>
        <v>0.97</v>
      </c>
      <c r="I35" s="201" t="str" cm="1">
        <f t="array" ref="I35">_xll.d.TestUtils_Equal(G35,H35)</f>
        <v>Ok</v>
      </c>
    </row>
    <row r="36" spans="2:9" x14ac:dyDescent="0.25">
      <c r="F36" s="199">
        <v>44666</v>
      </c>
      <c r="G36" s="200">
        <f>EXP((LN(C30)-LN(C29))/((B30-B29)/365)*((F36-B29)/365)+LN(C29))</f>
        <v>0.96532043596444328</v>
      </c>
      <c r="H36" s="200" cm="1">
        <f t="array" ref="H36">_xll.d.Curve_GetDiscountFactors($C$16,F36)</f>
        <v>0.96532043596444328</v>
      </c>
      <c r="I36" s="201" t="str" cm="1">
        <f t="array" ref="I36">_xll.d.TestUtils_Equal(G36,H36)</f>
        <v>Ok</v>
      </c>
    </row>
    <row r="37" spans="2:9" x14ac:dyDescent="0.25">
      <c r="F37" s="18">
        <f>B30</f>
        <v>44682</v>
      </c>
      <c r="G37" s="57">
        <f>EXP((LN(C30)-LN(C29))/((B30-B29)/365)*((F37-B29)/365)+LN(C29))</f>
        <v>0.96</v>
      </c>
      <c r="H37" s="57" cm="1">
        <f t="array" ref="H37">_xll.d.Curve_GetDiscountFactors($C$16,F37)</f>
        <v>0.96</v>
      </c>
      <c r="I37" s="201" t="str" cm="1">
        <f t="array" ref="I37">_xll.d.TestUtils_Equal(G37,H37)</f>
        <v>Ok</v>
      </c>
    </row>
    <row r="38" spans="2:9" x14ac:dyDescent="0.25">
      <c r="E38" s="5"/>
      <c r="F38" s="199">
        <v>45107</v>
      </c>
      <c r="G38" s="200">
        <f>EXP((LN(C31)-LN(C30))/((B31-B30)/365)*((F38-B30)/365)+LN(C30))</f>
        <v>0.8356958461194135</v>
      </c>
      <c r="H38" s="200" cm="1">
        <f t="array" ref="H38">_xll.d.Curve_GetDiscountFactors($C$16,F38)</f>
        <v>0.8356958461194135</v>
      </c>
      <c r="I38" s="201" t="str" cm="1">
        <f t="array" ref="I38">_xll.d.TestUtils_Equal(G38,H38)</f>
        <v>Ok</v>
      </c>
    </row>
    <row r="39" spans="2:9" x14ac:dyDescent="0.25">
      <c r="F39" s="18">
        <f>B31</f>
        <v>46022</v>
      </c>
      <c r="G39" s="57">
        <f>EXP((LN(C31)-LN(C30))/((B31-B30)/365)*((F39-B30)/365)+LN(C30))</f>
        <v>0.62</v>
      </c>
      <c r="H39" s="57" cm="1">
        <f t="array" ref="H39">_xll.d.Curve_GetDiscountFactors($C$16,F39)</f>
        <v>0.62</v>
      </c>
      <c r="I39" s="201" t="str" cm="1">
        <f t="array" ref="I39">_xll.d.TestUtils_Equal(G39,H39)</f>
        <v>Ok</v>
      </c>
    </row>
    <row r="40" spans="2:9" x14ac:dyDescent="0.25">
      <c r="D40" s="5"/>
      <c r="E40" s="5"/>
    </row>
    <row r="42" spans="2:9" x14ac:dyDescent="0.25">
      <c r="C42" s="1"/>
      <c r="D42" s="5"/>
    </row>
    <row r="43" spans="2:9" x14ac:dyDescent="0.25">
      <c r="E43" s="6"/>
    </row>
    <row r="44" spans="2:9" x14ac:dyDescent="0.25">
      <c r="B44" s="5"/>
      <c r="C44" s="5"/>
      <c r="D44" s="5"/>
      <c r="E44" s="5"/>
    </row>
    <row r="45" spans="2:9" x14ac:dyDescent="0.25">
      <c r="B45" s="5"/>
      <c r="C45" s="5"/>
      <c r="D45" s="5"/>
      <c r="E45" s="5"/>
    </row>
    <row r="46" spans="2:9" x14ac:dyDescent="0.25">
      <c r="B46" s="5"/>
      <c r="C46" s="5"/>
      <c r="D46" s="5"/>
      <c r="E46" s="5"/>
      <c r="F46" s="5"/>
      <c r="G46" s="5"/>
    </row>
    <row r="47" spans="2:9" x14ac:dyDescent="0.25">
      <c r="B47" s="5"/>
      <c r="C47" s="5"/>
      <c r="D47" s="5"/>
      <c r="E47" s="5"/>
      <c r="F47" s="5"/>
      <c r="G47" s="5"/>
    </row>
    <row r="48" spans="2:9" x14ac:dyDescent="0.25">
      <c r="F48" s="5"/>
      <c r="G48" s="5"/>
    </row>
    <row r="49" spans="6:7" x14ac:dyDescent="0.25">
      <c r="F49" s="5"/>
      <c r="G49" s="5"/>
    </row>
  </sheetData>
  <conditionalFormatting sqref="I29:I39">
    <cfRule type="cellIs" dxfId="172" priority="11" stopIfTrue="1" operator="equal">
      <formula>"OK"</formula>
    </cfRule>
    <cfRule type="cellIs" dxfId="171" priority="12" stopIfTrue="1" operator="equal">
      <formula>"ERROR"</formula>
    </cfRule>
  </conditionalFormatting>
  <conditionalFormatting sqref="G16">
    <cfRule type="cellIs" dxfId="170" priority="9" stopIfTrue="1" operator="equal">
      <formula>"OK"</formula>
    </cfRule>
    <cfRule type="cellIs" dxfId="169" priority="10" stopIfTrue="1" operator="equal">
      <formula>"ERROR"</formula>
    </cfRule>
  </conditionalFormatting>
  <conditionalFormatting sqref="C12">
    <cfRule type="cellIs" dxfId="168" priority="13" stopIfTrue="1" operator="equal">
      <formula>"OK"</formula>
    </cfRule>
    <cfRule type="cellIs" dxfId="167" priority="14" stopIfTrue="1" operator="equal">
      <formula>"ERROR"</formula>
    </cfRule>
  </conditionalFormatting>
  <conditionalFormatting sqref="I21:I25">
    <cfRule type="cellIs" dxfId="166" priority="7" stopIfTrue="1" operator="equal">
      <formula>"OK"</formula>
    </cfRule>
    <cfRule type="cellIs" dxfId="165" priority="8" stopIfTrue="1" operator="equal">
      <formula>"ERROR"</formula>
    </cfRule>
  </conditionalFormatting>
  <conditionalFormatting sqref="L21:L25">
    <cfRule type="cellIs" dxfId="164" priority="5" stopIfTrue="1" operator="equal">
      <formula>"OK"</formula>
    </cfRule>
    <cfRule type="cellIs" dxfId="163" priority="6" stopIfTrue="1" operator="equal">
      <formula>"ERROR"</formula>
    </cfRule>
  </conditionalFormatting>
  <conditionalFormatting sqref="O21:O25">
    <cfRule type="cellIs" dxfId="162" priority="3" stopIfTrue="1" operator="equal">
      <formula>"OK"</formula>
    </cfRule>
    <cfRule type="cellIs" dxfId="161" priority="4" stopIfTrue="1" operator="equal">
      <formula>"ERROR"</formula>
    </cfRule>
  </conditionalFormatting>
  <conditionalFormatting sqref="S19">
    <cfRule type="cellIs" dxfId="160" priority="1" stopIfTrue="1" operator="equal">
      <formula>"OK"</formula>
    </cfRule>
    <cfRule type="cellIs" dxfId="159" priority="2" stopIfTrue="1" operator="equal">
      <formula>"ERROR"</formula>
    </cfRule>
  </conditionalFormatting>
  <hyperlinks>
    <hyperlink ref="B1" location="Summary!A1" display="Summary!A1" xr:uid="{5CD9F595-B2D7-475A-84D7-CAC6BB570153}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heet3">
    <tabColor theme="4" tint="-0.499984740745262"/>
  </sheetPr>
  <dimension ref="B1:AX66"/>
  <sheetViews>
    <sheetView showGridLines="0" zoomScale="115" zoomScaleNormal="115" workbookViewId="0">
      <selection activeCell="B1" sqref="B1"/>
    </sheetView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  <col min="11" max="12" width="3.75" customWidth="1"/>
    <col min="13" max="13" width="17.75" customWidth="1"/>
    <col min="14" max="14" width="10" customWidth="1"/>
    <col min="15" max="15" width="11.25" customWidth="1"/>
    <col min="16" max="16" width="11.875" customWidth="1"/>
    <col min="18" max="18" width="11.375" customWidth="1"/>
    <col min="19" max="19" width="22.5" customWidth="1"/>
    <col min="20" max="20" width="21.5" customWidth="1"/>
    <col min="21" max="21" width="13.5" bestFit="1" customWidth="1"/>
    <col min="22" max="23" width="3.75" customWidth="1"/>
    <col min="24" max="24" width="11.375" customWidth="1"/>
    <col min="26" max="26" width="11" customWidth="1"/>
    <col min="41" max="41" width="20.25" customWidth="1"/>
  </cols>
  <sheetData>
    <row r="1" spans="2:25" x14ac:dyDescent="0.25">
      <c r="B1" s="482" t="s">
        <v>432</v>
      </c>
    </row>
    <row r="2" spans="2:25" ht="26.25" x14ac:dyDescent="0.4">
      <c r="B2" s="2" t="s">
        <v>22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</row>
    <row r="4" spans="2:25" ht="18.75" x14ac:dyDescent="0.3">
      <c r="B4" s="3" t="s">
        <v>166</v>
      </c>
      <c r="C4" s="3"/>
      <c r="D4" s="3"/>
      <c r="E4" s="3"/>
      <c r="F4" s="3"/>
      <c r="G4" s="3"/>
      <c r="H4" s="3"/>
      <c r="I4" s="3"/>
      <c r="J4" s="3"/>
    </row>
    <row r="6" spans="2:25" x14ac:dyDescent="0.25">
      <c r="B6" s="59" t="s">
        <v>166</v>
      </c>
      <c r="C6" s="180" t="str" cm="1">
        <f t="array" ref="C6">_xll.d.TestUtils_And(D10:D13)</f>
        <v>Error</v>
      </c>
    </row>
    <row r="8" spans="2:25" x14ac:dyDescent="0.25">
      <c r="B8" s="223" t="s">
        <v>10</v>
      </c>
      <c r="C8" s="223"/>
      <c r="D8" s="224" t="s">
        <v>11</v>
      </c>
      <c r="K8" s="237"/>
      <c r="L8" s="238"/>
      <c r="V8" s="237"/>
      <c r="W8" s="238"/>
    </row>
    <row r="9" spans="2:25" x14ac:dyDescent="0.25">
      <c r="B9" s="272" t="str">
        <f>B17</f>
        <v>ZAR Swap Curve Testing</v>
      </c>
      <c r="C9" s="273"/>
      <c r="D9" s="274"/>
      <c r="K9" s="237"/>
      <c r="L9" s="238"/>
      <c r="V9" s="237"/>
      <c r="W9" s="238"/>
    </row>
    <row r="10" spans="2:25" x14ac:dyDescent="0.25">
      <c r="B10" s="233" t="str">
        <f>B19</f>
        <v>Flat Curve, 3m JIBAR</v>
      </c>
      <c r="C10" s="271"/>
      <c r="D10" s="180" t="str">
        <f>C21</f>
        <v>Ok</v>
      </c>
      <c r="K10" s="237"/>
      <c r="L10" s="238"/>
      <c r="V10" s="237"/>
      <c r="W10" s="238"/>
    </row>
    <row r="11" spans="2:25" x14ac:dyDescent="0.25">
      <c r="K11" s="237"/>
      <c r="L11" s="238"/>
      <c r="V11" s="237"/>
      <c r="W11" s="238"/>
    </row>
    <row r="12" spans="2:25" x14ac:dyDescent="0.25">
      <c r="B12" s="272" t="s">
        <v>221</v>
      </c>
      <c r="C12" s="273"/>
      <c r="D12" s="274"/>
      <c r="K12" s="237"/>
      <c r="L12" s="238"/>
      <c r="V12" s="237"/>
      <c r="W12" s="238"/>
    </row>
    <row r="13" spans="2:25" x14ac:dyDescent="0.25">
      <c r="B13" s="233" t="str">
        <f>M19</f>
        <v>Non-Flat Curve, FEDFUND</v>
      </c>
      <c r="C13" s="271"/>
      <c r="D13" s="180" t="str">
        <f>N21</f>
        <v>Error</v>
      </c>
      <c r="K13" s="237"/>
      <c r="L13" s="238"/>
      <c r="V13" s="237"/>
      <c r="W13" s="238"/>
    </row>
    <row r="14" spans="2:25" x14ac:dyDescent="0.25">
      <c r="B14" s="233"/>
      <c r="C14" s="271"/>
      <c r="D14" s="180"/>
      <c r="K14" s="237"/>
      <c r="L14" s="238"/>
      <c r="V14" s="237"/>
      <c r="W14" s="238"/>
    </row>
    <row r="15" spans="2:25" x14ac:dyDescent="0.25">
      <c r="K15" s="237"/>
      <c r="L15" s="238"/>
      <c r="V15" s="237"/>
      <c r="W15" s="238"/>
    </row>
    <row r="16" spans="2:25" x14ac:dyDescent="0.25">
      <c r="K16" s="237"/>
      <c r="L16" s="238"/>
      <c r="V16" s="237"/>
      <c r="W16" s="238"/>
    </row>
    <row r="17" spans="2:50" ht="18.75" x14ac:dyDescent="0.3">
      <c r="B17" s="3" t="s">
        <v>242</v>
      </c>
      <c r="C17" s="3"/>
      <c r="D17" s="3"/>
      <c r="E17" s="3"/>
      <c r="F17" s="3"/>
      <c r="G17" s="3"/>
      <c r="H17" s="3"/>
      <c r="I17" s="3"/>
      <c r="J17" s="3"/>
      <c r="K17" s="237"/>
      <c r="L17" s="238"/>
      <c r="M17" s="3" t="s">
        <v>243</v>
      </c>
      <c r="N17" s="3"/>
      <c r="O17" s="3"/>
      <c r="P17" s="3"/>
      <c r="Q17" s="3"/>
      <c r="R17" s="3"/>
      <c r="S17" s="3"/>
      <c r="T17" s="3"/>
      <c r="U17" s="3"/>
      <c r="V17" s="237"/>
      <c r="W17" s="238"/>
      <c r="X17" s="3" t="s">
        <v>212</v>
      </c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</row>
    <row r="18" spans="2:50" x14ac:dyDescent="0.25">
      <c r="K18" s="237"/>
      <c r="L18" s="238"/>
      <c r="V18" s="237"/>
      <c r="W18" s="238"/>
    </row>
    <row r="19" spans="2:50" ht="15.75" x14ac:dyDescent="0.25">
      <c r="B19" s="4" t="s">
        <v>223</v>
      </c>
      <c r="C19" s="4"/>
      <c r="D19" s="4"/>
      <c r="E19" s="4"/>
      <c r="F19" s="4"/>
      <c r="G19" s="4"/>
      <c r="H19" s="4"/>
      <c r="I19" s="4"/>
      <c r="J19" s="4"/>
      <c r="K19" s="237"/>
      <c r="L19" s="238"/>
      <c r="M19" s="4" t="s">
        <v>244</v>
      </c>
      <c r="N19" s="4"/>
      <c r="O19" s="4"/>
      <c r="P19" s="4"/>
      <c r="Q19" s="4"/>
      <c r="R19" s="4"/>
      <c r="S19" s="4"/>
      <c r="T19" s="4"/>
      <c r="U19" s="4"/>
      <c r="V19" s="237"/>
      <c r="W19" s="238"/>
      <c r="X19" t="s">
        <v>218</v>
      </c>
      <c r="AH19" t="s">
        <v>213</v>
      </c>
    </row>
    <row r="20" spans="2:50" x14ac:dyDescent="0.25">
      <c r="K20" s="237"/>
      <c r="L20" s="238"/>
      <c r="V20" s="237"/>
      <c r="W20" s="238"/>
    </row>
    <row r="21" spans="2:50" x14ac:dyDescent="0.25">
      <c r="B21" s="59" t="s">
        <v>133</v>
      </c>
      <c r="C21" s="180" t="str" cm="1">
        <f t="array" ref="C21">_xll.d.TestUtils_And(J23:J28)</f>
        <v>Ok</v>
      </c>
      <c r="G21" s="268" t="s">
        <v>241</v>
      </c>
      <c r="H21" s="269"/>
      <c r="I21" s="269"/>
      <c r="J21" s="270"/>
      <c r="K21" s="237"/>
      <c r="L21" s="238"/>
      <c r="M21" s="59" t="s">
        <v>133</v>
      </c>
      <c r="N21" s="180" t="str" cm="1">
        <f t="array" ref="N21">_xll.d.TestUtils_And(U23:U39)</f>
        <v>Error</v>
      </c>
      <c r="R21" s="136" t="s">
        <v>241</v>
      </c>
      <c r="S21" s="226"/>
      <c r="T21" s="226"/>
      <c r="U21" s="137"/>
      <c r="V21" s="237"/>
      <c r="W21" s="238"/>
      <c r="X21" s="66" t="s">
        <v>41</v>
      </c>
      <c r="Y21" s="66"/>
      <c r="Z21" s="304" t="str" cm="1">
        <f t="array" ref="Z21">_xll.d.Curve_SingleCurveBootstrap("ZARCurve",X25:Y27,X32:Z37,X39:Z42,X44:Z47)</f>
        <v>#∂Excel Error: Base date missing from curve parameters.</v>
      </c>
      <c r="AA21" s="39"/>
      <c r="AB21" s="39"/>
      <c r="AC21" s="39"/>
      <c r="AD21" s="246"/>
      <c r="AH21" s="66" t="s">
        <v>41</v>
      </c>
      <c r="AI21" s="66"/>
      <c r="AJ21" s="245" t="str" cm="1">
        <f t="array" ref="AJ21">_xll.d.Curve_SingleCurveBootstrap("ZARCurve",AH25:AI27,AH32:AJ37,AH39:AJ42,AH44:AJ47)</f>
        <v xml:space="preserve">#∂Excel Error: Unsupported rate index: </v>
      </c>
      <c r="AK21" s="246"/>
      <c r="AM21" t="s">
        <v>214</v>
      </c>
      <c r="AS21" s="66" t="s">
        <v>41</v>
      </c>
      <c r="AT21" s="66"/>
      <c r="AU21" s="245" t="str" cm="1">
        <f t="array" ref="AU21">_xll.d.Curve_SingleCurveBootstrap("ZARCurve",AS25:AT28,AS32:AU37,AS39:AU42,AS44:AU47)</f>
        <v xml:space="preserve">#∂Excel Error: Unsupported rate index: </v>
      </c>
      <c r="AV21" s="246"/>
      <c r="AX21" t="s">
        <v>216</v>
      </c>
    </row>
    <row r="22" spans="2:50" x14ac:dyDescent="0.25">
      <c r="G22" s="74" t="s">
        <v>35</v>
      </c>
      <c r="H22" s="75" t="s">
        <v>42</v>
      </c>
      <c r="I22" s="75" t="s">
        <v>43</v>
      </c>
      <c r="J22" s="76" t="s">
        <v>88</v>
      </c>
      <c r="K22" s="237"/>
      <c r="L22" s="238"/>
      <c r="R22" s="74" t="s">
        <v>35</v>
      </c>
      <c r="S22" s="75" t="s">
        <v>42</v>
      </c>
      <c r="T22" s="75" t="s">
        <v>43</v>
      </c>
      <c r="U22" s="76" t="s">
        <v>10</v>
      </c>
      <c r="V22" s="237"/>
      <c r="W22" s="238"/>
    </row>
    <row r="23" spans="2:50" x14ac:dyDescent="0.25">
      <c r="G23" s="265">
        <f>C29</f>
        <v>44713</v>
      </c>
      <c r="H23" s="275">
        <v>1</v>
      </c>
      <c r="I23" s="275" cm="1">
        <f t="array" ref="I23">_xll.d.Curve_GetDiscountFactors($D$24,G23)</f>
        <v>1</v>
      </c>
      <c r="J23" s="254" t="str" cm="1">
        <f t="array" ref="J23">_xll.d.TestUtils_Equal(H23,I23,0.00001)</f>
        <v>Ok</v>
      </c>
      <c r="K23" s="237"/>
      <c r="L23" s="238"/>
      <c r="R23" s="305">
        <f>N29</f>
        <v>44655</v>
      </c>
      <c r="S23" s="316">
        <v>1</v>
      </c>
      <c r="T23" s="323" cm="1">
        <f t="array" ref="T23">_xll.d.Curve_GetDiscountFactors($O$24,R23)</f>
        <v>1</v>
      </c>
      <c r="U23" s="307" t="str" cm="1">
        <f t="array" ref="U23">_xll.d.TestUtils_Equal(S23,T23,0.001)</f>
        <v>Ok</v>
      </c>
      <c r="V23" s="237"/>
      <c r="W23" s="238"/>
      <c r="Z23" t="s">
        <v>217</v>
      </c>
    </row>
    <row r="24" spans="2:50" x14ac:dyDescent="0.25">
      <c r="B24" s="66" t="s">
        <v>41</v>
      </c>
      <c r="C24" s="66"/>
      <c r="D24" s="245" t="str" cm="1">
        <f t="array" ref="D24">_xll.d.Curve_SingleCurveBootstrap("ZARCurve",B27:C31,,B33:D37,B39:D43,B45:D48)</f>
        <v>@@ZARCurve::17:03:10</v>
      </c>
      <c r="E24" s="246"/>
      <c r="G24" s="266">
        <f>EDATE(G23,1)</f>
        <v>44743</v>
      </c>
      <c r="H24" s="276">
        <f>1/(1+YEARFRAC($G$23,G24,3)*C35)</f>
        <v>0.99184782608695643</v>
      </c>
      <c r="I24" s="276" cm="1">
        <f t="array" ref="I24">_xll.d.Curve_GetDiscountFactors($D$24,G24)</f>
        <v>0.99184782608695665</v>
      </c>
      <c r="J24" s="258" t="str" cm="1">
        <f t="array" ref="J24">_xll.d.TestUtils_Equal(H24,I24,0.00001)</f>
        <v>Ok</v>
      </c>
      <c r="K24" s="237"/>
      <c r="L24" s="238"/>
      <c r="M24" s="66" t="s">
        <v>41</v>
      </c>
      <c r="N24" s="66"/>
      <c r="O24" s="245" t="str" cm="1">
        <f t="array" ref="O24">_xll.d.Curve_SingleCurveBootstrap("USDOIS",M27:N31,,M34:O36,M38:O59)</f>
        <v>@@USDOIS::17:03:11</v>
      </c>
      <c r="P24" s="246"/>
      <c r="R24" s="306">
        <f t="shared" ref="R24:R32" si="0">M40</f>
        <v>44685</v>
      </c>
      <c r="S24" s="317">
        <f>1/(1+N40*(M40-$R$23)/360)</f>
        <v>0.99971508120185737</v>
      </c>
      <c r="T24" s="324" cm="1">
        <f t="array" ref="T24">_xll.d.Curve_GetDiscountFactors($O$24,R24)</f>
        <v>0.99971508120185748</v>
      </c>
      <c r="U24" s="308" t="str" cm="1">
        <f t="array" ref="U24">_xll.d.TestUtils_Equal(S24,T24,0.001)</f>
        <v>Ok</v>
      </c>
      <c r="V24" s="237"/>
      <c r="W24" s="238"/>
    </row>
    <row r="25" spans="2:50" x14ac:dyDescent="0.25">
      <c r="G25" s="266">
        <f>EDATE(G23,2)</f>
        <v>44774</v>
      </c>
      <c r="H25" s="276">
        <f>1/(1+YEARFRAC($G$23,G25,3)*C36)</f>
        <v>0.98356238210724867</v>
      </c>
      <c r="I25" s="276" cm="1">
        <f t="array" ref="I25">_xll.d.Curve_GetDiscountFactors($D$24,G25)</f>
        <v>0.98356238210724867</v>
      </c>
      <c r="J25" s="258" t="str" cm="1">
        <f t="array" ref="J25">_xll.d.TestUtils_Equal(H25,I25,0.00001)</f>
        <v>Ok</v>
      </c>
      <c r="K25" s="237"/>
      <c r="L25" s="238"/>
      <c r="R25" s="306">
        <f t="shared" si="0"/>
        <v>44718</v>
      </c>
      <c r="S25" s="317">
        <f>1/(1+N41*(M41-$R$23)/360)</f>
        <v>0.99901222666088896</v>
      </c>
      <c r="T25" s="324" cm="1">
        <f t="array" ref="T25">_xll.d.Curve_GetDiscountFactors($O$24,R25)</f>
        <v>0.99901222666088918</v>
      </c>
      <c r="U25" s="308" t="str" cm="1">
        <f t="array" ref="U25">_xll.d.TestUtils_Equal(S25,T25,0.001)</f>
        <v>Ok</v>
      </c>
      <c r="V25" s="237"/>
      <c r="W25" s="238"/>
      <c r="X25" s="58" t="s">
        <v>61</v>
      </c>
      <c r="Y25" s="59"/>
      <c r="AH25" s="58" t="s">
        <v>61</v>
      </c>
      <c r="AI25" s="59"/>
      <c r="AS25" s="58" t="s">
        <v>61</v>
      </c>
      <c r="AT25" s="59"/>
    </row>
    <row r="26" spans="2:50" x14ac:dyDescent="0.25">
      <c r="G26" s="266">
        <f>EDATE(G23,3)</f>
        <v>44805</v>
      </c>
      <c r="H26" s="276">
        <f>1/(1+YEARFRAC($G$23,G26,3)*C37)</f>
        <v>0.97541421699625863</v>
      </c>
      <c r="I26" s="276" cm="1">
        <f t="array" ref="I26">_xll.d.Curve_GetDiscountFactors($D$24,G26)</f>
        <v>0.97541421699625874</v>
      </c>
      <c r="J26" s="258" t="str" cm="1">
        <f t="array" ref="J26">_xll.d.TestUtils_Equal(H26,I26,0.00001)</f>
        <v>Ok</v>
      </c>
      <c r="K26" s="237"/>
      <c r="L26" s="238"/>
      <c r="R26" s="306">
        <f t="shared" si="0"/>
        <v>44747</v>
      </c>
      <c r="S26" s="317">
        <f t="shared" ref="S26:S32" si="1">1/(1+N42*(M42-$R$23)/360)</f>
        <v>0.99816847176192491</v>
      </c>
      <c r="T26" s="324" cm="1">
        <f t="array" ref="T26">_xll.d.Curve_GetDiscountFactors($O$24,R26)</f>
        <v>0.9981684717619248</v>
      </c>
      <c r="U26" s="308" t="str" cm="1">
        <f t="array" ref="U26">_xll.d.TestUtils_Equal(S26,T26,0.001)</f>
        <v>Ok</v>
      </c>
      <c r="V26" s="237"/>
      <c r="W26" s="238"/>
      <c r="X26" s="60" t="s">
        <v>32</v>
      </c>
      <c r="Y26" s="61" t="s">
        <v>33</v>
      </c>
      <c r="AH26" s="60" t="s">
        <v>32</v>
      </c>
      <c r="AI26" s="61" t="s">
        <v>33</v>
      </c>
      <c r="AS26" s="60" t="s">
        <v>32</v>
      </c>
      <c r="AT26" s="61" t="s">
        <v>33</v>
      </c>
    </row>
    <row r="27" spans="2:50" x14ac:dyDescent="0.25">
      <c r="B27" s="12" t="s">
        <v>61</v>
      </c>
      <c r="C27" s="13"/>
      <c r="G27" s="266">
        <f>EDATE(G23,6)</f>
        <v>44896</v>
      </c>
      <c r="H27" s="276">
        <f>H26*1/(1+YEARFRAC($G$26,G27,3)*C41)</f>
        <v>0.95168722053898536</v>
      </c>
      <c r="I27" s="276" cm="1">
        <f t="array" ref="I27">_xll.d.Curve_GetDiscountFactors($D$24,G27)</f>
        <v>0.95168722053898547</v>
      </c>
      <c r="J27" s="258" t="str" cm="1">
        <f t="array" ref="J27">_xll.d.TestUtils_Equal(H27,I27,0.00001)</f>
        <v>Ok</v>
      </c>
      <c r="K27" s="237"/>
      <c r="L27" s="238"/>
      <c r="M27" s="12" t="s">
        <v>61</v>
      </c>
      <c r="N27" s="13"/>
      <c r="R27" s="306">
        <f t="shared" si="0"/>
        <v>44777</v>
      </c>
      <c r="S27" s="317">
        <f t="shared" si="1"/>
        <v>0.99710750192663333</v>
      </c>
      <c r="T27" s="324" cm="1">
        <f t="array" ref="T27">_xll.d.Curve_GetDiscountFactors($O$24,R27)</f>
        <v>0.99710750192663322</v>
      </c>
      <c r="U27" s="308" t="str" cm="1">
        <f t="array" ref="U27">_xll.d.TestUtils_Equal(S27,T27,0.001)</f>
        <v>Ok</v>
      </c>
      <c r="V27" s="237"/>
      <c r="W27" s="238"/>
      <c r="X27" s="251" t="s">
        <v>36</v>
      </c>
      <c r="Y27" s="252" t="s">
        <v>37</v>
      </c>
      <c r="AA27" s="62"/>
      <c r="AH27" s="247" t="s">
        <v>211</v>
      </c>
      <c r="AI27" s="46">
        <v>44713</v>
      </c>
      <c r="AK27" s="62"/>
      <c r="AS27" s="247" t="s">
        <v>211</v>
      </c>
      <c r="AT27" s="46">
        <v>44713</v>
      </c>
      <c r="AV27" s="62"/>
    </row>
    <row r="28" spans="2:50" x14ac:dyDescent="0.25">
      <c r="B28" s="74" t="s">
        <v>32</v>
      </c>
      <c r="C28" s="76" t="s">
        <v>33</v>
      </c>
      <c r="G28" s="267">
        <f>EDATE(G23,9)</f>
        <v>44986</v>
      </c>
      <c r="H28" s="277">
        <f>H27*1/(1+C42*YEARFRAC(G27,G28,3))</f>
        <v>0.92878565640836808</v>
      </c>
      <c r="I28" s="277" cm="1">
        <f t="array" ref="I28">_xll.d.Curve_GetDiscountFactors($D$24,G28)</f>
        <v>0.92878565640836819</v>
      </c>
      <c r="J28" s="256" t="str" cm="1">
        <f t="array" ref="J28">_xll.d.TestUtils_Equal(H28,I28,0.00001)</f>
        <v>Ok</v>
      </c>
      <c r="K28" s="237"/>
      <c r="L28" s="238"/>
      <c r="M28" s="74" t="s">
        <v>32</v>
      </c>
      <c r="N28" s="76" t="s">
        <v>33</v>
      </c>
      <c r="R28" s="306">
        <f t="shared" si="0"/>
        <v>44810</v>
      </c>
      <c r="S28" s="317">
        <f t="shared" si="1"/>
        <v>0.99567448579981488</v>
      </c>
      <c r="T28" s="324" cm="1">
        <f t="array" ref="T28">_xll.d.Curve_GetDiscountFactors($O$24,R28)</f>
        <v>0.99567448579981488</v>
      </c>
      <c r="U28" s="308" t="str" cm="1">
        <f t="array" ref="U28">_xll.d.TestUtils_Equal(S28,T28,0.001)</f>
        <v>Ok</v>
      </c>
      <c r="V28" s="237"/>
      <c r="W28" s="238"/>
      <c r="X28" s="251"/>
      <c r="Y28" s="252"/>
      <c r="AA28" s="62"/>
      <c r="AH28" s="248"/>
      <c r="AI28" s="249"/>
      <c r="AK28" s="62"/>
      <c r="AS28" s="248" t="s">
        <v>36</v>
      </c>
      <c r="AT28" s="250" t="s">
        <v>215</v>
      </c>
      <c r="AV28" s="62"/>
    </row>
    <row r="29" spans="2:50" x14ac:dyDescent="0.25">
      <c r="B29" s="253" t="s">
        <v>211</v>
      </c>
      <c r="C29" s="257">
        <v>44713</v>
      </c>
      <c r="E29" s="62"/>
      <c r="K29" s="237"/>
      <c r="L29" s="238"/>
      <c r="M29" s="313" t="s">
        <v>211</v>
      </c>
      <c r="N29" s="315">
        <v>44655</v>
      </c>
      <c r="O29" s="8">
        <v>44651</v>
      </c>
      <c r="P29" s="62"/>
      <c r="R29" s="306">
        <f t="shared" si="0"/>
        <v>44838</v>
      </c>
      <c r="S29" s="317">
        <f t="shared" si="1"/>
        <v>0.99434894919688932</v>
      </c>
      <c r="T29" s="324" cm="1">
        <f t="array" ref="T29">_xll.d.Curve_GetDiscountFactors($O$24,R29)</f>
        <v>0.99434894919688921</v>
      </c>
      <c r="U29" s="309" t="str" cm="1">
        <f t="array" ref="U29">_xll.d.TestUtils_Equal(S29,T29,0.001)</f>
        <v>Ok</v>
      </c>
      <c r="V29" s="237"/>
      <c r="W29" s="238"/>
    </row>
    <row r="30" spans="2:50" x14ac:dyDescent="0.25">
      <c r="B30" s="311" t="s">
        <v>250</v>
      </c>
      <c r="C30" s="278" t="s">
        <v>37</v>
      </c>
      <c r="E30" s="62"/>
      <c r="K30" s="237"/>
      <c r="L30" s="238"/>
      <c r="M30" s="311" t="s">
        <v>250</v>
      </c>
      <c r="N30" s="314" t="s">
        <v>67</v>
      </c>
      <c r="P30" s="62"/>
      <c r="R30" s="306">
        <f t="shared" si="0"/>
        <v>44930</v>
      </c>
      <c r="S30" s="317">
        <f t="shared" si="1"/>
        <v>0.98898517758465088</v>
      </c>
      <c r="T30" s="324" cm="1">
        <f t="array" ref="T30">_xll.d.Curve_GetDiscountFactors($O$24,R30)</f>
        <v>0.98898517758465088</v>
      </c>
      <c r="U30" s="309" t="str" cm="1">
        <f t="array" ref="U30">_xll.d.TestUtils_Equal(S30,T30,0.001)</f>
        <v>Ok</v>
      </c>
      <c r="V30" s="237"/>
      <c r="W30" s="238"/>
    </row>
    <row r="31" spans="2:50" x14ac:dyDescent="0.25">
      <c r="B31" s="312" t="s">
        <v>57</v>
      </c>
      <c r="C31" s="256" t="s">
        <v>26</v>
      </c>
      <c r="K31" s="237"/>
      <c r="L31" s="238"/>
      <c r="M31" s="142" t="s">
        <v>57</v>
      </c>
      <c r="N31" s="143" t="s">
        <v>68</v>
      </c>
      <c r="P31" s="62"/>
      <c r="R31" s="306">
        <f t="shared" si="0"/>
        <v>45020</v>
      </c>
      <c r="S31" s="317">
        <f t="shared" si="1"/>
        <v>0.98275228786780011</v>
      </c>
      <c r="T31" s="324" cm="1">
        <f t="array" ref="T31">_xll.d.Curve_GetDiscountFactors($O$24,R31)</f>
        <v>0.98275228786780011</v>
      </c>
      <c r="U31" s="309" t="str" cm="1">
        <f t="array" ref="U31">_xll.d.TestUtils_Equal(S31,T31,0.001)</f>
        <v>Ok</v>
      </c>
      <c r="V31" s="237"/>
      <c r="W31" s="238"/>
    </row>
    <row r="32" spans="2:50" x14ac:dyDescent="0.25">
      <c r="K32" s="237"/>
      <c r="L32" s="238"/>
      <c r="P32" s="62"/>
      <c r="R32" s="306">
        <f t="shared" si="0"/>
        <v>45203</v>
      </c>
      <c r="S32" s="317">
        <f t="shared" si="1"/>
        <v>0.96919510285098431</v>
      </c>
      <c r="T32" s="324" cm="1">
        <f t="array" ref="T32">_xll.d.Curve_GetDiscountFactors($O$24,R32)</f>
        <v>0.96893365478149973</v>
      </c>
      <c r="U32" s="309" t="str" cm="1">
        <f t="array" ref="U32">_xll.d.TestUtils_Equal(S32,T32,0.001)</f>
        <v>Ok</v>
      </c>
      <c r="V32" s="237"/>
      <c r="W32" s="238"/>
      <c r="X32" s="12" t="s">
        <v>23</v>
      </c>
      <c r="Y32" s="13"/>
      <c r="Z32" s="13"/>
      <c r="AH32" s="12" t="s">
        <v>23</v>
      </c>
      <c r="AI32" s="13"/>
      <c r="AJ32" s="13"/>
      <c r="AS32" s="12" t="s">
        <v>23</v>
      </c>
      <c r="AT32" s="13"/>
      <c r="AU32" s="13"/>
    </row>
    <row r="33" spans="2:47" x14ac:dyDescent="0.25">
      <c r="B33" s="12" t="s">
        <v>23</v>
      </c>
      <c r="C33" s="27"/>
      <c r="D33" s="13"/>
      <c r="K33" s="237"/>
      <c r="L33" s="238"/>
      <c r="R33" s="306">
        <f t="shared" ref="R33:R39" si="2">M49</f>
        <v>45386</v>
      </c>
      <c r="S33" s="317">
        <f t="shared" ref="S33:S39" si="3">1/(1+N49*(M49-$R$23)/360)</f>
        <v>0.95528839028731749</v>
      </c>
      <c r="T33" s="324" cm="1">
        <f t="array" ref="T33">_xll.d.Curve_GetDiscountFactors($O$24,R33)</f>
        <v>0.95466125165760329</v>
      </c>
      <c r="U33" s="309" t="str" cm="1">
        <f t="array" ref="U33">_xll.d.TestUtils_Equal(S33,T33,0.001)</f>
        <v>Ok</v>
      </c>
      <c r="V33" s="237"/>
      <c r="W33" s="238"/>
      <c r="X33" s="43" t="s">
        <v>39</v>
      </c>
      <c r="Y33" s="44" t="s">
        <v>40</v>
      </c>
      <c r="Z33" s="45" t="s">
        <v>53</v>
      </c>
      <c r="AH33" s="43" t="s">
        <v>39</v>
      </c>
      <c r="AI33" s="44" t="s">
        <v>40</v>
      </c>
      <c r="AJ33" s="45" t="s">
        <v>53</v>
      </c>
      <c r="AS33" s="43" t="s">
        <v>39</v>
      </c>
      <c r="AT33" s="44" t="s">
        <v>40</v>
      </c>
      <c r="AU33" s="45" t="s">
        <v>53</v>
      </c>
    </row>
    <row r="34" spans="2:47" x14ac:dyDescent="0.25">
      <c r="B34" s="74" t="s">
        <v>39</v>
      </c>
      <c r="C34" s="75" t="s">
        <v>40</v>
      </c>
      <c r="D34" s="76" t="s">
        <v>53</v>
      </c>
      <c r="K34" s="237"/>
      <c r="L34" s="238"/>
      <c r="M34" s="12" t="s">
        <v>23</v>
      </c>
      <c r="N34" s="27"/>
      <c r="O34" s="13"/>
      <c r="Q34" t="s">
        <v>62</v>
      </c>
      <c r="R34" s="306">
        <f t="shared" si="2"/>
        <v>45751</v>
      </c>
      <c r="S34" s="317">
        <f t="shared" si="3"/>
        <v>0.93336499860513777</v>
      </c>
      <c r="T34" s="324" cm="1">
        <f t="array" ref="T34">_xll.d.Curve_GetDiscountFactors($O$24,R34)</f>
        <v>0.93172212162756984</v>
      </c>
      <c r="U34" s="309" t="str" cm="1">
        <f t="array" ref="U34">_xll.d.TestUtils_Equal(S34,T34,0.001)</f>
        <v>Error</v>
      </c>
      <c r="V34" s="237"/>
      <c r="W34" s="238"/>
      <c r="X34" s="42" t="s">
        <v>27</v>
      </c>
      <c r="Y34" s="42">
        <v>0.1</v>
      </c>
      <c r="Z34" s="42" t="b">
        <v>1</v>
      </c>
      <c r="AH34" s="42" t="s">
        <v>27</v>
      </c>
      <c r="AI34" s="42">
        <v>0.1</v>
      </c>
      <c r="AJ34" s="42" t="b">
        <v>1</v>
      </c>
      <c r="AS34" s="42" t="s">
        <v>27</v>
      </c>
      <c r="AT34" s="42">
        <v>0.1</v>
      </c>
      <c r="AU34" s="42" t="b">
        <v>1</v>
      </c>
    </row>
    <row r="35" spans="2:47" x14ac:dyDescent="0.25">
      <c r="B35" s="286" t="s">
        <v>27</v>
      </c>
      <c r="C35" s="287">
        <v>0.1</v>
      </c>
      <c r="D35" s="288" t="b">
        <v>1</v>
      </c>
      <c r="F35" s="9"/>
      <c r="G35" s="279"/>
      <c r="K35" s="237"/>
      <c r="L35" s="238"/>
      <c r="M35" s="74" t="s">
        <v>39</v>
      </c>
      <c r="N35" s="75" t="s">
        <v>40</v>
      </c>
      <c r="O35" s="76" t="s">
        <v>53</v>
      </c>
      <c r="Q35" s="326" t="s">
        <v>63</v>
      </c>
      <c r="R35" s="306">
        <f t="shared" si="2"/>
        <v>46118</v>
      </c>
      <c r="S35" s="317">
        <f t="shared" si="3"/>
        <v>0.91503040379147926</v>
      </c>
      <c r="T35" s="324" cm="1">
        <f t="array" ref="T35">_xll.d.Curve_GetDiscountFactors($O$24,R35)</f>
        <v>0.91221752721251526</v>
      </c>
      <c r="U35" s="309" t="str" cm="1">
        <f t="array" ref="U35">_xll.d.TestUtils_Equal(S35,T35,0.001)</f>
        <v>Error</v>
      </c>
      <c r="V35" s="237"/>
      <c r="W35" s="238"/>
      <c r="X35" s="42" t="s">
        <v>28</v>
      </c>
      <c r="Y35" s="42">
        <v>0.1</v>
      </c>
      <c r="Z35" s="42" t="b">
        <v>1</v>
      </c>
      <c r="AH35" s="42" t="s">
        <v>28</v>
      </c>
      <c r="AI35" s="42">
        <v>0.1</v>
      </c>
      <c r="AJ35" s="42" t="b">
        <v>1</v>
      </c>
      <c r="AS35" s="42" t="s">
        <v>28</v>
      </c>
      <c r="AT35" s="42">
        <v>0.1</v>
      </c>
      <c r="AU35" s="42" t="b">
        <v>1</v>
      </c>
    </row>
    <row r="36" spans="2:47" x14ac:dyDescent="0.25">
      <c r="B36" s="289" t="s">
        <v>28</v>
      </c>
      <c r="C36" s="260">
        <v>0.1</v>
      </c>
      <c r="D36" s="290" t="b">
        <v>1</v>
      </c>
      <c r="F36" s="9"/>
      <c r="K36" s="237"/>
      <c r="L36" s="238"/>
      <c r="M36" s="262" t="s">
        <v>68</v>
      </c>
      <c r="N36" s="264">
        <v>3.3E-3</v>
      </c>
      <c r="O36" s="263" t="b">
        <v>1</v>
      </c>
      <c r="R36" s="306">
        <f t="shared" si="2"/>
        <v>46482</v>
      </c>
      <c r="S36" s="317">
        <f t="shared" si="3"/>
        <v>0.8991532224527552</v>
      </c>
      <c r="T36" s="324" cm="1">
        <f t="array" ref="T36">_xll.d.Curve_GetDiscountFactors($O$24,R36)</f>
        <v>0.8950983340626063</v>
      </c>
      <c r="U36" s="309" t="str" cm="1">
        <f t="array" ref="U36">_xll.d.TestUtils_Equal(S36,T36,0.001)</f>
        <v>Error</v>
      </c>
      <c r="V36" s="237"/>
      <c r="W36" s="238"/>
      <c r="X36" s="42" t="s">
        <v>26</v>
      </c>
      <c r="Y36" s="42">
        <v>0.1</v>
      </c>
      <c r="Z36" s="42" t="b">
        <v>1</v>
      </c>
      <c r="AH36" s="42" t="s">
        <v>26</v>
      </c>
      <c r="AI36" s="42">
        <v>0.1</v>
      </c>
      <c r="AJ36" s="42" t="b">
        <v>1</v>
      </c>
      <c r="AS36" s="42" t="s">
        <v>26</v>
      </c>
      <c r="AT36" s="42">
        <v>0.1</v>
      </c>
      <c r="AU36" s="42" t="b">
        <v>1</v>
      </c>
    </row>
    <row r="37" spans="2:47" x14ac:dyDescent="0.25">
      <c r="B37" s="291" t="s">
        <v>26</v>
      </c>
      <c r="C37" s="292">
        <v>0.1</v>
      </c>
      <c r="D37" s="293" t="b">
        <v>1</v>
      </c>
      <c r="F37" s="9"/>
      <c r="K37" s="237"/>
      <c r="L37" s="238"/>
      <c r="R37" s="306">
        <f t="shared" si="2"/>
        <v>47212</v>
      </c>
      <c r="S37" s="317">
        <f t="shared" si="3"/>
        <v>0.86816302924846078</v>
      </c>
      <c r="T37" s="324" cm="1">
        <f t="array" ref="T37">_xll.d.Curve_GetDiscountFactors($O$24,R37)</f>
        <v>0.86082884929520387</v>
      </c>
      <c r="U37" s="309" t="str" cm="1">
        <f t="array" ref="U37">_xll.d.TestUtils_Equal(S37,T37,0.001)</f>
        <v>Error</v>
      </c>
      <c r="V37" s="237"/>
      <c r="W37" s="238"/>
      <c r="X37" s="42" t="s">
        <v>29</v>
      </c>
      <c r="Y37" s="42">
        <v>0.1</v>
      </c>
      <c r="Z37" s="42" t="b">
        <v>1</v>
      </c>
      <c r="AH37" s="42" t="s">
        <v>29</v>
      </c>
      <c r="AI37" s="42">
        <v>0.1</v>
      </c>
      <c r="AJ37" s="42" t="b">
        <v>1</v>
      </c>
      <c r="AS37" s="42" t="s">
        <v>29</v>
      </c>
      <c r="AT37" s="42">
        <v>0.1</v>
      </c>
      <c r="AU37" s="42" t="b">
        <v>1</v>
      </c>
    </row>
    <row r="38" spans="2:47" x14ac:dyDescent="0.25">
      <c r="F38" s="9"/>
      <c r="K38" s="237"/>
      <c r="L38" s="238"/>
      <c r="M38" s="12" t="s">
        <v>66</v>
      </c>
      <c r="N38" s="27"/>
      <c r="O38" s="13"/>
      <c r="R38" s="306">
        <f t="shared" si="2"/>
        <v>48309</v>
      </c>
      <c r="S38" s="317">
        <f t="shared" si="3"/>
        <v>0.8245073259537179</v>
      </c>
      <c r="T38" s="324" cm="1">
        <f t="array" ref="T38">_xll.d.Curve_GetDiscountFactors($O$24,R38)</f>
        <v>0.81064184849750731</v>
      </c>
      <c r="U38" s="309" t="str" cm="1">
        <f t="array" ref="U38">_xll.d.TestUtils_Equal(S38,T38,0.001)</f>
        <v>Error</v>
      </c>
      <c r="V38" s="237"/>
      <c r="W38" s="238"/>
    </row>
    <row r="39" spans="2:47" x14ac:dyDescent="0.25">
      <c r="B39" s="12" t="s">
        <v>38</v>
      </c>
      <c r="C39" s="27"/>
      <c r="D39" s="13"/>
      <c r="F39" s="9"/>
      <c r="K39" s="237"/>
      <c r="L39" s="238"/>
      <c r="M39" s="74" t="s">
        <v>69</v>
      </c>
      <c r="N39" s="75" t="s">
        <v>40</v>
      </c>
      <c r="O39" s="76" t="s">
        <v>53</v>
      </c>
      <c r="R39" s="306">
        <f t="shared" si="2"/>
        <v>49038</v>
      </c>
      <c r="S39" s="317">
        <f t="shared" si="3"/>
        <v>0.79638441475700317</v>
      </c>
      <c r="T39" s="324" cm="1">
        <f t="array" ref="T39">_xll.d.Curve_GetDiscountFactors($O$24,R39)</f>
        <v>0.77697680844404871</v>
      </c>
      <c r="U39" s="309" t="str" cm="1">
        <f t="array" ref="U39">_xll.d.TestUtils_Equal(S39,T39,0.001)</f>
        <v>Error</v>
      </c>
      <c r="V39" s="237"/>
      <c r="W39" s="238"/>
      <c r="X39" s="12" t="s">
        <v>38</v>
      </c>
      <c r="Y39" s="13"/>
      <c r="Z39" s="13"/>
      <c r="AH39" s="12" t="s">
        <v>38</v>
      </c>
      <c r="AI39" s="13"/>
      <c r="AJ39" s="13"/>
      <c r="AS39" s="12" t="s">
        <v>38</v>
      </c>
      <c r="AT39" s="13"/>
      <c r="AU39" s="13"/>
    </row>
    <row r="40" spans="2:47" x14ac:dyDescent="0.25">
      <c r="B40" s="74" t="s">
        <v>224</v>
      </c>
      <c r="C40" s="75" t="s">
        <v>40</v>
      </c>
      <c r="D40" s="76" t="s">
        <v>53</v>
      </c>
      <c r="F40" s="9"/>
      <c r="K40" s="237"/>
      <c r="L40" s="238"/>
      <c r="M40" s="239">
        <v>44685</v>
      </c>
      <c r="N40" s="319">
        <v>3.4199999999999999E-3</v>
      </c>
      <c r="O40" s="241" t="b">
        <v>1</v>
      </c>
      <c r="T40" s="318"/>
      <c r="U40" s="325"/>
      <c r="V40" s="237"/>
      <c r="W40" s="238"/>
      <c r="X40" s="43" t="s">
        <v>39</v>
      </c>
      <c r="Y40" s="44" t="s">
        <v>40</v>
      </c>
      <c r="Z40" s="45" t="s">
        <v>53</v>
      </c>
      <c r="AH40" s="43" t="s">
        <v>39</v>
      </c>
      <c r="AI40" s="44" t="s">
        <v>40</v>
      </c>
      <c r="AJ40" s="45" t="s">
        <v>53</v>
      </c>
      <c r="AS40" s="43" t="s">
        <v>39</v>
      </c>
      <c r="AT40" s="44" t="s">
        <v>40</v>
      </c>
      <c r="AU40" s="45" t="s">
        <v>53</v>
      </c>
    </row>
    <row r="41" spans="2:47" x14ac:dyDescent="0.25">
      <c r="B41" s="295" t="s">
        <v>225</v>
      </c>
      <c r="C41" s="285">
        <v>0.1</v>
      </c>
      <c r="D41" s="284" t="b">
        <v>1</v>
      </c>
      <c r="F41" s="9"/>
      <c r="G41" s="8"/>
      <c r="K41" s="237"/>
      <c r="L41" s="238"/>
      <c r="M41" s="240">
        <v>44718</v>
      </c>
      <c r="N41" s="320">
        <v>5.6499999999999996E-3</v>
      </c>
      <c r="O41" s="242" t="b">
        <v>1</v>
      </c>
      <c r="T41" s="318"/>
      <c r="U41" s="325"/>
      <c r="V41" s="237"/>
      <c r="W41" s="238"/>
      <c r="X41" s="42" t="s">
        <v>29</v>
      </c>
      <c r="Y41" s="42">
        <v>0.1</v>
      </c>
      <c r="Z41" s="42" t="b">
        <v>1</v>
      </c>
      <c r="AH41" s="42" t="s">
        <v>29</v>
      </c>
      <c r="AI41" s="42">
        <v>0.1</v>
      </c>
      <c r="AJ41" s="42" t="b">
        <v>1</v>
      </c>
      <c r="AS41" s="42" t="s">
        <v>29</v>
      </c>
      <c r="AT41" s="42">
        <v>0.1</v>
      </c>
      <c r="AU41" s="42" t="b">
        <v>1</v>
      </c>
    </row>
    <row r="42" spans="2:47" x14ac:dyDescent="0.25">
      <c r="B42" s="296" t="s">
        <v>226</v>
      </c>
      <c r="C42" s="280">
        <v>0.1</v>
      </c>
      <c r="D42" s="281" t="b">
        <v>1</v>
      </c>
      <c r="F42" s="9"/>
      <c r="G42" s="294" t="s">
        <v>222</v>
      </c>
      <c r="K42" s="237"/>
      <c r="L42" s="238"/>
      <c r="M42" s="240">
        <v>44747</v>
      </c>
      <c r="N42" s="320">
        <v>7.1799999999999998E-3</v>
      </c>
      <c r="O42" s="242" t="b">
        <v>1</v>
      </c>
      <c r="T42" s="318"/>
      <c r="U42" s="325"/>
      <c r="V42" s="237"/>
      <c r="W42" s="238"/>
      <c r="X42" s="42" t="s">
        <v>30</v>
      </c>
      <c r="Y42" s="42">
        <v>0.1</v>
      </c>
      <c r="Z42" s="42" t="b">
        <v>1</v>
      </c>
      <c r="AH42" s="42" t="s">
        <v>30</v>
      </c>
      <c r="AI42" s="42">
        <v>0.1</v>
      </c>
      <c r="AJ42" s="42" t="b">
        <v>1</v>
      </c>
      <c r="AS42" s="42" t="s">
        <v>30</v>
      </c>
      <c r="AT42" s="42">
        <v>0.1</v>
      </c>
      <c r="AU42" s="42" t="b">
        <v>1</v>
      </c>
    </row>
    <row r="43" spans="2:47" x14ac:dyDescent="0.25">
      <c r="B43" s="297" t="s">
        <v>227</v>
      </c>
      <c r="C43" s="282">
        <v>0.1</v>
      </c>
      <c r="D43" s="283" t="b">
        <v>1</v>
      </c>
      <c r="F43" s="9"/>
      <c r="G43" t="s">
        <v>246</v>
      </c>
      <c r="K43" s="237"/>
      <c r="L43" s="238"/>
      <c r="M43" s="240">
        <v>44777</v>
      </c>
      <c r="N43" s="320">
        <v>8.5599999999999999E-3</v>
      </c>
      <c r="O43" s="242" t="b">
        <v>1</v>
      </c>
      <c r="T43" s="318"/>
      <c r="U43" s="325"/>
      <c r="V43" s="237"/>
      <c r="W43" s="238"/>
    </row>
    <row r="44" spans="2:47" x14ac:dyDescent="0.25">
      <c r="F44" s="9"/>
      <c r="G44" s="310" t="s">
        <v>245</v>
      </c>
      <c r="K44" s="237"/>
      <c r="L44" s="238"/>
      <c r="M44" s="240">
        <v>44810</v>
      </c>
      <c r="N44" s="320">
        <v>1.0089999999999998E-2</v>
      </c>
      <c r="O44" s="242" t="b">
        <v>1</v>
      </c>
      <c r="T44" s="318"/>
      <c r="U44" s="325"/>
      <c r="V44" s="237"/>
      <c r="W44" s="238"/>
      <c r="X44" s="12" t="s">
        <v>46</v>
      </c>
      <c r="Y44" s="13"/>
      <c r="Z44" s="13"/>
      <c r="AH44" s="12" t="s">
        <v>46</v>
      </c>
      <c r="AI44" s="13"/>
      <c r="AJ44" s="13"/>
      <c r="AS44" s="12" t="s">
        <v>46</v>
      </c>
      <c r="AT44" s="13"/>
      <c r="AU44" s="13"/>
    </row>
    <row r="45" spans="2:47" x14ac:dyDescent="0.25">
      <c r="B45" s="12" t="s">
        <v>46</v>
      </c>
      <c r="C45" s="27"/>
      <c r="D45" s="13"/>
      <c r="K45" s="237"/>
      <c r="L45" s="238"/>
      <c r="M45" s="240">
        <v>44838</v>
      </c>
      <c r="N45" s="320">
        <v>1.1180000000000001E-2</v>
      </c>
      <c r="O45" s="242" t="b">
        <v>1</v>
      </c>
      <c r="V45" s="237"/>
      <c r="W45" s="238"/>
      <c r="X45" s="43" t="s">
        <v>39</v>
      </c>
      <c r="Y45" s="44" t="s">
        <v>40</v>
      </c>
      <c r="Z45" s="45" t="s">
        <v>53</v>
      </c>
      <c r="AH45" s="43" t="s">
        <v>39</v>
      </c>
      <c r="AI45" s="44" t="s">
        <v>40</v>
      </c>
      <c r="AJ45" s="45" t="s">
        <v>53</v>
      </c>
      <c r="AS45" s="43" t="s">
        <v>39</v>
      </c>
      <c r="AT45" s="44" t="s">
        <v>40</v>
      </c>
      <c r="AU45" s="45" t="s">
        <v>53</v>
      </c>
    </row>
    <row r="46" spans="2:47" x14ac:dyDescent="0.25">
      <c r="B46" s="74" t="s">
        <v>39</v>
      </c>
      <c r="C46" s="75" t="s">
        <v>40</v>
      </c>
      <c r="D46" s="76" t="s">
        <v>53</v>
      </c>
      <c r="K46" s="237"/>
      <c r="L46" s="238"/>
      <c r="M46" s="240">
        <v>44930</v>
      </c>
      <c r="N46" s="320">
        <v>1.4579999999999999E-2</v>
      </c>
      <c r="O46" s="242" t="b">
        <v>1</v>
      </c>
      <c r="V46" s="237"/>
      <c r="W46" s="238"/>
      <c r="X46" s="42" t="s">
        <v>63</v>
      </c>
      <c r="Y46" s="42">
        <v>0.1</v>
      </c>
      <c r="Z46" s="42" t="b">
        <v>1</v>
      </c>
      <c r="AH46" s="42" t="s">
        <v>63</v>
      </c>
      <c r="AI46" s="42">
        <v>0.1</v>
      </c>
      <c r="AJ46" s="42" t="b">
        <v>1</v>
      </c>
      <c r="AS46" s="42" t="s">
        <v>63</v>
      </c>
      <c r="AT46" s="42">
        <v>0.1</v>
      </c>
      <c r="AU46" s="42" t="b">
        <v>1</v>
      </c>
    </row>
    <row r="47" spans="2:47" x14ac:dyDescent="0.25">
      <c r="B47" s="253" t="s">
        <v>63</v>
      </c>
      <c r="C47" s="259">
        <v>0.1</v>
      </c>
      <c r="D47" s="254" t="b">
        <v>1</v>
      </c>
      <c r="K47" s="237"/>
      <c r="L47" s="238"/>
      <c r="M47" s="240">
        <v>45020</v>
      </c>
      <c r="N47" s="320">
        <v>1.7310000000000002E-2</v>
      </c>
      <c r="O47" s="242" t="b">
        <v>1</v>
      </c>
      <c r="R47" t="s">
        <v>251</v>
      </c>
      <c r="S47" s="322">
        <f>1/(1+N36*(1/360))</f>
        <v>0.99999083341736039</v>
      </c>
      <c r="V47" s="237"/>
      <c r="W47" s="238"/>
      <c r="X47" s="42" t="s">
        <v>70</v>
      </c>
      <c r="Y47" s="42">
        <v>0.1</v>
      </c>
      <c r="Z47" s="42" t="b">
        <v>1</v>
      </c>
      <c r="AH47" s="42" t="s">
        <v>70</v>
      </c>
      <c r="AI47" s="42">
        <v>0.1</v>
      </c>
      <c r="AJ47" s="42" t="b">
        <v>1</v>
      </c>
      <c r="AS47" s="42" t="s">
        <v>70</v>
      </c>
      <c r="AT47" s="42">
        <v>0.1</v>
      </c>
      <c r="AU47" s="42" t="b">
        <v>1</v>
      </c>
    </row>
    <row r="48" spans="2:47" x14ac:dyDescent="0.25">
      <c r="B48" s="255" t="s">
        <v>70</v>
      </c>
      <c r="C48" s="261">
        <v>0.1</v>
      </c>
      <c r="D48" s="256" t="b">
        <v>1</v>
      </c>
      <c r="K48" s="237"/>
      <c r="L48" s="238"/>
      <c r="M48" s="240">
        <v>45203</v>
      </c>
      <c r="N48" s="320">
        <v>2.0879999999999999E-2</v>
      </c>
      <c r="O48" s="242" t="b">
        <v>1</v>
      </c>
      <c r="R48" t="s">
        <v>81</v>
      </c>
      <c r="S48" s="322">
        <f>EXP(-N36/360)</f>
        <v>0.99999083337534711</v>
      </c>
      <c r="V48" s="237"/>
      <c r="W48" s="238"/>
      <c r="X48" s="64"/>
      <c r="Y48" s="64"/>
      <c r="Z48" s="64"/>
      <c r="AA48" s="64"/>
      <c r="AB48" s="64"/>
      <c r="AC48" s="64"/>
      <c r="AD48" s="64"/>
      <c r="AE48" s="64"/>
      <c r="AF48" s="64"/>
      <c r="AG48" s="64"/>
    </row>
    <row r="49" spans="11:33" x14ac:dyDescent="0.25">
      <c r="K49" s="237"/>
      <c r="L49" s="238"/>
      <c r="M49" s="240">
        <v>45386</v>
      </c>
      <c r="N49" s="320">
        <v>2.3050000000000001E-2</v>
      </c>
      <c r="O49" s="242" t="b">
        <v>1</v>
      </c>
      <c r="R49" t="s">
        <v>252</v>
      </c>
      <c r="S49" s="322">
        <f>(1+N36)^(-1/360)</f>
        <v>0.99999084846701602</v>
      </c>
      <c r="V49" s="237"/>
      <c r="W49" s="238"/>
      <c r="X49" s="64"/>
      <c r="Y49" s="64"/>
      <c r="Z49" s="64"/>
      <c r="AA49" s="64"/>
      <c r="AB49" s="64"/>
      <c r="AC49" s="64"/>
      <c r="AD49" s="64"/>
      <c r="AE49" s="64"/>
      <c r="AF49" s="64"/>
      <c r="AG49" s="64"/>
    </row>
    <row r="50" spans="11:33" x14ac:dyDescent="0.25">
      <c r="K50" s="237"/>
      <c r="L50" s="238"/>
      <c r="M50" s="240">
        <v>45751</v>
      </c>
      <c r="N50" s="320">
        <v>2.3450000000000002E-2</v>
      </c>
      <c r="O50" s="242" t="b">
        <v>1</v>
      </c>
      <c r="V50" s="237"/>
      <c r="W50" s="238"/>
      <c r="X50" s="64"/>
      <c r="Y50" s="64"/>
      <c r="Z50" s="64"/>
      <c r="AA50" s="64"/>
      <c r="AB50" s="64"/>
      <c r="AC50" s="64"/>
      <c r="AD50" s="64"/>
      <c r="AE50" s="64"/>
      <c r="AF50" s="64"/>
      <c r="AG50" s="64"/>
    </row>
    <row r="51" spans="11:33" x14ac:dyDescent="0.25">
      <c r="K51" s="237"/>
      <c r="L51" s="238"/>
      <c r="M51" s="240">
        <v>46118</v>
      </c>
      <c r="N51" s="320">
        <v>2.2850000000000002E-2</v>
      </c>
      <c r="O51" s="242" t="b">
        <v>1</v>
      </c>
      <c r="V51" s="237"/>
      <c r="W51" s="238"/>
      <c r="X51" s="64"/>
      <c r="Y51" s="64"/>
      <c r="Z51" s="64"/>
      <c r="AA51" s="64"/>
      <c r="AB51" s="64"/>
      <c r="AC51" s="64"/>
      <c r="AD51" s="64"/>
      <c r="AE51" s="64"/>
      <c r="AF51" s="64"/>
      <c r="AG51" s="64"/>
    </row>
    <row r="52" spans="11:33" x14ac:dyDescent="0.25">
      <c r="K52" s="237"/>
      <c r="L52" s="238"/>
      <c r="M52" s="240">
        <v>46482</v>
      </c>
      <c r="N52" s="320">
        <v>2.2099999999999998E-2</v>
      </c>
      <c r="O52" s="242" t="b">
        <v>1</v>
      </c>
      <c r="V52" s="237"/>
      <c r="W52" s="238"/>
      <c r="X52" s="64"/>
      <c r="Y52" s="64"/>
      <c r="Z52" s="64"/>
      <c r="AA52" s="64"/>
      <c r="AB52" s="64"/>
      <c r="AC52" s="64"/>
      <c r="AD52" s="64"/>
      <c r="AE52" s="64"/>
      <c r="AF52" s="64"/>
      <c r="AG52" s="64"/>
    </row>
    <row r="53" spans="11:33" x14ac:dyDescent="0.25">
      <c r="K53" s="237"/>
      <c r="L53" s="238"/>
      <c r="M53" s="240">
        <v>47212</v>
      </c>
      <c r="N53" s="320">
        <v>2.138E-2</v>
      </c>
      <c r="O53" s="242" t="b">
        <v>1</v>
      </c>
      <c r="V53" s="237"/>
      <c r="W53" s="238"/>
      <c r="X53" s="64"/>
      <c r="Y53" s="64"/>
      <c r="Z53" s="64"/>
      <c r="AA53" s="64"/>
      <c r="AB53" s="64"/>
      <c r="AC53" s="64"/>
      <c r="AD53" s="64"/>
      <c r="AE53" s="64"/>
      <c r="AF53" s="64"/>
      <c r="AG53" s="64"/>
    </row>
    <row r="54" spans="11:33" x14ac:dyDescent="0.25">
      <c r="K54" s="237"/>
      <c r="L54" s="238"/>
      <c r="M54" s="240">
        <v>48309</v>
      </c>
      <c r="N54" s="320">
        <v>2.0969999999999999E-2</v>
      </c>
      <c r="O54" s="242" t="b">
        <v>1</v>
      </c>
      <c r="V54" s="237"/>
      <c r="W54" s="238"/>
      <c r="X54" s="64"/>
      <c r="Y54" s="64"/>
      <c r="Z54" s="64"/>
      <c r="AA54" s="64"/>
      <c r="AB54" s="64"/>
      <c r="AC54" s="64"/>
      <c r="AD54" s="64"/>
      <c r="AE54" s="64"/>
      <c r="AF54" s="64"/>
      <c r="AG54" s="64"/>
    </row>
    <row r="55" spans="11:33" x14ac:dyDescent="0.25">
      <c r="K55" s="237"/>
      <c r="L55" s="238"/>
      <c r="M55" s="240">
        <v>49038</v>
      </c>
      <c r="N55" s="320">
        <v>2.1000000000000001E-2</v>
      </c>
      <c r="O55" s="242" t="b">
        <v>1</v>
      </c>
      <c r="V55" s="237"/>
      <c r="W55" s="238"/>
      <c r="X55" s="64"/>
      <c r="Y55" s="64"/>
      <c r="Z55" s="64"/>
      <c r="AA55" s="64"/>
      <c r="AB55" s="64"/>
      <c r="AC55" s="64"/>
      <c r="AD55" s="64"/>
      <c r="AE55" s="64"/>
      <c r="AF55" s="64"/>
      <c r="AG55" s="64"/>
    </row>
    <row r="56" spans="11:33" x14ac:dyDescent="0.25">
      <c r="K56" s="237"/>
      <c r="L56" s="238"/>
      <c r="M56" s="240">
        <v>50136</v>
      </c>
      <c r="N56" s="320">
        <v>2.0959999999999999E-2</v>
      </c>
      <c r="O56" s="242" t="b">
        <v>1</v>
      </c>
      <c r="V56" s="237"/>
      <c r="W56" s="238"/>
      <c r="X56" s="64"/>
      <c r="Y56" s="64"/>
      <c r="Z56" s="64"/>
      <c r="AA56" s="64"/>
      <c r="AB56" s="64"/>
      <c r="AC56" s="64"/>
      <c r="AD56" s="64"/>
      <c r="AE56" s="64"/>
      <c r="AF56" s="64"/>
      <c r="AG56" s="64"/>
    </row>
    <row r="57" spans="11:33" x14ac:dyDescent="0.25">
      <c r="K57" s="237"/>
      <c r="L57" s="238"/>
      <c r="M57" s="240">
        <v>51963</v>
      </c>
      <c r="N57" s="320">
        <v>2.0830000000000001E-2</v>
      </c>
      <c r="O57" s="242" t="b">
        <v>1</v>
      </c>
      <c r="V57" s="237"/>
      <c r="W57" s="238"/>
      <c r="X57" s="64"/>
      <c r="Y57" s="64"/>
      <c r="Z57" s="64"/>
      <c r="AA57" s="64"/>
      <c r="AB57" s="64"/>
      <c r="AC57" s="64"/>
      <c r="AD57" s="64"/>
      <c r="AE57" s="64"/>
      <c r="AF57" s="64"/>
      <c r="AG57" s="64"/>
    </row>
    <row r="58" spans="11:33" x14ac:dyDescent="0.25">
      <c r="K58" s="237"/>
      <c r="L58" s="238"/>
      <c r="M58" s="240">
        <v>53786</v>
      </c>
      <c r="N58" s="320">
        <v>2.0250000000000001E-2</v>
      </c>
      <c r="O58" s="242" t="b">
        <v>1</v>
      </c>
      <c r="V58" s="237"/>
      <c r="W58" s="238"/>
      <c r="X58" s="64"/>
      <c r="Y58" s="64"/>
      <c r="Z58" s="64"/>
      <c r="AA58" s="64"/>
      <c r="AB58" s="64"/>
      <c r="AC58" s="64"/>
      <c r="AD58" s="64"/>
      <c r="AE58" s="64"/>
      <c r="AF58" s="64"/>
      <c r="AG58" s="64"/>
    </row>
    <row r="59" spans="11:33" x14ac:dyDescent="0.25">
      <c r="K59" s="237"/>
      <c r="L59" s="238"/>
      <c r="M59" s="244">
        <v>55613</v>
      </c>
      <c r="N59" s="321">
        <v>1.9550000000000001E-2</v>
      </c>
      <c r="O59" s="243" t="b">
        <v>1</v>
      </c>
      <c r="V59" s="237"/>
      <c r="W59" s="238"/>
      <c r="X59" s="64"/>
      <c r="Y59" s="64"/>
      <c r="Z59" s="64"/>
      <c r="AA59" s="64"/>
      <c r="AB59" s="64"/>
      <c r="AC59" s="64"/>
      <c r="AD59" s="64"/>
      <c r="AE59" s="64"/>
      <c r="AF59" s="64"/>
      <c r="AG59" s="64"/>
    </row>
    <row r="60" spans="11:33" x14ac:dyDescent="0.25">
      <c r="K60" s="237"/>
      <c r="L60" s="238"/>
      <c r="V60" s="237"/>
      <c r="W60" s="238"/>
      <c r="X60" s="64"/>
      <c r="Y60" s="64"/>
      <c r="Z60" s="64"/>
      <c r="AA60" s="64"/>
      <c r="AB60" s="64"/>
      <c r="AC60" s="64"/>
      <c r="AD60" s="64"/>
      <c r="AE60" s="64"/>
      <c r="AF60" s="64"/>
      <c r="AG60" s="64"/>
    </row>
    <row r="61" spans="11:33" x14ac:dyDescent="0.25">
      <c r="K61" s="237"/>
      <c r="L61" s="238"/>
      <c r="V61" s="237"/>
      <c r="W61" s="238"/>
    </row>
    <row r="62" spans="11:33" x14ac:dyDescent="0.25">
      <c r="K62" s="237"/>
      <c r="L62" s="238"/>
      <c r="V62" s="237"/>
      <c r="W62" s="238"/>
    </row>
    <row r="63" spans="11:33" x14ac:dyDescent="0.25">
      <c r="K63" s="237"/>
      <c r="L63" s="238"/>
      <c r="V63" s="237"/>
      <c r="W63" s="238"/>
    </row>
    <row r="64" spans="11:33" x14ac:dyDescent="0.25">
      <c r="K64" s="237"/>
      <c r="L64" s="238"/>
      <c r="V64" s="237"/>
      <c r="W64" s="238"/>
    </row>
    <row r="65" spans="11:23" x14ac:dyDescent="0.25">
      <c r="K65" s="237"/>
      <c r="L65" s="238"/>
      <c r="V65" s="237"/>
      <c r="W65" s="238"/>
    </row>
    <row r="66" spans="11:23" x14ac:dyDescent="0.25">
      <c r="K66" s="237"/>
      <c r="L66" s="238"/>
      <c r="V66" s="237"/>
      <c r="W66" s="238"/>
    </row>
  </sheetData>
  <conditionalFormatting sqref="J23:J28 D10 D13:D14">
    <cfRule type="cellIs" dxfId="158" priority="10" stopIfTrue="1" operator="equal">
      <formula>"ERROR"</formula>
    </cfRule>
    <cfRule type="cellIs" dxfId="157" priority="11" stopIfTrue="1" operator="equal">
      <formula>"OK"</formula>
    </cfRule>
    <cfRule type="cellIs" dxfId="156" priority="12" stopIfTrue="1" operator="equal">
      <formula>"WARNING"</formula>
    </cfRule>
  </conditionalFormatting>
  <conditionalFormatting sqref="U23:U39">
    <cfRule type="cellIs" dxfId="155" priority="13" stopIfTrue="1" operator="equal">
      <formula>"ERROR"</formula>
    </cfRule>
    <cfRule type="cellIs" dxfId="154" priority="14" stopIfTrue="1" operator="equal">
      <formula>"OK"</formula>
    </cfRule>
    <cfRule type="cellIs" dxfId="153" priority="15" stopIfTrue="1" operator="equal">
      <formula>"WARNING"</formula>
    </cfRule>
  </conditionalFormatting>
  <conditionalFormatting sqref="C6">
    <cfRule type="cellIs" dxfId="152" priority="7" stopIfTrue="1" operator="equal">
      <formula>"ERROR"</formula>
    </cfRule>
    <cfRule type="cellIs" dxfId="151" priority="8" stopIfTrue="1" operator="equal">
      <formula>"OK"</formula>
    </cfRule>
    <cfRule type="cellIs" dxfId="150" priority="9" stopIfTrue="1" operator="equal">
      <formula>"WARNING"</formula>
    </cfRule>
  </conditionalFormatting>
  <conditionalFormatting sqref="C21">
    <cfRule type="cellIs" dxfId="149" priority="4" stopIfTrue="1" operator="equal">
      <formula>"ERROR"</formula>
    </cfRule>
    <cfRule type="cellIs" dxfId="148" priority="5" stopIfTrue="1" operator="equal">
      <formula>"OK"</formula>
    </cfRule>
    <cfRule type="cellIs" dxfId="147" priority="6" stopIfTrue="1" operator="equal">
      <formula>"WARNING"</formula>
    </cfRule>
  </conditionalFormatting>
  <conditionalFormatting sqref="N21">
    <cfRule type="cellIs" dxfId="146" priority="1" stopIfTrue="1" operator="equal">
      <formula>"ERROR"</formula>
    </cfRule>
    <cfRule type="cellIs" dxfId="145" priority="2" stopIfTrue="1" operator="equal">
      <formula>"OK"</formula>
    </cfRule>
    <cfRule type="cellIs" dxfId="144" priority="3" stopIfTrue="1" operator="equal">
      <formula>"WARNING"</formula>
    </cfRule>
  </conditionalFormatting>
  <hyperlinks>
    <hyperlink ref="G44" r:id="rId1" xr:uid="{6E83939E-DE65-46DA-A531-F038BB9EC528}"/>
    <hyperlink ref="B1" location="Summary!A1" display="Summary!A1" xr:uid="{459312DD-6101-46DE-85A3-7ECDBFC6C9BD}"/>
  </hyperlinks>
  <pageMargins left="0.7" right="0.7" top="0.75" bottom="0.75" header="0.3" footer="0.3"/>
  <pageSetup paperSize="9"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sheetPr codeName="Sheet4">
    <tabColor theme="4" tint="-0.499984740745262"/>
  </sheetPr>
  <dimension ref="B1:M39"/>
  <sheetViews>
    <sheetView showGridLines="0" tabSelected="1" zoomScale="114" workbookViewId="0">
      <selection activeCell="F9" sqref="F9:H17"/>
    </sheetView>
  </sheetViews>
  <sheetFormatPr defaultRowHeight="15" x14ac:dyDescent="0.25"/>
  <cols>
    <col min="1" max="1" width="3.75" customWidth="1"/>
    <col min="2" max="2" width="15.5" customWidth="1"/>
    <col min="3" max="3" width="21.625" customWidth="1"/>
    <col min="4" max="4" width="15.875" customWidth="1"/>
    <col min="5" max="6" width="21" customWidth="1"/>
    <col min="7" max="7" width="15" customWidth="1"/>
    <col min="8" max="8" width="22.5" customWidth="1"/>
    <col min="9" max="9" width="21.5" customWidth="1"/>
    <col min="10" max="10" width="13.5" customWidth="1"/>
    <col min="11" max="11" width="17.875" customWidth="1"/>
    <col min="13" max="13" width="27.375" customWidth="1"/>
  </cols>
  <sheetData>
    <row r="1" spans="2:13" x14ac:dyDescent="0.25">
      <c r="B1" s="482" t="s">
        <v>432</v>
      </c>
    </row>
    <row r="2" spans="2:13" ht="26.25" x14ac:dyDescent="0.4">
      <c r="B2" s="2" t="s">
        <v>59</v>
      </c>
      <c r="C2" s="2"/>
      <c r="D2" s="2"/>
      <c r="E2" s="2"/>
      <c r="F2" s="2"/>
      <c r="G2" s="2"/>
      <c r="H2" s="2"/>
      <c r="I2" s="2"/>
      <c r="J2" s="2"/>
      <c r="K2" s="2"/>
    </row>
    <row r="4" spans="2:13" x14ac:dyDescent="0.25">
      <c r="B4" s="47" t="s">
        <v>50</v>
      </c>
      <c r="C4" s="47"/>
      <c r="D4" s="50" t="e" cm="1">
        <f t="array" ref="D4">_xll.d.Curve_SingleCurveBootstrap("ForecastingCurve",C9,B24:D29,B31:D34)</f>
        <v>#VALUE!</v>
      </c>
      <c r="E4" s="51"/>
    </row>
    <row r="5" spans="2:13" x14ac:dyDescent="0.25">
      <c r="B5" s="47" t="s">
        <v>51</v>
      </c>
      <c r="C5" s="47"/>
      <c r="D5" s="52" t="e" cm="1">
        <f t="array" ref="D5">_xll.d.Curve_SingleCurveBootstrap("DiscountingCurve",C9,B24:D29,B31:D34)</f>
        <v>#VALUE!</v>
      </c>
      <c r="E5" s="53"/>
    </row>
    <row r="7" spans="2:13" ht="18.75" x14ac:dyDescent="0.3">
      <c r="B7" s="58" t="s">
        <v>61</v>
      </c>
      <c r="C7" s="59"/>
      <c r="D7" s="64"/>
      <c r="E7" s="64"/>
      <c r="I7" s="3" t="s">
        <v>34</v>
      </c>
      <c r="J7" s="3"/>
      <c r="K7" s="3"/>
      <c r="L7" s="3"/>
      <c r="M7" s="3"/>
    </row>
    <row r="8" spans="2:13" x14ac:dyDescent="0.25">
      <c r="B8" s="60" t="s">
        <v>32</v>
      </c>
      <c r="C8" s="61" t="s">
        <v>33</v>
      </c>
      <c r="D8" s="64"/>
      <c r="E8" s="64"/>
    </row>
    <row r="9" spans="2:13" x14ac:dyDescent="0.25">
      <c r="B9" s="42" t="s">
        <v>31</v>
      </c>
      <c r="C9" s="46">
        <v>44713</v>
      </c>
      <c r="I9" s="23" t="s">
        <v>35</v>
      </c>
      <c r="J9" s="41" t="s">
        <v>42</v>
      </c>
      <c r="K9" s="41" t="s">
        <v>43</v>
      </c>
      <c r="L9" s="41" t="s">
        <v>44</v>
      </c>
      <c r="M9" s="41" t="s">
        <v>45</v>
      </c>
    </row>
    <row r="10" spans="2:13" x14ac:dyDescent="0.25">
      <c r="B10" s="42" t="s">
        <v>50</v>
      </c>
      <c r="C10" s="54" t="s">
        <v>52</v>
      </c>
      <c r="F10" s="9"/>
      <c r="G10" s="9"/>
      <c r="H10" s="9"/>
      <c r="I10" s="8">
        <f>C9</f>
        <v>44713</v>
      </c>
      <c r="J10">
        <v>1</v>
      </c>
      <c r="K10" s="48" t="e" cm="1">
        <f t="array" aca="1" ref="K10" ca="1">_xll.d.Curve_DF($D$4,I10)</f>
        <v>#NAME?</v>
      </c>
      <c r="L10" s="48" t="e">
        <f t="shared" ref="L10:L15" ca="1" si="0">J10-K10</f>
        <v>#NAME?</v>
      </c>
      <c r="M10" s="49" t="e">
        <f ca="1">L10/J10</f>
        <v>#NAME?</v>
      </c>
    </row>
    <row r="11" spans="2:13" x14ac:dyDescent="0.25">
      <c r="B11" s="42" t="s">
        <v>51</v>
      </c>
      <c r="C11" s="54" t="s">
        <v>48</v>
      </c>
      <c r="F11" s="9"/>
      <c r="G11" s="9"/>
      <c r="H11" s="9"/>
      <c r="I11" s="8">
        <f>EDATE(I10,1)</f>
        <v>44743</v>
      </c>
      <c r="J11">
        <f>EXP(-D26*YEARFRAC($C$9,I11,3))</f>
        <v>0.99181450701087914</v>
      </c>
      <c r="K11" s="48" t="e" cm="1">
        <f t="array" aca="1" ref="K11" ca="1">_xll.d.Curve_DF($D$4,I11)</f>
        <v>#NAME?</v>
      </c>
      <c r="L11" s="48" t="e">
        <f t="shared" ca="1" si="0"/>
        <v>#NAME?</v>
      </c>
      <c r="M11" s="49" t="e">
        <f t="shared" ref="M11:M12" ca="1" si="1">L11/J11</f>
        <v>#NAME?</v>
      </c>
    </row>
    <row r="12" spans="2:13" x14ac:dyDescent="0.25">
      <c r="B12" s="55" t="s">
        <v>54</v>
      </c>
      <c r="C12" s="54" t="s">
        <v>55</v>
      </c>
      <c r="F12" s="9"/>
      <c r="G12" s="9"/>
      <c r="H12" s="9"/>
      <c r="I12" s="8">
        <f>EDATE(I10,2)</f>
        <v>44774</v>
      </c>
      <c r="J12">
        <f>EXP(-D27*YEARFRAC($C$9,I12,3))</f>
        <v>0.98342654747456371</v>
      </c>
      <c r="K12" s="48" t="e" cm="1">
        <f t="array" aca="1" ref="K12" ca="1">_xll.d.Curve_DF($D$4,I12)</f>
        <v>#NAME?</v>
      </c>
      <c r="L12" s="48" t="e">
        <f t="shared" ca="1" si="0"/>
        <v>#NAME?</v>
      </c>
      <c r="M12" s="49" t="e">
        <f t="shared" ca="1" si="1"/>
        <v>#NAME?</v>
      </c>
    </row>
    <row r="13" spans="2:13" x14ac:dyDescent="0.25">
      <c r="F13" s="9"/>
      <c r="G13" s="9"/>
      <c r="H13" s="9"/>
      <c r="I13" s="8">
        <f>EDATE(I10,3)</f>
        <v>44805</v>
      </c>
      <c r="J13">
        <f>EXP(-D28*YEARFRAC($C$9,I13,3))</f>
        <v>0.97510952647028781</v>
      </c>
      <c r="K13" s="48" t="e" cm="1">
        <f t="array" aca="1" ref="K13" ca="1">_xll.d.Curve_DF($D$4,I13)</f>
        <v>#NAME?</v>
      </c>
      <c r="L13" s="48" t="e">
        <f t="shared" ca="1" si="0"/>
        <v>#NAME?</v>
      </c>
      <c r="M13" s="49" t="e">
        <f ca="1">L13/J13</f>
        <v>#NAME?</v>
      </c>
    </row>
    <row r="14" spans="2:13" x14ac:dyDescent="0.25">
      <c r="B14" s="58" t="s">
        <v>58</v>
      </c>
      <c r="C14" s="59"/>
      <c r="F14" s="9"/>
      <c r="G14" s="9"/>
      <c r="H14" s="9"/>
      <c r="I14" s="8">
        <f>EDATE(I10,6)</f>
        <v>44896</v>
      </c>
      <c r="J14">
        <f>EXP(-D29*YEARFRAC($C$9,I14,3))</f>
        <v>0.95109912802471741</v>
      </c>
      <c r="K14" s="48" t="e" cm="1">
        <f t="array" aca="1" ref="K14" ca="1">_xll.d.Curve_DF($D$4,I14)</f>
        <v>#NAME?</v>
      </c>
      <c r="L14" s="48" t="e">
        <f t="shared" ca="1" si="0"/>
        <v>#NAME?</v>
      </c>
      <c r="M14" s="49" t="e">
        <f ca="1">L14/J14</f>
        <v>#NAME?</v>
      </c>
    </row>
    <row r="15" spans="2:13" x14ac:dyDescent="0.25">
      <c r="B15" s="60" t="s">
        <v>32</v>
      </c>
      <c r="C15" s="61" t="s">
        <v>33</v>
      </c>
      <c r="G15" s="8"/>
      <c r="I15" s="8">
        <f>EDATE(I10,9)</f>
        <v>44986</v>
      </c>
      <c r="J15">
        <f>J14*EXP(-D33*YEARFRAC(I14,I15,3))</f>
        <v>0.92793413813861503</v>
      </c>
      <c r="K15" s="48" t="e" cm="1">
        <f t="array" aca="1" ref="K15" ca="1">_xll.d.Curve_DF($D$4,I15)</f>
        <v>#NAME?</v>
      </c>
      <c r="L15" s="48" t="e">
        <f t="shared" ca="1" si="0"/>
        <v>#NAME?</v>
      </c>
      <c r="M15" s="49" t="e">
        <f ca="1">L15/J15</f>
        <v>#NAME?</v>
      </c>
    </row>
    <row r="16" spans="2:13" x14ac:dyDescent="0.25">
      <c r="B16" s="42" t="s">
        <v>56</v>
      </c>
      <c r="C16" s="54" t="s">
        <v>52</v>
      </c>
    </row>
    <row r="17" spans="2:9" x14ac:dyDescent="0.25">
      <c r="B17" s="42" t="s">
        <v>36</v>
      </c>
      <c r="C17" s="54" t="s">
        <v>60</v>
      </c>
    </row>
    <row r="18" spans="2:9" x14ac:dyDescent="0.25">
      <c r="E18" s="42"/>
      <c r="F18" s="54"/>
      <c r="H18" s="46"/>
    </row>
    <row r="19" spans="2:9" x14ac:dyDescent="0.25">
      <c r="B19" s="58" t="s">
        <v>58</v>
      </c>
      <c r="C19" s="59"/>
      <c r="H19" s="46"/>
      <c r="I19" s="46"/>
    </row>
    <row r="20" spans="2:9" x14ac:dyDescent="0.25">
      <c r="B20" s="60" t="s">
        <v>32</v>
      </c>
      <c r="C20" s="61" t="s">
        <v>33</v>
      </c>
      <c r="H20" s="46"/>
      <c r="I20" s="46"/>
    </row>
    <row r="21" spans="2:9" x14ac:dyDescent="0.25">
      <c r="B21" s="42" t="s">
        <v>56</v>
      </c>
      <c r="C21" s="54" t="s">
        <v>48</v>
      </c>
      <c r="I21" s="46"/>
    </row>
    <row r="22" spans="2:9" x14ac:dyDescent="0.25">
      <c r="B22" s="42" t="s">
        <v>36</v>
      </c>
      <c r="C22" s="54" t="s">
        <v>49</v>
      </c>
      <c r="H22" s="42"/>
    </row>
    <row r="23" spans="2:9" x14ac:dyDescent="0.25">
      <c r="H23" s="42"/>
      <c r="I23" s="46"/>
    </row>
    <row r="24" spans="2:9" x14ac:dyDescent="0.25">
      <c r="B24" s="12" t="s">
        <v>23</v>
      </c>
      <c r="C24" s="27"/>
      <c r="D24" s="13"/>
      <c r="E24" s="13"/>
      <c r="F24" s="13"/>
      <c r="G24" s="13"/>
      <c r="I24" s="46"/>
    </row>
    <row r="25" spans="2:9" x14ac:dyDescent="0.25">
      <c r="B25" s="43" t="s">
        <v>39</v>
      </c>
      <c r="C25" s="44" t="s">
        <v>36</v>
      </c>
      <c r="D25" s="44" t="s">
        <v>40</v>
      </c>
      <c r="E25" s="63" t="s">
        <v>64</v>
      </c>
      <c r="F25" s="63" t="s">
        <v>65</v>
      </c>
      <c r="G25" s="45" t="s">
        <v>53</v>
      </c>
    </row>
    <row r="26" spans="2:9" x14ac:dyDescent="0.25">
      <c r="B26" s="42" t="s">
        <v>27</v>
      </c>
      <c r="C26" s="42" t="s">
        <v>37</v>
      </c>
      <c r="D26" s="42">
        <v>0.1</v>
      </c>
      <c r="E26" s="42" t="s">
        <v>52</v>
      </c>
      <c r="F26" s="42" t="s">
        <v>48</v>
      </c>
      <c r="G26" t="b">
        <v>1</v>
      </c>
    </row>
    <row r="27" spans="2:9" x14ac:dyDescent="0.25">
      <c r="B27" s="42" t="s">
        <v>28</v>
      </c>
      <c r="C27" s="42" t="s">
        <v>37</v>
      </c>
      <c r="D27" s="42">
        <v>0.1</v>
      </c>
      <c r="E27" s="42" t="s">
        <v>52</v>
      </c>
      <c r="F27" s="42" t="s">
        <v>48</v>
      </c>
      <c r="G27" t="b">
        <v>1</v>
      </c>
    </row>
    <row r="28" spans="2:9" x14ac:dyDescent="0.25">
      <c r="B28" s="42" t="s">
        <v>26</v>
      </c>
      <c r="C28" s="42" t="s">
        <v>37</v>
      </c>
      <c r="D28" s="42">
        <v>0.1</v>
      </c>
      <c r="E28" s="42" t="s">
        <v>52</v>
      </c>
      <c r="F28" s="42" t="s">
        <v>48</v>
      </c>
      <c r="G28" t="b">
        <v>1</v>
      </c>
    </row>
    <row r="29" spans="2:9" x14ac:dyDescent="0.25">
      <c r="B29" s="42" t="s">
        <v>29</v>
      </c>
      <c r="C29" s="42" t="s">
        <v>37</v>
      </c>
      <c r="D29" s="42">
        <v>0.1</v>
      </c>
      <c r="E29" s="42" t="s">
        <v>52</v>
      </c>
      <c r="F29" s="42" t="s">
        <v>48</v>
      </c>
      <c r="G29" t="b">
        <v>1</v>
      </c>
    </row>
    <row r="31" spans="2:9" x14ac:dyDescent="0.25">
      <c r="B31" s="12" t="s">
        <v>38</v>
      </c>
      <c r="C31" s="27"/>
      <c r="D31" s="13"/>
      <c r="E31" s="13"/>
      <c r="F31" s="13"/>
      <c r="G31" s="13"/>
    </row>
    <row r="32" spans="2:9" x14ac:dyDescent="0.25">
      <c r="B32" s="43" t="s">
        <v>39</v>
      </c>
      <c r="C32" s="44" t="s">
        <v>36</v>
      </c>
      <c r="D32" s="44" t="s">
        <v>40</v>
      </c>
      <c r="E32" s="63" t="s">
        <v>64</v>
      </c>
      <c r="F32" s="63" t="s">
        <v>65</v>
      </c>
      <c r="G32" s="45" t="s">
        <v>53</v>
      </c>
    </row>
    <row r="33" spans="2:7" x14ac:dyDescent="0.25">
      <c r="B33" s="42" t="s">
        <v>29</v>
      </c>
      <c r="C33" s="42" t="s">
        <v>37</v>
      </c>
      <c r="D33" s="42">
        <v>0.1</v>
      </c>
      <c r="E33" s="42" t="s">
        <v>52</v>
      </c>
      <c r="F33" s="42" t="s">
        <v>48</v>
      </c>
      <c r="G33" t="b">
        <v>1</v>
      </c>
    </row>
    <row r="34" spans="2:7" x14ac:dyDescent="0.25">
      <c r="B34" s="42" t="s">
        <v>30</v>
      </c>
      <c r="C34" s="42" t="s">
        <v>37</v>
      </c>
      <c r="D34" s="42">
        <v>0.1</v>
      </c>
      <c r="E34" s="42" t="s">
        <v>52</v>
      </c>
      <c r="F34" s="42" t="s">
        <v>48</v>
      </c>
      <c r="G34" t="b">
        <v>1</v>
      </c>
    </row>
    <row r="36" spans="2:7" x14ac:dyDescent="0.25">
      <c r="B36" s="12" t="s">
        <v>46</v>
      </c>
      <c r="C36" s="27"/>
      <c r="D36" s="13"/>
      <c r="E36" s="13"/>
      <c r="F36" s="13"/>
      <c r="G36" s="13"/>
    </row>
    <row r="37" spans="2:7" x14ac:dyDescent="0.25">
      <c r="B37" s="43" t="s">
        <v>24</v>
      </c>
      <c r="C37" s="44" t="s">
        <v>36</v>
      </c>
      <c r="D37" s="44" t="s">
        <v>25</v>
      </c>
      <c r="E37" s="63" t="s">
        <v>64</v>
      </c>
      <c r="F37" s="63" t="s">
        <v>65</v>
      </c>
      <c r="G37" s="45" t="s">
        <v>53</v>
      </c>
    </row>
    <row r="38" spans="2:7" x14ac:dyDescent="0.25">
      <c r="B38" s="42" t="s">
        <v>62</v>
      </c>
      <c r="C38" s="42" t="s">
        <v>37</v>
      </c>
      <c r="D38" s="42">
        <v>0.1</v>
      </c>
      <c r="E38" s="42" t="s">
        <v>52</v>
      </c>
      <c r="F38" s="42" t="s">
        <v>48</v>
      </c>
      <c r="G38" t="b">
        <v>1</v>
      </c>
    </row>
    <row r="39" spans="2:7" x14ac:dyDescent="0.25">
      <c r="B39" s="42" t="s">
        <v>63</v>
      </c>
      <c r="C39" s="42" t="s">
        <v>37</v>
      </c>
      <c r="D39" s="42">
        <v>0.1</v>
      </c>
      <c r="E39" s="42" t="s">
        <v>52</v>
      </c>
      <c r="F39" s="42" t="s">
        <v>48</v>
      </c>
      <c r="G39" t="b">
        <v>1</v>
      </c>
    </row>
  </sheetData>
  <hyperlinks>
    <hyperlink ref="B1" location="Summary!A1" display="Summary!A1" xr:uid="{02DA3F2F-A049-4BD4-9611-45E721E7A7CE}"/>
  </hyperlink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Sheet5">
    <tabColor theme="4" tint="-0.499984740745262"/>
  </sheetPr>
  <dimension ref="B1:J67"/>
  <sheetViews>
    <sheetView showGridLines="0" zoomScale="115" zoomScaleNormal="115" workbookViewId="0">
      <selection activeCell="B1" sqref="B1"/>
    </sheetView>
  </sheetViews>
  <sheetFormatPr defaultRowHeight="15" x14ac:dyDescent="0.2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1" spans="2:10" x14ac:dyDescent="0.25">
      <c r="B1" s="482" t="s">
        <v>432</v>
      </c>
    </row>
    <row r="2" spans="2:10" ht="26.25" x14ac:dyDescent="0.4">
      <c r="B2" s="2" t="s">
        <v>12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13</v>
      </c>
      <c r="C4" s="3"/>
      <c r="D4" s="3"/>
      <c r="E4" s="3"/>
      <c r="G4" s="3" t="s">
        <v>14</v>
      </c>
      <c r="H4" s="3"/>
      <c r="I4" s="3"/>
      <c r="J4" s="3"/>
    </row>
    <row r="6" spans="2:10" x14ac:dyDescent="0.25">
      <c r="B6" s="12" t="s">
        <v>3</v>
      </c>
      <c r="C6" s="25" t="str" cm="1">
        <f t="array" ref="C6">_xll.d.Curve_Create("CurveForHullWhite",,B9:B41,C9:C41)</f>
        <v>DayCountConvention not set in parameters.</v>
      </c>
      <c r="D6" s="25"/>
      <c r="E6" s="26"/>
      <c r="F6" s="9"/>
      <c r="G6" s="12" t="s">
        <v>18</v>
      </c>
      <c r="H6" s="27" t="s">
        <v>19</v>
      </c>
      <c r="I6" s="27" t="s">
        <v>20</v>
      </c>
      <c r="J6" s="13" t="s">
        <v>15</v>
      </c>
    </row>
    <row r="7" spans="2:10" x14ac:dyDescent="0.25">
      <c r="F7" s="9"/>
      <c r="G7" s="14">
        <v>7</v>
      </c>
      <c r="H7" s="28">
        <v>1</v>
      </c>
      <c r="I7" s="31">
        <v>0.36199999999999999</v>
      </c>
      <c r="J7" s="34" t="s">
        <v>16</v>
      </c>
    </row>
    <row r="8" spans="2:10" x14ac:dyDescent="0.25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16</v>
      </c>
    </row>
    <row r="9" spans="2:10" x14ac:dyDescent="0.25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16</v>
      </c>
    </row>
    <row r="10" spans="2:10" x14ac:dyDescent="0.25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16</v>
      </c>
    </row>
    <row r="11" spans="2:10" x14ac:dyDescent="0.25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16</v>
      </c>
    </row>
    <row r="12" spans="2:10" x14ac:dyDescent="0.25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16</v>
      </c>
    </row>
    <row r="13" spans="2:10" x14ac:dyDescent="0.25">
      <c r="B13" s="18">
        <v>44773</v>
      </c>
      <c r="C13" s="21">
        <v>0.99979600000000002</v>
      </c>
    </row>
    <row r="14" spans="2:10" x14ac:dyDescent="0.25">
      <c r="B14" s="18">
        <v>44802</v>
      </c>
      <c r="C14" s="21">
        <v>0.99965800000000005</v>
      </c>
    </row>
    <row r="15" spans="2:10" ht="18.75" x14ac:dyDescent="0.3">
      <c r="B15" s="18">
        <v>44830</v>
      </c>
      <c r="C15" s="21">
        <v>0.99958499999999995</v>
      </c>
      <c r="G15" s="3" t="s">
        <v>17</v>
      </c>
      <c r="H15" s="3"/>
      <c r="I15" s="3"/>
      <c r="J15" s="3"/>
    </row>
    <row r="16" spans="2:10" x14ac:dyDescent="0.25">
      <c r="B16" s="18">
        <v>44857</v>
      </c>
      <c r="C16" s="21">
        <v>0.999421</v>
      </c>
    </row>
    <row r="17" spans="2:9" x14ac:dyDescent="0.25">
      <c r="B17" s="18">
        <v>44887</v>
      </c>
      <c r="C17" s="21">
        <v>0.99924900000000005</v>
      </c>
      <c r="G17" s="12" t="s">
        <v>21</v>
      </c>
      <c r="H17" s="39" t="e" cm="1">
        <f t="array" ref="H17">_xll.d.HullWhite_Calibrate("HW",C6,G6:J12)</f>
        <v>#VALUE!</v>
      </c>
      <c r="I17" s="40"/>
    </row>
    <row r="18" spans="2:9" x14ac:dyDescent="0.25">
      <c r="B18" s="18">
        <v>44920</v>
      </c>
      <c r="C18" s="21">
        <v>0.99921499999999996</v>
      </c>
    </row>
    <row r="19" spans="2:9" x14ac:dyDescent="0.25">
      <c r="B19" s="18">
        <v>44949</v>
      </c>
      <c r="C19" s="21">
        <v>0.99906200000000001</v>
      </c>
    </row>
    <row r="20" spans="2:9" x14ac:dyDescent="0.25">
      <c r="B20" s="18">
        <v>44979</v>
      </c>
      <c r="C20" s="21">
        <v>0.99885800000000002</v>
      </c>
    </row>
    <row r="21" spans="2:9" x14ac:dyDescent="0.25">
      <c r="B21" s="18">
        <v>45012</v>
      </c>
      <c r="C21" s="21">
        <v>0.99878100000000003</v>
      </c>
      <c r="G21" s="37" t="e" cm="1">
        <f t="array" ref="G21">_xll.d.HullWhite_GetParameters(H17)</f>
        <v>#VALUE!</v>
      </c>
      <c r="H21" s="38"/>
    </row>
    <row r="22" spans="2:9" x14ac:dyDescent="0.25">
      <c r="B22" s="18">
        <v>45041</v>
      </c>
      <c r="C22" s="21">
        <v>0.99856400000000001</v>
      </c>
      <c r="G22" s="18"/>
      <c r="H22" s="21"/>
    </row>
    <row r="23" spans="2:9" x14ac:dyDescent="0.25">
      <c r="B23" s="18">
        <v>45071</v>
      </c>
      <c r="C23" s="21">
        <v>0.998309</v>
      </c>
      <c r="G23" s="19"/>
      <c r="H23" s="22"/>
    </row>
    <row r="24" spans="2:9" x14ac:dyDescent="0.25">
      <c r="B24" s="18">
        <v>45162</v>
      </c>
      <c r="C24" s="21">
        <v>0.99748499999999996</v>
      </c>
    </row>
    <row r="25" spans="2:9" x14ac:dyDescent="0.25">
      <c r="B25" s="18">
        <v>45252</v>
      </c>
      <c r="C25" s="21">
        <v>0.99626000000000003</v>
      </c>
    </row>
    <row r="26" spans="2:9" x14ac:dyDescent="0.25">
      <c r="B26" s="18">
        <v>45344</v>
      </c>
      <c r="C26" s="21">
        <v>0.99468800000000002</v>
      </c>
    </row>
    <row r="27" spans="2:9" x14ac:dyDescent="0.25">
      <c r="B27" s="18">
        <v>45438</v>
      </c>
      <c r="C27" s="21">
        <v>0.99261299999999997</v>
      </c>
    </row>
    <row r="28" spans="2:9" x14ac:dyDescent="0.25">
      <c r="B28" s="18">
        <v>45806</v>
      </c>
      <c r="C28" s="21">
        <v>0.98043999999999998</v>
      </c>
    </row>
    <row r="29" spans="2:9" x14ac:dyDescent="0.25">
      <c r="B29" s="18">
        <v>46173</v>
      </c>
      <c r="C29" s="21">
        <v>0.96520099999999998</v>
      </c>
    </row>
    <row r="30" spans="2:9" x14ac:dyDescent="0.25">
      <c r="B30" s="18">
        <v>46537</v>
      </c>
      <c r="C30" s="21">
        <v>0.94818400000000003</v>
      </c>
    </row>
    <row r="31" spans="2:9" x14ac:dyDescent="0.25">
      <c r="B31" s="18">
        <v>46901</v>
      </c>
      <c r="C31" s="21">
        <v>0.93045800000000001</v>
      </c>
    </row>
    <row r="32" spans="2:9" x14ac:dyDescent="0.25">
      <c r="B32" s="18">
        <v>47267</v>
      </c>
      <c r="C32" s="21">
        <v>0.91225999999999996</v>
      </c>
    </row>
    <row r="33" spans="2:3" x14ac:dyDescent="0.25">
      <c r="B33" s="18">
        <v>47632</v>
      </c>
      <c r="C33" s="21">
        <v>0.89427000000000001</v>
      </c>
    </row>
    <row r="34" spans="2:3" x14ac:dyDescent="0.25">
      <c r="B34" s="18">
        <v>47997</v>
      </c>
      <c r="C34" s="21">
        <v>0.87622500000000003</v>
      </c>
    </row>
    <row r="35" spans="2:3" x14ac:dyDescent="0.25">
      <c r="B35" s="18">
        <v>48364</v>
      </c>
      <c r="C35" s="21">
        <v>0.85857799999999995</v>
      </c>
    </row>
    <row r="36" spans="2:3" x14ac:dyDescent="0.25">
      <c r="B36" s="18">
        <v>49093</v>
      </c>
      <c r="C36" s="21">
        <v>0.82275399999999999</v>
      </c>
    </row>
    <row r="37" spans="2:3" x14ac:dyDescent="0.25">
      <c r="B37" s="18">
        <v>50191</v>
      </c>
      <c r="C37" s="21">
        <v>0.77304499999999998</v>
      </c>
    </row>
    <row r="38" spans="2:3" x14ac:dyDescent="0.25">
      <c r="B38" s="18">
        <v>52015</v>
      </c>
      <c r="C38" s="21">
        <v>0.69641399999999998</v>
      </c>
    </row>
    <row r="39" spans="2:3" x14ac:dyDescent="0.25">
      <c r="B39" s="18">
        <v>53841</v>
      </c>
      <c r="C39" s="21">
        <v>0.63234400000000002</v>
      </c>
    </row>
    <row r="40" spans="2:3" x14ac:dyDescent="0.25">
      <c r="B40" s="18">
        <v>55667</v>
      </c>
      <c r="C40" s="21">
        <v>0.57906999999999997</v>
      </c>
    </row>
    <row r="41" spans="2:3" x14ac:dyDescent="0.25">
      <c r="B41" s="19">
        <v>59320</v>
      </c>
      <c r="C41" s="22">
        <v>0.49973099999999998</v>
      </c>
    </row>
    <row r="42" spans="2:3" x14ac:dyDescent="0.25">
      <c r="B42" s="8"/>
    </row>
    <row r="55" spans="2:6" ht="18.75" x14ac:dyDescent="0.3">
      <c r="B55" s="3" t="s">
        <v>5</v>
      </c>
      <c r="C55" s="3"/>
    </row>
    <row r="57" spans="2:6" x14ac:dyDescent="0.25">
      <c r="B57" s="7" t="s">
        <v>10</v>
      </c>
      <c r="C57" s="7" t="s">
        <v>11</v>
      </c>
    </row>
    <row r="58" spans="2:6" x14ac:dyDescent="0.25">
      <c r="B58" t="s">
        <v>6</v>
      </c>
      <c r="C58" t="e" cm="1">
        <f t="array" aca="1" ref="C58" ca="1">_xll.d.And(F62:F64)</f>
        <v>#NAME?</v>
      </c>
    </row>
    <row r="60" spans="2:6" ht="15.75" x14ac:dyDescent="0.25">
      <c r="B60" s="4" t="s">
        <v>6</v>
      </c>
      <c r="C60" s="4"/>
    </row>
    <row r="62" spans="2:6" x14ac:dyDescent="0.25">
      <c r="B62" t="s">
        <v>8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 x14ac:dyDescent="0.25">
      <c r="B64" t="s">
        <v>9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 x14ac:dyDescent="0.25">
      <c r="B67" s="4" t="s">
        <v>7</v>
      </c>
      <c r="C67" s="4"/>
      <c r="E67" s="6"/>
    </row>
  </sheetData>
  <hyperlinks>
    <hyperlink ref="B1" location="Summary!A1" display="Summary!A1" xr:uid="{A28948D6-5280-4843-A6D7-8798C4FEC2A6}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E906-9771-47CD-8BBD-3388703C7176}">
  <sheetPr codeName="Sheet10">
    <tabColor theme="1"/>
  </sheetPr>
  <dimension ref="B2"/>
  <sheetViews>
    <sheetView showGridLines="0" workbookViewId="0"/>
  </sheetViews>
  <sheetFormatPr defaultRowHeight="15" x14ac:dyDescent="0.25"/>
  <cols>
    <col min="1" max="1" width="3.75" customWidth="1"/>
  </cols>
  <sheetData>
    <row r="2" spans="2:2" x14ac:dyDescent="0.25">
      <c r="B2" s="69" t="s">
        <v>124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7EE2-81C8-4690-964C-AF7D716B46FF}">
  <sheetPr codeName="Sheet11">
    <tabColor theme="4" tint="-0.499984740745262"/>
  </sheetPr>
  <dimension ref="B1:J34"/>
  <sheetViews>
    <sheetView showGridLines="0" zoomScale="115" zoomScaleNormal="115" workbookViewId="0">
      <selection activeCell="B1" sqref="B1"/>
    </sheetView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</cols>
  <sheetData>
    <row r="1" spans="2:10" x14ac:dyDescent="0.25">
      <c r="B1" s="482" t="s">
        <v>432</v>
      </c>
    </row>
    <row r="2" spans="2:10" ht="26.25" x14ac:dyDescent="0.4">
      <c r="B2" s="2" t="s">
        <v>46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166</v>
      </c>
      <c r="C4" s="3"/>
      <c r="D4" s="3"/>
      <c r="E4" s="3"/>
      <c r="F4" s="3"/>
      <c r="G4" s="3"/>
      <c r="H4" s="3"/>
      <c r="I4" s="3"/>
      <c r="J4" s="3"/>
    </row>
    <row r="6" spans="2:10" x14ac:dyDescent="0.25">
      <c r="B6" s="59" t="s">
        <v>166</v>
      </c>
      <c r="C6" s="180" t="str" cm="1">
        <f t="array" ref="C6">_xll.d.TestUtils_And(D10:D13)</f>
        <v>Error</v>
      </c>
    </row>
    <row r="8" spans="2:10" x14ac:dyDescent="0.25">
      <c r="B8" s="223" t="s">
        <v>10</v>
      </c>
      <c r="C8" s="223"/>
      <c r="D8" s="224" t="s">
        <v>11</v>
      </c>
    </row>
    <row r="9" spans="2:10" x14ac:dyDescent="0.25">
      <c r="B9" s="272" t="s">
        <v>220</v>
      </c>
      <c r="C9" s="273"/>
      <c r="D9" s="274"/>
    </row>
    <row r="10" spans="2:10" x14ac:dyDescent="0.25">
      <c r="B10" s="233" t="str">
        <f>B18</f>
        <v>Flat Curve, 3m JIBAR</v>
      </c>
      <c r="C10" s="271"/>
      <c r="D10" s="180" t="str">
        <f>C20</f>
        <v>Error</v>
      </c>
    </row>
    <row r="12" spans="2:10" x14ac:dyDescent="0.25">
      <c r="B12" s="272" t="s">
        <v>221</v>
      </c>
      <c r="C12" s="273"/>
      <c r="D12" s="274"/>
    </row>
    <row r="13" spans="2:10" x14ac:dyDescent="0.25">
      <c r="B13" s="233" t="e">
        <f>#REF!</f>
        <v>#REF!</v>
      </c>
      <c r="C13" s="271"/>
      <c r="D13" s="180" t="str">
        <f>C32</f>
        <v>ZAR</v>
      </c>
    </row>
    <row r="16" spans="2:10" ht="18.75" x14ac:dyDescent="0.3">
      <c r="B16" s="3" t="s">
        <v>228</v>
      </c>
      <c r="C16" s="3"/>
      <c r="D16" s="3"/>
      <c r="E16" s="3"/>
      <c r="F16" s="3"/>
      <c r="G16" s="3"/>
      <c r="H16" s="3"/>
      <c r="I16" s="3"/>
      <c r="J16" s="3"/>
    </row>
    <row r="18" spans="2:10" ht="15.75" x14ac:dyDescent="0.25">
      <c r="B18" s="4" t="s">
        <v>223</v>
      </c>
      <c r="C18" s="4"/>
      <c r="D18" s="4"/>
      <c r="E18" s="4"/>
      <c r="F18" s="4"/>
      <c r="G18" s="4"/>
      <c r="H18" s="4"/>
      <c r="I18" s="4"/>
      <c r="J18" s="4"/>
    </row>
    <row r="20" spans="2:10" x14ac:dyDescent="0.25">
      <c r="B20" s="59" t="s">
        <v>133</v>
      </c>
      <c r="C20" s="180" t="str" cm="1">
        <f t="array" ref="C20">_xll.d.TestUtils_And(J22:J27)</f>
        <v>Error</v>
      </c>
      <c r="G20" s="268" t="s">
        <v>219</v>
      </c>
      <c r="H20" s="269"/>
      <c r="I20" s="269"/>
      <c r="J20" s="270"/>
    </row>
    <row r="21" spans="2:10" x14ac:dyDescent="0.25">
      <c r="G21" s="74" t="s">
        <v>35</v>
      </c>
      <c r="H21" s="75" t="s">
        <v>42</v>
      </c>
      <c r="I21" s="75" t="s">
        <v>43</v>
      </c>
      <c r="J21" s="76" t="s">
        <v>88</v>
      </c>
    </row>
    <row r="22" spans="2:10" x14ac:dyDescent="0.25">
      <c r="G22" s="265">
        <f>C28</f>
        <v>44713</v>
      </c>
      <c r="H22" s="275">
        <v>1</v>
      </c>
      <c r="I22" s="275" t="e" cm="1">
        <f t="array" ref="I22">_xll.d.Curve_GetDiscountFactors($C$23,G22)</f>
        <v>#VALUE!</v>
      </c>
      <c r="J22" s="254" t="str" cm="1">
        <f t="array" ref="J22">_xll.d.TestUtils_Equal(H22,I22,0.00001)</f>
        <v>Error</v>
      </c>
    </row>
    <row r="23" spans="2:10" x14ac:dyDescent="0.25">
      <c r="B23" s="66" t="s">
        <v>233</v>
      </c>
      <c r="C23" s="301" t="s">
        <v>234</v>
      </c>
      <c r="D23" s="246"/>
      <c r="G23" s="266">
        <f>EDATE(G22,1)</f>
        <v>44743</v>
      </c>
      <c r="H23" s="276" t="e">
        <f>1/(1+YEARFRAC($G$22,G23,3)*#REF!)</f>
        <v>#REF!</v>
      </c>
      <c r="I23" s="276" t="e" cm="1">
        <f t="array" ref="I23">_xll.d.Curve_GetDiscountFactors($C$23,G23)</f>
        <v>#VALUE!</v>
      </c>
      <c r="J23" s="258" t="str" cm="1">
        <f t="array" ref="J23">_xll.d.TestUtils_Equal(H23,I23,0.00001)</f>
        <v>Error</v>
      </c>
    </row>
    <row r="24" spans="2:10" x14ac:dyDescent="0.25">
      <c r="G24" s="266">
        <f>EDATE(G22,2)</f>
        <v>44774</v>
      </c>
      <c r="H24" s="276" t="e">
        <f>1/(1+YEARFRAC($G$22,G24,3)*#REF!)</f>
        <v>#REF!</v>
      </c>
      <c r="I24" s="276" t="e" cm="1">
        <f t="array" ref="I24">_xll.d.Curve_GetDiscountFactors($C$23,G24)</f>
        <v>#VALUE!</v>
      </c>
      <c r="J24" s="258" t="str" cm="1">
        <f t="array" ref="J24">_xll.d.TestUtils_Equal(H24,I24,0.00001)</f>
        <v>Error</v>
      </c>
    </row>
    <row r="25" spans="2:10" x14ac:dyDescent="0.25">
      <c r="G25" s="266">
        <f>EDATE(G22,3)</f>
        <v>44805</v>
      </c>
      <c r="H25" s="276" t="e">
        <f>1/(1+YEARFRAC($G$22,G25,3)*#REF!)</f>
        <v>#REF!</v>
      </c>
      <c r="I25" s="276" t="e" cm="1">
        <f t="array" ref="I25">_xll.d.Curve_GetDiscountFactors($C$23,G25)</f>
        <v>#VALUE!</v>
      </c>
      <c r="J25" s="258" t="str" cm="1">
        <f t="array" ref="J25">_xll.d.TestUtils_Equal(H25,I25,0.00001)</f>
        <v>Error</v>
      </c>
    </row>
    <row r="26" spans="2:10" x14ac:dyDescent="0.25">
      <c r="B26" s="12" t="s">
        <v>229</v>
      </c>
      <c r="C26" s="13"/>
      <c r="G26" s="266">
        <f>EDATE(G22,6)</f>
        <v>44896</v>
      </c>
      <c r="H26" s="276" t="e">
        <f>H25*1/(1+YEARFRAC($G$25,G26,3)*#REF!)</f>
        <v>#REF!</v>
      </c>
      <c r="I26" s="276" t="e" cm="1">
        <f t="array" ref="I26">_xll.d.Curve_GetDiscountFactors($C$23,G26)</f>
        <v>#VALUE!</v>
      </c>
      <c r="J26" s="258" t="str" cm="1">
        <f t="array" ref="J26">_xll.d.TestUtils_Equal(H26,I26,0.00001)</f>
        <v>Error</v>
      </c>
    </row>
    <row r="27" spans="2:10" x14ac:dyDescent="0.25">
      <c r="B27" s="74" t="s">
        <v>32</v>
      </c>
      <c r="C27" s="76" t="s">
        <v>33</v>
      </c>
      <c r="G27" s="267">
        <f>EDATE(G22,9)</f>
        <v>44986</v>
      </c>
      <c r="H27" s="277" t="e">
        <f>H26*1/(1+#REF!*YEARFRAC(G26,G27,3))</f>
        <v>#REF!</v>
      </c>
      <c r="I27" s="277" t="e" cm="1">
        <f t="array" ref="I27">_xll.d.Curve_GetDiscountFactors($C$23,G27)</f>
        <v>#VALUE!</v>
      </c>
      <c r="J27" s="256" t="str" cm="1">
        <f t="array" ref="J27">_xll.d.TestUtils_Equal(H27,I27,0.00001)</f>
        <v>Error</v>
      </c>
    </row>
    <row r="28" spans="2:10" x14ac:dyDescent="0.25">
      <c r="B28" s="298" t="s">
        <v>230</v>
      </c>
      <c r="C28" s="257">
        <v>44713</v>
      </c>
      <c r="E28" s="62"/>
    </row>
    <row r="29" spans="2:10" x14ac:dyDescent="0.25">
      <c r="B29" s="299" t="s">
        <v>231</v>
      </c>
      <c r="C29" s="278">
        <f>C28+365</f>
        <v>45078</v>
      </c>
      <c r="E29" s="62"/>
    </row>
    <row r="30" spans="2:10" x14ac:dyDescent="0.25">
      <c r="B30" s="300" t="s">
        <v>232</v>
      </c>
      <c r="C30" s="302" t="s">
        <v>235</v>
      </c>
    </row>
    <row r="31" spans="2:10" x14ac:dyDescent="0.25">
      <c r="B31" s="303" t="s">
        <v>236</v>
      </c>
      <c r="C31">
        <v>1000000</v>
      </c>
    </row>
    <row r="32" spans="2:10" x14ac:dyDescent="0.25">
      <c r="B32" s="303" t="s">
        <v>238</v>
      </c>
      <c r="C32" t="s">
        <v>71</v>
      </c>
      <c r="D32" t="s">
        <v>239</v>
      </c>
    </row>
    <row r="33" spans="2:3" x14ac:dyDescent="0.25">
      <c r="B33" s="303" t="s">
        <v>240</v>
      </c>
    </row>
    <row r="34" spans="2:3" x14ac:dyDescent="0.25">
      <c r="B34" s="303" t="s">
        <v>237</v>
      </c>
      <c r="C34" t="s">
        <v>26</v>
      </c>
    </row>
  </sheetData>
  <conditionalFormatting sqref="J22:J27 D10 D13">
    <cfRule type="cellIs" dxfId="143" priority="7" stopIfTrue="1" operator="equal">
      <formula>"ERROR"</formula>
    </cfRule>
    <cfRule type="cellIs" dxfId="142" priority="8" stopIfTrue="1" operator="equal">
      <formula>"OK"</formula>
    </cfRule>
    <cfRule type="cellIs" dxfId="141" priority="9" stopIfTrue="1" operator="equal">
      <formula>"WARNING"</formula>
    </cfRule>
  </conditionalFormatting>
  <conditionalFormatting sqref="C6">
    <cfRule type="cellIs" dxfId="140" priority="4" stopIfTrue="1" operator="equal">
      <formula>"ERROR"</formula>
    </cfRule>
    <cfRule type="cellIs" dxfId="139" priority="5" stopIfTrue="1" operator="equal">
      <formula>"OK"</formula>
    </cfRule>
    <cfRule type="cellIs" dxfId="138" priority="6" stopIfTrue="1" operator="equal">
      <formula>"WARNING"</formula>
    </cfRule>
  </conditionalFormatting>
  <conditionalFormatting sqref="C20">
    <cfRule type="cellIs" dxfId="137" priority="1" stopIfTrue="1" operator="equal">
      <formula>"ERROR"</formula>
    </cfRule>
    <cfRule type="cellIs" dxfId="136" priority="2" stopIfTrue="1" operator="equal">
      <formula>"OK"</formula>
    </cfRule>
    <cfRule type="cellIs" dxfId="135" priority="3" stopIfTrue="1" operator="equal">
      <formula>"WARNING"</formula>
    </cfRule>
  </conditionalFormatting>
  <hyperlinks>
    <hyperlink ref="B1" location="Summary!A1" display="Summary!A1" xr:uid="{4EF68214-5CCA-4A2B-BBD9-F55DECB7F9F2}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Sheet6">
    <tabColor theme="1"/>
  </sheetPr>
  <dimension ref="B2"/>
  <sheetViews>
    <sheetView showGridLines="0" workbookViewId="0">
      <selection activeCell="B1" sqref="B1"/>
    </sheetView>
  </sheetViews>
  <sheetFormatPr defaultRowHeight="15" x14ac:dyDescent="0.25"/>
  <cols>
    <col min="1" max="1" width="3.75" customWidth="1"/>
  </cols>
  <sheetData>
    <row r="2" spans="2:2" x14ac:dyDescent="0.25">
      <c r="B2" s="69" t="s">
        <v>91</v>
      </c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Sheet9">
    <tabColor theme="4" tint="-0.499984740745262"/>
  </sheetPr>
  <dimension ref="B1:W236"/>
  <sheetViews>
    <sheetView showGridLines="0" workbookViewId="0">
      <selection activeCell="B1" sqref="B1"/>
    </sheetView>
  </sheetViews>
  <sheetFormatPr defaultRowHeight="15" x14ac:dyDescent="0.2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1" spans="2:23" x14ac:dyDescent="0.25">
      <c r="B1" s="482" t="s">
        <v>432</v>
      </c>
    </row>
    <row r="2" spans="2:23" ht="26.25" x14ac:dyDescent="0.4">
      <c r="B2" s="78" t="s">
        <v>182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 x14ac:dyDescent="0.25">
      <c r="B4" s="59" t="s">
        <v>166</v>
      </c>
      <c r="C4" s="180" t="str" cm="1">
        <f t="array" ref="C4">_xll.d.TestUtils_And(C7:C16)</f>
        <v>Ok</v>
      </c>
    </row>
    <row r="6" spans="2:23" x14ac:dyDescent="0.25">
      <c r="B6" s="223" t="s">
        <v>10</v>
      </c>
      <c r="C6" s="224" t="s">
        <v>11</v>
      </c>
    </row>
    <row r="7" spans="2:23" x14ac:dyDescent="0.25">
      <c r="B7" s="233" t="s">
        <v>114</v>
      </c>
      <c r="C7" s="180" t="str">
        <f>C21</f>
        <v>Ok</v>
      </c>
    </row>
    <row r="8" spans="2:23" x14ac:dyDescent="0.25">
      <c r="B8" s="233" t="s">
        <v>116</v>
      </c>
      <c r="C8" s="180" t="str">
        <f>C43</f>
        <v>Ok</v>
      </c>
    </row>
    <row r="9" spans="2:23" x14ac:dyDescent="0.25">
      <c r="B9" s="233" t="s">
        <v>117</v>
      </c>
      <c r="C9" s="180" t="str">
        <f>C65</f>
        <v>Ok</v>
      </c>
    </row>
    <row r="10" spans="2:23" x14ac:dyDescent="0.25">
      <c r="B10" s="233" t="s">
        <v>120</v>
      </c>
      <c r="C10" s="180" t="str">
        <f>C87</f>
        <v>Ok</v>
      </c>
    </row>
    <row r="11" spans="2:23" x14ac:dyDescent="0.25">
      <c r="B11" s="233" t="s">
        <v>125</v>
      </c>
      <c r="C11" s="180" t="str">
        <f>C109</f>
        <v>Ok</v>
      </c>
    </row>
    <row r="12" spans="2:23" x14ac:dyDescent="0.25">
      <c r="B12" s="233" t="s">
        <v>127</v>
      </c>
      <c r="C12" s="180" t="str">
        <f>C131</f>
        <v>Ok</v>
      </c>
    </row>
    <row r="13" spans="2:23" x14ac:dyDescent="0.25">
      <c r="B13" s="233" t="s">
        <v>169</v>
      </c>
      <c r="C13" s="180" t="str">
        <f>C153</f>
        <v>Ok</v>
      </c>
    </row>
    <row r="14" spans="2:23" x14ac:dyDescent="0.25">
      <c r="B14" s="233" t="s">
        <v>174</v>
      </c>
      <c r="C14" s="180" t="str">
        <f>C175</f>
        <v>Ok</v>
      </c>
    </row>
    <row r="15" spans="2:23" x14ac:dyDescent="0.25">
      <c r="B15" s="233" t="s">
        <v>179</v>
      </c>
      <c r="C15" s="180" t="str">
        <f>C197</f>
        <v>Ok</v>
      </c>
    </row>
    <row r="16" spans="2:23" x14ac:dyDescent="0.25">
      <c r="B16" s="233" t="s">
        <v>198</v>
      </c>
      <c r="C16" s="180" t="str">
        <f>C219</f>
        <v>Ok</v>
      </c>
    </row>
    <row r="17" spans="2:23" x14ac:dyDescent="0.25">
      <c r="B17" s="233"/>
    </row>
    <row r="19" spans="2:23" ht="18.75" x14ac:dyDescent="0.3">
      <c r="B19" s="3" t="s">
        <v>114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 x14ac:dyDescent="0.25">
      <c r="B21" s="59" t="s">
        <v>133</v>
      </c>
      <c r="C21" s="180" t="str" cm="1">
        <f t="array" ref="C21">_xll.d.TestUtils_And(C27,F27,K27,P27)</f>
        <v>Ok</v>
      </c>
    </row>
    <row r="23" spans="2:23" x14ac:dyDescent="0.25">
      <c r="B23" t="s">
        <v>189</v>
      </c>
    </row>
    <row r="25" spans="2:23" ht="15.75" x14ac:dyDescent="0.25">
      <c r="B25" s="4" t="s">
        <v>136</v>
      </c>
      <c r="C25" s="4"/>
      <c r="E25" s="4" t="s">
        <v>137</v>
      </c>
      <c r="F25" s="4"/>
      <c r="G25" s="4"/>
      <c r="H25" s="4"/>
      <c r="J25" s="4" t="s">
        <v>138</v>
      </c>
      <c r="K25" s="4"/>
      <c r="L25" s="4"/>
      <c r="M25" s="4"/>
      <c r="O25" s="4" t="s">
        <v>153</v>
      </c>
      <c r="P25" s="4"/>
      <c r="Q25" s="4"/>
      <c r="R25" s="4"/>
      <c r="S25" s="4"/>
      <c r="T25" s="4"/>
      <c r="U25" s="4"/>
      <c r="V25" s="4"/>
      <c r="W25" s="4"/>
    </row>
    <row r="27" spans="2:23" x14ac:dyDescent="0.25">
      <c r="B27" s="59" t="s">
        <v>133</v>
      </c>
      <c r="C27" s="180" t="str" cm="1">
        <f t="array" ref="C27">_xll.d.TestUtils_IsTrue(C32="OK")</f>
        <v>Ok</v>
      </c>
      <c r="E27" s="59" t="s">
        <v>133</v>
      </c>
      <c r="F27" s="180" t="str" cm="1">
        <f t="array" ref="F27">_xll.d.TestUtils_IsTrue(E35="OK")</f>
        <v>Ok</v>
      </c>
      <c r="J27" s="59" t="s">
        <v>133</v>
      </c>
      <c r="K27" s="180" t="str" cm="1">
        <f t="array" ref="K27">_xll.d.TestUtils_IsTrue(J32="OK")</f>
        <v>Ok</v>
      </c>
      <c r="O27" s="59" t="s">
        <v>133</v>
      </c>
      <c r="P27" s="180" t="str" cm="1">
        <f t="array" ref="P27">_xll.d.TestUtils_IsTrue(O32="OK")</f>
        <v>Ok</v>
      </c>
    </row>
    <row r="29" spans="2:23" x14ac:dyDescent="0.25">
      <c r="B29" s="197" t="s">
        <v>141</v>
      </c>
      <c r="C29" s="181" t="s">
        <v>183</v>
      </c>
      <c r="E29" s="197" t="s">
        <v>141</v>
      </c>
      <c r="F29" s="181" t="s">
        <v>183</v>
      </c>
      <c r="J29" s="197" t="s">
        <v>141</v>
      </c>
      <c r="K29" s="181" t="s">
        <v>183</v>
      </c>
      <c r="O29" s="197" t="s">
        <v>141</v>
      </c>
      <c r="P29" s="181" t="s">
        <v>183</v>
      </c>
    </row>
    <row r="30" spans="2:23" x14ac:dyDescent="0.25">
      <c r="B30" s="181"/>
    </row>
    <row r="31" spans="2:23" x14ac:dyDescent="0.25">
      <c r="B31" s="198" t="s">
        <v>139</v>
      </c>
      <c r="C31" s="198" t="s">
        <v>140</v>
      </c>
      <c r="E31" s="198" t="s">
        <v>139</v>
      </c>
      <c r="J31" s="198" t="s">
        <v>140</v>
      </c>
      <c r="O31" s="198" t="s">
        <v>140</v>
      </c>
    </row>
    <row r="32" spans="2:23" x14ac:dyDescent="0.25">
      <c r="B32" s="181" t="s">
        <v>135</v>
      </c>
      <c r="C32" s="181" t="str" cm="1">
        <f t="array" ref="C32">_xll.d.TestUtils_And(B32:B35)</f>
        <v>Ok</v>
      </c>
      <c r="E32" s="181" t="s">
        <v>135</v>
      </c>
      <c r="F32" s="181" t="s">
        <v>135</v>
      </c>
      <c r="G32" s="181" t="s">
        <v>135</v>
      </c>
      <c r="H32" s="181" t="s">
        <v>135</v>
      </c>
      <c r="J32" s="181" t="str" cm="1">
        <f t="array" ref="J32">_xll.d.TestUtils_And(J35:M38)</f>
        <v>Ok</v>
      </c>
      <c r="O32" s="181" t="str" cm="1">
        <f t="array" ref="O32">_xll.d.TestUtils_And(O35,O37:Q37,S35:S38,U35:W38)</f>
        <v>Ok</v>
      </c>
    </row>
    <row r="33" spans="2:23" x14ac:dyDescent="0.25">
      <c r="B33" s="181" t="s">
        <v>135</v>
      </c>
    </row>
    <row r="34" spans="2:23" x14ac:dyDescent="0.25">
      <c r="B34" s="181" t="s">
        <v>135</v>
      </c>
      <c r="E34" s="198" t="s">
        <v>140</v>
      </c>
      <c r="J34" s="70" t="s">
        <v>139</v>
      </c>
      <c r="O34" s="70" t="s">
        <v>139</v>
      </c>
    </row>
    <row r="35" spans="2:23" x14ac:dyDescent="0.25">
      <c r="B35" s="181" t="s">
        <v>135</v>
      </c>
      <c r="E35" s="181" t="str" cm="1">
        <f t="array" ref="E35">_xll.d.TestUtils_And(E32:H32)</f>
        <v>Ok</v>
      </c>
      <c r="J35" s="181" t="s">
        <v>135</v>
      </c>
      <c r="K35" s="181" t="s">
        <v>135</v>
      </c>
      <c r="L35" s="181" t="s">
        <v>135</v>
      </c>
      <c r="M35" s="181" t="s">
        <v>135</v>
      </c>
      <c r="O35" s="181" t="s">
        <v>135</v>
      </c>
      <c r="R35" s="181"/>
      <c r="S35" s="181" t="s">
        <v>135</v>
      </c>
      <c r="U35" s="181" t="s">
        <v>135</v>
      </c>
      <c r="V35" s="181" t="s">
        <v>135</v>
      </c>
      <c r="W35" s="181" t="s">
        <v>135</v>
      </c>
    </row>
    <row r="36" spans="2:23" x14ac:dyDescent="0.25">
      <c r="J36" s="181" t="s">
        <v>135</v>
      </c>
      <c r="K36" s="181" t="s">
        <v>135</v>
      </c>
      <c r="L36" s="181" t="s">
        <v>135</v>
      </c>
      <c r="M36" s="181" t="s">
        <v>135</v>
      </c>
      <c r="S36" s="181" t="s">
        <v>135</v>
      </c>
      <c r="U36" s="181" t="s">
        <v>135</v>
      </c>
      <c r="V36" s="181" t="s">
        <v>135</v>
      </c>
      <c r="W36" s="181" t="s">
        <v>135</v>
      </c>
    </row>
    <row r="37" spans="2:23" x14ac:dyDescent="0.25">
      <c r="J37" s="181" t="s">
        <v>135</v>
      </c>
      <c r="K37" s="181" t="s">
        <v>135</v>
      </c>
      <c r="L37" s="181" t="s">
        <v>135</v>
      </c>
      <c r="M37" s="181" t="s">
        <v>135</v>
      </c>
      <c r="O37" s="181" t="s">
        <v>135</v>
      </c>
      <c r="P37" s="181" t="s">
        <v>135</v>
      </c>
      <c r="Q37" s="181" t="s">
        <v>135</v>
      </c>
      <c r="S37" s="181" t="s">
        <v>135</v>
      </c>
      <c r="U37" s="181" t="s">
        <v>135</v>
      </c>
      <c r="V37" s="181" t="s">
        <v>135</v>
      </c>
      <c r="W37" s="181" t="s">
        <v>135</v>
      </c>
    </row>
    <row r="38" spans="2:23" x14ac:dyDescent="0.25">
      <c r="C38" s="180"/>
      <c r="J38" s="181" t="s">
        <v>135</v>
      </c>
      <c r="K38" s="181" t="s">
        <v>135</v>
      </c>
      <c r="L38" s="181" t="s">
        <v>135</v>
      </c>
      <c r="M38" s="181" t="s">
        <v>135</v>
      </c>
      <c r="S38" s="181" t="s">
        <v>135</v>
      </c>
      <c r="U38" s="181" t="s">
        <v>135</v>
      </c>
      <c r="V38" s="181" t="s">
        <v>135</v>
      </c>
      <c r="W38" s="181" t="s">
        <v>135</v>
      </c>
    </row>
    <row r="39" spans="2:23" x14ac:dyDescent="0.25">
      <c r="C39" s="180"/>
    </row>
    <row r="41" spans="2:23" ht="18.75" x14ac:dyDescent="0.3">
      <c r="B41" s="3" t="s">
        <v>116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 x14ac:dyDescent="0.25">
      <c r="B43" s="59" t="s">
        <v>133</v>
      </c>
      <c r="C43" s="180" t="str" cm="1">
        <f t="array" ref="C43">_xll.d.TestUtils_And(C49,F49,K49,P49)</f>
        <v>Ok</v>
      </c>
    </row>
    <row r="45" spans="2:23" x14ac:dyDescent="0.25">
      <c r="B45" t="s">
        <v>190</v>
      </c>
    </row>
    <row r="47" spans="2:23" ht="15.75" x14ac:dyDescent="0.25">
      <c r="B47" s="4" t="s">
        <v>142</v>
      </c>
      <c r="C47" s="4"/>
      <c r="E47" s="4" t="s">
        <v>143</v>
      </c>
      <c r="F47" s="4"/>
      <c r="G47" s="4"/>
      <c r="H47" s="4"/>
      <c r="J47" s="4" t="s">
        <v>144</v>
      </c>
      <c r="K47" s="4"/>
      <c r="L47" s="4"/>
      <c r="M47" s="4"/>
      <c r="O47" s="4" t="s">
        <v>154</v>
      </c>
      <c r="P47" s="4"/>
      <c r="Q47" s="4"/>
      <c r="R47" s="4"/>
      <c r="S47" s="4"/>
      <c r="T47" s="4"/>
      <c r="U47" s="4"/>
      <c r="V47" s="4"/>
      <c r="W47" s="4"/>
    </row>
    <row r="49" spans="2:23" x14ac:dyDescent="0.25">
      <c r="B49" s="59" t="s">
        <v>133</v>
      </c>
      <c r="C49" s="180" t="str" cm="1">
        <f t="array" ref="C49">_xll.d.TestUtils_IsTrue(C54="ERROR")</f>
        <v>Ok</v>
      </c>
      <c r="E49" s="59" t="s">
        <v>133</v>
      </c>
      <c r="F49" s="180" t="str" cm="1">
        <f t="array" ref="F49">_xll.d.TestUtils_IsTrue(E54="ERROR")</f>
        <v>Ok</v>
      </c>
      <c r="J49" s="59" t="s">
        <v>133</v>
      </c>
      <c r="K49" s="180" t="str" cm="1">
        <f t="array" ref="K49">_xll.d.TestUtils_IsTrue(J54="ERROR")</f>
        <v>Ok</v>
      </c>
      <c r="O49" s="59" t="s">
        <v>133</v>
      </c>
      <c r="P49" s="180" t="str" cm="1">
        <f t="array" ref="P49">_xll.d.TestUtils_IsTrue(O54="ERROR")</f>
        <v>Ok</v>
      </c>
    </row>
    <row r="51" spans="2:23" x14ac:dyDescent="0.25">
      <c r="B51" s="197" t="s">
        <v>141</v>
      </c>
      <c r="C51" s="181" t="s">
        <v>183</v>
      </c>
      <c r="E51" s="197" t="s">
        <v>141</v>
      </c>
      <c r="F51" s="181" t="s">
        <v>183</v>
      </c>
      <c r="J51" s="197" t="s">
        <v>141</v>
      </c>
      <c r="K51" s="181" t="s">
        <v>183</v>
      </c>
      <c r="O51" s="197" t="s">
        <v>141</v>
      </c>
      <c r="P51" s="181" t="s">
        <v>183</v>
      </c>
    </row>
    <row r="52" spans="2:23" x14ac:dyDescent="0.25">
      <c r="B52" s="181"/>
    </row>
    <row r="53" spans="2:23" x14ac:dyDescent="0.25">
      <c r="B53" s="198" t="s">
        <v>139</v>
      </c>
      <c r="C53" s="198" t="s">
        <v>140</v>
      </c>
      <c r="E53" s="198" t="s">
        <v>140</v>
      </c>
      <c r="J53" s="198" t="s">
        <v>140</v>
      </c>
      <c r="O53" s="198" t="s">
        <v>140</v>
      </c>
    </row>
    <row r="54" spans="2:23" x14ac:dyDescent="0.25">
      <c r="B54" s="181" t="s">
        <v>135</v>
      </c>
      <c r="C54" s="181" t="str" cm="1">
        <f t="array" ref="C54">_xll.d.TestUtils_And(B54:B57)</f>
        <v>Error</v>
      </c>
      <c r="E54" s="181" t="str" cm="1">
        <f t="array" ref="E54">_xll.d.TestUtils_And(E57:H57)</f>
        <v>Error</v>
      </c>
      <c r="J54" s="181" t="str" cm="1">
        <f t="array" ref="J54">_xll.d.TestUtils_And(J57:M60)</f>
        <v>Error</v>
      </c>
      <c r="O54" s="181" t="str" cm="1">
        <f t="array" ref="O54">_xll.d.TestUtils_And(O57,O59:Q59,S57:S60,U57:W60)</f>
        <v>Error</v>
      </c>
    </row>
    <row r="55" spans="2:23" x14ac:dyDescent="0.25">
      <c r="B55" s="181" t="s">
        <v>135</v>
      </c>
    </row>
    <row r="56" spans="2:23" x14ac:dyDescent="0.25">
      <c r="B56" s="181" t="s">
        <v>145</v>
      </c>
      <c r="E56" s="198" t="s">
        <v>139</v>
      </c>
      <c r="J56" s="70" t="s">
        <v>139</v>
      </c>
      <c r="O56" s="70" t="s">
        <v>139</v>
      </c>
    </row>
    <row r="57" spans="2:23" x14ac:dyDescent="0.25">
      <c r="B57" s="181" t="s">
        <v>135</v>
      </c>
      <c r="E57" s="181" t="s">
        <v>135</v>
      </c>
      <c r="F57" s="181" t="s">
        <v>145</v>
      </c>
      <c r="G57" s="181" t="s">
        <v>135</v>
      </c>
      <c r="H57" s="181" t="s">
        <v>135</v>
      </c>
      <c r="J57" s="181" t="s">
        <v>135</v>
      </c>
      <c r="K57" s="181" t="s">
        <v>135</v>
      </c>
      <c r="L57" s="181" t="s">
        <v>135</v>
      </c>
      <c r="M57" s="181" t="s">
        <v>135</v>
      </c>
      <c r="O57" s="181" t="s">
        <v>135</v>
      </c>
      <c r="R57" s="181"/>
      <c r="S57" s="181" t="s">
        <v>135</v>
      </c>
      <c r="U57" s="181" t="s">
        <v>135</v>
      </c>
      <c r="V57" s="181" t="s">
        <v>135</v>
      </c>
      <c r="W57" s="181" t="s">
        <v>135</v>
      </c>
    </row>
    <row r="58" spans="2:23" x14ac:dyDescent="0.25">
      <c r="J58" s="181" t="s">
        <v>135</v>
      </c>
      <c r="K58" s="181" t="s">
        <v>135</v>
      </c>
      <c r="L58" s="181" t="s">
        <v>135</v>
      </c>
      <c r="M58" s="181" t="s">
        <v>135</v>
      </c>
      <c r="S58" s="181" t="s">
        <v>135</v>
      </c>
      <c r="U58" s="181" t="s">
        <v>135</v>
      </c>
      <c r="V58" s="181" t="s">
        <v>135</v>
      </c>
      <c r="W58" s="181" t="s">
        <v>135</v>
      </c>
    </row>
    <row r="59" spans="2:23" x14ac:dyDescent="0.25">
      <c r="J59" s="181" t="s">
        <v>135</v>
      </c>
      <c r="K59" s="181" t="s">
        <v>135</v>
      </c>
      <c r="L59" s="181" t="s">
        <v>145</v>
      </c>
      <c r="M59" s="181" t="s">
        <v>135</v>
      </c>
      <c r="O59" s="181" t="s">
        <v>135</v>
      </c>
      <c r="P59" s="181" t="s">
        <v>145</v>
      </c>
      <c r="Q59" s="181" t="s">
        <v>135</v>
      </c>
      <c r="S59" s="181" t="s">
        <v>135</v>
      </c>
      <c r="U59" s="181" t="s">
        <v>135</v>
      </c>
      <c r="V59" s="181" t="s">
        <v>135</v>
      </c>
      <c r="W59" s="181" t="s">
        <v>135</v>
      </c>
    </row>
    <row r="60" spans="2:23" x14ac:dyDescent="0.25">
      <c r="C60" s="180"/>
      <c r="J60" s="181" t="s">
        <v>135</v>
      </c>
      <c r="K60" s="181" t="s">
        <v>135</v>
      </c>
      <c r="L60" s="181" t="s">
        <v>135</v>
      </c>
      <c r="M60" s="181" t="s">
        <v>135</v>
      </c>
      <c r="S60" s="181" t="s">
        <v>135</v>
      </c>
      <c r="U60" s="181" t="s">
        <v>135</v>
      </c>
      <c r="V60" s="181" t="s">
        <v>135</v>
      </c>
      <c r="W60" s="181" t="s">
        <v>135</v>
      </c>
    </row>
    <row r="63" spans="2:23" ht="18.75" x14ac:dyDescent="0.3">
      <c r="B63" s="3" t="s">
        <v>117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 x14ac:dyDescent="0.25">
      <c r="B65" s="59" t="s">
        <v>133</v>
      </c>
      <c r="C65" s="180" t="str" cm="1">
        <f t="array" ref="C65">_xll.d.TestUtils_And(C71,F71,K71,P71)</f>
        <v>Ok</v>
      </c>
    </row>
    <row r="67" spans="2:23" x14ac:dyDescent="0.25">
      <c r="B67" t="s">
        <v>191</v>
      </c>
    </row>
    <row r="69" spans="2:23" s="64" customFormat="1" ht="15.75" x14ac:dyDescent="0.25">
      <c r="B69" s="4" t="s">
        <v>146</v>
      </c>
      <c r="C69" s="4"/>
      <c r="E69" s="4" t="s">
        <v>147</v>
      </c>
      <c r="F69" s="4"/>
      <c r="G69" s="4"/>
      <c r="H69" s="4"/>
      <c r="J69" s="4" t="s">
        <v>148</v>
      </c>
      <c r="K69" s="4"/>
      <c r="L69" s="4"/>
      <c r="M69" s="4"/>
      <c r="O69" s="4" t="s">
        <v>155</v>
      </c>
      <c r="P69" s="4"/>
      <c r="Q69" s="4"/>
      <c r="R69" s="4"/>
      <c r="S69" s="4"/>
      <c r="T69" s="4"/>
      <c r="U69" s="4"/>
      <c r="V69" s="4"/>
      <c r="W69" s="4"/>
    </row>
    <row r="71" spans="2:23" x14ac:dyDescent="0.25">
      <c r="B71" s="59" t="s">
        <v>133</v>
      </c>
      <c r="C71" s="180" t="str" cm="1">
        <f t="array" ref="C71">_xll.d.TestUtils_IsTrue(C76="WARNING")</f>
        <v>Ok</v>
      </c>
      <c r="E71" s="59" t="s">
        <v>133</v>
      </c>
      <c r="F71" s="180" t="str" cm="1">
        <f t="array" ref="F71">_xll.d.TestUtils_IsTrue(E76="WARNING")</f>
        <v>Ok</v>
      </c>
      <c r="J71" s="59" t="s">
        <v>133</v>
      </c>
      <c r="K71" s="180" t="str" cm="1">
        <f t="array" ref="K71">_xll.d.TestUtils_IsTrue(J76="WARNING")</f>
        <v>Ok</v>
      </c>
      <c r="O71" s="59" t="s">
        <v>133</v>
      </c>
      <c r="P71" s="180" t="str" cm="1">
        <f t="array" ref="P71">_xll.d.TestUtils_IsTrue(O76="WARNING")</f>
        <v>Ok</v>
      </c>
    </row>
    <row r="73" spans="2:23" x14ac:dyDescent="0.25">
      <c r="B73" s="197" t="s">
        <v>141</v>
      </c>
      <c r="C73" s="181" t="s">
        <v>183</v>
      </c>
      <c r="E73" s="197" t="s">
        <v>141</v>
      </c>
      <c r="F73" s="181" t="s">
        <v>183</v>
      </c>
      <c r="J73" s="197" t="s">
        <v>141</v>
      </c>
      <c r="K73" s="181" t="s">
        <v>183</v>
      </c>
      <c r="O73" s="197" t="s">
        <v>141</v>
      </c>
      <c r="P73" s="181" t="s">
        <v>183</v>
      </c>
    </row>
    <row r="74" spans="2:23" x14ac:dyDescent="0.25">
      <c r="B74" s="181"/>
    </row>
    <row r="75" spans="2:23" x14ac:dyDescent="0.25">
      <c r="B75" s="198" t="s">
        <v>139</v>
      </c>
      <c r="C75" s="198" t="s">
        <v>140</v>
      </c>
      <c r="E75" s="198" t="s">
        <v>140</v>
      </c>
      <c r="J75" s="198" t="s">
        <v>140</v>
      </c>
      <c r="O75" s="198" t="s">
        <v>140</v>
      </c>
    </row>
    <row r="76" spans="2:23" x14ac:dyDescent="0.25">
      <c r="B76" s="181" t="s">
        <v>135</v>
      </c>
      <c r="C76" s="181" t="str" cm="1">
        <f t="array" ref="C76">_xll.d.TestUtils_And(B76:B79)</f>
        <v>Warning</v>
      </c>
      <c r="E76" s="181" t="str" cm="1">
        <f t="array" ref="E76">_xll.d.TestUtils_And(E79:H79)</f>
        <v>Warning</v>
      </c>
      <c r="J76" s="181" t="str" cm="1">
        <f t="array" ref="J76">_xll.d.TestUtils_And(J79:M82)</f>
        <v>Warning</v>
      </c>
      <c r="O76" s="181" t="str" cm="1">
        <f t="array" ref="O76">_xll.d.TestUtils_And(O79,O81:Q81,S79:S82,U79:W82)</f>
        <v>Warning</v>
      </c>
    </row>
    <row r="77" spans="2:23" x14ac:dyDescent="0.25">
      <c r="B77" s="181" t="s">
        <v>135</v>
      </c>
    </row>
    <row r="78" spans="2:23" x14ac:dyDescent="0.25">
      <c r="B78" s="181" t="s">
        <v>149</v>
      </c>
      <c r="E78" s="198" t="s">
        <v>139</v>
      </c>
      <c r="J78" s="70" t="s">
        <v>139</v>
      </c>
      <c r="O78" s="70" t="s">
        <v>139</v>
      </c>
    </row>
    <row r="79" spans="2:23" x14ac:dyDescent="0.25">
      <c r="B79" s="181" t="s">
        <v>135</v>
      </c>
      <c r="E79" s="181" t="s">
        <v>135</v>
      </c>
      <c r="F79" s="181" t="s">
        <v>149</v>
      </c>
      <c r="G79" s="181" t="s">
        <v>135</v>
      </c>
      <c r="H79" s="181" t="s">
        <v>135</v>
      </c>
      <c r="J79" s="181" t="s">
        <v>135</v>
      </c>
      <c r="K79" s="181" t="s">
        <v>135</v>
      </c>
      <c r="L79" s="181" t="s">
        <v>135</v>
      </c>
      <c r="M79" s="181" t="s">
        <v>135</v>
      </c>
      <c r="O79" s="181" t="s">
        <v>135</v>
      </c>
      <c r="R79" s="181"/>
      <c r="S79" s="181" t="s">
        <v>135</v>
      </c>
      <c r="U79" s="181" t="s">
        <v>135</v>
      </c>
      <c r="V79" s="181" t="s">
        <v>135</v>
      </c>
      <c r="W79" s="181" t="s">
        <v>135</v>
      </c>
    </row>
    <row r="80" spans="2:23" x14ac:dyDescent="0.25">
      <c r="J80" s="181" t="s">
        <v>135</v>
      </c>
      <c r="K80" s="181" t="s">
        <v>135</v>
      </c>
      <c r="L80" s="181" t="s">
        <v>135</v>
      </c>
      <c r="M80" s="181" t="s">
        <v>135</v>
      </c>
      <c r="S80" s="181" t="s">
        <v>135</v>
      </c>
      <c r="U80" s="181" t="s">
        <v>135</v>
      </c>
      <c r="V80" s="181" t="s">
        <v>135</v>
      </c>
      <c r="W80" s="181" t="s">
        <v>135</v>
      </c>
    </row>
    <row r="81" spans="2:23" x14ac:dyDescent="0.25">
      <c r="J81" s="181" t="s">
        <v>135</v>
      </c>
      <c r="K81" s="181" t="s">
        <v>135</v>
      </c>
      <c r="L81" s="181" t="s">
        <v>149</v>
      </c>
      <c r="M81" s="181" t="s">
        <v>135</v>
      </c>
      <c r="O81" s="181" t="s">
        <v>135</v>
      </c>
      <c r="P81" s="181" t="s">
        <v>149</v>
      </c>
      <c r="Q81" s="181" t="s">
        <v>135</v>
      </c>
      <c r="S81" s="181" t="s">
        <v>135</v>
      </c>
      <c r="U81" s="181" t="s">
        <v>135</v>
      </c>
      <c r="V81" s="181" t="s">
        <v>135</v>
      </c>
      <c r="W81" s="181" t="s">
        <v>135</v>
      </c>
    </row>
    <row r="82" spans="2:23" x14ac:dyDescent="0.25">
      <c r="C82" s="180"/>
      <c r="J82" s="181" t="s">
        <v>135</v>
      </c>
      <c r="K82" s="181" t="s">
        <v>135</v>
      </c>
      <c r="L82" s="181" t="s">
        <v>135</v>
      </c>
      <c r="M82" s="181" t="s">
        <v>135</v>
      </c>
      <c r="S82" s="181" t="s">
        <v>135</v>
      </c>
      <c r="U82" s="181" t="s">
        <v>135</v>
      </c>
      <c r="V82" s="181" t="s">
        <v>135</v>
      </c>
      <c r="W82" s="181" t="s">
        <v>135</v>
      </c>
    </row>
    <row r="85" spans="2:23" ht="18.75" x14ac:dyDescent="0.3">
      <c r="B85" s="3" t="s">
        <v>120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 x14ac:dyDescent="0.25">
      <c r="B87" s="59" t="s">
        <v>133</v>
      </c>
      <c r="C87" s="180" t="str" cm="1">
        <f t="array" ref="C87">_xll.d.TestUtils_And(C93,F93,K93,P93)</f>
        <v>Ok</v>
      </c>
    </row>
    <row r="89" spans="2:23" x14ac:dyDescent="0.25">
      <c r="B89" t="s">
        <v>192</v>
      </c>
    </row>
    <row r="91" spans="2:23" ht="15.75" x14ac:dyDescent="0.25">
      <c r="B91" s="4" t="s">
        <v>150</v>
      </c>
      <c r="C91" s="4"/>
      <c r="E91" s="4" t="s">
        <v>151</v>
      </c>
      <c r="F91" s="4"/>
      <c r="G91" s="4"/>
      <c r="H91" s="4"/>
      <c r="J91" s="4" t="s">
        <v>152</v>
      </c>
      <c r="K91" s="4"/>
      <c r="L91" s="4"/>
      <c r="M91" s="4"/>
      <c r="O91" s="4" t="s">
        <v>156</v>
      </c>
      <c r="P91" s="4"/>
      <c r="Q91" s="4"/>
      <c r="R91" s="4"/>
      <c r="S91" s="4"/>
      <c r="T91" s="4"/>
      <c r="U91" s="4"/>
      <c r="V91" s="4"/>
      <c r="W91" s="4"/>
    </row>
    <row r="93" spans="2:23" x14ac:dyDescent="0.25">
      <c r="B93" s="59" t="s">
        <v>133</v>
      </c>
      <c r="C93" s="180" t="str" cm="1">
        <f t="array" ref="C93">_xll.d.TestUtils_IsTrue(C98="ERROR")</f>
        <v>Ok</v>
      </c>
      <c r="E93" s="59" t="s">
        <v>133</v>
      </c>
      <c r="F93" s="180" t="str" cm="1">
        <f t="array" ref="F93">_xll.d.TestUtils_IsTrue(E98="ERROR")</f>
        <v>Ok</v>
      </c>
      <c r="J93" s="59" t="s">
        <v>133</v>
      </c>
      <c r="K93" s="180" t="str" cm="1">
        <f t="array" ref="K93">_xll.d.TestUtils_IsTrue(J98="ERROR")</f>
        <v>Ok</v>
      </c>
      <c r="O93" s="59" t="s">
        <v>133</v>
      </c>
      <c r="P93" s="180" t="str" cm="1">
        <f t="array" ref="P93">_xll.d.TestUtils_IsTrue(O98="ERROR")</f>
        <v>Ok</v>
      </c>
    </row>
    <row r="95" spans="2:23" x14ac:dyDescent="0.25">
      <c r="B95" s="197" t="s">
        <v>141</v>
      </c>
      <c r="C95" s="181" t="s">
        <v>183</v>
      </c>
      <c r="E95" s="197" t="s">
        <v>141</v>
      </c>
      <c r="F95" s="181" t="s">
        <v>183</v>
      </c>
      <c r="J95" s="197" t="s">
        <v>141</v>
      </c>
      <c r="K95" s="181" t="s">
        <v>183</v>
      </c>
      <c r="O95" s="197" t="s">
        <v>141</v>
      </c>
      <c r="P95" s="181" t="s">
        <v>183</v>
      </c>
    </row>
    <row r="96" spans="2:23" x14ac:dyDescent="0.25">
      <c r="B96" s="181"/>
    </row>
    <row r="97" spans="2:23" x14ac:dyDescent="0.25">
      <c r="B97" s="198" t="s">
        <v>139</v>
      </c>
      <c r="C97" s="198" t="s">
        <v>140</v>
      </c>
      <c r="E97" s="198" t="s">
        <v>140</v>
      </c>
      <c r="J97" s="198" t="s">
        <v>140</v>
      </c>
      <c r="O97" s="198" t="s">
        <v>140</v>
      </c>
    </row>
    <row r="98" spans="2:23" x14ac:dyDescent="0.25">
      <c r="B98" s="181" t="s">
        <v>135</v>
      </c>
      <c r="C98" s="181" t="str" cm="1">
        <f t="array" ref="C98">_xll.d.TestUtils_And(B98:B101)</f>
        <v>Error</v>
      </c>
      <c r="E98" s="181" t="str" cm="1">
        <f t="array" ref="E98">_xll.d.TestUtils_And(E101:H101)</f>
        <v>Error</v>
      </c>
      <c r="J98" s="181" t="str" cm="1">
        <f t="array" ref="J98">_xll.d.TestUtils_And(J101:M104)</f>
        <v>Error</v>
      </c>
      <c r="O98" s="181" t="str" cm="1">
        <f t="array" ref="O98">_xll.d.TestUtils_And(O101,O103:Q103,S101:S104,U101:W104)</f>
        <v>Error</v>
      </c>
    </row>
    <row r="99" spans="2:23" x14ac:dyDescent="0.25">
      <c r="B99" s="181" t="s">
        <v>145</v>
      </c>
    </row>
    <row r="100" spans="2:23" x14ac:dyDescent="0.25">
      <c r="B100" s="181" t="s">
        <v>149</v>
      </c>
      <c r="E100" s="198" t="s">
        <v>139</v>
      </c>
      <c r="J100" s="70" t="s">
        <v>139</v>
      </c>
      <c r="O100" s="70" t="s">
        <v>139</v>
      </c>
    </row>
    <row r="101" spans="2:23" x14ac:dyDescent="0.25">
      <c r="B101" s="181" t="s">
        <v>135</v>
      </c>
      <c r="E101" s="181" t="s">
        <v>135</v>
      </c>
      <c r="F101" s="181" t="s">
        <v>149</v>
      </c>
      <c r="G101" s="181" t="s">
        <v>135</v>
      </c>
      <c r="H101" s="181" t="s">
        <v>145</v>
      </c>
      <c r="J101" s="181" t="s">
        <v>135</v>
      </c>
      <c r="K101" s="181" t="s">
        <v>135</v>
      </c>
      <c r="L101" s="181" t="s">
        <v>135</v>
      </c>
      <c r="M101" s="181" t="s">
        <v>135</v>
      </c>
      <c r="O101" s="181" t="s">
        <v>135</v>
      </c>
      <c r="R101" s="181"/>
      <c r="S101" s="181" t="s">
        <v>135</v>
      </c>
      <c r="U101" s="181" t="s">
        <v>135</v>
      </c>
      <c r="V101" s="181" t="s">
        <v>135</v>
      </c>
      <c r="W101" s="181" t="s">
        <v>135</v>
      </c>
    </row>
    <row r="102" spans="2:23" x14ac:dyDescent="0.25">
      <c r="J102" s="181" t="s">
        <v>135</v>
      </c>
      <c r="K102" s="181" t="s">
        <v>135</v>
      </c>
      <c r="L102" s="181" t="s">
        <v>135</v>
      </c>
      <c r="M102" s="181" t="s">
        <v>135</v>
      </c>
      <c r="S102" s="181" t="s">
        <v>135</v>
      </c>
      <c r="U102" s="181" t="s">
        <v>135</v>
      </c>
      <c r="V102" s="181" t="s">
        <v>135</v>
      </c>
      <c r="W102" s="181" t="s">
        <v>135</v>
      </c>
    </row>
    <row r="103" spans="2:23" x14ac:dyDescent="0.25">
      <c r="J103" s="181" t="s">
        <v>135</v>
      </c>
      <c r="K103" s="181" t="s">
        <v>135</v>
      </c>
      <c r="L103" s="181" t="s">
        <v>149</v>
      </c>
      <c r="M103" s="181" t="s">
        <v>135</v>
      </c>
      <c r="O103" s="181" t="s">
        <v>135</v>
      </c>
      <c r="P103" s="181" t="s">
        <v>149</v>
      </c>
      <c r="Q103" s="181" t="s">
        <v>135</v>
      </c>
      <c r="S103" s="181" t="s">
        <v>135</v>
      </c>
      <c r="U103" s="181" t="s">
        <v>145</v>
      </c>
      <c r="V103" s="181" t="s">
        <v>135</v>
      </c>
      <c r="W103" s="181" t="s">
        <v>135</v>
      </c>
    </row>
    <row r="104" spans="2:23" x14ac:dyDescent="0.25">
      <c r="C104" s="180"/>
      <c r="J104" s="181" t="s">
        <v>135</v>
      </c>
      <c r="K104" s="181" t="s">
        <v>135</v>
      </c>
      <c r="L104" s="181" t="s">
        <v>135</v>
      </c>
      <c r="M104" s="181" t="s">
        <v>145</v>
      </c>
      <c r="S104" s="181" t="s">
        <v>135</v>
      </c>
      <c r="U104" s="181" t="s">
        <v>135</v>
      </c>
      <c r="V104" s="181" t="s">
        <v>135</v>
      </c>
      <c r="W104" s="181" t="s">
        <v>135</v>
      </c>
    </row>
    <row r="107" spans="2:23" ht="18.75" x14ac:dyDescent="0.3">
      <c r="B107" s="3" t="s">
        <v>125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 x14ac:dyDescent="0.25">
      <c r="B109" s="59" t="s">
        <v>133</v>
      </c>
      <c r="C109" s="180" t="str" cm="1">
        <f t="array" ref="C109">_xll.d.TestUtils_And(C115,F115,K115,P115)</f>
        <v>Ok</v>
      </c>
    </row>
    <row r="111" spans="2:23" x14ac:dyDescent="0.25">
      <c r="B111" t="s">
        <v>193</v>
      </c>
    </row>
    <row r="113" spans="2:23" ht="15.75" x14ac:dyDescent="0.25">
      <c r="B113" s="4" t="s">
        <v>157</v>
      </c>
      <c r="C113" s="4"/>
      <c r="E113" s="4" t="s">
        <v>158</v>
      </c>
      <c r="F113" s="4"/>
      <c r="G113" s="4"/>
      <c r="H113" s="4"/>
      <c r="J113" s="4" t="s">
        <v>159</v>
      </c>
      <c r="K113" s="4"/>
      <c r="L113" s="4"/>
      <c r="M113" s="4"/>
      <c r="O113" s="4" t="s">
        <v>160</v>
      </c>
      <c r="P113" s="4"/>
      <c r="Q113" s="4"/>
      <c r="R113" s="4"/>
      <c r="S113" s="4"/>
      <c r="T113" s="4"/>
      <c r="U113" s="4"/>
      <c r="V113" s="4"/>
      <c r="W113" s="4"/>
    </row>
    <row r="115" spans="2:23" x14ac:dyDescent="0.25">
      <c r="B115" s="59" t="s">
        <v>133</v>
      </c>
      <c r="C115" s="180" t="str" cm="1">
        <f t="array" ref="C115">_xll.d.TestUtils_IsTrue(C120="ERROR")</f>
        <v>Ok</v>
      </c>
      <c r="E115" s="59" t="s">
        <v>133</v>
      </c>
      <c r="F115" s="180" t="str" cm="1">
        <f t="array" ref="F115">_xll.d.TestUtils_IsTrue(E120="ERROR")</f>
        <v>Ok</v>
      </c>
      <c r="J115" s="59" t="s">
        <v>133</v>
      </c>
      <c r="K115" s="180" t="str" cm="1">
        <f t="array" ref="K115">_xll.d.TestUtils_IsTrue(J120="ERROR")</f>
        <v>Ok</v>
      </c>
      <c r="O115" s="59" t="s">
        <v>133</v>
      </c>
      <c r="P115" s="180" t="str" cm="1">
        <f t="array" ref="P115">_xll.d.TestUtils_IsTrue(O120="ERROR")</f>
        <v>Ok</v>
      </c>
    </row>
    <row r="117" spans="2:23" x14ac:dyDescent="0.25">
      <c r="B117" s="197" t="s">
        <v>141</v>
      </c>
      <c r="C117" s="181" t="s">
        <v>184</v>
      </c>
      <c r="E117" s="197" t="s">
        <v>141</v>
      </c>
      <c r="F117" s="181" t="s">
        <v>184</v>
      </c>
      <c r="J117" s="197" t="s">
        <v>141</v>
      </c>
      <c r="K117" s="181" t="s">
        <v>184</v>
      </c>
      <c r="O117" s="197" t="s">
        <v>141</v>
      </c>
      <c r="P117" s="181" t="s">
        <v>184</v>
      </c>
    </row>
    <row r="118" spans="2:23" x14ac:dyDescent="0.25">
      <c r="B118" s="181"/>
    </row>
    <row r="119" spans="2:23" x14ac:dyDescent="0.25">
      <c r="B119" s="198" t="s">
        <v>139</v>
      </c>
      <c r="C119" s="198" t="s">
        <v>140</v>
      </c>
      <c r="E119" s="198" t="s">
        <v>140</v>
      </c>
      <c r="J119" s="198" t="s">
        <v>140</v>
      </c>
      <c r="O119" s="198" t="s">
        <v>140</v>
      </c>
    </row>
    <row r="120" spans="2:23" x14ac:dyDescent="0.25">
      <c r="B120" s="181" t="s">
        <v>145</v>
      </c>
      <c r="C120" s="181" t="str" cm="1">
        <f t="array" ref="C120">_xll.d.TestUtils_Or(B120:B123)</f>
        <v>Error</v>
      </c>
      <c r="E120" s="181" t="str" cm="1">
        <f t="array" ref="E120">_xll.d.TestUtils_Or(E123:H123)</f>
        <v>Error</v>
      </c>
      <c r="J120" s="181" t="str" cm="1">
        <f t="array" ref="J120">_xll.d.TestUtils_Or(J123:M126)</f>
        <v>Error</v>
      </c>
      <c r="O120" s="181" t="str" cm="1">
        <f t="array" ref="O120">_xll.d.TestUtils_Or(O123,O125:Q125,S123:S126,U123:W126)</f>
        <v>Error</v>
      </c>
    </row>
    <row r="121" spans="2:23" x14ac:dyDescent="0.25">
      <c r="B121" s="181" t="s">
        <v>145</v>
      </c>
    </row>
    <row r="122" spans="2:23" x14ac:dyDescent="0.25">
      <c r="B122" s="181" t="s">
        <v>145</v>
      </c>
      <c r="E122" s="198" t="s">
        <v>139</v>
      </c>
      <c r="J122" s="70" t="s">
        <v>139</v>
      </c>
      <c r="O122" s="70" t="s">
        <v>139</v>
      </c>
    </row>
    <row r="123" spans="2:23" x14ac:dyDescent="0.25">
      <c r="B123" s="181" t="s">
        <v>145</v>
      </c>
      <c r="E123" s="181" t="s">
        <v>145</v>
      </c>
      <c r="F123" s="181" t="s">
        <v>145</v>
      </c>
      <c r="G123" s="181" t="s">
        <v>145</v>
      </c>
      <c r="H123" s="181" t="s">
        <v>145</v>
      </c>
      <c r="J123" s="181" t="s">
        <v>145</v>
      </c>
      <c r="K123" s="181" t="s">
        <v>145</v>
      </c>
      <c r="L123" s="181" t="s">
        <v>145</v>
      </c>
      <c r="M123" s="181" t="s">
        <v>145</v>
      </c>
      <c r="O123" s="181" t="s">
        <v>145</v>
      </c>
      <c r="R123" s="181"/>
      <c r="S123" s="181" t="s">
        <v>145</v>
      </c>
      <c r="U123" s="181" t="s">
        <v>145</v>
      </c>
      <c r="V123" s="181" t="s">
        <v>145</v>
      </c>
      <c r="W123" s="181" t="s">
        <v>145</v>
      </c>
    </row>
    <row r="124" spans="2:23" x14ac:dyDescent="0.25">
      <c r="J124" s="181" t="s">
        <v>145</v>
      </c>
      <c r="K124" s="181" t="s">
        <v>145</v>
      </c>
      <c r="L124" s="181" t="s">
        <v>145</v>
      </c>
      <c r="M124" s="181" t="s">
        <v>145</v>
      </c>
      <c r="S124" s="181" t="s">
        <v>145</v>
      </c>
      <c r="U124" s="181" t="s">
        <v>145</v>
      </c>
      <c r="V124" s="181" t="s">
        <v>145</v>
      </c>
      <c r="W124" s="181" t="s">
        <v>145</v>
      </c>
    </row>
    <row r="125" spans="2:23" x14ac:dyDescent="0.25">
      <c r="J125" s="181" t="s">
        <v>145</v>
      </c>
      <c r="K125" s="181" t="s">
        <v>145</v>
      </c>
      <c r="L125" s="181" t="s">
        <v>145</v>
      </c>
      <c r="M125" s="181" t="s">
        <v>145</v>
      </c>
      <c r="O125" s="181" t="s">
        <v>145</v>
      </c>
      <c r="P125" s="181" t="s">
        <v>145</v>
      </c>
      <c r="Q125" s="181" t="s">
        <v>145</v>
      </c>
      <c r="S125" s="181" t="s">
        <v>145</v>
      </c>
      <c r="U125" s="181" t="s">
        <v>145</v>
      </c>
      <c r="V125" s="181" t="s">
        <v>145</v>
      </c>
      <c r="W125" s="181" t="s">
        <v>145</v>
      </c>
    </row>
    <row r="126" spans="2:23" x14ac:dyDescent="0.25">
      <c r="C126" s="180"/>
      <c r="J126" s="181" t="s">
        <v>145</v>
      </c>
      <c r="K126" s="181" t="s">
        <v>145</v>
      </c>
      <c r="L126" s="181" t="s">
        <v>145</v>
      </c>
      <c r="M126" s="181" t="s">
        <v>145</v>
      </c>
      <c r="S126" s="181" t="s">
        <v>145</v>
      </c>
      <c r="U126" s="181" t="s">
        <v>145</v>
      </c>
      <c r="V126" s="181" t="s">
        <v>145</v>
      </c>
      <c r="W126" s="181" t="s">
        <v>145</v>
      </c>
    </row>
    <row r="129" spans="2:23" ht="18.75" x14ac:dyDescent="0.3">
      <c r="B129" s="3" t="s">
        <v>127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 x14ac:dyDescent="0.25">
      <c r="B131" s="59" t="s">
        <v>133</v>
      </c>
      <c r="C131" s="180" t="str" cm="1">
        <f t="array" ref="C131">_xll.d.TestUtils_And(C137,F137,K137,P137)</f>
        <v>Ok</v>
      </c>
    </row>
    <row r="133" spans="2:23" x14ac:dyDescent="0.25">
      <c r="B133" t="s">
        <v>194</v>
      </c>
    </row>
    <row r="135" spans="2:23" ht="15.75" x14ac:dyDescent="0.25">
      <c r="B135" s="4" t="s">
        <v>164</v>
      </c>
      <c r="C135" s="4"/>
      <c r="E135" s="4" t="s">
        <v>161</v>
      </c>
      <c r="F135" s="4"/>
      <c r="G135" s="4"/>
      <c r="H135" s="4"/>
      <c r="J135" s="4" t="s">
        <v>162</v>
      </c>
      <c r="K135" s="4"/>
      <c r="L135" s="4"/>
      <c r="M135" s="4"/>
      <c r="O135" s="4" t="s">
        <v>163</v>
      </c>
      <c r="P135" s="4"/>
      <c r="Q135" s="4"/>
      <c r="R135" s="4"/>
      <c r="S135" s="4"/>
      <c r="T135" s="4"/>
      <c r="U135" s="4"/>
      <c r="V135" s="4"/>
      <c r="W135" s="4"/>
    </row>
    <row r="137" spans="2:23" x14ac:dyDescent="0.25">
      <c r="B137" s="59" t="s">
        <v>133</v>
      </c>
      <c r="C137" s="180" t="str" cm="1">
        <f t="array" ref="C137">_xll.d.TestUtils_IsTrue(C142="OK")</f>
        <v>Ok</v>
      </c>
      <c r="E137" s="59" t="s">
        <v>133</v>
      </c>
      <c r="F137" s="180" t="str" cm="1">
        <f t="array" ref="F137">_xll.d.TestUtils_IsTrue(E142="OK")</f>
        <v>Ok</v>
      </c>
      <c r="J137" s="59" t="s">
        <v>133</v>
      </c>
      <c r="K137" s="180" t="str" cm="1">
        <f t="array" ref="K137">_xll.d.TestUtils_IsTrue(J142="OK")</f>
        <v>Ok</v>
      </c>
      <c r="O137" s="59" t="s">
        <v>133</v>
      </c>
      <c r="P137" s="180" t="str" cm="1">
        <f t="array" ref="P137">_xll.d.TestUtils_IsTrue(O142="OK")</f>
        <v>Ok</v>
      </c>
    </row>
    <row r="139" spans="2:23" x14ac:dyDescent="0.25">
      <c r="B139" s="197" t="s">
        <v>141</v>
      </c>
      <c r="C139" s="181" t="s">
        <v>184</v>
      </c>
      <c r="E139" s="197" t="s">
        <v>141</v>
      </c>
      <c r="F139" s="181" t="s">
        <v>184</v>
      </c>
      <c r="J139" s="197" t="s">
        <v>141</v>
      </c>
      <c r="K139" s="181" t="s">
        <v>184</v>
      </c>
      <c r="O139" s="197" t="s">
        <v>141</v>
      </c>
      <c r="P139" s="181" t="s">
        <v>184</v>
      </c>
    </row>
    <row r="140" spans="2:23" x14ac:dyDescent="0.25">
      <c r="B140" s="181"/>
    </row>
    <row r="141" spans="2:23" x14ac:dyDescent="0.25">
      <c r="B141" s="198" t="s">
        <v>139</v>
      </c>
      <c r="C141" s="198" t="s">
        <v>140</v>
      </c>
      <c r="E141" s="198" t="s">
        <v>140</v>
      </c>
      <c r="J141" s="198" t="s">
        <v>140</v>
      </c>
      <c r="O141" s="198" t="s">
        <v>140</v>
      </c>
    </row>
    <row r="142" spans="2:23" x14ac:dyDescent="0.25">
      <c r="B142" s="181" t="s">
        <v>145</v>
      </c>
      <c r="C142" s="181" t="str" cm="1">
        <f t="array" ref="C142">_xll.d.TestUtils_Or(B142:B145)</f>
        <v>Ok</v>
      </c>
      <c r="E142" s="181" t="str" cm="1">
        <f t="array" ref="E142">_xll.d.TestUtils_Or(E145:H145)</f>
        <v>Ok</v>
      </c>
      <c r="J142" s="181" t="str" cm="1">
        <f t="array" ref="J142">_xll.d.TestUtils_Or(J145:M148)</f>
        <v>Ok</v>
      </c>
      <c r="O142" s="181" t="str" cm="1">
        <f t="array" ref="O142">_xll.d.TestUtils_Or(O145,O147:Q147,S145:S148,U145:W148)</f>
        <v>Ok</v>
      </c>
    </row>
    <row r="143" spans="2:23" x14ac:dyDescent="0.25">
      <c r="B143" s="181" t="s">
        <v>145</v>
      </c>
    </row>
    <row r="144" spans="2:23" x14ac:dyDescent="0.25">
      <c r="B144" s="181" t="s">
        <v>135</v>
      </c>
      <c r="E144" s="198" t="s">
        <v>139</v>
      </c>
      <c r="J144" s="70" t="s">
        <v>139</v>
      </c>
      <c r="O144" s="70" t="s">
        <v>139</v>
      </c>
    </row>
    <row r="145" spans="2:23" x14ac:dyDescent="0.25">
      <c r="B145" s="181" t="s">
        <v>145</v>
      </c>
      <c r="E145" s="181" t="s">
        <v>145</v>
      </c>
      <c r="F145" s="181" t="s">
        <v>135</v>
      </c>
      <c r="G145" t="s">
        <v>145</v>
      </c>
      <c r="H145" s="181" t="s">
        <v>145</v>
      </c>
      <c r="J145" s="181" t="s">
        <v>145</v>
      </c>
      <c r="K145" s="181" t="s">
        <v>145</v>
      </c>
      <c r="L145" s="181" t="s">
        <v>145</v>
      </c>
      <c r="M145" s="181" t="s">
        <v>135</v>
      </c>
      <c r="O145" s="181" t="s">
        <v>145</v>
      </c>
      <c r="R145" s="181"/>
      <c r="S145" s="181" t="s">
        <v>145</v>
      </c>
      <c r="U145" s="181" t="s">
        <v>145</v>
      </c>
      <c r="V145" s="181" t="s">
        <v>145</v>
      </c>
      <c r="W145" s="181" t="s">
        <v>145</v>
      </c>
    </row>
    <row r="146" spans="2:23" x14ac:dyDescent="0.25">
      <c r="J146" s="181" t="s">
        <v>145</v>
      </c>
      <c r="K146" s="181" t="s">
        <v>145</v>
      </c>
      <c r="L146" s="181" t="s">
        <v>145</v>
      </c>
      <c r="M146" s="181" t="s">
        <v>145</v>
      </c>
      <c r="S146" s="181" t="s">
        <v>145</v>
      </c>
      <c r="U146" s="181" t="s">
        <v>145</v>
      </c>
      <c r="V146" s="181" t="s">
        <v>145</v>
      </c>
      <c r="W146" s="181" t="s">
        <v>145</v>
      </c>
    </row>
    <row r="147" spans="2:23" x14ac:dyDescent="0.25">
      <c r="J147" s="181" t="s">
        <v>145</v>
      </c>
      <c r="K147" s="181" t="s">
        <v>145</v>
      </c>
      <c r="L147" s="181" t="s">
        <v>145</v>
      </c>
      <c r="M147" s="181" t="s">
        <v>145</v>
      </c>
      <c r="O147" s="181" t="s">
        <v>145</v>
      </c>
      <c r="P147" s="181" t="s">
        <v>145</v>
      </c>
      <c r="Q147" s="181" t="s">
        <v>135</v>
      </c>
      <c r="S147" s="181" t="s">
        <v>145</v>
      </c>
      <c r="U147" s="181" t="s">
        <v>145</v>
      </c>
      <c r="V147" s="181" t="s">
        <v>145</v>
      </c>
      <c r="W147" s="181" t="s">
        <v>145</v>
      </c>
    </row>
    <row r="148" spans="2:23" x14ac:dyDescent="0.25">
      <c r="J148" s="181" t="s">
        <v>145</v>
      </c>
      <c r="K148" s="181" t="s">
        <v>145</v>
      </c>
      <c r="L148" s="181" t="s">
        <v>145</v>
      </c>
      <c r="M148" s="181" t="s">
        <v>145</v>
      </c>
      <c r="S148" s="181" t="s">
        <v>135</v>
      </c>
      <c r="U148" s="181" t="s">
        <v>145</v>
      </c>
      <c r="V148" s="181" t="s">
        <v>145</v>
      </c>
      <c r="W148" s="181" t="s">
        <v>145</v>
      </c>
    </row>
    <row r="151" spans="2:23" ht="18.75" x14ac:dyDescent="0.3">
      <c r="B151" s="3" t="s">
        <v>169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 x14ac:dyDescent="0.25">
      <c r="B153" s="59" t="s">
        <v>133</v>
      </c>
      <c r="C153" s="180" t="str" cm="1">
        <f t="array" ref="C153">_xll.d.TestUtils_And(C159,F159,K159,P159)</f>
        <v>Ok</v>
      </c>
    </row>
    <row r="155" spans="2:23" x14ac:dyDescent="0.25">
      <c r="B155" t="s">
        <v>195</v>
      </c>
    </row>
    <row r="157" spans="2:23" ht="15.75" x14ac:dyDescent="0.25">
      <c r="B157" s="4" t="s">
        <v>170</v>
      </c>
      <c r="C157" s="4"/>
      <c r="E157" s="4" t="s">
        <v>171</v>
      </c>
      <c r="F157" s="4"/>
      <c r="G157" s="4"/>
      <c r="H157" s="4"/>
      <c r="J157" s="4" t="s">
        <v>172</v>
      </c>
      <c r="K157" s="4"/>
      <c r="L157" s="4"/>
      <c r="M157" s="4"/>
      <c r="O157" s="4" t="s">
        <v>173</v>
      </c>
      <c r="P157" s="4"/>
      <c r="Q157" s="4"/>
      <c r="R157" s="4"/>
      <c r="S157" s="4"/>
      <c r="T157" s="4"/>
      <c r="U157" s="4"/>
      <c r="V157" s="4"/>
      <c r="W157" s="4"/>
    </row>
    <row r="159" spans="2:23" x14ac:dyDescent="0.25">
      <c r="B159" s="59" t="s">
        <v>133</v>
      </c>
      <c r="C159" s="180" t="str" cm="1">
        <f t="array" ref="C159">_xll.d.TestUtils_IsTrue(C164="WARNING")</f>
        <v>Ok</v>
      </c>
      <c r="E159" s="59" t="s">
        <v>133</v>
      </c>
      <c r="F159" s="180" t="str" cm="1">
        <f t="array" ref="F159">_xll.d.TestUtils_IsTrue(E164="WARNING")</f>
        <v>Ok</v>
      </c>
      <c r="J159" s="59" t="s">
        <v>133</v>
      </c>
      <c r="K159" s="180" t="str" cm="1">
        <f t="array" ref="K159">_xll.d.TestUtils_IsTrue(J164="WARNING")</f>
        <v>Ok</v>
      </c>
      <c r="O159" s="59" t="s">
        <v>133</v>
      </c>
      <c r="P159" s="180" t="str" cm="1">
        <f t="array" ref="P159">_xll.d.TestUtils_IsTrue(O164="WARNING")</f>
        <v>Ok</v>
      </c>
    </row>
    <row r="161" spans="2:23" x14ac:dyDescent="0.25">
      <c r="B161" s="197" t="s">
        <v>141</v>
      </c>
      <c r="C161" s="181" t="s">
        <v>184</v>
      </c>
      <c r="E161" s="197" t="s">
        <v>141</v>
      </c>
      <c r="F161" s="181" t="s">
        <v>184</v>
      </c>
      <c r="J161" s="197" t="s">
        <v>141</v>
      </c>
      <c r="K161" s="181" t="s">
        <v>184</v>
      </c>
      <c r="O161" s="197" t="s">
        <v>141</v>
      </c>
      <c r="P161" s="181" t="s">
        <v>184</v>
      </c>
    </row>
    <row r="162" spans="2:23" x14ac:dyDescent="0.25">
      <c r="B162" s="181"/>
    </row>
    <row r="163" spans="2:23" x14ac:dyDescent="0.25">
      <c r="B163" s="198" t="s">
        <v>139</v>
      </c>
      <c r="C163" s="198" t="s">
        <v>140</v>
      </c>
      <c r="E163" s="198" t="s">
        <v>140</v>
      </c>
      <c r="J163" s="198" t="s">
        <v>140</v>
      </c>
      <c r="O163" s="198" t="s">
        <v>140</v>
      </c>
    </row>
    <row r="164" spans="2:23" x14ac:dyDescent="0.25">
      <c r="B164" s="181" t="s">
        <v>145</v>
      </c>
      <c r="C164" s="181" t="str" cm="1">
        <f t="array" ref="C164">_xll.d.TestUtils_Or(B164:B167)</f>
        <v>Warning</v>
      </c>
      <c r="E164" s="181" t="str" cm="1">
        <f t="array" ref="E164">_xll.d.TestUtils_Or(E167:H167)</f>
        <v>Warning</v>
      </c>
      <c r="J164" s="181" t="str" cm="1">
        <f t="array" ref="J164">_xll.d.TestUtils_Or(J167:M170)</f>
        <v>Warning</v>
      </c>
      <c r="O164" s="181" t="str" cm="1">
        <f t="array" ref="O164">_xll.d.TestUtils_Or(O167,O169:Q169,S167:S170,U167:W170)</f>
        <v>Warning</v>
      </c>
    </row>
    <row r="165" spans="2:23" x14ac:dyDescent="0.25">
      <c r="B165" s="181" t="s">
        <v>149</v>
      </c>
    </row>
    <row r="166" spans="2:23" x14ac:dyDescent="0.25">
      <c r="B166" s="181" t="s">
        <v>145</v>
      </c>
      <c r="E166" s="198" t="s">
        <v>139</v>
      </c>
      <c r="J166" s="70" t="s">
        <v>139</v>
      </c>
      <c r="O166" s="70" t="s">
        <v>139</v>
      </c>
    </row>
    <row r="167" spans="2:23" x14ac:dyDescent="0.25">
      <c r="B167" s="181" t="s">
        <v>145</v>
      </c>
      <c r="E167" s="181" t="s">
        <v>145</v>
      </c>
      <c r="F167" s="181" t="s">
        <v>145</v>
      </c>
      <c r="G167" s="181" t="s">
        <v>145</v>
      </c>
      <c r="H167" s="181" t="s">
        <v>149</v>
      </c>
      <c r="J167" s="181" t="s">
        <v>145</v>
      </c>
      <c r="K167" s="181" t="s">
        <v>145</v>
      </c>
      <c r="L167" s="181" t="s">
        <v>145</v>
      </c>
      <c r="M167" s="181" t="s">
        <v>145</v>
      </c>
      <c r="O167" s="181" t="s">
        <v>145</v>
      </c>
      <c r="R167" s="181"/>
      <c r="S167" s="181" t="s">
        <v>145</v>
      </c>
      <c r="U167" s="181" t="s">
        <v>145</v>
      </c>
      <c r="V167" s="181" t="s">
        <v>145</v>
      </c>
      <c r="W167" s="181" t="s">
        <v>145</v>
      </c>
    </row>
    <row r="168" spans="2:23" x14ac:dyDescent="0.25">
      <c r="J168" s="181" t="s">
        <v>145</v>
      </c>
      <c r="K168" s="181" t="s">
        <v>145</v>
      </c>
      <c r="L168" s="181" t="s">
        <v>145</v>
      </c>
      <c r="M168" s="181" t="s">
        <v>145</v>
      </c>
      <c r="S168" s="181" t="s">
        <v>145</v>
      </c>
      <c r="U168" s="181" t="s">
        <v>145</v>
      </c>
      <c r="V168" s="181" t="s">
        <v>145</v>
      </c>
      <c r="W168" s="181" t="s">
        <v>145</v>
      </c>
    </row>
    <row r="169" spans="2:23" x14ac:dyDescent="0.25">
      <c r="J169" s="181" t="s">
        <v>145</v>
      </c>
      <c r="K169" s="181" t="s">
        <v>149</v>
      </c>
      <c r="L169" s="181" t="s">
        <v>145</v>
      </c>
      <c r="M169" s="181" t="s">
        <v>145</v>
      </c>
      <c r="O169" s="181" t="s">
        <v>145</v>
      </c>
      <c r="P169" s="181" t="s">
        <v>145</v>
      </c>
      <c r="Q169" s="181" t="s">
        <v>149</v>
      </c>
      <c r="S169" s="181" t="s">
        <v>145</v>
      </c>
      <c r="U169" s="181" t="s">
        <v>145</v>
      </c>
      <c r="V169" s="181" t="s">
        <v>145</v>
      </c>
      <c r="W169" s="181" t="s">
        <v>145</v>
      </c>
    </row>
    <row r="170" spans="2:23" x14ac:dyDescent="0.25">
      <c r="J170" s="181" t="s">
        <v>145</v>
      </c>
      <c r="K170" s="181" t="s">
        <v>145</v>
      </c>
      <c r="L170" s="181" t="s">
        <v>145</v>
      </c>
      <c r="M170" s="181" t="s">
        <v>145</v>
      </c>
      <c r="S170" s="181" t="s">
        <v>145</v>
      </c>
      <c r="U170" s="181" t="s">
        <v>145</v>
      </c>
      <c r="V170" s="181" t="s">
        <v>145</v>
      </c>
      <c r="W170" s="181" t="s">
        <v>145</v>
      </c>
    </row>
    <row r="173" spans="2:23" ht="18.75" x14ac:dyDescent="0.3">
      <c r="B173" s="3" t="s">
        <v>174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 x14ac:dyDescent="0.25">
      <c r="B175" s="59" t="s">
        <v>133</v>
      </c>
      <c r="C175" s="180" t="str" cm="1">
        <f t="array" ref="C175">_xll.d.TestUtils_And(C181,F181,K181,P181)</f>
        <v>Ok</v>
      </c>
    </row>
    <row r="177" spans="2:23" x14ac:dyDescent="0.25">
      <c r="B177" t="s">
        <v>196</v>
      </c>
    </row>
    <row r="179" spans="2:23" ht="15.75" x14ac:dyDescent="0.25">
      <c r="B179" s="4" t="s">
        <v>178</v>
      </c>
      <c r="C179" s="4"/>
      <c r="E179" s="4" t="s">
        <v>175</v>
      </c>
      <c r="F179" s="4"/>
      <c r="G179" s="4"/>
      <c r="H179" s="4"/>
      <c r="J179" s="4" t="s">
        <v>176</v>
      </c>
      <c r="K179" s="4"/>
      <c r="L179" s="4"/>
      <c r="M179" s="4"/>
      <c r="O179" s="4" t="s">
        <v>177</v>
      </c>
      <c r="P179" s="4"/>
      <c r="Q179" s="4"/>
      <c r="R179" s="4"/>
      <c r="S179" s="4"/>
      <c r="T179" s="4"/>
      <c r="U179" s="4"/>
      <c r="V179" s="4"/>
      <c r="W179" s="4"/>
    </row>
    <row r="181" spans="2:23" x14ac:dyDescent="0.25">
      <c r="B181" s="59" t="s">
        <v>133</v>
      </c>
      <c r="C181" s="180" t="str" cm="1">
        <f t="array" ref="C181">_xll.d.TestUtils_IsTrue(C186="OK")</f>
        <v>Ok</v>
      </c>
      <c r="E181" s="59" t="s">
        <v>133</v>
      </c>
      <c r="F181" s="180" t="str" cm="1">
        <f t="array" ref="F181">_xll.d.TestUtils_IsTrue(E186="OK")</f>
        <v>Ok</v>
      </c>
      <c r="J181" s="59" t="s">
        <v>133</v>
      </c>
      <c r="K181" s="180" t="str" cm="1">
        <f t="array" ref="K181">_xll.d.TestUtils_IsTrue(J186="OK")</f>
        <v>Ok</v>
      </c>
      <c r="O181" s="59" t="s">
        <v>133</v>
      </c>
      <c r="P181" s="180" t="str" cm="1">
        <f t="array" ref="P181">_xll.d.TestUtils_IsTrue(O186="OK")</f>
        <v>Ok</v>
      </c>
    </row>
    <row r="183" spans="2:23" x14ac:dyDescent="0.25">
      <c r="B183" s="197" t="s">
        <v>141</v>
      </c>
      <c r="C183" s="181" t="s">
        <v>184</v>
      </c>
      <c r="E183" s="197" t="s">
        <v>141</v>
      </c>
      <c r="F183" s="181" t="s">
        <v>184</v>
      </c>
      <c r="J183" s="197" t="s">
        <v>141</v>
      </c>
      <c r="K183" s="181" t="s">
        <v>184</v>
      </c>
      <c r="O183" s="197" t="s">
        <v>141</v>
      </c>
      <c r="P183" s="181" t="s">
        <v>184</v>
      </c>
    </row>
    <row r="184" spans="2:23" x14ac:dyDescent="0.25">
      <c r="B184" s="181"/>
    </row>
    <row r="185" spans="2:23" x14ac:dyDescent="0.25">
      <c r="B185" s="198" t="s">
        <v>139</v>
      </c>
      <c r="C185" s="198" t="s">
        <v>140</v>
      </c>
      <c r="E185" s="198" t="s">
        <v>140</v>
      </c>
      <c r="J185" s="198" t="s">
        <v>140</v>
      </c>
      <c r="O185" s="198" t="s">
        <v>140</v>
      </c>
    </row>
    <row r="186" spans="2:23" x14ac:dyDescent="0.25">
      <c r="B186" s="181" t="s">
        <v>145</v>
      </c>
      <c r="C186" s="181" t="str" cm="1">
        <f t="array" ref="C186">_xll.d.TestUtils_Or(B186:B189)</f>
        <v>Ok</v>
      </c>
      <c r="E186" s="181" t="str" cm="1">
        <f t="array" ref="E186">_xll.d.TestUtils_Or(E189:H189)</f>
        <v>Ok</v>
      </c>
      <c r="J186" s="181" t="str" cm="1">
        <f t="array" ref="J186">_xll.d.TestUtils_Or(J189:M192)</f>
        <v>Ok</v>
      </c>
      <c r="O186" s="181" t="str" cm="1">
        <f t="array" ref="O186">_xll.d.TestUtils_Or(O189,O191:Q191,S189:S192,U189:W192)</f>
        <v>Ok</v>
      </c>
    </row>
    <row r="187" spans="2:23" x14ac:dyDescent="0.25">
      <c r="B187" s="181" t="s">
        <v>149</v>
      </c>
    </row>
    <row r="188" spans="2:23" x14ac:dyDescent="0.25">
      <c r="B188" s="181" t="s">
        <v>145</v>
      </c>
      <c r="E188" s="198" t="s">
        <v>139</v>
      </c>
      <c r="J188" s="70" t="s">
        <v>139</v>
      </c>
      <c r="O188" s="70" t="s">
        <v>139</v>
      </c>
    </row>
    <row r="189" spans="2:23" x14ac:dyDescent="0.25">
      <c r="B189" s="181" t="s">
        <v>135</v>
      </c>
      <c r="E189" s="181" t="s">
        <v>145</v>
      </c>
      <c r="F189" s="181" t="s">
        <v>135</v>
      </c>
      <c r="G189" s="181" t="s">
        <v>145</v>
      </c>
      <c r="H189" s="181" t="s">
        <v>149</v>
      </c>
      <c r="J189" s="181" t="s">
        <v>145</v>
      </c>
      <c r="K189" s="181" t="s">
        <v>145</v>
      </c>
      <c r="L189" s="181" t="s">
        <v>145</v>
      </c>
      <c r="M189" s="181" t="s">
        <v>145</v>
      </c>
      <c r="O189" s="181" t="s">
        <v>145</v>
      </c>
      <c r="R189" s="181"/>
      <c r="S189" s="181" t="s">
        <v>145</v>
      </c>
      <c r="U189" s="181" t="s">
        <v>145</v>
      </c>
      <c r="V189" s="181" t="s">
        <v>145</v>
      </c>
      <c r="W189" s="181" t="s">
        <v>145</v>
      </c>
    </row>
    <row r="190" spans="2:23" x14ac:dyDescent="0.25">
      <c r="J190" s="181" t="s">
        <v>145</v>
      </c>
      <c r="K190" s="181" t="s">
        <v>145</v>
      </c>
      <c r="L190" s="181" t="s">
        <v>135</v>
      </c>
      <c r="M190" s="181" t="s">
        <v>145</v>
      </c>
      <c r="S190" s="181" t="s">
        <v>145</v>
      </c>
      <c r="U190" s="181" t="s">
        <v>145</v>
      </c>
      <c r="V190" s="181" t="s">
        <v>135</v>
      </c>
      <c r="W190" s="181" t="s">
        <v>145</v>
      </c>
    </row>
    <row r="191" spans="2:23" x14ac:dyDescent="0.25">
      <c r="J191" s="181" t="s">
        <v>145</v>
      </c>
      <c r="K191" s="181" t="s">
        <v>149</v>
      </c>
      <c r="L191" s="181" t="s">
        <v>145</v>
      </c>
      <c r="M191" s="181" t="s">
        <v>145</v>
      </c>
      <c r="O191" s="181" t="s">
        <v>145</v>
      </c>
      <c r="P191" s="181" t="s">
        <v>145</v>
      </c>
      <c r="Q191" s="181" t="s">
        <v>149</v>
      </c>
      <c r="S191" s="181" t="s">
        <v>145</v>
      </c>
      <c r="U191" s="181" t="s">
        <v>145</v>
      </c>
      <c r="V191" s="181" t="s">
        <v>145</v>
      </c>
      <c r="W191" s="181" t="s">
        <v>145</v>
      </c>
    </row>
    <row r="192" spans="2:23" x14ac:dyDescent="0.25">
      <c r="J192" s="181" t="s">
        <v>145</v>
      </c>
      <c r="K192" s="181" t="s">
        <v>145</v>
      </c>
      <c r="L192" s="181" t="s">
        <v>145</v>
      </c>
      <c r="M192" s="181" t="s">
        <v>145</v>
      </c>
      <c r="S192" s="181" t="s">
        <v>145</v>
      </c>
      <c r="U192" s="181" t="s">
        <v>145</v>
      </c>
      <c r="V192" s="181" t="s">
        <v>145</v>
      </c>
      <c r="W192" s="181" t="s">
        <v>145</v>
      </c>
    </row>
    <row r="195" spans="2:23" ht="18.75" x14ac:dyDescent="0.3">
      <c r="B195" s="3" t="s">
        <v>179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 x14ac:dyDescent="0.25">
      <c r="B197" s="59" t="s">
        <v>133</v>
      </c>
      <c r="C197" s="180" t="str" cm="1">
        <f t="array" ref="C197">_xll.d.TestUtils_And(C203,F203,K203,P203)</f>
        <v>Ok</v>
      </c>
    </row>
    <row r="199" spans="2:23" x14ac:dyDescent="0.25">
      <c r="B199" t="s">
        <v>197</v>
      </c>
    </row>
    <row r="201" spans="2:23" ht="15.75" x14ac:dyDescent="0.25">
      <c r="B201" s="4" t="s">
        <v>185</v>
      </c>
      <c r="C201" s="4"/>
      <c r="E201" s="4" t="s">
        <v>186</v>
      </c>
      <c r="F201" s="4"/>
      <c r="G201" s="4"/>
      <c r="H201" s="4"/>
      <c r="J201" s="4" t="s">
        <v>187</v>
      </c>
      <c r="K201" s="4"/>
      <c r="L201" s="4"/>
      <c r="M201" s="4"/>
      <c r="O201" s="4" t="s">
        <v>188</v>
      </c>
      <c r="P201" s="4"/>
      <c r="Q201" s="4"/>
      <c r="R201" s="4"/>
      <c r="S201" s="4"/>
      <c r="T201" s="4"/>
      <c r="U201" s="4"/>
      <c r="V201" s="4"/>
      <c r="W201" s="4"/>
    </row>
    <row r="203" spans="2:23" x14ac:dyDescent="0.25">
      <c r="B203" s="59" t="s">
        <v>133</v>
      </c>
      <c r="C203" s="180" t="str" cm="1">
        <f t="array" ref="C203">_xll.d.TestUtils_IsTrue(C208="OK")</f>
        <v>Ok</v>
      </c>
      <c r="E203" s="59" t="s">
        <v>133</v>
      </c>
      <c r="F203" s="180" t="str" cm="1">
        <f t="array" ref="F203">_xll.d.TestUtils_IsTrue(E208="OK")</f>
        <v>Ok</v>
      </c>
      <c r="J203" s="59" t="s">
        <v>133</v>
      </c>
      <c r="K203" s="180" t="str" cm="1">
        <f t="array" ref="K203">_xll.d.TestUtils_IsTrue(J208="OK")</f>
        <v>Ok</v>
      </c>
      <c r="O203" s="59" t="s">
        <v>133</v>
      </c>
      <c r="P203" s="180" t="str" cm="1">
        <f t="array" ref="P203">_xll.d.TestUtils_IsTrue(O208="OK")</f>
        <v>Ok</v>
      </c>
    </row>
    <row r="205" spans="2:23" x14ac:dyDescent="0.25">
      <c r="B205" s="197" t="s">
        <v>141</v>
      </c>
      <c r="C205" s="181" t="s">
        <v>184</v>
      </c>
      <c r="E205" s="197" t="s">
        <v>141</v>
      </c>
      <c r="F205" s="181" t="s">
        <v>184</v>
      </c>
      <c r="J205" s="197" t="s">
        <v>141</v>
      </c>
      <c r="K205" s="181" t="s">
        <v>184</v>
      </c>
      <c r="O205" s="197" t="s">
        <v>141</v>
      </c>
      <c r="P205" s="181" t="s">
        <v>184</v>
      </c>
    </row>
    <row r="206" spans="2:23" x14ac:dyDescent="0.25">
      <c r="B206" s="181"/>
    </row>
    <row r="207" spans="2:23" x14ac:dyDescent="0.25">
      <c r="B207" s="198" t="s">
        <v>139</v>
      </c>
      <c r="C207" s="198" t="s">
        <v>140</v>
      </c>
      <c r="E207" s="198" t="s">
        <v>140</v>
      </c>
      <c r="J207" s="198" t="s">
        <v>140</v>
      </c>
      <c r="O207" s="198" t="s">
        <v>140</v>
      </c>
    </row>
    <row r="208" spans="2:23" x14ac:dyDescent="0.25">
      <c r="B208" s="181" t="s">
        <v>145</v>
      </c>
      <c r="C208" s="181" t="str">
        <f t="array" ref="C208:C211">_xll.d.TestUtils_Not(B208:B211)</f>
        <v>Ok</v>
      </c>
      <c r="E208" s="181" t="str" cm="1">
        <f t="array" ref="E208">_xll.d.TestUtils_Or(E211:H211)</f>
        <v>Ok</v>
      </c>
      <c r="J208" s="181" t="str" cm="1">
        <f t="array" ref="J208">_xll.d.TestUtils_Or(J211:M214)</f>
        <v>Ok</v>
      </c>
      <c r="O208" s="181" t="str" cm="1">
        <f t="array" ref="O208">_xll.d.TestUtils_Or(O211,O213:Q213,S211:S214,U211:W214)</f>
        <v>Ok</v>
      </c>
    </row>
    <row r="209" spans="2:23" x14ac:dyDescent="0.25">
      <c r="B209" s="181" t="s">
        <v>149</v>
      </c>
      <c r="C209" t="str">
        <v>Warning</v>
      </c>
    </row>
    <row r="210" spans="2:23" x14ac:dyDescent="0.25">
      <c r="B210" s="181" t="s">
        <v>145</v>
      </c>
      <c r="C210" t="str">
        <v>Ok</v>
      </c>
      <c r="E210" s="198" t="s">
        <v>139</v>
      </c>
      <c r="J210" s="70" t="s">
        <v>139</v>
      </c>
      <c r="O210" s="70" t="s">
        <v>139</v>
      </c>
    </row>
    <row r="211" spans="2:23" x14ac:dyDescent="0.25">
      <c r="B211" s="181" t="s">
        <v>135</v>
      </c>
      <c r="C211" t="str">
        <v>Error</v>
      </c>
      <c r="E211" s="181" t="s">
        <v>145</v>
      </c>
      <c r="F211" s="181" t="s">
        <v>135</v>
      </c>
      <c r="G211" s="181" t="s">
        <v>145</v>
      </c>
      <c r="H211" s="181" t="s">
        <v>149</v>
      </c>
      <c r="J211" s="181" t="s">
        <v>145</v>
      </c>
      <c r="K211" s="181" t="s">
        <v>145</v>
      </c>
      <c r="L211" s="181" t="s">
        <v>145</v>
      </c>
      <c r="M211" s="181" t="s">
        <v>145</v>
      </c>
      <c r="O211" s="181" t="s">
        <v>145</v>
      </c>
      <c r="R211" s="181"/>
      <c r="S211" s="181" t="s">
        <v>145</v>
      </c>
      <c r="U211" s="181" t="s">
        <v>145</v>
      </c>
      <c r="V211" s="181" t="s">
        <v>145</v>
      </c>
      <c r="W211" s="181" t="s">
        <v>145</v>
      </c>
    </row>
    <row r="212" spans="2:23" x14ac:dyDescent="0.25">
      <c r="J212" s="181" t="s">
        <v>145</v>
      </c>
      <c r="K212" s="181" t="s">
        <v>145</v>
      </c>
      <c r="L212" s="181" t="s">
        <v>135</v>
      </c>
      <c r="M212" s="181" t="s">
        <v>145</v>
      </c>
      <c r="S212" s="181" t="s">
        <v>145</v>
      </c>
      <c r="U212" s="181" t="s">
        <v>145</v>
      </c>
      <c r="V212" s="181" t="s">
        <v>135</v>
      </c>
      <c r="W212" s="181" t="s">
        <v>145</v>
      </c>
    </row>
    <row r="213" spans="2:23" x14ac:dyDescent="0.25">
      <c r="J213" s="181" t="s">
        <v>145</v>
      </c>
      <c r="K213" s="181" t="s">
        <v>149</v>
      </c>
      <c r="L213" s="181" t="s">
        <v>145</v>
      </c>
      <c r="M213" s="181" t="s">
        <v>145</v>
      </c>
      <c r="O213" s="181" t="s">
        <v>145</v>
      </c>
      <c r="P213" s="181" t="s">
        <v>145</v>
      </c>
      <c r="Q213" s="181" t="s">
        <v>149</v>
      </c>
      <c r="S213" s="181" t="s">
        <v>145</v>
      </c>
      <c r="U213" s="181" t="s">
        <v>145</v>
      </c>
      <c r="V213" s="181" t="s">
        <v>145</v>
      </c>
      <c r="W213" s="181" t="s">
        <v>145</v>
      </c>
    </row>
    <row r="214" spans="2:23" x14ac:dyDescent="0.25">
      <c r="J214" s="181" t="s">
        <v>145</v>
      </c>
      <c r="K214" s="181" t="s">
        <v>145</v>
      </c>
      <c r="L214" s="181" t="s">
        <v>145</v>
      </c>
      <c r="M214" s="181" t="s">
        <v>145</v>
      </c>
      <c r="S214" s="181" t="s">
        <v>145</v>
      </c>
      <c r="U214" s="181" t="s">
        <v>145</v>
      </c>
      <c r="V214" s="181" t="s">
        <v>145</v>
      </c>
      <c r="W214" s="181" t="s">
        <v>145</v>
      </c>
    </row>
    <row r="217" spans="2:23" ht="18.75" x14ac:dyDescent="0.3">
      <c r="B217" s="3" t="s">
        <v>198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 x14ac:dyDescent="0.25">
      <c r="B219" s="59" t="s">
        <v>133</v>
      </c>
      <c r="C219" s="180" t="str" cm="1">
        <f t="array" ref="C219">_xll.d.TestUtils_And(C225,F225,I225,L225)</f>
        <v>Ok</v>
      </c>
    </row>
    <row r="221" spans="2:23" x14ac:dyDescent="0.25">
      <c r="B221" t="s">
        <v>203</v>
      </c>
    </row>
    <row r="223" spans="2:23" ht="15.75" x14ac:dyDescent="0.25">
      <c r="B223" s="4" t="s">
        <v>199</v>
      </c>
      <c r="C223" s="4"/>
      <c r="E223" s="4" t="s">
        <v>200</v>
      </c>
      <c r="F223" s="4"/>
      <c r="H223" s="4" t="s">
        <v>201</v>
      </c>
      <c r="I223" s="4"/>
      <c r="K223" s="4" t="s">
        <v>202</v>
      </c>
      <c r="L223" s="4"/>
      <c r="N223" s="4" t="s">
        <v>206</v>
      </c>
      <c r="O223" s="4"/>
      <c r="Q223" s="4" t="s">
        <v>208</v>
      </c>
      <c r="R223" s="4"/>
      <c r="T223" s="4" t="s">
        <v>208</v>
      </c>
      <c r="U223" s="4"/>
    </row>
    <row r="225" spans="2:21" x14ac:dyDescent="0.25">
      <c r="B225" s="59" t="s">
        <v>133</v>
      </c>
      <c r="C225" s="180" t="str" cm="1">
        <f t="array" ref="C225">_xll.d.TestUtils_IsTrue(C230="ERROR")</f>
        <v>Ok</v>
      </c>
      <c r="E225" s="59" t="s">
        <v>133</v>
      </c>
      <c r="F225" s="180" t="str" cm="1">
        <f t="array" ref="F225">_xll.d.TestUtils_IsTrue(F230="ERROR")</f>
        <v>Ok</v>
      </c>
      <c r="H225" s="59" t="s">
        <v>133</v>
      </c>
      <c r="I225" s="180" t="str" cm="1">
        <f t="array" ref="I225">_xll.d.TestUtils_IsTrue(_xll.d.TestUtils_Or(I230:I233)="ERROR")</f>
        <v>Ok</v>
      </c>
      <c r="K225" s="59" t="s">
        <v>133</v>
      </c>
      <c r="L225" s="180" t="str" cm="1">
        <f t="array" ref="L225">_xll.d.TestUtils_IsTrue(L230="ERROR")</f>
        <v>Ok</v>
      </c>
      <c r="N225" s="59" t="s">
        <v>133</v>
      </c>
      <c r="O225" s="180" t="str" cm="1">
        <f t="array" ref="O225">_xll.d.TestUtils_IsTrue(O230="ERROR")</f>
        <v>Ok</v>
      </c>
      <c r="Q225" s="59" t="s">
        <v>133</v>
      </c>
      <c r="R225" s="180" t="str" cm="1">
        <f t="array" ref="R225">_xll.d.TestUtils_IsTrue(R230="ERROR")</f>
        <v>Ok</v>
      </c>
      <c r="T225" s="59" t="s">
        <v>133</v>
      </c>
      <c r="U225" s="180" t="str" cm="1">
        <f t="array" ref="U225">_xll.d.TestUtils_IsTrue(U230="ERROR")</f>
        <v>Ok</v>
      </c>
    </row>
    <row r="227" spans="2:21" x14ac:dyDescent="0.25">
      <c r="B227" s="197" t="s">
        <v>141</v>
      </c>
      <c r="C227" s="181" t="s">
        <v>183</v>
      </c>
      <c r="E227" s="197" t="s">
        <v>141</v>
      </c>
      <c r="F227" s="181" t="s">
        <v>184</v>
      </c>
      <c r="H227" s="197" t="s">
        <v>141</v>
      </c>
      <c r="I227" s="181" t="s">
        <v>204</v>
      </c>
      <c r="K227" s="197" t="s">
        <v>141</v>
      </c>
      <c r="L227" s="181" t="s">
        <v>205</v>
      </c>
      <c r="N227" s="197" t="s">
        <v>141</v>
      </c>
      <c r="O227" s="181" t="s">
        <v>207</v>
      </c>
      <c r="Q227" s="197" t="s">
        <v>141</v>
      </c>
      <c r="R227" s="181" t="s">
        <v>209</v>
      </c>
      <c r="T227" s="197" t="s">
        <v>141</v>
      </c>
      <c r="U227" s="181" t="s">
        <v>210</v>
      </c>
    </row>
    <row r="228" spans="2:21" x14ac:dyDescent="0.25">
      <c r="B228" s="181"/>
    </row>
    <row r="229" spans="2:21" x14ac:dyDescent="0.25">
      <c r="B229" s="198" t="s">
        <v>139</v>
      </c>
      <c r="C229" s="198" t="s">
        <v>140</v>
      </c>
      <c r="E229" s="198" t="s">
        <v>139</v>
      </c>
      <c r="F229" s="198" t="s">
        <v>140</v>
      </c>
      <c r="H229" s="198" t="s">
        <v>139</v>
      </c>
      <c r="I229" s="198" t="s">
        <v>140</v>
      </c>
      <c r="K229" s="198" t="s">
        <v>139</v>
      </c>
      <c r="L229" s="198" t="s">
        <v>140</v>
      </c>
      <c r="N229" s="198" t="s">
        <v>139</v>
      </c>
      <c r="O229" s="198" t="s">
        <v>140</v>
      </c>
      <c r="Q229" s="198" t="s">
        <v>139</v>
      </c>
      <c r="R229" s="198" t="s">
        <v>140</v>
      </c>
      <c r="T229" s="198" t="s">
        <v>139</v>
      </c>
      <c r="U229" s="198" t="s">
        <v>140</v>
      </c>
    </row>
    <row r="230" spans="2:21" x14ac:dyDescent="0.25">
      <c r="B230" s="181" t="s">
        <v>135</v>
      </c>
      <c r="C230" s="181" t="str" cm="1">
        <f t="array" ref="C230">_xll.d.TestUtils_And(B230:B233)</f>
        <v>Error</v>
      </c>
      <c r="E230" s="181" t="s">
        <v>135</v>
      </c>
      <c r="F230" s="181" t="str" cm="1">
        <f t="array" ref="F230">_xll.d.TestUtils_Or(E230:E233)</f>
        <v>Error</v>
      </c>
      <c r="H230" s="181" t="s">
        <v>135</v>
      </c>
      <c r="I230" s="180" t="str">
        <f t="array" ref="I230:I233">_xll.d.TestUtils_Not(H230:H233)</f>
        <v>Error</v>
      </c>
      <c r="K230" s="181" t="e">
        <f>NA()</f>
        <v>#N/A</v>
      </c>
      <c r="L230" s="180" t="str" cm="1">
        <f t="array" ref="L230">_xll.d.TestUtils_IsTrue(K230)</f>
        <v>Error</v>
      </c>
      <c r="N230" s="181" t="e">
        <f>NA()</f>
        <v>#N/A</v>
      </c>
      <c r="O230" s="180" t="str" cm="1">
        <f t="array" ref="O230">_xll.d.TestUtils_IsFalse(N230)</f>
        <v>Error</v>
      </c>
      <c r="Q230" s="181">
        <v>10</v>
      </c>
      <c r="R230" s="180" t="str" cm="1">
        <f t="array" ref="R230">_xll.d.TestUtils_GreaterThan(Q230,Q231)</f>
        <v>Error</v>
      </c>
      <c r="T230" s="181">
        <v>10</v>
      </c>
      <c r="U230" s="180" t="str" cm="1">
        <f t="array" ref="U230">_xll.d.TestUtils_LessThan(T230,T231)</f>
        <v>Error</v>
      </c>
    </row>
    <row r="231" spans="2:21" x14ac:dyDescent="0.25">
      <c r="B231" s="181" t="s">
        <v>149</v>
      </c>
      <c r="E231" s="181" t="s">
        <v>149</v>
      </c>
      <c r="H231" s="181" t="s">
        <v>149</v>
      </c>
      <c r="I231" s="180" t="str">
        <v>Error</v>
      </c>
      <c r="K231" s="180"/>
      <c r="N231" s="180"/>
      <c r="Q231" t="e">
        <f>NA()</f>
        <v>#N/A</v>
      </c>
      <c r="T231" t="e">
        <f>NA()</f>
        <v>#N/A</v>
      </c>
    </row>
    <row r="232" spans="2:21" x14ac:dyDescent="0.25">
      <c r="B232" s="181" t="e">
        <f>NA()</f>
        <v>#N/A</v>
      </c>
      <c r="E232" s="181" t="e">
        <f>NA()</f>
        <v>#N/A</v>
      </c>
      <c r="H232" s="181" t="e">
        <f>NA()</f>
        <v>#N/A</v>
      </c>
      <c r="I232" s="180" t="str">
        <v>Error</v>
      </c>
      <c r="L232" s="180"/>
    </row>
    <row r="233" spans="2:21" x14ac:dyDescent="0.25">
      <c r="B233" s="181" t="s">
        <v>135</v>
      </c>
      <c r="E233" s="181" t="s">
        <v>135</v>
      </c>
      <c r="F233" s="181"/>
      <c r="H233" s="181" t="s">
        <v>135</v>
      </c>
      <c r="I233" s="180" t="str">
        <v>Error</v>
      </c>
      <c r="K233" s="181"/>
      <c r="L233" s="180"/>
    </row>
    <row r="234" spans="2:21" x14ac:dyDescent="0.25">
      <c r="H234" s="181"/>
      <c r="I234" s="181"/>
    </row>
    <row r="235" spans="2:21" x14ac:dyDescent="0.25">
      <c r="H235" s="181"/>
      <c r="I235" s="181"/>
      <c r="L235" s="181"/>
    </row>
    <row r="236" spans="2:21" x14ac:dyDescent="0.25">
      <c r="H236" s="181"/>
      <c r="I236" s="181"/>
    </row>
  </sheetData>
  <conditionalFormatting sqref="C4 C7:C12">
    <cfRule type="cellIs" dxfId="134" priority="52" stopIfTrue="1" operator="equal">
      <formula>"ERROR"</formula>
    </cfRule>
    <cfRule type="cellIs" dxfId="133" priority="53" stopIfTrue="1" operator="equal">
      <formula>"OK"</formula>
    </cfRule>
    <cfRule type="cellIs" dxfId="132" priority="54" stopIfTrue="1" operator="equal">
      <formula>"WARNING"</formula>
    </cfRule>
  </conditionalFormatting>
  <conditionalFormatting sqref="C27 F27 K27 P27">
    <cfRule type="cellIs" dxfId="131" priority="55" stopIfTrue="1" operator="equal">
      <formula>"ERROR"</formula>
    </cfRule>
    <cfRule type="cellIs" dxfId="130" priority="56" stopIfTrue="1" operator="equal">
      <formula>"OK"</formula>
    </cfRule>
    <cfRule type="cellIs" dxfId="129" priority="57" stopIfTrue="1" operator="equal">
      <formula>"WARNING"</formula>
    </cfRule>
  </conditionalFormatting>
  <conditionalFormatting sqref="C49 F49 K49 P49">
    <cfRule type="cellIs" dxfId="128" priority="58" stopIfTrue="1" operator="equal">
      <formula>"ERROR"</formula>
    </cfRule>
    <cfRule type="cellIs" dxfId="127" priority="59" stopIfTrue="1" operator="equal">
      <formula>"OK"</formula>
    </cfRule>
    <cfRule type="cellIs" dxfId="126" priority="60" stopIfTrue="1" operator="equal">
      <formula>"WARNING"</formula>
    </cfRule>
  </conditionalFormatting>
  <conditionalFormatting sqref="C71 F71 K71 P71">
    <cfRule type="cellIs" dxfId="125" priority="61" stopIfTrue="1" operator="equal">
      <formula>"ERROR"</formula>
    </cfRule>
    <cfRule type="cellIs" dxfId="124" priority="62" stopIfTrue="1" operator="equal">
      <formula>"OK"</formula>
    </cfRule>
    <cfRule type="cellIs" dxfId="123" priority="63" stopIfTrue="1" operator="equal">
      <formula>"WARNING"</formula>
    </cfRule>
  </conditionalFormatting>
  <conditionalFormatting sqref="C93 F93 K93 P93">
    <cfRule type="cellIs" dxfId="122" priority="64" stopIfTrue="1" operator="equal">
      <formula>"ERROR"</formula>
    </cfRule>
    <cfRule type="cellIs" dxfId="121" priority="65" stopIfTrue="1" operator="equal">
      <formula>"OK"</formula>
    </cfRule>
    <cfRule type="cellIs" dxfId="120" priority="66" stopIfTrue="1" operator="equal">
      <formula>"WARNING"</formula>
    </cfRule>
  </conditionalFormatting>
  <conditionalFormatting sqref="C115 F115 K115 P115">
    <cfRule type="cellIs" dxfId="119" priority="67" stopIfTrue="1" operator="equal">
      <formula>"ERROR"</formula>
    </cfRule>
  </conditionalFormatting>
  <conditionalFormatting sqref="C115 F115 K115 P115">
    <cfRule type="cellIs" dxfId="118" priority="68" stopIfTrue="1" operator="equal">
      <formula>"OK"</formula>
    </cfRule>
  </conditionalFormatting>
  <conditionalFormatting sqref="C115 F115 K115 P115">
    <cfRule type="cellIs" dxfId="117" priority="69" stopIfTrue="1" operator="equal">
      <formula>"WARNING"</formula>
    </cfRule>
  </conditionalFormatting>
  <conditionalFormatting sqref="C137 F137 K137 P137">
    <cfRule type="cellIs" dxfId="116" priority="70" stopIfTrue="1" operator="equal">
      <formula>"ERROR"</formula>
    </cfRule>
  </conditionalFormatting>
  <conditionalFormatting sqref="C137 F137 K137 P137">
    <cfRule type="cellIs" dxfId="115" priority="71" stopIfTrue="1" operator="equal">
      <formula>"OK"</formula>
    </cfRule>
  </conditionalFormatting>
  <conditionalFormatting sqref="C137 F137 K137 P137">
    <cfRule type="cellIs" dxfId="114" priority="72" stopIfTrue="1" operator="equal">
      <formula>"WARNING"</formula>
    </cfRule>
  </conditionalFormatting>
  <conditionalFormatting sqref="C159 F159 K159 P159">
    <cfRule type="cellIs" dxfId="113" priority="49" stopIfTrue="1" operator="equal">
      <formula>"ERROR"</formula>
    </cfRule>
  </conditionalFormatting>
  <conditionalFormatting sqref="C159 F159 K159 P159">
    <cfRule type="cellIs" dxfId="112" priority="50" stopIfTrue="1" operator="equal">
      <formula>"OK"</formula>
    </cfRule>
  </conditionalFormatting>
  <conditionalFormatting sqref="C159 F159 K159 P159">
    <cfRule type="cellIs" dxfId="111" priority="51" stopIfTrue="1" operator="equal">
      <formula>"WARNING"</formula>
    </cfRule>
  </conditionalFormatting>
  <conditionalFormatting sqref="C153">
    <cfRule type="cellIs" dxfId="110" priority="73" stopIfTrue="1" operator="equal">
      <formula>"ERROR"</formula>
    </cfRule>
  </conditionalFormatting>
  <conditionalFormatting sqref="C153">
    <cfRule type="cellIs" dxfId="109" priority="74" stopIfTrue="1" operator="equal">
      <formula>"OK"</formula>
    </cfRule>
  </conditionalFormatting>
  <conditionalFormatting sqref="C153">
    <cfRule type="cellIs" dxfId="108" priority="75" stopIfTrue="1" operator="equal">
      <formula>"WARNING"</formula>
    </cfRule>
  </conditionalFormatting>
  <conditionalFormatting sqref="C131">
    <cfRule type="cellIs" dxfId="107" priority="46" stopIfTrue="1" operator="equal">
      <formula>"ERROR"</formula>
    </cfRule>
  </conditionalFormatting>
  <conditionalFormatting sqref="C131">
    <cfRule type="cellIs" dxfId="106" priority="47" stopIfTrue="1" operator="equal">
      <formula>"OK"</formula>
    </cfRule>
  </conditionalFormatting>
  <conditionalFormatting sqref="C131">
    <cfRule type="cellIs" dxfId="105" priority="48" stopIfTrue="1" operator="equal">
      <formula>"WARNING"</formula>
    </cfRule>
  </conditionalFormatting>
  <conditionalFormatting sqref="C109">
    <cfRule type="cellIs" dxfId="104" priority="43" stopIfTrue="1" operator="equal">
      <formula>"ERROR"</formula>
    </cfRule>
  </conditionalFormatting>
  <conditionalFormatting sqref="C109">
    <cfRule type="cellIs" dxfId="103" priority="44" stopIfTrue="1" operator="equal">
      <formula>"OK"</formula>
    </cfRule>
  </conditionalFormatting>
  <conditionalFormatting sqref="C109">
    <cfRule type="cellIs" dxfId="102" priority="45" stopIfTrue="1" operator="equal">
      <formula>"WARNING"</formula>
    </cfRule>
  </conditionalFormatting>
  <conditionalFormatting sqref="C87">
    <cfRule type="cellIs" dxfId="101" priority="40" stopIfTrue="1" operator="equal">
      <formula>"ERROR"</formula>
    </cfRule>
  </conditionalFormatting>
  <conditionalFormatting sqref="C87">
    <cfRule type="cellIs" dxfId="100" priority="41" stopIfTrue="1" operator="equal">
      <formula>"OK"</formula>
    </cfRule>
  </conditionalFormatting>
  <conditionalFormatting sqref="C87">
    <cfRule type="cellIs" dxfId="99" priority="42" stopIfTrue="1" operator="equal">
      <formula>"WARNING"</formula>
    </cfRule>
  </conditionalFormatting>
  <conditionalFormatting sqref="C65">
    <cfRule type="cellIs" dxfId="98" priority="37" stopIfTrue="1" operator="equal">
      <formula>"ERROR"</formula>
    </cfRule>
  </conditionalFormatting>
  <conditionalFormatting sqref="C65">
    <cfRule type="cellIs" dxfId="97" priority="38" stopIfTrue="1" operator="equal">
      <formula>"OK"</formula>
    </cfRule>
  </conditionalFormatting>
  <conditionalFormatting sqref="C65">
    <cfRule type="cellIs" dxfId="96" priority="39" stopIfTrue="1" operator="equal">
      <formula>"WARNING"</formula>
    </cfRule>
  </conditionalFormatting>
  <conditionalFormatting sqref="C43">
    <cfRule type="cellIs" dxfId="95" priority="34" stopIfTrue="1" operator="equal">
      <formula>"ERROR"</formula>
    </cfRule>
  </conditionalFormatting>
  <conditionalFormatting sqref="C43">
    <cfRule type="cellIs" dxfId="94" priority="35" stopIfTrue="1" operator="equal">
      <formula>"OK"</formula>
    </cfRule>
  </conditionalFormatting>
  <conditionalFormatting sqref="C43">
    <cfRule type="cellIs" dxfId="93" priority="36" stopIfTrue="1" operator="equal">
      <formula>"WARNING"</formula>
    </cfRule>
  </conditionalFormatting>
  <conditionalFormatting sqref="C21">
    <cfRule type="cellIs" dxfId="92" priority="31" stopIfTrue="1" operator="equal">
      <formula>"ERROR"</formula>
    </cfRule>
  </conditionalFormatting>
  <conditionalFormatting sqref="C21">
    <cfRule type="cellIs" dxfId="91" priority="32" stopIfTrue="1" operator="equal">
      <formula>"OK"</formula>
    </cfRule>
  </conditionalFormatting>
  <conditionalFormatting sqref="C21">
    <cfRule type="cellIs" dxfId="90" priority="33" stopIfTrue="1" operator="equal">
      <formula>"WARNING"</formula>
    </cfRule>
  </conditionalFormatting>
  <conditionalFormatting sqref="C13:C15">
    <cfRule type="cellIs" dxfId="89" priority="76" stopIfTrue="1" operator="equal">
      <formula>"ERROR"</formula>
    </cfRule>
    <cfRule type="cellIs" dxfId="88" priority="77" stopIfTrue="1" operator="equal">
      <formula>"OK"</formula>
    </cfRule>
    <cfRule type="cellIs" dxfId="87" priority="78" stopIfTrue="1" operator="equal">
      <formula>"WARNING"</formula>
    </cfRule>
  </conditionalFormatting>
  <conditionalFormatting sqref="C181 F181 K181 P181">
    <cfRule type="cellIs" dxfId="86" priority="25" stopIfTrue="1" operator="equal">
      <formula>"ERROR"</formula>
    </cfRule>
  </conditionalFormatting>
  <conditionalFormatting sqref="C181 F181 K181 P181">
    <cfRule type="cellIs" dxfId="85" priority="26" stopIfTrue="1" operator="equal">
      <formula>"OK"</formula>
    </cfRule>
  </conditionalFormatting>
  <conditionalFormatting sqref="C181 F181 K181 P181">
    <cfRule type="cellIs" dxfId="84" priority="27" stopIfTrue="1" operator="equal">
      <formula>"WARNING"</formula>
    </cfRule>
  </conditionalFormatting>
  <conditionalFormatting sqref="C175">
    <cfRule type="cellIs" dxfId="83" priority="28" stopIfTrue="1" operator="equal">
      <formula>"ERROR"</formula>
    </cfRule>
  </conditionalFormatting>
  <conditionalFormatting sqref="C175">
    <cfRule type="cellIs" dxfId="82" priority="29" stopIfTrue="1" operator="equal">
      <formula>"OK"</formula>
    </cfRule>
  </conditionalFormatting>
  <conditionalFormatting sqref="C175">
    <cfRule type="cellIs" dxfId="81" priority="30" stopIfTrue="1" operator="equal">
      <formula>"WARNING"</formula>
    </cfRule>
  </conditionalFormatting>
  <conditionalFormatting sqref="C203 F203 K203 P203">
    <cfRule type="cellIs" dxfId="80" priority="19" stopIfTrue="1" operator="equal">
      <formula>"ERROR"</formula>
    </cfRule>
  </conditionalFormatting>
  <conditionalFormatting sqref="C203 F203 K203 P203">
    <cfRule type="cellIs" dxfId="79" priority="20" stopIfTrue="1" operator="equal">
      <formula>"OK"</formula>
    </cfRule>
  </conditionalFormatting>
  <conditionalFormatting sqref="C203 F203 K203 P203">
    <cfRule type="cellIs" dxfId="78" priority="21" stopIfTrue="1" operator="equal">
      <formula>"WARNING"</formula>
    </cfRule>
  </conditionalFormatting>
  <conditionalFormatting sqref="C197">
    <cfRule type="cellIs" dxfId="77" priority="22" stopIfTrue="1" operator="equal">
      <formula>"ERROR"</formula>
    </cfRule>
  </conditionalFormatting>
  <conditionalFormatting sqref="C197">
    <cfRule type="cellIs" dxfId="76" priority="23" stopIfTrue="1" operator="equal">
      <formula>"OK"</formula>
    </cfRule>
  </conditionalFormatting>
  <conditionalFormatting sqref="C197">
    <cfRule type="cellIs" dxfId="75" priority="24" stopIfTrue="1" operator="equal">
      <formula>"WARNING"</formula>
    </cfRule>
  </conditionalFormatting>
  <conditionalFormatting sqref="C225 F225 I225 L225">
    <cfRule type="cellIs" dxfId="74" priority="13" stopIfTrue="1" operator="equal">
      <formula>"ERROR"</formula>
    </cfRule>
  </conditionalFormatting>
  <conditionalFormatting sqref="C225 F225 I225 L225">
    <cfRule type="cellIs" dxfId="73" priority="14" stopIfTrue="1" operator="equal">
      <formula>"OK"</formula>
    </cfRule>
  </conditionalFormatting>
  <conditionalFormatting sqref="C225 F225 I225 L225">
    <cfRule type="cellIs" dxfId="72" priority="15" stopIfTrue="1" operator="equal">
      <formula>"WARNING"</formula>
    </cfRule>
  </conditionalFormatting>
  <conditionalFormatting sqref="C219">
    <cfRule type="cellIs" dxfId="71" priority="16" stopIfTrue="1" operator="equal">
      <formula>"ERROR"</formula>
    </cfRule>
  </conditionalFormatting>
  <conditionalFormatting sqref="C219">
    <cfRule type="cellIs" dxfId="70" priority="17" stopIfTrue="1" operator="equal">
      <formula>"OK"</formula>
    </cfRule>
  </conditionalFormatting>
  <conditionalFormatting sqref="C219">
    <cfRule type="cellIs" dxfId="69" priority="18" stopIfTrue="1" operator="equal">
      <formula>"WARNING"</formula>
    </cfRule>
  </conditionalFormatting>
  <conditionalFormatting sqref="O225">
    <cfRule type="cellIs" dxfId="68" priority="10" stopIfTrue="1" operator="equal">
      <formula>"ERROR"</formula>
    </cfRule>
  </conditionalFormatting>
  <conditionalFormatting sqref="O225">
    <cfRule type="cellIs" dxfId="67" priority="11" stopIfTrue="1" operator="equal">
      <formula>"OK"</formula>
    </cfRule>
  </conditionalFormatting>
  <conditionalFormatting sqref="O225">
    <cfRule type="cellIs" dxfId="66" priority="12" stopIfTrue="1" operator="equal">
      <formula>"WARNING"</formula>
    </cfRule>
  </conditionalFormatting>
  <conditionalFormatting sqref="C16">
    <cfRule type="cellIs" dxfId="65" priority="79" stopIfTrue="1" operator="equal">
      <formula>"ERROR"</formula>
    </cfRule>
    <cfRule type="cellIs" dxfId="64" priority="80" stopIfTrue="1" operator="equal">
      <formula>"OK"</formula>
    </cfRule>
    <cfRule type="cellIs" dxfId="63" priority="81" stopIfTrue="1" operator="equal">
      <formula>"WARNING"</formula>
    </cfRule>
  </conditionalFormatting>
  <conditionalFormatting sqref="R225">
    <cfRule type="cellIs" dxfId="62" priority="4" stopIfTrue="1" operator="equal">
      <formula>"ERROR"</formula>
    </cfRule>
  </conditionalFormatting>
  <conditionalFormatting sqref="R225">
    <cfRule type="cellIs" dxfId="61" priority="5" stopIfTrue="1" operator="equal">
      <formula>"OK"</formula>
    </cfRule>
  </conditionalFormatting>
  <conditionalFormatting sqref="R225">
    <cfRule type="cellIs" dxfId="60" priority="6" stopIfTrue="1" operator="equal">
      <formula>"WARNING"</formula>
    </cfRule>
  </conditionalFormatting>
  <conditionalFormatting sqref="U225">
    <cfRule type="cellIs" dxfId="59" priority="1" stopIfTrue="1" operator="equal">
      <formula>"ERROR"</formula>
    </cfRule>
  </conditionalFormatting>
  <conditionalFormatting sqref="U225">
    <cfRule type="cellIs" dxfId="58" priority="2" stopIfTrue="1" operator="equal">
      <formula>"OK"</formula>
    </cfRule>
  </conditionalFormatting>
  <conditionalFormatting sqref="U225">
    <cfRule type="cellIs" dxfId="57" priority="3" stopIfTrue="1" operator="equal">
      <formula>"WARNING"</formula>
    </cfRule>
  </conditionalFormatting>
  <hyperlinks>
    <hyperlink ref="B1" location="Summary!A1" display="Summary!A1" xr:uid="{02D63A7E-4C54-43F6-A744-22F0C34FEC50}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Sheet7">
    <tabColor theme="4" tint="-0.499984740745262"/>
  </sheetPr>
  <dimension ref="B1:BT224"/>
  <sheetViews>
    <sheetView showGridLines="0" zoomScaleNormal="100" workbookViewId="0">
      <selection activeCell="G3" sqref="G3"/>
    </sheetView>
  </sheetViews>
  <sheetFormatPr defaultRowHeight="15" x14ac:dyDescent="0.2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1" spans="2:56" x14ac:dyDescent="0.25">
      <c r="B1" s="482" t="s">
        <v>432</v>
      </c>
    </row>
    <row r="2" spans="2:56" ht="26.25" x14ac:dyDescent="0.4">
      <c r="B2" s="2" t="s">
        <v>90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 x14ac:dyDescent="0.25">
      <c r="B4" s="221" t="s">
        <v>168</v>
      </c>
      <c r="C4" s="222" t="str" cm="1">
        <f t="array" aca="1" ref="C4" ca="1">_xll.d.TestUtils_And(C7:C14)</f>
        <v>Ok</v>
      </c>
      <c r="E4" s="149" t="s">
        <v>123</v>
      </c>
      <c r="F4" s="59"/>
    </row>
    <row r="5" spans="2:56" x14ac:dyDescent="0.25">
      <c r="E5" s="483" t="s">
        <v>122</v>
      </c>
      <c r="F5" s="484"/>
    </row>
    <row r="6" spans="2:56" x14ac:dyDescent="0.25">
      <c r="B6" s="223" t="s">
        <v>10</v>
      </c>
      <c r="C6" s="224" t="s">
        <v>11</v>
      </c>
      <c r="E6" s="485" t="s">
        <v>121</v>
      </c>
      <c r="F6" s="146"/>
    </row>
    <row r="7" spans="2:56" x14ac:dyDescent="0.25">
      <c r="B7" s="220" t="s">
        <v>114</v>
      </c>
      <c r="C7" s="180" t="str">
        <f ca="1">C24</f>
        <v>Ok</v>
      </c>
    </row>
    <row r="8" spans="2:56" x14ac:dyDescent="0.25">
      <c r="B8" s="220" t="s">
        <v>116</v>
      </c>
      <c r="C8" s="180" t="str">
        <f ca="1">C48</f>
        <v>Ok</v>
      </c>
    </row>
    <row r="9" spans="2:56" x14ac:dyDescent="0.25">
      <c r="B9" s="220" t="s">
        <v>117</v>
      </c>
      <c r="C9" s="180" t="str">
        <f ca="1">C72</f>
        <v>Ok</v>
      </c>
    </row>
    <row r="10" spans="2:56" x14ac:dyDescent="0.25">
      <c r="B10" s="220" t="s">
        <v>120</v>
      </c>
      <c r="C10" s="180" t="str">
        <f ca="1">C108</f>
        <v>Ok</v>
      </c>
    </row>
    <row r="11" spans="2:56" x14ac:dyDescent="0.25">
      <c r="B11" s="220" t="s">
        <v>125</v>
      </c>
      <c r="C11" s="180" t="str">
        <f ca="1">C144</f>
        <v>Ok</v>
      </c>
    </row>
    <row r="12" spans="2:56" x14ac:dyDescent="0.25">
      <c r="B12" s="220" t="s">
        <v>127</v>
      </c>
      <c r="C12" s="180" t="str">
        <f ca="1">C166</f>
        <v>Ok</v>
      </c>
    </row>
    <row r="13" spans="2:56" x14ac:dyDescent="0.25">
      <c r="B13" s="220" t="s">
        <v>169</v>
      </c>
      <c r="C13" s="180" t="str">
        <f ca="1">C186</f>
        <v>Ok</v>
      </c>
    </row>
    <row r="14" spans="2:56" x14ac:dyDescent="0.25">
      <c r="B14" s="220" t="s">
        <v>174</v>
      </c>
      <c r="C14" s="180" t="str">
        <f ca="1">C203</f>
        <v>Ok</v>
      </c>
    </row>
    <row r="17" spans="2:72" s="64" customFormat="1" x14ac:dyDescent="0.25">
      <c r="B17" s="64" t="s">
        <v>93</v>
      </c>
    </row>
    <row r="18" spans="2:72" x14ac:dyDescent="0.25">
      <c r="B18" t="s">
        <v>94</v>
      </c>
    </row>
    <row r="20" spans="2:72" x14ac:dyDescent="0.25">
      <c r="B20" t="s">
        <v>107</v>
      </c>
    </row>
    <row r="22" spans="2:72" ht="18.75" x14ac:dyDescent="0.3">
      <c r="B22" s="79" t="s">
        <v>114</v>
      </c>
      <c r="C22" s="77"/>
      <c r="D22" s="77"/>
      <c r="E22" s="77"/>
      <c r="F22" s="77"/>
      <c r="G22" s="77"/>
      <c r="H22" s="77"/>
      <c r="I22" s="77"/>
      <c r="J22" s="77"/>
      <c r="K22" s="77"/>
      <c r="L22" s="77"/>
      <c r="M22" s="77"/>
      <c r="N22" s="77"/>
      <c r="O22" s="77"/>
      <c r="P22" s="77"/>
      <c r="Q22" s="77"/>
      <c r="R22" s="77"/>
      <c r="S22" s="77"/>
      <c r="T22" s="77"/>
      <c r="U22" s="77"/>
      <c r="V22" s="77"/>
      <c r="W22" s="77"/>
      <c r="X22" s="77"/>
      <c r="Y22" s="77"/>
      <c r="Z22" s="77"/>
      <c r="AA22" s="77"/>
      <c r="AB22" s="77"/>
      <c r="AC22" s="77"/>
      <c r="AD22" s="77"/>
      <c r="AE22" s="77"/>
      <c r="AF22" s="77"/>
      <c r="AG22" s="77"/>
      <c r="AH22" s="77"/>
      <c r="AI22" s="77"/>
      <c r="AJ22" s="77"/>
      <c r="AK22" s="77"/>
      <c r="AL22" s="77"/>
      <c r="AM22" s="77"/>
      <c r="AN22" s="77"/>
      <c r="AO22" s="77"/>
      <c r="AP22" s="77"/>
      <c r="AQ22" s="77"/>
      <c r="AR22" s="77"/>
      <c r="AS22" s="77"/>
      <c r="AT22" s="77"/>
      <c r="AU22" s="77"/>
      <c r="AV22" s="77"/>
      <c r="AW22" s="77"/>
      <c r="AX22" s="77"/>
      <c r="AY22" s="77"/>
      <c r="AZ22" s="77"/>
      <c r="BA22" s="77"/>
      <c r="BB22" s="77"/>
      <c r="BC22" s="77"/>
      <c r="BD22" s="77"/>
      <c r="BE22" s="77"/>
      <c r="BF22" s="77"/>
      <c r="BG22" s="77"/>
      <c r="BH22" s="77"/>
      <c r="BI22" s="77"/>
      <c r="BJ22" s="77"/>
      <c r="BK22" s="77"/>
      <c r="BL22" s="77"/>
      <c r="BM22" s="77"/>
      <c r="BN22" s="77"/>
      <c r="BO22" s="77"/>
      <c r="BP22" s="77"/>
      <c r="BQ22" s="77"/>
      <c r="BR22" s="77"/>
      <c r="BS22" s="77"/>
      <c r="BT22" s="77"/>
    </row>
    <row r="24" spans="2:72" x14ac:dyDescent="0.25">
      <c r="B24" s="59" t="s">
        <v>133</v>
      </c>
      <c r="C24" s="180" t="str" cm="1">
        <f t="array" aca="1" ref="C24" ca="1">_xll.d.TestUtils_And(BD39:BT43)</f>
        <v>Ok</v>
      </c>
    </row>
    <row r="26" spans="2:72" x14ac:dyDescent="0.25">
      <c r="B26" s="59" t="s">
        <v>115</v>
      </c>
      <c r="C26" s="59" t="s">
        <v>33</v>
      </c>
    </row>
    <row r="27" spans="2:72" x14ac:dyDescent="0.25">
      <c r="B27" s="96" t="s">
        <v>110</v>
      </c>
      <c r="C27" s="162" t="s">
        <v>129</v>
      </c>
    </row>
    <row r="28" spans="2:72" x14ac:dyDescent="0.25">
      <c r="B28" s="90" t="s">
        <v>111</v>
      </c>
      <c r="C28" s="163" t="s">
        <v>0</v>
      </c>
    </row>
    <row r="29" spans="2:72" x14ac:dyDescent="0.25">
      <c r="B29" s="92"/>
      <c r="C29" s="164" t="s">
        <v>112</v>
      </c>
    </row>
    <row r="30" spans="2:72" x14ac:dyDescent="0.25">
      <c r="B30" s="94"/>
      <c r="C30" s="165" t="s">
        <v>113</v>
      </c>
    </row>
    <row r="31" spans="2:72" x14ac:dyDescent="0.25">
      <c r="B31" s="161" t="s">
        <v>128</v>
      </c>
      <c r="C31" s="167">
        <v>2</v>
      </c>
    </row>
    <row r="32" spans="2:72" x14ac:dyDescent="0.25">
      <c r="B32" s="161" t="s">
        <v>129</v>
      </c>
      <c r="C32" s="167">
        <v>0</v>
      </c>
    </row>
    <row r="33" spans="2:72" x14ac:dyDescent="0.25">
      <c r="B33" s="144" t="s">
        <v>118</v>
      </c>
      <c r="C33" s="145"/>
    </row>
    <row r="35" spans="2:72" x14ac:dyDescent="0.25">
      <c r="B35" t="s">
        <v>95</v>
      </c>
    </row>
    <row r="37" spans="2:72" x14ac:dyDescent="0.25">
      <c r="B37" s="70" t="s">
        <v>92</v>
      </c>
      <c r="T37" s="70" t="s">
        <v>108</v>
      </c>
      <c r="AL37" s="70" t="s">
        <v>109</v>
      </c>
      <c r="BD37" s="70" t="s">
        <v>134</v>
      </c>
    </row>
    <row r="39" spans="2:72" x14ac:dyDescent="0.25">
      <c r="B39" s="12" t="s">
        <v>97</v>
      </c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13"/>
      <c r="T39" s="89" t="s">
        <v>97</v>
      </c>
      <c r="U39" s="89"/>
      <c r="V39" s="89"/>
      <c r="W39" s="89"/>
      <c r="X39" s="89"/>
      <c r="Y39" s="89"/>
      <c r="Z39" s="89"/>
      <c r="AA39" s="89"/>
      <c r="AB39" s="89"/>
      <c r="AC39" s="89"/>
      <c r="AD39" s="89"/>
      <c r="AE39" s="89"/>
      <c r="AF39" s="89"/>
      <c r="AG39" s="89"/>
      <c r="AH39" s="89"/>
      <c r="AI39" s="89"/>
      <c r="AJ39" s="89"/>
      <c r="AL39" s="136" t="s">
        <v>97</v>
      </c>
      <c r="AM39" s="226"/>
      <c r="AN39" s="226"/>
      <c r="AO39" s="226"/>
      <c r="AP39" s="226"/>
      <c r="AQ39" s="226"/>
      <c r="AR39" s="226"/>
      <c r="AS39" s="226"/>
      <c r="AT39" s="226"/>
      <c r="AU39" s="226"/>
      <c r="AV39" s="226"/>
      <c r="AW39" s="226"/>
      <c r="AX39" s="226"/>
      <c r="AY39" s="226"/>
      <c r="AZ39" s="226"/>
      <c r="BA39" s="226"/>
      <c r="BB39" s="137"/>
      <c r="BD39" s="180" t="str" cm="1">
        <f t="array" aca="1" ref="BD39" ca="1">_xll.d.TestUtils_IsTrue(_xll.d.Formatting_Equal(B39,AL39))</f>
        <v>Ok</v>
      </c>
      <c r="BE39" s="180" t="str" cm="1">
        <f t="array" aca="1" ref="BE39" ca="1">_xll.d.TestUtils_IsTrue(_xll.d.Formatting_Equal(C39,AM39))</f>
        <v>Ok</v>
      </c>
      <c r="BF39" s="180" t="str" cm="1">
        <f t="array" aca="1" ref="BF39" ca="1">_xll.d.TestUtils_IsTrue(_xll.d.Formatting_Equal(D39,AN39))</f>
        <v>Ok</v>
      </c>
      <c r="BG39" s="180" t="str" cm="1">
        <f t="array" aca="1" ref="BG39" ca="1">_xll.d.TestUtils_IsTrue(_xll.d.Formatting_Equal(E39,AO39))</f>
        <v>Ok</v>
      </c>
      <c r="BH39" s="180" t="str" cm="1">
        <f t="array" aca="1" ref="BH39" ca="1">_xll.d.TestUtils_IsTrue(_xll.d.Formatting_Equal(F39,AP39))</f>
        <v>Ok</v>
      </c>
      <c r="BI39" s="180" t="str" cm="1">
        <f t="array" aca="1" ref="BI39" ca="1">_xll.d.TestUtils_IsTrue(_xll.d.Formatting_Equal(G39,AQ39))</f>
        <v>Ok</v>
      </c>
      <c r="BJ39" s="180" t="str" cm="1">
        <f t="array" aca="1" ref="BJ39" ca="1">_xll.d.TestUtils_IsTrue(_xll.d.Formatting_Equal(H39,AR39))</f>
        <v>Ok</v>
      </c>
      <c r="BK39" s="180" t="str" cm="1">
        <f t="array" aca="1" ref="BK39" ca="1">_xll.d.TestUtils_IsTrue(_xll.d.Formatting_Equal(I39,AS39))</f>
        <v>Ok</v>
      </c>
      <c r="BL39" s="180" t="str" cm="1">
        <f t="array" aca="1" ref="BL39" ca="1">_xll.d.TestUtils_IsTrue(_xll.d.Formatting_Equal(J39,AT39))</f>
        <v>Ok</v>
      </c>
      <c r="BM39" s="180" t="str" cm="1">
        <f t="array" aca="1" ref="BM39" ca="1">_xll.d.TestUtils_IsTrue(_xll.d.Formatting_Equal(K39,AU39))</f>
        <v>Ok</v>
      </c>
      <c r="BN39" s="180" t="str" cm="1">
        <f t="array" aca="1" ref="BN39" ca="1">_xll.d.TestUtils_IsTrue(_xll.d.Formatting_Equal(L39,AV39))</f>
        <v>Ok</v>
      </c>
      <c r="BO39" s="180" t="str" cm="1">
        <f t="array" aca="1" ref="BO39" ca="1">_xll.d.TestUtils_IsTrue(_xll.d.Formatting_Equal(M39,AW39))</f>
        <v>Ok</v>
      </c>
      <c r="BP39" s="180" t="str" cm="1">
        <f t="array" aca="1" ref="BP39" ca="1">_xll.d.TestUtils_IsTrue(_xll.d.Formatting_Equal(N39,AX39))</f>
        <v>Ok</v>
      </c>
      <c r="BQ39" s="180" t="str" cm="1">
        <f t="array" aca="1" ref="BQ39" ca="1">_xll.d.TestUtils_IsTrue(_xll.d.Formatting_Equal(O39,AY39))</f>
        <v>Ok</v>
      </c>
      <c r="BR39" s="180" t="str" cm="1">
        <f t="array" aca="1" ref="BR39" ca="1">_xll.d.TestUtils_IsTrue(_xll.d.Formatting_Equal(P39,AZ39))</f>
        <v>Ok</v>
      </c>
      <c r="BS39" s="180" t="str" cm="1">
        <f t="array" aca="1" ref="BS39" ca="1">_xll.d.TestUtils_IsTrue(_xll.d.Formatting_Equal(Q39,BA39))</f>
        <v>Ok</v>
      </c>
      <c r="BT39" s="180" t="str" cm="1">
        <f t="array" aca="1" ref="BT39" ca="1">_xll.d.TestUtils_IsTrue(_xll.d.Formatting_Equal(R39,BB39))</f>
        <v>Ok</v>
      </c>
    </row>
    <row r="40" spans="2:72" x14ac:dyDescent="0.25">
      <c r="B40" s="74" t="s">
        <v>35</v>
      </c>
      <c r="C40" s="75" t="s">
        <v>0</v>
      </c>
      <c r="D40" s="75" t="s">
        <v>98</v>
      </c>
      <c r="E40" s="75" t="s">
        <v>99</v>
      </c>
      <c r="F40" s="75" t="s">
        <v>100</v>
      </c>
      <c r="G40" s="75" t="s">
        <v>101</v>
      </c>
      <c r="H40" s="75" t="s">
        <v>102</v>
      </c>
      <c r="I40" s="75" t="s">
        <v>81</v>
      </c>
      <c r="J40" s="75" t="s">
        <v>82</v>
      </c>
      <c r="K40" s="75" t="s">
        <v>83</v>
      </c>
      <c r="L40" s="75" t="s">
        <v>103</v>
      </c>
      <c r="M40" s="75" t="s">
        <v>25</v>
      </c>
      <c r="N40" s="75" t="s">
        <v>40</v>
      </c>
      <c r="O40" s="75" t="s">
        <v>104</v>
      </c>
      <c r="P40" s="75" t="s">
        <v>96</v>
      </c>
      <c r="Q40" s="75" t="s">
        <v>106</v>
      </c>
      <c r="R40" s="76" t="s">
        <v>105</v>
      </c>
      <c r="T40" s="89" t="s">
        <v>35</v>
      </c>
      <c r="U40" s="89" t="s">
        <v>0</v>
      </c>
      <c r="V40" s="89" t="s">
        <v>98</v>
      </c>
      <c r="W40" s="89" t="s">
        <v>99</v>
      </c>
      <c r="X40" s="89" t="s">
        <v>100</v>
      </c>
      <c r="Y40" s="89" t="s">
        <v>101</v>
      </c>
      <c r="Z40" s="89" t="s">
        <v>102</v>
      </c>
      <c r="AA40" s="89" t="s">
        <v>81</v>
      </c>
      <c r="AB40" s="89" t="s">
        <v>82</v>
      </c>
      <c r="AC40" s="89" t="s">
        <v>83</v>
      </c>
      <c r="AD40" s="89" t="s">
        <v>103</v>
      </c>
      <c r="AE40" s="89" t="s">
        <v>25</v>
      </c>
      <c r="AF40" s="89" t="s">
        <v>40</v>
      </c>
      <c r="AG40" s="89" t="s">
        <v>104</v>
      </c>
      <c r="AH40" s="89" t="s">
        <v>96</v>
      </c>
      <c r="AI40" s="89" t="s">
        <v>106</v>
      </c>
      <c r="AJ40" s="89" t="s">
        <v>105</v>
      </c>
      <c r="AL40" s="134" t="s">
        <v>35</v>
      </c>
      <c r="AM40" s="339" t="s">
        <v>0</v>
      </c>
      <c r="AN40" s="339" t="s">
        <v>98</v>
      </c>
      <c r="AO40" s="339" t="s">
        <v>99</v>
      </c>
      <c r="AP40" s="339" t="s">
        <v>100</v>
      </c>
      <c r="AQ40" s="339" t="s">
        <v>101</v>
      </c>
      <c r="AR40" s="339" t="s">
        <v>102</v>
      </c>
      <c r="AS40" s="339" t="s">
        <v>81</v>
      </c>
      <c r="AT40" s="339" t="s">
        <v>82</v>
      </c>
      <c r="AU40" s="339" t="s">
        <v>83</v>
      </c>
      <c r="AV40" s="339" t="s">
        <v>103</v>
      </c>
      <c r="AW40" s="339" t="s">
        <v>25</v>
      </c>
      <c r="AX40" s="339" t="s">
        <v>40</v>
      </c>
      <c r="AY40" s="339" t="s">
        <v>104</v>
      </c>
      <c r="AZ40" s="339" t="s">
        <v>96</v>
      </c>
      <c r="BA40" s="339" t="s">
        <v>106</v>
      </c>
      <c r="BB40" s="135" t="s">
        <v>105</v>
      </c>
      <c r="BD40" s="180" t="str" cm="1">
        <f t="array" aca="1" ref="BD40" ca="1">_xll.d.TestUtils_IsTrue(_xll.d.Formatting_Equal(B40,AL40))</f>
        <v>Ok</v>
      </c>
      <c r="BE40" s="180" t="str" cm="1">
        <f t="array" aca="1" ref="BE40" ca="1">_xll.d.TestUtils_IsTrue(_xll.d.Formatting_Equal(C40,AM40))</f>
        <v>Ok</v>
      </c>
      <c r="BF40" s="180" t="str" cm="1">
        <f t="array" aca="1" ref="BF40" ca="1">_xll.d.TestUtils_IsTrue(_xll.d.Formatting_Equal(D40,AN40))</f>
        <v>Ok</v>
      </c>
      <c r="BG40" s="180" t="str" cm="1">
        <f t="array" aca="1" ref="BG40" ca="1">_xll.d.TestUtils_IsTrue(_xll.d.Formatting_Equal(E40,AO40))</f>
        <v>Ok</v>
      </c>
      <c r="BH40" s="180" t="str" cm="1">
        <f t="array" aca="1" ref="BH40" ca="1">_xll.d.TestUtils_IsTrue(_xll.d.Formatting_Equal(F40,AP40))</f>
        <v>Ok</v>
      </c>
      <c r="BI40" s="180" t="str" cm="1">
        <f t="array" aca="1" ref="BI40" ca="1">_xll.d.TestUtils_IsTrue(_xll.d.Formatting_Equal(G40,AQ40))</f>
        <v>Ok</v>
      </c>
      <c r="BJ40" s="180" t="str" cm="1">
        <f t="array" aca="1" ref="BJ40" ca="1">_xll.d.TestUtils_IsTrue(_xll.d.Formatting_Equal(H40,AR40))</f>
        <v>Ok</v>
      </c>
      <c r="BK40" s="180" t="str" cm="1">
        <f t="array" aca="1" ref="BK40" ca="1">_xll.d.TestUtils_IsTrue(_xll.d.Formatting_Equal(I40,AS40))</f>
        <v>Ok</v>
      </c>
      <c r="BL40" s="180" t="str" cm="1">
        <f t="array" aca="1" ref="BL40" ca="1">_xll.d.TestUtils_IsTrue(_xll.d.Formatting_Equal(J40,AT40))</f>
        <v>Ok</v>
      </c>
      <c r="BM40" s="180" t="str" cm="1">
        <f t="array" aca="1" ref="BM40" ca="1">_xll.d.TestUtils_IsTrue(_xll.d.Formatting_Equal(K40,AU40))</f>
        <v>Ok</v>
      </c>
      <c r="BN40" s="180" t="str" cm="1">
        <f t="array" aca="1" ref="BN40" ca="1">_xll.d.TestUtils_IsTrue(_xll.d.Formatting_Equal(L40,AV40))</f>
        <v>Ok</v>
      </c>
      <c r="BO40" s="180" t="str" cm="1">
        <f t="array" aca="1" ref="BO40" ca="1">_xll.d.TestUtils_IsTrue(_xll.d.Formatting_Equal(M40,AW40))</f>
        <v>Ok</v>
      </c>
      <c r="BP40" s="180" t="str" cm="1">
        <f t="array" aca="1" ref="BP40" ca="1">_xll.d.TestUtils_IsTrue(_xll.d.Formatting_Equal(N40,AX40))</f>
        <v>Ok</v>
      </c>
      <c r="BQ40" s="180" t="str" cm="1">
        <f t="array" aca="1" ref="BQ40" ca="1">_xll.d.TestUtils_IsTrue(_xll.d.Formatting_Equal(O40,AY40))</f>
        <v>Ok</v>
      </c>
      <c r="BR40" s="180" t="str" cm="1">
        <f t="array" aca="1" ref="BR40" ca="1">_xll.d.TestUtils_IsTrue(_xll.d.Formatting_Equal(P40,AZ40))</f>
        <v>Ok</v>
      </c>
      <c r="BS40" s="180" t="str" cm="1">
        <f t="array" aca="1" ref="BS40" ca="1">_xll.d.TestUtils_IsTrue(_xll.d.Formatting_Equal(Q40,BA40))</f>
        <v>Ok</v>
      </c>
      <c r="BT40" s="180" t="str" cm="1">
        <f t="array" aca="1" ref="BT40" ca="1">_xll.d.TestUtils_IsTrue(_xll.d.Formatting_Equal(R40,BB40))</f>
        <v>Ok</v>
      </c>
    </row>
    <row r="41" spans="2:72" x14ac:dyDescent="0.25">
      <c r="B41" s="126">
        <v>44562</v>
      </c>
      <c r="C41" s="129">
        <v>44562</v>
      </c>
      <c r="D41" s="108">
        <v>1000</v>
      </c>
      <c r="E41" s="111">
        <v>1000</v>
      </c>
      <c r="F41" s="114">
        <v>1000</v>
      </c>
      <c r="G41" s="117">
        <v>1000</v>
      </c>
      <c r="H41" s="120">
        <v>0.3</v>
      </c>
      <c r="I41" s="120">
        <v>0.3</v>
      </c>
      <c r="J41" s="120">
        <v>0.3</v>
      </c>
      <c r="K41" s="120">
        <v>0.3</v>
      </c>
      <c r="L41" s="120">
        <v>0.3</v>
      </c>
      <c r="M41" s="120">
        <v>0.3</v>
      </c>
      <c r="N41" s="120">
        <v>0.3</v>
      </c>
      <c r="O41" s="120">
        <v>0.3</v>
      </c>
      <c r="P41" s="120">
        <v>0.3</v>
      </c>
      <c r="Q41" s="120">
        <v>0.3</v>
      </c>
      <c r="R41" s="123">
        <v>0.3</v>
      </c>
      <c r="T41" s="89">
        <v>44562</v>
      </c>
      <c r="U41" s="89">
        <v>44562</v>
      </c>
      <c r="V41" s="89">
        <v>1000</v>
      </c>
      <c r="W41" s="89">
        <v>1000</v>
      </c>
      <c r="X41" s="89">
        <v>1000</v>
      </c>
      <c r="Y41" s="89">
        <v>1000</v>
      </c>
      <c r="Z41" s="89">
        <v>0.3</v>
      </c>
      <c r="AA41" s="89">
        <v>0.3</v>
      </c>
      <c r="AB41" s="89">
        <v>0.3</v>
      </c>
      <c r="AC41" s="89">
        <v>0.3</v>
      </c>
      <c r="AD41" s="89">
        <v>0.3</v>
      </c>
      <c r="AE41" s="89">
        <v>0.3</v>
      </c>
      <c r="AF41" s="89">
        <v>0.3</v>
      </c>
      <c r="AG41" s="89">
        <v>0.3</v>
      </c>
      <c r="AH41" s="89">
        <v>0.3</v>
      </c>
      <c r="AI41" s="89">
        <v>0.3</v>
      </c>
      <c r="AJ41" s="89">
        <v>0.3</v>
      </c>
      <c r="AL41" s="176">
        <v>44562</v>
      </c>
      <c r="AM41" s="178">
        <v>44562</v>
      </c>
      <c r="AN41" s="340">
        <v>1000</v>
      </c>
      <c r="AO41" s="342">
        <v>1000</v>
      </c>
      <c r="AP41" s="344">
        <v>1000</v>
      </c>
      <c r="AQ41" s="346">
        <v>1000</v>
      </c>
      <c r="AR41" s="348">
        <v>0.3</v>
      </c>
      <c r="AS41" s="348">
        <v>0.3</v>
      </c>
      <c r="AT41" s="348">
        <v>0.3</v>
      </c>
      <c r="AU41" s="348">
        <v>0.3</v>
      </c>
      <c r="AV41" s="348">
        <v>0.3</v>
      </c>
      <c r="AW41" s="348">
        <v>0.3</v>
      </c>
      <c r="AX41" s="348">
        <v>0.3</v>
      </c>
      <c r="AY41" s="348">
        <v>0.3</v>
      </c>
      <c r="AZ41" s="348">
        <v>0.3</v>
      </c>
      <c r="BA41" s="348">
        <v>0.3</v>
      </c>
      <c r="BB41" s="349">
        <v>0.3</v>
      </c>
      <c r="BD41" s="180" t="str" cm="1">
        <f t="array" aca="1" ref="BD41" ca="1">_xll.d.TestUtils_IsTrue(_xll.d.Formatting_Equal(B41,AL41))</f>
        <v>Ok</v>
      </c>
      <c r="BE41" s="180" t="str" cm="1">
        <f t="array" aca="1" ref="BE41" ca="1">_xll.d.TestUtils_IsTrue(_xll.d.Formatting_Equal(C41,AM41))</f>
        <v>Ok</v>
      </c>
      <c r="BF41" s="180" t="str" cm="1">
        <f t="array" aca="1" ref="BF41" ca="1">_xll.d.TestUtils_IsTrue(_xll.d.Formatting_Equal(D41,AN41))</f>
        <v>Ok</v>
      </c>
      <c r="BG41" s="180" t="str" cm="1">
        <f t="array" aca="1" ref="BG41" ca="1">_xll.d.TestUtils_IsTrue(_xll.d.Formatting_Equal(E41,AO41))</f>
        <v>Ok</v>
      </c>
      <c r="BH41" s="180" t="str" cm="1">
        <f t="array" aca="1" ref="BH41" ca="1">_xll.d.TestUtils_IsTrue(_xll.d.Formatting_Equal(F41,AP41))</f>
        <v>Ok</v>
      </c>
      <c r="BI41" s="180" t="str" cm="1">
        <f t="array" aca="1" ref="BI41" ca="1">_xll.d.TestUtils_IsTrue(_xll.d.Formatting_Equal(G41,AQ41))</f>
        <v>Ok</v>
      </c>
      <c r="BJ41" s="180" t="str" cm="1">
        <f t="array" aca="1" ref="BJ41" ca="1">_xll.d.TestUtils_IsTrue(_xll.d.Formatting_Equal(H41,AR41))</f>
        <v>Ok</v>
      </c>
      <c r="BK41" s="180" t="str" cm="1">
        <f t="array" aca="1" ref="BK41" ca="1">_xll.d.TestUtils_IsTrue(_xll.d.Formatting_Equal(I41,AS41))</f>
        <v>Ok</v>
      </c>
      <c r="BL41" s="180" t="str" cm="1">
        <f t="array" aca="1" ref="BL41" ca="1">_xll.d.TestUtils_IsTrue(_xll.d.Formatting_Equal(J41,AT41))</f>
        <v>Ok</v>
      </c>
      <c r="BM41" s="180" t="str" cm="1">
        <f t="array" aca="1" ref="BM41" ca="1">_xll.d.TestUtils_IsTrue(_xll.d.Formatting_Equal(K41,AU41))</f>
        <v>Ok</v>
      </c>
      <c r="BN41" s="180" t="str" cm="1">
        <f t="array" aca="1" ref="BN41" ca="1">_xll.d.TestUtils_IsTrue(_xll.d.Formatting_Equal(L41,AV41))</f>
        <v>Ok</v>
      </c>
      <c r="BO41" s="180" t="str" cm="1">
        <f t="array" aca="1" ref="BO41" ca="1">_xll.d.TestUtils_IsTrue(_xll.d.Formatting_Equal(M41,AW41))</f>
        <v>Ok</v>
      </c>
      <c r="BP41" s="180" t="str" cm="1">
        <f t="array" aca="1" ref="BP41" ca="1">_xll.d.TestUtils_IsTrue(_xll.d.Formatting_Equal(N41,AX41))</f>
        <v>Ok</v>
      </c>
      <c r="BQ41" s="180" t="str" cm="1">
        <f t="array" aca="1" ref="BQ41" ca="1">_xll.d.TestUtils_IsTrue(_xll.d.Formatting_Equal(O41,AY41))</f>
        <v>Ok</v>
      </c>
      <c r="BR41" s="180" t="str" cm="1">
        <f t="array" aca="1" ref="BR41" ca="1">_xll.d.TestUtils_IsTrue(_xll.d.Formatting_Equal(P41,AZ41))</f>
        <v>Ok</v>
      </c>
      <c r="BS41" s="180" t="str" cm="1">
        <f t="array" aca="1" ref="BS41" ca="1">_xll.d.TestUtils_IsTrue(_xll.d.Formatting_Equal(Q41,BA41))</f>
        <v>Ok</v>
      </c>
      <c r="BT41" s="180" t="str" cm="1">
        <f t="array" aca="1" ref="BT41" ca="1">_xll.d.TestUtils_IsTrue(_xll.d.Formatting_Equal(R41,BB41))</f>
        <v>Ok</v>
      </c>
    </row>
    <row r="42" spans="2:72" x14ac:dyDescent="0.25">
      <c r="B42" s="127">
        <v>44593</v>
      </c>
      <c r="C42" s="130">
        <v>44593</v>
      </c>
      <c r="D42" s="109">
        <v>2000</v>
      </c>
      <c r="E42" s="112">
        <v>2000</v>
      </c>
      <c r="F42" s="115">
        <v>2000</v>
      </c>
      <c r="G42" s="118">
        <v>2000</v>
      </c>
      <c r="H42" s="121">
        <v>0.4</v>
      </c>
      <c r="I42" s="121">
        <v>0.4</v>
      </c>
      <c r="J42" s="121">
        <v>0.4</v>
      </c>
      <c r="K42" s="121">
        <v>0.4</v>
      </c>
      <c r="L42" s="121">
        <v>0.4</v>
      </c>
      <c r="M42" s="121">
        <v>0.4</v>
      </c>
      <c r="N42" s="121">
        <v>0.4</v>
      </c>
      <c r="O42" s="121">
        <v>0.4</v>
      </c>
      <c r="P42" s="121">
        <v>0.4</v>
      </c>
      <c r="Q42" s="121">
        <v>0.4</v>
      </c>
      <c r="R42" s="124">
        <v>0.4</v>
      </c>
      <c r="T42" s="89">
        <v>44593</v>
      </c>
      <c r="U42" s="89">
        <v>44593</v>
      </c>
      <c r="V42" s="89">
        <v>2000</v>
      </c>
      <c r="W42" s="89">
        <v>2000</v>
      </c>
      <c r="X42" s="89">
        <v>2000</v>
      </c>
      <c r="Y42" s="89">
        <v>2000</v>
      </c>
      <c r="Z42" s="89">
        <v>0.4</v>
      </c>
      <c r="AA42" s="89">
        <v>0.4</v>
      </c>
      <c r="AB42" s="89">
        <v>0.4</v>
      </c>
      <c r="AC42" s="89">
        <v>0.4</v>
      </c>
      <c r="AD42" s="89">
        <v>0.4</v>
      </c>
      <c r="AE42" s="89">
        <v>0.4</v>
      </c>
      <c r="AF42" s="89">
        <v>0.4</v>
      </c>
      <c r="AG42" s="89">
        <v>0.4</v>
      </c>
      <c r="AH42" s="89">
        <v>0.4</v>
      </c>
      <c r="AI42" s="89">
        <v>0.4</v>
      </c>
      <c r="AJ42" s="89">
        <v>0.4</v>
      </c>
      <c r="AL42" s="177">
        <v>44593</v>
      </c>
      <c r="AM42" s="179">
        <v>44593</v>
      </c>
      <c r="AN42" s="168">
        <v>2000</v>
      </c>
      <c r="AO42" s="169">
        <v>2000</v>
      </c>
      <c r="AP42" s="170">
        <v>2000</v>
      </c>
      <c r="AQ42" s="171">
        <v>2000</v>
      </c>
      <c r="AR42" s="172">
        <v>0.4</v>
      </c>
      <c r="AS42" s="172">
        <v>0.4</v>
      </c>
      <c r="AT42" s="172">
        <v>0.4</v>
      </c>
      <c r="AU42" s="172">
        <v>0.4</v>
      </c>
      <c r="AV42" s="172">
        <v>0.4</v>
      </c>
      <c r="AW42" s="172">
        <v>0.4</v>
      </c>
      <c r="AX42" s="172">
        <v>0.4</v>
      </c>
      <c r="AY42" s="172">
        <v>0.4</v>
      </c>
      <c r="AZ42" s="172">
        <v>0.4</v>
      </c>
      <c r="BA42" s="172">
        <v>0.4</v>
      </c>
      <c r="BB42" s="174">
        <v>0.4</v>
      </c>
      <c r="BD42" s="180" t="str" cm="1">
        <f t="array" aca="1" ref="BD42" ca="1">_xll.d.TestUtils_IsTrue(_xll.d.Formatting_Equal(B42,AL42))</f>
        <v>Ok</v>
      </c>
      <c r="BE42" s="180" t="str" cm="1">
        <f t="array" aca="1" ref="BE42" ca="1">_xll.d.TestUtils_IsTrue(_xll.d.Formatting_Equal(C42,AM42))</f>
        <v>Ok</v>
      </c>
      <c r="BF42" s="180" t="str" cm="1">
        <f t="array" aca="1" ref="BF42" ca="1">_xll.d.TestUtils_IsTrue(_xll.d.Formatting_Equal(D42,AN42))</f>
        <v>Ok</v>
      </c>
      <c r="BG42" s="180" t="str" cm="1">
        <f t="array" aca="1" ref="BG42" ca="1">_xll.d.TestUtils_IsTrue(_xll.d.Formatting_Equal(E42,AO42))</f>
        <v>Ok</v>
      </c>
      <c r="BH42" s="180" t="str" cm="1">
        <f t="array" aca="1" ref="BH42" ca="1">_xll.d.TestUtils_IsTrue(_xll.d.Formatting_Equal(F42,AP42))</f>
        <v>Ok</v>
      </c>
      <c r="BI42" s="180" t="str" cm="1">
        <f t="array" aca="1" ref="BI42" ca="1">_xll.d.TestUtils_IsTrue(_xll.d.Formatting_Equal(G42,AQ42))</f>
        <v>Ok</v>
      </c>
      <c r="BJ42" s="180" t="str" cm="1">
        <f t="array" aca="1" ref="BJ42" ca="1">_xll.d.TestUtils_IsTrue(_xll.d.Formatting_Equal(H42,AR42))</f>
        <v>Ok</v>
      </c>
      <c r="BK42" s="180" t="str" cm="1">
        <f t="array" aca="1" ref="BK42" ca="1">_xll.d.TestUtils_IsTrue(_xll.d.Formatting_Equal(I42,AS42))</f>
        <v>Ok</v>
      </c>
      <c r="BL42" s="180" t="str" cm="1">
        <f t="array" aca="1" ref="BL42" ca="1">_xll.d.TestUtils_IsTrue(_xll.d.Formatting_Equal(J42,AT42))</f>
        <v>Ok</v>
      </c>
      <c r="BM42" s="180" t="str" cm="1">
        <f t="array" aca="1" ref="BM42" ca="1">_xll.d.TestUtils_IsTrue(_xll.d.Formatting_Equal(K42,AU42))</f>
        <v>Ok</v>
      </c>
      <c r="BN42" s="180" t="str" cm="1">
        <f t="array" aca="1" ref="BN42" ca="1">_xll.d.TestUtils_IsTrue(_xll.d.Formatting_Equal(L42,AV42))</f>
        <v>Ok</v>
      </c>
      <c r="BO42" s="180" t="str" cm="1">
        <f t="array" aca="1" ref="BO42" ca="1">_xll.d.TestUtils_IsTrue(_xll.d.Formatting_Equal(M42,AW42))</f>
        <v>Ok</v>
      </c>
      <c r="BP42" s="180" t="str" cm="1">
        <f t="array" aca="1" ref="BP42" ca="1">_xll.d.TestUtils_IsTrue(_xll.d.Formatting_Equal(N42,AX42))</f>
        <v>Ok</v>
      </c>
      <c r="BQ42" s="180" t="str" cm="1">
        <f t="array" aca="1" ref="BQ42" ca="1">_xll.d.TestUtils_IsTrue(_xll.d.Formatting_Equal(O42,AY42))</f>
        <v>Ok</v>
      </c>
      <c r="BR42" s="180" t="str" cm="1">
        <f t="array" aca="1" ref="BR42" ca="1">_xll.d.TestUtils_IsTrue(_xll.d.Formatting_Equal(P42,AZ42))</f>
        <v>Ok</v>
      </c>
      <c r="BS42" s="180" t="str" cm="1">
        <f t="array" aca="1" ref="BS42" ca="1">_xll.d.TestUtils_IsTrue(_xll.d.Formatting_Equal(Q42,BA42))</f>
        <v>Ok</v>
      </c>
      <c r="BT42" s="180" t="str" cm="1">
        <f t="array" aca="1" ref="BT42" ca="1">_xll.d.TestUtils_IsTrue(_xll.d.Formatting_Equal(R42,BB42))</f>
        <v>Ok</v>
      </c>
    </row>
    <row r="43" spans="2:72" x14ac:dyDescent="0.25">
      <c r="B43" s="128">
        <v>44621</v>
      </c>
      <c r="C43" s="131">
        <v>44621</v>
      </c>
      <c r="D43" s="110">
        <v>3000</v>
      </c>
      <c r="E43" s="113">
        <v>3000</v>
      </c>
      <c r="F43" s="116">
        <v>3000</v>
      </c>
      <c r="G43" s="119">
        <v>3000</v>
      </c>
      <c r="H43" s="122">
        <v>0.5</v>
      </c>
      <c r="I43" s="122">
        <v>0.5</v>
      </c>
      <c r="J43" s="122">
        <v>0.5</v>
      </c>
      <c r="K43" s="122">
        <v>0.5</v>
      </c>
      <c r="L43" s="122">
        <v>0.5</v>
      </c>
      <c r="M43" s="122">
        <v>0.5</v>
      </c>
      <c r="N43" s="122">
        <v>0.5</v>
      </c>
      <c r="O43" s="122">
        <v>0.5</v>
      </c>
      <c r="P43" s="122">
        <v>0.5</v>
      </c>
      <c r="Q43" s="122">
        <v>0.5</v>
      </c>
      <c r="R43" s="125">
        <v>0.5</v>
      </c>
      <c r="T43" s="89">
        <v>44621</v>
      </c>
      <c r="U43" s="89">
        <v>44621</v>
      </c>
      <c r="V43" s="89">
        <v>3000</v>
      </c>
      <c r="W43" s="89">
        <v>3000</v>
      </c>
      <c r="X43" s="89">
        <v>3000</v>
      </c>
      <c r="Y43" s="89">
        <v>3000</v>
      </c>
      <c r="Z43" s="89">
        <v>0.5</v>
      </c>
      <c r="AA43" s="89">
        <v>0.5</v>
      </c>
      <c r="AB43" s="89">
        <v>0.5</v>
      </c>
      <c r="AC43" s="89">
        <v>0.5</v>
      </c>
      <c r="AD43" s="89">
        <v>0.5</v>
      </c>
      <c r="AE43" s="89">
        <v>0.5</v>
      </c>
      <c r="AF43" s="89">
        <v>0.5</v>
      </c>
      <c r="AG43" s="89">
        <v>0.5</v>
      </c>
      <c r="AH43" s="89">
        <v>0.5</v>
      </c>
      <c r="AI43" s="89">
        <v>0.5</v>
      </c>
      <c r="AJ43" s="89">
        <v>0.5</v>
      </c>
      <c r="AL43" s="350">
        <v>44621</v>
      </c>
      <c r="AM43" s="351">
        <v>44621</v>
      </c>
      <c r="AN43" s="341">
        <v>3000</v>
      </c>
      <c r="AO43" s="343">
        <v>3000</v>
      </c>
      <c r="AP43" s="345">
        <v>3000</v>
      </c>
      <c r="AQ43" s="347">
        <v>3000</v>
      </c>
      <c r="AR43" s="173">
        <v>0.5</v>
      </c>
      <c r="AS43" s="173">
        <v>0.5</v>
      </c>
      <c r="AT43" s="173">
        <v>0.5</v>
      </c>
      <c r="AU43" s="173">
        <v>0.5</v>
      </c>
      <c r="AV43" s="173">
        <v>0.5</v>
      </c>
      <c r="AW43" s="173">
        <v>0.5</v>
      </c>
      <c r="AX43" s="173">
        <v>0.5</v>
      </c>
      <c r="AY43" s="173">
        <v>0.5</v>
      </c>
      <c r="AZ43" s="173">
        <v>0.5</v>
      </c>
      <c r="BA43" s="173">
        <v>0.5</v>
      </c>
      <c r="BB43" s="175">
        <v>0.5</v>
      </c>
      <c r="BD43" s="180" t="str" cm="1">
        <f t="array" aca="1" ref="BD43" ca="1">_xll.d.TestUtils_IsTrue(_xll.d.Formatting_Equal(B43,AL43))</f>
        <v>Ok</v>
      </c>
      <c r="BE43" s="180" t="str" cm="1">
        <f t="array" aca="1" ref="BE43" ca="1">_xll.d.TestUtils_IsTrue(_xll.d.Formatting_Equal(C43,AM43))</f>
        <v>Ok</v>
      </c>
      <c r="BF43" s="180" t="str" cm="1">
        <f t="array" aca="1" ref="BF43" ca="1">_xll.d.TestUtils_IsTrue(_xll.d.Formatting_Equal(D43,AN43))</f>
        <v>Ok</v>
      </c>
      <c r="BG43" s="180" t="str" cm="1">
        <f t="array" aca="1" ref="BG43" ca="1">_xll.d.TestUtils_IsTrue(_xll.d.Formatting_Equal(E43,AO43))</f>
        <v>Ok</v>
      </c>
      <c r="BH43" s="180" t="str" cm="1">
        <f t="array" aca="1" ref="BH43" ca="1">_xll.d.TestUtils_IsTrue(_xll.d.Formatting_Equal(F43,AP43))</f>
        <v>Ok</v>
      </c>
      <c r="BI43" s="180" t="str" cm="1">
        <f t="array" aca="1" ref="BI43" ca="1">_xll.d.TestUtils_IsTrue(_xll.d.Formatting_Equal(G43,AQ43))</f>
        <v>Ok</v>
      </c>
      <c r="BJ43" s="180" t="str" cm="1">
        <f t="array" aca="1" ref="BJ43" ca="1">_xll.d.TestUtils_IsTrue(_xll.d.Formatting_Equal(H43,AR43))</f>
        <v>Ok</v>
      </c>
      <c r="BK43" s="180" t="str" cm="1">
        <f t="array" aca="1" ref="BK43" ca="1">_xll.d.TestUtils_IsTrue(_xll.d.Formatting_Equal(I43,AS43))</f>
        <v>Ok</v>
      </c>
      <c r="BL43" s="180" t="str" cm="1">
        <f t="array" aca="1" ref="BL43" ca="1">_xll.d.TestUtils_IsTrue(_xll.d.Formatting_Equal(J43,AT43))</f>
        <v>Ok</v>
      </c>
      <c r="BM43" s="180" t="str" cm="1">
        <f t="array" aca="1" ref="BM43" ca="1">_xll.d.TestUtils_IsTrue(_xll.d.Formatting_Equal(K43,AU43))</f>
        <v>Ok</v>
      </c>
      <c r="BN43" s="180" t="str" cm="1">
        <f t="array" aca="1" ref="BN43" ca="1">_xll.d.TestUtils_IsTrue(_xll.d.Formatting_Equal(L43,AV43))</f>
        <v>Ok</v>
      </c>
      <c r="BO43" s="180" t="str" cm="1">
        <f t="array" aca="1" ref="BO43" ca="1">_xll.d.TestUtils_IsTrue(_xll.d.Formatting_Equal(M43,AW43))</f>
        <v>Ok</v>
      </c>
      <c r="BP43" s="180" t="str" cm="1">
        <f t="array" aca="1" ref="BP43" ca="1">_xll.d.TestUtils_IsTrue(_xll.d.Formatting_Equal(N43,AX43))</f>
        <v>Ok</v>
      </c>
      <c r="BQ43" s="180" t="str" cm="1">
        <f t="array" aca="1" ref="BQ43" ca="1">_xll.d.TestUtils_IsTrue(_xll.d.Formatting_Equal(O43,AY43))</f>
        <v>Ok</v>
      </c>
      <c r="BR43" s="180" t="str" cm="1">
        <f t="array" aca="1" ref="BR43" ca="1">_xll.d.TestUtils_IsTrue(_xll.d.Formatting_Equal(P43,AZ43))</f>
        <v>Ok</v>
      </c>
      <c r="BS43" s="180" t="str" cm="1">
        <f t="array" aca="1" ref="BS43" ca="1">_xll.d.TestUtils_IsTrue(_xll.d.Formatting_Equal(Q43,BA43))</f>
        <v>Ok</v>
      </c>
      <c r="BT43" s="180" t="str" cm="1">
        <f t="array" aca="1" ref="BT43" ca="1">_xll.d.TestUtils_IsTrue(_xll.d.Formatting_Equal(R43,BB43))</f>
        <v>Ok</v>
      </c>
    </row>
    <row r="44" spans="2:72" x14ac:dyDescent="0.25">
      <c r="AL44" s="151"/>
      <c r="AM44" s="151"/>
      <c r="AN44" s="151"/>
      <c r="AO44" s="151"/>
      <c r="AP44" s="151"/>
      <c r="AQ44" s="151"/>
      <c r="AR44" s="151"/>
      <c r="AS44" s="151"/>
      <c r="AT44" s="151"/>
      <c r="AU44" s="151"/>
      <c r="AV44" s="151"/>
      <c r="AW44" s="151"/>
      <c r="AX44" s="151"/>
      <c r="AY44" s="151"/>
      <c r="AZ44" s="151"/>
      <c r="BA44" s="151"/>
      <c r="BB44" s="151"/>
    </row>
    <row r="46" spans="2:72" ht="18.75" x14ac:dyDescent="0.3">
      <c r="B46" s="3" t="s">
        <v>116</v>
      </c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</row>
    <row r="48" spans="2:72" x14ac:dyDescent="0.25">
      <c r="B48" s="59" t="s">
        <v>133</v>
      </c>
      <c r="C48" s="180" t="str" cm="1">
        <f t="array" aca="1" ref="C48" ca="1">_xll.d.TestUtils_And(BD63:BT67)</f>
        <v>Ok</v>
      </c>
    </row>
    <row r="50" spans="2:72" x14ac:dyDescent="0.25">
      <c r="B50" s="59" t="s">
        <v>115</v>
      </c>
      <c r="C50" s="59" t="s">
        <v>33</v>
      </c>
    </row>
    <row r="51" spans="2:72" x14ac:dyDescent="0.25">
      <c r="B51" s="96" t="s">
        <v>110</v>
      </c>
      <c r="C51" s="97" t="s">
        <v>128</v>
      </c>
    </row>
    <row r="52" spans="2:72" x14ac:dyDescent="0.25">
      <c r="B52" s="90" t="s">
        <v>111</v>
      </c>
      <c r="C52" s="91" t="s">
        <v>0</v>
      </c>
    </row>
    <row r="53" spans="2:72" x14ac:dyDescent="0.25">
      <c r="B53" s="92"/>
      <c r="C53" s="93" t="s">
        <v>112</v>
      </c>
    </row>
    <row r="54" spans="2:72" x14ac:dyDescent="0.25">
      <c r="B54" s="94"/>
      <c r="C54" s="95" t="s">
        <v>113</v>
      </c>
    </row>
    <row r="55" spans="2:72" x14ac:dyDescent="0.25">
      <c r="B55" s="161" t="s">
        <v>128</v>
      </c>
      <c r="C55" s="167">
        <v>2</v>
      </c>
    </row>
    <row r="56" spans="2:72" x14ac:dyDescent="0.25">
      <c r="B56" s="161" t="s">
        <v>129</v>
      </c>
      <c r="C56" s="167">
        <v>0</v>
      </c>
    </row>
    <row r="57" spans="2:72" x14ac:dyDescent="0.25">
      <c r="B57" s="144" t="s">
        <v>118</v>
      </c>
      <c r="C57" s="145"/>
    </row>
    <row r="58" spans="2:72" x14ac:dyDescent="0.25">
      <c r="B58" s="64"/>
      <c r="C58" s="64"/>
    </row>
    <row r="59" spans="2:72" x14ac:dyDescent="0.25">
      <c r="B59" t="s">
        <v>119</v>
      </c>
      <c r="C59" s="64"/>
    </row>
    <row r="60" spans="2:72" x14ac:dyDescent="0.25">
      <c r="B60" s="64"/>
      <c r="C60" s="64"/>
    </row>
    <row r="61" spans="2:72" x14ac:dyDescent="0.25">
      <c r="B61" s="70" t="s">
        <v>92</v>
      </c>
      <c r="T61" s="70" t="s">
        <v>108</v>
      </c>
      <c r="AL61" s="70" t="s">
        <v>109</v>
      </c>
      <c r="BD61" s="70" t="s">
        <v>134</v>
      </c>
    </row>
    <row r="63" spans="2:72" x14ac:dyDescent="0.25">
      <c r="B63" s="89" t="s">
        <v>97</v>
      </c>
      <c r="C63" s="89"/>
      <c r="D63" s="89"/>
      <c r="E63" s="89"/>
      <c r="F63" s="89"/>
      <c r="G63" s="89"/>
      <c r="H63" s="89"/>
      <c r="I63" s="89"/>
      <c r="J63" s="89"/>
      <c r="K63" s="89"/>
      <c r="L63" s="89"/>
      <c r="M63" s="89"/>
      <c r="N63" s="89"/>
      <c r="O63" s="89"/>
      <c r="P63" s="89"/>
      <c r="Q63" s="89"/>
      <c r="R63" s="89"/>
      <c r="T63" s="12" t="s">
        <v>97</v>
      </c>
      <c r="U63" s="27"/>
      <c r="V63" s="27"/>
      <c r="W63" s="27"/>
      <c r="X63" s="27"/>
      <c r="Y63" s="27"/>
      <c r="Z63" s="27"/>
      <c r="AA63" s="27"/>
      <c r="AB63" s="27"/>
      <c r="AC63" s="27"/>
      <c r="AD63" s="27"/>
      <c r="AE63" s="27"/>
      <c r="AF63" s="27"/>
      <c r="AG63" s="27"/>
      <c r="AH63" s="27"/>
      <c r="AI63" s="27"/>
      <c r="AJ63" s="13"/>
      <c r="AL63" s="150" t="s">
        <v>97</v>
      </c>
      <c r="AM63" s="150"/>
      <c r="AN63" s="150"/>
      <c r="AO63" s="150"/>
      <c r="AP63" s="150"/>
      <c r="AQ63" s="150"/>
      <c r="AR63" s="150"/>
      <c r="AS63" s="150"/>
      <c r="AT63" s="150"/>
      <c r="AU63" s="150"/>
      <c r="AV63" s="150"/>
      <c r="AW63" s="150"/>
      <c r="AX63" s="150"/>
      <c r="AY63" s="150"/>
      <c r="AZ63" s="150"/>
      <c r="BA63" s="150"/>
      <c r="BB63" s="150"/>
      <c r="BD63" s="180" t="str" cm="1">
        <f t="array" aca="1" ref="BD63" ca="1">_xll.d.TestUtils_IsTrue(_xll.d.Formatting_Equal(B63,AL63))</f>
        <v>Ok</v>
      </c>
      <c r="BE63" s="180" t="str" cm="1">
        <f t="array" aca="1" ref="BE63" ca="1">_xll.d.TestUtils_IsTrue(_xll.d.Formatting_Equal(C63,AM63))</f>
        <v>Ok</v>
      </c>
      <c r="BF63" s="180" t="str" cm="1">
        <f t="array" aca="1" ref="BF63" ca="1">_xll.d.TestUtils_IsTrue(_xll.d.Formatting_Equal(D63,AN63))</f>
        <v>Ok</v>
      </c>
      <c r="BG63" s="180" t="str" cm="1">
        <f t="array" aca="1" ref="BG63" ca="1">_xll.d.TestUtils_IsTrue(_xll.d.Formatting_Equal(E63,AO63))</f>
        <v>Ok</v>
      </c>
      <c r="BH63" s="180" t="str" cm="1">
        <f t="array" aca="1" ref="BH63" ca="1">_xll.d.TestUtils_IsTrue(_xll.d.Formatting_Equal(F63,AP63))</f>
        <v>Ok</v>
      </c>
      <c r="BI63" s="180" t="str" cm="1">
        <f t="array" aca="1" ref="BI63" ca="1">_xll.d.TestUtils_IsTrue(_xll.d.Formatting_Equal(G63,AQ63))</f>
        <v>Ok</v>
      </c>
      <c r="BJ63" s="180" t="str" cm="1">
        <f t="array" aca="1" ref="BJ63" ca="1">_xll.d.TestUtils_IsTrue(_xll.d.Formatting_Equal(H63,AR63))</f>
        <v>Ok</v>
      </c>
      <c r="BK63" s="180" t="str" cm="1">
        <f t="array" aca="1" ref="BK63" ca="1">_xll.d.TestUtils_IsTrue(_xll.d.Formatting_Equal(I63,AS63))</f>
        <v>Ok</v>
      </c>
      <c r="BL63" s="180" t="str" cm="1">
        <f t="array" aca="1" ref="BL63" ca="1">_xll.d.TestUtils_IsTrue(_xll.d.Formatting_Equal(J63,AT63))</f>
        <v>Ok</v>
      </c>
      <c r="BM63" s="180" t="str" cm="1">
        <f t="array" aca="1" ref="BM63" ca="1">_xll.d.TestUtils_IsTrue(_xll.d.Formatting_Equal(K63,AU63))</f>
        <v>Ok</v>
      </c>
      <c r="BN63" s="180" t="str" cm="1">
        <f t="array" aca="1" ref="BN63" ca="1">_xll.d.TestUtils_IsTrue(_xll.d.Formatting_Equal(L63,AV63))</f>
        <v>Ok</v>
      </c>
      <c r="BO63" s="180" t="str" cm="1">
        <f t="array" aca="1" ref="BO63" ca="1">_xll.d.TestUtils_IsTrue(_xll.d.Formatting_Equal(M63,AW63))</f>
        <v>Ok</v>
      </c>
      <c r="BP63" s="180" t="str" cm="1">
        <f t="array" aca="1" ref="BP63" ca="1">_xll.d.TestUtils_IsTrue(_xll.d.Formatting_Equal(N63,AX63))</f>
        <v>Ok</v>
      </c>
      <c r="BQ63" s="180" t="str" cm="1">
        <f t="array" aca="1" ref="BQ63" ca="1">_xll.d.TestUtils_IsTrue(_xll.d.Formatting_Equal(O63,AY63))</f>
        <v>Ok</v>
      </c>
      <c r="BR63" s="180" t="str" cm="1">
        <f t="array" aca="1" ref="BR63" ca="1">_xll.d.TestUtils_IsTrue(_xll.d.Formatting_Equal(P63,AZ63))</f>
        <v>Ok</v>
      </c>
      <c r="BS63" s="180" t="str" cm="1">
        <f t="array" aca="1" ref="BS63" ca="1">_xll.d.TestUtils_IsTrue(_xll.d.Formatting_Equal(Q63,BA63))</f>
        <v>Ok</v>
      </c>
      <c r="BT63" s="180" t="str" cm="1">
        <f t="array" aca="1" ref="BT63" ca="1">_xll.d.TestUtils_IsTrue(_xll.d.Formatting_Equal(R63,BB63))</f>
        <v>Ok</v>
      </c>
    </row>
    <row r="64" spans="2:72" x14ac:dyDescent="0.25">
      <c r="B64" s="89" t="s">
        <v>35</v>
      </c>
      <c r="C64" s="89" t="s">
        <v>0</v>
      </c>
      <c r="D64" s="89" t="s">
        <v>98</v>
      </c>
      <c r="E64" s="89" t="s">
        <v>99</v>
      </c>
      <c r="F64" s="89" t="s">
        <v>100</v>
      </c>
      <c r="G64" s="89" t="s">
        <v>101</v>
      </c>
      <c r="H64" s="89" t="s">
        <v>102</v>
      </c>
      <c r="I64" s="89" t="s">
        <v>81</v>
      </c>
      <c r="J64" s="89" t="s">
        <v>82</v>
      </c>
      <c r="K64" s="89" t="s">
        <v>83</v>
      </c>
      <c r="L64" s="89" t="s">
        <v>103</v>
      </c>
      <c r="M64" s="89" t="s">
        <v>25</v>
      </c>
      <c r="N64" s="89" t="s">
        <v>40</v>
      </c>
      <c r="O64" s="89" t="s">
        <v>104</v>
      </c>
      <c r="P64" s="89" t="s">
        <v>96</v>
      </c>
      <c r="Q64" s="89" t="s">
        <v>106</v>
      </c>
      <c r="R64" s="89" t="s">
        <v>105</v>
      </c>
      <c r="T64" s="74" t="s">
        <v>35</v>
      </c>
      <c r="U64" s="75" t="s">
        <v>0</v>
      </c>
      <c r="V64" s="75" t="s">
        <v>98</v>
      </c>
      <c r="W64" s="75" t="s">
        <v>99</v>
      </c>
      <c r="X64" s="75" t="s">
        <v>100</v>
      </c>
      <c r="Y64" s="75" t="s">
        <v>101</v>
      </c>
      <c r="Z64" s="75" t="s">
        <v>102</v>
      </c>
      <c r="AA64" s="75" t="s">
        <v>81</v>
      </c>
      <c r="AB64" s="75" t="s">
        <v>82</v>
      </c>
      <c r="AC64" s="75" t="s">
        <v>83</v>
      </c>
      <c r="AD64" s="75" t="s">
        <v>103</v>
      </c>
      <c r="AE64" s="75" t="s">
        <v>25</v>
      </c>
      <c r="AF64" s="75" t="s">
        <v>40</v>
      </c>
      <c r="AG64" s="75" t="s">
        <v>104</v>
      </c>
      <c r="AH64" s="75" t="s">
        <v>96</v>
      </c>
      <c r="AI64" s="75" t="s">
        <v>106</v>
      </c>
      <c r="AJ64" s="76" t="s">
        <v>105</v>
      </c>
      <c r="AL64" s="150" t="s">
        <v>35</v>
      </c>
      <c r="AM64" s="150" t="s">
        <v>0</v>
      </c>
      <c r="AN64" s="150" t="s">
        <v>98</v>
      </c>
      <c r="AO64" s="150" t="s">
        <v>99</v>
      </c>
      <c r="AP64" s="150" t="s">
        <v>100</v>
      </c>
      <c r="AQ64" s="150" t="s">
        <v>101</v>
      </c>
      <c r="AR64" s="150" t="s">
        <v>102</v>
      </c>
      <c r="AS64" s="150" t="s">
        <v>81</v>
      </c>
      <c r="AT64" s="150" t="s">
        <v>82</v>
      </c>
      <c r="AU64" s="150" t="s">
        <v>83</v>
      </c>
      <c r="AV64" s="150" t="s">
        <v>103</v>
      </c>
      <c r="AW64" s="150" t="s">
        <v>25</v>
      </c>
      <c r="AX64" s="150" t="s">
        <v>40</v>
      </c>
      <c r="AY64" s="150" t="s">
        <v>104</v>
      </c>
      <c r="AZ64" s="150" t="s">
        <v>96</v>
      </c>
      <c r="BA64" s="150" t="s">
        <v>106</v>
      </c>
      <c r="BB64" s="150" t="s">
        <v>105</v>
      </c>
      <c r="BD64" s="180" t="str" cm="1">
        <f t="array" aca="1" ref="BD64" ca="1">_xll.d.TestUtils_IsTrue(_xll.d.Formatting_Equal(B64,AL64))</f>
        <v>Ok</v>
      </c>
      <c r="BE64" s="180" t="str" cm="1">
        <f t="array" aca="1" ref="BE64" ca="1">_xll.d.TestUtils_IsTrue(_xll.d.Formatting_Equal(C64,AM64))</f>
        <v>Ok</v>
      </c>
      <c r="BF64" s="180" t="str" cm="1">
        <f t="array" aca="1" ref="BF64" ca="1">_xll.d.TestUtils_IsTrue(_xll.d.Formatting_Equal(D64,AN64))</f>
        <v>Ok</v>
      </c>
      <c r="BG64" s="180" t="str" cm="1">
        <f t="array" aca="1" ref="BG64" ca="1">_xll.d.TestUtils_IsTrue(_xll.d.Formatting_Equal(E64,AO64))</f>
        <v>Ok</v>
      </c>
      <c r="BH64" s="180" t="str" cm="1">
        <f t="array" aca="1" ref="BH64" ca="1">_xll.d.TestUtils_IsTrue(_xll.d.Formatting_Equal(F64,AP64))</f>
        <v>Ok</v>
      </c>
      <c r="BI64" s="180" t="str" cm="1">
        <f t="array" aca="1" ref="BI64" ca="1">_xll.d.TestUtils_IsTrue(_xll.d.Formatting_Equal(G64,AQ64))</f>
        <v>Ok</v>
      </c>
      <c r="BJ64" s="180" t="str" cm="1">
        <f t="array" aca="1" ref="BJ64" ca="1">_xll.d.TestUtils_IsTrue(_xll.d.Formatting_Equal(H64,AR64))</f>
        <v>Ok</v>
      </c>
      <c r="BK64" s="180" t="str" cm="1">
        <f t="array" aca="1" ref="BK64" ca="1">_xll.d.TestUtils_IsTrue(_xll.d.Formatting_Equal(I64,AS64))</f>
        <v>Ok</v>
      </c>
      <c r="BL64" s="180" t="str" cm="1">
        <f t="array" aca="1" ref="BL64" ca="1">_xll.d.TestUtils_IsTrue(_xll.d.Formatting_Equal(J64,AT64))</f>
        <v>Ok</v>
      </c>
      <c r="BM64" s="180" t="str" cm="1">
        <f t="array" aca="1" ref="BM64" ca="1">_xll.d.TestUtils_IsTrue(_xll.d.Formatting_Equal(K64,AU64))</f>
        <v>Ok</v>
      </c>
      <c r="BN64" s="180" t="str" cm="1">
        <f t="array" aca="1" ref="BN64" ca="1">_xll.d.TestUtils_IsTrue(_xll.d.Formatting_Equal(L64,AV64))</f>
        <v>Ok</v>
      </c>
      <c r="BO64" s="180" t="str" cm="1">
        <f t="array" aca="1" ref="BO64" ca="1">_xll.d.TestUtils_IsTrue(_xll.d.Formatting_Equal(M64,AW64))</f>
        <v>Ok</v>
      </c>
      <c r="BP64" s="180" t="str" cm="1">
        <f t="array" aca="1" ref="BP64" ca="1">_xll.d.TestUtils_IsTrue(_xll.d.Formatting_Equal(N64,AX64))</f>
        <v>Ok</v>
      </c>
      <c r="BQ64" s="180" t="str" cm="1">
        <f t="array" aca="1" ref="BQ64" ca="1">_xll.d.TestUtils_IsTrue(_xll.d.Formatting_Equal(O64,AY64))</f>
        <v>Ok</v>
      </c>
      <c r="BR64" s="180" t="str" cm="1">
        <f t="array" aca="1" ref="BR64" ca="1">_xll.d.TestUtils_IsTrue(_xll.d.Formatting_Equal(P64,AZ64))</f>
        <v>Ok</v>
      </c>
      <c r="BS64" s="180" t="str" cm="1">
        <f t="array" aca="1" ref="BS64" ca="1">_xll.d.TestUtils_IsTrue(_xll.d.Formatting_Equal(Q64,BA64))</f>
        <v>Ok</v>
      </c>
      <c r="BT64" s="180" t="str" cm="1">
        <f t="array" aca="1" ref="BT64" ca="1">_xll.d.TestUtils_IsTrue(_xll.d.Formatting_Equal(R64,BB64))</f>
        <v>Ok</v>
      </c>
    </row>
    <row r="65" spans="2:72" x14ac:dyDescent="0.25">
      <c r="B65" s="89">
        <v>44562</v>
      </c>
      <c r="C65" s="89">
        <v>44562</v>
      </c>
      <c r="D65" s="89">
        <v>1000</v>
      </c>
      <c r="E65" s="89">
        <v>1000</v>
      </c>
      <c r="F65" s="89">
        <v>1000</v>
      </c>
      <c r="G65" s="89">
        <v>1000</v>
      </c>
      <c r="H65" s="89">
        <v>0.3</v>
      </c>
      <c r="I65" s="89">
        <v>0.3</v>
      </c>
      <c r="J65" s="89">
        <v>0.3</v>
      </c>
      <c r="K65" s="89">
        <v>0.3</v>
      </c>
      <c r="L65" s="89">
        <v>0.3</v>
      </c>
      <c r="M65" s="89">
        <v>0.3</v>
      </c>
      <c r="N65" s="89">
        <v>0.3</v>
      </c>
      <c r="O65" s="89">
        <v>0.3</v>
      </c>
      <c r="P65" s="89">
        <v>0.3</v>
      </c>
      <c r="Q65" s="89">
        <v>0.3</v>
      </c>
      <c r="R65" s="89">
        <v>0.3</v>
      </c>
      <c r="T65" s="126">
        <v>44562</v>
      </c>
      <c r="U65" s="129">
        <v>44562</v>
      </c>
      <c r="V65" s="108">
        <v>1000</v>
      </c>
      <c r="W65" s="111">
        <v>1000</v>
      </c>
      <c r="X65" s="114">
        <v>1000</v>
      </c>
      <c r="Y65" s="117">
        <v>1000</v>
      </c>
      <c r="Z65" s="120">
        <v>0.3</v>
      </c>
      <c r="AA65" s="120">
        <v>0.3</v>
      </c>
      <c r="AB65" s="120">
        <v>0.3</v>
      </c>
      <c r="AC65" s="120">
        <v>0.3</v>
      </c>
      <c r="AD65" s="120">
        <v>0.3</v>
      </c>
      <c r="AE65" s="120">
        <v>0.3</v>
      </c>
      <c r="AF65" s="120">
        <v>0.3</v>
      </c>
      <c r="AG65" s="120">
        <v>0.3</v>
      </c>
      <c r="AH65" s="120">
        <v>0.3</v>
      </c>
      <c r="AI65" s="120">
        <v>0.3</v>
      </c>
      <c r="AJ65" s="123">
        <v>0.3</v>
      </c>
      <c r="AL65" s="150">
        <v>44562</v>
      </c>
      <c r="AM65" s="150">
        <v>44562</v>
      </c>
      <c r="AN65" s="151">
        <v>1000</v>
      </c>
      <c r="AO65" s="151">
        <v>1000</v>
      </c>
      <c r="AP65" s="151">
        <v>1000</v>
      </c>
      <c r="AQ65" s="151">
        <v>1000</v>
      </c>
      <c r="AR65" s="150">
        <v>0.3</v>
      </c>
      <c r="AS65" s="150">
        <v>0.3</v>
      </c>
      <c r="AT65" s="150">
        <v>0.3</v>
      </c>
      <c r="AU65" s="150">
        <v>0.3</v>
      </c>
      <c r="AV65" s="150">
        <v>0.3</v>
      </c>
      <c r="AW65" s="150">
        <v>0.3</v>
      </c>
      <c r="AX65" s="150">
        <v>0.3</v>
      </c>
      <c r="AY65" s="150">
        <v>0.3</v>
      </c>
      <c r="AZ65" s="150">
        <v>0.3</v>
      </c>
      <c r="BA65" s="150">
        <v>0.3</v>
      </c>
      <c r="BB65" s="150">
        <v>0.3</v>
      </c>
      <c r="BD65" s="180" t="str" cm="1">
        <f t="array" aca="1" ref="BD65" ca="1">_xll.d.TestUtils_IsTrue(_xll.d.Formatting_Equal(B65,AL65))</f>
        <v>Ok</v>
      </c>
      <c r="BE65" s="180" t="str" cm="1">
        <f t="array" aca="1" ref="BE65" ca="1">_xll.d.TestUtils_IsTrue(_xll.d.Formatting_Equal(C65,AM65))</f>
        <v>Ok</v>
      </c>
      <c r="BF65" s="180" t="str" cm="1">
        <f t="array" aca="1" ref="BF65" ca="1">_xll.d.TestUtils_IsTrue(_xll.d.Formatting_Equal(D65,AN65))</f>
        <v>Ok</v>
      </c>
      <c r="BG65" s="180" t="str" cm="1">
        <f t="array" aca="1" ref="BG65" ca="1">_xll.d.TestUtils_IsTrue(_xll.d.Formatting_Equal(E65,AO65))</f>
        <v>Ok</v>
      </c>
      <c r="BH65" s="180" t="str" cm="1">
        <f t="array" aca="1" ref="BH65" ca="1">_xll.d.TestUtils_IsTrue(_xll.d.Formatting_Equal(F65,AP65))</f>
        <v>Ok</v>
      </c>
      <c r="BI65" s="180" t="str" cm="1">
        <f t="array" aca="1" ref="BI65" ca="1">_xll.d.TestUtils_IsTrue(_xll.d.Formatting_Equal(G65,AQ65))</f>
        <v>Ok</v>
      </c>
      <c r="BJ65" s="180" t="str" cm="1">
        <f t="array" aca="1" ref="BJ65" ca="1">_xll.d.TestUtils_IsTrue(_xll.d.Formatting_Equal(H65,AR65))</f>
        <v>Ok</v>
      </c>
      <c r="BK65" s="180" t="str" cm="1">
        <f t="array" aca="1" ref="BK65" ca="1">_xll.d.TestUtils_IsTrue(_xll.d.Formatting_Equal(I65,AS65))</f>
        <v>Ok</v>
      </c>
      <c r="BL65" s="180" t="str" cm="1">
        <f t="array" aca="1" ref="BL65" ca="1">_xll.d.TestUtils_IsTrue(_xll.d.Formatting_Equal(J65,AT65))</f>
        <v>Ok</v>
      </c>
      <c r="BM65" s="180" t="str" cm="1">
        <f t="array" aca="1" ref="BM65" ca="1">_xll.d.TestUtils_IsTrue(_xll.d.Formatting_Equal(K65,AU65))</f>
        <v>Ok</v>
      </c>
      <c r="BN65" s="180" t="str" cm="1">
        <f t="array" aca="1" ref="BN65" ca="1">_xll.d.TestUtils_IsTrue(_xll.d.Formatting_Equal(L65,AV65))</f>
        <v>Ok</v>
      </c>
      <c r="BO65" s="180" t="str" cm="1">
        <f t="array" aca="1" ref="BO65" ca="1">_xll.d.TestUtils_IsTrue(_xll.d.Formatting_Equal(M65,AW65))</f>
        <v>Ok</v>
      </c>
      <c r="BP65" s="180" t="str" cm="1">
        <f t="array" aca="1" ref="BP65" ca="1">_xll.d.TestUtils_IsTrue(_xll.d.Formatting_Equal(N65,AX65))</f>
        <v>Ok</v>
      </c>
      <c r="BQ65" s="180" t="str" cm="1">
        <f t="array" aca="1" ref="BQ65" ca="1">_xll.d.TestUtils_IsTrue(_xll.d.Formatting_Equal(O65,AY65))</f>
        <v>Ok</v>
      </c>
      <c r="BR65" s="180" t="str" cm="1">
        <f t="array" aca="1" ref="BR65" ca="1">_xll.d.TestUtils_IsTrue(_xll.d.Formatting_Equal(P65,AZ65))</f>
        <v>Ok</v>
      </c>
      <c r="BS65" s="180" t="str" cm="1">
        <f t="array" aca="1" ref="BS65" ca="1">_xll.d.TestUtils_IsTrue(_xll.d.Formatting_Equal(Q65,BA65))</f>
        <v>Ok</v>
      </c>
      <c r="BT65" s="180" t="str" cm="1">
        <f t="array" aca="1" ref="BT65" ca="1">_xll.d.TestUtils_IsTrue(_xll.d.Formatting_Equal(R65,BB65))</f>
        <v>Ok</v>
      </c>
    </row>
    <row r="66" spans="2:72" x14ac:dyDescent="0.25">
      <c r="B66" s="89">
        <v>44593</v>
      </c>
      <c r="C66" s="89">
        <v>44593</v>
      </c>
      <c r="D66" s="89">
        <v>2000</v>
      </c>
      <c r="E66" s="89">
        <v>2000</v>
      </c>
      <c r="F66" s="89">
        <v>2000</v>
      </c>
      <c r="G66" s="89">
        <v>2000</v>
      </c>
      <c r="H66" s="89">
        <v>0.4</v>
      </c>
      <c r="I66" s="89">
        <v>0.4</v>
      </c>
      <c r="J66" s="89">
        <v>0.4</v>
      </c>
      <c r="K66" s="89">
        <v>0.4</v>
      </c>
      <c r="L66" s="89">
        <v>0.4</v>
      </c>
      <c r="M66" s="89">
        <v>0.4</v>
      </c>
      <c r="N66" s="89">
        <v>0.4</v>
      </c>
      <c r="O66" s="89">
        <v>0.4</v>
      </c>
      <c r="P66" s="89">
        <v>0.4</v>
      </c>
      <c r="Q66" s="89">
        <v>0.4</v>
      </c>
      <c r="R66" s="89">
        <v>0.4</v>
      </c>
      <c r="T66" s="127">
        <v>44593</v>
      </c>
      <c r="U66" s="130">
        <v>44593</v>
      </c>
      <c r="V66" s="109">
        <v>2000</v>
      </c>
      <c r="W66" s="112">
        <v>2000</v>
      </c>
      <c r="X66" s="115">
        <v>2000</v>
      </c>
      <c r="Y66" s="118">
        <v>2000</v>
      </c>
      <c r="Z66" s="121">
        <v>0.4</v>
      </c>
      <c r="AA66" s="121">
        <v>0.4</v>
      </c>
      <c r="AB66" s="121">
        <v>0.4</v>
      </c>
      <c r="AC66" s="121">
        <v>0.4</v>
      </c>
      <c r="AD66" s="121">
        <v>0.4</v>
      </c>
      <c r="AE66" s="121">
        <v>0.4</v>
      </c>
      <c r="AF66" s="121">
        <v>0.4</v>
      </c>
      <c r="AG66" s="121">
        <v>0.4</v>
      </c>
      <c r="AH66" s="121">
        <v>0.4</v>
      </c>
      <c r="AI66" s="121">
        <v>0.4</v>
      </c>
      <c r="AJ66" s="124">
        <v>0.4</v>
      </c>
      <c r="AL66" s="150">
        <v>44593</v>
      </c>
      <c r="AM66" s="150">
        <v>44593</v>
      </c>
      <c r="AN66" s="151">
        <v>2000</v>
      </c>
      <c r="AO66" s="151">
        <v>2000</v>
      </c>
      <c r="AP66" s="151">
        <v>2000</v>
      </c>
      <c r="AQ66" s="151">
        <v>2000</v>
      </c>
      <c r="AR66" s="150">
        <v>0.4</v>
      </c>
      <c r="AS66" s="150">
        <v>0.4</v>
      </c>
      <c r="AT66" s="150">
        <v>0.4</v>
      </c>
      <c r="AU66" s="150">
        <v>0.4</v>
      </c>
      <c r="AV66" s="150">
        <v>0.4</v>
      </c>
      <c r="AW66" s="150">
        <v>0.4</v>
      </c>
      <c r="AX66" s="150">
        <v>0.4</v>
      </c>
      <c r="AY66" s="150">
        <v>0.4</v>
      </c>
      <c r="AZ66" s="150">
        <v>0.4</v>
      </c>
      <c r="BA66" s="150">
        <v>0.4</v>
      </c>
      <c r="BB66" s="150">
        <v>0.4</v>
      </c>
      <c r="BD66" s="180" t="str" cm="1">
        <f t="array" aca="1" ref="BD66" ca="1">_xll.d.TestUtils_IsTrue(_xll.d.Formatting_Equal(B66,AL66))</f>
        <v>Ok</v>
      </c>
      <c r="BE66" s="180" t="str" cm="1">
        <f t="array" aca="1" ref="BE66" ca="1">_xll.d.TestUtils_IsTrue(_xll.d.Formatting_Equal(C66,AM66))</f>
        <v>Ok</v>
      </c>
      <c r="BF66" s="180" t="str" cm="1">
        <f t="array" aca="1" ref="BF66" ca="1">_xll.d.TestUtils_IsTrue(_xll.d.Formatting_Equal(D66,AN66))</f>
        <v>Ok</v>
      </c>
      <c r="BG66" s="180" t="str" cm="1">
        <f t="array" aca="1" ref="BG66" ca="1">_xll.d.TestUtils_IsTrue(_xll.d.Formatting_Equal(E66,AO66))</f>
        <v>Ok</v>
      </c>
      <c r="BH66" s="180" t="str" cm="1">
        <f t="array" aca="1" ref="BH66" ca="1">_xll.d.TestUtils_IsTrue(_xll.d.Formatting_Equal(F66,AP66))</f>
        <v>Ok</v>
      </c>
      <c r="BI66" s="180" t="str" cm="1">
        <f t="array" aca="1" ref="BI66" ca="1">_xll.d.TestUtils_IsTrue(_xll.d.Formatting_Equal(G66,AQ66))</f>
        <v>Ok</v>
      </c>
      <c r="BJ66" s="180" t="str" cm="1">
        <f t="array" aca="1" ref="BJ66" ca="1">_xll.d.TestUtils_IsTrue(_xll.d.Formatting_Equal(H66,AR66))</f>
        <v>Ok</v>
      </c>
      <c r="BK66" s="180" t="str" cm="1">
        <f t="array" aca="1" ref="BK66" ca="1">_xll.d.TestUtils_IsTrue(_xll.d.Formatting_Equal(I66,AS66))</f>
        <v>Ok</v>
      </c>
      <c r="BL66" s="180" t="str" cm="1">
        <f t="array" aca="1" ref="BL66" ca="1">_xll.d.TestUtils_IsTrue(_xll.d.Formatting_Equal(J66,AT66))</f>
        <v>Ok</v>
      </c>
      <c r="BM66" s="180" t="str" cm="1">
        <f t="array" aca="1" ref="BM66" ca="1">_xll.d.TestUtils_IsTrue(_xll.d.Formatting_Equal(K66,AU66))</f>
        <v>Ok</v>
      </c>
      <c r="BN66" s="180" t="str" cm="1">
        <f t="array" aca="1" ref="BN66" ca="1">_xll.d.TestUtils_IsTrue(_xll.d.Formatting_Equal(L66,AV66))</f>
        <v>Ok</v>
      </c>
      <c r="BO66" s="180" t="str" cm="1">
        <f t="array" aca="1" ref="BO66" ca="1">_xll.d.TestUtils_IsTrue(_xll.d.Formatting_Equal(M66,AW66))</f>
        <v>Ok</v>
      </c>
      <c r="BP66" s="180" t="str" cm="1">
        <f t="array" aca="1" ref="BP66" ca="1">_xll.d.TestUtils_IsTrue(_xll.d.Formatting_Equal(N66,AX66))</f>
        <v>Ok</v>
      </c>
      <c r="BQ66" s="180" t="str" cm="1">
        <f t="array" aca="1" ref="BQ66" ca="1">_xll.d.TestUtils_IsTrue(_xll.d.Formatting_Equal(O66,AY66))</f>
        <v>Ok</v>
      </c>
      <c r="BR66" s="180" t="str" cm="1">
        <f t="array" aca="1" ref="BR66" ca="1">_xll.d.TestUtils_IsTrue(_xll.d.Formatting_Equal(P66,AZ66))</f>
        <v>Ok</v>
      </c>
      <c r="BS66" s="180" t="str" cm="1">
        <f t="array" aca="1" ref="BS66" ca="1">_xll.d.TestUtils_IsTrue(_xll.d.Formatting_Equal(Q66,BA66))</f>
        <v>Ok</v>
      </c>
      <c r="BT66" s="180" t="str" cm="1">
        <f t="array" aca="1" ref="BT66" ca="1">_xll.d.TestUtils_IsTrue(_xll.d.Formatting_Equal(R66,BB66))</f>
        <v>Ok</v>
      </c>
    </row>
    <row r="67" spans="2:72" x14ac:dyDescent="0.25">
      <c r="B67" s="89">
        <v>44621</v>
      </c>
      <c r="C67" s="89">
        <v>44621</v>
      </c>
      <c r="D67" s="89">
        <v>3000</v>
      </c>
      <c r="E67" s="89">
        <v>3000</v>
      </c>
      <c r="F67" s="89">
        <v>3000</v>
      </c>
      <c r="G67" s="89">
        <v>3000</v>
      </c>
      <c r="H67" s="89">
        <v>0.5</v>
      </c>
      <c r="I67" s="89">
        <v>0.5</v>
      </c>
      <c r="J67" s="89">
        <v>0.5</v>
      </c>
      <c r="K67" s="89">
        <v>0.5</v>
      </c>
      <c r="L67" s="89">
        <v>0.5</v>
      </c>
      <c r="M67" s="89">
        <v>0.5</v>
      </c>
      <c r="N67" s="89">
        <v>0.5</v>
      </c>
      <c r="O67" s="89">
        <v>0.5</v>
      </c>
      <c r="P67" s="89">
        <v>0.5</v>
      </c>
      <c r="Q67" s="89">
        <v>0.5</v>
      </c>
      <c r="R67" s="89">
        <v>0.5</v>
      </c>
      <c r="T67" s="128">
        <v>44621</v>
      </c>
      <c r="U67" s="131">
        <v>44621</v>
      </c>
      <c r="V67" s="110">
        <v>3000</v>
      </c>
      <c r="W67" s="113">
        <v>3000</v>
      </c>
      <c r="X67" s="116">
        <v>3000</v>
      </c>
      <c r="Y67" s="119">
        <v>3000</v>
      </c>
      <c r="Z67" s="122">
        <v>0.5</v>
      </c>
      <c r="AA67" s="122">
        <v>0.5</v>
      </c>
      <c r="AB67" s="122">
        <v>0.5</v>
      </c>
      <c r="AC67" s="122">
        <v>0.5</v>
      </c>
      <c r="AD67" s="122">
        <v>0.5</v>
      </c>
      <c r="AE67" s="122">
        <v>0.5</v>
      </c>
      <c r="AF67" s="122">
        <v>0.5</v>
      </c>
      <c r="AG67" s="122">
        <v>0.5</v>
      </c>
      <c r="AH67" s="122">
        <v>0.5</v>
      </c>
      <c r="AI67" s="122">
        <v>0.5</v>
      </c>
      <c r="AJ67" s="125">
        <v>0.5</v>
      </c>
      <c r="AL67" s="150">
        <v>44621</v>
      </c>
      <c r="AM67" s="150">
        <v>44621</v>
      </c>
      <c r="AN67" s="151">
        <v>3000</v>
      </c>
      <c r="AO67" s="151">
        <v>3000</v>
      </c>
      <c r="AP67" s="151">
        <v>3000</v>
      </c>
      <c r="AQ67" s="151">
        <v>3000</v>
      </c>
      <c r="AR67" s="150">
        <v>0.5</v>
      </c>
      <c r="AS67" s="150">
        <v>0.5</v>
      </c>
      <c r="AT67" s="150">
        <v>0.5</v>
      </c>
      <c r="AU67" s="150">
        <v>0.5</v>
      </c>
      <c r="AV67" s="150">
        <v>0.5</v>
      </c>
      <c r="AW67" s="150">
        <v>0.5</v>
      </c>
      <c r="AX67" s="150">
        <v>0.5</v>
      </c>
      <c r="AY67" s="150">
        <v>0.5</v>
      </c>
      <c r="AZ67" s="150">
        <v>0.5</v>
      </c>
      <c r="BA67" s="150">
        <v>0.5</v>
      </c>
      <c r="BB67" s="150">
        <v>0.5</v>
      </c>
      <c r="BD67" s="180" t="str" cm="1">
        <f t="array" aca="1" ref="BD67" ca="1">_xll.d.TestUtils_IsTrue(_xll.d.Formatting_Equal(B67,AL67))</f>
        <v>Ok</v>
      </c>
      <c r="BE67" s="180" t="str" cm="1">
        <f t="array" aca="1" ref="BE67" ca="1">_xll.d.TestUtils_IsTrue(_xll.d.Formatting_Equal(C67,AM67))</f>
        <v>Ok</v>
      </c>
      <c r="BF67" s="180" t="str" cm="1">
        <f t="array" aca="1" ref="BF67" ca="1">_xll.d.TestUtils_IsTrue(_xll.d.Formatting_Equal(D67,AN67))</f>
        <v>Ok</v>
      </c>
      <c r="BG67" s="180" t="str" cm="1">
        <f t="array" aca="1" ref="BG67" ca="1">_xll.d.TestUtils_IsTrue(_xll.d.Formatting_Equal(E67,AO67))</f>
        <v>Ok</v>
      </c>
      <c r="BH67" s="180" t="str" cm="1">
        <f t="array" aca="1" ref="BH67" ca="1">_xll.d.TestUtils_IsTrue(_xll.d.Formatting_Equal(F67,AP67))</f>
        <v>Ok</v>
      </c>
      <c r="BI67" s="180" t="str" cm="1">
        <f t="array" aca="1" ref="BI67" ca="1">_xll.d.TestUtils_IsTrue(_xll.d.Formatting_Equal(G67,AQ67))</f>
        <v>Ok</v>
      </c>
      <c r="BJ67" s="180" t="str" cm="1">
        <f t="array" aca="1" ref="BJ67" ca="1">_xll.d.TestUtils_IsTrue(_xll.d.Formatting_Equal(H67,AR67))</f>
        <v>Ok</v>
      </c>
      <c r="BK67" s="180" t="str" cm="1">
        <f t="array" aca="1" ref="BK67" ca="1">_xll.d.TestUtils_IsTrue(_xll.d.Formatting_Equal(I67,AS67))</f>
        <v>Ok</v>
      </c>
      <c r="BL67" s="180" t="str" cm="1">
        <f t="array" aca="1" ref="BL67" ca="1">_xll.d.TestUtils_IsTrue(_xll.d.Formatting_Equal(J67,AT67))</f>
        <v>Ok</v>
      </c>
      <c r="BM67" s="180" t="str" cm="1">
        <f t="array" aca="1" ref="BM67" ca="1">_xll.d.TestUtils_IsTrue(_xll.d.Formatting_Equal(K67,AU67))</f>
        <v>Ok</v>
      </c>
      <c r="BN67" s="180" t="str" cm="1">
        <f t="array" aca="1" ref="BN67" ca="1">_xll.d.TestUtils_IsTrue(_xll.d.Formatting_Equal(L67,AV67))</f>
        <v>Ok</v>
      </c>
      <c r="BO67" s="180" t="str" cm="1">
        <f t="array" aca="1" ref="BO67" ca="1">_xll.d.TestUtils_IsTrue(_xll.d.Formatting_Equal(M67,AW67))</f>
        <v>Ok</v>
      </c>
      <c r="BP67" s="180" t="str" cm="1">
        <f t="array" aca="1" ref="BP67" ca="1">_xll.d.TestUtils_IsTrue(_xll.d.Formatting_Equal(N67,AX67))</f>
        <v>Ok</v>
      </c>
      <c r="BQ67" s="180" t="str" cm="1">
        <f t="array" aca="1" ref="BQ67" ca="1">_xll.d.TestUtils_IsTrue(_xll.d.Formatting_Equal(O67,AY67))</f>
        <v>Ok</v>
      </c>
      <c r="BR67" s="180" t="str" cm="1">
        <f t="array" aca="1" ref="BR67" ca="1">_xll.d.TestUtils_IsTrue(_xll.d.Formatting_Equal(P67,AZ67))</f>
        <v>Ok</v>
      </c>
      <c r="BS67" s="180" t="str" cm="1">
        <f t="array" aca="1" ref="BS67" ca="1">_xll.d.TestUtils_IsTrue(_xll.d.Formatting_Equal(Q67,BA67))</f>
        <v>Ok</v>
      </c>
      <c r="BT67" s="180" t="str" cm="1">
        <f t="array" aca="1" ref="BT67" ca="1">_xll.d.TestUtils_IsTrue(_xll.d.Formatting_Equal(R67,BB67))</f>
        <v>Ok</v>
      </c>
    </row>
    <row r="68" spans="2:72" x14ac:dyDescent="0.25">
      <c r="B68" s="64"/>
      <c r="C68" s="64"/>
    </row>
    <row r="69" spans="2:72" x14ac:dyDescent="0.25">
      <c r="B69" s="64"/>
      <c r="C69" s="64"/>
    </row>
    <row r="70" spans="2:72" ht="18.75" x14ac:dyDescent="0.3">
      <c r="B70" s="3" t="s">
        <v>117</v>
      </c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</row>
    <row r="72" spans="2:72" ht="19.5" customHeight="1" x14ac:dyDescent="0.25">
      <c r="B72" s="59" t="s">
        <v>133</v>
      </c>
      <c r="C72" s="180" t="str" cm="1">
        <f t="array" aca="1" ref="C72" ca="1">_xll.d.TestUtils_And(T87:X103)</f>
        <v>Ok</v>
      </c>
    </row>
    <row r="74" spans="2:72" x14ac:dyDescent="0.25">
      <c r="B74" s="59" t="s">
        <v>115</v>
      </c>
      <c r="C74" s="59" t="s">
        <v>33</v>
      </c>
    </row>
    <row r="75" spans="2:72" x14ac:dyDescent="0.25">
      <c r="B75" s="96" t="s">
        <v>110</v>
      </c>
      <c r="C75" s="97" t="s">
        <v>129</v>
      </c>
    </row>
    <row r="76" spans="2:72" x14ac:dyDescent="0.25">
      <c r="B76" s="90" t="s">
        <v>111</v>
      </c>
      <c r="C76" s="91" t="s">
        <v>0</v>
      </c>
    </row>
    <row r="77" spans="2:72" x14ac:dyDescent="0.25">
      <c r="B77" s="92"/>
      <c r="C77" s="93" t="s">
        <v>112</v>
      </c>
    </row>
    <row r="78" spans="2:72" x14ac:dyDescent="0.25">
      <c r="B78" s="94"/>
      <c r="C78" s="95" t="s">
        <v>113</v>
      </c>
    </row>
    <row r="79" spans="2:72" x14ac:dyDescent="0.25">
      <c r="B79" s="161" t="s">
        <v>128</v>
      </c>
      <c r="C79" s="167">
        <v>0</v>
      </c>
    </row>
    <row r="80" spans="2:72" x14ac:dyDescent="0.25">
      <c r="B80" s="161" t="s">
        <v>129</v>
      </c>
      <c r="C80" s="167">
        <v>2</v>
      </c>
    </row>
    <row r="81" spans="2:24" x14ac:dyDescent="0.25">
      <c r="B81" s="147" t="s">
        <v>118</v>
      </c>
      <c r="C81" s="146"/>
    </row>
    <row r="83" spans="2:24" x14ac:dyDescent="0.25">
      <c r="B83" t="s">
        <v>95</v>
      </c>
    </row>
    <row r="85" spans="2:24" x14ac:dyDescent="0.25">
      <c r="B85" s="70" t="s">
        <v>92</v>
      </c>
      <c r="H85" s="70" t="s">
        <v>108</v>
      </c>
      <c r="N85" s="70" t="s">
        <v>109</v>
      </c>
      <c r="T85" s="70" t="s">
        <v>134</v>
      </c>
    </row>
    <row r="87" spans="2:24" ht="15" customHeight="1" x14ac:dyDescent="0.25">
      <c r="B87" s="491" t="s">
        <v>97</v>
      </c>
      <c r="C87" s="182" t="s">
        <v>35</v>
      </c>
      <c r="D87" s="176">
        <v>44562</v>
      </c>
      <c r="E87" s="178">
        <v>44593</v>
      </c>
      <c r="F87" s="195">
        <v>44621</v>
      </c>
      <c r="H87" s="98" t="s">
        <v>97</v>
      </c>
      <c r="I87" s="98" t="s">
        <v>35</v>
      </c>
      <c r="J87" s="133">
        <v>44562</v>
      </c>
      <c r="K87" s="133">
        <v>44593</v>
      </c>
      <c r="L87" s="133">
        <v>44621</v>
      </c>
      <c r="N87" s="491" t="s">
        <v>97</v>
      </c>
      <c r="O87" s="182" t="s">
        <v>35</v>
      </c>
      <c r="P87" s="176">
        <v>44562</v>
      </c>
      <c r="Q87" s="178">
        <v>44593</v>
      </c>
      <c r="R87" s="195">
        <v>44621</v>
      </c>
      <c r="T87" s="180" t="str" cm="1">
        <f t="array" aca="1" ref="T87" ca="1">_xll.d.TestUtils_IsTrue(_xll.d.Formatting_Equal(B87,N87))</f>
        <v>Ok</v>
      </c>
      <c r="U87" s="180" t="str" cm="1">
        <f t="array" aca="1" ref="U87" ca="1">_xll.d.TestUtils_IsTrue(_xll.d.Formatting_Equal(C87,O87))</f>
        <v>Ok</v>
      </c>
      <c r="V87" s="180" t="str" cm="1">
        <f t="array" aca="1" ref="V87" ca="1">_xll.d.TestUtils_IsTrue(_xll.d.Formatting_Equal(D87,P87))</f>
        <v>Ok</v>
      </c>
      <c r="W87" s="180" t="str" cm="1">
        <f t="array" aca="1" ref="W87" ca="1">_xll.d.TestUtils_IsTrue(_xll.d.Formatting_Equal(E87,Q87))</f>
        <v>Ok</v>
      </c>
      <c r="X87" s="180" t="str" cm="1">
        <f t="array" aca="1" ref="X87" ca="1">_xll.d.TestUtils_IsTrue(_xll.d.Formatting_Equal(F87,R87))</f>
        <v>Ok</v>
      </c>
    </row>
    <row r="88" spans="2:24" x14ac:dyDescent="0.25">
      <c r="B88" s="492"/>
      <c r="C88" s="183" t="s">
        <v>0</v>
      </c>
      <c r="D88" s="177">
        <v>44562</v>
      </c>
      <c r="E88" s="179">
        <v>44593</v>
      </c>
      <c r="F88" s="196">
        <v>44621</v>
      </c>
      <c r="H88" s="98"/>
      <c r="I88" s="98" t="s">
        <v>0</v>
      </c>
      <c r="J88" s="133">
        <v>44562</v>
      </c>
      <c r="K88" s="133">
        <v>44593</v>
      </c>
      <c r="L88" s="133">
        <v>44621</v>
      </c>
      <c r="N88" s="492"/>
      <c r="O88" s="183" t="s">
        <v>0</v>
      </c>
      <c r="P88" s="177">
        <v>44562</v>
      </c>
      <c r="Q88" s="179">
        <v>44593</v>
      </c>
      <c r="R88" s="196">
        <v>44621</v>
      </c>
      <c r="T88" s="180" t="str" cm="1">
        <f t="array" aca="1" ref="T88" ca="1">_xll.d.TestUtils_IsTrue(_xll.d.Formatting_Equal(B88,N88))</f>
        <v>Ok</v>
      </c>
      <c r="U88" s="180" t="str" cm="1">
        <f t="array" aca="1" ref="U88" ca="1">_xll.d.TestUtils_IsTrue(_xll.d.Formatting_Equal(C88,O88))</f>
        <v>Ok</v>
      </c>
      <c r="V88" s="180" t="str" cm="1">
        <f t="array" aca="1" ref="V88" ca="1">_xll.d.TestUtils_IsTrue(_xll.d.Formatting_Equal(D88,P88))</f>
        <v>Ok</v>
      </c>
      <c r="W88" s="180" t="str" cm="1">
        <f t="array" aca="1" ref="W88" ca="1">_xll.d.TestUtils_IsTrue(_xll.d.Formatting_Equal(E88,Q88))</f>
        <v>Ok</v>
      </c>
      <c r="X88" s="180" t="str" cm="1">
        <f t="array" aca="1" ref="X88" ca="1">_xll.d.TestUtils_IsTrue(_xll.d.Formatting_Equal(F88,R88))</f>
        <v>Ok</v>
      </c>
    </row>
    <row r="89" spans="2:24" x14ac:dyDescent="0.25">
      <c r="B89" s="492"/>
      <c r="C89" s="183" t="s">
        <v>98</v>
      </c>
      <c r="D89" s="185">
        <v>1000</v>
      </c>
      <c r="E89" s="168">
        <v>2000</v>
      </c>
      <c r="F89" s="186">
        <v>3000</v>
      </c>
      <c r="H89" s="98"/>
      <c r="I89" s="98" t="s">
        <v>98</v>
      </c>
      <c r="J89" s="133">
        <v>1000</v>
      </c>
      <c r="K89" s="133">
        <v>2000</v>
      </c>
      <c r="L89" s="133">
        <v>3000</v>
      </c>
      <c r="N89" s="492"/>
      <c r="O89" s="183" t="s">
        <v>98</v>
      </c>
      <c r="P89" s="185">
        <v>1000</v>
      </c>
      <c r="Q89" s="168">
        <v>2000</v>
      </c>
      <c r="R89" s="186">
        <v>3000</v>
      </c>
      <c r="T89" s="180" t="str" cm="1">
        <f t="array" aca="1" ref="T89" ca="1">_xll.d.TestUtils_IsTrue(_xll.d.Formatting_Equal(B89,N89))</f>
        <v>Ok</v>
      </c>
      <c r="U89" s="180" t="str" cm="1">
        <f t="array" aca="1" ref="U89" ca="1">_xll.d.TestUtils_IsTrue(_xll.d.Formatting_Equal(C89,O89))</f>
        <v>Ok</v>
      </c>
      <c r="V89" s="180" t="str" cm="1">
        <f t="array" aca="1" ref="V89" ca="1">_xll.d.TestUtils_IsTrue(_xll.d.Formatting_Equal(D89,P89))</f>
        <v>Ok</v>
      </c>
      <c r="W89" s="180" t="str" cm="1">
        <f t="array" aca="1" ref="W89" ca="1">_xll.d.TestUtils_IsTrue(_xll.d.Formatting_Equal(E89,Q89))</f>
        <v>Ok</v>
      </c>
      <c r="X89" s="180" t="str" cm="1">
        <f t="array" aca="1" ref="X89" ca="1">_xll.d.TestUtils_IsTrue(_xll.d.Formatting_Equal(F89,R89))</f>
        <v>Ok</v>
      </c>
    </row>
    <row r="90" spans="2:24" x14ac:dyDescent="0.25">
      <c r="B90" s="492"/>
      <c r="C90" s="183" t="s">
        <v>99</v>
      </c>
      <c r="D90" s="187">
        <v>1000</v>
      </c>
      <c r="E90" s="169">
        <v>2000</v>
      </c>
      <c r="F90" s="188">
        <v>3000</v>
      </c>
      <c r="H90" s="98"/>
      <c r="I90" s="98" t="s">
        <v>99</v>
      </c>
      <c r="J90" s="133">
        <v>1000</v>
      </c>
      <c r="K90" s="133">
        <v>2000</v>
      </c>
      <c r="L90" s="133">
        <v>3000</v>
      </c>
      <c r="N90" s="492"/>
      <c r="O90" s="183" t="s">
        <v>99</v>
      </c>
      <c r="P90" s="187">
        <v>1000</v>
      </c>
      <c r="Q90" s="169">
        <v>2000</v>
      </c>
      <c r="R90" s="188">
        <v>3000</v>
      </c>
      <c r="T90" s="180" t="str" cm="1">
        <f t="array" aca="1" ref="T90" ca="1">_xll.d.TestUtils_IsTrue(_xll.d.Formatting_Equal(B90,N90))</f>
        <v>Ok</v>
      </c>
      <c r="U90" s="180" t="str" cm="1">
        <f t="array" aca="1" ref="U90" ca="1">_xll.d.TestUtils_IsTrue(_xll.d.Formatting_Equal(C90,O90))</f>
        <v>Ok</v>
      </c>
      <c r="V90" s="180" t="str" cm="1">
        <f t="array" aca="1" ref="V90" ca="1">_xll.d.TestUtils_IsTrue(_xll.d.Formatting_Equal(D90,P90))</f>
        <v>Ok</v>
      </c>
      <c r="W90" s="180" t="str" cm="1">
        <f t="array" aca="1" ref="W90" ca="1">_xll.d.TestUtils_IsTrue(_xll.d.Formatting_Equal(E90,Q90))</f>
        <v>Ok</v>
      </c>
      <c r="X90" s="180" t="str" cm="1">
        <f t="array" aca="1" ref="X90" ca="1">_xll.d.TestUtils_IsTrue(_xll.d.Formatting_Equal(F90,R90))</f>
        <v>Ok</v>
      </c>
    </row>
    <row r="91" spans="2:24" x14ac:dyDescent="0.25">
      <c r="B91" s="492"/>
      <c r="C91" s="183" t="s">
        <v>100</v>
      </c>
      <c r="D91" s="189">
        <v>1000</v>
      </c>
      <c r="E91" s="170">
        <v>2000</v>
      </c>
      <c r="F91" s="190">
        <v>3000</v>
      </c>
      <c r="H91" s="98"/>
      <c r="I91" s="98" t="s">
        <v>100</v>
      </c>
      <c r="J91" s="133">
        <v>1000</v>
      </c>
      <c r="K91" s="133">
        <v>2000</v>
      </c>
      <c r="L91" s="133">
        <v>3000</v>
      </c>
      <c r="N91" s="492"/>
      <c r="O91" s="183" t="s">
        <v>100</v>
      </c>
      <c r="P91" s="189">
        <v>1000</v>
      </c>
      <c r="Q91" s="170">
        <v>2000</v>
      </c>
      <c r="R91" s="190">
        <v>3000</v>
      </c>
      <c r="T91" s="180" t="str" cm="1">
        <f t="array" aca="1" ref="T91" ca="1">_xll.d.TestUtils_IsTrue(_xll.d.Formatting_Equal(B91,N91))</f>
        <v>Ok</v>
      </c>
      <c r="U91" s="180" t="str" cm="1">
        <f t="array" aca="1" ref="U91" ca="1">_xll.d.TestUtils_IsTrue(_xll.d.Formatting_Equal(C91,O91))</f>
        <v>Ok</v>
      </c>
      <c r="V91" s="180" t="str" cm="1">
        <f t="array" aca="1" ref="V91" ca="1">_xll.d.TestUtils_IsTrue(_xll.d.Formatting_Equal(D91,P91))</f>
        <v>Ok</v>
      </c>
      <c r="W91" s="180" t="str" cm="1">
        <f t="array" aca="1" ref="W91" ca="1">_xll.d.TestUtils_IsTrue(_xll.d.Formatting_Equal(E91,Q91))</f>
        <v>Ok</v>
      </c>
      <c r="X91" s="180" t="str" cm="1">
        <f t="array" aca="1" ref="X91" ca="1">_xll.d.TestUtils_IsTrue(_xll.d.Formatting_Equal(F91,R91))</f>
        <v>Ok</v>
      </c>
    </row>
    <row r="92" spans="2:24" x14ac:dyDescent="0.25">
      <c r="B92" s="492"/>
      <c r="C92" s="183" t="s">
        <v>101</v>
      </c>
      <c r="D92" s="191">
        <v>1000</v>
      </c>
      <c r="E92" s="171">
        <v>2000</v>
      </c>
      <c r="F92" s="192">
        <v>3000</v>
      </c>
      <c r="H92" s="98"/>
      <c r="I92" s="98" t="s">
        <v>101</v>
      </c>
      <c r="J92" s="133">
        <v>1000</v>
      </c>
      <c r="K92" s="133">
        <v>2000</v>
      </c>
      <c r="L92" s="133">
        <v>3000</v>
      </c>
      <c r="N92" s="492"/>
      <c r="O92" s="183" t="s">
        <v>101</v>
      </c>
      <c r="P92" s="191">
        <v>1000</v>
      </c>
      <c r="Q92" s="171">
        <v>2000</v>
      </c>
      <c r="R92" s="192">
        <v>3000</v>
      </c>
      <c r="T92" s="180" t="str" cm="1">
        <f t="array" aca="1" ref="T92" ca="1">_xll.d.TestUtils_IsTrue(_xll.d.Formatting_Equal(B92,N92))</f>
        <v>Ok</v>
      </c>
      <c r="U92" s="180" t="str" cm="1">
        <f t="array" aca="1" ref="U92" ca="1">_xll.d.TestUtils_IsTrue(_xll.d.Formatting_Equal(C92,O92))</f>
        <v>Ok</v>
      </c>
      <c r="V92" s="180" t="str" cm="1">
        <f t="array" aca="1" ref="V92" ca="1">_xll.d.TestUtils_IsTrue(_xll.d.Formatting_Equal(D92,P92))</f>
        <v>Ok</v>
      </c>
      <c r="W92" s="180" t="str" cm="1">
        <f t="array" aca="1" ref="W92" ca="1">_xll.d.TestUtils_IsTrue(_xll.d.Formatting_Equal(E92,Q92))</f>
        <v>Ok</v>
      </c>
      <c r="X92" s="180" t="str" cm="1">
        <f t="array" aca="1" ref="X92" ca="1">_xll.d.TestUtils_IsTrue(_xll.d.Formatting_Equal(F92,R92))</f>
        <v>Ok</v>
      </c>
    </row>
    <row r="93" spans="2:24" x14ac:dyDescent="0.25">
      <c r="B93" s="492"/>
      <c r="C93" s="183" t="s">
        <v>102</v>
      </c>
      <c r="D93" s="193">
        <v>0.3</v>
      </c>
      <c r="E93" s="172">
        <v>0.4</v>
      </c>
      <c r="F93" s="174">
        <v>0.5</v>
      </c>
      <c r="H93" s="98"/>
      <c r="I93" s="98" t="s">
        <v>102</v>
      </c>
      <c r="J93" s="132">
        <v>0.3</v>
      </c>
      <c r="K93" s="132">
        <v>0.4</v>
      </c>
      <c r="L93" s="132">
        <v>0.5</v>
      </c>
      <c r="N93" s="492"/>
      <c r="O93" s="183" t="s">
        <v>102</v>
      </c>
      <c r="P93" s="193">
        <v>0.3</v>
      </c>
      <c r="Q93" s="172">
        <v>0.4</v>
      </c>
      <c r="R93" s="174">
        <v>0.5</v>
      </c>
      <c r="T93" s="180" t="str" cm="1">
        <f t="array" aca="1" ref="T93" ca="1">_xll.d.TestUtils_IsTrue(_xll.d.Formatting_Equal(B93,N93))</f>
        <v>Ok</v>
      </c>
      <c r="U93" s="180" t="str" cm="1">
        <f t="array" aca="1" ref="U93" ca="1">_xll.d.TestUtils_IsTrue(_xll.d.Formatting_Equal(C93,O93))</f>
        <v>Ok</v>
      </c>
      <c r="V93" s="180" t="str" cm="1">
        <f t="array" aca="1" ref="V93" ca="1">_xll.d.TestUtils_IsTrue(_xll.d.Formatting_Equal(D93,P93))</f>
        <v>Ok</v>
      </c>
      <c r="W93" s="180" t="str" cm="1">
        <f t="array" aca="1" ref="W93" ca="1">_xll.d.TestUtils_IsTrue(_xll.d.Formatting_Equal(E93,Q93))</f>
        <v>Ok</v>
      </c>
      <c r="X93" s="180" t="str" cm="1">
        <f t="array" aca="1" ref="X93" ca="1">_xll.d.TestUtils_IsTrue(_xll.d.Formatting_Equal(F93,R93))</f>
        <v>Ok</v>
      </c>
    </row>
    <row r="94" spans="2:24" x14ac:dyDescent="0.25">
      <c r="B94" s="492"/>
      <c r="C94" s="183" t="s">
        <v>81</v>
      </c>
      <c r="D94" s="193">
        <v>0.3</v>
      </c>
      <c r="E94" s="172">
        <v>0.4</v>
      </c>
      <c r="F94" s="174">
        <v>0.5</v>
      </c>
      <c r="H94" s="98"/>
      <c r="I94" s="98" t="s">
        <v>81</v>
      </c>
      <c r="J94" s="132">
        <v>0.3</v>
      </c>
      <c r="K94" s="132">
        <v>0.4</v>
      </c>
      <c r="L94" s="132">
        <v>0.5</v>
      </c>
      <c r="N94" s="492"/>
      <c r="O94" s="183" t="s">
        <v>81</v>
      </c>
      <c r="P94" s="193">
        <v>0.3</v>
      </c>
      <c r="Q94" s="172">
        <v>0.4</v>
      </c>
      <c r="R94" s="174">
        <v>0.5</v>
      </c>
      <c r="T94" s="180" t="str" cm="1">
        <f t="array" aca="1" ref="T94" ca="1">_xll.d.TestUtils_IsTrue(_xll.d.Formatting_Equal(B94,N94))</f>
        <v>Ok</v>
      </c>
      <c r="U94" s="180" t="str" cm="1">
        <f t="array" aca="1" ref="U94" ca="1">_xll.d.TestUtils_IsTrue(_xll.d.Formatting_Equal(C94,O94))</f>
        <v>Ok</v>
      </c>
      <c r="V94" s="180" t="str" cm="1">
        <f t="array" aca="1" ref="V94" ca="1">_xll.d.TestUtils_IsTrue(_xll.d.Formatting_Equal(D94,P94))</f>
        <v>Ok</v>
      </c>
      <c r="W94" s="180" t="str" cm="1">
        <f t="array" aca="1" ref="W94" ca="1">_xll.d.TestUtils_IsTrue(_xll.d.Formatting_Equal(E94,Q94))</f>
        <v>Ok</v>
      </c>
      <c r="X94" s="180" t="str" cm="1">
        <f t="array" aca="1" ref="X94" ca="1">_xll.d.TestUtils_IsTrue(_xll.d.Formatting_Equal(F94,R94))</f>
        <v>Ok</v>
      </c>
    </row>
    <row r="95" spans="2:24" x14ac:dyDescent="0.25">
      <c r="B95" s="492"/>
      <c r="C95" s="183" t="s">
        <v>82</v>
      </c>
      <c r="D95" s="193">
        <v>0.3</v>
      </c>
      <c r="E95" s="172">
        <v>0.4</v>
      </c>
      <c r="F95" s="174">
        <v>0.5</v>
      </c>
      <c r="H95" s="98"/>
      <c r="I95" s="98" t="s">
        <v>82</v>
      </c>
      <c r="J95" s="132">
        <v>0.3</v>
      </c>
      <c r="K95" s="132">
        <v>0.4</v>
      </c>
      <c r="L95" s="132">
        <v>0.5</v>
      </c>
      <c r="N95" s="492"/>
      <c r="O95" s="183" t="s">
        <v>82</v>
      </c>
      <c r="P95" s="193">
        <v>0.3</v>
      </c>
      <c r="Q95" s="172">
        <v>0.4</v>
      </c>
      <c r="R95" s="174">
        <v>0.5</v>
      </c>
      <c r="T95" s="180" t="str" cm="1">
        <f t="array" aca="1" ref="T95" ca="1">_xll.d.TestUtils_IsTrue(_xll.d.Formatting_Equal(B95,N95))</f>
        <v>Ok</v>
      </c>
      <c r="U95" s="180" t="str" cm="1">
        <f t="array" aca="1" ref="U95" ca="1">_xll.d.TestUtils_IsTrue(_xll.d.Formatting_Equal(C95,O95))</f>
        <v>Ok</v>
      </c>
      <c r="V95" s="180" t="str" cm="1">
        <f t="array" aca="1" ref="V95" ca="1">_xll.d.TestUtils_IsTrue(_xll.d.Formatting_Equal(D95,P95))</f>
        <v>Ok</v>
      </c>
      <c r="W95" s="180" t="str" cm="1">
        <f t="array" aca="1" ref="W95" ca="1">_xll.d.TestUtils_IsTrue(_xll.d.Formatting_Equal(E95,Q95))</f>
        <v>Ok</v>
      </c>
      <c r="X95" s="180" t="str" cm="1">
        <f t="array" aca="1" ref="X95" ca="1">_xll.d.TestUtils_IsTrue(_xll.d.Formatting_Equal(F95,R95))</f>
        <v>Ok</v>
      </c>
    </row>
    <row r="96" spans="2:24" x14ac:dyDescent="0.25">
      <c r="B96" s="492"/>
      <c r="C96" s="183" t="s">
        <v>83</v>
      </c>
      <c r="D96" s="193">
        <v>0.3</v>
      </c>
      <c r="E96" s="172">
        <v>0.4</v>
      </c>
      <c r="F96" s="174">
        <v>0.5</v>
      </c>
      <c r="H96" s="98"/>
      <c r="I96" s="98" t="s">
        <v>83</v>
      </c>
      <c r="J96" s="132">
        <v>0.3</v>
      </c>
      <c r="K96" s="132">
        <v>0.4</v>
      </c>
      <c r="L96" s="132">
        <v>0.5</v>
      </c>
      <c r="N96" s="492"/>
      <c r="O96" s="183" t="s">
        <v>83</v>
      </c>
      <c r="P96" s="193">
        <v>0.3</v>
      </c>
      <c r="Q96" s="172">
        <v>0.4</v>
      </c>
      <c r="R96" s="174">
        <v>0.5</v>
      </c>
      <c r="T96" s="180" t="str" cm="1">
        <f t="array" aca="1" ref="T96" ca="1">_xll.d.TestUtils_IsTrue(_xll.d.Formatting_Equal(B96,N96))</f>
        <v>Ok</v>
      </c>
      <c r="U96" s="180" t="str" cm="1">
        <f t="array" aca="1" ref="U96" ca="1">_xll.d.TestUtils_IsTrue(_xll.d.Formatting_Equal(C96,O96))</f>
        <v>Ok</v>
      </c>
      <c r="V96" s="180" t="str" cm="1">
        <f t="array" aca="1" ref="V96" ca="1">_xll.d.TestUtils_IsTrue(_xll.d.Formatting_Equal(D96,P96))</f>
        <v>Ok</v>
      </c>
      <c r="W96" s="180" t="str" cm="1">
        <f t="array" aca="1" ref="W96" ca="1">_xll.d.TestUtils_IsTrue(_xll.d.Formatting_Equal(E96,Q96))</f>
        <v>Ok</v>
      </c>
      <c r="X96" s="180" t="str" cm="1">
        <f t="array" aca="1" ref="X96" ca="1">_xll.d.TestUtils_IsTrue(_xll.d.Formatting_Equal(F96,R96))</f>
        <v>Ok</v>
      </c>
    </row>
    <row r="97" spans="2:55" x14ac:dyDescent="0.25">
      <c r="B97" s="492"/>
      <c r="C97" s="183" t="s">
        <v>103</v>
      </c>
      <c r="D97" s="193">
        <v>0.3</v>
      </c>
      <c r="E97" s="172">
        <v>0.4</v>
      </c>
      <c r="F97" s="174">
        <v>0.5</v>
      </c>
      <c r="H97" s="98"/>
      <c r="I97" s="98" t="s">
        <v>103</v>
      </c>
      <c r="J97" s="132">
        <v>0.3</v>
      </c>
      <c r="K97" s="132">
        <v>0.4</v>
      </c>
      <c r="L97" s="132">
        <v>0.5</v>
      </c>
      <c r="N97" s="492"/>
      <c r="O97" s="183" t="s">
        <v>103</v>
      </c>
      <c r="P97" s="193">
        <v>0.3</v>
      </c>
      <c r="Q97" s="172">
        <v>0.4</v>
      </c>
      <c r="R97" s="174">
        <v>0.5</v>
      </c>
      <c r="T97" s="180" t="str" cm="1">
        <f t="array" aca="1" ref="T97" ca="1">_xll.d.TestUtils_IsTrue(_xll.d.Formatting_Equal(B97,N97))</f>
        <v>Ok</v>
      </c>
      <c r="U97" s="180" t="str" cm="1">
        <f t="array" aca="1" ref="U97" ca="1">_xll.d.TestUtils_IsTrue(_xll.d.Formatting_Equal(C97,O97))</f>
        <v>Ok</v>
      </c>
      <c r="V97" s="180" t="str" cm="1">
        <f t="array" aca="1" ref="V97" ca="1">_xll.d.TestUtils_IsTrue(_xll.d.Formatting_Equal(D97,P97))</f>
        <v>Ok</v>
      </c>
      <c r="W97" s="180" t="str" cm="1">
        <f t="array" aca="1" ref="W97" ca="1">_xll.d.TestUtils_IsTrue(_xll.d.Formatting_Equal(E97,Q97))</f>
        <v>Ok</v>
      </c>
      <c r="X97" s="180" t="str" cm="1">
        <f t="array" aca="1" ref="X97" ca="1">_xll.d.TestUtils_IsTrue(_xll.d.Formatting_Equal(F97,R97))</f>
        <v>Ok</v>
      </c>
    </row>
    <row r="98" spans="2:55" x14ac:dyDescent="0.25">
      <c r="B98" s="492"/>
      <c r="C98" s="183" t="s">
        <v>25</v>
      </c>
      <c r="D98" s="193">
        <v>0.3</v>
      </c>
      <c r="E98" s="172">
        <v>0.4</v>
      </c>
      <c r="F98" s="174">
        <v>0.5</v>
      </c>
      <c r="H98" s="98"/>
      <c r="I98" s="98" t="s">
        <v>25</v>
      </c>
      <c r="J98" s="132">
        <v>0.3</v>
      </c>
      <c r="K98" s="132">
        <v>0.4</v>
      </c>
      <c r="L98" s="132">
        <v>0.5</v>
      </c>
      <c r="N98" s="492"/>
      <c r="O98" s="183" t="s">
        <v>25</v>
      </c>
      <c r="P98" s="193">
        <v>0.3</v>
      </c>
      <c r="Q98" s="172">
        <v>0.4</v>
      </c>
      <c r="R98" s="174">
        <v>0.5</v>
      </c>
      <c r="T98" s="180" t="str" cm="1">
        <f t="array" aca="1" ref="T98" ca="1">_xll.d.TestUtils_IsTrue(_xll.d.Formatting_Equal(B98,N98))</f>
        <v>Ok</v>
      </c>
      <c r="U98" s="180" t="str" cm="1">
        <f t="array" aca="1" ref="U98" ca="1">_xll.d.TestUtils_IsTrue(_xll.d.Formatting_Equal(C98,O98))</f>
        <v>Ok</v>
      </c>
      <c r="V98" s="180" t="str" cm="1">
        <f t="array" aca="1" ref="V98" ca="1">_xll.d.TestUtils_IsTrue(_xll.d.Formatting_Equal(D98,P98))</f>
        <v>Ok</v>
      </c>
      <c r="W98" s="180" t="str" cm="1">
        <f t="array" aca="1" ref="W98" ca="1">_xll.d.TestUtils_IsTrue(_xll.d.Formatting_Equal(E98,Q98))</f>
        <v>Ok</v>
      </c>
      <c r="X98" s="180" t="str" cm="1">
        <f t="array" aca="1" ref="X98" ca="1">_xll.d.TestUtils_IsTrue(_xll.d.Formatting_Equal(F98,R98))</f>
        <v>Ok</v>
      </c>
    </row>
    <row r="99" spans="2:55" x14ac:dyDescent="0.25">
      <c r="B99" s="492"/>
      <c r="C99" s="183" t="s">
        <v>40</v>
      </c>
      <c r="D99" s="193">
        <v>0.3</v>
      </c>
      <c r="E99" s="172">
        <v>0.4</v>
      </c>
      <c r="F99" s="174">
        <v>0.5</v>
      </c>
      <c r="H99" s="98"/>
      <c r="I99" s="98" t="s">
        <v>40</v>
      </c>
      <c r="J99" s="132">
        <v>0.3</v>
      </c>
      <c r="K99" s="132">
        <v>0.4</v>
      </c>
      <c r="L99" s="132">
        <v>0.5</v>
      </c>
      <c r="N99" s="492"/>
      <c r="O99" s="183" t="s">
        <v>40</v>
      </c>
      <c r="P99" s="193">
        <v>0.3</v>
      </c>
      <c r="Q99" s="172">
        <v>0.4</v>
      </c>
      <c r="R99" s="174">
        <v>0.5</v>
      </c>
      <c r="T99" s="180" t="str" cm="1">
        <f t="array" aca="1" ref="T99" ca="1">_xll.d.TestUtils_IsTrue(_xll.d.Formatting_Equal(B99,N99))</f>
        <v>Ok</v>
      </c>
      <c r="U99" s="180" t="str" cm="1">
        <f t="array" aca="1" ref="U99" ca="1">_xll.d.TestUtils_IsTrue(_xll.d.Formatting_Equal(C99,O99))</f>
        <v>Ok</v>
      </c>
      <c r="V99" s="180" t="str" cm="1">
        <f t="array" aca="1" ref="V99" ca="1">_xll.d.TestUtils_IsTrue(_xll.d.Formatting_Equal(D99,P99))</f>
        <v>Ok</v>
      </c>
      <c r="W99" s="180" t="str" cm="1">
        <f t="array" aca="1" ref="W99" ca="1">_xll.d.TestUtils_IsTrue(_xll.d.Formatting_Equal(E99,Q99))</f>
        <v>Ok</v>
      </c>
      <c r="X99" s="180" t="str" cm="1">
        <f t="array" aca="1" ref="X99" ca="1">_xll.d.TestUtils_IsTrue(_xll.d.Formatting_Equal(F99,R99))</f>
        <v>Ok</v>
      </c>
    </row>
    <row r="100" spans="2:55" x14ac:dyDescent="0.25">
      <c r="B100" s="492"/>
      <c r="C100" s="183" t="s">
        <v>104</v>
      </c>
      <c r="D100" s="193">
        <v>0.3</v>
      </c>
      <c r="E100" s="172">
        <v>0.4</v>
      </c>
      <c r="F100" s="174">
        <v>0.5</v>
      </c>
      <c r="H100" s="98"/>
      <c r="I100" s="98" t="s">
        <v>104</v>
      </c>
      <c r="J100" s="132">
        <v>0.3</v>
      </c>
      <c r="K100" s="132">
        <v>0.4</v>
      </c>
      <c r="L100" s="132">
        <v>0.5</v>
      </c>
      <c r="N100" s="492"/>
      <c r="O100" s="183" t="s">
        <v>104</v>
      </c>
      <c r="P100" s="193">
        <v>0.3</v>
      </c>
      <c r="Q100" s="172">
        <v>0.4</v>
      </c>
      <c r="R100" s="174">
        <v>0.5</v>
      </c>
      <c r="T100" s="180" t="str" cm="1">
        <f t="array" aca="1" ref="T100" ca="1">_xll.d.TestUtils_IsTrue(_xll.d.Formatting_Equal(B100,N100))</f>
        <v>Ok</v>
      </c>
      <c r="U100" s="180" t="str" cm="1">
        <f t="array" aca="1" ref="U100" ca="1">_xll.d.TestUtils_IsTrue(_xll.d.Formatting_Equal(C100,O100))</f>
        <v>Ok</v>
      </c>
      <c r="V100" s="180" t="str" cm="1">
        <f t="array" aca="1" ref="V100" ca="1">_xll.d.TestUtils_IsTrue(_xll.d.Formatting_Equal(D100,P100))</f>
        <v>Ok</v>
      </c>
      <c r="W100" s="180" t="str" cm="1">
        <f t="array" aca="1" ref="W100" ca="1">_xll.d.TestUtils_IsTrue(_xll.d.Formatting_Equal(E100,Q100))</f>
        <v>Ok</v>
      </c>
      <c r="X100" s="180" t="str" cm="1">
        <f t="array" aca="1" ref="X100" ca="1">_xll.d.TestUtils_IsTrue(_xll.d.Formatting_Equal(F100,R100))</f>
        <v>Ok</v>
      </c>
    </row>
    <row r="101" spans="2:55" x14ac:dyDescent="0.25">
      <c r="B101" s="492"/>
      <c r="C101" s="183" t="s">
        <v>96</v>
      </c>
      <c r="D101" s="193">
        <v>0.3</v>
      </c>
      <c r="E101" s="172">
        <v>0.4</v>
      </c>
      <c r="F101" s="174">
        <v>0.5</v>
      </c>
      <c r="H101" s="98"/>
      <c r="I101" s="98" t="s">
        <v>96</v>
      </c>
      <c r="J101" s="132">
        <v>0.3</v>
      </c>
      <c r="K101" s="132">
        <v>0.4</v>
      </c>
      <c r="L101" s="132">
        <v>0.5</v>
      </c>
      <c r="N101" s="492"/>
      <c r="O101" s="183" t="s">
        <v>96</v>
      </c>
      <c r="P101" s="193">
        <v>0.3</v>
      </c>
      <c r="Q101" s="172">
        <v>0.4</v>
      </c>
      <c r="R101" s="174">
        <v>0.5</v>
      </c>
      <c r="T101" s="180" t="str" cm="1">
        <f t="array" aca="1" ref="T101" ca="1">_xll.d.TestUtils_IsTrue(_xll.d.Formatting_Equal(B101,N101))</f>
        <v>Ok</v>
      </c>
      <c r="U101" s="180" t="str" cm="1">
        <f t="array" aca="1" ref="U101" ca="1">_xll.d.TestUtils_IsTrue(_xll.d.Formatting_Equal(C101,O101))</f>
        <v>Ok</v>
      </c>
      <c r="V101" s="180" t="str" cm="1">
        <f t="array" aca="1" ref="V101" ca="1">_xll.d.TestUtils_IsTrue(_xll.d.Formatting_Equal(D101,P101))</f>
        <v>Ok</v>
      </c>
      <c r="W101" s="180" t="str" cm="1">
        <f t="array" aca="1" ref="W101" ca="1">_xll.d.TestUtils_IsTrue(_xll.d.Formatting_Equal(E101,Q101))</f>
        <v>Ok</v>
      </c>
      <c r="X101" s="180" t="str" cm="1">
        <f t="array" aca="1" ref="X101" ca="1">_xll.d.TestUtils_IsTrue(_xll.d.Formatting_Equal(F101,R101))</f>
        <v>Ok</v>
      </c>
    </row>
    <row r="102" spans="2:55" x14ac:dyDescent="0.25">
      <c r="B102" s="492"/>
      <c r="C102" s="183" t="s">
        <v>106</v>
      </c>
      <c r="D102" s="193">
        <v>0.3</v>
      </c>
      <c r="E102" s="172">
        <v>0.4</v>
      </c>
      <c r="F102" s="174">
        <v>0.5</v>
      </c>
      <c r="H102" s="98"/>
      <c r="I102" s="98" t="s">
        <v>106</v>
      </c>
      <c r="J102" s="132">
        <v>0.3</v>
      </c>
      <c r="K102" s="132">
        <v>0.4</v>
      </c>
      <c r="L102" s="132">
        <v>0.5</v>
      </c>
      <c r="N102" s="492"/>
      <c r="O102" s="183" t="s">
        <v>106</v>
      </c>
      <c r="P102" s="193">
        <v>0.3</v>
      </c>
      <c r="Q102" s="172">
        <v>0.4</v>
      </c>
      <c r="R102" s="174">
        <v>0.5</v>
      </c>
      <c r="T102" s="180" t="str" cm="1">
        <f t="array" aca="1" ref="T102" ca="1">_xll.d.TestUtils_IsTrue(_xll.d.Formatting_Equal(B102,N102))</f>
        <v>Ok</v>
      </c>
      <c r="U102" s="180" t="str" cm="1">
        <f t="array" aca="1" ref="U102" ca="1">_xll.d.TestUtils_IsTrue(_xll.d.Formatting_Equal(C102,O102))</f>
        <v>Ok</v>
      </c>
      <c r="V102" s="180" t="str" cm="1">
        <f t="array" aca="1" ref="V102" ca="1">_xll.d.TestUtils_IsTrue(_xll.d.Formatting_Equal(D102,P102))</f>
        <v>Ok</v>
      </c>
      <c r="W102" s="180" t="str" cm="1">
        <f t="array" aca="1" ref="W102" ca="1">_xll.d.TestUtils_IsTrue(_xll.d.Formatting_Equal(E102,Q102))</f>
        <v>Ok</v>
      </c>
      <c r="X102" s="180" t="str" cm="1">
        <f t="array" aca="1" ref="X102" ca="1">_xll.d.TestUtils_IsTrue(_xll.d.Formatting_Equal(F102,R102))</f>
        <v>Ok</v>
      </c>
    </row>
    <row r="103" spans="2:55" x14ac:dyDescent="0.25">
      <c r="B103" s="493"/>
      <c r="C103" s="184" t="s">
        <v>105</v>
      </c>
      <c r="D103" s="194">
        <v>0.3</v>
      </c>
      <c r="E103" s="173">
        <v>0.4</v>
      </c>
      <c r="F103" s="175">
        <v>0.5</v>
      </c>
      <c r="H103" s="98"/>
      <c r="I103" s="98" t="s">
        <v>105</v>
      </c>
      <c r="J103" s="132">
        <v>0.3</v>
      </c>
      <c r="K103" s="132">
        <v>0.4</v>
      </c>
      <c r="L103" s="132">
        <v>0.5</v>
      </c>
      <c r="N103" s="493"/>
      <c r="O103" s="184" t="s">
        <v>105</v>
      </c>
      <c r="P103" s="194">
        <v>0.3</v>
      </c>
      <c r="Q103" s="173">
        <v>0.4</v>
      </c>
      <c r="R103" s="175">
        <v>0.5</v>
      </c>
      <c r="T103" s="180" t="str" cm="1">
        <f t="array" aca="1" ref="T103" ca="1">_xll.d.TestUtils_IsTrue(_xll.d.Formatting_Equal(B103,N103))</f>
        <v>Ok</v>
      </c>
      <c r="U103" s="180" t="str" cm="1">
        <f t="array" aca="1" ref="U103" ca="1">_xll.d.TestUtils_IsTrue(_xll.d.Formatting_Equal(C103,O103))</f>
        <v>Ok</v>
      </c>
      <c r="V103" s="180" t="str" cm="1">
        <f t="array" aca="1" ref="V103" ca="1">_xll.d.TestUtils_IsTrue(_xll.d.Formatting_Equal(D103,P103))</f>
        <v>Ok</v>
      </c>
      <c r="W103" s="180" t="str" cm="1">
        <f t="array" aca="1" ref="W103" ca="1">_xll.d.TestUtils_IsTrue(_xll.d.Formatting_Equal(E103,Q103))</f>
        <v>Ok</v>
      </c>
      <c r="X103" s="180" t="str" cm="1">
        <f t="array" aca="1" ref="X103" ca="1">_xll.d.TestUtils_IsTrue(_xll.d.Formatting_Equal(F103,R103))</f>
        <v>Ok</v>
      </c>
    </row>
    <row r="106" spans="2:55" ht="18.75" x14ac:dyDescent="0.3">
      <c r="B106" s="3" t="s">
        <v>120</v>
      </c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</row>
    <row r="108" spans="2:55" x14ac:dyDescent="0.25">
      <c r="B108" s="59" t="s">
        <v>133</v>
      </c>
      <c r="C108" s="180" t="str" cm="1">
        <f t="array" aca="1" ref="C108" ca="1">_xll.d.TestUtils_And(T123:X139)</f>
        <v>Ok</v>
      </c>
    </row>
    <row r="110" spans="2:55" x14ac:dyDescent="0.25">
      <c r="B110" s="59" t="s">
        <v>115</v>
      </c>
      <c r="C110" s="59" t="s">
        <v>33</v>
      </c>
    </row>
    <row r="111" spans="2:55" x14ac:dyDescent="0.25">
      <c r="B111" s="96" t="s">
        <v>110</v>
      </c>
      <c r="C111" s="97" t="s">
        <v>128</v>
      </c>
    </row>
    <row r="112" spans="2:55" x14ac:dyDescent="0.25">
      <c r="B112" s="90" t="s">
        <v>111</v>
      </c>
      <c r="C112" s="91" t="s">
        <v>0</v>
      </c>
    </row>
    <row r="113" spans="2:24" x14ac:dyDescent="0.25">
      <c r="B113" s="92"/>
      <c r="C113" s="93" t="s">
        <v>112</v>
      </c>
    </row>
    <row r="114" spans="2:24" x14ac:dyDescent="0.25">
      <c r="B114" s="94"/>
      <c r="C114" s="95" t="s">
        <v>113</v>
      </c>
    </row>
    <row r="115" spans="2:24" x14ac:dyDescent="0.25">
      <c r="B115" s="161" t="s">
        <v>128</v>
      </c>
      <c r="C115" s="167">
        <v>0</v>
      </c>
    </row>
    <row r="116" spans="2:24" x14ac:dyDescent="0.25">
      <c r="B116" s="161" t="s">
        <v>129</v>
      </c>
      <c r="C116" s="167">
        <v>2</v>
      </c>
    </row>
    <row r="117" spans="2:24" x14ac:dyDescent="0.25">
      <c r="B117" s="147" t="s">
        <v>118</v>
      </c>
      <c r="C117" s="148"/>
    </row>
    <row r="119" spans="2:24" x14ac:dyDescent="0.25">
      <c r="B119" t="s">
        <v>119</v>
      </c>
    </row>
    <row r="121" spans="2:24" x14ac:dyDescent="0.25">
      <c r="B121" s="70" t="s">
        <v>92</v>
      </c>
      <c r="H121" s="70" t="s">
        <v>108</v>
      </c>
      <c r="N121" s="70" t="s">
        <v>109</v>
      </c>
      <c r="T121" s="70" t="s">
        <v>134</v>
      </c>
    </row>
    <row r="123" spans="2:24" ht="15" customHeight="1" x14ac:dyDescent="0.25">
      <c r="B123" s="150" t="s">
        <v>97</v>
      </c>
      <c r="C123" s="150" t="s">
        <v>35</v>
      </c>
      <c r="D123" s="150">
        <v>44562</v>
      </c>
      <c r="E123" s="150">
        <v>44593</v>
      </c>
      <c r="F123" s="150">
        <v>44621</v>
      </c>
      <c r="H123" s="494" t="s">
        <v>97</v>
      </c>
      <c r="I123" s="99" t="s">
        <v>35</v>
      </c>
      <c r="J123" s="82">
        <v>44562</v>
      </c>
      <c r="K123" s="84">
        <v>44593</v>
      </c>
      <c r="L123" s="102">
        <v>44621</v>
      </c>
      <c r="N123" s="150" t="s">
        <v>97</v>
      </c>
      <c r="O123" s="150" t="s">
        <v>35</v>
      </c>
      <c r="P123" s="150">
        <v>44562</v>
      </c>
      <c r="Q123" s="150">
        <v>44593</v>
      </c>
      <c r="R123" s="150">
        <v>44621</v>
      </c>
      <c r="T123" s="180" t="str" cm="1">
        <f t="array" aca="1" ref="T123" ca="1">_xll.d.TestUtils_IsTrue(_xll.d.Formatting_Equal(B123,N123))</f>
        <v>Ok</v>
      </c>
      <c r="U123" s="180" t="str" cm="1">
        <f t="array" aca="1" ref="U123" ca="1">_xll.d.TestUtils_IsTrue(_xll.d.Formatting_Equal(C123,O123))</f>
        <v>Ok</v>
      </c>
      <c r="V123" s="180" t="str" cm="1">
        <f t="array" aca="1" ref="V123" ca="1">_xll.d.TestUtils_IsTrue(_xll.d.Formatting_Equal(D123,P123))</f>
        <v>Ok</v>
      </c>
      <c r="W123" s="180" t="str" cm="1">
        <f t="array" aca="1" ref="W123" ca="1">_xll.d.TestUtils_IsTrue(_xll.d.Formatting_Equal(E123,Q123))</f>
        <v>Ok</v>
      </c>
      <c r="X123" s="180" t="str" cm="1">
        <f t="array" aca="1" ref="X123" ca="1">_xll.d.TestUtils_IsTrue(_xll.d.Formatting_Equal(F123,R123))</f>
        <v>Ok</v>
      </c>
    </row>
    <row r="124" spans="2:24" x14ac:dyDescent="0.25">
      <c r="B124" s="151"/>
      <c r="C124" s="150" t="s">
        <v>0</v>
      </c>
      <c r="D124" s="150">
        <v>44562</v>
      </c>
      <c r="E124" s="150">
        <v>44593</v>
      </c>
      <c r="F124" s="150">
        <v>44621</v>
      </c>
      <c r="H124" s="495"/>
      <c r="I124" s="100" t="s">
        <v>0</v>
      </c>
      <c r="J124" s="83">
        <v>44562</v>
      </c>
      <c r="K124" s="85">
        <v>44593</v>
      </c>
      <c r="L124" s="103">
        <v>44621</v>
      </c>
      <c r="N124" s="151"/>
      <c r="O124" s="150" t="s">
        <v>0</v>
      </c>
      <c r="P124" s="150">
        <v>44562</v>
      </c>
      <c r="Q124" s="150">
        <v>44593</v>
      </c>
      <c r="R124" s="150">
        <v>44621</v>
      </c>
      <c r="T124" s="180" t="str" cm="1">
        <f t="array" aca="1" ref="T124" ca="1">_xll.d.TestUtils_IsTrue(_xll.d.Formatting_Equal(B124,N124))</f>
        <v>Ok</v>
      </c>
      <c r="U124" s="180" t="str" cm="1">
        <f t="array" aca="1" ref="U124" ca="1">_xll.d.TestUtils_IsTrue(_xll.d.Formatting_Equal(C124,O124))</f>
        <v>Ok</v>
      </c>
      <c r="V124" s="180" t="str" cm="1">
        <f t="array" aca="1" ref="V124" ca="1">_xll.d.TestUtils_IsTrue(_xll.d.Formatting_Equal(D124,P124))</f>
        <v>Ok</v>
      </c>
      <c r="W124" s="180" t="str" cm="1">
        <f t="array" aca="1" ref="W124" ca="1">_xll.d.TestUtils_IsTrue(_xll.d.Formatting_Equal(E124,Q124))</f>
        <v>Ok</v>
      </c>
      <c r="X124" s="180" t="str" cm="1">
        <f t="array" aca="1" ref="X124" ca="1">_xll.d.TestUtils_IsTrue(_xll.d.Formatting_Equal(F124,R124))</f>
        <v>Ok</v>
      </c>
    </row>
    <row r="125" spans="2:24" x14ac:dyDescent="0.25">
      <c r="B125" s="151"/>
      <c r="C125" s="150" t="s">
        <v>98</v>
      </c>
      <c r="D125" s="151">
        <v>1000</v>
      </c>
      <c r="E125" s="151">
        <v>2000</v>
      </c>
      <c r="F125" s="151">
        <v>3000</v>
      </c>
      <c r="H125" s="495"/>
      <c r="I125" s="100" t="s">
        <v>98</v>
      </c>
      <c r="J125" s="104">
        <v>1000</v>
      </c>
      <c r="K125" s="86">
        <v>2000</v>
      </c>
      <c r="L125" s="105">
        <v>3000</v>
      </c>
      <c r="N125" s="151"/>
      <c r="O125" s="150" t="s">
        <v>98</v>
      </c>
      <c r="P125" s="151">
        <v>1000</v>
      </c>
      <c r="Q125" s="151">
        <v>2000</v>
      </c>
      <c r="R125" s="151">
        <v>3000</v>
      </c>
      <c r="T125" s="180" t="str" cm="1">
        <f t="array" aca="1" ref="T125" ca="1">_xll.d.TestUtils_IsTrue(_xll.d.Formatting_Equal(B125,N125))</f>
        <v>Ok</v>
      </c>
      <c r="U125" s="180" t="str" cm="1">
        <f t="array" aca="1" ref="U125" ca="1">_xll.d.TestUtils_IsTrue(_xll.d.Formatting_Equal(C125,O125))</f>
        <v>Ok</v>
      </c>
      <c r="V125" s="180" t="str" cm="1">
        <f t="array" aca="1" ref="V125" ca="1">_xll.d.TestUtils_IsTrue(_xll.d.Formatting_Equal(D125,P125))</f>
        <v>Ok</v>
      </c>
      <c r="W125" s="180" t="str" cm="1">
        <f t="array" aca="1" ref="W125" ca="1">_xll.d.TestUtils_IsTrue(_xll.d.Formatting_Equal(E125,Q125))</f>
        <v>Ok</v>
      </c>
      <c r="X125" s="180" t="str" cm="1">
        <f t="array" aca="1" ref="X125" ca="1">_xll.d.TestUtils_IsTrue(_xll.d.Formatting_Equal(F125,R125))</f>
        <v>Ok</v>
      </c>
    </row>
    <row r="126" spans="2:24" x14ac:dyDescent="0.25">
      <c r="B126" s="151"/>
      <c r="C126" s="150" t="s">
        <v>99</v>
      </c>
      <c r="D126" s="151">
        <v>1000</v>
      </c>
      <c r="E126" s="151">
        <v>2000</v>
      </c>
      <c r="F126" s="151">
        <v>3000</v>
      </c>
      <c r="H126" s="495"/>
      <c r="I126" s="100" t="s">
        <v>99</v>
      </c>
      <c r="J126" s="104">
        <v>1000</v>
      </c>
      <c r="K126" s="86">
        <v>2000</v>
      </c>
      <c r="L126" s="105">
        <v>3000</v>
      </c>
      <c r="N126" s="151"/>
      <c r="O126" s="150" t="s">
        <v>99</v>
      </c>
      <c r="P126" s="151">
        <v>1000</v>
      </c>
      <c r="Q126" s="151">
        <v>2000</v>
      </c>
      <c r="R126" s="151">
        <v>3000</v>
      </c>
      <c r="T126" s="180" t="str" cm="1">
        <f t="array" aca="1" ref="T126" ca="1">_xll.d.TestUtils_IsTrue(_xll.d.Formatting_Equal(B126,N126))</f>
        <v>Ok</v>
      </c>
      <c r="U126" s="180" t="str" cm="1">
        <f t="array" aca="1" ref="U126" ca="1">_xll.d.TestUtils_IsTrue(_xll.d.Formatting_Equal(C126,O126))</f>
        <v>Ok</v>
      </c>
      <c r="V126" s="180" t="str" cm="1">
        <f t="array" aca="1" ref="V126" ca="1">_xll.d.TestUtils_IsTrue(_xll.d.Formatting_Equal(D126,P126))</f>
        <v>Ok</v>
      </c>
      <c r="W126" s="180" t="str" cm="1">
        <f t="array" aca="1" ref="W126" ca="1">_xll.d.TestUtils_IsTrue(_xll.d.Formatting_Equal(E126,Q126))</f>
        <v>Ok</v>
      </c>
      <c r="X126" s="180" t="str" cm="1">
        <f t="array" aca="1" ref="X126" ca="1">_xll.d.TestUtils_IsTrue(_xll.d.Formatting_Equal(F126,R126))</f>
        <v>Ok</v>
      </c>
    </row>
    <row r="127" spans="2:24" x14ac:dyDescent="0.25">
      <c r="B127" s="151"/>
      <c r="C127" s="150" t="s">
        <v>100</v>
      </c>
      <c r="D127" s="151">
        <v>1000</v>
      </c>
      <c r="E127" s="151">
        <v>2000</v>
      </c>
      <c r="F127" s="151">
        <v>3000</v>
      </c>
      <c r="H127" s="495"/>
      <c r="I127" s="100" t="s">
        <v>100</v>
      </c>
      <c r="J127" s="104">
        <v>1000</v>
      </c>
      <c r="K127" s="86">
        <v>2000</v>
      </c>
      <c r="L127" s="105">
        <v>3000</v>
      </c>
      <c r="N127" s="151"/>
      <c r="O127" s="150" t="s">
        <v>100</v>
      </c>
      <c r="P127" s="151">
        <v>1000</v>
      </c>
      <c r="Q127" s="151">
        <v>2000</v>
      </c>
      <c r="R127" s="151">
        <v>3000</v>
      </c>
      <c r="T127" s="180" t="str" cm="1">
        <f t="array" aca="1" ref="T127" ca="1">_xll.d.TestUtils_IsTrue(_xll.d.Formatting_Equal(B127,N127))</f>
        <v>Ok</v>
      </c>
      <c r="U127" s="180" t="str" cm="1">
        <f t="array" aca="1" ref="U127" ca="1">_xll.d.TestUtils_IsTrue(_xll.d.Formatting_Equal(C127,O127))</f>
        <v>Ok</v>
      </c>
      <c r="V127" s="180" t="str" cm="1">
        <f t="array" aca="1" ref="V127" ca="1">_xll.d.TestUtils_IsTrue(_xll.d.Formatting_Equal(D127,P127))</f>
        <v>Ok</v>
      </c>
      <c r="W127" s="180" t="str" cm="1">
        <f t="array" aca="1" ref="W127" ca="1">_xll.d.TestUtils_IsTrue(_xll.d.Formatting_Equal(E127,Q127))</f>
        <v>Ok</v>
      </c>
      <c r="X127" s="180" t="str" cm="1">
        <f t="array" aca="1" ref="X127" ca="1">_xll.d.TestUtils_IsTrue(_xll.d.Formatting_Equal(F127,R127))</f>
        <v>Ok</v>
      </c>
    </row>
    <row r="128" spans="2:24" x14ac:dyDescent="0.25">
      <c r="B128" s="151"/>
      <c r="C128" s="150" t="s">
        <v>101</v>
      </c>
      <c r="D128" s="151">
        <v>1000</v>
      </c>
      <c r="E128" s="151">
        <v>2000</v>
      </c>
      <c r="F128" s="151">
        <v>3000</v>
      </c>
      <c r="H128" s="495"/>
      <c r="I128" s="100" t="s">
        <v>101</v>
      </c>
      <c r="J128" s="104">
        <v>1000</v>
      </c>
      <c r="K128" s="86">
        <v>2000</v>
      </c>
      <c r="L128" s="105">
        <v>3000</v>
      </c>
      <c r="N128" s="151"/>
      <c r="O128" s="150" t="s">
        <v>101</v>
      </c>
      <c r="P128" s="151">
        <v>1000</v>
      </c>
      <c r="Q128" s="151">
        <v>2000</v>
      </c>
      <c r="R128" s="151">
        <v>3000</v>
      </c>
      <c r="T128" s="180" t="str" cm="1">
        <f t="array" aca="1" ref="T128" ca="1">_xll.d.TestUtils_IsTrue(_xll.d.Formatting_Equal(B128,N128))</f>
        <v>Ok</v>
      </c>
      <c r="U128" s="180" t="str" cm="1">
        <f t="array" aca="1" ref="U128" ca="1">_xll.d.TestUtils_IsTrue(_xll.d.Formatting_Equal(C128,O128))</f>
        <v>Ok</v>
      </c>
      <c r="V128" s="180" t="str" cm="1">
        <f t="array" aca="1" ref="V128" ca="1">_xll.d.TestUtils_IsTrue(_xll.d.Formatting_Equal(D128,P128))</f>
        <v>Ok</v>
      </c>
      <c r="W128" s="180" t="str" cm="1">
        <f t="array" aca="1" ref="W128" ca="1">_xll.d.TestUtils_IsTrue(_xll.d.Formatting_Equal(E128,Q128))</f>
        <v>Ok</v>
      </c>
      <c r="X128" s="180" t="str" cm="1">
        <f t="array" aca="1" ref="X128" ca="1">_xll.d.TestUtils_IsTrue(_xll.d.Formatting_Equal(F128,R128))</f>
        <v>Ok</v>
      </c>
    </row>
    <row r="129" spans="2:55" x14ac:dyDescent="0.25">
      <c r="B129" s="151"/>
      <c r="C129" s="150" t="s">
        <v>102</v>
      </c>
      <c r="D129" s="150">
        <v>0.3</v>
      </c>
      <c r="E129" s="150">
        <v>0.4</v>
      </c>
      <c r="F129" s="150">
        <v>0.5</v>
      </c>
      <c r="H129" s="495"/>
      <c r="I129" s="100" t="s">
        <v>102</v>
      </c>
      <c r="J129" s="106">
        <v>0.3</v>
      </c>
      <c r="K129" s="87">
        <v>0.4</v>
      </c>
      <c r="L129" s="80">
        <v>0.5</v>
      </c>
      <c r="N129" s="151"/>
      <c r="O129" s="150" t="s">
        <v>102</v>
      </c>
      <c r="P129" s="150">
        <v>0.3</v>
      </c>
      <c r="Q129" s="150">
        <v>0.4</v>
      </c>
      <c r="R129" s="150">
        <v>0.5</v>
      </c>
      <c r="T129" s="180" t="str" cm="1">
        <f t="array" aca="1" ref="T129" ca="1">_xll.d.TestUtils_IsTrue(_xll.d.Formatting_Equal(B129,N129))</f>
        <v>Ok</v>
      </c>
      <c r="U129" s="180" t="str" cm="1">
        <f t="array" aca="1" ref="U129" ca="1">_xll.d.TestUtils_IsTrue(_xll.d.Formatting_Equal(C129,O129))</f>
        <v>Ok</v>
      </c>
      <c r="V129" s="180" t="str" cm="1">
        <f t="array" aca="1" ref="V129" ca="1">_xll.d.TestUtils_IsTrue(_xll.d.Formatting_Equal(D129,P129))</f>
        <v>Ok</v>
      </c>
      <c r="W129" s="180" t="str" cm="1">
        <f t="array" aca="1" ref="W129" ca="1">_xll.d.TestUtils_IsTrue(_xll.d.Formatting_Equal(E129,Q129))</f>
        <v>Ok</v>
      </c>
      <c r="X129" s="180" t="str" cm="1">
        <f t="array" aca="1" ref="X129" ca="1">_xll.d.TestUtils_IsTrue(_xll.d.Formatting_Equal(F129,R129))</f>
        <v>Ok</v>
      </c>
    </row>
    <row r="130" spans="2:55" x14ac:dyDescent="0.25">
      <c r="B130" s="151"/>
      <c r="C130" s="150" t="s">
        <v>81</v>
      </c>
      <c r="D130" s="150">
        <v>0.3</v>
      </c>
      <c r="E130" s="150">
        <v>0.4</v>
      </c>
      <c r="F130" s="150">
        <v>0.5</v>
      </c>
      <c r="H130" s="495"/>
      <c r="I130" s="100" t="s">
        <v>81</v>
      </c>
      <c r="J130" s="106">
        <v>0.3</v>
      </c>
      <c r="K130" s="87">
        <v>0.4</v>
      </c>
      <c r="L130" s="80">
        <v>0.5</v>
      </c>
      <c r="N130" s="151"/>
      <c r="O130" s="150" t="s">
        <v>81</v>
      </c>
      <c r="P130" s="150">
        <v>0.3</v>
      </c>
      <c r="Q130" s="150">
        <v>0.4</v>
      </c>
      <c r="R130" s="150">
        <v>0.5</v>
      </c>
      <c r="T130" s="180" t="str" cm="1">
        <f t="array" aca="1" ref="T130" ca="1">_xll.d.TestUtils_IsTrue(_xll.d.Formatting_Equal(B130,N130))</f>
        <v>Ok</v>
      </c>
      <c r="U130" s="180" t="str" cm="1">
        <f t="array" aca="1" ref="U130" ca="1">_xll.d.TestUtils_IsTrue(_xll.d.Formatting_Equal(C130,O130))</f>
        <v>Ok</v>
      </c>
      <c r="V130" s="180" t="str" cm="1">
        <f t="array" aca="1" ref="V130" ca="1">_xll.d.TestUtils_IsTrue(_xll.d.Formatting_Equal(D130,P130))</f>
        <v>Ok</v>
      </c>
      <c r="W130" s="180" t="str" cm="1">
        <f t="array" aca="1" ref="W130" ca="1">_xll.d.TestUtils_IsTrue(_xll.d.Formatting_Equal(E130,Q130))</f>
        <v>Ok</v>
      </c>
      <c r="X130" s="180" t="str" cm="1">
        <f t="array" aca="1" ref="X130" ca="1">_xll.d.TestUtils_IsTrue(_xll.d.Formatting_Equal(F130,R130))</f>
        <v>Ok</v>
      </c>
    </row>
    <row r="131" spans="2:55" x14ac:dyDescent="0.25">
      <c r="B131" s="151"/>
      <c r="C131" s="150" t="s">
        <v>82</v>
      </c>
      <c r="D131" s="150">
        <v>0.3</v>
      </c>
      <c r="E131" s="150">
        <v>0.4</v>
      </c>
      <c r="F131" s="150">
        <v>0.5</v>
      </c>
      <c r="H131" s="495"/>
      <c r="I131" s="100" t="s">
        <v>82</v>
      </c>
      <c r="J131" s="106">
        <v>0.3</v>
      </c>
      <c r="K131" s="87">
        <v>0.4</v>
      </c>
      <c r="L131" s="80">
        <v>0.5</v>
      </c>
      <c r="N131" s="151"/>
      <c r="O131" s="150" t="s">
        <v>82</v>
      </c>
      <c r="P131" s="150">
        <v>0.3</v>
      </c>
      <c r="Q131" s="150">
        <v>0.4</v>
      </c>
      <c r="R131" s="150">
        <v>0.5</v>
      </c>
      <c r="T131" s="180" t="str" cm="1">
        <f t="array" aca="1" ref="T131" ca="1">_xll.d.TestUtils_IsTrue(_xll.d.Formatting_Equal(B131,N131))</f>
        <v>Ok</v>
      </c>
      <c r="U131" s="180" t="str" cm="1">
        <f t="array" aca="1" ref="U131" ca="1">_xll.d.TestUtils_IsTrue(_xll.d.Formatting_Equal(C131,O131))</f>
        <v>Ok</v>
      </c>
      <c r="V131" s="180" t="str" cm="1">
        <f t="array" aca="1" ref="V131" ca="1">_xll.d.TestUtils_IsTrue(_xll.d.Formatting_Equal(D131,P131))</f>
        <v>Ok</v>
      </c>
      <c r="W131" s="180" t="str" cm="1">
        <f t="array" aca="1" ref="W131" ca="1">_xll.d.TestUtils_IsTrue(_xll.d.Formatting_Equal(E131,Q131))</f>
        <v>Ok</v>
      </c>
      <c r="X131" s="180" t="str" cm="1">
        <f t="array" aca="1" ref="X131" ca="1">_xll.d.TestUtils_IsTrue(_xll.d.Formatting_Equal(F131,R131))</f>
        <v>Ok</v>
      </c>
    </row>
    <row r="132" spans="2:55" x14ac:dyDescent="0.25">
      <c r="B132" s="151"/>
      <c r="C132" s="150" t="s">
        <v>83</v>
      </c>
      <c r="D132" s="150">
        <v>0.3</v>
      </c>
      <c r="E132" s="150">
        <v>0.4</v>
      </c>
      <c r="F132" s="150">
        <v>0.5</v>
      </c>
      <c r="H132" s="495"/>
      <c r="I132" s="100" t="s">
        <v>83</v>
      </c>
      <c r="J132" s="106">
        <v>0.3</v>
      </c>
      <c r="K132" s="87">
        <v>0.4</v>
      </c>
      <c r="L132" s="80">
        <v>0.5</v>
      </c>
      <c r="N132" s="151"/>
      <c r="O132" s="150" t="s">
        <v>83</v>
      </c>
      <c r="P132" s="150">
        <v>0.3</v>
      </c>
      <c r="Q132" s="150">
        <v>0.4</v>
      </c>
      <c r="R132" s="150">
        <v>0.5</v>
      </c>
      <c r="T132" s="180" t="str" cm="1">
        <f t="array" aca="1" ref="T132" ca="1">_xll.d.TestUtils_IsTrue(_xll.d.Formatting_Equal(B132,N132))</f>
        <v>Ok</v>
      </c>
      <c r="U132" s="180" t="str" cm="1">
        <f t="array" aca="1" ref="U132" ca="1">_xll.d.TestUtils_IsTrue(_xll.d.Formatting_Equal(C132,O132))</f>
        <v>Ok</v>
      </c>
      <c r="V132" s="180" t="str" cm="1">
        <f t="array" aca="1" ref="V132" ca="1">_xll.d.TestUtils_IsTrue(_xll.d.Formatting_Equal(D132,P132))</f>
        <v>Ok</v>
      </c>
      <c r="W132" s="180" t="str" cm="1">
        <f t="array" aca="1" ref="W132" ca="1">_xll.d.TestUtils_IsTrue(_xll.d.Formatting_Equal(E132,Q132))</f>
        <v>Ok</v>
      </c>
      <c r="X132" s="180" t="str" cm="1">
        <f t="array" aca="1" ref="X132" ca="1">_xll.d.TestUtils_IsTrue(_xll.d.Formatting_Equal(F132,R132))</f>
        <v>Ok</v>
      </c>
    </row>
    <row r="133" spans="2:55" x14ac:dyDescent="0.25">
      <c r="B133" s="151"/>
      <c r="C133" s="150" t="s">
        <v>103</v>
      </c>
      <c r="D133" s="150">
        <v>0.3</v>
      </c>
      <c r="E133" s="150">
        <v>0.4</v>
      </c>
      <c r="F133" s="150">
        <v>0.5</v>
      </c>
      <c r="H133" s="495"/>
      <c r="I133" s="100" t="s">
        <v>103</v>
      </c>
      <c r="J133" s="106">
        <v>0.3</v>
      </c>
      <c r="K133" s="87">
        <v>0.4</v>
      </c>
      <c r="L133" s="80">
        <v>0.5</v>
      </c>
      <c r="N133" s="151"/>
      <c r="O133" s="150" t="s">
        <v>103</v>
      </c>
      <c r="P133" s="150">
        <v>0.3</v>
      </c>
      <c r="Q133" s="150">
        <v>0.4</v>
      </c>
      <c r="R133" s="150">
        <v>0.5</v>
      </c>
      <c r="T133" s="180" t="str" cm="1">
        <f t="array" aca="1" ref="T133" ca="1">_xll.d.TestUtils_IsTrue(_xll.d.Formatting_Equal(B133,N133))</f>
        <v>Ok</v>
      </c>
      <c r="U133" s="180" t="str" cm="1">
        <f t="array" aca="1" ref="U133" ca="1">_xll.d.TestUtils_IsTrue(_xll.d.Formatting_Equal(C133,O133))</f>
        <v>Ok</v>
      </c>
      <c r="V133" s="180" t="str" cm="1">
        <f t="array" aca="1" ref="V133" ca="1">_xll.d.TestUtils_IsTrue(_xll.d.Formatting_Equal(D133,P133))</f>
        <v>Ok</v>
      </c>
      <c r="W133" s="180" t="str" cm="1">
        <f t="array" aca="1" ref="W133" ca="1">_xll.d.TestUtils_IsTrue(_xll.d.Formatting_Equal(E133,Q133))</f>
        <v>Ok</v>
      </c>
      <c r="X133" s="180" t="str" cm="1">
        <f t="array" aca="1" ref="X133" ca="1">_xll.d.TestUtils_IsTrue(_xll.d.Formatting_Equal(F133,R133))</f>
        <v>Ok</v>
      </c>
    </row>
    <row r="134" spans="2:55" x14ac:dyDescent="0.25">
      <c r="B134" s="151"/>
      <c r="C134" s="150" t="s">
        <v>25</v>
      </c>
      <c r="D134" s="150">
        <v>0.3</v>
      </c>
      <c r="E134" s="150">
        <v>0.4</v>
      </c>
      <c r="F134" s="150">
        <v>0.5</v>
      </c>
      <c r="H134" s="495"/>
      <c r="I134" s="100" t="s">
        <v>25</v>
      </c>
      <c r="J134" s="106">
        <v>0.3</v>
      </c>
      <c r="K134" s="87">
        <v>0.4</v>
      </c>
      <c r="L134" s="80">
        <v>0.5</v>
      </c>
      <c r="N134" s="151"/>
      <c r="O134" s="150" t="s">
        <v>25</v>
      </c>
      <c r="P134" s="150">
        <v>0.3</v>
      </c>
      <c r="Q134" s="150">
        <v>0.4</v>
      </c>
      <c r="R134" s="150">
        <v>0.5</v>
      </c>
      <c r="T134" s="180" t="str" cm="1">
        <f t="array" aca="1" ref="T134" ca="1">_xll.d.TestUtils_IsTrue(_xll.d.Formatting_Equal(B134,N134))</f>
        <v>Ok</v>
      </c>
      <c r="U134" s="180" t="str" cm="1">
        <f t="array" aca="1" ref="U134" ca="1">_xll.d.TestUtils_IsTrue(_xll.d.Formatting_Equal(C134,O134))</f>
        <v>Ok</v>
      </c>
      <c r="V134" s="180" t="str" cm="1">
        <f t="array" aca="1" ref="V134" ca="1">_xll.d.TestUtils_IsTrue(_xll.d.Formatting_Equal(D134,P134))</f>
        <v>Ok</v>
      </c>
      <c r="W134" s="180" t="str" cm="1">
        <f t="array" aca="1" ref="W134" ca="1">_xll.d.TestUtils_IsTrue(_xll.d.Formatting_Equal(E134,Q134))</f>
        <v>Ok</v>
      </c>
      <c r="X134" s="180" t="str" cm="1">
        <f t="array" aca="1" ref="X134" ca="1">_xll.d.TestUtils_IsTrue(_xll.d.Formatting_Equal(F134,R134))</f>
        <v>Ok</v>
      </c>
    </row>
    <row r="135" spans="2:55" x14ac:dyDescent="0.25">
      <c r="B135" s="151"/>
      <c r="C135" s="150" t="s">
        <v>40</v>
      </c>
      <c r="D135" s="150">
        <v>0.3</v>
      </c>
      <c r="E135" s="150">
        <v>0.4</v>
      </c>
      <c r="F135" s="150">
        <v>0.5</v>
      </c>
      <c r="H135" s="495"/>
      <c r="I135" s="100" t="s">
        <v>40</v>
      </c>
      <c r="J135" s="106">
        <v>0.3</v>
      </c>
      <c r="K135" s="87">
        <v>0.4</v>
      </c>
      <c r="L135" s="80">
        <v>0.5</v>
      </c>
      <c r="N135" s="151"/>
      <c r="O135" s="150" t="s">
        <v>40</v>
      </c>
      <c r="P135" s="150">
        <v>0.3</v>
      </c>
      <c r="Q135" s="150">
        <v>0.4</v>
      </c>
      <c r="R135" s="150">
        <v>0.5</v>
      </c>
      <c r="T135" s="180" t="str" cm="1">
        <f t="array" aca="1" ref="T135" ca="1">_xll.d.TestUtils_IsTrue(_xll.d.Formatting_Equal(B135,N135))</f>
        <v>Ok</v>
      </c>
      <c r="U135" s="180" t="str" cm="1">
        <f t="array" aca="1" ref="U135" ca="1">_xll.d.TestUtils_IsTrue(_xll.d.Formatting_Equal(C135,O135))</f>
        <v>Ok</v>
      </c>
      <c r="V135" s="180" t="str" cm="1">
        <f t="array" aca="1" ref="V135" ca="1">_xll.d.TestUtils_IsTrue(_xll.d.Formatting_Equal(D135,P135))</f>
        <v>Ok</v>
      </c>
      <c r="W135" s="180" t="str" cm="1">
        <f t="array" aca="1" ref="W135" ca="1">_xll.d.TestUtils_IsTrue(_xll.d.Formatting_Equal(E135,Q135))</f>
        <v>Ok</v>
      </c>
      <c r="X135" s="180" t="str" cm="1">
        <f t="array" aca="1" ref="X135" ca="1">_xll.d.TestUtils_IsTrue(_xll.d.Formatting_Equal(F135,R135))</f>
        <v>Ok</v>
      </c>
    </row>
    <row r="136" spans="2:55" x14ac:dyDescent="0.25">
      <c r="B136" s="151"/>
      <c r="C136" s="150" t="s">
        <v>104</v>
      </c>
      <c r="D136" s="150">
        <v>0.3</v>
      </c>
      <c r="E136" s="150">
        <v>0.4</v>
      </c>
      <c r="F136" s="150">
        <v>0.5</v>
      </c>
      <c r="H136" s="495"/>
      <c r="I136" s="100" t="s">
        <v>104</v>
      </c>
      <c r="J136" s="106">
        <v>0.3</v>
      </c>
      <c r="K136" s="87">
        <v>0.4</v>
      </c>
      <c r="L136" s="80">
        <v>0.5</v>
      </c>
      <c r="N136" s="151"/>
      <c r="O136" s="150" t="s">
        <v>104</v>
      </c>
      <c r="P136" s="150">
        <v>0.3</v>
      </c>
      <c r="Q136" s="150">
        <v>0.4</v>
      </c>
      <c r="R136" s="150">
        <v>0.5</v>
      </c>
      <c r="T136" s="180" t="str" cm="1">
        <f t="array" aca="1" ref="T136" ca="1">_xll.d.TestUtils_IsTrue(_xll.d.Formatting_Equal(B136,N136))</f>
        <v>Ok</v>
      </c>
      <c r="U136" s="180" t="str" cm="1">
        <f t="array" aca="1" ref="U136" ca="1">_xll.d.TestUtils_IsTrue(_xll.d.Formatting_Equal(C136,O136))</f>
        <v>Ok</v>
      </c>
      <c r="V136" s="180" t="str" cm="1">
        <f t="array" aca="1" ref="V136" ca="1">_xll.d.TestUtils_IsTrue(_xll.d.Formatting_Equal(D136,P136))</f>
        <v>Ok</v>
      </c>
      <c r="W136" s="180" t="str" cm="1">
        <f t="array" aca="1" ref="W136" ca="1">_xll.d.TestUtils_IsTrue(_xll.d.Formatting_Equal(E136,Q136))</f>
        <v>Ok</v>
      </c>
      <c r="X136" s="180" t="str" cm="1">
        <f t="array" aca="1" ref="X136" ca="1">_xll.d.TestUtils_IsTrue(_xll.d.Formatting_Equal(F136,R136))</f>
        <v>Ok</v>
      </c>
    </row>
    <row r="137" spans="2:55" x14ac:dyDescent="0.25">
      <c r="B137" s="151"/>
      <c r="C137" s="150" t="s">
        <v>96</v>
      </c>
      <c r="D137" s="150">
        <v>0.3</v>
      </c>
      <c r="E137" s="150">
        <v>0.4</v>
      </c>
      <c r="F137" s="150">
        <v>0.5</v>
      </c>
      <c r="H137" s="495"/>
      <c r="I137" s="100" t="s">
        <v>96</v>
      </c>
      <c r="J137" s="106">
        <v>0.3</v>
      </c>
      <c r="K137" s="87">
        <v>0.4</v>
      </c>
      <c r="L137" s="80">
        <v>0.5</v>
      </c>
      <c r="N137" s="151"/>
      <c r="O137" s="150" t="s">
        <v>96</v>
      </c>
      <c r="P137" s="150">
        <v>0.3</v>
      </c>
      <c r="Q137" s="150">
        <v>0.4</v>
      </c>
      <c r="R137" s="150">
        <v>0.5</v>
      </c>
      <c r="T137" s="180" t="str" cm="1">
        <f t="array" aca="1" ref="T137" ca="1">_xll.d.TestUtils_IsTrue(_xll.d.Formatting_Equal(B137,N137))</f>
        <v>Ok</v>
      </c>
      <c r="U137" s="180" t="str" cm="1">
        <f t="array" aca="1" ref="U137" ca="1">_xll.d.TestUtils_IsTrue(_xll.d.Formatting_Equal(C137,O137))</f>
        <v>Ok</v>
      </c>
      <c r="V137" s="180" t="str" cm="1">
        <f t="array" aca="1" ref="V137" ca="1">_xll.d.TestUtils_IsTrue(_xll.d.Formatting_Equal(D137,P137))</f>
        <v>Ok</v>
      </c>
      <c r="W137" s="180" t="str" cm="1">
        <f t="array" aca="1" ref="W137" ca="1">_xll.d.TestUtils_IsTrue(_xll.d.Formatting_Equal(E137,Q137))</f>
        <v>Ok</v>
      </c>
      <c r="X137" s="180" t="str" cm="1">
        <f t="array" aca="1" ref="X137" ca="1">_xll.d.TestUtils_IsTrue(_xll.d.Formatting_Equal(F137,R137))</f>
        <v>Ok</v>
      </c>
    </row>
    <row r="138" spans="2:55" x14ac:dyDescent="0.25">
      <c r="B138" s="151"/>
      <c r="C138" s="150" t="s">
        <v>106</v>
      </c>
      <c r="D138" s="150">
        <v>0.3</v>
      </c>
      <c r="E138" s="150">
        <v>0.4</v>
      </c>
      <c r="F138" s="150">
        <v>0.5</v>
      </c>
      <c r="H138" s="495"/>
      <c r="I138" s="100" t="s">
        <v>106</v>
      </c>
      <c r="J138" s="106">
        <v>0.3</v>
      </c>
      <c r="K138" s="87">
        <v>0.4</v>
      </c>
      <c r="L138" s="80">
        <v>0.5</v>
      </c>
      <c r="N138" s="151"/>
      <c r="O138" s="150" t="s">
        <v>106</v>
      </c>
      <c r="P138" s="150">
        <v>0.3</v>
      </c>
      <c r="Q138" s="150">
        <v>0.4</v>
      </c>
      <c r="R138" s="150">
        <v>0.5</v>
      </c>
      <c r="T138" s="180" t="str" cm="1">
        <f t="array" aca="1" ref="T138" ca="1">_xll.d.TestUtils_IsTrue(_xll.d.Formatting_Equal(B138,N138))</f>
        <v>Ok</v>
      </c>
      <c r="U138" s="180" t="str" cm="1">
        <f t="array" aca="1" ref="U138" ca="1">_xll.d.TestUtils_IsTrue(_xll.d.Formatting_Equal(C138,O138))</f>
        <v>Ok</v>
      </c>
      <c r="V138" s="180" t="str" cm="1">
        <f t="array" aca="1" ref="V138" ca="1">_xll.d.TestUtils_IsTrue(_xll.d.Formatting_Equal(D138,P138))</f>
        <v>Ok</v>
      </c>
      <c r="W138" s="180" t="str" cm="1">
        <f t="array" aca="1" ref="W138" ca="1">_xll.d.TestUtils_IsTrue(_xll.d.Formatting_Equal(E138,Q138))</f>
        <v>Ok</v>
      </c>
      <c r="X138" s="180" t="str" cm="1">
        <f t="array" aca="1" ref="X138" ca="1">_xll.d.TestUtils_IsTrue(_xll.d.Formatting_Equal(F138,R138))</f>
        <v>Ok</v>
      </c>
    </row>
    <row r="139" spans="2:55" x14ac:dyDescent="0.25">
      <c r="B139" s="151"/>
      <c r="C139" s="150" t="s">
        <v>105</v>
      </c>
      <c r="D139" s="150">
        <v>0.3</v>
      </c>
      <c r="E139" s="150">
        <v>0.4</v>
      </c>
      <c r="F139" s="150">
        <v>0.5</v>
      </c>
      <c r="H139" s="495"/>
      <c r="I139" s="101" t="s">
        <v>105</v>
      </c>
      <c r="J139" s="107">
        <v>0.3</v>
      </c>
      <c r="K139" s="88">
        <v>0.4</v>
      </c>
      <c r="L139" s="81">
        <v>0.5</v>
      </c>
      <c r="N139" s="151"/>
      <c r="O139" s="150" t="s">
        <v>105</v>
      </c>
      <c r="P139" s="150">
        <v>0.3</v>
      </c>
      <c r="Q139" s="150">
        <v>0.4</v>
      </c>
      <c r="R139" s="150">
        <v>0.5</v>
      </c>
      <c r="T139" s="180" t="str" cm="1">
        <f t="array" aca="1" ref="T139" ca="1">_xll.d.TestUtils_IsTrue(_xll.d.Formatting_Equal(B139,N139))</f>
        <v>Ok</v>
      </c>
      <c r="U139" s="180" t="str" cm="1">
        <f t="array" aca="1" ref="U139" ca="1">_xll.d.TestUtils_IsTrue(_xll.d.Formatting_Equal(C139,O139))</f>
        <v>Ok</v>
      </c>
      <c r="V139" s="180" t="str" cm="1">
        <f t="array" aca="1" ref="V139" ca="1">_xll.d.TestUtils_IsTrue(_xll.d.Formatting_Equal(D139,P139))</f>
        <v>Ok</v>
      </c>
      <c r="W139" s="180" t="str" cm="1">
        <f t="array" aca="1" ref="W139" ca="1">_xll.d.TestUtils_IsTrue(_xll.d.Formatting_Equal(E139,Q139))</f>
        <v>Ok</v>
      </c>
      <c r="X139" s="180" t="str" cm="1">
        <f t="array" aca="1" ref="X139" ca="1">_xll.d.TestUtils_IsTrue(_xll.d.Formatting_Equal(F139,R139))</f>
        <v>Ok</v>
      </c>
    </row>
    <row r="142" spans="2:55" ht="18.75" x14ac:dyDescent="0.3">
      <c r="B142" s="3" t="s">
        <v>125</v>
      </c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</row>
    <row r="144" spans="2:55" x14ac:dyDescent="0.25">
      <c r="B144" s="59" t="s">
        <v>133</v>
      </c>
      <c r="C144" s="180" t="str" cm="1">
        <f t="array" aca="1" ref="C144" ca="1">_xll.d.TestUtils_And(K157:L160)</f>
        <v>Ok</v>
      </c>
    </row>
    <row r="146" spans="2:12" x14ac:dyDescent="0.25">
      <c r="B146" s="59" t="s">
        <v>115</v>
      </c>
      <c r="C146" s="59" t="s">
        <v>33</v>
      </c>
    </row>
    <row r="147" spans="2:12" x14ac:dyDescent="0.25">
      <c r="B147" s="96" t="s">
        <v>110</v>
      </c>
      <c r="C147" s="97" t="s">
        <v>129</v>
      </c>
    </row>
    <row r="148" spans="2:12" x14ac:dyDescent="0.25">
      <c r="B148" s="90" t="s">
        <v>111</v>
      </c>
      <c r="C148" s="91" t="s">
        <v>126</v>
      </c>
    </row>
    <row r="149" spans="2:12" x14ac:dyDescent="0.25">
      <c r="B149" s="96" t="s">
        <v>128</v>
      </c>
      <c r="C149" s="166">
        <v>2</v>
      </c>
    </row>
    <row r="150" spans="2:12" x14ac:dyDescent="0.25">
      <c r="B150" s="161" t="s">
        <v>129</v>
      </c>
      <c r="C150" s="167">
        <v>0</v>
      </c>
    </row>
    <row r="151" spans="2:12" x14ac:dyDescent="0.25">
      <c r="B151" s="147" t="s">
        <v>118</v>
      </c>
      <c r="C151" s="148"/>
    </row>
    <row r="153" spans="2:12" x14ac:dyDescent="0.25">
      <c r="B153" t="s">
        <v>167</v>
      </c>
    </row>
    <row r="155" spans="2:12" x14ac:dyDescent="0.25">
      <c r="B155" s="70" t="s">
        <v>92</v>
      </c>
      <c r="E155" s="70" t="s">
        <v>108</v>
      </c>
      <c r="H155" s="70" t="s">
        <v>109</v>
      </c>
      <c r="K155" s="70" t="s">
        <v>134</v>
      </c>
    </row>
    <row r="157" spans="2:12" x14ac:dyDescent="0.25">
      <c r="B157" s="136" t="s">
        <v>58</v>
      </c>
      <c r="C157" s="137"/>
      <c r="E157" t="s">
        <v>58</v>
      </c>
      <c r="H157" s="136" t="s">
        <v>58</v>
      </c>
      <c r="I157" s="137"/>
      <c r="K157" s="180" t="str" cm="1">
        <f t="array" aca="1" ref="K157" ca="1">_xll.d.TestUtils_IsTrue(_xll.d.Formatting_Equal(B157,H157))</f>
        <v>Ok</v>
      </c>
      <c r="L157" s="180" t="str" cm="1">
        <f t="array" aca="1" ref="L157" ca="1">_xll.d.TestUtils_IsTrue(_xll.d.Formatting_Equal(C157,I157))</f>
        <v>Ok</v>
      </c>
    </row>
    <row r="158" spans="2:12" x14ac:dyDescent="0.25">
      <c r="B158" s="134" t="s">
        <v>32</v>
      </c>
      <c r="C158" s="135" t="s">
        <v>33</v>
      </c>
      <c r="E158" t="s">
        <v>32</v>
      </c>
      <c r="F158" t="s">
        <v>33</v>
      </c>
      <c r="H158" s="134" t="s">
        <v>32</v>
      </c>
      <c r="I158" s="135" t="s">
        <v>33</v>
      </c>
      <c r="K158" s="180" t="str" cm="1">
        <f t="array" aca="1" ref="K158" ca="1">_xll.d.TestUtils_IsTrue(_xll.d.Formatting_Equal(B158,H158))</f>
        <v>Ok</v>
      </c>
      <c r="L158" s="180" t="str" cm="1">
        <f t="array" aca="1" ref="L158" ca="1">_xll.d.TestUtils_IsTrue(_xll.d.Formatting_Equal(C158,I158))</f>
        <v>Ok</v>
      </c>
    </row>
    <row r="159" spans="2:12" x14ac:dyDescent="0.25">
      <c r="B159" s="138" t="s">
        <v>13</v>
      </c>
      <c r="C159" s="139" t="s">
        <v>47</v>
      </c>
      <c r="E159" t="s">
        <v>13</v>
      </c>
      <c r="F159" t="s">
        <v>47</v>
      </c>
      <c r="H159" s="138" t="s">
        <v>13</v>
      </c>
      <c r="I159" s="139" t="s">
        <v>47</v>
      </c>
      <c r="K159" s="180" t="str" cm="1">
        <f t="array" aca="1" ref="K159" ca="1">_xll.d.TestUtils_IsTrue(_xll.d.Formatting_Equal(B159,H159))</f>
        <v>Ok</v>
      </c>
      <c r="L159" s="180" t="str" cm="1">
        <f t="array" aca="1" ref="L159" ca="1">_xll.d.TestUtils_IsTrue(_xll.d.Formatting_Equal(C159,I159))</f>
        <v>Ok</v>
      </c>
    </row>
    <row r="160" spans="2:12" x14ac:dyDescent="0.25">
      <c r="B160" s="140" t="s">
        <v>36</v>
      </c>
      <c r="C160" s="141" t="s">
        <v>37</v>
      </c>
      <c r="E160" t="s">
        <v>36</v>
      </c>
      <c r="F160" t="s">
        <v>37</v>
      </c>
      <c r="H160" s="140" t="s">
        <v>36</v>
      </c>
      <c r="I160" s="141" t="s">
        <v>37</v>
      </c>
      <c r="K160" s="180" t="str" cm="1">
        <f t="array" aca="1" ref="K160" ca="1">_xll.d.TestUtils_IsTrue(_xll.d.Formatting_Equal(B160,H160))</f>
        <v>Ok</v>
      </c>
      <c r="L160" s="180" t="str" cm="1">
        <f t="array" aca="1" ref="L160" ca="1">_xll.d.TestUtils_IsTrue(_xll.d.Formatting_Equal(C160,I160))</f>
        <v>Ok</v>
      </c>
    </row>
    <row r="161" spans="2:55" x14ac:dyDescent="0.25">
      <c r="B161" s="142" t="s">
        <v>57</v>
      </c>
      <c r="C161" s="143" t="s">
        <v>26</v>
      </c>
      <c r="E161" t="s">
        <v>57</v>
      </c>
      <c r="F161" t="s">
        <v>26</v>
      </c>
      <c r="H161" s="142" t="s">
        <v>57</v>
      </c>
      <c r="I161" s="143" t="s">
        <v>26</v>
      </c>
      <c r="K161" s="180" t="str" cm="1">
        <f t="array" aca="1" ref="K161" ca="1">_xll.d.TestUtils_IsTrue(_xll.d.Formatting_Equal(B161,H161))</f>
        <v>Ok</v>
      </c>
      <c r="L161" s="180" t="str" cm="1">
        <f t="array" aca="1" ref="L161" ca="1">_xll.d.TestUtils_IsTrue(_xll.d.Formatting_Equal(C161,I161))</f>
        <v>Ok</v>
      </c>
    </row>
    <row r="164" spans="2:55" ht="18.75" x14ac:dyDescent="0.3">
      <c r="B164" s="3" t="s">
        <v>127</v>
      </c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</row>
    <row r="166" spans="2:55" x14ac:dyDescent="0.25">
      <c r="B166" s="59" t="s">
        <v>133</v>
      </c>
      <c r="C166" s="180" t="str" cm="1">
        <f t="array" aca="1" ref="C166" ca="1">_xll.d.TestUtils_And(K177:L181)</f>
        <v>Ok</v>
      </c>
    </row>
    <row r="168" spans="2:55" x14ac:dyDescent="0.25">
      <c r="B168" s="59" t="s">
        <v>115</v>
      </c>
      <c r="C168" s="59" t="s">
        <v>33</v>
      </c>
    </row>
    <row r="169" spans="2:55" x14ac:dyDescent="0.25">
      <c r="B169" s="96" t="s">
        <v>110</v>
      </c>
      <c r="C169" s="97" t="s">
        <v>129</v>
      </c>
    </row>
    <row r="170" spans="2:55" x14ac:dyDescent="0.25">
      <c r="B170" s="90" t="s">
        <v>111</v>
      </c>
      <c r="C170" s="91" t="s">
        <v>126</v>
      </c>
    </row>
    <row r="171" spans="2:55" x14ac:dyDescent="0.25">
      <c r="B171" s="147" t="s">
        <v>118</v>
      </c>
      <c r="C171" s="148"/>
    </row>
    <row r="173" spans="2:55" x14ac:dyDescent="0.25">
      <c r="B173" t="s">
        <v>130</v>
      </c>
    </row>
    <row r="175" spans="2:55" x14ac:dyDescent="0.25">
      <c r="B175" s="70" t="s">
        <v>92</v>
      </c>
      <c r="E175" s="70" t="s">
        <v>108</v>
      </c>
      <c r="H175" s="70" t="s">
        <v>109</v>
      </c>
      <c r="K175" s="70" t="s">
        <v>134</v>
      </c>
    </row>
    <row r="177" spans="2:55" x14ac:dyDescent="0.25">
      <c r="B177" s="150" t="s">
        <v>58</v>
      </c>
      <c r="C177" s="150"/>
      <c r="E177" s="136" t="s">
        <v>58</v>
      </c>
      <c r="F177" s="137"/>
      <c r="H177" s="151" t="s">
        <v>58</v>
      </c>
      <c r="I177" s="151"/>
      <c r="K177" s="180" t="str" cm="1">
        <f t="array" aca="1" ref="K177" ca="1">_xll.d.TestUtils_IsTrue(_xll.d.Formatting_Equal(B177,H177))</f>
        <v>Ok</v>
      </c>
      <c r="L177" s="180" t="str" cm="1">
        <f t="array" aca="1" ref="L177" ca="1">_xll.d.TestUtils_IsTrue(_xll.d.Formatting_Equal(C177,I177))</f>
        <v>Ok</v>
      </c>
    </row>
    <row r="178" spans="2:55" x14ac:dyDescent="0.25">
      <c r="B178" s="150" t="s">
        <v>32</v>
      </c>
      <c r="C178" s="150" t="s">
        <v>33</v>
      </c>
      <c r="E178" s="134" t="s">
        <v>32</v>
      </c>
      <c r="F178" s="135" t="s">
        <v>33</v>
      </c>
      <c r="H178" s="151" t="s">
        <v>32</v>
      </c>
      <c r="I178" s="151" t="s">
        <v>33</v>
      </c>
      <c r="K178" s="180" t="str" cm="1">
        <f t="array" aca="1" ref="K178" ca="1">_xll.d.TestUtils_IsTrue(_xll.d.Formatting_Equal(B178,H178))</f>
        <v>Ok</v>
      </c>
      <c r="L178" s="180" t="str" cm="1">
        <f t="array" aca="1" ref="L178" ca="1">_xll.d.TestUtils_IsTrue(_xll.d.Formatting_Equal(C178,I178))</f>
        <v>Ok</v>
      </c>
    </row>
    <row r="179" spans="2:55" x14ac:dyDescent="0.25">
      <c r="B179" s="150" t="s">
        <v>13</v>
      </c>
      <c r="C179" s="150" t="s">
        <v>47</v>
      </c>
      <c r="E179" s="138" t="s">
        <v>13</v>
      </c>
      <c r="F179" s="139" t="s">
        <v>47</v>
      </c>
      <c r="H179" s="151" t="s">
        <v>13</v>
      </c>
      <c r="I179" s="151" t="s">
        <v>47</v>
      </c>
      <c r="K179" s="180" t="str" cm="1">
        <f t="array" aca="1" ref="K179" ca="1">_xll.d.TestUtils_IsTrue(_xll.d.Formatting_Equal(B179,H179))</f>
        <v>Ok</v>
      </c>
      <c r="L179" s="180" t="str" cm="1">
        <f t="array" aca="1" ref="L179" ca="1">_xll.d.TestUtils_IsTrue(_xll.d.Formatting_Equal(C179,I179))</f>
        <v>Ok</v>
      </c>
    </row>
    <row r="180" spans="2:55" x14ac:dyDescent="0.25">
      <c r="B180" s="150" t="s">
        <v>36</v>
      </c>
      <c r="C180" s="150" t="s">
        <v>37</v>
      </c>
      <c r="E180" s="140" t="s">
        <v>36</v>
      </c>
      <c r="F180" s="141" t="s">
        <v>37</v>
      </c>
      <c r="H180" s="151" t="s">
        <v>36</v>
      </c>
      <c r="I180" s="151" t="s">
        <v>37</v>
      </c>
      <c r="K180" s="180" t="str" cm="1">
        <f t="array" aca="1" ref="K180" ca="1">_xll.d.TestUtils_IsTrue(_xll.d.Formatting_Equal(B180,H180))</f>
        <v>Ok</v>
      </c>
      <c r="L180" s="180" t="str" cm="1">
        <f t="array" aca="1" ref="L180" ca="1">_xll.d.TestUtils_IsTrue(_xll.d.Formatting_Equal(C180,I180))</f>
        <v>Ok</v>
      </c>
    </row>
    <row r="181" spans="2:55" x14ac:dyDescent="0.25">
      <c r="B181" s="150" t="s">
        <v>57</v>
      </c>
      <c r="C181" s="150" t="s">
        <v>26</v>
      </c>
      <c r="E181" s="142" t="s">
        <v>57</v>
      </c>
      <c r="F181" s="143" t="s">
        <v>26</v>
      </c>
      <c r="H181" s="151" t="s">
        <v>57</v>
      </c>
      <c r="I181" s="151" t="s">
        <v>26</v>
      </c>
      <c r="K181" s="180" t="str" cm="1">
        <f t="array" aca="1" ref="K181" ca="1">_xll.d.TestUtils_IsTrue(_xll.d.Formatting_Equal(B181,H181))</f>
        <v>Ok</v>
      </c>
      <c r="L181" s="180" t="str" cm="1">
        <f t="array" aca="1" ref="L181" ca="1">_xll.d.TestUtils_IsTrue(_xll.d.Formatting_Equal(C181,I181))</f>
        <v>Ok</v>
      </c>
    </row>
    <row r="184" spans="2:55" ht="18.75" x14ac:dyDescent="0.3">
      <c r="B184" s="3" t="s">
        <v>169</v>
      </c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</row>
    <row r="186" spans="2:55" x14ac:dyDescent="0.25">
      <c r="B186" s="59" t="s">
        <v>133</v>
      </c>
      <c r="C186" s="180" t="str" cm="1">
        <f t="array" aca="1" ref="C186" ca="1">_xll.d.TestUtils_And(T197:X198)</f>
        <v>Ok</v>
      </c>
    </row>
    <row r="188" spans="2:55" x14ac:dyDescent="0.25">
      <c r="B188" s="59" t="s">
        <v>115</v>
      </c>
      <c r="C188" s="59" t="s">
        <v>33</v>
      </c>
    </row>
    <row r="189" spans="2:55" x14ac:dyDescent="0.25">
      <c r="B189" s="96" t="s">
        <v>110</v>
      </c>
      <c r="C189" s="97" t="s">
        <v>128</v>
      </c>
    </row>
    <row r="190" spans="2:55" x14ac:dyDescent="0.25">
      <c r="B190" s="90" t="s">
        <v>111</v>
      </c>
      <c r="C190" s="91" t="s">
        <v>126</v>
      </c>
    </row>
    <row r="191" spans="2:55" x14ac:dyDescent="0.25">
      <c r="B191" s="147" t="s">
        <v>118</v>
      </c>
      <c r="C191" s="148"/>
    </row>
    <row r="193" spans="2:55" x14ac:dyDescent="0.25">
      <c r="B193" t="s">
        <v>130</v>
      </c>
    </row>
    <row r="195" spans="2:55" x14ac:dyDescent="0.25">
      <c r="B195" s="70" t="s">
        <v>92</v>
      </c>
      <c r="H195" s="70" t="s">
        <v>108</v>
      </c>
      <c r="N195" s="70" t="s">
        <v>109</v>
      </c>
      <c r="T195" s="70" t="s">
        <v>134</v>
      </c>
    </row>
    <row r="196" spans="2:55" x14ac:dyDescent="0.25">
      <c r="B196" s="150"/>
      <c r="C196" s="150"/>
      <c r="L196" s="151"/>
      <c r="M196" s="151"/>
    </row>
    <row r="197" spans="2:55" ht="15" customHeight="1" x14ac:dyDescent="0.25">
      <c r="B197" s="491" t="s">
        <v>58</v>
      </c>
      <c r="C197" s="182" t="s">
        <v>32</v>
      </c>
      <c r="D197" s="227" t="s">
        <v>13</v>
      </c>
      <c r="E197" s="228" t="s">
        <v>36</v>
      </c>
      <c r="F197" s="229" t="s">
        <v>57</v>
      </c>
      <c r="H197" s="151" t="s">
        <v>58</v>
      </c>
      <c r="I197" s="151" t="s">
        <v>32</v>
      </c>
      <c r="J197" s="151" t="s">
        <v>13</v>
      </c>
      <c r="K197" s="151" t="s">
        <v>36</v>
      </c>
      <c r="L197" s="151" t="s">
        <v>57</v>
      </c>
      <c r="N197" s="491" t="s">
        <v>58</v>
      </c>
      <c r="O197" s="182" t="s">
        <v>32</v>
      </c>
      <c r="P197" s="227" t="s">
        <v>13</v>
      </c>
      <c r="Q197" s="228" t="s">
        <v>36</v>
      </c>
      <c r="R197" s="229" t="s">
        <v>57</v>
      </c>
      <c r="T197" s="180" t="str" cm="1">
        <f t="array" aca="1" ref="T197" ca="1">_xll.d.TestUtils_IsTrue(_xll.d.Formatting_Equal(B197,N197))</f>
        <v>Ok</v>
      </c>
      <c r="U197" s="180" t="str" cm="1">
        <f t="array" aca="1" ref="U197" ca="1">_xll.d.TestUtils_IsTrue(_xll.d.Formatting_Equal(C197,O197))</f>
        <v>Ok</v>
      </c>
      <c r="V197" s="180" t="str" cm="1">
        <f t="array" aca="1" ref="V197" ca="1">_xll.d.TestUtils_IsTrue(_xll.d.Formatting_Equal(D197,P197))</f>
        <v>Ok</v>
      </c>
      <c r="W197" s="180" t="str" cm="1">
        <f t="array" aca="1" ref="W197" ca="1">_xll.d.TestUtils_IsTrue(_xll.d.Formatting_Equal(E197,Q197))</f>
        <v>Ok</v>
      </c>
      <c r="X197" s="180" t="str" cm="1">
        <f t="array" aca="1" ref="X197" ca="1">_xll.d.TestUtils_IsTrue(_xll.d.Formatting_Equal(F197,R197))</f>
        <v>Ok</v>
      </c>
    </row>
    <row r="198" spans="2:55" x14ac:dyDescent="0.25">
      <c r="B198" s="493"/>
      <c r="C198" s="184" t="s">
        <v>33</v>
      </c>
      <c r="D198" s="230" t="s">
        <v>47</v>
      </c>
      <c r="E198" s="231" t="s">
        <v>37</v>
      </c>
      <c r="F198" s="232" t="s">
        <v>26</v>
      </c>
      <c r="H198" s="151"/>
      <c r="I198" s="151" t="s">
        <v>33</v>
      </c>
      <c r="J198" s="151" t="s">
        <v>47</v>
      </c>
      <c r="K198" s="151" t="s">
        <v>37</v>
      </c>
      <c r="L198" s="151" t="s">
        <v>26</v>
      </c>
      <c r="N198" s="493"/>
      <c r="O198" s="184" t="s">
        <v>33</v>
      </c>
      <c r="P198" s="230" t="s">
        <v>47</v>
      </c>
      <c r="Q198" s="231" t="s">
        <v>37</v>
      </c>
      <c r="R198" s="232" t="s">
        <v>26</v>
      </c>
      <c r="T198" s="180" t="str" cm="1">
        <f t="array" aca="1" ref="T198" ca="1">_xll.d.TestUtils_IsTrue(_xll.d.Formatting_Equal(B198,N198))</f>
        <v>Ok</v>
      </c>
      <c r="U198" s="180" t="str" cm="1">
        <f t="array" aca="1" ref="U198" ca="1">_xll.d.TestUtils_IsTrue(_xll.d.Formatting_Equal(C198,O198))</f>
        <v>Ok</v>
      </c>
      <c r="V198" s="180" t="str" cm="1">
        <f t="array" aca="1" ref="V198" ca="1">_xll.d.TestUtils_IsTrue(_xll.d.Formatting_Equal(D198,P198))</f>
        <v>Ok</v>
      </c>
      <c r="W198" s="180" t="str" cm="1">
        <f t="array" aca="1" ref="W198" ca="1">_xll.d.TestUtils_IsTrue(_xll.d.Formatting_Equal(E198,Q198))</f>
        <v>Ok</v>
      </c>
      <c r="X198" s="180" t="str" cm="1">
        <f t="array" aca="1" ref="X198" ca="1">_xll.d.TestUtils_IsTrue(_xll.d.Formatting_Equal(F198,R198))</f>
        <v>Ok</v>
      </c>
    </row>
    <row r="201" spans="2:55" ht="18.75" x14ac:dyDescent="0.3">
      <c r="B201" s="3" t="s">
        <v>174</v>
      </c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</row>
    <row r="203" spans="2:55" x14ac:dyDescent="0.25">
      <c r="B203" s="59" t="s">
        <v>133</v>
      </c>
      <c r="C203" s="180" t="str" cm="1">
        <f t="array" aca="1" ref="C203" ca="1">_xll.d.TestUtils_And(T217:X223)</f>
        <v>Ok</v>
      </c>
    </row>
    <row r="205" spans="2:55" x14ac:dyDescent="0.25">
      <c r="B205" s="59" t="s">
        <v>115</v>
      </c>
      <c r="C205" s="59" t="s">
        <v>33</v>
      </c>
    </row>
    <row r="206" spans="2:55" x14ac:dyDescent="0.25">
      <c r="B206" s="90" t="s">
        <v>110</v>
      </c>
      <c r="C206" s="91" t="s">
        <v>255</v>
      </c>
    </row>
    <row r="207" spans="2:55" x14ac:dyDescent="0.25">
      <c r="B207" s="92"/>
      <c r="C207" s="93" t="s">
        <v>128</v>
      </c>
    </row>
    <row r="208" spans="2:55" x14ac:dyDescent="0.25">
      <c r="B208" s="96" t="s">
        <v>111</v>
      </c>
      <c r="C208" s="97" t="s">
        <v>112</v>
      </c>
    </row>
    <row r="209" spans="2:24" x14ac:dyDescent="0.25">
      <c r="B209" s="161" t="s">
        <v>128</v>
      </c>
      <c r="C209" s="167">
        <v>2</v>
      </c>
    </row>
    <row r="210" spans="2:24" x14ac:dyDescent="0.25">
      <c r="B210" s="161" t="s">
        <v>129</v>
      </c>
      <c r="C210" s="167">
        <v>2</v>
      </c>
    </row>
    <row r="211" spans="2:24" x14ac:dyDescent="0.25">
      <c r="B211" s="147" t="s">
        <v>118</v>
      </c>
      <c r="C211" s="148"/>
    </row>
    <row r="213" spans="2:24" x14ac:dyDescent="0.25">
      <c r="B213" t="s">
        <v>256</v>
      </c>
    </row>
    <row r="215" spans="2:24" x14ac:dyDescent="0.25">
      <c r="B215" s="70" t="s">
        <v>92</v>
      </c>
      <c r="H215" s="70" t="s">
        <v>108</v>
      </c>
      <c r="N215" s="70" t="s">
        <v>109</v>
      </c>
      <c r="T215" s="70" t="s">
        <v>134</v>
      </c>
    </row>
    <row r="216" spans="2:24" x14ac:dyDescent="0.25">
      <c r="B216" s="150"/>
      <c r="C216" s="150"/>
      <c r="L216" s="151"/>
      <c r="M216" s="151"/>
    </row>
    <row r="217" spans="2:24" x14ac:dyDescent="0.25">
      <c r="B217" s="151" t="s">
        <v>253</v>
      </c>
      <c r="C217" s="151"/>
      <c r="D217" s="136" t="s">
        <v>254</v>
      </c>
      <c r="E217" s="226"/>
      <c r="F217" s="137"/>
      <c r="H217" s="151" t="s">
        <v>253</v>
      </c>
      <c r="I217" s="361" t="s">
        <v>257</v>
      </c>
      <c r="J217" s="151" t="s">
        <v>254</v>
      </c>
      <c r="K217" s="151"/>
      <c r="L217" s="151"/>
      <c r="M217" s="151"/>
      <c r="N217" s="151" t="s">
        <v>253</v>
      </c>
      <c r="O217" s="361" t="s">
        <v>257</v>
      </c>
      <c r="P217" s="362" t="s">
        <v>254</v>
      </c>
      <c r="Q217" s="363"/>
      <c r="R217" s="364"/>
      <c r="T217" s="180" t="str" cm="1">
        <f t="array" aca="1" ref="T217" ca="1">_xll.d.TestUtils_IsTrue(_xll.d.Formatting_Equal(B217,N217))</f>
        <v>Ok</v>
      </c>
      <c r="U217" s="180" t="str" cm="1">
        <f t="array" aca="1" ref="U217" ca="1">_xll.d.TestUtils_IsTrue(_xll.d.Formatting_Equal(C217,O217))</f>
        <v>Ok</v>
      </c>
      <c r="V217" s="180" t="str" cm="1">
        <f t="array" aca="1" ref="V217" ca="1">_xll.d.TestUtils_IsTrue(_xll.d.Formatting_Equal(D217,P217))</f>
        <v>Ok</v>
      </c>
      <c r="W217" s="180" t="str" cm="1">
        <f t="array" aca="1" ref="W217" ca="1">_xll.d.TestUtils_IsTrue(_xll.d.Formatting_Equal(E217,Q217))</f>
        <v>Ok</v>
      </c>
      <c r="X217" s="180" t="str" cm="1">
        <f t="array" aca="1" ref="X217" ca="1">_xll.d.TestUtils_IsTrue(_xll.d.Formatting_Equal(F217,R217))</f>
        <v>Ok</v>
      </c>
    </row>
    <row r="218" spans="2:24" x14ac:dyDescent="0.25">
      <c r="B218" s="151"/>
      <c r="C218" s="151"/>
      <c r="D218" s="330">
        <v>0.75</v>
      </c>
      <c r="E218" s="331">
        <v>1</v>
      </c>
      <c r="F218" s="332">
        <v>1.25</v>
      </c>
      <c r="H218" s="361" t="s">
        <v>257</v>
      </c>
      <c r="I218" s="361" t="s">
        <v>257</v>
      </c>
      <c r="J218" s="151">
        <v>0.75</v>
      </c>
      <c r="K218" s="151">
        <v>1</v>
      </c>
      <c r="L218" s="151">
        <v>1.25</v>
      </c>
      <c r="M218" s="151"/>
      <c r="N218" s="361" t="s">
        <v>257</v>
      </c>
      <c r="O218" s="361" t="s">
        <v>257</v>
      </c>
      <c r="P218" s="365">
        <v>0.75</v>
      </c>
      <c r="Q218" s="366">
        <v>1</v>
      </c>
      <c r="R218" s="367">
        <v>1.25</v>
      </c>
      <c r="T218" s="180" t="str" cm="1">
        <f t="array" aca="1" ref="T218" ca="1">_xll.d.TestUtils_IsTrue(_xll.d.Formatting_Equal(B218,N218))</f>
        <v>Ok</v>
      </c>
      <c r="U218" s="180" t="str" cm="1">
        <f t="array" aca="1" ref="U218" ca="1">_xll.d.TestUtils_IsTrue(_xll.d.Formatting_Equal(C218,O218))</f>
        <v>Ok</v>
      </c>
      <c r="V218" s="180" t="str" cm="1">
        <f t="array" aca="1" ref="V218" ca="1">_xll.d.TestUtils_IsTrue(_xll.d.Formatting_Equal(D218,P218))</f>
        <v>Ok</v>
      </c>
      <c r="W218" s="180" t="str" cm="1">
        <f t="array" aca="1" ref="W218" ca="1">_xll.d.TestUtils_IsTrue(_xll.d.Formatting_Equal(E218,Q218))</f>
        <v>Ok</v>
      </c>
      <c r="X218" s="180" t="str" cm="1">
        <f t="array" aca="1" ref="X218" ca="1">_xll.d.TestUtils_IsTrue(_xll.d.Formatting_Equal(F218,R218))</f>
        <v>Ok</v>
      </c>
    </row>
    <row r="219" spans="2:24" ht="15" customHeight="1" x14ac:dyDescent="0.25">
      <c r="B219" s="491" t="s">
        <v>39</v>
      </c>
      <c r="C219" s="336" t="s">
        <v>27</v>
      </c>
      <c r="D219" s="333">
        <v>0.25</v>
      </c>
      <c r="E219" s="328">
        <v>0.27</v>
      </c>
      <c r="F219" s="329">
        <v>0.28999999999999998</v>
      </c>
      <c r="H219" s="151" t="s">
        <v>39</v>
      </c>
      <c r="I219" s="151" t="s">
        <v>27</v>
      </c>
      <c r="J219" s="151">
        <v>0.25</v>
      </c>
      <c r="K219" s="151">
        <v>0.27</v>
      </c>
      <c r="L219" s="151">
        <v>0.28999999999999998</v>
      </c>
      <c r="M219" s="151"/>
      <c r="N219" s="491" t="s">
        <v>39</v>
      </c>
      <c r="O219" s="354" t="s">
        <v>27</v>
      </c>
      <c r="P219" s="368">
        <v>0.25</v>
      </c>
      <c r="Q219" s="357">
        <v>0.27</v>
      </c>
      <c r="R219" s="358">
        <v>0.28999999999999998</v>
      </c>
      <c r="T219" s="180" t="str" cm="1">
        <f t="array" aca="1" ref="T219" ca="1">_xll.d.TestUtils_IsTrue(_xll.d.Formatting_Equal(B219,N219))</f>
        <v>Ok</v>
      </c>
      <c r="U219" s="180" t="str" cm="1">
        <f t="array" aca="1" ref="U219" ca="1">_xll.d.TestUtils_IsTrue(_xll.d.Formatting_Equal(C219,O219))</f>
        <v>Ok</v>
      </c>
      <c r="V219" s="180" t="str" cm="1">
        <f t="array" aca="1" ref="V219" ca="1">_xll.d.TestUtils_IsTrue(_xll.d.Formatting_Equal(D219,P219))</f>
        <v>Ok</v>
      </c>
      <c r="W219" s="180" t="str" cm="1">
        <f t="array" aca="1" ref="W219" ca="1">_xll.d.TestUtils_IsTrue(_xll.d.Formatting_Equal(E219,Q219))</f>
        <v>Ok</v>
      </c>
      <c r="X219" s="180" t="str" cm="1">
        <f t="array" aca="1" ref="X219" ca="1">_xll.d.TestUtils_IsTrue(_xll.d.Formatting_Equal(F219,R219))</f>
        <v>Ok</v>
      </c>
    </row>
    <row r="220" spans="2:24" x14ac:dyDescent="0.25">
      <c r="B220" s="492"/>
      <c r="C220" s="337" t="s">
        <v>28</v>
      </c>
      <c r="D220" s="334">
        <v>0.27</v>
      </c>
      <c r="E220" s="327">
        <v>0.28999999999999998</v>
      </c>
      <c r="F220" s="141">
        <v>0.31</v>
      </c>
      <c r="H220" s="151"/>
      <c r="I220" s="151" t="s">
        <v>28</v>
      </c>
      <c r="J220" s="151">
        <v>0.27</v>
      </c>
      <c r="K220" s="151">
        <v>0.28999999999999998</v>
      </c>
      <c r="L220" s="151">
        <v>0.31</v>
      </c>
      <c r="M220" s="151"/>
      <c r="N220" s="492"/>
      <c r="O220" s="355" t="s">
        <v>28</v>
      </c>
      <c r="P220" s="359">
        <v>0.27</v>
      </c>
      <c r="Q220" s="352">
        <v>0.28999999999999998</v>
      </c>
      <c r="R220" s="353">
        <v>0.31</v>
      </c>
      <c r="T220" s="180" t="str" cm="1">
        <f t="array" aca="1" ref="T220" ca="1">_xll.d.TestUtils_IsTrue(_xll.d.Formatting_Equal(B220,N220))</f>
        <v>Ok</v>
      </c>
      <c r="U220" s="180" t="str" cm="1">
        <f t="array" aca="1" ref="U220" ca="1">_xll.d.TestUtils_IsTrue(_xll.d.Formatting_Equal(C220,O220))</f>
        <v>Ok</v>
      </c>
      <c r="V220" s="180" t="str" cm="1">
        <f t="array" aca="1" ref="V220" ca="1">_xll.d.TestUtils_IsTrue(_xll.d.Formatting_Equal(D220,P220))</f>
        <v>Ok</v>
      </c>
      <c r="W220" s="180" t="str" cm="1">
        <f t="array" aca="1" ref="W220" ca="1">_xll.d.TestUtils_IsTrue(_xll.d.Formatting_Equal(E220,Q220))</f>
        <v>Ok</v>
      </c>
      <c r="X220" s="180" t="str" cm="1">
        <f t="array" aca="1" ref="X220" ca="1">_xll.d.TestUtils_IsTrue(_xll.d.Formatting_Equal(F220,R220))</f>
        <v>Ok</v>
      </c>
    </row>
    <row r="221" spans="2:24" x14ac:dyDescent="0.25">
      <c r="B221" s="492"/>
      <c r="C221" s="337" t="s">
        <v>26</v>
      </c>
      <c r="D221" s="334">
        <v>0.28999999999999998</v>
      </c>
      <c r="E221" s="327">
        <v>0.31</v>
      </c>
      <c r="F221" s="141">
        <v>0.33</v>
      </c>
      <c r="H221" s="151"/>
      <c r="I221" s="151" t="s">
        <v>26</v>
      </c>
      <c r="J221" s="151">
        <v>0.28999999999999998</v>
      </c>
      <c r="K221" s="151">
        <v>0.31</v>
      </c>
      <c r="L221" s="151">
        <v>0.33</v>
      </c>
      <c r="M221" s="151"/>
      <c r="N221" s="492"/>
      <c r="O221" s="355" t="s">
        <v>26</v>
      </c>
      <c r="P221" s="359">
        <v>0.28999999999999998</v>
      </c>
      <c r="Q221" s="352">
        <v>0.31</v>
      </c>
      <c r="R221" s="353">
        <v>0.33</v>
      </c>
      <c r="T221" s="180" t="str" cm="1">
        <f t="array" aca="1" ref="T221" ca="1">_xll.d.TestUtils_IsTrue(_xll.d.Formatting_Equal(B221,N221))</f>
        <v>Ok</v>
      </c>
      <c r="U221" s="180" t="str" cm="1">
        <f t="array" aca="1" ref="U221" ca="1">_xll.d.TestUtils_IsTrue(_xll.d.Formatting_Equal(C221,O221))</f>
        <v>Ok</v>
      </c>
      <c r="V221" s="180" t="str" cm="1">
        <f t="array" aca="1" ref="V221" ca="1">_xll.d.TestUtils_IsTrue(_xll.d.Formatting_Equal(D221,P221))</f>
        <v>Ok</v>
      </c>
      <c r="W221" s="180" t="str" cm="1">
        <f t="array" aca="1" ref="W221" ca="1">_xll.d.TestUtils_IsTrue(_xll.d.Formatting_Equal(E221,Q221))</f>
        <v>Ok</v>
      </c>
      <c r="X221" s="180" t="str" cm="1">
        <f t="array" aca="1" ref="X221" ca="1">_xll.d.TestUtils_IsTrue(_xll.d.Formatting_Equal(F221,R221))</f>
        <v>Ok</v>
      </c>
    </row>
    <row r="222" spans="2:24" x14ac:dyDescent="0.25">
      <c r="B222" s="492"/>
      <c r="C222" s="337" t="s">
        <v>29</v>
      </c>
      <c r="D222" s="334">
        <v>0.31</v>
      </c>
      <c r="E222" s="327">
        <v>0.33</v>
      </c>
      <c r="F222" s="141">
        <v>0.35</v>
      </c>
      <c r="H222" s="151"/>
      <c r="I222" s="151" t="s">
        <v>29</v>
      </c>
      <c r="J222" s="151">
        <v>0.31</v>
      </c>
      <c r="K222" s="151">
        <v>0.33</v>
      </c>
      <c r="L222" s="151">
        <v>0.35</v>
      </c>
      <c r="M222" s="151"/>
      <c r="N222" s="492"/>
      <c r="O222" s="355" t="s">
        <v>29</v>
      </c>
      <c r="P222" s="359">
        <v>0.31</v>
      </c>
      <c r="Q222" s="352">
        <v>0.33</v>
      </c>
      <c r="R222" s="353">
        <v>0.35</v>
      </c>
      <c r="T222" s="180" t="str" cm="1">
        <f t="array" aca="1" ref="T222" ca="1">_xll.d.TestUtils_IsTrue(_xll.d.Formatting_Equal(B222,N222))</f>
        <v>Ok</v>
      </c>
      <c r="U222" s="180" t="str" cm="1">
        <f t="array" aca="1" ref="U222" ca="1">_xll.d.TestUtils_IsTrue(_xll.d.Formatting_Equal(C222,O222))</f>
        <v>Ok</v>
      </c>
      <c r="V222" s="180" t="str" cm="1">
        <f t="array" aca="1" ref="V222" ca="1">_xll.d.TestUtils_IsTrue(_xll.d.Formatting_Equal(D222,P222))</f>
        <v>Ok</v>
      </c>
      <c r="W222" s="180" t="str" cm="1">
        <f t="array" aca="1" ref="W222" ca="1">_xll.d.TestUtils_IsTrue(_xll.d.Formatting_Equal(E222,Q222))</f>
        <v>Ok</v>
      </c>
      <c r="X222" s="180" t="str" cm="1">
        <f t="array" aca="1" ref="X222" ca="1">_xll.d.TestUtils_IsTrue(_xll.d.Formatting_Equal(F222,R222))</f>
        <v>Ok</v>
      </c>
    </row>
    <row r="223" spans="2:24" x14ac:dyDescent="0.25">
      <c r="B223" s="493"/>
      <c r="C223" s="338" t="s">
        <v>62</v>
      </c>
      <c r="D223" s="335">
        <v>0.33</v>
      </c>
      <c r="E223" s="225">
        <v>0.35</v>
      </c>
      <c r="F223" s="143">
        <v>0.37</v>
      </c>
      <c r="H223" s="151"/>
      <c r="I223" s="151" t="s">
        <v>62</v>
      </c>
      <c r="J223" s="151">
        <v>0.33</v>
      </c>
      <c r="K223" s="151">
        <v>0.35</v>
      </c>
      <c r="L223" s="151">
        <v>0.37</v>
      </c>
      <c r="M223" s="151"/>
      <c r="N223" s="493"/>
      <c r="O223" s="356" t="s">
        <v>62</v>
      </c>
      <c r="P223" s="360">
        <v>0.33</v>
      </c>
      <c r="Q223" s="231">
        <v>0.35</v>
      </c>
      <c r="R223" s="232">
        <v>0.37</v>
      </c>
      <c r="T223" s="180" t="str" cm="1">
        <f t="array" aca="1" ref="T223" ca="1">_xll.d.TestUtils_IsTrue(_xll.d.Formatting_Equal(B223,N223))</f>
        <v>Ok</v>
      </c>
      <c r="U223" s="180" t="str" cm="1">
        <f t="array" aca="1" ref="U223" ca="1">_xll.d.TestUtils_IsTrue(_xll.d.Formatting_Equal(C223,O223))</f>
        <v>Ok</v>
      </c>
      <c r="V223" s="180" t="str" cm="1">
        <f t="array" aca="1" ref="V223" ca="1">_xll.d.TestUtils_IsTrue(_xll.d.Formatting_Equal(D223,P223))</f>
        <v>Ok</v>
      </c>
      <c r="W223" s="180" t="str" cm="1">
        <f t="array" aca="1" ref="W223" ca="1">_xll.d.TestUtils_IsTrue(_xll.d.Formatting_Equal(E223,Q223))</f>
        <v>Ok</v>
      </c>
      <c r="X223" s="180" t="str" cm="1">
        <f t="array" aca="1" ref="X223" ca="1">_xll.d.TestUtils_IsTrue(_xll.d.Formatting_Equal(F223,R223))</f>
        <v>Ok</v>
      </c>
    </row>
    <row r="224" spans="2:24" x14ac:dyDescent="0.25">
      <c r="H224" s="151"/>
      <c r="I224" s="151"/>
      <c r="J224" s="151"/>
      <c r="K224" s="151"/>
      <c r="L224" s="151"/>
      <c r="M224" s="151"/>
      <c r="N224" s="151"/>
      <c r="O224" s="151"/>
      <c r="P224" s="151"/>
      <c r="Q224" s="151"/>
      <c r="R224" s="151"/>
    </row>
  </sheetData>
  <mergeCells count="7">
    <mergeCell ref="B219:B223"/>
    <mergeCell ref="B87:B103"/>
    <mergeCell ref="H123:H139"/>
    <mergeCell ref="N87:N103"/>
    <mergeCell ref="B197:B198"/>
    <mergeCell ref="N197:N198"/>
    <mergeCell ref="N219:N223"/>
  </mergeCells>
  <conditionalFormatting sqref="C4">
    <cfRule type="cellIs" dxfId="56" priority="16" stopIfTrue="1" operator="equal">
      <formula>"ERROR"</formula>
    </cfRule>
    <cfRule type="cellIs" dxfId="55" priority="17" stopIfTrue="1" operator="equal">
      <formula>"OK"</formula>
    </cfRule>
    <cfRule type="cellIs" dxfId="54" priority="18" stopIfTrue="1" operator="equal">
      <formula>"WARNING"</formula>
    </cfRule>
  </conditionalFormatting>
  <conditionalFormatting sqref="C7:C12">
    <cfRule type="cellIs" dxfId="53" priority="19" stopIfTrue="1" operator="equal">
      <formula>"ERROR"</formula>
    </cfRule>
    <cfRule type="cellIs" dxfId="52" priority="20" stopIfTrue="1" operator="equal">
      <formula>"OK"</formula>
    </cfRule>
    <cfRule type="cellIs" dxfId="51" priority="21" stopIfTrue="1" operator="equal">
      <formula>"WARNING"</formula>
    </cfRule>
  </conditionalFormatting>
  <conditionalFormatting sqref="C24">
    <cfRule type="cellIs" dxfId="50" priority="22" stopIfTrue="1" operator="equal">
      <formula>"ERROR"</formula>
    </cfRule>
    <cfRule type="cellIs" dxfId="49" priority="23" stopIfTrue="1" operator="equal">
      <formula>"OK"</formula>
    </cfRule>
    <cfRule type="cellIs" dxfId="48" priority="24" stopIfTrue="1" operator="equal">
      <formula>"WARNING"</formula>
    </cfRule>
  </conditionalFormatting>
  <conditionalFormatting sqref="BD39:BT43">
    <cfRule type="cellIs" dxfId="47" priority="25" stopIfTrue="1" operator="equal">
      <formula>"ERROR"</formula>
    </cfRule>
    <cfRule type="cellIs" dxfId="46" priority="26" stopIfTrue="1" operator="equal">
      <formula>"OK"</formula>
    </cfRule>
    <cfRule type="cellIs" dxfId="45" priority="27" stopIfTrue="1" operator="equal">
      <formula>"WARNING"</formula>
    </cfRule>
  </conditionalFormatting>
  <conditionalFormatting sqref="C48">
    <cfRule type="cellIs" dxfId="44" priority="28" stopIfTrue="1" operator="equal">
      <formula>"ERROR"</formula>
    </cfRule>
    <cfRule type="cellIs" dxfId="43" priority="29" stopIfTrue="1" operator="equal">
      <formula>"OK"</formula>
    </cfRule>
    <cfRule type="cellIs" dxfId="42" priority="30" stopIfTrue="1" operator="equal">
      <formula>"WARNING"</formula>
    </cfRule>
  </conditionalFormatting>
  <conditionalFormatting sqref="BD63:BT67">
    <cfRule type="cellIs" dxfId="41" priority="31" stopIfTrue="1" operator="equal">
      <formula>"ERROR"</formula>
    </cfRule>
    <cfRule type="cellIs" dxfId="40" priority="32" stopIfTrue="1" operator="equal">
      <formula>"OK"</formula>
    </cfRule>
    <cfRule type="cellIs" dxfId="39" priority="33" stopIfTrue="1" operator="equal">
      <formula>"WARNING"</formula>
    </cfRule>
  </conditionalFormatting>
  <conditionalFormatting sqref="C72">
    <cfRule type="cellIs" dxfId="38" priority="34" stopIfTrue="1" operator="equal">
      <formula>"ERROR"</formula>
    </cfRule>
    <cfRule type="cellIs" dxfId="37" priority="35" stopIfTrue="1" operator="equal">
      <formula>"OK"</formula>
    </cfRule>
    <cfRule type="cellIs" dxfId="36" priority="36" stopIfTrue="1" operator="equal">
      <formula>"WARNING"</formula>
    </cfRule>
  </conditionalFormatting>
  <conditionalFormatting sqref="T87:X103">
    <cfRule type="cellIs" dxfId="35" priority="37" stopIfTrue="1" operator="equal">
      <formula>"ERROR"</formula>
    </cfRule>
    <cfRule type="cellIs" dxfId="34" priority="38" stopIfTrue="1" operator="equal">
      <formula>"OK"</formula>
    </cfRule>
    <cfRule type="cellIs" dxfId="33" priority="39" stopIfTrue="1" operator="equal">
      <formula>"WARNING"</formula>
    </cfRule>
  </conditionalFormatting>
  <conditionalFormatting sqref="C108">
    <cfRule type="cellIs" dxfId="32" priority="40" stopIfTrue="1" operator="equal">
      <formula>"ERROR"</formula>
    </cfRule>
    <cfRule type="cellIs" dxfId="31" priority="41" stopIfTrue="1" operator="equal">
      <formula>"OK"</formula>
    </cfRule>
    <cfRule type="cellIs" dxfId="30" priority="42" stopIfTrue="1" operator="equal">
      <formula>"WARNING"</formula>
    </cfRule>
  </conditionalFormatting>
  <conditionalFormatting sqref="T123:X139">
    <cfRule type="cellIs" dxfId="29" priority="43" stopIfTrue="1" operator="equal">
      <formula>"ERROR"</formula>
    </cfRule>
    <cfRule type="cellIs" dxfId="28" priority="44" stopIfTrue="1" operator="equal">
      <formula>"OK"</formula>
    </cfRule>
    <cfRule type="cellIs" dxfId="27" priority="45" stopIfTrue="1" operator="equal">
      <formula>"WARNING"</formula>
    </cfRule>
  </conditionalFormatting>
  <conditionalFormatting sqref="C144">
    <cfRule type="cellIs" dxfId="26" priority="46" stopIfTrue="1" operator="equal">
      <formula>"ERROR"</formula>
    </cfRule>
    <cfRule type="cellIs" dxfId="25" priority="47" stopIfTrue="1" operator="equal">
      <formula>"OK"</formula>
    </cfRule>
    <cfRule type="cellIs" dxfId="24" priority="48" stopIfTrue="1" operator="equal">
      <formula>"WARNING"</formula>
    </cfRule>
  </conditionalFormatting>
  <conditionalFormatting sqref="K157:L161">
    <cfRule type="cellIs" dxfId="23" priority="49" stopIfTrue="1" operator="equal">
      <formula>"ERROR"</formula>
    </cfRule>
    <cfRule type="cellIs" dxfId="22" priority="50" stopIfTrue="1" operator="equal">
      <formula>"OK"</formula>
    </cfRule>
    <cfRule type="cellIs" dxfId="21" priority="51" stopIfTrue="1" operator="equal">
      <formula>"WARNING"</formula>
    </cfRule>
  </conditionalFormatting>
  <conditionalFormatting sqref="K177:L181">
    <cfRule type="cellIs" dxfId="20" priority="52" stopIfTrue="1" operator="equal">
      <formula>"ERROR"</formula>
    </cfRule>
    <cfRule type="cellIs" dxfId="19" priority="53" stopIfTrue="1" operator="equal">
      <formula>"OK"</formula>
    </cfRule>
    <cfRule type="cellIs" dxfId="18" priority="54" stopIfTrue="1" operator="equal">
      <formula>"WARNING"</formula>
    </cfRule>
  </conditionalFormatting>
  <conditionalFormatting sqref="C166">
    <cfRule type="cellIs" dxfId="17" priority="55" stopIfTrue="1" operator="equal">
      <formula>"ERROR"</formula>
    </cfRule>
    <cfRule type="cellIs" dxfId="16" priority="56" stopIfTrue="1" operator="equal">
      <formula>"OK"</formula>
    </cfRule>
    <cfRule type="cellIs" dxfId="15" priority="57" stopIfTrue="1" operator="equal">
      <formula>"WARNING"</formula>
    </cfRule>
  </conditionalFormatting>
  <conditionalFormatting sqref="C186">
    <cfRule type="cellIs" dxfId="14" priority="13" stopIfTrue="1" operator="equal">
      <formula>"ERROR"</formula>
    </cfRule>
    <cfRule type="cellIs" dxfId="13" priority="14" stopIfTrue="1" operator="equal">
      <formula>"OK"</formula>
    </cfRule>
    <cfRule type="cellIs" dxfId="12" priority="15" stopIfTrue="1" operator="equal">
      <formula>"WARNING"</formula>
    </cfRule>
  </conditionalFormatting>
  <conditionalFormatting sqref="T197:X198">
    <cfRule type="cellIs" dxfId="11" priority="58" stopIfTrue="1" operator="equal">
      <formula>"ERROR"</formula>
    </cfRule>
    <cfRule type="cellIs" dxfId="10" priority="59" stopIfTrue="1" operator="equal">
      <formula>"OK"</formula>
    </cfRule>
    <cfRule type="cellIs" dxfId="9" priority="60" stopIfTrue="1" operator="equal">
      <formula>"WARNING"</formula>
    </cfRule>
  </conditionalFormatting>
  <conditionalFormatting sqref="C13:C14">
    <cfRule type="cellIs" dxfId="8" priority="61" stopIfTrue="1" operator="equal">
      <formula>"ERROR"</formula>
    </cfRule>
    <cfRule type="cellIs" dxfId="7" priority="62" stopIfTrue="1" operator="equal">
      <formula>"OK"</formula>
    </cfRule>
    <cfRule type="cellIs" dxfId="6" priority="63" stopIfTrue="1" operator="equal">
      <formula>"WARNING"</formula>
    </cfRule>
  </conditionalFormatting>
  <conditionalFormatting sqref="C203">
    <cfRule type="cellIs" dxfId="5" priority="4" stopIfTrue="1" operator="equal">
      <formula>"ERROR"</formula>
    </cfRule>
    <cfRule type="cellIs" dxfId="4" priority="5" stopIfTrue="1" operator="equal">
      <formula>"OK"</formula>
    </cfRule>
    <cfRule type="cellIs" dxfId="3" priority="6" stopIfTrue="1" operator="equal">
      <formula>"WARNING"</formula>
    </cfRule>
  </conditionalFormatting>
  <conditionalFormatting sqref="T217:X223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hyperlinks>
    <hyperlink ref="B33:C33" location="TableFormatting.Test1.ResetTest" display="Reset Test" xr:uid="{C6E968F6-A89C-442F-A0AC-BA7ABF55F044}"/>
    <hyperlink ref="B57:C57" location="TableFormatting.Test2.ResetTest" display="Reset Test" xr:uid="{7E746732-EBEF-49E4-BE94-F57093061195}"/>
    <hyperlink ref="B81:C81" location="TableFormatting.Test3.ResetTest" display="Reset Test" xr:uid="{D41723A6-7013-49D9-B59B-B09BB98748D2}"/>
    <hyperlink ref="B117" location="TableFormatting.Test4.ResetTest" display="Reset Test" xr:uid="{917E8DDA-4904-498B-A095-7B7F3681FFF7}"/>
    <hyperlink ref="B117:C117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1" location="TableFormatting.Test4.ResetTest" display="Reset Test" xr:uid="{A346A7D6-BC13-45E1-A933-5844A359F14E}"/>
    <hyperlink ref="B151:C151" location="TableFormatting.Test5.ResetTest" display="Reset Test" xr:uid="{AE57B19C-0F52-459D-A81B-6B12F4B8A5E9}"/>
    <hyperlink ref="B171" location="TableFormatting.Test4.ResetTest" display="Reset Test" xr:uid="{3232C02B-4A1D-485A-87BF-BC3F4B1652B2}"/>
    <hyperlink ref="B171:C171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1" location="TableFormatting.Test4.ResetTest" display="Reset Test" xr:uid="{E26FBFB9-A010-4C10-8036-2BC9DCEE3656}"/>
    <hyperlink ref="B191:C191" location="TableFormatting.Test7.ResetTest" display="Reset Test" xr:uid="{43399926-4CAA-44F5-BF67-C9E249613C8F}"/>
    <hyperlink ref="B13" location="TableFormatting.Test7.Title" display="Test 7" xr:uid="{F44D0772-A61F-42EC-9F2A-28C3142F91BD}"/>
    <hyperlink ref="B211" location="TableFormatting.Test4.ResetTest" display="Reset Test" xr:uid="{0687D9AA-52F5-4468-BEBB-53A2F7C0B3E3}"/>
    <hyperlink ref="B211:C211" location="TableFormatting.Test8.ResetTest" display="Reset Test" xr:uid="{4F397E9B-F98D-45B9-B2DC-E9242F71AE6A}"/>
    <hyperlink ref="B14" location="TableFormatting.Test8.Title" display="Test 8" xr:uid="{9309526C-C1DD-4F6F-9A89-5FFF93DA589B}"/>
    <hyperlink ref="B1" location="Summary!A1" display="Summary!A1" xr:uid="{52489BD2-6C38-4D07-9C8C-2D9AC78D0255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</vt:i4>
      </vt:variant>
    </vt:vector>
  </HeadingPairs>
  <TitlesOfParts>
    <vt:vector size="63" baseType="lpstr">
      <vt:lpstr>Summary</vt:lpstr>
      <vt:lpstr>Utilities</vt:lpstr>
      <vt:lpstr>Dates</vt:lpstr>
      <vt:lpstr>Mathematics</vt:lpstr>
      <vt:lpstr>Stats</vt:lpstr>
      <vt:lpstr>Interest Rates</vt:lpstr>
      <vt:lpstr>Curves</vt:lpstr>
      <vt:lpstr>SinlgeCurveBootstrapping</vt:lpstr>
      <vt:lpstr>MultiCurveBootstrapping</vt:lpstr>
      <vt:lpstr>HullWhite</vt:lpstr>
      <vt:lpstr>Fixed Income Instruments</vt:lpstr>
      <vt:lpstr>Interest Rate Swaps</vt:lpstr>
      <vt:lpstr>Other</vt:lpstr>
      <vt:lpstr>Test Utils</vt:lpstr>
      <vt:lpstr>Table Formatting</vt:lpstr>
      <vt:lpstr>Dates!Curves.Title</vt:lpstr>
      <vt:lpstr>Mathematics!Curves.Title</vt:lpstr>
      <vt:lpstr>Stats!Curves.Title</vt:lpstr>
      <vt:lpstr>Curves.Title</vt:lpstr>
      <vt:lpstr>Logic.Title</vt:lpstr>
      <vt:lpstr>Summary.ResetTestsInAllSheets</vt:lpstr>
      <vt:lpstr>Summary.RunTestsInAllSheets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2022-11-25T15:24:51Z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