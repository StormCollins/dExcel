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AB39B6C-0D75-430D-B955-A82BCC256E56}" xr6:coauthVersionLast="47" xr6:coauthVersionMax="47" xr10:uidLastSave="{00000000-0000-0000-0000-000000000000}"/>
  <bookViews>
    <workbookView xWindow="-120" yWindow="-120" windowWidth="24240" windowHeight="13140" tabRatio="721" firstSheet="1" activeTab="1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ingle Curve Bootstrapping" sheetId="3" r:id="rId15"/>
    <sheet name="Dual Curve Bootstrapping" sheetId="28" r:id="rId16"/>
    <sheet name="Interest Rate Pricers" sheetId="20" r:id="rId17"/>
    <sheet name="Rate Utils" sheetId="17" r:id="rId18"/>
    <sheet name="HullWhite" sheetId="2" r:id="rId19"/>
    <sheet name="Fixed Income Instruments" sheetId="10" r:id="rId20"/>
    <sheet name="Interest Rate Swaps" sheetId="11" r:id="rId21"/>
    <sheet name="Other" sheetId="7" r:id="rId22"/>
    <sheet name="Fix EMS Links Utils" sheetId="25" r:id="rId23"/>
    <sheet name="Hyperlink Utils" sheetId="24" r:id="rId24"/>
    <sheet name="Test Utils" sheetId="9" r:id="rId25"/>
    <sheet name="Table Formatting" sheetId="5" r:id="rId26"/>
  </sheets>
  <externalReferences>
    <externalReference r:id="rId27"/>
    <externalReference r:id="rId28"/>
  </externalReferences>
  <definedNames>
    <definedName name="CurveBootstrapping.Title.CurveBootstrapping" localSheetId="15">'Dual Curve Bootstrapping'!$B$2</definedName>
    <definedName name="CurveBootstrapping.Title.CurveBootstrapping">'Single Curve Bootstrapping'!$B$2</definedName>
    <definedName name="CurveBootstrapping.Title.CurveBootstrappingMethodologyTests" localSheetId="15">'Dual Curve Bootstrapping'!#REF!</definedName>
    <definedName name="CurveBootstrapping.Title.CurveBootstrappingMethodologyTests">'Single Curve Bootstrapping'!$F$8</definedName>
    <definedName name="CurveBootstrapping.Title.CurveBootstrappingTests" localSheetId="15">'Dual Curve Bootstrapping'!#REF!</definedName>
    <definedName name="CurveBootstrapping.Title.CurveBootstrappingTests">'Single Curve Bootstrapping'!$F$8</definedName>
    <definedName name="CurveBootstrapping.Title.d.Curve_Get" localSheetId="15">'Dual Curve Bootstrapping'!#REF!</definedName>
    <definedName name="CurveBootstrapping.Title.d.Curve_Get">'Single Curve Bootstrapping'!$B$73</definedName>
    <definedName name="CurveBootstrapping.Title.d.Curve_GetInstruments" localSheetId="15">'Dual Curve Bootstrapping'!#REF!</definedName>
    <definedName name="CurveBootstrapping.Title.d.Curve_GetInstruments">'Single Curve Bootstrapping'!$B$101</definedName>
    <definedName name="CurveBootstrapping.Title.DualBoostrappedRealCurveFEDFUND" localSheetId="15">'Dual Curve Bootstrapping'!$B$17</definedName>
    <definedName name="CurveBootstrapping.Title.DualBoostrappedRealCurveFEDFUND">'Single Curve Bootstrapping'!#REF!</definedName>
    <definedName name="CurveBootstrapping.Title.ExceptionTesting" localSheetId="15">'Dual Curve Bootstrapping'!#REF!</definedName>
    <definedName name="CurveBootstrapping.Title.ExceptionTesting">'Single Curve Bootstrapping'!$BI$21</definedName>
    <definedName name="CurveBootstrapping.Title.FlatCurve3mJIBAR" localSheetId="15">'Dual Curve Bootstrapping'!#REF!</definedName>
    <definedName name="CurveBootstrapping.Title.FlatCurve3mJIBAR">'Single Curve Bootstrapping'!$B$23</definedName>
    <definedName name="CurveBootstrapping.Title.FunctionTests" localSheetId="15">'Dual Curve Bootstrapping'!#REF!</definedName>
    <definedName name="CurveBootstrapping.Title.FunctionTests">'Single Curve Bootstrapping'!$B$8</definedName>
    <definedName name="CurveBootstrapping.Title.GeneralFunctionTests" localSheetId="15">'Dual Curve Bootstrapping'!#REF!</definedName>
    <definedName name="CurveBootstrapping.Title.GeneralFunctionTests">'Single Curve Bootstrapping'!$B$8</definedName>
    <definedName name="CurveBootstrapping.Title.ManualCalculations" localSheetId="15">'Dual Curve Bootstrapping'!$F$20</definedName>
    <definedName name="CurveBootstrapping.Title.ManualCalculations">'Single Curve Bootstrapping'!#REF!</definedName>
    <definedName name="CurveBootstrapping.Title.OldBootstrapperCalculations" localSheetId="15">'Dual Curve Bootstrapping'!$K$20</definedName>
    <definedName name="CurveBootstrapping.Title.OldBootstrapperCalculations">'Single Curve Bootstrapping'!#REF!</definedName>
    <definedName name="CurveBootstrapping.Title.RealCurve3mJIBAR" localSheetId="15">'Dual Curve Bootstrapping'!#REF!</definedName>
    <definedName name="CurveBootstrapping.Title.RealCurve3mJIBAR">'Single Curve Bootstrapping'!$L$23</definedName>
    <definedName name="CurveBootstrapping.Title.RealCurveFEDFUND" localSheetId="15">'Dual Curve Bootstrapping'!#REF!</definedName>
    <definedName name="CurveBootstrapping.Title.RealCurveFEDFUND">'Single Curve Bootstrapping'!$AB$23</definedName>
    <definedName name="CurveBootstrapping.Title.TestResults" localSheetId="15">'Dual Curve Bootstrapping'!$B$4</definedName>
    <definedName name="CurveBootstrapping.Title.TestResults">'Single Curve Bootstrapping'!$B$4</definedName>
    <definedName name="CurveBootstrapping.Title.Tests" localSheetId="15">'Dual Curve Bootstrapping'!#REF!</definedName>
    <definedName name="CurveBootstrapping.Title.Tests">'Single Curve Bootstrapping'!$Q$31</definedName>
    <definedName name="CurveBootstrapping.Title.USDOISCurveTesting" localSheetId="15">'Dual Curve Bootstrapping'!#REF!</definedName>
    <definedName name="CurveBootstrapping.Title.USDOISCurveTesting">'Single Curve Bootstrapping'!$AB$21</definedName>
    <definedName name="CurveBootstrapping.Title.USDSwapCurveDualBootstrappedTesting" localSheetId="15">'Dual Curve Bootstrapping'!$B$15</definedName>
    <definedName name="CurveBootstrapping.Title.USDSwapCurveDualBootstrappedTesting">'Single Curve Bootstrapping'!#REF!</definedName>
    <definedName name="CurveBootstrapping.Title.USDSwapCurveTesting" localSheetId="15">'Dual Curve Bootstrapping'!$B$15</definedName>
    <definedName name="CurveBootstrapping.Title.USDSwapCurveTesting">'Single Curve Bootstrapping'!#REF!</definedName>
    <definedName name="CurveBootstrapping.Title.ZARSwapCurveTesting" localSheetId="15">'Dual Curve Bootstrapping'!#REF!</definedName>
    <definedName name="CurveBootstrapping.Title.ZARSwapCurveTesting">'Single Curve Bootstrapping'!$L$21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2">'Fix EMS Links Utils'!#REF!</definedName>
    <definedName name="HyperlinkUtils.Test4.ActionCheck">'Hyperlink Utils'!$E$59</definedName>
    <definedName name="HyperlinkUtils.Test4.Actual" localSheetId="22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2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2">'Fix EMS Links Utils'!$B$2</definedName>
    <definedName name="HyperlinkUtils.Title.HyperlinkUtils">'Hyperlink Utils'!$B$2</definedName>
    <definedName name="HyperlinkUtils.Title.MyHeading" localSheetId="22">'Fix EMS Links Utils'!#REF!</definedName>
    <definedName name="HyperlinkUtils.Title.MyHeading">'Hyperlink Utils'!$T$11</definedName>
    <definedName name="HyperlinkUtils.Title.Test" localSheetId="22">'Fix EMS Links Utils'!#REF!</definedName>
    <definedName name="HyperlinkUtils.Title.Test">'Hyperlink Utils'!$M$8</definedName>
    <definedName name="HyperlinkUtils.Title.Test1" localSheetId="22">'Fix EMS Links Utils'!#REF!</definedName>
    <definedName name="HyperlinkUtils.Title.Test1">'Hyperlink Utils'!$B$14</definedName>
    <definedName name="HyperlinkUtils.Title.Test1SingleCellHeadingwithSingleWord" localSheetId="22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 localSheetId="15">'Dual Curve Bootstrapping'!#REF!</definedName>
    <definedName name="SinlgeCurveBootstrapping.Title.CurveBootstrappingTests">'Single Curve Bootstrapping'!$F$8</definedName>
    <definedName name="SinlgeCurveBootstrapping.Title.d.Curve_GetInstruments" localSheetId="15">'Dual Curve Bootstrapping'!#REF!</definedName>
    <definedName name="SinlgeCurveBootstrapping.Title.d.Curve_GetInstruments">'Single Curve Bootstrapping'!$B$101</definedName>
    <definedName name="SinlgeCurveBootstrapping.Title.ExceptionTesting" localSheetId="15">'Dual Curve Bootstrapping'!#REF!</definedName>
    <definedName name="SinlgeCurveBootstrapping.Title.ExceptionTesting">'Single Curve Bootstrapping'!$BI$21</definedName>
    <definedName name="SinlgeCurveBootstrapping.Title.FlatCurve3mJIBAR" localSheetId="15">'Dual Curve Bootstrapping'!#REF!</definedName>
    <definedName name="SinlgeCurveBootstrapping.Title.FlatCurve3mJIBAR">'Single Curve Bootstrapping'!$B$23</definedName>
    <definedName name="SinlgeCurveBootstrapping.Title.FunctionTests" localSheetId="15">'Dual Curve Bootstrapping'!#REF!</definedName>
    <definedName name="SinlgeCurveBootstrapping.Title.FunctionTests">'Single Curve Bootstrapping'!$B$8</definedName>
    <definedName name="SinlgeCurveBootstrapping.Title.NonFlatCurveFEDFUND" localSheetId="15">'Dual Curve Bootstrapping'!#REF!</definedName>
    <definedName name="SinlgeCurveBootstrapping.Title.NonFlatCurveFEDFUND">'Single Curve Bootstrapping'!$AB$23</definedName>
    <definedName name="SinlgeCurveBootstrapping.Title.RealCurve3mJIBAR" localSheetId="15">'Dual Curve Bootstrapping'!#REF!</definedName>
    <definedName name="SinlgeCurveBootstrapping.Title.RealCurve3mJIBAR">'Single Curve Bootstrapping'!$L$23</definedName>
    <definedName name="SinlgeCurveBootstrapping.Title.RealCurveFEDFUND" localSheetId="15">'Dual Curve Bootstrapping'!$B$17</definedName>
    <definedName name="SinlgeCurveBootstrapping.Title.RealCurveFEDFUND">'Single Curve Bootstrapping'!#REF!</definedName>
    <definedName name="SinlgeCurveBootstrapping.Title.SingleCurveBootstrapping" localSheetId="15">'Dual Curve Bootstrapping'!$B$2</definedName>
    <definedName name="SinlgeCurveBootstrapping.Title.SingleCurveBootstrapping">'Single Curve Bootstrapping'!$B$2</definedName>
    <definedName name="SinlgeCurveBootstrapping.Title.TestResults" localSheetId="15">'Dual Curve Bootstrapping'!$B$4</definedName>
    <definedName name="SinlgeCurveBootstrapping.Title.TestResults">'Single Curve Bootstrapping'!$B$4</definedName>
    <definedName name="SinlgeCurveBootstrapping.Title.Tests" localSheetId="15">'Dual Curve Bootstrapping'!#REF!</definedName>
    <definedName name="SinlgeCurveBootstrapping.Title.Tests">'Single Curve Bootstrapping'!$Q$31</definedName>
    <definedName name="SinlgeCurveBootstrapping.Title.USDOISCurveTesting" localSheetId="15">'Dual Curve Bootstrapping'!#REF!</definedName>
    <definedName name="SinlgeCurveBootstrapping.Title.USDOISCurveTesting">'Single Curve Bootstrapping'!$AB$21</definedName>
    <definedName name="SinlgeCurveBootstrapping.Title.USDSwapCurveTesting" localSheetId="15">'Dual Curve Bootstrapping'!$B$15</definedName>
    <definedName name="SinlgeCurveBootstrapping.Title.USDSwapCurveTesting">'Single Curve Bootstrapping'!#REF!</definedName>
    <definedName name="SinlgeCurveBootstrapping.Title.ZARSwapCurveTesting" localSheetId="15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2" i="27" l="1" a="1"/>
  <c r="AK12" i="27"/>
  <c r="AH12" i="27" a="1"/>
  <c r="AH12" i="27"/>
  <c r="AD12" i="27" a="1"/>
  <c r="AD12" i="27"/>
  <c r="Z12" i="27" a="1"/>
  <c r="Z12" i="27"/>
  <c r="AS15" i="27" a="1"/>
  <c r="AS15" i="27"/>
  <c r="AL23" i="27"/>
  <c r="AL20" i="27"/>
  <c r="AL19" i="27"/>
  <c r="AL46" i="27"/>
  <c r="AL33" i="27"/>
  <c r="AL31" i="27"/>
  <c r="Y44" i="27"/>
  <c r="Y43" i="27"/>
  <c r="Y42" i="27"/>
  <c r="Y41" i="27"/>
  <c r="Y40" i="27"/>
  <c r="Y39" i="27"/>
  <c r="Y38" i="27"/>
  <c r="Y37" i="27"/>
  <c r="Y36" i="27"/>
  <c r="Y35" i="27"/>
  <c r="Y34" i="27"/>
  <c r="Y33" i="27"/>
  <c r="Y32" i="27"/>
  <c r="Y31" i="27"/>
  <c r="Y30" i="27"/>
  <c r="Y29" i="27"/>
  <c r="Y28" i="27"/>
  <c r="Y27" i="27"/>
  <c r="Y26" i="27"/>
  <c r="Y25" i="27"/>
  <c r="Y24" i="27"/>
  <c r="Y23" i="27"/>
  <c r="D10" i="28" l="1"/>
  <c r="W85" i="28"/>
  <c r="W85" i="28" a="1"/>
  <c r="V85" i="28"/>
  <c r="U85" i="28"/>
  <c r="W84" i="28"/>
  <c r="W84" i="28" a="1"/>
  <c r="V84" i="28"/>
  <c r="U84" i="28"/>
  <c r="W83" i="28"/>
  <c r="W83" i="28" a="1"/>
  <c r="V83" i="28"/>
  <c r="U83" i="28"/>
  <c r="W82" i="28"/>
  <c r="W82" i="28" a="1"/>
  <c r="V82" i="28"/>
  <c r="U82" i="28"/>
  <c r="W81" i="28"/>
  <c r="W81" i="28" a="1"/>
  <c r="V81" i="28"/>
  <c r="U81" i="28"/>
  <c r="W80" i="28"/>
  <c r="W80" i="28" a="1"/>
  <c r="V80" i="28"/>
  <c r="U80" i="28"/>
  <c r="U75" i="28"/>
  <c r="U75" i="28" a="1"/>
  <c r="U74" i="28"/>
  <c r="U74" i="28" a="1"/>
  <c r="U73" i="28"/>
  <c r="U73" i="28" a="1"/>
  <c r="U72" i="28"/>
  <c r="U72" i="28" a="1"/>
  <c r="U71" i="28"/>
  <c r="U71" i="28" a="1"/>
  <c r="U70" i="28"/>
  <c r="U70" i="28" a="1"/>
  <c r="U69" i="28"/>
  <c r="U69" i="28" a="1"/>
  <c r="U68" i="28"/>
  <c r="U68" i="28" a="1"/>
  <c r="U67" i="28"/>
  <c r="U67" i="28" a="1"/>
  <c r="U66" i="28"/>
  <c r="U66" i="28" a="1"/>
  <c r="U65" i="28"/>
  <c r="U65" i="28" a="1"/>
  <c r="U64" i="28"/>
  <c r="U64" i="28" a="1"/>
  <c r="U63" i="28"/>
  <c r="U63" i="28" a="1"/>
  <c r="U62" i="28"/>
  <c r="U62" i="28" a="1"/>
  <c r="U61" i="28"/>
  <c r="U61" i="28" a="1"/>
  <c r="U60" i="28"/>
  <c r="U60" i="28" a="1"/>
  <c r="U59" i="28"/>
  <c r="U59" i="28" a="1"/>
  <c r="U58" i="28"/>
  <c r="U58" i="28" a="1"/>
  <c r="U57" i="28"/>
  <c r="U57" i="28" a="1"/>
  <c r="I57" i="28"/>
  <c r="I57" i="28" a="1"/>
  <c r="H57" i="28"/>
  <c r="G57" i="28"/>
  <c r="U56" i="28"/>
  <c r="U56" i="28" a="1"/>
  <c r="I56" i="28"/>
  <c r="I56" i="28" a="1"/>
  <c r="H56" i="28"/>
  <c r="G56" i="28"/>
  <c r="U55" i="28"/>
  <c r="U55" i="28" a="1"/>
  <c r="I55" i="28"/>
  <c r="I55" i="28" a="1"/>
  <c r="H55" i="28"/>
  <c r="G55" i="28"/>
  <c r="U54" i="28"/>
  <c r="U54" i="28" a="1"/>
  <c r="I54" i="28"/>
  <c r="I54" i="28" a="1"/>
  <c r="H54" i="28"/>
  <c r="G54" i="28"/>
  <c r="U53" i="28"/>
  <c r="U53" i="28" a="1"/>
  <c r="I53" i="28"/>
  <c r="I53" i="28" a="1"/>
  <c r="H53" i="28"/>
  <c r="G53" i="28"/>
  <c r="G53" i="28" a="1"/>
  <c r="U52" i="28"/>
  <c r="U52" i="28" a="1"/>
  <c r="I52" i="28"/>
  <c r="I52" i="28" a="1"/>
  <c r="H52" i="28"/>
  <c r="G52" i="28"/>
  <c r="U51" i="28"/>
  <c r="U51" i="28" a="1"/>
  <c r="U50" i="28"/>
  <c r="U50" i="28" a="1"/>
  <c r="N50" i="28"/>
  <c r="N50" i="28" a="1"/>
  <c r="U49" i="28"/>
  <c r="U49" i="28" a="1"/>
  <c r="N49" i="28"/>
  <c r="N49" i="28" a="1"/>
  <c r="U48" i="28"/>
  <c r="U48" i="28" a="1"/>
  <c r="N48" i="28"/>
  <c r="N48" i="28" a="1"/>
  <c r="G48" i="28"/>
  <c r="G48" i="28" a="1"/>
  <c r="U47" i="28"/>
  <c r="U47" i="28" a="1"/>
  <c r="N47" i="28"/>
  <c r="N47" i="28" a="1"/>
  <c r="G47" i="28"/>
  <c r="G47" i="28" a="1"/>
  <c r="U46" i="28"/>
  <c r="U46" i="28" a="1"/>
  <c r="N46" i="28"/>
  <c r="N46" i="28" a="1"/>
  <c r="G46" i="28"/>
  <c r="G46" i="28" a="1"/>
  <c r="U45" i="28"/>
  <c r="U45" i="28" a="1"/>
  <c r="N45" i="28"/>
  <c r="N45" i="28" a="1"/>
  <c r="G45" i="28"/>
  <c r="G45" i="28" a="1"/>
  <c r="W75" i="28"/>
  <c r="W74" i="28"/>
  <c r="W73" i="28"/>
  <c r="W72" i="28"/>
  <c r="W71" i="28"/>
  <c r="W70" i="28"/>
  <c r="W69" i="28"/>
  <c r="W68" i="28"/>
  <c r="W67" i="28"/>
  <c r="W66" i="28"/>
  <c r="W65" i="28"/>
  <c r="W64" i="28"/>
  <c r="W63" i="28"/>
  <c r="W62" i="28"/>
  <c r="W61" i="28"/>
  <c r="W60" i="28"/>
  <c r="W59" i="28"/>
  <c r="W58" i="28"/>
  <c r="W57" i="28"/>
  <c r="W56" i="28"/>
  <c r="W55" i="28"/>
  <c r="W54" i="28"/>
  <c r="W53" i="28"/>
  <c r="W52" i="28"/>
  <c r="W51" i="28"/>
  <c r="W50" i="28"/>
  <c r="W49" i="28"/>
  <c r="W48" i="28"/>
  <c r="W47" i="28"/>
  <c r="W46" i="28"/>
  <c r="W45" i="28"/>
  <c r="W44" i="28"/>
  <c r="W44" i="28" a="1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4" i="28" a="1"/>
  <c r="U44" i="28"/>
  <c r="U44" i="28" a="1"/>
  <c r="N44" i="28"/>
  <c r="N44" i="28" a="1"/>
  <c r="G44" i="28"/>
  <c r="G44" i="28" a="1"/>
  <c r="T75" i="28"/>
  <c r="T74" i="28"/>
  <c r="T73" i="28"/>
  <c r="T72" i="28"/>
  <c r="T71" i="28"/>
  <c r="T70" i="28"/>
  <c r="T69" i="28"/>
  <c r="T68" i="28"/>
  <c r="T67" i="28"/>
  <c r="T66" i="28"/>
  <c r="T65" i="28"/>
  <c r="T64" i="28"/>
  <c r="T63" i="28"/>
  <c r="T62" i="28"/>
  <c r="T61" i="28"/>
  <c r="T60" i="28"/>
  <c r="T59" i="28"/>
  <c r="T58" i="28"/>
  <c r="T57" i="28"/>
  <c r="T56" i="28"/>
  <c r="T55" i="28"/>
  <c r="T54" i="28"/>
  <c r="T53" i="28"/>
  <c r="T52" i="28"/>
  <c r="T51" i="28"/>
  <c r="T50" i="28"/>
  <c r="T49" i="28"/>
  <c r="T48" i="28"/>
  <c r="T47" i="28"/>
  <c r="T46" i="28"/>
  <c r="T45" i="28"/>
  <c r="T44" i="28"/>
  <c r="T43" i="28"/>
  <c r="T43" i="28" a="1"/>
  <c r="N43" i="28"/>
  <c r="N43" i="28" a="1"/>
  <c r="G43" i="28"/>
  <c r="G43" i="28" a="1"/>
  <c r="N42" i="28"/>
  <c r="N42" i="28" a="1"/>
  <c r="G42" i="28"/>
  <c r="G42" i="28" a="1"/>
  <c r="N41" i="28"/>
  <c r="N41" i="28" a="1"/>
  <c r="I48" i="28"/>
  <c r="I47" i="28"/>
  <c r="I46" i="28"/>
  <c r="I45" i="28"/>
  <c r="I44" i="28"/>
  <c r="I43" i="28"/>
  <c r="I42" i="28"/>
  <c r="I41" i="28"/>
  <c r="I41" i="28" a="1"/>
  <c r="H48" i="28"/>
  <c r="H47" i="28"/>
  <c r="H46" i="28"/>
  <c r="H45" i="28"/>
  <c r="H44" i="28"/>
  <c r="H43" i="28"/>
  <c r="H42" i="28"/>
  <c r="H41" i="28"/>
  <c r="H41" i="28" a="1"/>
  <c r="G41" i="28"/>
  <c r="G41" i="28" a="1"/>
  <c r="N40" i="28"/>
  <c r="N40" i="28" a="1"/>
  <c r="F48" i="28"/>
  <c r="F47" i="28"/>
  <c r="F46" i="28"/>
  <c r="F45" i="28"/>
  <c r="F44" i="28"/>
  <c r="F43" i="28"/>
  <c r="F42" i="28"/>
  <c r="F41" i="28"/>
  <c r="F40" i="28"/>
  <c r="F40" i="28" a="1"/>
  <c r="N39" i="28"/>
  <c r="N39" i="28" a="1"/>
  <c r="W38" i="28"/>
  <c r="W38" i="28" a="1"/>
  <c r="V38" i="28"/>
  <c r="V38" i="28" a="1"/>
  <c r="U38" i="28"/>
  <c r="U38" i="28" a="1"/>
  <c r="T38" i="28"/>
  <c r="T38" i="28" a="1"/>
  <c r="N38" i="28"/>
  <c r="N38" i="28" a="1"/>
  <c r="W37" i="28"/>
  <c r="W37" i="28" a="1"/>
  <c r="V37" i="28"/>
  <c r="V37" i="28" a="1"/>
  <c r="U37" i="28"/>
  <c r="U37" i="28" a="1"/>
  <c r="T37" i="28"/>
  <c r="T37" i="28" a="1"/>
  <c r="N37" i="28"/>
  <c r="N37" i="28" a="1"/>
  <c r="W36" i="28"/>
  <c r="W36" i="28" a="1"/>
  <c r="V36" i="28"/>
  <c r="V36" i="28" a="1"/>
  <c r="U36" i="28"/>
  <c r="U36" i="28" a="1"/>
  <c r="T36" i="28"/>
  <c r="T36" i="28" a="1"/>
  <c r="N36" i="28"/>
  <c r="N36" i="28" a="1"/>
  <c r="W35" i="28"/>
  <c r="W35" i="28" a="1"/>
  <c r="V35" i="28"/>
  <c r="V35" i="28" a="1"/>
  <c r="U35" i="28"/>
  <c r="U35" i="28" a="1"/>
  <c r="T35" i="28"/>
  <c r="T35" i="28" a="1"/>
  <c r="N35" i="28"/>
  <c r="N35" i="28" a="1"/>
  <c r="I35" i="28"/>
  <c r="I35" i="28" a="1"/>
  <c r="G35" i="28"/>
  <c r="G35" i="28" a="1"/>
  <c r="F35" i="28"/>
  <c r="W34" i="28"/>
  <c r="W34" i="28" a="1"/>
  <c r="V34" i="28"/>
  <c r="V34" i="28" a="1"/>
  <c r="U34" i="28"/>
  <c r="U34" i="28" a="1"/>
  <c r="T34" i="28"/>
  <c r="T34" i="28" a="1"/>
  <c r="N34" i="28"/>
  <c r="N34" i="28" a="1"/>
  <c r="I34" i="28"/>
  <c r="I34" i="28" a="1"/>
  <c r="G34" i="28"/>
  <c r="G34" i="28" a="1"/>
  <c r="F34" i="28"/>
  <c r="W33" i="28"/>
  <c r="W33" i="28" a="1"/>
  <c r="V33" i="28"/>
  <c r="V33" i="28" a="1"/>
  <c r="U33" i="28"/>
  <c r="U33" i="28" a="1"/>
  <c r="T33" i="28"/>
  <c r="T33" i="28" a="1"/>
  <c r="Q33" i="28"/>
  <c r="N33" i="28"/>
  <c r="N33" i="28" a="1"/>
  <c r="I33" i="28"/>
  <c r="I33" i="28" a="1"/>
  <c r="G33" i="28"/>
  <c r="G33" i="28" a="1"/>
  <c r="F33" i="28"/>
  <c r="W32" i="28"/>
  <c r="W32" i="28" a="1"/>
  <c r="V32" i="28"/>
  <c r="V32" i="28" a="1"/>
  <c r="U32" i="28"/>
  <c r="U32" i="28" a="1"/>
  <c r="T32" i="28"/>
  <c r="T32" i="28" a="1"/>
  <c r="N32" i="28"/>
  <c r="N32" i="28" a="1"/>
  <c r="I32" i="28"/>
  <c r="I32" i="28" a="1"/>
  <c r="G32" i="28"/>
  <c r="G32" i="28" a="1"/>
  <c r="F32" i="28"/>
  <c r="W31" i="28"/>
  <c r="W31" i="28" a="1"/>
  <c r="V31" i="28"/>
  <c r="V31" i="28" a="1"/>
  <c r="U31" i="28"/>
  <c r="U31" i="28" a="1"/>
  <c r="T31" i="28"/>
  <c r="T31" i="28" a="1"/>
  <c r="N31" i="28"/>
  <c r="N31" i="28" a="1"/>
  <c r="I31" i="28"/>
  <c r="I31" i="28" a="1"/>
  <c r="G31" i="28"/>
  <c r="G31" i="28" a="1"/>
  <c r="F31" i="28"/>
  <c r="W30" i="28"/>
  <c r="W30" i="28" a="1"/>
  <c r="V30" i="28"/>
  <c r="V30" i="28" a="1"/>
  <c r="U30" i="28"/>
  <c r="U30" i="28" a="1"/>
  <c r="T30" i="28"/>
  <c r="T30" i="28" a="1"/>
  <c r="N30" i="28"/>
  <c r="N30" i="28" a="1"/>
  <c r="I30" i="28"/>
  <c r="I30" i="28" a="1"/>
  <c r="G30" i="28"/>
  <c r="G30" i="28" a="1"/>
  <c r="F30" i="28"/>
  <c r="W29" i="28"/>
  <c r="W29" i="28" a="1"/>
  <c r="V29" i="28"/>
  <c r="V29" i="28" a="1"/>
  <c r="T29" i="28"/>
  <c r="Q29" i="28"/>
  <c r="N29" i="28"/>
  <c r="N29" i="28" a="1"/>
  <c r="M29" i="28"/>
  <c r="M29" i="28" a="1"/>
  <c r="I29" i="28"/>
  <c r="I29" i="28" a="1"/>
  <c r="H29" i="28"/>
  <c r="H29" i="28" a="1"/>
  <c r="F29" i="28"/>
  <c r="B25" i="28"/>
  <c r="B25" i="28" a="1"/>
  <c r="P23" i="28"/>
  <c r="P23" i="28" a="1"/>
  <c r="H22" i="28"/>
  <c r="H22" i="28" a="1"/>
  <c r="B22" i="28"/>
  <c r="C19" i="28"/>
  <c r="C19" i="28" a="1"/>
  <c r="C6" i="28"/>
  <c r="C6" i="28" a="1"/>
  <c r="G16" i="27" a="1"/>
  <c r="K16" i="27" a="1"/>
  <c r="C16" i="27" a="1"/>
  <c r="B29" i="3" a="1"/>
  <c r="B29" i="3" l="1"/>
  <c r="K16" i="27"/>
  <c r="G16" i="27"/>
  <c r="C16" i="27"/>
  <c r="F58" i="27" a="1"/>
  <c r="D72" i="24" a="1"/>
  <c r="F58" i="27" l="1"/>
  <c r="D72" i="24"/>
  <c r="D71" i="24" a="1"/>
  <c r="D71" i="24" l="1"/>
  <c r="D59" i="24" a="1"/>
  <c r="C64" i="24" a="1"/>
  <c r="D59" i="24" l="1"/>
  <c r="C64" i="24"/>
  <c r="C52" i="24" a="1"/>
  <c r="D47" i="24" a="1"/>
  <c r="D47" i="24" l="1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B86" i="3"/>
  <c r="D86" i="3" s="1"/>
  <c r="C82" i="3" a="1"/>
  <c r="D23" i="24" a="1"/>
  <c r="C28" i="24" a="1"/>
  <c r="AB29" i="3" a="1"/>
  <c r="L29" i="3" a="1"/>
  <c r="D23" i="24" l="1"/>
  <c r="C28" i="24"/>
  <c r="AF26" i="25"/>
  <c r="B87" i="3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D98" i="3" s="1"/>
  <c r="B45" i="25"/>
  <c r="AG28" i="25"/>
  <c r="AH32" i="25"/>
  <c r="C47" i="25"/>
  <c r="D51" i="25"/>
  <c r="D52" i="25"/>
  <c r="B51" i="25"/>
  <c r="D33" i="25"/>
  <c r="AH33" i="25"/>
  <c r="C33" i="25"/>
  <c r="AG33" i="25"/>
  <c r="D28" i="25"/>
  <c r="AH28" i="25"/>
  <c r="B52" i="25"/>
  <c r="D32" i="25"/>
  <c r="C32" i="25"/>
  <c r="AG32" i="25"/>
  <c r="D27" i="25"/>
  <c r="B46" i="25"/>
  <c r="B26" i="25"/>
  <c r="C52" i="25"/>
  <c r="B33" i="25"/>
  <c r="AF33" i="25"/>
  <c r="D47" i="25"/>
  <c r="C28" i="25"/>
  <c r="B28" i="25"/>
  <c r="AF28" i="25"/>
  <c r="B47" i="25"/>
  <c r="C51" i="25"/>
  <c r="B32" i="25"/>
  <c r="AH27" i="25"/>
  <c r="AF32" i="25"/>
  <c r="D46" i="25"/>
  <c r="C27" i="25"/>
  <c r="D31" i="25"/>
  <c r="AG27" i="25"/>
  <c r="AH31" i="25"/>
  <c r="C46" i="25"/>
  <c r="D50" i="25"/>
  <c r="B27" i="25"/>
  <c r="C31" i="25"/>
  <c r="AF27" i="25"/>
  <c r="AG31" i="25"/>
  <c r="C50" i="25"/>
  <c r="D26" i="25"/>
  <c r="AH26" i="25"/>
  <c r="D45" i="25"/>
  <c r="AB29" i="3"/>
  <c r="L29" i="3"/>
  <c r="C82" i="3"/>
  <c r="C16" i="24" a="1"/>
  <c r="X33" i="3" a="1"/>
  <c r="C86" i="3" a="1"/>
  <c r="F92" i="3" a="1"/>
  <c r="F93" i="3" a="1"/>
  <c r="F87" i="3" a="1"/>
  <c r="F89" i="3" a="1"/>
  <c r="F97" i="3" a="1"/>
  <c r="F96" i="3" a="1"/>
  <c r="F94" i="3" a="1"/>
  <c r="F90" i="3" a="1"/>
  <c r="F91" i="3" a="1"/>
  <c r="F88" i="3" a="1"/>
  <c r="F95" i="3" a="1"/>
  <c r="F98" i="3" a="1"/>
  <c r="X33" i="3" l="1"/>
  <c r="C16" i="24"/>
  <c r="D93" i="3"/>
  <c r="D97" i="3"/>
  <c r="D96" i="3"/>
  <c r="D95" i="3"/>
  <c r="D94" i="3"/>
  <c r="D92" i="3"/>
  <c r="D88" i="3"/>
  <c r="D91" i="3"/>
  <c r="D90" i="3"/>
  <c r="D89" i="3"/>
  <c r="D87" i="3"/>
  <c r="F90" i="3"/>
  <c r="F94" i="3"/>
  <c r="F98" i="3"/>
  <c r="F97" i="3"/>
  <c r="F88" i="3"/>
  <c r="F89" i="3"/>
  <c r="F95" i="3"/>
  <c r="F96" i="3"/>
  <c r="F91" i="3"/>
  <c r="F93" i="3"/>
  <c r="F92" i="3"/>
  <c r="F87" i="3"/>
  <c r="C86" i="3"/>
  <c r="F86" i="3" a="1"/>
  <c r="F86" i="3" l="1"/>
  <c r="C75" i="3" a="1"/>
  <c r="C75" i="3" l="1"/>
  <c r="C85" i="1" l="1"/>
  <c r="B67" i="1"/>
  <c r="F67" i="1" s="1"/>
  <c r="B68" i="1"/>
  <c r="B82" i="1" s="1"/>
  <c r="B69" i="1"/>
  <c r="B83" i="1" s="1"/>
  <c r="B70" i="1"/>
  <c r="B84" i="1" s="1"/>
  <c r="B71" i="1"/>
  <c r="C71" i="1" s="1"/>
  <c r="N67" i="1"/>
  <c r="T67" i="1"/>
  <c r="T68" i="1"/>
  <c r="C69" i="1"/>
  <c r="F69" i="1"/>
  <c r="J69" i="1"/>
  <c r="C70" i="1"/>
  <c r="N71" i="1"/>
  <c r="B138" i="13" a="1"/>
  <c r="M150" i="13" a="1"/>
  <c r="N162" i="13" a="1"/>
  <c r="N152" i="13" a="1"/>
  <c r="O150" i="13" a="1"/>
  <c r="O163" i="13" a="1"/>
  <c r="O171" i="13" a="1"/>
  <c r="N156" i="13" a="1"/>
  <c r="L170" i="13" a="1"/>
  <c r="N168" i="13" a="1"/>
  <c r="N139" i="13" a="1"/>
  <c r="M172" i="13" a="1"/>
  <c r="L168" i="13" a="1"/>
  <c r="M159" i="13" a="1"/>
  <c r="O158" i="13" a="1"/>
  <c r="N143" i="13" a="1"/>
  <c r="O170" i="13" a="1"/>
  <c r="M174" i="13" a="1"/>
  <c r="O160" i="13" a="1"/>
  <c r="O144" i="13" a="1"/>
  <c r="O148" i="13" a="1"/>
  <c r="M147" i="13" a="1"/>
  <c r="L145" i="13" a="1"/>
  <c r="N166" i="13" a="1"/>
  <c r="N176" i="13" a="1"/>
  <c r="L139" i="13" a="1"/>
  <c r="M140" i="13" a="1"/>
  <c r="O168" i="13" a="1"/>
  <c r="N147" i="13" a="1"/>
  <c r="L151" i="13" a="1"/>
  <c r="M139" i="13" a="1"/>
  <c r="O139" i="13" a="1"/>
  <c r="M169" i="13" a="1"/>
  <c r="M142" i="13" a="1"/>
  <c r="N175" i="13" a="1"/>
  <c r="L150" i="13" a="1"/>
  <c r="N172" i="13" a="1"/>
  <c r="O172" i="13" a="1"/>
  <c r="L155" i="13" a="1"/>
  <c r="O169" i="13" a="1"/>
  <c r="L148" i="13" a="1"/>
  <c r="L169" i="13" a="1"/>
  <c r="M146" i="13" a="1"/>
  <c r="L141" i="13" a="1"/>
  <c r="L163" i="13" a="1"/>
  <c r="N158" i="13" a="1"/>
  <c r="L174" i="13" a="1"/>
  <c r="M153" i="13" a="1"/>
  <c r="M143" i="13" a="1"/>
  <c r="L165" i="13" a="1"/>
  <c r="O176" i="13" a="1"/>
  <c r="M158" i="13" a="1"/>
  <c r="O141" i="13" a="1"/>
  <c r="O152" i="13" a="1"/>
  <c r="L142" i="13" a="1"/>
  <c r="L154" i="13" a="1"/>
  <c r="L166" i="13" a="1"/>
  <c r="L176" i="13" a="1"/>
  <c r="M148" i="13" a="1"/>
  <c r="M168" i="13" a="1"/>
  <c r="O143" i="13" a="1"/>
  <c r="L159" i="13" a="1"/>
  <c r="O173" i="13" a="1"/>
  <c r="O155" i="13" a="1"/>
  <c r="M144" i="13" a="1"/>
  <c r="O149" i="13" a="1"/>
  <c r="L172" i="13" a="1"/>
  <c r="L157" i="13" a="1"/>
  <c r="M145" i="13" a="1"/>
  <c r="M164" i="13" a="1"/>
  <c r="N145" i="13" a="1"/>
  <c r="N153" i="13" a="1"/>
  <c r="N146" i="13" a="1"/>
  <c r="N164" i="13" a="1"/>
  <c r="O165" i="13" a="1"/>
  <c r="O164" i="13" a="1"/>
  <c r="N155" i="13" a="1"/>
  <c r="L158" i="13" a="1"/>
  <c r="N148" i="13" a="1"/>
  <c r="L171" i="13" a="1"/>
  <c r="L147" i="13" a="1"/>
  <c r="N142" i="13" a="1"/>
  <c r="O175" i="13" a="1"/>
  <c r="N163" i="13" a="1"/>
  <c r="L156" i="13" a="1"/>
  <c r="M167" i="13" a="1"/>
  <c r="L173" i="13" a="1"/>
  <c r="O147" i="13" a="1"/>
  <c r="N151" i="13" a="1"/>
  <c r="M151" i="13" a="1"/>
  <c r="M154" i="13" a="1"/>
  <c r="N170" i="13" a="1"/>
  <c r="L140" i="13" a="1"/>
  <c r="C19" i="1" a="1"/>
  <c r="M160" i="13" a="1"/>
  <c r="M156" i="13" a="1"/>
  <c r="L161" i="13" a="1"/>
  <c r="N138" i="13" a="1"/>
  <c r="N169" i="13" a="1"/>
  <c r="N157" i="13" a="1"/>
  <c r="M157" i="13" a="1"/>
  <c r="N150" i="13" a="1"/>
  <c r="L153" i="13" a="1"/>
  <c r="O153" i="13" a="1"/>
  <c r="O146" i="13" a="1"/>
  <c r="M176" i="13" a="1"/>
  <c r="N144" i="13" a="1"/>
  <c r="O138" i="13" a="1"/>
  <c r="L143" i="13" a="1"/>
  <c r="L160" i="13" a="1"/>
  <c r="N171" i="13" a="1"/>
  <c r="O154" i="13" a="1"/>
  <c r="M138" i="13" a="1"/>
  <c r="L144" i="13" a="1"/>
  <c r="L167" i="13" a="1"/>
  <c r="L146" i="13" a="1"/>
  <c r="O174" i="13" a="1"/>
  <c r="M152" i="13" a="1"/>
  <c r="M175" i="13" a="1"/>
  <c r="O140" i="13" a="1"/>
  <c r="M155" i="13" a="1"/>
  <c r="O156" i="13" a="1"/>
  <c r="N141" i="13" a="1"/>
  <c r="M163" i="13" a="1"/>
  <c r="O167" i="13" a="1"/>
  <c r="N140" i="13" a="1"/>
  <c r="O157" i="13" a="1"/>
  <c r="O161" i="13" a="1"/>
  <c r="M173" i="13" a="1"/>
  <c r="L164" i="13" a="1"/>
  <c r="N154" i="13" a="1"/>
  <c r="L149" i="13" a="1"/>
  <c r="N173" i="13" a="1"/>
  <c r="O151" i="13" a="1"/>
  <c r="L175" i="13" a="1"/>
  <c r="O159" i="13" a="1"/>
  <c r="N161" i="13" a="1"/>
  <c r="N159" i="13" a="1"/>
  <c r="M165" i="13" a="1"/>
  <c r="M171" i="13" a="1"/>
  <c r="O162" i="13" a="1"/>
  <c r="N149" i="13" a="1"/>
  <c r="M166" i="13" a="1"/>
  <c r="N165" i="13" a="1"/>
  <c r="M162" i="13" a="1"/>
  <c r="N174" i="13" a="1"/>
  <c r="N167" i="13" a="1"/>
  <c r="O166" i="13" a="1"/>
  <c r="L162" i="13" a="1"/>
  <c r="M141" i="13" a="1"/>
  <c r="M161" i="13" a="1"/>
  <c r="L152" i="13" a="1"/>
  <c r="M149" i="13" a="1"/>
  <c r="O142" i="13" a="1"/>
  <c r="O145" i="13" a="1"/>
  <c r="M170" i="13" a="1"/>
  <c r="N160" i="13" a="1"/>
  <c r="C68" i="1" l="1"/>
  <c r="J67" i="1"/>
  <c r="C67" i="1"/>
  <c r="F71" i="1"/>
  <c r="F70" i="1"/>
  <c r="F68" i="1"/>
  <c r="T69" i="1"/>
  <c r="J71" i="1"/>
  <c r="T71" i="1"/>
  <c r="Q69" i="1"/>
  <c r="Q71" i="1"/>
  <c r="N69" i="1"/>
  <c r="T70" i="1"/>
  <c r="Q68" i="1"/>
  <c r="N70" i="1"/>
  <c r="N68" i="1"/>
  <c r="J70" i="1"/>
  <c r="J68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C19" i="1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82" i="1"/>
  <c r="C84" i="1"/>
  <c r="C83" i="1"/>
  <c r="B81" i="1"/>
  <c r="Q70" i="1"/>
  <c r="Q67" i="1"/>
  <c r="L138" i="13" a="1"/>
  <c r="D82" i="1" a="1"/>
  <c r="D52" i="1" a="1"/>
  <c r="D50" i="1" a="1"/>
  <c r="U67" i="1" a="1"/>
  <c r="U70" i="1" a="1"/>
  <c r="G69" i="1" a="1"/>
  <c r="D54" i="1" a="1"/>
  <c r="D48" i="1" a="1"/>
  <c r="D81" i="1" a="1"/>
  <c r="O68" i="1" a="1"/>
  <c r="O69" i="1" a="1"/>
  <c r="G47" i="1" a="1"/>
  <c r="O67" i="1" a="1"/>
  <c r="R68" i="1" a="1"/>
  <c r="G67" i="1" a="1"/>
  <c r="K69" i="1" a="1"/>
  <c r="D84" i="1" a="1"/>
  <c r="U69" i="1" a="1"/>
  <c r="R69" i="1" a="1"/>
  <c r="R67" i="1" a="1"/>
  <c r="O70" i="1" a="1"/>
  <c r="G68" i="1" a="1"/>
  <c r="K70" i="1" a="1"/>
  <c r="E84" i="1" a="1"/>
  <c r="K67" i="1" a="1"/>
  <c r="G71" i="1" a="1"/>
  <c r="R71" i="1" a="1"/>
  <c r="B94" i="1" a="1"/>
  <c r="E83" i="1" a="1"/>
  <c r="E82" i="1" a="1"/>
  <c r="O71" i="1" a="1"/>
  <c r="K68" i="1" a="1"/>
  <c r="U68" i="1" a="1"/>
  <c r="K71" i="1" a="1"/>
  <c r="D83" i="1" a="1"/>
  <c r="G70" i="1" a="1"/>
  <c r="D56" i="1" a="1"/>
  <c r="E85" i="1" a="1"/>
  <c r="U71" i="1" a="1"/>
  <c r="R70" i="1" a="1"/>
  <c r="D67" i="1" a="1"/>
  <c r="D85" i="1" a="1"/>
  <c r="L138" i="13" l="1"/>
  <c r="G68" i="1"/>
  <c r="U69" i="1"/>
  <c r="G71" i="1"/>
  <c r="D81" i="1"/>
  <c r="D83" i="1"/>
  <c r="K67" i="1"/>
  <c r="K70" i="1"/>
  <c r="E83" i="1"/>
  <c r="R68" i="1"/>
  <c r="R71" i="1"/>
  <c r="D48" i="1"/>
  <c r="D54" i="1"/>
  <c r="U67" i="1"/>
  <c r="G69" i="1"/>
  <c r="D85" i="1"/>
  <c r="K68" i="1"/>
  <c r="K71" i="1"/>
  <c r="B94" i="1"/>
  <c r="O67" i="1"/>
  <c r="O70" i="1"/>
  <c r="G47" i="1"/>
  <c r="D82" i="1"/>
  <c r="E85" i="1"/>
  <c r="R69" i="1"/>
  <c r="D52" i="1"/>
  <c r="G67" i="1"/>
  <c r="U68" i="1"/>
  <c r="G70" i="1"/>
  <c r="U71" i="1"/>
  <c r="E82" i="1"/>
  <c r="D84" i="1"/>
  <c r="K69" i="1"/>
  <c r="O68" i="1"/>
  <c r="O71" i="1"/>
  <c r="R70" i="1"/>
  <c r="D50" i="1"/>
  <c r="D56" i="1"/>
  <c r="O69" i="1"/>
  <c r="E84" i="1"/>
  <c r="D67" i="1"/>
  <c r="D68" i="1"/>
  <c r="D70" i="1"/>
  <c r="D71" i="1"/>
  <c r="D69" i="1"/>
  <c r="R67" i="1"/>
  <c r="U70" i="1"/>
  <c r="C81" i="1"/>
  <c r="C133" i="13" a="1"/>
  <c r="T84" i="1" a="1"/>
  <c r="X81" i="1" a="1"/>
  <c r="W85" i="1" a="1"/>
  <c r="V67" i="1" a="1"/>
  <c r="W82" i="1" a="1"/>
  <c r="Q85" i="1" a="1"/>
  <c r="K94" i="1" a="1"/>
  <c r="M47" i="1" a="1"/>
  <c r="F83" i="1" a="1"/>
  <c r="V68" i="1" a="1"/>
  <c r="J85" i="1" a="1"/>
  <c r="E71" i="1" a="1"/>
  <c r="P70" i="1" a="1"/>
  <c r="M71" i="1" a="1"/>
  <c r="K81" i="1" a="1"/>
  <c r="V69" i="1" a="1"/>
  <c r="Q83" i="1" a="1"/>
  <c r="T85" i="1" a="1"/>
  <c r="M69" i="1" a="1"/>
  <c r="U81" i="1" a="1"/>
  <c r="Q84" i="1" a="1"/>
  <c r="O81" i="1" a="1"/>
  <c r="F84" i="1" a="1"/>
  <c r="J83" i="1" a="1"/>
  <c r="M67" i="1" a="1"/>
  <c r="I70" i="1" a="1"/>
  <c r="V70" i="1" a="1"/>
  <c r="E81" i="1" a="1"/>
  <c r="M68" i="1" a="1"/>
  <c r="S70" i="1" a="1"/>
  <c r="F85" i="1" a="1"/>
  <c r="E69" i="1" a="1"/>
  <c r="S68" i="1" a="1"/>
  <c r="W83" i="1" a="1"/>
  <c r="E67" i="1" a="1"/>
  <c r="E70" i="1" a="1"/>
  <c r="I71" i="1" a="1"/>
  <c r="F82" i="1" a="1"/>
  <c r="S69" i="1" a="1"/>
  <c r="W84" i="1" a="1"/>
  <c r="T82" i="1" a="1"/>
  <c r="S67" i="1" a="1"/>
  <c r="I69" i="1" a="1"/>
  <c r="M70" i="1" a="1"/>
  <c r="P68" i="1" a="1"/>
  <c r="T83" i="1" a="1"/>
  <c r="I68" i="1" a="1"/>
  <c r="E68" i="1" a="1"/>
  <c r="P69" i="1" a="1"/>
  <c r="R81" i="1" a="1"/>
  <c r="G81" i="1" a="1"/>
  <c r="N84" i="1" a="1"/>
  <c r="N85" i="1" a="1"/>
  <c r="N82" i="1" a="1"/>
  <c r="N83" i="1" a="1"/>
  <c r="Q82" i="1" a="1"/>
  <c r="J82" i="1" a="1"/>
  <c r="P71" i="1" a="1"/>
  <c r="V71" i="1" a="1"/>
  <c r="S71" i="1" a="1"/>
  <c r="I67" i="1" a="1"/>
  <c r="P67" i="1" a="1"/>
  <c r="J84" i="1" a="1"/>
  <c r="P67" i="1" l="1"/>
  <c r="S68" i="1"/>
  <c r="V70" i="1"/>
  <c r="I69" i="1"/>
  <c r="S67" i="1"/>
  <c r="S70" i="1"/>
  <c r="V67" i="1"/>
  <c r="I71" i="1"/>
  <c r="E69" i="1"/>
  <c r="P71" i="1"/>
  <c r="S69" i="1"/>
  <c r="V69" i="1"/>
  <c r="W82" i="1"/>
  <c r="E71" i="1"/>
  <c r="P68" i="1"/>
  <c r="I68" i="1"/>
  <c r="E70" i="1"/>
  <c r="M69" i="1"/>
  <c r="Q82" i="1"/>
  <c r="T82" i="1"/>
  <c r="F82" i="1"/>
  <c r="N82" i="1"/>
  <c r="J82" i="1"/>
  <c r="E68" i="1"/>
  <c r="T84" i="1"/>
  <c r="W84" i="1"/>
  <c r="N84" i="1"/>
  <c r="Q84" i="1"/>
  <c r="J84" i="1"/>
  <c r="F84" i="1"/>
  <c r="M47" i="1"/>
  <c r="H43" i="1" s="1"/>
  <c r="C133" i="13"/>
  <c r="D15" i="13" s="1"/>
  <c r="E67" i="1"/>
  <c r="P70" i="1"/>
  <c r="S71" i="1"/>
  <c r="V71" i="1"/>
  <c r="P69" i="1"/>
  <c r="I70" i="1"/>
  <c r="K94" i="1"/>
  <c r="C90" i="1" s="1"/>
  <c r="C10" i="1" s="1"/>
  <c r="V68" i="1"/>
  <c r="M71" i="1"/>
  <c r="M70" i="1"/>
  <c r="R81" i="1"/>
  <c r="X81" i="1"/>
  <c r="K84" i="1"/>
  <c r="K81" i="1"/>
  <c r="K83" i="1"/>
  <c r="K82" i="1"/>
  <c r="K85" i="1"/>
  <c r="O81" i="1"/>
  <c r="G82" i="1"/>
  <c r="G84" i="1"/>
  <c r="G81" i="1"/>
  <c r="G85" i="1"/>
  <c r="G83" i="1"/>
  <c r="E81" i="1"/>
  <c r="U81" i="1"/>
  <c r="I67" i="1"/>
  <c r="M68" i="1"/>
  <c r="M67" i="1"/>
  <c r="T85" i="1"/>
  <c r="W85" i="1"/>
  <c r="F85" i="1"/>
  <c r="J85" i="1"/>
  <c r="Q85" i="1"/>
  <c r="N85" i="1"/>
  <c r="N83" i="1"/>
  <c r="W83" i="1"/>
  <c r="T83" i="1"/>
  <c r="J83" i="1"/>
  <c r="Q83" i="1"/>
  <c r="F83" i="1"/>
  <c r="M82" i="1" a="1"/>
  <c r="S83" i="1" a="1"/>
  <c r="T81" i="1" a="1"/>
  <c r="W81" i="1" a="1"/>
  <c r="S84" i="1" a="1"/>
  <c r="P84" i="1" a="1"/>
  <c r="J81" i="1" a="1"/>
  <c r="I85" i="1" a="1"/>
  <c r="V82" i="1" a="1"/>
  <c r="M85" i="1" a="1"/>
  <c r="M83" i="1" a="1"/>
  <c r="M84" i="1" a="1"/>
  <c r="Y83" i="1" a="1"/>
  <c r="Q81" i="1" a="1"/>
  <c r="F81" i="1" a="1"/>
  <c r="I84" i="1" a="1"/>
  <c r="V85" i="1" a="1"/>
  <c r="Y85" i="1" a="1"/>
  <c r="Y84" i="1" a="1"/>
  <c r="I82" i="1" a="1"/>
  <c r="V83" i="1" a="1"/>
  <c r="S85" i="1" a="1"/>
  <c r="I83" i="1" a="1"/>
  <c r="N81" i="1" a="1"/>
  <c r="P85" i="1" a="1"/>
  <c r="V84" i="1" a="1"/>
  <c r="S82" i="1" a="1"/>
  <c r="C62" i="1" a="1"/>
  <c r="P82" i="1" a="1"/>
  <c r="P83" i="1" a="1"/>
  <c r="Y82" i="1" a="1"/>
  <c r="P82" i="1" l="1"/>
  <c r="Q81" i="1"/>
  <c r="Y85" i="1"/>
  <c r="I82" i="1"/>
  <c r="V85" i="1"/>
  <c r="S84" i="1"/>
  <c r="V83" i="1"/>
  <c r="P84" i="1"/>
  <c r="Y84" i="1"/>
  <c r="P83" i="1"/>
  <c r="V84" i="1"/>
  <c r="T81" i="1"/>
  <c r="P85" i="1"/>
  <c r="V82" i="1"/>
  <c r="I83" i="1"/>
  <c r="I84" i="1"/>
  <c r="S82" i="1"/>
  <c r="S83" i="1"/>
  <c r="M84" i="1"/>
  <c r="M83" i="1"/>
  <c r="Y83" i="1"/>
  <c r="S85" i="1"/>
  <c r="Y82" i="1"/>
  <c r="M85" i="1"/>
  <c r="N81" i="1"/>
  <c r="J81" i="1"/>
  <c r="W81" i="1"/>
  <c r="F81" i="1"/>
  <c r="C62" i="1"/>
  <c r="C8" i="1" s="1"/>
  <c r="M82" i="1"/>
  <c r="I85" i="1"/>
  <c r="Y81" i="1" a="1"/>
  <c r="P81" i="1" a="1"/>
  <c r="I81" i="1" a="1"/>
  <c r="V81" i="1" a="1"/>
  <c r="S81" i="1" a="1"/>
  <c r="M81" i="1" a="1"/>
  <c r="P81" i="1" l="1"/>
  <c r="V81" i="1"/>
  <c r="Y81" i="1"/>
  <c r="M81" i="1"/>
  <c r="S81" i="1"/>
  <c r="I81" i="1"/>
  <c r="M56" i="27"/>
  <c r="AG33" i="3"/>
  <c r="AI55" i="3"/>
  <c r="AI56" i="3"/>
  <c r="AI57" i="3"/>
  <c r="AI58" i="3"/>
  <c r="AI59" i="3"/>
  <c r="AI60" i="3"/>
  <c r="Q33" i="3"/>
  <c r="S84" i="3"/>
  <c r="S85" i="3"/>
  <c r="S86" i="3"/>
  <c r="S87" i="3"/>
  <c r="S88" i="3"/>
  <c r="S89" i="3"/>
  <c r="Q38" i="3" a="1"/>
  <c r="Q39" i="3" a="1"/>
  <c r="Q42" i="3" a="1"/>
  <c r="Q40" i="3" a="1"/>
  <c r="R34" i="3" a="1"/>
  <c r="Q48" i="3" a="1"/>
  <c r="Q35" i="3" a="1"/>
  <c r="Q36" i="3" a="1"/>
  <c r="Q43" i="3" a="1"/>
  <c r="Q41" i="3" a="1"/>
  <c r="Q37" i="3" a="1"/>
  <c r="C76" i="1" a="1"/>
  <c r="C76" i="1" l="1"/>
  <c r="C9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7" i="3" a="1"/>
  <c r="R79" i="3" a="1"/>
  <c r="R71" i="3" a="1"/>
  <c r="R36" i="3" a="1"/>
  <c r="R63" i="3" a="1"/>
  <c r="R72" i="3" a="1"/>
  <c r="R57" i="3" a="1"/>
  <c r="R76" i="3" a="1"/>
  <c r="R74" i="3" a="1"/>
  <c r="R66" i="3" a="1"/>
  <c r="R70" i="3" a="1"/>
  <c r="R51" i="3" a="1"/>
  <c r="R35" i="3" a="1"/>
  <c r="R78" i="3" a="1"/>
  <c r="R58" i="3" a="1"/>
  <c r="R69" i="3" a="1"/>
  <c r="R64" i="3" a="1"/>
  <c r="R52" i="3" a="1"/>
  <c r="R65" i="3" a="1"/>
  <c r="R75" i="3" a="1"/>
  <c r="R80" i="3" a="1"/>
  <c r="R73" i="3" a="1"/>
  <c r="R62" i="3" a="1"/>
  <c r="R53" i="3" a="1"/>
  <c r="R56" i="3" a="1"/>
  <c r="R55" i="3" a="1"/>
  <c r="R50" i="3" a="1"/>
  <c r="R54" i="3" a="1"/>
  <c r="R61" i="3" a="1"/>
  <c r="R77" i="3" a="1"/>
  <c r="R68" i="3" a="1"/>
  <c r="R60" i="3" a="1"/>
  <c r="R49" i="3" a="1"/>
  <c r="R59" i="3" a="1"/>
  <c r="S33" i="3" a="1"/>
  <c r="S42" i="3" a="1"/>
  <c r="S35" i="3" a="1"/>
  <c r="S41" i="3" a="1"/>
  <c r="S38" i="3" a="1"/>
  <c r="S36" i="3" a="1"/>
  <c r="T49" i="3" a="1"/>
  <c r="S40" i="3" a="1"/>
  <c r="S37" i="3" a="1"/>
  <c r="S39" i="3" a="1"/>
  <c r="S43" i="3" a="1"/>
  <c r="S34" i="3" a="1"/>
  <c r="S49" i="3" a="1"/>
  <c r="R55" i="3" l="1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5" i="3"/>
  <c r="S33" i="3"/>
  <c r="S40" i="3"/>
  <c r="S34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7" i="3"/>
  <c r="S36" i="3"/>
  <c r="S39" i="3"/>
  <c r="R52" i="3"/>
  <c r="R77" i="3"/>
  <c r="R60" i="3"/>
  <c r="R58" i="3"/>
  <c r="R35" i="3"/>
  <c r="Y34" i="3" a="1"/>
  <c r="Y33" i="3" a="1"/>
  <c r="T34" i="3" a="1"/>
  <c r="T36" i="3" a="1"/>
  <c r="T35" i="3" a="1"/>
  <c r="T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Y35" i="3" a="1"/>
  <c r="T84" i="3" a="1"/>
  <c r="T88" i="3" a="1"/>
  <c r="T87" i="3" a="1"/>
  <c r="T89" i="3" a="1"/>
  <c r="T86" i="3" a="1"/>
  <c r="T8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T39" i="3" a="1"/>
  <c r="Y40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H33" i="3" a="1"/>
  <c r="F43" i="3" a="1"/>
  <c r="M25" i="3" a="1"/>
  <c r="H33" i="3" l="1"/>
  <c r="F35" i="3"/>
  <c r="F34" i="3"/>
  <c r="M25" i="3"/>
  <c r="F38" i="3"/>
  <c r="F37" i="3"/>
  <c r="F36" i="3"/>
  <c r="G35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H34" i="3" a="1"/>
  <c r="H35" i="3" a="1"/>
  <c r="H37" i="3" a="1"/>
  <c r="G44" i="3" a="1"/>
  <c r="H38" i="3" a="1"/>
  <c r="I44" i="3" a="1"/>
  <c r="H36" i="3" a="1"/>
  <c r="H37" i="3" l="1"/>
  <c r="H35" i="3"/>
  <c r="H34" i="3"/>
  <c r="H36" i="3"/>
  <c r="H38" i="3"/>
  <c r="I44" i="3"/>
  <c r="G36" i="3"/>
  <c r="G34" i="3"/>
  <c r="G37" i="3"/>
  <c r="G38" i="3" s="1"/>
  <c r="G44" i="3"/>
  <c r="I33" i="3" a="1"/>
  <c r="I37" i="3" a="1"/>
  <c r="I34" i="3" a="1"/>
  <c r="I36" i="3" a="1"/>
  <c r="I35" i="3" a="1"/>
  <c r="I38" i="3" a="1"/>
  <c r="I38" i="3" l="1"/>
  <c r="I37" i="3"/>
  <c r="I36" i="3"/>
  <c r="I35" i="3"/>
  <c r="I34" i="3"/>
  <c r="I33" i="3"/>
  <c r="B29" i="20" l="1"/>
  <c r="C33" i="21"/>
  <c r="F32" i="21"/>
  <c r="G32" i="21" s="1"/>
  <c r="G54" i="3" a="1"/>
  <c r="L79" i="13" a="1"/>
  <c r="E79" i="13" a="1"/>
  <c r="E213" i="13" a="1"/>
  <c r="G53" i="3" a="1"/>
  <c r="L109" i="13" a="1"/>
  <c r="G55" i="3" a="1"/>
  <c r="E36" i="21" a="1"/>
  <c r="G45" i="3" a="1"/>
  <c r="E109" i="13" a="1"/>
  <c r="S109" i="13" a="1"/>
  <c r="G47" i="3" a="1"/>
  <c r="G52" i="3" a="1"/>
  <c r="G48" i="3" a="1"/>
  <c r="G49" i="3" a="1"/>
  <c r="G46" i="3" a="1"/>
  <c r="S79" i="13" a="1"/>
  <c r="Z79" i="13" a="1"/>
  <c r="D27" i="20" a="1"/>
  <c r="G50" i="3" a="1"/>
  <c r="E32" i="21" a="1"/>
  <c r="G51" i="3" a="1"/>
  <c r="L94" i="13" a="1"/>
  <c r="E94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G79" i="13" a="1"/>
  <c r="AD79" i="13" a="1"/>
  <c r="N94" i="13" a="1"/>
  <c r="B126" i="3" a="1"/>
  <c r="I32" i="21" a="1"/>
  <c r="E39" i="21" a="1"/>
  <c r="AI33" i="3" a="1"/>
  <c r="E39" i="21" l="1"/>
  <c r="I32" i="21"/>
  <c r="AI33" i="3"/>
  <c r="D128" i="3"/>
  <c r="D131" i="3"/>
  <c r="D134" i="3"/>
  <c r="D137" i="3"/>
  <c r="D140" i="3"/>
  <c r="D143" i="3"/>
  <c r="D146" i="3"/>
  <c r="D149" i="3"/>
  <c r="D152" i="3"/>
  <c r="D155" i="3"/>
  <c r="E128" i="3"/>
  <c r="E131" i="3"/>
  <c r="E134" i="3"/>
  <c r="E137" i="3"/>
  <c r="E140" i="3"/>
  <c r="E143" i="3"/>
  <c r="E146" i="3"/>
  <c r="E149" i="3"/>
  <c r="E152" i="3"/>
  <c r="E155" i="3"/>
  <c r="C126" i="3"/>
  <c r="C129" i="3"/>
  <c r="C132" i="3"/>
  <c r="C135" i="3"/>
  <c r="C138" i="3"/>
  <c r="C144" i="3"/>
  <c r="C147" i="3"/>
  <c r="C150" i="3"/>
  <c r="C156" i="3"/>
  <c r="D126" i="3"/>
  <c r="D138" i="3"/>
  <c r="D147" i="3"/>
  <c r="D156" i="3"/>
  <c r="E126" i="3"/>
  <c r="E129" i="3"/>
  <c r="E135" i="3"/>
  <c r="E141" i="3"/>
  <c r="E144" i="3"/>
  <c r="E153" i="3"/>
  <c r="B127" i="3"/>
  <c r="B139" i="3"/>
  <c r="B151" i="3"/>
  <c r="C127" i="3"/>
  <c r="C130" i="3"/>
  <c r="C133" i="3"/>
  <c r="C142" i="3"/>
  <c r="C148" i="3"/>
  <c r="D127" i="3"/>
  <c r="D136" i="3"/>
  <c r="D145" i="3"/>
  <c r="B131" i="3"/>
  <c r="B149" i="3"/>
  <c r="C128" i="3"/>
  <c r="C131" i="3"/>
  <c r="C134" i="3"/>
  <c r="C137" i="3"/>
  <c r="C140" i="3"/>
  <c r="C146" i="3"/>
  <c r="C149" i="3"/>
  <c r="C155" i="3"/>
  <c r="D129" i="3"/>
  <c r="D141" i="3"/>
  <c r="D144" i="3"/>
  <c r="D150" i="3"/>
  <c r="D151" i="3"/>
  <c r="E130" i="3"/>
  <c r="E142" i="3"/>
  <c r="E151" i="3"/>
  <c r="C143" i="3"/>
  <c r="C152" i="3"/>
  <c r="B126" i="3"/>
  <c r="B129" i="3"/>
  <c r="B132" i="3"/>
  <c r="B135" i="3"/>
  <c r="B138" i="3"/>
  <c r="B141" i="3"/>
  <c r="B144" i="3"/>
  <c r="B147" i="3"/>
  <c r="B150" i="3"/>
  <c r="B153" i="3"/>
  <c r="B156" i="3"/>
  <c r="C141" i="3"/>
  <c r="C153" i="3"/>
  <c r="D132" i="3"/>
  <c r="E150" i="3"/>
  <c r="E156" i="3"/>
  <c r="B130" i="3"/>
  <c r="B136" i="3"/>
  <c r="B145" i="3"/>
  <c r="B154" i="3"/>
  <c r="C139" i="3"/>
  <c r="C151" i="3"/>
  <c r="D130" i="3"/>
  <c r="D139" i="3"/>
  <c r="D154" i="3"/>
  <c r="E133" i="3"/>
  <c r="E139" i="3"/>
  <c r="E145" i="3"/>
  <c r="E154" i="3"/>
  <c r="B128" i="3"/>
  <c r="B134" i="3"/>
  <c r="B140" i="3"/>
  <c r="B146" i="3"/>
  <c r="B155" i="3"/>
  <c r="D135" i="3"/>
  <c r="D153" i="3"/>
  <c r="E138" i="3"/>
  <c r="E147" i="3"/>
  <c r="B133" i="3"/>
  <c r="E132" i="3"/>
  <c r="B148" i="3"/>
  <c r="D148" i="3"/>
  <c r="B142" i="3"/>
  <c r="C136" i="3"/>
  <c r="C145" i="3"/>
  <c r="C154" i="3"/>
  <c r="D133" i="3"/>
  <c r="D142" i="3"/>
  <c r="E127" i="3"/>
  <c r="E136" i="3"/>
  <c r="E148" i="3"/>
  <c r="B137" i="3"/>
  <c r="B143" i="3"/>
  <c r="B152" i="3"/>
  <c r="N94" i="13"/>
  <c r="AD79" i="13"/>
  <c r="G79" i="13"/>
  <c r="AJ33" i="3" a="1"/>
  <c r="AJ33" i="3" l="1"/>
  <c r="O57" i="27" l="1"/>
  <c r="F57" i="27" l="1"/>
  <c r="G57" i="27" a="1"/>
  <c r="I57" i="27" a="1"/>
  <c r="M102" i="27" a="1"/>
  <c r="M99" i="27" a="1"/>
  <c r="M97" i="27" a="1"/>
  <c r="M100" i="27" a="1"/>
  <c r="M103" i="27" a="1"/>
  <c r="M96" i="27" a="1"/>
  <c r="M98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35" i="3" a="1"/>
  <c r="C38" i="26" a="1"/>
  <c r="C34" i="26" a="1"/>
  <c r="J57" i="27" a="1"/>
  <c r="C40" i="26" a="1"/>
  <c r="C41" i="26" a="1"/>
  <c r="B273" i="3" a="1"/>
  <c r="C37" i="26" a="1"/>
  <c r="C35" i="26" a="1"/>
  <c r="C39" i="26" a="1"/>
  <c r="C32" i="26" a="1"/>
  <c r="AG17" i="26" a="1"/>
  <c r="C44" i="26" a="1"/>
  <c r="C31" i="26" a="1"/>
  <c r="C12" i="27" a="1"/>
  <c r="C33" i="26" a="1"/>
  <c r="C42" i="26" a="1"/>
  <c r="X17" i="26" a="1"/>
  <c r="E17" i="26" a="1"/>
  <c r="N17" i="26" a="1"/>
  <c r="C43" i="26" a="1"/>
  <c r="S21" i="26" a="1"/>
  <c r="S17" i="26" a="1"/>
  <c r="S19" i="26" a="1"/>
  <c r="C36" i="26" a="1"/>
  <c r="M66" i="27" a="1"/>
  <c r="M58" i="27" a="1"/>
  <c r="M83" i="27" a="1"/>
  <c r="M64" i="27" a="1"/>
  <c r="M72" i="27" a="1"/>
  <c r="M70" i="27" a="1"/>
  <c r="M94" i="27" a="1"/>
  <c r="M68" i="27" a="1"/>
  <c r="M69" i="27" a="1"/>
  <c r="M59" i="27" a="1"/>
  <c r="M67" i="27" a="1"/>
  <c r="M91" i="27" a="1"/>
  <c r="M87" i="27" a="1"/>
  <c r="M92" i="27" a="1"/>
  <c r="M85" i="27" a="1"/>
  <c r="M57" i="27" a="1"/>
  <c r="M63" i="27" a="1"/>
  <c r="M78" i="27" a="1"/>
  <c r="M65" i="27" a="1"/>
  <c r="M101" i="27" a="1"/>
  <c r="M86" i="27" a="1"/>
  <c r="M60" i="27" a="1"/>
  <c r="M61" i="27" a="1"/>
  <c r="M73" i="27" a="1"/>
  <c r="M90" i="27" a="1"/>
  <c r="M104" i="27" a="1"/>
  <c r="M95" i="27" a="1"/>
  <c r="M79" i="27" a="1"/>
  <c r="M71" i="27" a="1"/>
  <c r="M75" i="27" a="1"/>
  <c r="M76" i="27" a="1"/>
  <c r="M82" i="27" a="1"/>
  <c r="M89" i="27" a="1"/>
  <c r="M80" i="27" a="1"/>
  <c r="M84" i="27" a="1"/>
  <c r="M88" i="27" a="1"/>
  <c r="M62" i="27" a="1"/>
  <c r="M93" i="27" a="1"/>
  <c r="M74" i="27" a="1"/>
  <c r="M77" i="27" a="1"/>
  <c r="M81" i="27" a="1"/>
  <c r="S18" i="26" a="1"/>
  <c r="R20" i="26" a="1"/>
  <c r="S20" i="26" a="1"/>
  <c r="R19" i="26" a="1"/>
  <c r="R18" i="26" a="1"/>
  <c r="R21" i="26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5" i="3"/>
  <c r="B273" i="3"/>
  <c r="D42" i="26" a="1"/>
  <c r="D34" i="26" a="1"/>
  <c r="D33" i="26" a="1"/>
  <c r="AB17" i="26" a="1"/>
  <c r="E239" i="3" a="1"/>
  <c r="D41" i="26" a="1"/>
  <c r="F275" i="3" a="1"/>
  <c r="D36" i="26" a="1"/>
  <c r="D44" i="26" a="1"/>
  <c r="D43" i="26" a="1"/>
  <c r="D40" i="26" a="1"/>
  <c r="D38" i="26" a="1"/>
  <c r="R17" i="26" a="1"/>
  <c r="D31" i="26" a="1"/>
  <c r="I17" i="26" a="1"/>
  <c r="D35" i="26" a="1"/>
  <c r="C4" i="27" a="1"/>
  <c r="D39" i="26" a="1"/>
  <c r="D37" i="26" a="1"/>
  <c r="AK17" i="26" a="1"/>
  <c r="D32" i="26" a="1"/>
  <c r="F74" i="27" a="1"/>
  <c r="F77" i="27" a="1"/>
  <c r="F72" i="27" a="1"/>
  <c r="F65" i="27" a="1"/>
  <c r="F97" i="27" a="1"/>
  <c r="F67" i="27" a="1"/>
  <c r="F62" i="27" a="1"/>
  <c r="F95" i="27" a="1"/>
  <c r="F68" i="27" a="1"/>
  <c r="F61" i="27" a="1"/>
  <c r="F104" i="27" a="1"/>
  <c r="F60" i="27" a="1"/>
  <c r="F59" i="27" a="1"/>
  <c r="F64" i="27" a="1"/>
  <c r="F82" i="27" a="1"/>
  <c r="F90" i="27" a="1"/>
  <c r="F73" i="27" a="1"/>
  <c r="F86" i="27" a="1"/>
  <c r="C275" i="3" a="1"/>
  <c r="F69" i="27" a="1"/>
  <c r="F98" i="27" a="1"/>
  <c r="F96" i="27" a="1"/>
  <c r="F70" i="27" a="1"/>
  <c r="F100" i="27" a="1"/>
  <c r="F80" i="27" a="1"/>
  <c r="F102" i="27" a="1"/>
  <c r="F85" i="27" a="1"/>
  <c r="F87" i="27" a="1"/>
  <c r="F76" i="27" a="1"/>
  <c r="F71" i="27" a="1"/>
  <c r="F81" i="27" a="1"/>
  <c r="F88" i="27" a="1"/>
  <c r="F66" i="27" a="1"/>
  <c r="F75" i="27" a="1"/>
  <c r="F89" i="27" a="1"/>
  <c r="F83" i="27" a="1"/>
  <c r="F93" i="27" a="1"/>
  <c r="F84" i="27" a="1"/>
  <c r="F99" i="27" a="1"/>
  <c r="F91" i="27" a="1"/>
  <c r="F94" i="27" a="1"/>
  <c r="F101" i="27" a="1"/>
  <c r="C239" i="3" a="1"/>
  <c r="F103" i="27" a="1"/>
  <c r="F63" i="27" a="1"/>
  <c r="F78" i="27" a="1"/>
  <c r="F79" i="27" a="1"/>
  <c r="F92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96" i="27" a="1"/>
  <c r="G79" i="27" a="1"/>
  <c r="G80" i="27" a="1"/>
  <c r="I101" i="27" a="1"/>
  <c r="G77" i="27" a="1"/>
  <c r="G82" i="27" a="1"/>
  <c r="G99" i="27" a="1"/>
  <c r="I102" i="27" a="1"/>
  <c r="G86" i="27" a="1"/>
  <c r="G74" i="27" a="1"/>
  <c r="G75" i="27" a="1"/>
  <c r="I103" i="27" a="1"/>
  <c r="G93" i="27" a="1"/>
  <c r="I67" i="27" a="1"/>
  <c r="I63" i="27" a="1"/>
  <c r="G95" i="27" a="1"/>
  <c r="I91" i="27" a="1"/>
  <c r="I89" i="27" a="1"/>
  <c r="G78" i="27" a="1"/>
  <c r="I100" i="27" a="1"/>
  <c r="G60" i="27" a="1"/>
  <c r="G92" i="27" a="1"/>
  <c r="G62" i="27" a="1"/>
  <c r="G85" i="27" a="1"/>
  <c r="I71" i="27" a="1"/>
  <c r="G100" i="27" a="1"/>
  <c r="G88" i="27" a="1"/>
  <c r="I66" i="27" a="1"/>
  <c r="I68" i="27" a="1"/>
  <c r="G101" i="27" a="1"/>
  <c r="I65" i="27" a="1"/>
  <c r="G87" i="27" a="1"/>
  <c r="I99" i="27" a="1"/>
  <c r="G59" i="27" a="1"/>
  <c r="G67" i="27" a="1"/>
  <c r="I92" i="27" a="1"/>
  <c r="I76" i="27" a="1"/>
  <c r="I86" i="27" a="1"/>
  <c r="I70" i="27" a="1"/>
  <c r="G70" i="27" a="1"/>
  <c r="I82" i="27" a="1"/>
  <c r="I64" i="27" a="1"/>
  <c r="G69" i="27" a="1"/>
  <c r="I87" i="27" a="1"/>
  <c r="I81" i="27" a="1"/>
  <c r="I74" i="27" a="1"/>
  <c r="I72" i="27" a="1"/>
  <c r="I88" i="27" a="1"/>
  <c r="I73" i="27" a="1"/>
  <c r="G83" i="27" a="1"/>
  <c r="I77" i="27" a="1"/>
  <c r="G63" i="27" a="1"/>
  <c r="I96" i="27" a="1"/>
  <c r="G58" i="27" a="1"/>
  <c r="I79" i="27" a="1"/>
  <c r="I90" i="27" a="1"/>
  <c r="I104" i="27" a="1"/>
  <c r="G76" i="27" a="1"/>
  <c r="G91" i="27" a="1"/>
  <c r="I62" i="27" a="1"/>
  <c r="G89" i="27" a="1"/>
  <c r="I84" i="27" a="1"/>
  <c r="G103" i="27" a="1"/>
  <c r="G71" i="27" a="1"/>
  <c r="I69" i="27" a="1"/>
  <c r="G94" i="27" a="1"/>
  <c r="G98" i="27" a="1"/>
  <c r="I61" i="27" a="1"/>
  <c r="G102" i="27" a="1"/>
  <c r="I85" i="27" a="1"/>
  <c r="G61" i="27" a="1"/>
  <c r="G64" i="27" a="1"/>
  <c r="G81" i="27" a="1"/>
  <c r="I83" i="27" a="1"/>
  <c r="G104" i="27" a="1"/>
  <c r="I59" i="27" a="1"/>
  <c r="I98" i="27" a="1"/>
  <c r="I58" i="27" a="1"/>
  <c r="I75" i="27" a="1"/>
  <c r="G65" i="27" a="1"/>
  <c r="I60" i="27" a="1"/>
  <c r="G97" i="27" a="1"/>
  <c r="I97" i="27" a="1"/>
  <c r="I78" i="27" a="1"/>
  <c r="G84" i="27" a="1"/>
  <c r="G66" i="27" a="1"/>
  <c r="G68" i="27" a="1"/>
  <c r="G73" i="27" a="1"/>
  <c r="I95" i="27" a="1"/>
  <c r="G90" i="27" a="1"/>
  <c r="I93" i="27" a="1"/>
  <c r="G72" i="27" a="1"/>
  <c r="I94" i="27" a="1"/>
  <c r="I80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88" i="27" a="1"/>
  <c r="J71" i="27" a="1"/>
  <c r="J74" i="27" a="1"/>
  <c r="J89" i="27" a="1"/>
  <c r="J82" i="27" a="1"/>
  <c r="J92" i="27" a="1"/>
  <c r="J86" i="27" a="1"/>
  <c r="J59" i="27" a="1"/>
  <c r="J81" i="27" a="1"/>
  <c r="J58" i="27" a="1"/>
  <c r="J65" i="27" a="1"/>
  <c r="J61" i="27" a="1"/>
  <c r="J60" i="27" a="1"/>
  <c r="J72" i="27" a="1"/>
  <c r="J63" i="27" a="1"/>
  <c r="J78" i="27" a="1"/>
  <c r="J80" i="27" a="1"/>
  <c r="J102" i="27" a="1"/>
  <c r="J83" i="27" a="1"/>
  <c r="J75" i="27" a="1"/>
  <c r="J69" i="27" a="1"/>
  <c r="J87" i="27" a="1"/>
  <c r="J84" i="27" a="1"/>
  <c r="J66" i="27" a="1"/>
  <c r="J68" i="27" a="1"/>
  <c r="J90" i="27" a="1"/>
  <c r="J85" i="27" a="1"/>
  <c r="J67" i="27" a="1"/>
  <c r="J79" i="27" a="1"/>
  <c r="J70" i="27" a="1"/>
  <c r="J101" i="27" a="1"/>
  <c r="J95" i="27" a="1"/>
  <c r="J62" i="27" a="1"/>
  <c r="J96" i="27" a="1"/>
  <c r="J77" i="27" a="1"/>
  <c r="J97" i="27" a="1"/>
  <c r="J64" i="27" a="1"/>
  <c r="J93" i="27" a="1"/>
  <c r="J104" i="27" a="1"/>
  <c r="J100" i="27" a="1"/>
  <c r="J98" i="27" a="1"/>
  <c r="J91" i="27" a="1"/>
  <c r="J99" i="27" a="1"/>
  <c r="J73" i="27" a="1"/>
  <c r="J103" i="27" a="1"/>
  <c r="J94" i="27" a="1"/>
  <c r="J76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M140" i="3" a="1"/>
  <c r="J156" i="3" a="1"/>
  <c r="J141" i="3" a="1"/>
  <c r="L147" i="3" a="1"/>
  <c r="L150" i="3" a="1"/>
  <c r="K136" i="3" a="1"/>
  <c r="K132" i="3" a="1"/>
  <c r="L143" i="3" a="1"/>
  <c r="L140" i="3" a="1"/>
  <c r="M149" i="3" a="1"/>
  <c r="K137" i="3" a="1"/>
  <c r="M132" i="3" a="1"/>
  <c r="L134" i="3" a="1"/>
  <c r="J147" i="3" a="1"/>
  <c r="J149" i="3" a="1"/>
  <c r="K153" i="3" a="1"/>
  <c r="K155" i="3" a="1"/>
  <c r="L151" i="3" a="1"/>
  <c r="J144" i="3" a="1"/>
  <c r="K135" i="3" a="1"/>
  <c r="M148" i="3" a="1"/>
  <c r="L127" i="3" a="1"/>
  <c r="J131" i="3" a="1"/>
  <c r="K138" i="3" a="1"/>
  <c r="J128" i="3" a="1"/>
  <c r="M137" i="3" a="1"/>
  <c r="K144" i="3" a="1"/>
  <c r="J140" i="3" a="1"/>
  <c r="K151" i="3" a="1"/>
  <c r="M154" i="3" a="1"/>
  <c r="M144" i="3" a="1"/>
  <c r="L138" i="3" a="1"/>
  <c r="M129" i="3" a="1"/>
  <c r="J143" i="3" a="1"/>
  <c r="K129" i="3" a="1"/>
  <c r="K148" i="3" a="1"/>
  <c r="J142" i="3" a="1"/>
  <c r="L130" i="3" a="1"/>
  <c r="J153" i="3" a="1"/>
  <c r="K152" i="3" a="1"/>
  <c r="J148" i="3" a="1"/>
  <c r="J145" i="3" a="1"/>
  <c r="K139" i="3" a="1"/>
  <c r="M150" i="3" a="1"/>
  <c r="L126" i="3" a="1"/>
  <c r="J150" i="3" a="1"/>
  <c r="L137" i="3" a="1"/>
  <c r="M151" i="3" a="1"/>
  <c r="M139" i="3" a="1"/>
  <c r="M153" i="3" a="1"/>
  <c r="K140" i="3" a="1"/>
  <c r="L155" i="3" a="1"/>
  <c r="K143" i="3" a="1"/>
  <c r="L136" i="3" a="1"/>
  <c r="M128" i="3" a="1"/>
  <c r="M131" i="3" a="1"/>
  <c r="J130" i="3" a="1"/>
  <c r="M156" i="3" a="1"/>
  <c r="K147" i="3" a="1"/>
  <c r="J151" i="3" a="1"/>
  <c r="M155" i="3" a="1"/>
  <c r="M130" i="3" a="1"/>
  <c r="L131" i="3" a="1"/>
  <c r="L152" i="3" a="1"/>
  <c r="J132" i="3" a="1"/>
  <c r="M135" i="3" a="1"/>
  <c r="L128" i="3" a="1"/>
  <c r="L139" i="3" a="1"/>
  <c r="L133" i="3" a="1"/>
  <c r="M146" i="3" a="1"/>
  <c r="J129" i="3" a="1"/>
  <c r="K130" i="3" a="1"/>
  <c r="M142" i="3" a="1"/>
  <c r="J134" i="3" a="1"/>
  <c r="L135" i="3" a="1"/>
  <c r="K141" i="3" a="1"/>
  <c r="L145" i="3" a="1"/>
  <c r="K154" i="3" a="1"/>
  <c r="L149" i="3" a="1"/>
  <c r="K128" i="3" a="1"/>
  <c r="K146" i="3" a="1"/>
  <c r="J137" i="3" a="1"/>
  <c r="L148" i="3" a="1"/>
  <c r="L154" i="3" a="1"/>
  <c r="L132" i="3" a="1"/>
  <c r="M141" i="3" a="1"/>
  <c r="L153" i="3" a="1"/>
  <c r="L129" i="3" a="1"/>
  <c r="K156" i="3" a="1"/>
  <c r="J152" i="3" a="1"/>
  <c r="J136" i="3" a="1"/>
  <c r="M147" i="3" a="1"/>
  <c r="K127" i="3" a="1"/>
  <c r="J135" i="3" a="1"/>
  <c r="K150" i="3" a="1"/>
  <c r="M138" i="3" a="1"/>
  <c r="J133" i="3" a="1"/>
  <c r="J154" i="3" a="1"/>
  <c r="K133" i="3" a="1"/>
  <c r="J127" i="3" a="1"/>
  <c r="K126" i="3" a="1"/>
  <c r="J138" i="3" a="1"/>
  <c r="L146" i="3" a="1"/>
  <c r="K145" i="3" a="1"/>
  <c r="M152" i="3" a="1"/>
  <c r="L144" i="3" a="1"/>
  <c r="J139" i="3" a="1"/>
  <c r="K134" i="3" a="1"/>
  <c r="M143" i="3" a="1"/>
  <c r="K131" i="3" a="1"/>
  <c r="L156" i="3" a="1"/>
  <c r="M136" i="3" a="1"/>
  <c r="M126" i="3" a="1"/>
  <c r="J155" i="3" a="1"/>
  <c r="M127" i="3" a="1"/>
  <c r="M133" i="3" a="1"/>
  <c r="K142" i="3" a="1"/>
  <c r="J146" i="3" a="1"/>
  <c r="K149" i="3" a="1"/>
  <c r="M134" i="3" a="1"/>
  <c r="L141" i="3" a="1"/>
  <c r="M145" i="3" a="1"/>
  <c r="L142" i="3" a="1"/>
  <c r="B106" i="3" a="1"/>
  <c r="L141" i="3" l="1"/>
  <c r="K156" i="3"/>
  <c r="M133" i="3"/>
  <c r="K145" i="3"/>
  <c r="J130" i="3"/>
  <c r="L152" i="3"/>
  <c r="M141" i="3"/>
  <c r="L147" i="3"/>
  <c r="J155" i="3"/>
  <c r="J141" i="3"/>
  <c r="J129" i="3"/>
  <c r="K141" i="3"/>
  <c r="K138" i="3"/>
  <c r="K148" i="3"/>
  <c r="M128" i="3"/>
  <c r="L127" i="3"/>
  <c r="K140" i="3"/>
  <c r="L149" i="3"/>
  <c r="J137" i="3"/>
  <c r="J154" i="3"/>
  <c r="K150" i="3"/>
  <c r="K154" i="3"/>
  <c r="L143" i="3"/>
  <c r="K147" i="3"/>
  <c r="M131" i="3"/>
  <c r="L132" i="3"/>
  <c r="L146" i="3"/>
  <c r="K136" i="3"/>
  <c r="L156" i="3"/>
  <c r="J156" i="3"/>
  <c r="K139" i="3"/>
  <c r="K144" i="3"/>
  <c r="J147" i="3"/>
  <c r="K127" i="3"/>
  <c r="K143" i="3"/>
  <c r="M132" i="3"/>
  <c r="L126" i="3"/>
  <c r="M135" i="3"/>
  <c r="L139" i="3"/>
  <c r="J135" i="3"/>
  <c r="M154" i="3"/>
  <c r="M126" i="3"/>
  <c r="M144" i="3"/>
  <c r="J131" i="3"/>
  <c r="K149" i="3"/>
  <c r="K151" i="3"/>
  <c r="J151" i="3"/>
  <c r="L140" i="3"/>
  <c r="J143" i="3"/>
  <c r="L134" i="3"/>
  <c r="L138" i="3"/>
  <c r="M156" i="3"/>
  <c r="K126" i="3"/>
  <c r="K129" i="3"/>
  <c r="J146" i="3"/>
  <c r="K142" i="3"/>
  <c r="J132" i="3"/>
  <c r="M145" i="3"/>
  <c r="M142" i="3"/>
  <c r="K155" i="3"/>
  <c r="K132" i="3"/>
  <c r="L148" i="3"/>
  <c r="L130" i="3"/>
  <c r="J148" i="3"/>
  <c r="K128" i="3"/>
  <c r="J142" i="3"/>
  <c r="L142" i="3"/>
  <c r="M148" i="3"/>
  <c r="J153" i="3"/>
  <c r="J138" i="3"/>
  <c r="J128" i="3"/>
  <c r="M152" i="3"/>
  <c r="M155" i="3"/>
  <c r="K134" i="3"/>
  <c r="M151" i="3"/>
  <c r="K130" i="3"/>
  <c r="K152" i="3"/>
  <c r="M147" i="3"/>
  <c r="M136" i="3"/>
  <c r="L128" i="3"/>
  <c r="L144" i="3"/>
  <c r="M140" i="3"/>
  <c r="J139" i="3"/>
  <c r="M130" i="3"/>
  <c r="J127" i="3"/>
  <c r="M129" i="3"/>
  <c r="M153" i="3"/>
  <c r="M149" i="3"/>
  <c r="L136" i="3"/>
  <c r="M146" i="3"/>
  <c r="K153" i="3"/>
  <c r="J149" i="3"/>
  <c r="K133" i="3"/>
  <c r="M138" i="3"/>
  <c r="M139" i="3"/>
  <c r="J150" i="3"/>
  <c r="L153" i="3"/>
  <c r="K131" i="3"/>
  <c r="L133" i="3"/>
  <c r="J140" i="3"/>
  <c r="L154" i="3"/>
  <c r="L145" i="3"/>
  <c r="J136" i="3"/>
  <c r="L135" i="3"/>
  <c r="J144" i="3"/>
  <c r="M150" i="3"/>
  <c r="K137" i="3"/>
  <c r="L137" i="3"/>
  <c r="J133" i="3"/>
  <c r="J152" i="3"/>
  <c r="M143" i="3"/>
  <c r="M127" i="3"/>
  <c r="L129" i="3"/>
  <c r="K146" i="3"/>
  <c r="J134" i="3"/>
  <c r="L150" i="3"/>
  <c r="M137" i="3"/>
  <c r="L155" i="3"/>
  <c r="M134" i="3"/>
  <c r="L131" i="3"/>
  <c r="K135" i="3"/>
  <c r="L151" i="3"/>
  <c r="J145" i="3"/>
  <c r="B106" i="3"/>
  <c r="J126" i="3" a="1"/>
  <c r="J126" i="3" l="1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J115" i="3" a="1"/>
  <c r="H113" i="3" a="1"/>
  <c r="J110" i="3" a="1"/>
  <c r="J106" i="3" a="1"/>
  <c r="H117" i="3" a="1"/>
  <c r="H107" i="3" a="1"/>
  <c r="J113" i="3" a="1"/>
  <c r="H109" i="3" a="1"/>
  <c r="H108" i="3" a="1"/>
  <c r="H110" i="3" a="1"/>
  <c r="J111" i="3" a="1"/>
  <c r="H114" i="3" a="1"/>
  <c r="J107" i="3" a="1"/>
  <c r="H115" i="3" a="1"/>
  <c r="I111" i="3" a="1"/>
  <c r="I113" i="3" a="1"/>
  <c r="I112" i="3" a="1"/>
  <c r="J120" i="3" a="1"/>
  <c r="J117" i="3" a="1"/>
  <c r="J108" i="3" a="1"/>
  <c r="H116" i="3" a="1"/>
  <c r="I108" i="3" a="1"/>
  <c r="J118" i="3" a="1"/>
  <c r="H121" i="3" a="1"/>
  <c r="I119" i="3" a="1"/>
  <c r="I118" i="3" a="1"/>
  <c r="I106" i="3" a="1"/>
  <c r="I120" i="3" a="1"/>
  <c r="I115" i="3" a="1"/>
  <c r="I107" i="3" a="1"/>
  <c r="I117" i="3" a="1"/>
  <c r="I121" i="3" a="1"/>
  <c r="I110" i="3" a="1"/>
  <c r="J119" i="3" a="1"/>
  <c r="H120" i="3" a="1"/>
  <c r="H119" i="3" a="1"/>
  <c r="H118" i="3" a="1"/>
  <c r="H111" i="3" a="1"/>
  <c r="I116" i="3" a="1"/>
  <c r="H112" i="3" a="1"/>
  <c r="J114" i="3" a="1"/>
  <c r="J112" i="3" a="1"/>
  <c r="J121" i="3" a="1"/>
  <c r="I109" i="3" a="1"/>
  <c r="J116" i="3" a="1"/>
  <c r="I114" i="3" a="1"/>
  <c r="J109" i="3" a="1"/>
  <c r="H121" i="3" l="1"/>
  <c r="H116" i="3"/>
  <c r="I110" i="3"/>
  <c r="J116" i="3"/>
  <c r="H107" i="3"/>
  <c r="H109" i="3"/>
  <c r="H111" i="3"/>
  <c r="H113" i="3"/>
  <c r="H115" i="3"/>
  <c r="H117" i="3"/>
  <c r="H119" i="3"/>
  <c r="I119" i="3"/>
  <c r="J119" i="3"/>
  <c r="H114" i="3"/>
  <c r="I112" i="3"/>
  <c r="J112" i="3"/>
  <c r="I113" i="3"/>
  <c r="J106" i="3"/>
  <c r="I107" i="3"/>
  <c r="I109" i="3"/>
  <c r="I111" i="3"/>
  <c r="I115" i="3"/>
  <c r="I117" i="3"/>
  <c r="I121" i="3"/>
  <c r="H108" i="3"/>
  <c r="H118" i="3"/>
  <c r="I118" i="3"/>
  <c r="J120" i="3"/>
  <c r="J111" i="3"/>
  <c r="H110" i="3"/>
  <c r="H120" i="3"/>
  <c r="I116" i="3"/>
  <c r="J114" i="3"/>
  <c r="J107" i="3"/>
  <c r="J109" i="3"/>
  <c r="J113" i="3"/>
  <c r="J115" i="3"/>
  <c r="J117" i="3"/>
  <c r="J121" i="3"/>
  <c r="H112" i="3"/>
  <c r="I106" i="3"/>
  <c r="I114" i="3"/>
  <c r="J110" i="3"/>
  <c r="I120" i="3"/>
  <c r="I108" i="3"/>
  <c r="J118" i="3"/>
  <c r="J108" i="3"/>
  <c r="H106" i="3" a="1"/>
  <c r="H106" i="3" l="1"/>
  <c r="C103" i="3" a="1"/>
  <c r="C103" i="3" l="1"/>
  <c r="D12" i="3" s="1"/>
  <c r="D11" i="3" l="1"/>
  <c r="AI28" i="3" a="1"/>
  <c r="E67" i="23" a="1"/>
  <c r="AN51" i="3" a="1"/>
  <c r="AN52" i="3" a="1"/>
  <c r="AN53" i="3" a="1"/>
  <c r="AN50" i="3" a="1"/>
  <c r="AN54" i="3" a="1"/>
  <c r="AN50" i="3" l="1"/>
  <c r="AN51" i="3"/>
  <c r="AN52" i="3"/>
  <c r="AN53" i="3"/>
  <c r="AN54" i="3"/>
  <c r="E67" i="23"/>
  <c r="AI28" i="3"/>
  <c r="AG43" i="3" a="1"/>
  <c r="AO50" i="3" a="1"/>
  <c r="AN42" i="3" a="1"/>
  <c r="AN39" i="3" a="1"/>
  <c r="AN43" i="3" a="1"/>
  <c r="AN38" i="3" a="1"/>
  <c r="AN37" i="3" a="1"/>
  <c r="AN35" i="3" a="1"/>
  <c r="AO51" i="3" a="1"/>
  <c r="AN36" i="3" a="1"/>
  <c r="AN41" i="3" a="1"/>
  <c r="AN49" i="3" a="1"/>
  <c r="AN47" i="3" a="1"/>
  <c r="AN40" i="3" a="1"/>
  <c r="AO54" i="3" a="1"/>
  <c r="AO53" i="3" a="1"/>
  <c r="AN45" i="3" a="1"/>
  <c r="AN44" i="3" a="1"/>
  <c r="AN48" i="3" a="1"/>
  <c r="AN46" i="3" a="1"/>
  <c r="AN34" i="3" a="1"/>
  <c r="AO52" i="3" a="1"/>
  <c r="AO54" i="3" l="1"/>
  <c r="AO53" i="3"/>
  <c r="AO52" i="3"/>
  <c r="AO51" i="3"/>
  <c r="AO50" i="3"/>
  <c r="AG44" i="3"/>
  <c r="AG45" i="3"/>
  <c r="AG46" i="3"/>
  <c r="AG47" i="3"/>
  <c r="AG48" i="3"/>
  <c r="AG49" i="3"/>
  <c r="AG50" i="3"/>
  <c r="AG51" i="3"/>
  <c r="AG43" i="3"/>
  <c r="AG34" i="3"/>
  <c r="AN34" i="3"/>
  <c r="AN37" i="3"/>
  <c r="AN38" i="3"/>
  <c r="AN44" i="3"/>
  <c r="AN40" i="3"/>
  <c r="AN46" i="3"/>
  <c r="AN41" i="3"/>
  <c r="AN47" i="3"/>
  <c r="AN42" i="3"/>
  <c r="AN48" i="3"/>
  <c r="AN49" i="3"/>
  <c r="AN39" i="3"/>
  <c r="AN45" i="3"/>
  <c r="AN35" i="3"/>
  <c r="AN36" i="3"/>
  <c r="AN43" i="3"/>
  <c r="AH47" i="3" a="1"/>
  <c r="AH46" i="3" a="1"/>
  <c r="AH49" i="3" a="1"/>
  <c r="AH34" i="3" a="1"/>
  <c r="AH50" i="3" a="1"/>
  <c r="AH44" i="3" a="1"/>
  <c r="AH45" i="3" a="1"/>
  <c r="AH51" i="3" a="1"/>
  <c r="AH48" i="3" a="1"/>
  <c r="AO47" i="3" a="1"/>
  <c r="AO37" i="3" a="1"/>
  <c r="AO39" i="3" a="1"/>
  <c r="AO42" i="3" a="1"/>
  <c r="AO43" i="3" a="1"/>
  <c r="AO40" i="3" a="1"/>
  <c r="AO48" i="3" a="1"/>
  <c r="AO36" i="3" a="1"/>
  <c r="AO38" i="3" a="1"/>
  <c r="AO44" i="3" a="1"/>
  <c r="AO45" i="3" a="1"/>
  <c r="AO46" i="3" a="1"/>
  <c r="AO34" i="3" a="1"/>
  <c r="AO49" i="3" a="1"/>
  <c r="AO41" i="3" a="1"/>
  <c r="AO35" i="3" a="1"/>
  <c r="AI34" i="3" a="1"/>
  <c r="AO39" i="3" l="1"/>
  <c r="AO49" i="3"/>
  <c r="AO48" i="3"/>
  <c r="AO42" i="3"/>
  <c r="AO47" i="3"/>
  <c r="AO41" i="3"/>
  <c r="AO46" i="3"/>
  <c r="AO40" i="3"/>
  <c r="AO43" i="3"/>
  <c r="AO44" i="3"/>
  <c r="AO36" i="3"/>
  <c r="AO38" i="3"/>
  <c r="AO35" i="3"/>
  <c r="AO37" i="3"/>
  <c r="AO45" i="3"/>
  <c r="AO34" i="3"/>
  <c r="AH34" i="3"/>
  <c r="AI34" i="3"/>
  <c r="AH50" i="3"/>
  <c r="AH49" i="3"/>
  <c r="AH44" i="3"/>
  <c r="AH48" i="3"/>
  <c r="AH47" i="3"/>
  <c r="AH51" i="3"/>
  <c r="AH46" i="3"/>
  <c r="AH45" i="3"/>
  <c r="AG35" i="3"/>
  <c r="AH35" i="3" a="1"/>
  <c r="AJ34" i="3" a="1"/>
  <c r="AN33" i="3" a="1"/>
  <c r="AI35" i="3" a="1"/>
  <c r="AJ34" i="3" l="1"/>
  <c r="AH35" i="3"/>
  <c r="AI35" i="3"/>
  <c r="AG36" i="3"/>
  <c r="AN33" i="3"/>
  <c r="AH36" i="3" a="1"/>
  <c r="AJ35" i="3" a="1"/>
  <c r="AI36" i="3" a="1"/>
  <c r="AO33" i="3" a="1"/>
  <c r="AO33" i="3" l="1"/>
  <c r="AH36" i="3"/>
  <c r="AI36" i="3"/>
  <c r="AJ35" i="3"/>
  <c r="AG37" i="3"/>
  <c r="AH37" i="3" a="1"/>
  <c r="AJ36" i="3" a="1"/>
  <c r="AI37" i="3" a="1"/>
  <c r="AH37" i="3" l="1"/>
  <c r="AI37" i="3"/>
  <c r="AJ36" i="3"/>
  <c r="AG38" i="3"/>
  <c r="BU34" i="3"/>
  <c r="AH38" i="3" a="1"/>
  <c r="BW34" i="3" a="1"/>
  <c r="AJ37" i="3" a="1"/>
  <c r="AI38" i="3" a="1"/>
  <c r="AH38" i="3" l="1"/>
  <c r="AI38" i="3"/>
  <c r="AJ37" i="3"/>
  <c r="AG39" i="3"/>
  <c r="BV34" i="3"/>
  <c r="BW34" i="3"/>
  <c r="AH39" i="3" a="1"/>
  <c r="BX34" i="3" a="1"/>
  <c r="AI39" i="3" a="1"/>
  <c r="AJ38" i="3" a="1"/>
  <c r="AH39" i="3" l="1"/>
  <c r="AI39" i="3"/>
  <c r="AJ38" i="3"/>
  <c r="BX34" i="3"/>
  <c r="AF31" i="14" a="1"/>
  <c r="R31" i="14" a="1"/>
  <c r="AJ39" i="3" a="1"/>
  <c r="AJ39" i="3" l="1"/>
  <c r="R31" i="14"/>
  <c r="AF31" i="14"/>
  <c r="AL31" i="14" a="1"/>
  <c r="X31" i="14" a="1"/>
  <c r="AL31" i="14" l="1"/>
  <c r="X31" i="14"/>
  <c r="Y20" i="25" a="1"/>
  <c r="Y31" i="25" a="1"/>
  <c r="Y45" i="25" a="1"/>
  <c r="Y42" i="25" a="1"/>
  <c r="Y50" i="25" a="1"/>
  <c r="Y26" i="25" a="1"/>
  <c r="Y23" i="25" a="1"/>
  <c r="Y39" i="25" a="1"/>
  <c r="J20" i="25" a="1"/>
  <c r="J39" i="25" a="1"/>
  <c r="J23" i="25" a="1"/>
  <c r="J42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50" i="25" a="1"/>
  <c r="J28" i="25" a="1"/>
  <c r="H31" i="25" a="1"/>
  <c r="J50" i="25" a="1"/>
  <c r="H51" i="25" a="1"/>
  <c r="H46" i="25" a="1"/>
  <c r="I51" i="25" a="1"/>
  <c r="I52" i="25" a="1"/>
  <c r="J33" i="25" a="1"/>
  <c r="I28" i="25" a="1"/>
  <c r="J47" i="25" a="1"/>
  <c r="J26" i="25" a="1"/>
  <c r="H47" i="25" a="1"/>
  <c r="J31" i="25" a="1"/>
  <c r="J45" i="25" a="1"/>
  <c r="J46" i="25" a="1"/>
  <c r="J32" i="25" a="1"/>
  <c r="I47" i="25" a="1"/>
  <c r="H26" i="25" a="1"/>
  <c r="J51" i="25" a="1"/>
  <c r="I26" i="25" a="1"/>
  <c r="J27" i="25" a="1"/>
  <c r="J52" i="25" a="1"/>
  <c r="H27" i="25" a="1"/>
  <c r="I33" i="25" a="1"/>
  <c r="I50" i="25" a="1"/>
  <c r="I45" i="25" a="1"/>
  <c r="H32" i="25" a="1"/>
  <c r="H28" i="25" a="1"/>
  <c r="I46" i="25" a="1"/>
  <c r="I32" i="25" a="1"/>
  <c r="I31" i="25" a="1"/>
  <c r="H33" i="25" a="1"/>
  <c r="I27" i="25" a="1"/>
  <c r="H45" i="25" a="1"/>
  <c r="H52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BU25" i="3" l="1" a="1"/>
  <c r="BK25" i="3" a="1"/>
  <c r="E124" i="13" a="1"/>
  <c r="H116" i="15" a="1"/>
  <c r="H125" i="15" a="1"/>
  <c r="D50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BK25" i="3"/>
  <c r="BU2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Q26" i="17" a="1"/>
  <c r="O17" i="20" a="1"/>
  <c r="C263" i="13" a="1"/>
  <c r="P23" i="17" a="1"/>
  <c r="Q24" i="17" a="1"/>
  <c r="E100" i="15" a="1"/>
  <c r="F43" i="17" a="1"/>
  <c r="R25" i="17" a="1"/>
  <c r="S21" i="17" a="1"/>
  <c r="AG17" i="23" a="1"/>
  <c r="U26" i="17" a="1"/>
  <c r="T26" i="17" a="1"/>
  <c r="C50" i="13" a="1"/>
  <c r="F38" i="17" a="1"/>
  <c r="N17" i="21" a="1"/>
  <c r="C258" i="13" a="1"/>
  <c r="F39" i="17" a="1"/>
  <c r="R22" i="17" a="1"/>
  <c r="C261" i="13" a="1"/>
  <c r="D258" i="13" a="1"/>
  <c r="S20" i="21" a="1"/>
  <c r="T25" i="17" a="1"/>
  <c r="C38" i="13" a="1"/>
  <c r="P25" i="17" a="1"/>
  <c r="E67" i="13" a="1"/>
  <c r="S24" i="17" a="1"/>
  <c r="E43" i="13" a="1"/>
  <c r="AG17" i="21" a="1"/>
  <c r="E186" i="13" a="1"/>
  <c r="D262" i="13" a="1"/>
  <c r="S22" i="17" a="1"/>
  <c r="R21" i="17" a="1"/>
  <c r="D263" i="13" a="1"/>
  <c r="S25" i="17" a="1"/>
  <c r="S23" i="17" a="1"/>
  <c r="T24" i="17" a="1"/>
  <c r="P22" i="17" a="1"/>
  <c r="E55" i="13" a="1"/>
  <c r="X17" i="21" a="1"/>
  <c r="C259" i="13" a="1"/>
  <c r="D264" i="13" a="1"/>
  <c r="Q22" i="17" a="1"/>
  <c r="F41" i="17" a="1"/>
  <c r="S19" i="21" a="1"/>
  <c r="AG17" i="20" a="1"/>
  <c r="V17" i="20" a="1"/>
  <c r="F40" i="17" a="1"/>
  <c r="C260" i="13" a="1"/>
  <c r="U21" i="17" a="1"/>
  <c r="M38" i="17" a="1"/>
  <c r="E31" i="13" a="1"/>
  <c r="C264" i="13" a="1"/>
  <c r="P21" i="17" a="1"/>
  <c r="T22" i="17" a="1"/>
  <c r="C262" i="13" a="1"/>
  <c r="AV20" i="17" a="1"/>
  <c r="Q23" i="17" a="1"/>
  <c r="N17" i="23" a="1"/>
  <c r="AJ20" i="17" a="1"/>
  <c r="U22" i="17" a="1"/>
  <c r="T21" i="17" a="1"/>
  <c r="Q21" i="17" a="1"/>
  <c r="D261" i="13" a="1"/>
  <c r="S26" i="17" a="1"/>
  <c r="R26" i="17" a="1"/>
  <c r="Q25" i="17" a="1"/>
  <c r="T23" i="17" a="1"/>
  <c r="R18" i="21" a="1"/>
  <c r="D259" i="13" a="1"/>
  <c r="F42" i="17" a="1"/>
  <c r="AE100" i="15" a="1"/>
  <c r="E17" i="21" a="1"/>
  <c r="E17" i="20" a="1"/>
  <c r="R24" i="17" a="1"/>
  <c r="X17" i="23" a="1"/>
  <c r="U24" i="17" a="1"/>
  <c r="R23" i="17" a="1"/>
  <c r="P26" i="17" a="1"/>
  <c r="E17" i="23" a="1"/>
  <c r="P24" i="17" a="1"/>
  <c r="D260" i="13" a="1"/>
  <c r="BA19" i="14" a="1"/>
  <c r="AI79" i="13" a="1"/>
  <c r="U23" i="17" a="1"/>
  <c r="BO19" i="14" a="1"/>
  <c r="S17" i="21" a="1"/>
  <c r="S17" i="23" a="1"/>
  <c r="R100" i="15" a="1"/>
  <c r="U25" i="17" a="1"/>
  <c r="BD63" i="5" a="1"/>
  <c r="BG40" i="5" a="1"/>
  <c r="X50" i="15" a="1"/>
  <c r="R21" i="23" a="1"/>
  <c r="S19" i="23" a="1"/>
  <c r="S20" i="23" a="1"/>
  <c r="S21" i="23" a="1"/>
  <c r="R18" i="23" a="1"/>
  <c r="R19" i="23" a="1"/>
  <c r="R20" i="2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B21" i="17" a="1"/>
  <c r="AB24" i="17" a="1"/>
  <c r="H39" i="17" a="1"/>
  <c r="Y24" i="17" a="1"/>
  <c r="BI19" i="14" a="1"/>
  <c r="AB17" i="21" a="1"/>
  <c r="AB22" i="17" a="1"/>
  <c r="Z21" i="17" a="1"/>
  <c r="AC25" i="17" a="1"/>
  <c r="AB17" i="23" a="1"/>
  <c r="S18" i="21" a="1"/>
  <c r="J20" i="20" a="1"/>
  <c r="AJ100" i="15" a="1"/>
  <c r="H41" i="17" a="1"/>
  <c r="S18" i="23" a="1"/>
  <c r="S38" i="17" a="1"/>
  <c r="AD26" i="17" a="1"/>
  <c r="I20" i="20" a="1"/>
  <c r="H40" i="17" a="1"/>
  <c r="Z26" i="17" a="1"/>
  <c r="AA21" i="17" a="1"/>
  <c r="J19" i="20" a="1"/>
  <c r="AD25" i="17" a="1"/>
  <c r="AB17" i="20" a="1"/>
  <c r="H43" i="17" a="1"/>
  <c r="AC24" i="17" a="1"/>
  <c r="AC22" i="17" a="1"/>
  <c r="BW19" i="14" a="1"/>
  <c r="J18" i="20" a="1"/>
  <c r="G55" i="13" a="1"/>
  <c r="AK17" i="21" a="1"/>
  <c r="Z23" i="17" a="1"/>
  <c r="I19" i="20" a="1"/>
  <c r="R17" i="23" a="1"/>
  <c r="AD22" i="17" a="1"/>
  <c r="AK17" i="23" a="1"/>
  <c r="AC23" i="17" a="1"/>
  <c r="AB26" i="17" a="1"/>
  <c r="AA25" i="17" a="1"/>
  <c r="AD23" i="17" a="1"/>
  <c r="AP20" i="17" a="1"/>
  <c r="AD21" i="17" a="1"/>
  <c r="AQ79" i="13" a="1"/>
  <c r="Y23" i="17" a="1"/>
  <c r="H38" i="17" a="1"/>
  <c r="Y22" i="17" a="1"/>
  <c r="AC26" i="17" a="1"/>
  <c r="I17" i="20" a="1"/>
  <c r="AD24" i="17" a="1"/>
  <c r="I17" i="23" a="1"/>
  <c r="Y26" i="17" a="1"/>
  <c r="G43" i="13" a="1"/>
  <c r="Z25" i="17" a="1"/>
  <c r="AA23" i="17" a="1"/>
  <c r="Y21" i="17" a="1"/>
  <c r="R19" i="21" a="1"/>
  <c r="AB25" i="17" a="1"/>
  <c r="I18" i="20" a="1"/>
  <c r="Y25" i="17" a="1"/>
  <c r="R20" i="21" a="1"/>
  <c r="U100" i="15" a="1"/>
  <c r="AA26" i="17" a="1"/>
  <c r="AC21" i="17" a="1"/>
  <c r="AA24" i="17" a="1"/>
  <c r="J100" i="15" a="1"/>
  <c r="I17" i="21" a="1"/>
  <c r="N79" i="13" a="1"/>
  <c r="AA22" i="17" a="1"/>
  <c r="Z24" i="17" a="1"/>
  <c r="H42" i="17" a="1"/>
  <c r="G67" i="13" a="1"/>
  <c r="BB20" i="17" a="1"/>
  <c r="R17" i="21" a="1"/>
  <c r="G31" i="13" a="1"/>
  <c r="Z22" i="17" a="1"/>
  <c r="AB23" i="17" a="1"/>
  <c r="AM17" i="20" a="1"/>
  <c r="R19" i="21" l="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E262" i="13" a="1"/>
  <c r="C12" i="23" a="1"/>
  <c r="C26" i="13" a="1"/>
  <c r="C62" i="13" a="1"/>
  <c r="E263" i="13" a="1"/>
  <c r="C12" i="21" a="1"/>
  <c r="E261" i="13" a="1"/>
  <c r="C95" i="15" a="1"/>
  <c r="E264" i="13" a="1"/>
  <c r="J17" i="20" a="1"/>
  <c r="E259" i="13" a="1"/>
  <c r="E258" i="13" a="1"/>
  <c r="E260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4" i="21" a="1"/>
  <c r="C4" i="23" a="1"/>
  <c r="C31" i="17" a="1"/>
  <c r="C253" i="1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B244" i="13" a="1"/>
  <c r="L245" i="13" s="1" a="1"/>
  <c r="AE19" i="14" a="1"/>
  <c r="O247" i="13" a="1"/>
  <c r="O244" i="13" a="1"/>
  <c r="BM43" i="14" a="1"/>
  <c r="S186" i="13" a="1"/>
  <c r="M247" i="13" a="1"/>
  <c r="O245" i="13" a="1"/>
  <c r="L248" i="13" a="1"/>
  <c r="AI124" i="13" a="1"/>
  <c r="M124" i="13" a="1"/>
  <c r="F34" i="15" a="1"/>
  <c r="F20" i="15" a="1"/>
  <c r="AM19" i="14" a="1"/>
  <c r="AB94" i="13" a="1"/>
  <c r="O248" i="13" a="1"/>
  <c r="G188" i="13" a="1"/>
  <c r="M245" i="13" a="1"/>
  <c r="S94" i="13" a="1"/>
  <c r="E35" i="9" a="1"/>
  <c r="N246" i="13" a="1"/>
  <c r="N19" i="14" a="1"/>
  <c r="G191" i="13" a="1"/>
  <c r="AB109" i="13" a="1"/>
  <c r="AA213" i="13" a="1"/>
  <c r="AI43" i="14" a="1"/>
  <c r="N247" i="13" a="1"/>
  <c r="M244" i="13" a="1"/>
  <c r="L247" i="13" a="1"/>
  <c r="S213" i="13" a="1"/>
  <c r="E17" i="19" a="1"/>
  <c r="L246" i="13" a="1"/>
  <c r="AR20" i="15" a="1"/>
  <c r="C4" i="20" a="1"/>
  <c r="G192" i="13" a="1"/>
  <c r="M246" i="13" a="1"/>
  <c r="L213" i="13" a="1"/>
  <c r="AU43" i="14" a="1"/>
  <c r="U124" i="13" a="1"/>
  <c r="T20" i="15" a="1"/>
  <c r="AF20" i="15" a="1"/>
  <c r="G194" i="13" a="1"/>
  <c r="G190" i="13" a="1"/>
  <c r="G193" i="13" a="1"/>
  <c r="L186" i="13" a="1"/>
  <c r="O246" i="13" a="1"/>
  <c r="N245" i="13" a="1"/>
  <c r="J43" i="14" a="1"/>
  <c r="W19" i="14" a="1"/>
  <c r="N248" i="13" a="1"/>
  <c r="CC19" i="14" a="1"/>
  <c r="W43" i="14" a="1"/>
  <c r="B229" i="13" a="1"/>
  <c r="F19" i="14" a="1"/>
  <c r="M248" i="13" a="1"/>
  <c r="T34" i="15" a="1"/>
  <c r="G187" i="13" a="1"/>
  <c r="T219" i="5" a="1"/>
  <c r="T101" i="5" a="1"/>
  <c r="W221" i="5" a="1"/>
  <c r="W217" i="5" a="1"/>
  <c r="W220" i="5" a="1"/>
  <c r="X222" i="5" a="1"/>
  <c r="U221" i="5" a="1"/>
  <c r="V223" i="5" a="1"/>
  <c r="V217" i="5" a="1"/>
  <c r="W219" i="5" a="1"/>
  <c r="T95" i="5" a="1"/>
  <c r="V221" i="5" a="1"/>
  <c r="T97" i="5" a="1"/>
  <c r="T98" i="5" a="1"/>
  <c r="U219" i="5" a="1"/>
  <c r="U218" i="5" a="1"/>
  <c r="T90" i="5" a="1"/>
  <c r="V222" i="5" a="1"/>
  <c r="W218" i="5" a="1"/>
  <c r="T99" i="5" a="1"/>
  <c r="X220" i="5" a="1"/>
  <c r="T221" i="5" a="1"/>
  <c r="T91" i="5" a="1"/>
  <c r="T100" i="5" a="1"/>
  <c r="M50" i="15" a="1"/>
  <c r="T102" i="5" a="1"/>
  <c r="T88" i="5" a="1"/>
  <c r="U222" i="5" a="1"/>
  <c r="X219" i="5" a="1"/>
  <c r="T220" i="5" a="1"/>
  <c r="X217" i="5" a="1"/>
  <c r="X221" i="5" a="1"/>
  <c r="T89" i="5" a="1"/>
  <c r="T92" i="5" a="1"/>
  <c r="U223" i="5" a="1"/>
  <c r="T218" i="5" a="1"/>
  <c r="T93" i="5" a="1"/>
  <c r="U220" i="5" a="1"/>
  <c r="V219" i="5" a="1"/>
  <c r="W223" i="5" a="1"/>
  <c r="W222" i="5" a="1"/>
  <c r="V218" i="5" a="1"/>
  <c r="V220" i="5" a="1"/>
  <c r="T217" i="5" a="1"/>
  <c r="X223" i="5" a="1"/>
  <c r="X218" i="5" a="1"/>
  <c r="T223" i="5" a="1"/>
  <c r="U217" i="5" a="1"/>
  <c r="T87" i="5" a="1"/>
  <c r="T222" i="5" a="1"/>
  <c r="T103" i="5" a="1"/>
  <c r="T94" i="5" a="1"/>
  <c r="T96" i="5" a="1"/>
  <c r="AC35" i="1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L245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D36" i="15" a="1"/>
  <c r="U216" i="13" a="1"/>
  <c r="N214" i="13" a="1"/>
  <c r="M21" i="15" a="1"/>
  <c r="AC34" i="15" a="1"/>
  <c r="AJ109" i="13" a="1"/>
  <c r="N201" i="13" a="1"/>
  <c r="AK43" i="14" a="1"/>
  <c r="N198" i="13" a="1"/>
  <c r="AB36" i="15" a="1"/>
  <c r="N192" i="13" a="1"/>
  <c r="G189" i="13" a="1"/>
  <c r="N203" i="13" a="1"/>
  <c r="N194" i="13" a="1"/>
  <c r="N202" i="13" a="1"/>
  <c r="G215" i="13" a="1"/>
  <c r="N215" i="13" a="1"/>
  <c r="N196" i="13" a="1"/>
  <c r="O124" i="13" a="1"/>
  <c r="X17" i="19" a="1"/>
  <c r="G214" i="13" a="1"/>
  <c r="W109" i="13" a="1"/>
  <c r="N186" i="13" a="1"/>
  <c r="AC124" i="13" a="1"/>
  <c r="N188" i="13" a="1"/>
  <c r="I233" i="13" a="1"/>
  <c r="W94" i="13" a="1"/>
  <c r="H232" i="13" a="1"/>
  <c r="AU19" i="14" a="1"/>
  <c r="Y43" i="14" a="1"/>
  <c r="N217" i="13" a="1"/>
  <c r="H230" i="13" a="1"/>
  <c r="G213" i="13" a="1"/>
  <c r="N199" i="13" a="1"/>
  <c r="U79" i="13" a="1"/>
  <c r="N189" i="13" a="1"/>
  <c r="AZ20" i="15" a="1"/>
  <c r="AB35" i="15" a="1"/>
  <c r="N216" i="13" a="1"/>
  <c r="L22" i="15" a="1"/>
  <c r="U213" i="13" a="1"/>
  <c r="N190" i="13" a="1"/>
  <c r="BU43" i="14" a="1"/>
  <c r="I232" i="13" a="1"/>
  <c r="I229" i="13" a="1"/>
  <c r="H233" i="13" a="1"/>
  <c r="G94" i="13" a="1"/>
  <c r="N22" i="15" a="1"/>
  <c r="N191" i="13" a="1"/>
  <c r="AG19" i="14" a="1"/>
  <c r="M34" i="15" a="1"/>
  <c r="H19" i="14" a="1"/>
  <c r="AC36" i="15" a="1"/>
  <c r="N109" i="13" a="1"/>
  <c r="N200" i="13" a="1"/>
  <c r="CI19" i="14" a="1"/>
  <c r="N187" i="13" a="1"/>
  <c r="BC43" i="14" a="1"/>
  <c r="L43" i="14" a="1"/>
  <c r="AA186" i="13" a="1"/>
  <c r="N197" i="13" a="1"/>
  <c r="H229" i="13" a="1"/>
  <c r="Y19" i="14" a="1"/>
  <c r="N20" i="15" a="1"/>
  <c r="N193" i="13" a="1"/>
  <c r="U215" i="13" a="1"/>
  <c r="I230" i="13" a="1"/>
  <c r="U214" i="13" a="1"/>
  <c r="M35" i="15" a="1"/>
  <c r="AD34" i="15" a="1"/>
  <c r="G186" i="13" a="1"/>
  <c r="N213" i="13" a="1"/>
  <c r="M22" i="15" a="1"/>
  <c r="P19" i="14" a="1"/>
  <c r="I231" i="13" a="1"/>
  <c r="U217" i="13" a="1"/>
  <c r="AL20" i="15" a="1"/>
  <c r="N195" i="13" a="1"/>
  <c r="L20" i="15" a="1"/>
  <c r="N244" i="13" a="1"/>
  <c r="AJ94" i="13" a="1"/>
  <c r="Q17" i="19" a="1"/>
  <c r="G109" i="13" a="1"/>
  <c r="L21" i="15" a="1"/>
  <c r="L34" i="15" a="1"/>
  <c r="N21" i="15" a="1"/>
  <c r="AD35" i="15" a="1"/>
  <c r="G216" i="13" a="1"/>
  <c r="H231" i="13" a="1"/>
  <c r="AS124" i="13" a="1"/>
  <c r="L35" i="15" a="1"/>
  <c r="L244" i="13" a="1"/>
  <c r="AI213" i="13" a="1"/>
  <c r="Z20" i="15" a="1"/>
  <c r="AB34" i="15" a="1"/>
  <c r="H17" i="19" a="1"/>
  <c r="G124" i="13" a="1"/>
  <c r="M20" i="15" a="1"/>
  <c r="G217" i="13" a="1"/>
  <c r="C203" i="5" a="1"/>
  <c r="AD36" i="15" l="1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04" i="13" a="1"/>
  <c r="C28" i="15" a="1"/>
  <c r="C119" i="13" a="1"/>
  <c r="S17" i="19" a="1"/>
  <c r="C181" i="13" a="1"/>
  <c r="C14" i="14" a="1"/>
  <c r="C38" i="14" a="1"/>
  <c r="C239" i="13" a="1"/>
  <c r="Z17" i="19" a="1"/>
  <c r="C224" i="13" a="1"/>
  <c r="C208" i="13" a="1"/>
  <c r="C89" i="13" a="1"/>
  <c r="C15" i="15" a="1"/>
  <c r="C74" i="13" a="1"/>
  <c r="C17" i="17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3" a="1"/>
  <c r="C13" i="17" a="1"/>
  <c r="C4" i="14" a="1"/>
  <c r="C12" i="19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57" i="1"/>
  <c r="C48" i="1"/>
  <c r="C54" i="1"/>
  <c r="C52" i="1"/>
  <c r="C50" i="1"/>
  <c r="B55" i="1"/>
  <c r="B53" i="1"/>
  <c r="B51" i="1"/>
  <c r="B49" i="1"/>
  <c r="B47" i="1"/>
  <c r="C62" i="2"/>
  <c r="E64" i="2"/>
  <c r="C6" i="2" a="1"/>
  <c r="J32" i="9" a="1"/>
  <c r="O76" i="9" a="1"/>
  <c r="J208" i="9" a="1"/>
  <c r="E208" i="9" a="1"/>
  <c r="J76" i="9" a="1"/>
  <c r="E98" i="9" a="1"/>
  <c r="O208" i="9" a="1"/>
  <c r="O120" i="9" a="1"/>
  <c r="E186" i="9" a="1"/>
  <c r="O54" i="9" a="1"/>
  <c r="C208" i="9" a="1"/>
  <c r="O230" i="9" a="1"/>
  <c r="R230" i="9" a="1"/>
  <c r="O98" i="9" a="1"/>
  <c r="O186" i="9" a="1"/>
  <c r="C54" i="9" a="1"/>
  <c r="O32" i="9" a="1"/>
  <c r="C230" i="9" a="1"/>
  <c r="U230" i="9" a="1"/>
  <c r="C98" i="9" a="1"/>
  <c r="O164" i="9" a="1"/>
  <c r="C120" i="9" a="1"/>
  <c r="E120" i="9" a="1"/>
  <c r="L230" i="9" a="1"/>
  <c r="F230" i="9" a="1"/>
  <c r="I230" i="9" a="1"/>
  <c r="E164" i="9" a="1"/>
  <c r="E76" i="9" a="1"/>
  <c r="J142" i="9" a="1"/>
  <c r="J54" i="9" a="1"/>
  <c r="E142" i="9" a="1"/>
  <c r="C186" i="9" a="1"/>
  <c r="J164" i="9" a="1"/>
  <c r="J186" i="9" a="1"/>
  <c r="C32" i="9" a="1"/>
  <c r="C142" i="9" a="1"/>
  <c r="C76" i="9" a="1"/>
  <c r="J98" i="9" a="1"/>
  <c r="E54" i="9" a="1"/>
  <c r="C164" i="9" a="1"/>
  <c r="O142" i="9" a="1"/>
  <c r="J120" i="9" a="1"/>
  <c r="V125" i="5" a="1"/>
  <c r="V123" i="5" a="1"/>
  <c r="BE64" i="5" a="1"/>
  <c r="BN41" i="5" a="1"/>
  <c r="BP39" i="5" a="1"/>
  <c r="BM40" i="5" a="1"/>
  <c r="BG41" i="5" a="1"/>
  <c r="V103" i="5" a="1"/>
  <c r="T139" i="5" a="1"/>
  <c r="X133" i="5" a="1"/>
  <c r="W133" i="5" a="1"/>
  <c r="W89" i="5" a="1"/>
  <c r="K178" i="5" a="1"/>
  <c r="U91" i="5" a="1"/>
  <c r="W131" i="5" a="1"/>
  <c r="BQ42" i="5" a="1"/>
  <c r="BP43" i="5" a="1"/>
  <c r="U99" i="5" a="1"/>
  <c r="BL65" i="5" a="1"/>
  <c r="X95" i="5" a="1"/>
  <c r="BJ42" i="5" a="1"/>
  <c r="BN67" i="5" a="1"/>
  <c r="X100" i="5" a="1"/>
  <c r="V96" i="5" a="1"/>
  <c r="U138" i="5" a="1"/>
  <c r="BF43" i="5" a="1"/>
  <c r="BH66" i="5" a="1"/>
  <c r="BM64" i="5" a="1"/>
  <c r="D51" i="1" a="1"/>
  <c r="BO66" i="5" a="1"/>
  <c r="X134" i="5" a="1"/>
  <c r="BT67" i="5" a="1"/>
  <c r="W88" i="5" a="1"/>
  <c r="V126" i="5" a="1"/>
  <c r="BO41" i="5" a="1"/>
  <c r="X198" i="5" a="1"/>
  <c r="X91" i="5" a="1"/>
  <c r="W96" i="5" a="1"/>
  <c r="BL40" i="5" a="1"/>
  <c r="BD66" i="5" a="1"/>
  <c r="BK40" i="5" a="1"/>
  <c r="T197" i="5" a="1"/>
  <c r="BT43" i="5" a="1"/>
  <c r="BQ41" i="5" a="1"/>
  <c r="U124" i="5" a="1"/>
  <c r="W123" i="5" a="1"/>
  <c r="W139" i="5" a="1"/>
  <c r="W95" i="5" a="1"/>
  <c r="BI65" i="5" a="1"/>
  <c r="X94" i="5" a="1"/>
  <c r="X125" i="5" a="1"/>
  <c r="BQ67" i="5" a="1"/>
  <c r="BJ67" i="5" a="1"/>
  <c r="BS63" i="5" a="1"/>
  <c r="BT65" i="5" a="1"/>
  <c r="BL42" i="5" a="1"/>
  <c r="V132" i="5" a="1"/>
  <c r="X97" i="5" a="1"/>
  <c r="W124" i="5" a="1"/>
  <c r="BQ40" i="5" a="1"/>
  <c r="E52" i="1" a="1"/>
  <c r="X138" i="5" a="1"/>
  <c r="BI66" i="5" a="1"/>
  <c r="BG65" i="5" a="1"/>
  <c r="E54" i="1" a="1"/>
  <c r="T129" i="5" a="1"/>
  <c r="V128" i="5" a="1"/>
  <c r="V98" i="5" a="1"/>
  <c r="V198" i="5" a="1"/>
  <c r="T133" i="5" a="1"/>
  <c r="U137" i="5" a="1"/>
  <c r="BE63" i="5" a="1"/>
  <c r="BI67" i="5" a="1"/>
  <c r="BE39" i="5" a="1"/>
  <c r="L159" i="5" a="1"/>
  <c r="BL39" i="5" a="1"/>
  <c r="L158" i="5" a="1"/>
  <c r="W130" i="5" a="1"/>
  <c r="BN43" i="5" a="1"/>
  <c r="W92" i="5" a="1"/>
  <c r="V133" i="5" a="1"/>
  <c r="BS39" i="5" a="1"/>
  <c r="BS65" i="5" a="1"/>
  <c r="X123" i="5" a="1"/>
  <c r="BO64" i="5" a="1"/>
  <c r="BO67" i="5" a="1"/>
  <c r="BH40" i="5" a="1"/>
  <c r="L178" i="5" a="1"/>
  <c r="V101" i="5" a="1"/>
  <c r="X92" i="5" a="1"/>
  <c r="V135" i="5" a="1"/>
  <c r="I22" i="11" a="1"/>
  <c r="BE65" i="5" a="1"/>
  <c r="K179" i="5" a="1"/>
  <c r="BK41" i="5" a="1"/>
  <c r="BO65" i="5" a="1"/>
  <c r="U123" i="5" a="1"/>
  <c r="BP41" i="5" a="1"/>
  <c r="W128" i="5" a="1"/>
  <c r="D53" i="1" a="1"/>
  <c r="U94" i="5" a="1"/>
  <c r="V136" i="5" a="1"/>
  <c r="BI39" i="5" a="1"/>
  <c r="V89" i="5" a="1"/>
  <c r="BJ40" i="5" a="1"/>
  <c r="K159" i="5" a="1"/>
  <c r="T136" i="5" a="1"/>
  <c r="BF40" i="5" a="1"/>
  <c r="BN39" i="5" a="1"/>
  <c r="BO63" i="5" a="1"/>
  <c r="W99" i="5" a="1"/>
  <c r="BQ64" i="5" a="1"/>
  <c r="BR39" i="5" a="1"/>
  <c r="T130" i="5" a="1"/>
  <c r="E56" i="1" a="1"/>
  <c r="BQ39" i="5" a="1"/>
  <c r="BP42" i="5" a="1"/>
  <c r="W127" i="5" a="1"/>
  <c r="BF42" i="5" a="1"/>
  <c r="BH42" i="5" a="1"/>
  <c r="V137" i="5" a="1"/>
  <c r="X136" i="5" a="1"/>
  <c r="BH41" i="5" a="1"/>
  <c r="U97" i="5" a="1"/>
  <c r="BO40" i="5" a="1"/>
  <c r="BR66" i="5" a="1"/>
  <c r="T131" i="5" a="1"/>
  <c r="BT66" i="5" a="1"/>
  <c r="K181" i="5" a="1"/>
  <c r="BN42" i="5" a="1"/>
  <c r="BF63" i="5" a="1"/>
  <c r="BE66" i="5" a="1"/>
  <c r="W135" i="5" a="1"/>
  <c r="U134" i="5" a="1"/>
  <c r="U100" i="5" a="1"/>
  <c r="BI43" i="5" a="1"/>
  <c r="BD67" i="5" a="1"/>
  <c r="T134" i="5" a="1"/>
  <c r="W125" i="5" a="1"/>
  <c r="V197" i="5" a="1"/>
  <c r="X102" i="5" a="1"/>
  <c r="BP67" i="5" a="1"/>
  <c r="V91" i="5" a="1"/>
  <c r="BS66" i="5" a="1"/>
  <c r="U130" i="5" a="1"/>
  <c r="U139" i="5" a="1"/>
  <c r="BL64" i="5" a="1"/>
  <c r="BD42" i="5" a="1"/>
  <c r="V131" i="5" a="1"/>
  <c r="BS42" i="5" a="1"/>
  <c r="V92" i="5" a="1"/>
  <c r="V139" i="5" a="1"/>
  <c r="X129" i="5" a="1"/>
  <c r="BD40" i="5" a="1"/>
  <c r="U87" i="5" a="1"/>
  <c r="D49" i="1" a="1"/>
  <c r="BT64" i="5" a="1"/>
  <c r="W129" i="5" a="1"/>
  <c r="U197" i="5" a="1"/>
  <c r="BG63" i="5" a="1"/>
  <c r="BR41" i="5" a="1"/>
  <c r="X88" i="5" a="1"/>
  <c r="K161" i="5" a="1"/>
  <c r="W198" i="5" a="1"/>
  <c r="T128" i="5" a="1"/>
  <c r="T127" i="5" a="1"/>
  <c r="BE42" i="5" a="1"/>
  <c r="W98" i="5" a="1"/>
  <c r="BJ65" i="5" a="1"/>
  <c r="U125" i="5" a="1"/>
  <c r="BG64" i="5" a="1"/>
  <c r="BR67" i="5" a="1"/>
  <c r="BQ43" i="5" a="1"/>
  <c r="X96" i="5" a="1"/>
  <c r="BT41" i="5" a="1"/>
  <c r="BG66" i="5" a="1"/>
  <c r="BF64" i="5" a="1"/>
  <c r="W90" i="5" a="1"/>
  <c r="BG42" i="5" a="1"/>
  <c r="V94" i="5" a="1"/>
  <c r="BJ43" i="5" a="1"/>
  <c r="BT42" i="5" a="1"/>
  <c r="BM43" i="5" a="1"/>
  <c r="X139" i="5" a="1"/>
  <c r="BR64" i="5" a="1"/>
  <c r="BP66" i="5" a="1"/>
  <c r="BL41" i="5" a="1"/>
  <c r="W91" i="5" a="1"/>
  <c r="V87" i="5" a="1"/>
  <c r="K160" i="5" a="1"/>
  <c r="BH39" i="5" a="1"/>
  <c r="BD64" i="5" a="1"/>
  <c r="BK67" i="5" a="1"/>
  <c r="D57" i="1" a="1"/>
  <c r="T132" i="5" a="1"/>
  <c r="BD39" i="5" a="1"/>
  <c r="U96" i="5" a="1"/>
  <c r="W137" i="5" a="1"/>
  <c r="V129" i="5" a="1"/>
  <c r="U90" i="5" a="1"/>
  <c r="U92" i="5" a="1"/>
  <c r="U133" i="5" a="1"/>
  <c r="X101" i="5" a="1"/>
  <c r="V90" i="5" a="1"/>
  <c r="BR65" i="5" a="1"/>
  <c r="BI41" i="5" a="1"/>
  <c r="BL66" i="5" a="1"/>
  <c r="BR63" i="5" a="1"/>
  <c r="BK66" i="5" a="1"/>
  <c r="BH43" i="5" a="1"/>
  <c r="E50" i="1" a="1"/>
  <c r="V97" i="5" a="1"/>
  <c r="W97" i="5" a="1"/>
  <c r="BN40" i="5" a="1"/>
  <c r="BM67" i="5" a="1"/>
  <c r="U132" i="5" a="1"/>
  <c r="X135" i="5" a="1"/>
  <c r="K158" i="5" a="1"/>
  <c r="BN65" i="5" a="1"/>
  <c r="BH64" i="5" a="1"/>
  <c r="K177" i="5" a="1"/>
  <c r="X131" i="5" a="1"/>
  <c r="V127" i="5" a="1"/>
  <c r="W100" i="5" a="1"/>
  <c r="U126" i="5" a="1"/>
  <c r="W103" i="5" a="1"/>
  <c r="T135" i="5" a="1"/>
  <c r="U88" i="5" a="1"/>
  <c r="BJ41" i="5" a="1"/>
  <c r="BJ64" i="5" a="1"/>
  <c r="BM42" i="5" a="1"/>
  <c r="BS41" i="5" a="1"/>
  <c r="BM39" i="5" a="1"/>
  <c r="BM63" i="5" a="1"/>
  <c r="BO39" i="5" a="1"/>
  <c r="BH63" i="5" a="1"/>
  <c r="X93" i="5" a="1"/>
  <c r="BS43" i="5" a="1"/>
  <c r="BN66" i="5" a="1"/>
  <c r="BQ65" i="5" a="1"/>
  <c r="U136" i="5" a="1"/>
  <c r="BO42" i="5" a="1"/>
  <c r="X197" i="5" a="1"/>
  <c r="BL43" i="5" a="1"/>
  <c r="L160" i="5" a="1"/>
  <c r="X89" i="5" a="1"/>
  <c r="V100" i="5" a="1"/>
  <c r="X126" i="5" a="1"/>
  <c r="V102" i="5" a="1"/>
  <c r="BF67" i="5" a="1"/>
  <c r="BE43" i="5" a="1"/>
  <c r="X99" i="5" a="1"/>
  <c r="U127" i="5" a="1"/>
  <c r="BG39" i="5" a="1"/>
  <c r="U102" i="5" a="1"/>
  <c r="W136" i="5" a="1"/>
  <c r="BN64" i="5" a="1"/>
  <c r="BP40" i="5" a="1"/>
  <c r="D47" i="1" a="1"/>
  <c r="U135" i="5" a="1"/>
  <c r="BE41" i="5" a="1"/>
  <c r="T137" i="5" a="1"/>
  <c r="X137" i="5" a="1"/>
  <c r="X87" i="5" a="1"/>
  <c r="BJ39" i="5" a="1"/>
  <c r="X103" i="5" a="1"/>
  <c r="BF41" i="5" a="1"/>
  <c r="V93" i="5" a="1"/>
  <c r="BF66" i="5" a="1"/>
  <c r="BR43" i="5" a="1"/>
  <c r="BN63" i="5" a="1"/>
  <c r="V130" i="5" a="1"/>
  <c r="T123" i="5" a="1"/>
  <c r="T126" i="5" a="1"/>
  <c r="BE40" i="5" a="1"/>
  <c r="U101" i="5" a="1"/>
  <c r="BK43" i="5" a="1"/>
  <c r="U103" i="5" a="1"/>
  <c r="V88" i="5" a="1"/>
  <c r="U131" i="5" a="1"/>
  <c r="X124" i="5" a="1"/>
  <c r="BG43" i="5" a="1"/>
  <c r="T124" i="5" a="1"/>
  <c r="V124" i="5" a="1"/>
  <c r="BK64" i="5" a="1"/>
  <c r="V95" i="5" a="1"/>
  <c r="BF65" i="5" a="1"/>
  <c r="BS67" i="5" a="1"/>
  <c r="BD65" i="5" a="1"/>
  <c r="BM66" i="5" a="1"/>
  <c r="X130" i="5" a="1"/>
  <c r="T125" i="5" a="1"/>
  <c r="BI63" i="5" a="1"/>
  <c r="L157" i="5" a="1"/>
  <c r="W126" i="5" a="1"/>
  <c r="W93" i="5" a="1"/>
  <c r="U198" i="5" a="1"/>
  <c r="V99" i="5" a="1"/>
  <c r="L177" i="5" a="1"/>
  <c r="BI42" i="5" a="1"/>
  <c r="BM65" i="5" a="1"/>
  <c r="W101" i="5" a="1"/>
  <c r="BO43" i="5" a="1"/>
  <c r="BL63" i="5" a="1"/>
  <c r="X90" i="5" a="1"/>
  <c r="BG67" i="5" a="1"/>
  <c r="W132" i="5" a="1"/>
  <c r="BE67" i="5" a="1"/>
  <c r="BD43" i="5" a="1"/>
  <c r="K157" i="5" a="1"/>
  <c r="E48" i="1" a="1"/>
  <c r="BT63" i="5" a="1"/>
  <c r="U129" i="5" a="1"/>
  <c r="X132" i="5" a="1"/>
  <c r="L161" i="5" a="1"/>
  <c r="BS40" i="5" a="1"/>
  <c r="W134" i="5" a="1"/>
  <c r="BF39" i="5" a="1"/>
  <c r="BJ63" i="5" a="1"/>
  <c r="L181" i="5" a="1"/>
  <c r="T138" i="5" a="1"/>
  <c r="U98" i="5" a="1"/>
  <c r="BI64" i="5" a="1"/>
  <c r="BP63" i="5" a="1"/>
  <c r="BM41" i="5" a="1"/>
  <c r="X98" i="5" a="1"/>
  <c r="BK39" i="5" a="1"/>
  <c r="BK65" i="5" a="1"/>
  <c r="BR40" i="5" a="1"/>
  <c r="BI40" i="5" a="1"/>
  <c r="U89" i="5" a="1"/>
  <c r="BQ66" i="5" a="1"/>
  <c r="BL67" i="5" a="1"/>
  <c r="U128" i="5" a="1"/>
  <c r="V134" i="5" a="1"/>
  <c r="X127" i="5" a="1"/>
  <c r="W138" i="5" a="1"/>
  <c r="L179" i="5" a="1"/>
  <c r="L180" i="5" a="1"/>
  <c r="BH65" i="5" a="1"/>
  <c r="D55" i="1" a="1"/>
  <c r="BR42" i="5" a="1"/>
  <c r="W102" i="5" a="1"/>
  <c r="BT40" i="5" a="1"/>
  <c r="W87" i="5" a="1"/>
  <c r="BH67" i="5" a="1"/>
  <c r="K180" i="5" a="1"/>
  <c r="BS64" i="5" a="1"/>
  <c r="W197" i="5" a="1"/>
  <c r="U93" i="5" a="1"/>
  <c r="BP65" i="5" a="1"/>
  <c r="BK42" i="5" a="1"/>
  <c r="BJ66" i="5" a="1"/>
  <c r="BT39" i="5" a="1"/>
  <c r="BK63" i="5" a="1"/>
  <c r="I27" i="11" a="1"/>
  <c r="BD41" i="5" a="1"/>
  <c r="V138" i="5" a="1"/>
  <c r="T198" i="5" a="1"/>
  <c r="X128" i="5" a="1"/>
  <c r="BQ63" i="5" a="1"/>
  <c r="BP64" i="5" a="1"/>
  <c r="W94" i="5" a="1"/>
  <c r="U95" i="5" a="1"/>
  <c r="E50" i="1" l="1"/>
  <c r="E52" i="1"/>
  <c r="E48" i="1"/>
  <c r="E54" i="1"/>
  <c r="E56" i="1"/>
  <c r="D47" i="1"/>
  <c r="D49" i="1"/>
  <c r="D51" i="1"/>
  <c r="D53" i="1"/>
  <c r="D55" i="1"/>
  <c r="D57" i="1"/>
  <c r="C53" i="1"/>
  <c r="C55" i="1"/>
  <c r="C57" i="1"/>
  <c r="C51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49" i="1"/>
  <c r="E62" i="2"/>
  <c r="D62" i="2" a="1"/>
  <c r="D64" i="2" a="1"/>
  <c r="P137" i="9" a="1"/>
  <c r="K203" i="9" a="1"/>
  <c r="P49" i="9" a="1"/>
  <c r="F71" i="9" a="1"/>
  <c r="C115" i="9" a="1"/>
  <c r="K115" i="9" a="1"/>
  <c r="F27" i="9" a="1"/>
  <c r="P203" i="9" a="1"/>
  <c r="P181" i="9" a="1"/>
  <c r="F203" i="9" a="1"/>
  <c r="K27" i="9" a="1"/>
  <c r="I225" i="9" a="1"/>
  <c r="C181" i="9" a="1"/>
  <c r="R225" i="9" a="1"/>
  <c r="K71" i="9" a="1"/>
  <c r="O225" i="9" a="1"/>
  <c r="K181" i="9" a="1"/>
  <c r="C27" i="9" a="1"/>
  <c r="K49" i="9" a="1"/>
  <c r="C93" i="9" a="1"/>
  <c r="P115" i="9" a="1"/>
  <c r="C137" i="9" a="1"/>
  <c r="P27" i="9" a="1"/>
  <c r="L225" i="9" a="1"/>
  <c r="F115" i="9" a="1"/>
  <c r="F181" i="9" a="1"/>
  <c r="U225" i="9" a="1"/>
  <c r="K159" i="9" a="1"/>
  <c r="F49" i="9" a="1"/>
  <c r="C159" i="9" a="1"/>
  <c r="F137" i="9" a="1"/>
  <c r="P93" i="9" a="1"/>
  <c r="F93" i="9" a="1"/>
  <c r="P71" i="9" a="1"/>
  <c r="C71" i="9" a="1"/>
  <c r="F225" i="9" a="1"/>
  <c r="K93" i="9" a="1"/>
  <c r="P159" i="9" a="1"/>
  <c r="C203" i="9" a="1"/>
  <c r="C225" i="9" a="1"/>
  <c r="C49" i="9" a="1"/>
  <c r="K137" i="9" a="1"/>
  <c r="F159" i="9" a="1"/>
  <c r="C144" i="5" a="1"/>
  <c r="I25" i="11" a="1"/>
  <c r="E49" i="1" a="1"/>
  <c r="I26" i="11" a="1"/>
  <c r="C24" i="5" a="1"/>
  <c r="C48" i="5" a="1"/>
  <c r="E55" i="1" a="1"/>
  <c r="E51" i="1" a="1"/>
  <c r="I23" i="11" a="1"/>
  <c r="E53" i="1" a="1"/>
  <c r="E57" i="1" a="1"/>
  <c r="E47" i="1" a="1"/>
  <c r="J22" i="11" a="1"/>
  <c r="C108" i="5" a="1"/>
  <c r="C166" i="5" a="1"/>
  <c r="C186" i="5" a="1"/>
  <c r="H17" i="2" a="1"/>
  <c r="I24" i="11" a="1"/>
  <c r="C72" i="5" a="1"/>
  <c r="E47" i="1" l="1"/>
  <c r="E51" i="1"/>
  <c r="E49" i="1"/>
  <c r="E57" i="1"/>
  <c r="E55" i="1"/>
  <c r="E53" i="1"/>
  <c r="C24" i="5"/>
  <c r="C7" i="5" s="1"/>
  <c r="I23" i="11"/>
  <c r="I25" i="11"/>
  <c r="J22" i="11"/>
  <c r="I26" i="11"/>
  <c r="I24" i="11"/>
  <c r="H23" i="11"/>
  <c r="H25" i="11"/>
  <c r="H26" i="11" s="1"/>
  <c r="H24" i="1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F64" i="2" a="1"/>
  <c r="F62" i="2" a="1"/>
  <c r="C21" i="9" a="1"/>
  <c r="C153" i="9" a="1"/>
  <c r="C43" i="9" a="1"/>
  <c r="C87" i="9" a="1"/>
  <c r="C197" i="9" a="1"/>
  <c r="C131" i="9" a="1"/>
  <c r="C109" i="9" a="1"/>
  <c r="C175" i="9" a="1"/>
  <c r="C65" i="9" a="1"/>
  <c r="C219" i="9" a="1"/>
  <c r="J26" i="11" a="1"/>
  <c r="J24" i="11" a="1"/>
  <c r="J25" i="11" a="1"/>
  <c r="C4" i="5" a="1"/>
  <c r="J23" i="11" a="1"/>
  <c r="C43" i="1" a="1"/>
  <c r="G21" i="2" a="1"/>
  <c r="C43" i="1" l="1"/>
  <c r="H13" i="3"/>
  <c r="C4" i="5"/>
  <c r="C42" i="8" s="1"/>
  <c r="J26" i="11"/>
  <c r="J24" i="11"/>
  <c r="J23" i="11"/>
  <c r="J25" i="11"/>
  <c r="H27" i="1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C39" i="1" a="1"/>
  <c r="J27" i="11" a="1"/>
  <c r="C15" i="1" a="1"/>
  <c r="C39" i="1" l="1"/>
  <c r="C15" i="1"/>
  <c r="C7" i="1" s="1"/>
  <c r="J27" i="11"/>
  <c r="C4" i="9"/>
  <c r="C43" i="8" s="1"/>
  <c r="C58" i="2"/>
  <c r="C20" i="11" a="1"/>
  <c r="C4" i="1" a="1"/>
  <c r="C4" i="1" l="1"/>
  <c r="C20" i="11"/>
  <c r="D10" i="11" s="1"/>
  <c r="C6" i="11" a="1"/>
  <c r="C6" i="11" l="1"/>
  <c r="C33" i="8" l="1"/>
  <c r="D46" i="26" a="1"/>
  <c r="AI44" i="3" a="1"/>
  <c r="AJ44" i="3" a="1"/>
  <c r="AJ51" i="3" l="1"/>
  <c r="AJ48" i="3"/>
  <c r="AJ44" i="3"/>
  <c r="AJ45" i="3"/>
  <c r="AJ46" i="3"/>
  <c r="AJ49" i="3"/>
  <c r="AJ50" i="3"/>
  <c r="AJ47" i="3"/>
  <c r="AI50" i="3"/>
  <c r="AI45" i="3"/>
  <c r="AI49" i="3"/>
  <c r="AI46" i="3"/>
  <c r="AI47" i="3"/>
  <c r="AI51" i="3"/>
  <c r="AI48" i="3"/>
  <c r="AI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H56" i="3" l="1" a="1"/>
  <c r="AH56" i="3" s="1"/>
  <c r="AH59" i="3"/>
  <c r="AH55" i="3"/>
  <c r="AH58" i="3"/>
  <c r="AH57" i="3"/>
  <c r="AH60" i="3"/>
  <c r="AJ60" i="3" a="1"/>
  <c r="AJ59" i="3" a="1"/>
  <c r="AJ58" i="3" a="1"/>
  <c r="AJ56" i="3" a="1"/>
  <c r="AJ55" i="3" a="1"/>
  <c r="AJ57" i="3" a="1"/>
  <c r="AJ60" i="3" l="1"/>
  <c r="AJ57" i="3"/>
  <c r="AJ58" i="3"/>
  <c r="AJ55" i="3"/>
  <c r="AJ59" i="3"/>
  <c r="AJ56" i="3"/>
  <c r="AC25" i="3" a="1"/>
  <c r="H19" i="3" l="1"/>
  <c r="AC25" i="3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<sst xmlns="http://schemas.openxmlformats.org/spreadsheetml/2006/main" count="5024" uniqueCount="742">
  <si>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</si>
  <si>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</si>
  <si>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</si>
  <si>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</si>
  <si>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</si>
  <si>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</si>
  <si>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</si>
  <si>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</si>
  <si>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</si>
  <si>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</si>
  <si>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</si>
  <si>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</si>
  <si>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</si>
  <si>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</si>
  <si>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</si>
  <si>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</si>
  <si>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</si>
  <si>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</si>
  <si>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</si>
  <si>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</si>
  <si>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</si>
  <si>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</si>
  <si>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</si>
  <si>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</si>
  <si>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</si>
  <si>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</si>
  <si>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</si>
  <si>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</si>
  <si>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</si>
  <si>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</si>
  <si>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</si>
  <si>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</si>
  <si>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</si>
  <si>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</si>
  <si>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</si>
  <si>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</si>
  <si>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</si>
  <si>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</si>
  <si>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</si>
  <si>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</si>
  <si>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</si>
  <si>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</si>
  <si>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</si>
  <si>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</si>
  <si>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</si>
  <si>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</si>
  <si>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</si>
  <si>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</si>
  <si>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</si>
  <si>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</si>
  <si>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</si>
  <si>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</si>
  <si>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</si>
  <si>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</si>
  <si>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</si>
  <si>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</si>
  <si>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</si>
  <si>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</si>
  <si>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</si>
  <si>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</si>
  <si>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</si>
  <si>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</si>
  <si>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</si>
  <si>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</si>
  <si>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</si>
  <si>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</si>
  <si>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</si>
  <si>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</si>
  <si>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</si>
  <si>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</si>
  <si>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</si>
  <si>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</si>
  <si>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</si>
  <si>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</si>
  <si>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</si>
  <si>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</si>
  <si>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</si>
  <si>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</si>
  <si>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</si>
  <si>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</si>
  <si>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</si>
  <si>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</si>
  <si>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</si>
  <si>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</si>
  <si>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</si>
  <si>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</si>
  <si>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</si>
  <si>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</si>
  <si>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</si>
  <si>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</si>
  <si>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</si>
  <si>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</si>
  <si>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</si>
  <si>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</si>
  <si>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</si>
  <si>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</si>
  <si>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</si>
  <si>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</si>
  <si>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</si>
  <si>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</si>
  <si>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</si>
  <si>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</si>
  <si>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</si>
  <si>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</si>
  <si>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</si>
  <si>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</si>
  <si>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</si>
  <si>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</si>
  <si>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</si>
  <si>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</si>
  <si>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</si>
  <si>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</si>
  <si>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</si>
  <si>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</si>
  <si>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</si>
  <si>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</si>
  <si>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</si>
  <si>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</si>
  <si>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</si>
  <si>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</si>
  <si>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</si>
  <si>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</si>
  <si>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</si>
  <si>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</si>
  <si>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</si>
  <si>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</si>
  <si>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</si>
  <si>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</si>
  <si>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</si>
  <si>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</si>
  <si>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</si>
  <si>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</si>
  <si>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</si>
  <si>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</si>
  <si>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</si>
  <si>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</si>
  <si>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</si>
  <si>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</si>
  <si>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</si>
  <si>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</si>
  <si>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</si>
  <si>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</si>
  <si>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</si>
  <si>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</si>
  <si>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</si>
  <si>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</si>
  <si>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</si>
  <si>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</si>
  <si>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</si>
  <si>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</si>
  <si>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</si>
  <si>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</si>
  <si>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</si>
  <si>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</si>
  <si>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</si>
  <si>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</si>
  <si>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</si>
  <si>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</si>
  <si>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</si>
  <si>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</si>
  <si>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</si>
  <si>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</si>
  <si>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</si>
  <si>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</si>
  <si>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</si>
  <si>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</si>
  <si>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</si>
  <si>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</si>
  <si>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</si>
  <si>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</si>
  <si>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</si>
  <si>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</si>
  <si>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</si>
  <si>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</si>
  <si>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</si>
  <si>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</si>
  <si>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</si>
  <si>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</si>
  <si>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</si>
  <si>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</si>
  <si>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</si>
  <si>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</si>
  <si>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</si>
  <si>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</si>
  <si>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</si>
  <si>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</si>
  <si>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</si>
  <si>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</si>
  <si>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</si>
  <si>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</si>
  <si>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</si>
  <si>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</si>
  <si>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</si>
  <si>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</si>
  <si>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</si>
  <si>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</si>
  <si>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</si>
  <si>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</si>
  <si>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</si>
  <si>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</si>
  <si>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</si>
  <si>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</si>
  <si>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</si>
  <si>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</si>
  <si>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</si>
  <si>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</si>
  <si>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</si>
  <si>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</si>
  <si>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</si>
  <si>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</si>
  <si>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</si>
  <si>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</si>
  <si>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</si>
  <si>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</si>
  <si>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</si>
  <si>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</si>
  <si>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</si>
  <si>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</si>
  <si>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</si>
  <si>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</si>
  <si>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</si>
  <si>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</si>
  <si>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</si>
  <si>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</si>
  <si>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</si>
  <si>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</si>
  <si>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</si>
  <si>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</si>
  <si>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</si>
  <si>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</si>
  <si>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</si>
  <si>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</si>
  <si>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</si>
  <si>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</si>
  <si>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</si>
  <si>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</si>
  <si>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</si>
  <si>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</si>
  <si>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</si>
  <si>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</si>
  <si>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</si>
  <si>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</si>
  <si>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</si>
  <si>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</si>
  <si>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</si>
  <si>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</si>
  <si>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</si>
  <si>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</si>
  <si>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</si>
  <si>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</si>
  <si>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</si>
  <si>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</si>
  <si>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</si>
  <si>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</si>
  <si>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</si>
  <si>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</si>
  <si>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</si>
  <si>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</si>
  <si>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</si>
  <si>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</si>
  <si>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</si>
  <si>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</si>
  <si>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</si>
  <si>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</si>
  <si>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</si>
  <si>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</si>
  <si>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</si>
  <si>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</si>
  <si>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</si>
  <si>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</si>
  <si>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</si>
  <si>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</si>
  <si>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</si>
  <si>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</si>
  <si>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</si>
  <si>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</si>
  <si>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</si>
  <si>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</si>
  <si>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</si>
  <si>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</si>
  <si>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</si>
  <si>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</si>
  <si>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</si>
  <si>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</si>
  <si>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</si>
  <si>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</si>
  <si>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</si>
  <si>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</si>
  <si>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</si>
  <si>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</si>
  <si>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</si>
  <si>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</si>
  <si>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</si>
  <si>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</si>
  <si>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</si>
  <si>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</si>
  <si>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</si>
  <si>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</si>
  <si>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</si>
  <si>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</si>
  <si>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</si>
  <si>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</si>
  <si>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</si>
  <si>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</si>
  <si>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</si>
  <si>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</si>
  <si>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</si>
  <si>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</si>
  <si>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</si>
  <si>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</si>
  <si>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</si>
  <si>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</si>
  <si>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</si>
  <si>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</si>
  <si>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</si>
  <si>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</si>
  <si>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</si>
  <si>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</si>
  <si>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</si>
  <si>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</si>
  <si>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</si>
  <si>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</si>
  <si>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</si>
  <si>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</si>
  <si>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</si>
  <si>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</si>
  <si>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</si>
  <si>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</si>
  <si>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</si>
  <si>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</si>
  <si>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</si>
  <si>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</si>
  <si>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</si>
  <si>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</si>
  <si>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</si>
  <si>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</si>
  <si>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</si>
  <si>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</si>
  <si>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</si>
  <si>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</si>
  <si>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</si>
  <si>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</si>
  <si>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</si>
  <si>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</si>
  <si>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</si>
  <si>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</si>
  <si>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</si>
  <si>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</si>
  <si>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</si>
  <si>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</si>
  <si>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</si>
  <si>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</si>
  <si>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</si>
  <si>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</si>
  <si>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</si>
  <si>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</si>
  <si>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</si>
  <si>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</si>
  <si>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</si>
  <si>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</si>
  <si>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</si>
  <si>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</si>
  <si>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</si>
  <si>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</si>
  <si>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</si>
  <si>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</si>
  <si>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</si>
  <si>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</si>
  <si>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</si>
  <si>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</si>
  <si>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</si>
  <si>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</si>
  <si>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</si>
  <si>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</si>
  <si>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</si>
  <si>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</si>
  <si>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</si>
  <si>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</si>
  <si>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</si>
  <si>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</si>
  <si>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</si>
  <si>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</si>
  <si>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</si>
  <si>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</si>
  <si>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</si>
  <si>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</si>
  <si>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</si>
  <si>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</si>
  <si>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</si>
  <si>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</si>
  <si>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</si>
  <si>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</si>
  <si>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</si>
  <si>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</si>
  <si>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</si>
  <si>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</si>
  <si>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</si>
  <si>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</si>
  <si>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</si>
  <si>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</si>
  <si>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</si>
  <si>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</si>
  <si>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</si>
  <si>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</si>
  <si>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</si>
  <si>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</si>
  <si>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</si>
  <si>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</si>
  <si>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</si>
  <si>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</si>
  <si>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</si>
  <si>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</si>
  <si>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</si>
  <si>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</si>
  <si>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</si>
  <si>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</si>
  <si>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</si>
  <si>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</si>
  <si>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</si>
  <si>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</si>
  <si>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</si>
  <si>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</si>
  <si>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</si>
  <si>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</si>
  <si>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</si>
  <si>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</si>
  <si>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</si>
  <si>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</si>
  <si>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</si>
  <si>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</si>
  <si>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</si>
  <si>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</si>
  <si>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</si>
  <si>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</si>
  <si>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</si>
  <si>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</si>
  <si>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</si>
  <si>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</si>
  <si>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</si>
  <si>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</si>
  <si>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</si>
  <si>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</si>
  <si>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</si>
  <si>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</si>
  <si>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</si>
  <si>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</si>
  <si>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</si>
  <si>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</si>
  <si>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</si>
  <si>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</si>
  <si>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</si>
  <si>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</si>
  <si>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</si>
  <si>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</si>
  <si>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</si>
  <si>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</si>
  <si>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</si>
  <si>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</si>
  <si>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</si>
  <si>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</si>
  <si>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</si>
  <si>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</si>
  <si>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</si>
  <si>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</si>
  <si>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</si>
  <si>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</si>
  <si>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</si>
  <si>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</si>
  <si>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</si>
  <si>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</si>
  <si>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</si>
  <si>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</si>
  <si>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</si>
  <si>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</si>
  <si>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</si>
  <si>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</si>
  <si>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</si>
  <si>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</si>
  <si>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</si>
  <si>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</si>
  <si>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</si>
  <si>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</si>
  <si>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</si>
  <si>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</si>
  <si>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</si>
  <si>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</si>
  <si>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</si>
  <si>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</si>
  <si>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</si>
  <si>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</si>
  <si>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</si>
  <si>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</si>
  <si>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</si>
  <si>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</si>
  <si>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</si>
  <si>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</si>
  <si>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</si>
  <si>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</si>
  <si>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</si>
  <si>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</si>
  <si>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</si>
  <si>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</si>
  <si>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</si>
  <si>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</si>
  <si>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</si>
  <si>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</si>
  <si>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</si>
  <si>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</si>
  <si>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</si>
  <si>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</si>
  <si>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</si>
  <si>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</si>
  <si>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</si>
  <si>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</si>
  <si>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</si>
  <si>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</si>
  <si>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</si>
  <si>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</si>
  <si>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</si>
  <si>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</si>
  <si>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</si>
  <si>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</si>
  <si>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</si>
  <si>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</si>
  <si>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</si>
  <si>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</si>
  <si>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</si>
  <si>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</si>
  <si>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</si>
  <si>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</si>
  <si>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</si>
  <si>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</si>
  <si>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</si>
  <si>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</si>
  <si>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</si>
  <si>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</si>
  <si>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</si>
  <si>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</si>
  <si>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</si>
  <si>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</si>
  <si>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</si>
  <si>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</si>
  <si>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</si>
  <si>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</si>
  <si>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</si>
  <si>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</si>
  <si>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</si>
  <si>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</si>
  <si>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</si>
  <si>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</si>
  <si>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</si>
  <si>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</si>
  <si>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</si>
  <si>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</si>
  <si>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</si>
  <si>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</si>
  <si>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</si>
  <si>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</si>
  <si>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</si>
  <si>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</si>
  <si>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</si>
  <si>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</si>
  <si>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</si>
  <si>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</si>
  <si>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</si>
  <si>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</si>
  <si>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</si>
  <si>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</si>
  <si>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</si>
  <si>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</si>
  <si>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</si>
  <si>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</si>
  <si>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</si>
  <si>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</si>
  <si>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</si>
  <si>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</si>
  <si>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</si>
  <si>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</si>
  <si>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</si>
  <si>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</si>
  <si>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</si>
  <si>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</si>
  <si>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</si>
  <si>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</si>
  <si>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</si>
  <si>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</si>
  <si>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</si>
  <si>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</si>
  <si>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</si>
  <si>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</si>
  <si>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</si>
  <si>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</si>
  <si>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</si>
  <si>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</si>
  <si>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</si>
  <si>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</si>
  <si>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</si>
  <si>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</si>
  <si>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</si>
  <si>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</si>
  <si>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</si>
  <si>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</si>
  <si>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</si>
  <si>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</si>
  <si>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</si>
  <si>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</si>
  <si>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</si>
  <si>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</si>
  <si>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</si>
  <si>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</si>
  <si>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</si>
  <si>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</si>
  <si>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</si>
  <si>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</si>
  <si>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</si>
  <si>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</si>
  <si>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</si>
  <si>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</si>
  <si>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</si>
  <si>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</si>
  <si>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</si>
  <si>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</si>
  <si>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</si>
  <si>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</si>
  <si>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</si>
  <si>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</si>
  <si>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</si>
  <si>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</si>
  <si>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</si>
  <si>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</si>
  <si>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</si>
  <si>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</si>
  <si>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</si>
  <si>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</si>
  <si>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</si>
  <si>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</si>
  <si>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</si>
  <si>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</si>
  <si>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</si>
  <si>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</si>
  <si>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</si>
  <si>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</si>
  <si>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</si>
  <si>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</si>
  <si>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</si>
  <si>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</si>
  <si>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</si>
  <si>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</si>
  <si>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</si>
  <si>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</si>
  <si>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</si>
  <si>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</si>
  <si>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</si>
  <si>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</si>
  <si>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</si>
  <si>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</si>
  <si>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</si>
  <si>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</si>
  <si>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</si>
  <si>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</si>
  <si>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</si>
  <si>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</si>
  <si>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</si>
  <si>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</si>
  <si>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</si>
  <si>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</si>
  <si>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</si>
  <si>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</si>
  <si>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</si>
  <si>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</si>
  <si>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</si>
  <si>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</si>
  <si>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</si>
  <si>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</si>
  <si>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</si>
  <si>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</si>
  <si>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</si>
  <si>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</si>
  <si>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</si>
  <si>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</si>
  <si>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</si>
  <si>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</si>
  <si>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</si>
  <si>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</si>
  <si>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</si>
  <si>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</si>
  <si>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</si>
  <si>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</si>
  <si>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</si>
  <si>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</si>
  <si>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</si>
  <si>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</si>
  <si>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</si>
  <si>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</si>
  <si>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</si>
  <si>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</si>
  <si>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</si>
  <si>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</si>
  <si>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</si>
  <si>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</si>
  <si>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</si>
  <si>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</si>
  <si>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</si>
  <si>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</si>
  <si>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</si>
  <si>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</si>
  <si>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</si>
  <si>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</si>
  <si>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</si>
  <si>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</si>
  <si>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</si>
  <si>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</si>
  <si>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</si>
  <si>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</si>
  <si>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</si>
  <si>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</si>
  <si>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</si>
  <si>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</si>
  <si>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</si>
  <si>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</si>
  <si>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</si>
  <si>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</si>
  <si>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</si>
  <si>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</si>
  <si>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</si>
  <si>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</si>
  <si>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</si>
  <si>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</si>
  <si>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</si>
  <si>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</si>
  <si>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</si>
  <si>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BaseCurrencyIndexName</t>
  </si>
  <si>
    <t>QuoteCurrencyIndexName</t>
  </si>
  <si>
    <t>BaseCurrencyIndexTenor</t>
  </si>
  <si>
    <t>QuoteCurrencyIndexTenor</t>
  </si>
  <si>
    <t>SpotFx</t>
  </si>
  <si>
    <t>Cross Currency Swaps</t>
  </si>
  <si>
    <t>BasisSpreads</t>
  </si>
  <si>
    <t>FixingDays</t>
  </si>
  <si>
    <t>BaseCurrencyDiscountCurve</t>
  </si>
  <si>
    <t>BaseCurrencyForecastCurve</t>
  </si>
  <si>
    <t>QuoteCurrencyForecastCurve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</si>
</sst>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8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</borders>
  <cellStyleXfs count="65">
    <xf numFmtId="0" fontId="0" fillId="0" borderId="0"/>
    <xf numFmtId="0" fontId="31" fillId="0" borderId="1" applyNumberFormat="0" applyFill="0" applyAlignment="0" applyProtection="0"/>
    <xf numFmtId="0" fontId="45" fillId="0" borderId="83" applyNumberFormat="0" applyFill="0" applyAlignment="0" applyProtection="0"/>
    <xf numFmtId="0" fontId="46" fillId="0" borderId="84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3" fillId="0" borderId="0"/>
    <xf numFmtId="43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78" fillId="0" borderId="0"/>
    <xf numFmtId="0" fontId="78" fillId="17" borderId="0" applyNumberFormat="0" applyBorder="0" applyAlignment="0" applyProtection="0"/>
    <xf numFmtId="0" fontId="78" fillId="19" borderId="0" applyNumberFormat="0" applyBorder="0" applyAlignment="0" applyProtection="0"/>
    <xf numFmtId="0" fontId="78" fillId="21" borderId="0" applyNumberFormat="0" applyBorder="0" applyAlignment="0" applyProtection="0"/>
    <xf numFmtId="0" fontId="78" fillId="23" borderId="0" applyNumberFormat="0" applyBorder="0" applyAlignment="0" applyProtection="0"/>
    <xf numFmtId="0" fontId="78" fillId="25" borderId="0" applyNumberFormat="0" applyBorder="0" applyAlignment="0" applyProtection="0"/>
    <xf numFmtId="0" fontId="78" fillId="27" borderId="0" applyNumberFormat="0" applyBorder="0" applyAlignment="0" applyProtection="0"/>
    <xf numFmtId="0" fontId="79" fillId="28" borderId="0" applyNumberFormat="0" applyBorder="0" applyProtection="0">
      <alignment horizontal="center"/>
    </xf>
    <xf numFmtId="0" fontId="79" fillId="29" borderId="0" applyNumberFormat="0" applyBorder="0" applyProtection="0">
      <alignment horizontal="center"/>
    </xf>
    <xf numFmtId="0" fontId="79" fillId="30" borderId="0" applyNumberFormat="0" applyBorder="0" applyProtection="0">
      <alignment horizontal="center"/>
    </xf>
    <xf numFmtId="0" fontId="79" fillId="31" borderId="0" applyNumberFormat="0" applyBorder="0" applyProtection="0">
      <alignment horizontal="center"/>
    </xf>
    <xf numFmtId="0" fontId="79" fillId="32" borderId="0" applyNumberFormat="0" applyBorder="0" applyProtection="0">
      <alignment horizontal="center"/>
    </xf>
    <xf numFmtId="0" fontId="79" fillId="33" borderId="0" applyNumberFormat="0" applyBorder="0" applyProtection="0">
      <alignment horizontal="center"/>
    </xf>
    <xf numFmtId="0" fontId="79" fillId="34" borderId="0" applyNumberFormat="0" applyBorder="0" applyProtection="0">
      <alignment horizontal="center"/>
    </xf>
    <xf numFmtId="0" fontId="79" fillId="35" borderId="0" applyNumberFormat="0" applyBorder="0" applyProtection="0">
      <alignment horizontal="center"/>
    </xf>
    <xf numFmtId="0" fontId="79" fillId="36" borderId="0" applyNumberFormat="0" applyBorder="0" applyProtection="0">
      <alignment horizontal="center"/>
    </xf>
    <xf numFmtId="0" fontId="79" fillId="37" borderId="0" applyNumberFormat="0" applyBorder="0" applyProtection="0">
      <alignment horizontal="center"/>
    </xf>
    <xf numFmtId="0" fontId="79" fillId="38" borderId="0" applyNumberFormat="0" applyBorder="0" applyProtection="0">
      <alignment horizontal="center"/>
    </xf>
    <xf numFmtId="0" fontId="79" fillId="39" borderId="0" applyNumberFormat="0" applyBorder="0" applyProtection="0">
      <alignment horizontal="center"/>
    </xf>
    <xf numFmtId="0" fontId="79" fillId="16" borderId="0" applyNumberFormat="0" applyBorder="0" applyProtection="0">
      <alignment horizontal="center"/>
    </xf>
    <xf numFmtId="0" fontId="79" fillId="18" borderId="0" applyNumberFormat="0" applyBorder="0" applyProtection="0">
      <alignment horizontal="center"/>
    </xf>
    <xf numFmtId="0" fontId="79" fillId="20" borderId="0" applyNumberFormat="0" applyBorder="0" applyProtection="0">
      <alignment horizontal="center"/>
    </xf>
    <xf numFmtId="0" fontId="79" fillId="22" borderId="0" applyNumberFormat="0" applyBorder="0" applyProtection="0">
      <alignment horizontal="center"/>
    </xf>
    <xf numFmtId="0" fontId="79" fillId="24" borderId="0" applyNumberFormat="0" applyBorder="0" applyProtection="0">
      <alignment horizontal="center"/>
    </xf>
    <xf numFmtId="0" fontId="79" fillId="26" borderId="0" applyNumberFormat="0" applyBorder="0" applyProtection="0">
      <alignment horizontal="center"/>
    </xf>
    <xf numFmtId="0" fontId="80" fillId="11" borderId="0" applyNumberFormat="0" applyBorder="0" applyAlignment="0" applyProtection="0"/>
    <xf numFmtId="0" fontId="81" fillId="14" borderId="170" applyNumberFormat="0" applyAlignment="0" applyProtection="0"/>
    <xf numFmtId="0" fontId="79" fillId="15" borderId="173" applyNumberFormat="0" applyAlignment="0" applyProtection="0"/>
    <xf numFmtId="43" fontId="53" fillId="0" borderId="0" applyFont="0" applyFill="0" applyBorder="0" applyAlignment="0" applyProtection="0"/>
    <xf numFmtId="165" fontId="78" fillId="0" borderId="0" applyFont="0" applyFill="0" applyBorder="0" applyAlignment="0" applyProtection="0"/>
    <xf numFmtId="164" fontId="78" fillId="0" borderId="0" applyFont="0" applyFill="0" applyBorder="0" applyAlignment="0" applyProtection="0"/>
    <xf numFmtId="0" fontId="82" fillId="0" borderId="0" applyNumberFormat="0" applyFill="0" applyBorder="0" applyAlignment="0" applyProtection="0"/>
    <xf numFmtId="0" fontId="83" fillId="10" borderId="0" applyNumberFormat="0" applyBorder="0" applyAlignment="0" applyProtection="0"/>
    <xf numFmtId="0" fontId="84" fillId="0" borderId="0" applyNumberFormat="0" applyFill="0" applyAlignment="0" applyProtection="0"/>
    <xf numFmtId="0" fontId="85" fillId="0" borderId="0" applyFill="0" applyAlignment="0" applyProtection="0"/>
    <xf numFmtId="0" fontId="86" fillId="0" borderId="0" applyFill="0" applyAlignment="0" applyProtection="0"/>
    <xf numFmtId="0" fontId="87" fillId="0" borderId="0" applyFill="0" applyAlignment="0" applyProtection="0"/>
    <xf numFmtId="0" fontId="88" fillId="0" borderId="0" applyFill="0" applyAlignment="0" applyProtection="0"/>
    <xf numFmtId="0" fontId="89" fillId="0" borderId="0" applyNumberFormat="0" applyFill="0" applyAlignment="0" applyProtection="0"/>
    <xf numFmtId="0" fontId="90" fillId="0" borderId="0" applyNumberFormat="0" applyFill="0" applyAlignment="0" applyProtection="0"/>
    <xf numFmtId="0" fontId="91" fillId="0" borderId="0" applyNumberFormat="0" applyFill="0" applyAlignment="0" applyProtection="0"/>
    <xf numFmtId="0" fontId="92" fillId="13" borderId="170" applyNumberFormat="0" applyAlignment="0" applyProtection="0"/>
    <xf numFmtId="0" fontId="93" fillId="0" borderId="172" applyNumberFormat="0" applyFill="0" applyAlignment="0" applyProtection="0"/>
    <xf numFmtId="0" fontId="94" fillId="12" borderId="0" applyNumberFormat="0" applyBorder="0" applyAlignment="0" applyProtection="0"/>
    <xf numFmtId="0" fontId="95" fillId="14" borderId="171" applyNumberFormat="0" applyAlignment="0" applyProtection="0"/>
    <xf numFmtId="10" fontId="42" fillId="0" borderId="0" applyFont="0" applyFill="0" applyBorder="0" applyAlignment="0" applyProtection="0"/>
    <xf numFmtId="0" fontId="96" fillId="0" borderId="0" applyNumberFormat="0" applyFill="0" applyBorder="0" applyProtection="0">
      <alignment horizontal="center"/>
    </xf>
    <xf numFmtId="0" fontId="97" fillId="0" borderId="0" applyNumberFormat="0" applyFill="0" applyBorder="0" applyAlignment="0" applyProtection="0"/>
    <xf numFmtId="0" fontId="89" fillId="0" borderId="174" applyNumberFormat="0" applyFill="0" applyAlignment="0" applyProtection="0"/>
    <xf numFmtId="0" fontId="98" fillId="0" borderId="0" applyNumberFormat="0" applyFill="0" applyBorder="0" applyAlignment="0" applyProtection="0"/>
    <xf numFmtId="0" fontId="52" fillId="0" borderId="0"/>
    <xf numFmtId="0" fontId="99" fillId="12" borderId="0" applyNumberFormat="0" applyBorder="0" applyAlignment="0" applyProtection="0"/>
    <xf numFmtId="9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52" fillId="0" borderId="0"/>
    <xf numFmtId="0" fontId="107" fillId="0" borderId="190" applyNumberFormat="0" applyFill="0" applyAlignment="0" applyProtection="0"/>
  </cellStyleXfs>
  <cellXfs count="994">
    <xf numFmtId="0" fontId="0" fillId="0" borderId="0" xfId="0"/>
    <xf numFmtId="14" fontId="0" fillId="0" borderId="0" xfId="0" applyNumberFormat="1"/>
    <xf numFmtId="0" fontId="31" fillId="0" borderId="1" xfId="1"/>
    <xf numFmtId="0" fontId="45" fillId="0" borderId="83" xfId="2"/>
    <xf numFmtId="0" fontId="46" fillId="0" borderId="84" xfId="3"/>
    <xf numFmtId="166" fontId="0" fillId="0" borderId="0" xfId="0" applyNumberFormat="1"/>
    <xf numFmtId="167" fontId="0" fillId="0" borderId="0" xfId="0" applyNumberFormat="1"/>
    <xf numFmtId="0" fontId="32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3" fillId="0" borderId="9" xfId="0" applyNumberFormat="1" applyFont="1" applyBorder="1" applyAlignment="1">
      <alignment horizontal="right" vertical="center"/>
    </xf>
    <xf numFmtId="4" fontId="33" fillId="0" borderId="11" xfId="0" applyNumberFormat="1" applyFont="1" applyBorder="1" applyAlignment="1">
      <alignment horizontal="right" vertical="center"/>
    </xf>
    <xf numFmtId="4" fontId="33" fillId="0" borderId="13" xfId="0" applyNumberFormat="1" applyFont="1" applyBorder="1" applyAlignment="1">
      <alignment horizontal="right" vertical="center"/>
    </xf>
    <xf numFmtId="168" fontId="33" fillId="0" borderId="9" xfId="0" applyNumberFormat="1" applyFont="1" applyBorder="1" applyAlignment="1">
      <alignment horizontal="right" vertical="center"/>
    </xf>
    <xf numFmtId="168" fontId="33" fillId="0" borderId="11" xfId="0" applyNumberFormat="1" applyFont="1" applyBorder="1" applyAlignment="1">
      <alignment horizontal="right" vertical="center"/>
    </xf>
    <xf numFmtId="168" fontId="33" fillId="0" borderId="13" xfId="0" applyNumberFormat="1" applyFont="1" applyBorder="1" applyAlignment="1">
      <alignment horizontal="right" vertical="center"/>
    </xf>
    <xf numFmtId="169" fontId="33" fillId="0" borderId="10" xfId="0" applyNumberFormat="1" applyFont="1" applyBorder="1" applyAlignment="1">
      <alignment horizontal="right" vertical="center"/>
    </xf>
    <xf numFmtId="169" fontId="33" fillId="0" borderId="12" xfId="0" applyNumberFormat="1" applyFont="1" applyBorder="1" applyAlignment="1">
      <alignment horizontal="right" vertical="center"/>
    </xf>
    <xf numFmtId="169" fontId="33" fillId="0" borderId="14" xfId="0" applyNumberFormat="1" applyFont="1" applyBorder="1" applyAlignment="1">
      <alignment horizontal="right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4" fillId="3" borderId="6" xfId="0" applyFont="1" applyFill="1" applyBorder="1" applyAlignment="1">
      <alignment horizontal="centerContinuous" vertical="center"/>
    </xf>
    <xf numFmtId="4" fontId="33" fillId="0" borderId="15" xfId="0" applyNumberFormat="1" applyFont="1" applyBorder="1" applyAlignment="1">
      <alignment horizontal="right" vertical="center"/>
    </xf>
    <xf numFmtId="4" fontId="33" fillId="0" borderId="16" xfId="0" applyNumberFormat="1" applyFont="1" applyBorder="1" applyAlignment="1">
      <alignment horizontal="right" vertical="center"/>
    </xf>
    <xf numFmtId="4" fontId="33" fillId="0" borderId="17" xfId="0" applyNumberFormat="1" applyFont="1" applyBorder="1" applyAlignment="1">
      <alignment horizontal="right" vertical="center"/>
    </xf>
    <xf numFmtId="10" fontId="33" fillId="0" borderId="15" xfId="0" applyNumberFormat="1" applyFont="1" applyBorder="1" applyAlignment="1">
      <alignment horizontal="right" vertical="center"/>
    </xf>
    <xf numFmtId="10" fontId="33" fillId="0" borderId="16" xfId="0" applyNumberFormat="1" applyFont="1" applyBorder="1" applyAlignment="1">
      <alignment horizontal="right" vertical="center"/>
    </xf>
    <xf numFmtId="10" fontId="33" fillId="0" borderId="17" xfId="0" applyNumberFormat="1" applyFont="1" applyBorder="1" applyAlignment="1">
      <alignment horizontal="right" vertical="center"/>
    </xf>
    <xf numFmtId="10" fontId="33" fillId="0" borderId="10" xfId="0" applyNumberFormat="1" applyFont="1" applyBorder="1" applyAlignment="1">
      <alignment horizontal="right" vertical="center"/>
    </xf>
    <xf numFmtId="10" fontId="33" fillId="0" borderId="12" xfId="0" applyNumberFormat="1" applyFont="1" applyBorder="1" applyAlignment="1">
      <alignment horizontal="right" vertical="center"/>
    </xf>
    <xf numFmtId="10" fontId="33" fillId="0" borderId="14" xfId="0" applyNumberFormat="1" applyFont="1" applyBorder="1" applyAlignment="1">
      <alignment horizontal="right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4" fillId="3" borderId="0" xfId="0" applyFont="1" applyFill="1" applyBorder="1" applyAlignment="1">
      <alignment horizontal="centerContinuous" vertical="center"/>
    </xf>
    <xf numFmtId="0" fontId="33" fillId="0" borderId="0" xfId="0" applyFont="1"/>
    <xf numFmtId="0" fontId="34" fillId="4" borderId="20" xfId="0" applyFont="1" applyFill="1" applyBorder="1" applyAlignment="1">
      <alignment horizontal="center" vertical="center"/>
    </xf>
    <xf numFmtId="0" fontId="34" fillId="4" borderId="21" xfId="0" applyFont="1" applyFill="1" applyBorder="1" applyAlignment="1">
      <alignment horizontal="center" vertical="center"/>
    </xf>
    <xf numFmtId="0" fontId="34" fillId="4" borderId="22" xfId="0" applyFont="1" applyFill="1" applyBorder="1" applyAlignment="1">
      <alignment horizontal="center" vertical="center"/>
    </xf>
    <xf numFmtId="168" fontId="33" fillId="0" borderId="0" xfId="0" applyNumberFormat="1" applyFont="1"/>
    <xf numFmtId="169" fontId="33" fillId="0" borderId="15" xfId="0" applyNumberFormat="1" applyFont="1" applyBorder="1" applyAlignment="1">
      <alignment horizontal="right" vertical="center"/>
    </xf>
    <xf numFmtId="169" fontId="33" fillId="0" borderId="16" xfId="0" applyNumberFormat="1" applyFont="1" applyBorder="1" applyAlignment="1">
      <alignment horizontal="right" vertical="center"/>
    </xf>
    <xf numFmtId="0" fontId="34" fillId="3" borderId="23" xfId="0" applyFont="1" applyFill="1" applyBorder="1" applyAlignment="1">
      <alignment horizontal="centerContinuous" vertical="center"/>
    </xf>
    <xf numFmtId="0" fontId="34" fillId="3" borderId="24" xfId="0" applyFont="1" applyFill="1" applyBorder="1" applyAlignment="1">
      <alignment horizontal="centerContinuous" vertical="center"/>
    </xf>
    <xf numFmtId="0" fontId="34" fillId="4" borderId="25" xfId="0" applyFont="1" applyFill="1" applyBorder="1" applyAlignment="1">
      <alignment horizontal="center" vertical="center"/>
    </xf>
    <xf numFmtId="0" fontId="34" fillId="4" borderId="26" xfId="0" applyFont="1" applyFill="1" applyBorder="1" applyAlignment="1">
      <alignment horizontal="center" vertical="center"/>
    </xf>
    <xf numFmtId="4" fontId="33" fillId="0" borderId="0" xfId="0" applyNumberFormat="1" applyFont="1"/>
    <xf numFmtId="0" fontId="0" fillId="0" borderId="0" xfId="0" applyBorder="1"/>
    <xf numFmtId="0" fontId="36" fillId="0" borderId="3" xfId="0" applyFont="1" applyBorder="1" applyAlignment="1">
      <alignment horizontal="centerContinuous"/>
    </xf>
    <xf numFmtId="0" fontId="35" fillId="2" borderId="0" xfId="0" applyFont="1" applyFill="1" applyAlignment="1">
      <alignment horizontal="centerContinuous" vertical="center"/>
    </xf>
    <xf numFmtId="0" fontId="38" fillId="0" borderId="0" xfId="0" applyFont="1"/>
    <xf numFmtId="0" fontId="39" fillId="0" borderId="0" xfId="0" applyFont="1"/>
    <xf numFmtId="4" fontId="33" fillId="0" borderId="10" xfId="0" applyNumberFormat="1" applyFont="1" applyBorder="1" applyAlignment="1">
      <alignment horizontal="right" vertical="center"/>
    </xf>
    <xf numFmtId="4" fontId="33" fillId="0" borderId="12" xfId="0" applyNumberFormat="1" applyFont="1" applyBorder="1" applyAlignment="1">
      <alignment horizontal="right" vertical="center"/>
    </xf>
    <xf numFmtId="4" fontId="33" fillId="0" borderId="14" xfId="0" applyNumberFormat="1" applyFont="1" applyBorder="1" applyAlignment="1">
      <alignment horizontal="right" vertical="center"/>
    </xf>
    <xf numFmtId="0" fontId="34" fillId="4" borderId="28" xfId="0" applyFont="1" applyFill="1" applyBorder="1" applyAlignment="1">
      <alignment horizontal="center" vertical="center"/>
    </xf>
    <xf numFmtId="0" fontId="34" fillId="4" borderId="29" xfId="0" applyFont="1" applyFill="1" applyBorder="1" applyAlignment="1">
      <alignment horizontal="center" vertical="center"/>
    </xf>
    <xf numFmtId="0" fontId="34" fillId="4" borderId="30" xfId="0" applyFont="1" applyFill="1" applyBorder="1" applyAlignment="1">
      <alignment horizontal="center" vertical="center"/>
    </xf>
    <xf numFmtId="0" fontId="31" fillId="0" borderId="1" xfId="1" applyFont="1"/>
    <xf numFmtId="9" fontId="33" fillId="0" borderId="34" xfId="0" applyNumberFormat="1" applyFont="1" applyBorder="1" applyAlignment="1">
      <alignment horizontal="right"/>
    </xf>
    <xf numFmtId="9" fontId="33" fillId="0" borderId="36" xfId="0" applyNumberFormat="1" applyFont="1" applyBorder="1" applyAlignment="1">
      <alignment horizontal="right"/>
    </xf>
    <xf numFmtId="168" fontId="33" fillId="0" borderId="31" xfId="0" applyNumberFormat="1" applyFont="1" applyBorder="1"/>
    <xf numFmtId="168" fontId="33" fillId="0" borderId="33" xfId="0" applyNumberFormat="1" applyFont="1" applyBorder="1"/>
    <xf numFmtId="168" fontId="33" fillId="0" borderId="37" xfId="0" applyNumberFormat="1" applyFont="1" applyBorder="1"/>
    <xf numFmtId="168" fontId="33" fillId="0" borderId="38" xfId="0" applyNumberFormat="1" applyFont="1" applyBorder="1"/>
    <xf numFmtId="0" fontId="0" fillId="0" borderId="38" xfId="0" applyBorder="1"/>
    <xf numFmtId="9" fontId="33" fillId="0" borderId="38" xfId="0" applyNumberFormat="1" applyFont="1" applyBorder="1" applyAlignment="1">
      <alignment horizontal="right"/>
    </xf>
    <xf numFmtId="9" fontId="33" fillId="0" borderId="39" xfId="0" applyNumberFormat="1" applyFont="1" applyBorder="1" applyAlignment="1">
      <alignment horizontal="right"/>
    </xf>
    <xf numFmtId="0" fontId="39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9" fillId="0" borderId="44" xfId="0" applyFont="1" applyBorder="1"/>
    <xf numFmtId="0" fontId="0" fillId="0" borderId="45" xfId="0" applyBorder="1"/>
    <xf numFmtId="4" fontId="41" fillId="5" borderId="0" xfId="0" applyNumberFormat="1" applyFont="1" applyFill="1" applyBorder="1" applyAlignment="1">
      <alignment horizontal="left" vertical="center"/>
    </xf>
    <xf numFmtId="0" fontId="34" fillId="4" borderId="46" xfId="0" applyFont="1" applyFill="1" applyBorder="1" applyAlignment="1">
      <alignment horizontal="center" vertical="center"/>
    </xf>
    <xf numFmtId="0" fontId="34" fillId="4" borderId="47" xfId="0" applyFont="1" applyFill="1" applyBorder="1" applyAlignment="1">
      <alignment horizontal="center" vertical="center"/>
    </xf>
    <xf numFmtId="0" fontId="34" fillId="4" borderId="48" xfId="0" applyFont="1" applyFill="1" applyBorder="1" applyAlignment="1">
      <alignment horizontal="center" vertical="center"/>
    </xf>
    <xf numFmtId="168" fontId="33" fillId="0" borderId="32" xfId="0" applyNumberFormat="1" applyFont="1" applyBorder="1"/>
    <xf numFmtId="168" fontId="33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3" fillId="0" borderId="33" xfId="0" applyNumberFormat="1" applyFont="1" applyBorder="1" applyAlignment="1">
      <alignment horizontal="right"/>
    </xf>
    <xf numFmtId="9" fontId="33" fillId="0" borderId="35" xfId="0" applyNumberFormat="1" applyFont="1" applyBorder="1" applyAlignment="1">
      <alignment horizontal="right"/>
    </xf>
    <xf numFmtId="171" fontId="42" fillId="0" borderId="15" xfId="0" applyNumberFormat="1" applyFont="1" applyBorder="1" applyAlignment="1">
      <alignment horizontal="right" vertical="center"/>
    </xf>
    <xf numFmtId="171" fontId="42" fillId="0" borderId="16" xfId="0" applyNumberFormat="1" applyFont="1" applyBorder="1" applyAlignment="1">
      <alignment horizontal="right" vertical="center"/>
    </xf>
    <xf numFmtId="171" fontId="42" fillId="0" borderId="17" xfId="0" applyNumberFormat="1" applyFont="1" applyBorder="1" applyAlignment="1">
      <alignment horizontal="right" vertical="center"/>
    </xf>
    <xf numFmtId="172" fontId="42" fillId="0" borderId="15" xfId="0" applyNumberFormat="1" applyFont="1" applyBorder="1" applyAlignment="1">
      <alignment horizontal="right" vertical="center"/>
    </xf>
    <xf numFmtId="172" fontId="42" fillId="0" borderId="16" xfId="0" applyNumberFormat="1" applyFont="1" applyBorder="1" applyAlignment="1">
      <alignment horizontal="right" vertical="center"/>
    </xf>
    <xf numFmtId="172" fontId="42" fillId="0" borderId="17" xfId="0" applyNumberFormat="1" applyFont="1" applyBorder="1" applyAlignment="1">
      <alignment horizontal="right" vertical="center"/>
    </xf>
    <xf numFmtId="173" fontId="42" fillId="0" borderId="15" xfId="0" applyNumberFormat="1" applyFont="1" applyBorder="1" applyAlignment="1">
      <alignment horizontal="right" vertical="center"/>
    </xf>
    <xf numFmtId="173" fontId="42" fillId="0" borderId="16" xfId="0" applyNumberFormat="1" applyFont="1" applyBorder="1" applyAlignment="1">
      <alignment horizontal="right" vertical="center"/>
    </xf>
    <xf numFmtId="173" fontId="42" fillId="0" borderId="17" xfId="0" applyNumberFormat="1" applyFont="1" applyBorder="1" applyAlignment="1">
      <alignment horizontal="right" vertical="center"/>
    </xf>
    <xf numFmtId="174" fontId="42" fillId="0" borderId="15" xfId="0" applyNumberFormat="1" applyFont="1" applyBorder="1" applyAlignment="1">
      <alignment horizontal="right" vertical="center"/>
    </xf>
    <xf numFmtId="174" fontId="42" fillId="0" borderId="16" xfId="0" applyNumberFormat="1" applyFont="1" applyBorder="1" applyAlignment="1">
      <alignment horizontal="right" vertical="center"/>
    </xf>
    <xf numFmtId="174" fontId="42" fillId="0" borderId="17" xfId="0" applyNumberFormat="1" applyFont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4" fontId="41" fillId="5" borderId="0" xfId="0" applyNumberFormat="1" applyFont="1" applyFill="1" applyBorder="1" applyAlignment="1">
      <alignment vertical="center"/>
    </xf>
    <xf numFmtId="3" fontId="41" fillId="5" borderId="0" xfId="0" applyNumberFormat="1" applyFont="1" applyFill="1" applyBorder="1" applyAlignment="1">
      <alignment vertical="center"/>
    </xf>
    <xf numFmtId="0" fontId="43" fillId="4" borderId="28" xfId="0" applyFont="1" applyFill="1" applyBorder="1" applyAlignment="1">
      <alignment horizontal="center" vertical="center"/>
    </xf>
    <xf numFmtId="0" fontId="43" fillId="4" borderId="30" xfId="0" applyFont="1" applyFill="1" applyBorder="1" applyAlignment="1">
      <alignment horizontal="center" vertical="center"/>
    </xf>
    <xf numFmtId="0" fontId="43" fillId="3" borderId="4" xfId="0" applyFont="1" applyFill="1" applyBorder="1" applyAlignment="1">
      <alignment horizontal="centerContinuous" vertical="center"/>
    </xf>
    <xf numFmtId="0" fontId="43" fillId="3" borderId="5" xfId="0" applyFont="1" applyFill="1" applyBorder="1" applyAlignment="1">
      <alignment horizontal="centerContinuous" vertical="center"/>
    </xf>
    <xf numFmtId="4" fontId="42" fillId="0" borderId="9" xfId="0" applyNumberFormat="1" applyFont="1" applyBorder="1" applyAlignment="1">
      <alignment horizontal="center" vertical="center"/>
    </xf>
    <xf numFmtId="4" fontId="42" fillId="0" borderId="10" xfId="0" applyNumberFormat="1" applyFont="1" applyBorder="1" applyAlignment="1">
      <alignment horizontal="center" vertical="center"/>
    </xf>
    <xf numFmtId="4" fontId="42" fillId="0" borderId="11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3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42" xfId="4" applyBorder="1" applyAlignment="1">
      <alignment horizontal="centerContinuous" vertical="center"/>
    </xf>
    <xf numFmtId="0" fontId="50" fillId="0" borderId="43" xfId="4" applyBorder="1" applyAlignment="1">
      <alignment horizontal="centerContinuous" vertical="center"/>
    </xf>
    <xf numFmtId="0" fontId="50" fillId="0" borderId="45" xfId="4" applyBorder="1" applyAlignment="1">
      <alignment horizontal="centerContinuous" vertical="center"/>
    </xf>
    <xf numFmtId="0" fontId="50" fillId="0" borderId="44" xfId="4" applyFill="1" applyBorder="1" applyAlignment="1">
      <alignment horizontal="centerContinuous"/>
    </xf>
    <xf numFmtId="0" fontId="50" fillId="0" borderId="45" xfId="4" applyFill="1" applyBorder="1" applyAlignment="1">
      <alignment horizontal="centerContinuous"/>
    </xf>
    <xf numFmtId="0" fontId="34" fillId="3" borderId="49" xfId="0" applyFont="1" applyFill="1" applyBorder="1" applyAlignment="1">
      <alignment horizontal="centerContinuous" vertical="center"/>
    </xf>
    <xf numFmtId="4" fontId="40" fillId="5" borderId="0" xfId="0" applyNumberFormat="1" applyFont="1" applyFill="1" applyBorder="1" applyAlignment="1">
      <alignment horizontal="left" vertical="center"/>
    </xf>
    <xf numFmtId="4" fontId="41" fillId="5" borderId="0" xfId="0" applyNumberFormat="1" applyFont="1" applyFill="1" applyBorder="1" applyAlignment="1">
      <alignment horizontal="left" vertical="center"/>
    </xf>
    <xf numFmtId="4" fontId="34" fillId="3" borderId="5" xfId="0" applyNumberFormat="1" applyFont="1" applyFill="1" applyBorder="1" applyAlignment="1">
      <alignment horizontal="centerContinuous" vertical="center"/>
    </xf>
    <xf numFmtId="4" fontId="34" fillId="4" borderId="30" xfId="0" applyNumberFormat="1" applyFont="1" applyFill="1" applyBorder="1" applyAlignment="1">
      <alignment horizontal="center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9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1" fillId="5" borderId="16" xfId="0" applyNumberFormat="1" applyFont="1" applyFill="1" applyBorder="1" applyAlignment="1">
      <alignment horizontal="right" vertical="center"/>
    </xf>
    <xf numFmtId="172" fontId="41" fillId="5" borderId="16" xfId="0" applyNumberFormat="1" applyFont="1" applyFill="1" applyBorder="1" applyAlignment="1">
      <alignment horizontal="right" vertical="center"/>
    </xf>
    <xf numFmtId="173" fontId="41" fillId="5" borderId="16" xfId="0" applyNumberFormat="1" applyFont="1" applyFill="1" applyBorder="1" applyAlignment="1">
      <alignment horizontal="right" vertical="center"/>
    </xf>
    <xf numFmtId="174" fontId="41" fillId="5" borderId="16" xfId="0" applyNumberFormat="1" applyFont="1" applyFill="1" applyBorder="1" applyAlignment="1">
      <alignment horizontal="right" vertical="center"/>
    </xf>
    <xf numFmtId="10" fontId="41" fillId="5" borderId="16" xfId="0" applyNumberFormat="1" applyFont="1" applyFill="1" applyBorder="1" applyAlignment="1">
      <alignment horizontal="right" vertical="center"/>
    </xf>
    <xf numFmtId="10" fontId="41" fillId="5" borderId="17" xfId="0" applyNumberFormat="1" applyFont="1" applyFill="1" applyBorder="1" applyAlignment="1">
      <alignment horizontal="right" vertical="center"/>
    </xf>
    <xf numFmtId="10" fontId="41" fillId="5" borderId="12" xfId="0" applyNumberFormat="1" applyFont="1" applyFill="1" applyBorder="1" applyAlignment="1">
      <alignment horizontal="right" vertical="center"/>
    </xf>
    <xf numFmtId="10" fontId="41" fillId="5" borderId="14" xfId="0" applyNumberFormat="1" applyFont="1" applyFill="1" applyBorder="1" applyAlignment="1">
      <alignment horizontal="right" vertical="center"/>
    </xf>
    <xf numFmtId="168" fontId="41" fillId="5" borderId="9" xfId="0" applyNumberFormat="1" applyFont="1" applyFill="1" applyBorder="1" applyAlignment="1">
      <alignment horizontal="right" vertical="center"/>
    </xf>
    <xf numFmtId="168" fontId="41" fillId="5" borderId="11" xfId="0" applyNumberFormat="1" applyFont="1" applyFill="1" applyBorder="1" applyAlignment="1">
      <alignment horizontal="right" vertical="center"/>
    </xf>
    <xf numFmtId="168" fontId="41" fillId="5" borderId="15" xfId="0" applyNumberFormat="1" applyFont="1" applyFill="1" applyBorder="1" applyAlignment="1">
      <alignment horizontal="right" vertical="center"/>
    </xf>
    <xf numFmtId="168" fontId="41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3" fillId="4" borderId="52" xfId="0" applyNumberFormat="1" applyFont="1" applyFill="1" applyBorder="1" applyAlignment="1">
      <alignment horizontal="center" vertical="center"/>
    </xf>
    <xf numFmtId="4" fontId="43" fillId="4" borderId="53" xfId="0" applyNumberFormat="1" applyFont="1" applyFill="1" applyBorder="1" applyAlignment="1">
      <alignment horizontal="center" vertical="center"/>
    </xf>
    <xf numFmtId="4" fontId="43" fillId="4" borderId="54" xfId="0" applyNumberFormat="1" applyFont="1" applyFill="1" applyBorder="1" applyAlignment="1">
      <alignment horizontal="center" vertical="center"/>
    </xf>
    <xf numFmtId="171" fontId="41" fillId="5" borderId="11" xfId="0" applyNumberFormat="1" applyFont="1" applyFill="1" applyBorder="1" applyAlignment="1">
      <alignment horizontal="right" vertical="center"/>
    </xf>
    <xf numFmtId="171" fontId="41" fillId="5" borderId="12" xfId="0" applyNumberFormat="1" applyFont="1" applyFill="1" applyBorder="1" applyAlignment="1">
      <alignment horizontal="right" vertical="center"/>
    </xf>
    <xf numFmtId="172" fontId="41" fillId="5" borderId="11" xfId="0" applyNumberFormat="1" applyFont="1" applyFill="1" applyBorder="1" applyAlignment="1">
      <alignment horizontal="right" vertical="center"/>
    </xf>
    <xf numFmtId="172" fontId="41" fillId="5" borderId="12" xfId="0" applyNumberFormat="1" applyFont="1" applyFill="1" applyBorder="1" applyAlignment="1">
      <alignment horizontal="right" vertical="center"/>
    </xf>
    <xf numFmtId="173" fontId="41" fillId="5" borderId="11" xfId="0" applyNumberFormat="1" applyFont="1" applyFill="1" applyBorder="1" applyAlignment="1">
      <alignment horizontal="right" vertical="center"/>
    </xf>
    <xf numFmtId="173" fontId="41" fillId="5" borderId="12" xfId="0" applyNumberFormat="1" applyFont="1" applyFill="1" applyBorder="1" applyAlignment="1">
      <alignment horizontal="right" vertical="center"/>
    </xf>
    <xf numFmtId="174" fontId="41" fillId="5" borderId="11" xfId="0" applyNumberFormat="1" applyFont="1" applyFill="1" applyBorder="1" applyAlignment="1">
      <alignment horizontal="right" vertical="center"/>
    </xf>
    <xf numFmtId="174" fontId="41" fillId="5" borderId="12" xfId="0" applyNumberFormat="1" applyFont="1" applyFill="1" applyBorder="1" applyAlignment="1">
      <alignment horizontal="right" vertical="center"/>
    </xf>
    <xf numFmtId="10" fontId="41" fillId="5" borderId="11" xfId="0" applyNumberFormat="1" applyFont="1" applyFill="1" applyBorder="1" applyAlignment="1">
      <alignment horizontal="right" vertical="center"/>
    </xf>
    <xf numFmtId="10" fontId="41" fillId="5" borderId="13" xfId="0" applyNumberFormat="1" applyFont="1" applyFill="1" applyBorder="1" applyAlignment="1">
      <alignment horizontal="right" vertical="center"/>
    </xf>
    <xf numFmtId="168" fontId="41" fillId="5" borderId="10" xfId="0" applyNumberFormat="1" applyFont="1" applyFill="1" applyBorder="1" applyAlignment="1">
      <alignment horizontal="right" vertical="center"/>
    </xf>
    <xf numFmtId="168" fontId="41" fillId="5" borderId="12" xfId="0" applyNumberFormat="1" applyFont="1" applyFill="1" applyBorder="1" applyAlignment="1">
      <alignment horizontal="right" vertical="center"/>
    </xf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169" fontId="33" fillId="6" borderId="16" xfId="0" applyNumberFormat="1" applyFont="1" applyFill="1" applyBorder="1" applyAlignment="1">
      <alignment horizontal="right" vertical="center"/>
    </xf>
    <xf numFmtId="169" fontId="33" fillId="0" borderId="15" xfId="0" applyNumberFormat="1" applyFont="1" applyBorder="1" applyAlignment="1">
      <alignment horizontal="center" vertical="center"/>
    </xf>
    <xf numFmtId="4" fontId="34" fillId="4" borderId="22" xfId="0" applyNumberFormat="1" applyFont="1" applyFill="1" applyBorder="1" applyAlignment="1">
      <alignment horizontal="center" vertical="center"/>
    </xf>
    <xf numFmtId="0" fontId="50" fillId="8" borderId="0" xfId="4" applyFill="1" applyBorder="1" applyAlignment="1">
      <alignment horizontal="centerContinuous" vertical="center"/>
    </xf>
    <xf numFmtId="0" fontId="34" fillId="3" borderId="56" xfId="0" applyFont="1" applyFill="1" applyBorder="1" applyAlignment="1">
      <alignment horizontal="centerContinuous" vertical="center"/>
    </xf>
    <xf numFmtId="0" fontId="44" fillId="3" borderId="57" xfId="0" applyFont="1" applyFill="1" applyBorder="1" applyAlignment="1">
      <alignment horizontal="center" vertical="center"/>
    </xf>
    <xf numFmtId="0" fontId="34" fillId="3" borderId="58" xfId="0" applyFont="1" applyFill="1" applyBorder="1" applyAlignment="1">
      <alignment horizontal="centerContinuous" vertical="center"/>
    </xf>
    <xf numFmtId="0" fontId="34" fillId="3" borderId="45" xfId="0" applyFont="1" applyFill="1" applyBorder="1" applyAlignment="1">
      <alignment horizontal="centerContinuous" vertical="center"/>
    </xf>
    <xf numFmtId="4" fontId="42" fillId="0" borderId="17" xfId="0" applyNumberFormat="1" applyFont="1" applyBorder="1" applyAlignment="1">
      <alignment horizontal="center" vertical="center"/>
    </xf>
    <xf numFmtId="0" fontId="43" fillId="3" borderId="6" xfId="0" applyFont="1" applyFill="1" applyBorder="1" applyAlignment="1">
      <alignment horizontal="centerContinuous" vertical="center"/>
    </xf>
    <xf numFmtId="4" fontId="41" fillId="5" borderId="9" xfId="0" applyNumberFormat="1" applyFont="1" applyFill="1" applyBorder="1" applyAlignment="1">
      <alignment horizontal="center" vertical="center"/>
    </xf>
    <xf numFmtId="4" fontId="41" fillId="5" borderId="15" xfId="0" applyNumberFormat="1" applyFont="1" applyFill="1" applyBorder="1" applyAlignment="1">
      <alignment horizontal="center" vertical="center"/>
    </xf>
    <xf numFmtId="4" fontId="41" fillId="5" borderId="10" xfId="0" applyNumberFormat="1" applyFont="1" applyFill="1" applyBorder="1" applyAlignment="1">
      <alignment horizontal="center" vertical="center"/>
    </xf>
    <xf numFmtId="4" fontId="41" fillId="5" borderId="13" xfId="0" applyNumberFormat="1" applyFont="1" applyFill="1" applyBorder="1" applyAlignment="1">
      <alignment horizontal="center" vertical="center"/>
    </xf>
    <xf numFmtId="4" fontId="41" fillId="5" borderId="17" xfId="0" applyNumberFormat="1" applyFont="1" applyFill="1" applyBorder="1" applyAlignment="1">
      <alignment horizontal="center" vertical="center"/>
    </xf>
    <xf numFmtId="4" fontId="41" fillId="5" borderId="14" xfId="0" applyNumberFormat="1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centerContinuous" vertical="center"/>
    </xf>
    <xf numFmtId="0" fontId="44" fillId="3" borderId="18" xfId="0" applyFont="1" applyFill="1" applyBorder="1" applyAlignment="1">
      <alignment horizontal="centerContinuous" vertical="center"/>
    </xf>
    <xf numFmtId="0" fontId="44" fillId="3" borderId="19" xfId="0" applyFont="1" applyFill="1" applyBorder="1" applyAlignment="1">
      <alignment horizontal="centerContinuous" vertical="center"/>
    </xf>
    <xf numFmtId="0" fontId="50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8" fillId="0" borderId="10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0" fontId="36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7" fillId="0" borderId="0" xfId="0" applyFont="1"/>
    <xf numFmtId="0" fontId="26" fillId="0" borderId="0" xfId="0" applyFont="1"/>
    <xf numFmtId="168" fontId="26" fillId="0" borderId="0" xfId="0" applyNumberFormat="1" applyFont="1" applyAlignment="1">
      <alignment horizontal="right"/>
    </xf>
    <xf numFmtId="168" fontId="25" fillId="0" borderId="0" xfId="0" applyNumberFormat="1" applyFont="1" applyAlignment="1">
      <alignment horizontal="right"/>
    </xf>
    <xf numFmtId="0" fontId="24" fillId="0" borderId="0" xfId="0" applyFont="1"/>
    <xf numFmtId="168" fontId="24" fillId="0" borderId="0" xfId="0" applyNumberFormat="1" applyFont="1" applyAlignment="1">
      <alignment horizontal="right"/>
    </xf>
    <xf numFmtId="4" fontId="23" fillId="0" borderId="9" xfId="0" applyNumberFormat="1" applyFont="1" applyBorder="1" applyAlignment="1">
      <alignment horizontal="center" vertical="center"/>
    </xf>
    <xf numFmtId="4" fontId="23" fillId="0" borderId="10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168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10" fontId="23" fillId="0" borderId="15" xfId="0" applyNumberFormat="1" applyFont="1" applyBorder="1" applyAlignment="1">
      <alignment horizontal="right" vertical="center"/>
    </xf>
    <xf numFmtId="10" fontId="23" fillId="0" borderId="16" xfId="0" applyNumberFormat="1" applyFont="1" applyBorder="1" applyAlignment="1">
      <alignment horizontal="right" vertical="center"/>
    </xf>
    <xf numFmtId="10" fontId="23" fillId="0" borderId="17" xfId="0" applyNumberFormat="1" applyFont="1" applyBorder="1" applyAlignment="1">
      <alignment horizontal="right" vertical="center"/>
    </xf>
    <xf numFmtId="4" fontId="23" fillId="0" borderId="20" xfId="0" applyNumberFormat="1" applyFont="1" applyBorder="1" applyAlignment="1">
      <alignment horizontal="center" vertical="center"/>
    </xf>
    <xf numFmtId="4" fontId="23" fillId="0" borderId="22" xfId="0" applyNumberFormat="1" applyFont="1" applyBorder="1" applyAlignment="1">
      <alignment horizontal="center" vertical="center"/>
    </xf>
    <xf numFmtId="10" fontId="23" fillId="0" borderId="21" xfId="0" applyNumberFormat="1" applyFont="1" applyBorder="1" applyAlignment="1">
      <alignment horizontal="right" vertical="center"/>
    </xf>
    <xf numFmtId="168" fontId="23" fillId="0" borderId="9" xfId="0" applyNumberFormat="1" applyFont="1" applyBorder="1" applyAlignment="1">
      <alignment horizontal="right" vertical="center"/>
    </xf>
    <xf numFmtId="168" fontId="23" fillId="0" borderId="11" xfId="0" applyNumberFormat="1" applyFont="1" applyBorder="1" applyAlignment="1">
      <alignment horizontal="right" vertical="center"/>
    </xf>
    <xf numFmtId="168" fontId="23" fillId="0" borderId="13" xfId="0" applyNumberFormat="1" applyFont="1" applyBorder="1" applyAlignment="1">
      <alignment horizontal="right" vertical="center"/>
    </xf>
    <xf numFmtId="0" fontId="43" fillId="3" borderId="4" xfId="2" applyFont="1" applyFill="1" applyBorder="1" applyAlignment="1">
      <alignment horizontal="centerContinuous" vertical="center"/>
    </xf>
    <xf numFmtId="0" fontId="43" fillId="3" borderId="6" xfId="2" applyFont="1" applyFill="1" applyBorder="1" applyAlignment="1">
      <alignment horizontal="centerContinuous" vertical="center"/>
    </xf>
    <xf numFmtId="0" fontId="43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4" fillId="4" borderId="61" xfId="0" applyFont="1" applyFill="1" applyBorder="1" applyAlignment="1">
      <alignment horizontal="centerContinuous" vertical="center"/>
    </xf>
    <xf numFmtId="0" fontId="34" fillId="4" borderId="62" xfId="0" applyFont="1" applyFill="1" applyBorder="1" applyAlignment="1">
      <alignment horizontal="centerContinuous" vertical="center"/>
    </xf>
    <xf numFmtId="0" fontId="34" fillId="4" borderId="63" xfId="0" applyFont="1" applyFill="1" applyBorder="1" applyAlignment="1">
      <alignment horizontal="centerContinuous" vertical="center"/>
    </xf>
    <xf numFmtId="169" fontId="23" fillId="0" borderId="15" xfId="0" applyNumberFormat="1" applyFont="1" applyBorder="1" applyAlignment="1">
      <alignment horizontal="center" vertical="center"/>
    </xf>
    <xf numFmtId="169" fontId="23" fillId="0" borderId="16" xfId="0" applyNumberFormat="1" applyFont="1" applyBorder="1" applyAlignment="1">
      <alignment horizontal="center" vertical="center"/>
    </xf>
    <xf numFmtId="169" fontId="23" fillId="0" borderId="17" xfId="0" applyNumberFormat="1" applyFont="1" applyBorder="1" applyAlignment="1">
      <alignment horizontal="center" vertical="center"/>
    </xf>
    <xf numFmtId="168" fontId="23" fillId="0" borderId="12" xfId="0" applyNumberFormat="1" applyFont="1" applyBorder="1" applyAlignment="1">
      <alignment horizontal="center" vertical="center"/>
    </xf>
    <xf numFmtId="10" fontId="22" fillId="0" borderId="16" xfId="0" applyNumberFormat="1" applyFont="1" applyBorder="1" applyAlignment="1">
      <alignment horizontal="right" vertical="center"/>
    </xf>
    <xf numFmtId="4" fontId="22" fillId="0" borderId="12" xfId="0" applyNumberFormat="1" applyFont="1" applyBorder="1" applyAlignment="1">
      <alignment horizontal="center" vertical="center"/>
    </xf>
    <xf numFmtId="10" fontId="22" fillId="0" borderId="17" xfId="0" applyNumberFormat="1" applyFont="1" applyBorder="1" applyAlignment="1">
      <alignment horizontal="right" vertical="center"/>
    </xf>
    <xf numFmtId="4" fontId="22" fillId="0" borderId="14" xfId="0" applyNumberFormat="1" applyFont="1" applyBorder="1" applyAlignment="1">
      <alignment horizontal="center" vertical="center"/>
    </xf>
    <xf numFmtId="4" fontId="22" fillId="0" borderId="10" xfId="0" applyNumberFormat="1" applyFont="1" applyBorder="1" applyAlignment="1">
      <alignment horizontal="center" vertical="center"/>
    </xf>
    <xf numFmtId="10" fontId="22" fillId="0" borderId="15" xfId="0" applyNumberFormat="1" applyFont="1" applyBorder="1" applyAlignment="1">
      <alignment horizontal="right" vertical="center"/>
    </xf>
    <xf numFmtId="4" fontId="23" fillId="0" borderId="64" xfId="0" applyNumberFormat="1" applyFont="1" applyBorder="1" applyAlignment="1">
      <alignment horizontal="center" vertical="center"/>
    </xf>
    <xf numFmtId="10" fontId="23" fillId="0" borderId="65" xfId="0" applyNumberFormat="1" applyFont="1" applyBorder="1" applyAlignment="1">
      <alignment horizontal="right" vertical="center"/>
    </xf>
    <xf numFmtId="4" fontId="23" fillId="0" borderId="66" xfId="0" applyNumberFormat="1" applyFont="1" applyBorder="1" applyAlignment="1">
      <alignment horizontal="center" vertical="center"/>
    </xf>
    <xf numFmtId="4" fontId="23" fillId="0" borderId="67" xfId="0" applyNumberFormat="1" applyFont="1" applyBorder="1" applyAlignment="1">
      <alignment horizontal="center" vertical="center"/>
    </xf>
    <xf numFmtId="4" fontId="23" fillId="0" borderId="68" xfId="0" applyNumberFormat="1" applyFont="1" applyBorder="1" applyAlignment="1">
      <alignment horizontal="center" vertical="center"/>
    </xf>
    <xf numFmtId="4" fontId="23" fillId="0" borderId="69" xfId="0" applyNumberFormat="1" applyFont="1" applyBorder="1" applyAlignment="1">
      <alignment horizontal="center" vertical="center"/>
    </xf>
    <xf numFmtId="10" fontId="23" fillId="0" borderId="70" xfId="0" applyNumberFormat="1" applyFont="1" applyBorder="1" applyAlignment="1">
      <alignment horizontal="right" vertical="center"/>
    </xf>
    <xf numFmtId="4" fontId="23" fillId="0" borderId="71" xfId="0" applyNumberFormat="1" applyFont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4" fontId="20" fillId="0" borderId="9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0" fontId="36" fillId="0" borderId="3" xfId="0" quotePrefix="1" applyFont="1" applyBorder="1" applyAlignment="1">
      <alignment horizontal="centerContinuous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9" fillId="0" borderId="11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center" vertical="center"/>
    </xf>
    <xf numFmtId="175" fontId="50" fillId="0" borderId="0" xfId="4" applyNumberFormat="1"/>
    <xf numFmtId="4" fontId="18" fillId="0" borderId="11" xfId="0" applyNumberFormat="1" applyFont="1" applyBorder="1" applyAlignment="1">
      <alignment horizontal="center" vertical="center"/>
    </xf>
    <xf numFmtId="4" fontId="18" fillId="0" borderId="9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76" fontId="19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8" fillId="0" borderId="15" xfId="0" applyNumberFormat="1" applyFont="1" applyBorder="1" applyAlignment="1">
      <alignment horizontal="right" vertical="center"/>
    </xf>
    <xf numFmtId="170" fontId="28" fillId="0" borderId="16" xfId="0" applyNumberFormat="1" applyFont="1" applyBorder="1" applyAlignment="1">
      <alignment horizontal="right" vertical="center"/>
    </xf>
    <xf numFmtId="170" fontId="28" fillId="0" borderId="17" xfId="0" applyNumberFormat="1" applyFont="1" applyBorder="1" applyAlignment="1">
      <alignment horizontal="right" vertical="center"/>
    </xf>
    <xf numFmtId="178" fontId="19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2" fillId="0" borderId="16" xfId="0" applyNumberFormat="1" applyFont="1" applyBorder="1" applyAlignment="1">
      <alignment horizontal="center" vertical="center"/>
    </xf>
    <xf numFmtId="4" fontId="42" fillId="0" borderId="55" xfId="0" applyNumberFormat="1" applyFont="1" applyBorder="1" applyAlignment="1">
      <alignment horizontal="center" vertical="center"/>
    </xf>
    <xf numFmtId="4" fontId="42" fillId="0" borderId="75" xfId="0" applyNumberFormat="1" applyFont="1" applyBorder="1" applyAlignment="1">
      <alignment horizontal="center" vertical="center"/>
    </xf>
    <xf numFmtId="0" fontId="43" fillId="4" borderId="20" xfId="0" applyFont="1" applyFill="1" applyBorder="1" applyAlignment="1">
      <alignment horizontal="center" vertical="center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4" fontId="42" fillId="0" borderId="76" xfId="0" applyNumberFormat="1" applyFont="1" applyBorder="1" applyAlignment="1">
      <alignment horizontal="center" vertical="center"/>
    </xf>
    <xf numFmtId="4" fontId="42" fillId="0" borderId="77" xfId="0" applyNumberFormat="1" applyFont="1" applyBorder="1" applyAlignment="1">
      <alignment horizontal="center" vertical="center"/>
    </xf>
    <xf numFmtId="4" fontId="42" fillId="0" borderId="78" xfId="0" applyNumberFormat="1" applyFont="1" applyBorder="1" applyAlignment="1">
      <alignment horizontal="center" vertical="center"/>
    </xf>
    <xf numFmtId="0" fontId="43" fillId="4" borderId="72" xfId="0" applyFont="1" applyFill="1" applyBorder="1" applyAlignment="1">
      <alignment horizontal="center" vertical="center"/>
    </xf>
    <xf numFmtId="0" fontId="43" fillId="4" borderId="73" xfId="0" applyFont="1" applyFill="1" applyBorder="1" applyAlignment="1">
      <alignment horizontal="center" vertical="center"/>
    </xf>
    <xf numFmtId="0" fontId="43" fillId="4" borderId="74" xfId="0" applyFont="1" applyFill="1" applyBorder="1" applyAlignment="1">
      <alignment horizontal="center" vertical="center"/>
    </xf>
    <xf numFmtId="0" fontId="43" fillId="4" borderId="29" xfId="0" applyFont="1" applyFill="1" applyBorder="1" applyAlignment="1">
      <alignment horizontal="center" vertical="center"/>
    </xf>
    <xf numFmtId="4" fontId="43" fillId="4" borderId="74" xfId="0" applyNumberFormat="1" applyFont="1" applyFill="1" applyBorder="1" applyAlignment="1">
      <alignment horizontal="center" vertical="center"/>
    </xf>
    <xf numFmtId="4" fontId="41" fillId="5" borderId="0" xfId="0" quotePrefix="1" applyNumberFormat="1" applyFont="1" applyFill="1" applyBorder="1" applyAlignment="1">
      <alignment horizontal="left" vertical="center"/>
    </xf>
    <xf numFmtId="4" fontId="43" fillId="3" borderId="4" xfId="0" applyNumberFormat="1" applyFont="1" applyFill="1" applyBorder="1" applyAlignment="1">
      <alignment horizontal="centerContinuous" vertical="center"/>
    </xf>
    <xf numFmtId="4" fontId="43" fillId="3" borderId="6" xfId="0" applyNumberFormat="1" applyFont="1" applyFill="1" applyBorder="1" applyAlignment="1">
      <alignment horizontal="centerContinuous" vertical="center"/>
    </xf>
    <xf numFmtId="4" fontId="43" fillId="3" borderId="5" xfId="0" applyNumberFormat="1" applyFont="1" applyFill="1" applyBorder="1" applyAlignment="1">
      <alignment horizontal="centerContinuous" vertical="center"/>
    </xf>
    <xf numFmtId="4" fontId="43" fillId="4" borderId="22" xfId="0" applyNumberFormat="1" applyFont="1" applyFill="1" applyBorder="1" applyAlignment="1">
      <alignment horizontal="center" vertical="center"/>
    </xf>
    <xf numFmtId="0" fontId="42" fillId="0" borderId="0" xfId="0" applyFont="1"/>
    <xf numFmtId="168" fontId="42" fillId="0" borderId="0" xfId="0" applyNumberFormat="1" applyFont="1" applyAlignment="1">
      <alignment horizontal="center"/>
    </xf>
    <xf numFmtId="0" fontId="42" fillId="0" borderId="0" xfId="0" applyFont="1" applyAlignment="1">
      <alignment horizontal="center" vertical="center"/>
    </xf>
    <xf numFmtId="168" fontId="42" fillId="0" borderId="10" xfId="0" applyNumberFormat="1" applyFont="1" applyBorder="1" applyAlignment="1">
      <alignment horizontal="center" vertical="center"/>
    </xf>
    <xf numFmtId="0" fontId="34" fillId="4" borderId="79" xfId="0" applyFont="1" applyFill="1" applyBorder="1" applyAlignment="1">
      <alignment horizontal="center" vertical="center"/>
    </xf>
    <xf numFmtId="4" fontId="42" fillId="0" borderId="61" xfId="0" applyNumberFormat="1" applyFont="1" applyBorder="1" applyAlignment="1">
      <alignment horizontal="center" vertical="center"/>
    </xf>
    <xf numFmtId="168" fontId="42" fillId="0" borderId="63" xfId="0" applyNumberFormat="1" applyFont="1" applyBorder="1" applyAlignment="1">
      <alignment horizontal="center" vertical="center"/>
    </xf>
    <xf numFmtId="0" fontId="48" fillId="0" borderId="1" xfId="1" applyFont="1"/>
    <xf numFmtId="0" fontId="49" fillId="0" borderId="83" xfId="2" applyFont="1"/>
    <xf numFmtId="0" fontId="49" fillId="0" borderId="84" xfId="3" applyFont="1"/>
    <xf numFmtId="168" fontId="42" fillId="0" borderId="44" xfId="0" applyNumberFormat="1" applyFont="1" applyBorder="1" applyAlignment="1">
      <alignment horizontal="center"/>
    </xf>
    <xf numFmtId="168" fontId="42" fillId="0" borderId="82" xfId="0" applyNumberFormat="1" applyFont="1" applyBorder="1" applyAlignment="1">
      <alignment horizontal="center"/>
    </xf>
    <xf numFmtId="0" fontId="42" fillId="0" borderId="45" xfId="0" applyFont="1" applyBorder="1" applyAlignment="1">
      <alignment horizontal="center" vertical="center"/>
    </xf>
    <xf numFmtId="168" fontId="17" fillId="0" borderId="80" xfId="0" applyNumberFormat="1" applyFont="1" applyBorder="1" applyAlignment="1">
      <alignment horizontal="center" vertical="center"/>
    </xf>
    <xf numFmtId="168" fontId="17" fillId="0" borderId="81" xfId="0" applyNumberFormat="1" applyFont="1" applyBorder="1" applyAlignment="1">
      <alignment horizontal="center" vertical="center"/>
    </xf>
    <xf numFmtId="168" fontId="42" fillId="0" borderId="12" xfId="0" applyNumberFormat="1" applyFont="1" applyBorder="1" applyAlignment="1">
      <alignment horizontal="center" vertical="center"/>
    </xf>
    <xf numFmtId="168" fontId="42" fillId="0" borderId="9" xfId="0" applyNumberFormat="1" applyFont="1" applyBorder="1" applyAlignment="1">
      <alignment horizontal="center" vertical="center"/>
    </xf>
    <xf numFmtId="168" fontId="42" fillId="0" borderId="15" xfId="0" applyNumberFormat="1" applyFont="1" applyBorder="1" applyAlignment="1">
      <alignment horizontal="center" vertical="center"/>
    </xf>
    <xf numFmtId="168" fontId="42" fillId="0" borderId="11" xfId="0" applyNumberFormat="1" applyFont="1" applyBorder="1" applyAlignment="1">
      <alignment horizontal="center" vertical="center"/>
    </xf>
    <xf numFmtId="168" fontId="42" fillId="0" borderId="16" xfId="0" applyNumberFormat="1" applyFont="1" applyBorder="1" applyAlignment="1">
      <alignment horizontal="center" vertical="center"/>
    </xf>
    <xf numFmtId="168" fontId="42" fillId="0" borderId="13" xfId="0" applyNumberFormat="1" applyFont="1" applyBorder="1" applyAlignment="1">
      <alignment horizontal="center" vertical="center"/>
    </xf>
    <xf numFmtId="168" fontId="42" fillId="0" borderId="17" xfId="0" applyNumberFormat="1" applyFont="1" applyBorder="1" applyAlignment="1">
      <alignment horizontal="center" vertical="center"/>
    </xf>
    <xf numFmtId="4" fontId="42" fillId="0" borderId="15" xfId="0" applyNumberFormat="1" applyFont="1" applyBorder="1" applyAlignment="1">
      <alignment horizontal="center" vertical="center"/>
    </xf>
    <xf numFmtId="168" fontId="42" fillId="0" borderId="14" xfId="0" applyNumberFormat="1" applyFont="1" applyBorder="1" applyAlignment="1">
      <alignment horizontal="center" vertical="center"/>
    </xf>
    <xf numFmtId="4" fontId="43" fillId="4" borderId="28" xfId="0" applyNumberFormat="1" applyFont="1" applyFill="1" applyBorder="1" applyAlignment="1">
      <alignment horizontal="center" vertical="center"/>
    </xf>
    <xf numFmtId="168" fontId="43" fillId="4" borderId="29" xfId="0" applyNumberFormat="1" applyFont="1" applyFill="1" applyBorder="1" applyAlignment="1">
      <alignment horizontal="center" vertical="center"/>
    </xf>
    <xf numFmtId="4" fontId="42" fillId="0" borderId="85" xfId="0" applyNumberFormat="1" applyFont="1" applyBorder="1" applyAlignment="1">
      <alignment horizontal="center" vertical="center"/>
    </xf>
    <xf numFmtId="2" fontId="42" fillId="0" borderId="44" xfId="0" applyNumberFormat="1" applyFont="1" applyBorder="1" applyAlignment="1">
      <alignment horizontal="center"/>
    </xf>
    <xf numFmtId="2" fontId="42" fillId="0" borderId="82" xfId="0" applyNumberFormat="1" applyFont="1" applyBorder="1" applyAlignment="1">
      <alignment horizontal="center"/>
    </xf>
    <xf numFmtId="4" fontId="42" fillId="0" borderId="86" xfId="0" applyNumberFormat="1" applyFont="1" applyBorder="1" applyAlignment="1">
      <alignment horizontal="center" vertical="center"/>
    </xf>
    <xf numFmtId="4" fontId="42" fillId="0" borderId="71" xfId="0" applyNumberFormat="1" applyFont="1" applyBorder="1" applyAlignment="1">
      <alignment horizontal="center" vertical="center"/>
    </xf>
    <xf numFmtId="4" fontId="42" fillId="0" borderId="88" xfId="0" applyNumberFormat="1" applyFont="1" applyBorder="1" applyAlignment="1">
      <alignment horizontal="center" vertical="center"/>
    </xf>
    <xf numFmtId="4" fontId="42" fillId="0" borderId="87" xfId="0" applyNumberFormat="1" applyFont="1" applyBorder="1" applyAlignment="1">
      <alignment horizontal="center" vertical="center"/>
    </xf>
    <xf numFmtId="2" fontId="44" fillId="4" borderId="52" xfId="0" applyNumberFormat="1" applyFont="1" applyFill="1" applyBorder="1" applyAlignment="1">
      <alignment horizontal="center" vertical="center"/>
    </xf>
    <xf numFmtId="0" fontId="43" fillId="3" borderId="18" xfId="0" applyFont="1" applyFill="1" applyBorder="1" applyAlignment="1">
      <alignment horizontal="centerContinuous" vertical="center"/>
    </xf>
    <xf numFmtId="0" fontId="44" fillId="3" borderId="89" xfId="0" applyFont="1" applyFill="1" applyBorder="1" applyAlignment="1">
      <alignment horizontal="centerContinuous" vertical="center"/>
    </xf>
    <xf numFmtId="0" fontId="44" fillId="3" borderId="51" xfId="0" applyFont="1" applyFill="1" applyBorder="1" applyAlignment="1">
      <alignment horizontal="centerContinuous" vertical="center"/>
    </xf>
    <xf numFmtId="0" fontId="44" fillId="3" borderId="7" xfId="0" applyFont="1" applyFill="1" applyBorder="1" applyAlignment="1">
      <alignment horizontal="centerContinuous" vertical="center"/>
    </xf>
    <xf numFmtId="0" fontId="44" fillId="3" borderId="4" xfId="0" applyFont="1" applyFill="1" applyBorder="1" applyAlignment="1">
      <alignment horizontal="centerContinuous" vertical="center"/>
    </xf>
    <xf numFmtId="0" fontId="44" fillId="3" borderId="5" xfId="0" applyFont="1" applyFill="1" applyBorder="1" applyAlignment="1">
      <alignment horizontal="centerContinuous" vertical="center"/>
    </xf>
    <xf numFmtId="4" fontId="42" fillId="0" borderId="22" xfId="0" applyNumberFormat="1" applyFont="1" applyBorder="1" applyAlignment="1">
      <alignment horizontal="center" vertical="center"/>
    </xf>
    <xf numFmtId="0" fontId="44" fillId="3" borderId="6" xfId="0" applyFont="1" applyFill="1" applyBorder="1" applyAlignment="1">
      <alignment horizontal="centerContinuous" vertical="center"/>
    </xf>
    <xf numFmtId="0" fontId="43" fillId="3" borderId="8" xfId="0" applyFont="1" applyFill="1" applyBorder="1" applyAlignment="1">
      <alignment horizontal="centerContinuous" vertical="center"/>
    </xf>
    <xf numFmtId="0" fontId="43" fillId="3" borderId="0" xfId="0" applyFont="1" applyFill="1" applyBorder="1" applyAlignment="1">
      <alignment horizontal="centerContinuous" vertical="center"/>
    </xf>
    <xf numFmtId="0" fontId="43" fillId="4" borderId="90" xfId="0" applyFont="1" applyFill="1" applyBorder="1" applyAlignment="1">
      <alignment horizontal="center" vertical="center"/>
    </xf>
    <xf numFmtId="4" fontId="42" fillId="0" borderId="91" xfId="0" applyNumberFormat="1" applyFont="1" applyBorder="1" applyAlignment="1">
      <alignment horizontal="center" vertical="center"/>
    </xf>
    <xf numFmtId="2" fontId="44" fillId="4" borderId="28" xfId="0" applyNumberFormat="1" applyFont="1" applyFill="1" applyBorder="1" applyAlignment="1">
      <alignment horizontal="center" vertical="center"/>
    </xf>
    <xf numFmtId="2" fontId="44" fillId="4" borderId="29" xfId="0" applyNumberFormat="1" applyFont="1" applyFill="1" applyBorder="1" applyAlignment="1">
      <alignment horizontal="center" vertical="center"/>
    </xf>
    <xf numFmtId="2" fontId="44" fillId="4" borderId="30" xfId="0" applyNumberFormat="1" applyFont="1" applyFill="1" applyBorder="1" applyAlignment="1">
      <alignment horizontal="center" vertical="center"/>
    </xf>
    <xf numFmtId="2" fontId="42" fillId="0" borderId="31" xfId="0" applyNumberFormat="1" applyFont="1" applyBorder="1" applyAlignment="1">
      <alignment horizontal="center"/>
    </xf>
    <xf numFmtId="2" fontId="42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4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4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4" fillId="4" borderId="96" xfId="0" applyNumberFormat="1" applyFont="1" applyFill="1" applyBorder="1" applyAlignment="1">
      <alignment horizontal="center" vertical="center"/>
    </xf>
    <xf numFmtId="4" fontId="42" fillId="0" borderId="97" xfId="0" applyNumberFormat="1" applyFont="1" applyBorder="1" applyAlignment="1">
      <alignment horizontal="center" vertical="center"/>
    </xf>
    <xf numFmtId="4" fontId="43" fillId="4" borderId="20" xfId="0" applyNumberFormat="1" applyFont="1" applyFill="1" applyBorder="1" applyAlignment="1">
      <alignment horizontal="centerContinuous" vertical="center"/>
    </xf>
    <xf numFmtId="4" fontId="43" fillId="4" borderId="21" xfId="0" applyNumberFormat="1" applyFont="1" applyFill="1" applyBorder="1" applyAlignment="1">
      <alignment horizontal="centerContinuous" vertical="center"/>
    </xf>
    <xf numFmtId="4" fontId="43" fillId="4" borderId="22" xfId="0" applyNumberFormat="1" applyFont="1" applyFill="1" applyBorder="1" applyAlignment="1">
      <alignment horizontal="centerContinuous" vertical="center"/>
    </xf>
    <xf numFmtId="4" fontId="42" fillId="0" borderId="98" xfId="0" applyNumberFormat="1" applyFont="1" applyBorder="1" applyAlignment="1">
      <alignment horizontal="center" vertical="center"/>
    </xf>
    <xf numFmtId="4" fontId="42" fillId="0" borderId="99" xfId="0" applyNumberFormat="1" applyFont="1" applyBorder="1" applyAlignment="1">
      <alignment horizontal="center" vertical="center"/>
    </xf>
    <xf numFmtId="4" fontId="42" fillId="0" borderId="100" xfId="0" applyNumberFormat="1" applyFont="1" applyBorder="1" applyAlignment="1">
      <alignment horizontal="center" vertical="center"/>
    </xf>
    <xf numFmtId="4" fontId="42" fillId="0" borderId="101" xfId="0" applyNumberFormat="1" applyFont="1" applyBorder="1" applyAlignment="1">
      <alignment horizontal="center" vertical="center"/>
    </xf>
    <xf numFmtId="4" fontId="42" fillId="0" borderId="102" xfId="0" applyNumberFormat="1" applyFont="1" applyBorder="1" applyAlignment="1">
      <alignment horizontal="center" vertical="center"/>
    </xf>
    <xf numFmtId="4" fontId="42" fillId="0" borderId="103" xfId="0" applyNumberFormat="1" applyFont="1" applyBorder="1" applyAlignment="1">
      <alignment horizontal="center" vertical="center"/>
    </xf>
    <xf numFmtId="0" fontId="44" fillId="4" borderId="28" xfId="0" applyFont="1" applyFill="1" applyBorder="1" applyAlignment="1">
      <alignment horizontal="center" vertical="center"/>
    </xf>
    <xf numFmtId="0" fontId="44" fillId="4" borderId="30" xfId="0" applyFont="1" applyFill="1" applyBorder="1" applyAlignment="1">
      <alignment horizontal="center" vertical="center"/>
    </xf>
    <xf numFmtId="4" fontId="42" fillId="0" borderId="64" xfId="0" applyNumberFormat="1" applyFont="1" applyBorder="1" applyAlignment="1">
      <alignment horizontal="center" vertical="center"/>
    </xf>
    <xf numFmtId="4" fontId="42" fillId="0" borderId="66" xfId="0" applyNumberFormat="1" applyFont="1" applyBorder="1" applyAlignment="1">
      <alignment horizontal="center" vertical="center"/>
    </xf>
    <xf numFmtId="4" fontId="42" fillId="0" borderId="107" xfId="0" applyNumberFormat="1" applyFont="1" applyBorder="1" applyAlignment="1">
      <alignment horizontal="center" vertical="center"/>
    </xf>
    <xf numFmtId="4" fontId="42" fillId="0" borderId="108" xfId="0" applyNumberFormat="1" applyFont="1" applyBorder="1" applyAlignment="1">
      <alignment horizontal="center" vertical="center"/>
    </xf>
    <xf numFmtId="4" fontId="42" fillId="0" borderId="109" xfId="0" applyNumberFormat="1" applyFont="1" applyBorder="1" applyAlignment="1">
      <alignment horizontal="center" vertical="center"/>
    </xf>
    <xf numFmtId="4" fontId="42" fillId="0" borderId="110" xfId="0" applyNumberFormat="1" applyFont="1" applyBorder="1" applyAlignment="1">
      <alignment horizontal="center" vertical="center"/>
    </xf>
    <xf numFmtId="4" fontId="42" fillId="0" borderId="111" xfId="0" applyNumberFormat="1" applyFont="1" applyBorder="1" applyAlignment="1">
      <alignment horizontal="center" vertical="center"/>
    </xf>
    <xf numFmtId="4" fontId="42" fillId="0" borderId="112" xfId="0" applyNumberFormat="1" applyFont="1" applyBorder="1" applyAlignment="1">
      <alignment horizontal="center" vertical="center"/>
    </xf>
    <xf numFmtId="4" fontId="42" fillId="0" borderId="113" xfId="0" applyNumberFormat="1" applyFont="1" applyBorder="1" applyAlignment="1">
      <alignment horizontal="center" vertical="center"/>
    </xf>
    <xf numFmtId="4" fontId="43" fillId="4" borderId="114" xfId="0" applyNumberFormat="1" applyFont="1" applyFill="1" applyBorder="1" applyAlignment="1">
      <alignment horizontal="center" vertical="center"/>
    </xf>
    <xf numFmtId="4" fontId="43" fillId="4" borderId="106" xfId="0" applyNumberFormat="1" applyFont="1" applyFill="1" applyBorder="1" applyAlignment="1">
      <alignment horizontal="center" vertical="center"/>
    </xf>
    <xf numFmtId="4" fontId="43" fillId="4" borderId="91" xfId="0" applyNumberFormat="1" applyFont="1" applyFill="1" applyBorder="1" applyAlignment="1">
      <alignment horizontal="center" vertical="center"/>
    </xf>
    <xf numFmtId="4" fontId="43" fillId="4" borderId="115" xfId="0" applyNumberFormat="1" applyFont="1" applyFill="1" applyBorder="1" applyAlignment="1">
      <alignment horizontal="center" vertical="center"/>
    </xf>
    <xf numFmtId="4" fontId="43" fillId="4" borderId="57" xfId="0" applyNumberFormat="1" applyFont="1" applyFill="1" applyBorder="1" applyAlignment="1">
      <alignment horizontal="center" vertical="center"/>
    </xf>
    <xf numFmtId="4" fontId="42" fillId="0" borderId="116" xfId="0" applyNumberFormat="1" applyFont="1" applyBorder="1" applyAlignment="1">
      <alignment horizontal="center" vertical="center"/>
    </xf>
    <xf numFmtId="4" fontId="42" fillId="0" borderId="117" xfId="0" applyNumberFormat="1" applyFont="1" applyBorder="1" applyAlignment="1">
      <alignment horizontal="center" vertical="center"/>
    </xf>
    <xf numFmtId="4" fontId="42" fillId="0" borderId="43" xfId="0" applyNumberFormat="1" applyFont="1" applyBorder="1" applyAlignment="1">
      <alignment horizontal="center" vertical="center"/>
    </xf>
    <xf numFmtId="4" fontId="42" fillId="0" borderId="118" xfId="0" applyNumberFormat="1" applyFont="1" applyBorder="1" applyAlignment="1">
      <alignment horizontal="center" vertical="center"/>
    </xf>
    <xf numFmtId="4" fontId="42" fillId="0" borderId="119" xfId="0" applyNumberFormat="1" applyFont="1" applyBorder="1" applyAlignment="1">
      <alignment horizontal="center" vertical="center"/>
    </xf>
    <xf numFmtId="4" fontId="42" fillId="0" borderId="120" xfId="0" applyNumberFormat="1" applyFont="1" applyBorder="1" applyAlignment="1">
      <alignment horizontal="center" vertical="center"/>
    </xf>
    <xf numFmtId="0" fontId="44" fillId="4" borderId="5" xfId="0" applyFont="1" applyFill="1" applyBorder="1" applyAlignment="1">
      <alignment horizontal="center" vertical="center"/>
    </xf>
    <xf numFmtId="0" fontId="44" fillId="4" borderId="121" xfId="0" applyFont="1" applyFill="1" applyBorder="1" applyAlignment="1">
      <alignment horizontal="center" vertical="center"/>
    </xf>
    <xf numFmtId="4" fontId="43" fillId="4" borderId="19" xfId="0" applyNumberFormat="1" applyFont="1" applyFill="1" applyBorder="1" applyAlignment="1">
      <alignment horizontal="center" vertical="center"/>
    </xf>
    <xf numFmtId="4" fontId="42" fillId="0" borderId="105" xfId="0" applyNumberFormat="1" applyFont="1" applyBorder="1" applyAlignment="1">
      <alignment horizontal="center" vertical="center"/>
    </xf>
    <xf numFmtId="4" fontId="43" fillId="4" borderId="122" xfId="0" applyNumberFormat="1" applyFont="1" applyFill="1" applyBorder="1" applyAlignment="1">
      <alignment horizontal="center" vertical="center"/>
    </xf>
    <xf numFmtId="4" fontId="42" fillId="0" borderId="124" xfId="0" applyNumberFormat="1" applyFont="1" applyBorder="1" applyAlignment="1">
      <alignment horizontal="center" vertical="center"/>
    </xf>
    <xf numFmtId="4" fontId="42" fillId="0" borderId="123" xfId="0" applyNumberFormat="1" applyFont="1" applyBorder="1" applyAlignment="1">
      <alignment horizontal="center" vertical="center"/>
    </xf>
    <xf numFmtId="4" fontId="42" fillId="0" borderId="125" xfId="0" applyNumberFormat="1" applyFont="1" applyBorder="1" applyAlignment="1">
      <alignment horizontal="center" vertical="center"/>
    </xf>
    <xf numFmtId="4" fontId="42" fillId="0" borderId="127" xfId="0" applyNumberFormat="1" applyFont="1" applyBorder="1" applyAlignment="1">
      <alignment horizontal="center" vertical="center"/>
    </xf>
    <xf numFmtId="4" fontId="42" fillId="0" borderId="126" xfId="0" applyNumberFormat="1" applyFont="1" applyBorder="1" applyAlignment="1">
      <alignment horizontal="center" vertical="center"/>
    </xf>
    <xf numFmtId="4" fontId="42" fillId="0" borderId="128" xfId="0" applyNumberFormat="1" applyFont="1" applyBorder="1" applyAlignment="1">
      <alignment horizontal="center" vertical="center"/>
    </xf>
    <xf numFmtId="0" fontId="43" fillId="3" borderId="49" xfId="0" applyFont="1" applyFill="1" applyBorder="1" applyAlignment="1">
      <alignment horizontal="centerContinuous" vertical="center"/>
    </xf>
    <xf numFmtId="0" fontId="43" fillId="4" borderId="49" xfId="0" applyFont="1" applyFill="1" applyBorder="1" applyAlignment="1">
      <alignment horizontal="center" vertical="center"/>
    </xf>
    <xf numFmtId="4" fontId="42" fillId="0" borderId="20" xfId="0" applyNumberFormat="1" applyFont="1" applyBorder="1" applyAlignment="1">
      <alignment horizontal="center" vertical="center"/>
    </xf>
    <xf numFmtId="3" fontId="42" fillId="0" borderId="57" xfId="0" applyNumberFormat="1" applyFont="1" applyBorder="1" applyAlignment="1">
      <alignment horizontal="center" vertical="center"/>
    </xf>
    <xf numFmtId="0" fontId="50" fillId="0" borderId="0" xfId="4" applyFill="1" applyBorder="1" applyAlignment="1">
      <alignment horizontal="centerContinuous" vertical="center"/>
    </xf>
    <xf numFmtId="0" fontId="50" fillId="0" borderId="0" xfId="4"/>
    <xf numFmtId="0" fontId="50" fillId="0" borderId="44" xfId="4" applyFill="1" applyBorder="1" applyAlignment="1">
      <alignment horizontal="centerContinuous" vertical="center"/>
    </xf>
    <xf numFmtId="0" fontId="50" fillId="0" borderId="45" xfId="4" applyFill="1" applyBorder="1" applyAlignment="1">
      <alignment horizontal="centerContinuous" vertical="center"/>
    </xf>
    <xf numFmtId="4" fontId="50" fillId="0" borderId="50" xfId="4" applyNumberFormat="1" applyBorder="1" applyAlignment="1">
      <alignment horizontal="centerContinuous" vertical="center"/>
    </xf>
    <xf numFmtId="4" fontId="51" fillId="0" borderId="9" xfId="4" applyNumberFormat="1" applyFont="1" applyBorder="1" applyAlignment="1">
      <alignment horizontal="center" vertical="center"/>
    </xf>
    <xf numFmtId="4" fontId="51" fillId="0" borderId="11" xfId="4" applyNumberFormat="1" applyFont="1" applyBorder="1" applyAlignment="1">
      <alignment horizontal="center" vertical="center"/>
    </xf>
    <xf numFmtId="4" fontId="51" fillId="0" borderId="13" xfId="4" applyNumberFormat="1" applyFont="1" applyBorder="1" applyAlignment="1">
      <alignment horizontal="center" vertical="center"/>
    </xf>
    <xf numFmtId="0" fontId="50" fillId="0" borderId="0" xfId="4" applyFill="1" applyAlignment="1">
      <alignment horizontal="centerContinuous"/>
    </xf>
    <xf numFmtId="168" fontId="55" fillId="0" borderId="0" xfId="0" applyNumberFormat="1" applyFont="1" applyAlignment="1">
      <alignment horizontal="left"/>
    </xf>
    <xf numFmtId="0" fontId="0" fillId="0" borderId="0" xfId="0"/>
    <xf numFmtId="0" fontId="43" fillId="3" borderId="4" xfId="6" applyFont="1" applyFill="1" applyBorder="1" applyAlignment="1">
      <alignment horizontal="centerContinuous" vertical="center"/>
    </xf>
    <xf numFmtId="0" fontId="43" fillId="3" borderId="6" xfId="6" applyFont="1" applyFill="1" applyBorder="1" applyAlignment="1">
      <alignment horizontal="centerContinuous" vertical="center"/>
    </xf>
    <xf numFmtId="4" fontId="54" fillId="0" borderId="11" xfId="6" applyNumberFormat="1" applyFont="1" applyBorder="1" applyAlignment="1">
      <alignment horizontal="center" vertical="center"/>
    </xf>
    <xf numFmtId="4" fontId="54" fillId="0" borderId="16" xfId="6" applyNumberFormat="1" applyFont="1" applyBorder="1" applyAlignment="1">
      <alignment horizontal="center" vertical="center"/>
    </xf>
    <xf numFmtId="4" fontId="54" fillId="0" borderId="13" xfId="6" applyNumberFormat="1" applyFont="1" applyBorder="1" applyAlignment="1">
      <alignment horizontal="center" vertical="center"/>
    </xf>
    <xf numFmtId="4" fontId="54" fillId="0" borderId="17" xfId="6" applyNumberFormat="1" applyFont="1" applyBorder="1" applyAlignment="1">
      <alignment horizontal="center" vertical="center"/>
    </xf>
    <xf numFmtId="168" fontId="54" fillId="0" borderId="16" xfId="6" applyNumberFormat="1" applyFont="1" applyBorder="1" applyAlignment="1">
      <alignment horizontal="right" vertical="center"/>
    </xf>
    <xf numFmtId="168" fontId="54" fillId="0" borderId="17" xfId="6" applyNumberFormat="1" applyFont="1" applyBorder="1" applyAlignment="1">
      <alignment horizontal="right" vertical="center"/>
    </xf>
    <xf numFmtId="3" fontId="54" fillId="0" borderId="16" xfId="6" applyNumberFormat="1" applyFont="1" applyBorder="1" applyAlignment="1">
      <alignment horizontal="right" vertical="center"/>
    </xf>
    <xf numFmtId="3" fontId="54" fillId="0" borderId="17" xfId="6" applyNumberFormat="1" applyFont="1" applyBorder="1" applyAlignment="1">
      <alignment horizontal="right" vertical="center"/>
    </xf>
    <xf numFmtId="0" fontId="43" fillId="3" borderId="50" xfId="0" applyFont="1" applyFill="1" applyBorder="1" applyAlignment="1">
      <alignment horizontal="centerContinuous" vertical="center"/>
    </xf>
    <xf numFmtId="0" fontId="44" fillId="3" borderId="45" xfId="0" applyFont="1" applyFill="1" applyBorder="1" applyAlignment="1">
      <alignment horizontal="centerContinuous" vertical="center"/>
    </xf>
    <xf numFmtId="180" fontId="42" fillId="0" borderId="44" xfId="0" applyNumberFormat="1" applyFont="1" applyBorder="1" applyAlignment="1">
      <alignment horizontal="center"/>
    </xf>
    <xf numFmtId="180" fontId="42" fillId="0" borderId="82" xfId="0" applyNumberFormat="1" applyFont="1" applyBorder="1" applyAlignment="1">
      <alignment horizontal="center"/>
    </xf>
    <xf numFmtId="4" fontId="42" fillId="0" borderId="13" xfId="0" applyNumberFormat="1" applyFont="1" applyFill="1" applyBorder="1" applyAlignment="1">
      <alignment horizontal="center" vertical="center"/>
    </xf>
    <xf numFmtId="0" fontId="42" fillId="0" borderId="14" xfId="0" applyNumberFormat="1" applyFont="1" applyBorder="1" applyAlignment="1">
      <alignment horizontal="center" vertical="center"/>
    </xf>
    <xf numFmtId="179" fontId="42" fillId="0" borderId="12" xfId="0" applyNumberFormat="1" applyFont="1" applyBorder="1" applyAlignment="1">
      <alignment horizontal="center" vertical="center"/>
    </xf>
    <xf numFmtId="179" fontId="42" fillId="0" borderId="14" xfId="0" applyNumberFormat="1" applyFont="1" applyBorder="1" applyAlignment="1">
      <alignment horizontal="center" vertical="center"/>
    </xf>
    <xf numFmtId="0" fontId="42" fillId="0" borderId="12" xfId="0" applyNumberFormat="1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/>
    <xf numFmtId="9" fontId="0" fillId="0" borderId="0" xfId="0" applyNumberFormat="1"/>
    <xf numFmtId="4" fontId="47" fillId="8" borderId="9" xfId="6" applyNumberFormat="1" applyFont="1" applyFill="1" applyBorder="1" applyAlignment="1">
      <alignment horizontal="center" vertical="center"/>
    </xf>
    <xf numFmtId="4" fontId="47" fillId="8" borderId="11" xfId="6" applyNumberFormat="1" applyFont="1" applyFill="1" applyBorder="1" applyAlignment="1">
      <alignment horizontal="center" vertical="center"/>
    </xf>
    <xf numFmtId="4" fontId="47" fillId="8" borderId="13" xfId="6" applyNumberFormat="1" applyFont="1" applyFill="1" applyBorder="1" applyAlignment="1">
      <alignment horizontal="center" vertical="center"/>
    </xf>
    <xf numFmtId="4" fontId="42" fillId="0" borderId="21" xfId="0" applyNumberFormat="1" applyFont="1" applyBorder="1" applyAlignment="1">
      <alignment horizontal="center" vertical="center"/>
    </xf>
    <xf numFmtId="0" fontId="16" fillId="0" borderId="0" xfId="0" applyFont="1"/>
    <xf numFmtId="10" fontId="42" fillId="0" borderId="0" xfId="0" applyNumberFormat="1" applyFont="1" applyAlignment="1">
      <alignment horizontal="center"/>
    </xf>
    <xf numFmtId="0" fontId="42" fillId="0" borderId="0" xfId="0" applyFont="1" applyAlignment="1">
      <alignment horizontal="center"/>
    </xf>
    <xf numFmtId="0" fontId="59" fillId="0" borderId="0" xfId="0" applyFont="1"/>
    <xf numFmtId="168" fontId="43" fillId="4" borderId="21" xfId="0" applyNumberFormat="1" applyFont="1" applyFill="1" applyBorder="1" applyAlignment="1">
      <alignment horizontal="center" vertical="center"/>
    </xf>
    <xf numFmtId="0" fontId="60" fillId="0" borderId="0" xfId="0" applyFont="1"/>
    <xf numFmtId="170" fontId="42" fillId="0" borderId="76" xfId="0" applyNumberFormat="1" applyFont="1" applyBorder="1" applyAlignment="1">
      <alignment horizontal="center" vertical="center"/>
    </xf>
    <xf numFmtId="170" fontId="42" fillId="0" borderId="77" xfId="0" applyNumberFormat="1" applyFont="1" applyBorder="1" applyAlignment="1">
      <alignment horizontal="center" vertical="center"/>
    </xf>
    <xf numFmtId="170" fontId="42" fillId="0" borderId="78" xfId="0" applyNumberFormat="1" applyFont="1" applyBorder="1" applyAlignment="1">
      <alignment horizontal="center" vertical="center"/>
    </xf>
    <xf numFmtId="0" fontId="43" fillId="3" borderId="19" xfId="0" applyFont="1" applyFill="1" applyBorder="1" applyAlignment="1">
      <alignment horizontal="centerContinuous" vertical="center"/>
    </xf>
    <xf numFmtId="4" fontId="42" fillId="0" borderId="0" xfId="0" applyNumberFormat="1" applyFont="1" applyAlignment="1">
      <alignment horizontal="center" vertical="center"/>
    </xf>
    <xf numFmtId="4" fontId="42" fillId="0" borderId="9" xfId="0" applyNumberFormat="1" applyFont="1" applyBorder="1" applyAlignment="1">
      <alignment horizontal="centerContinuous" vertical="center"/>
    </xf>
    <xf numFmtId="4" fontId="42" fillId="0" borderId="11" xfId="0" applyNumberFormat="1" applyFont="1" applyBorder="1" applyAlignment="1">
      <alignment horizontal="centerContinuous" vertical="center"/>
    </xf>
    <xf numFmtId="4" fontId="42" fillId="0" borderId="13" xfId="0" applyNumberFormat="1" applyFont="1" applyBorder="1" applyAlignment="1">
      <alignment horizontal="centerContinuous" vertical="center"/>
    </xf>
    <xf numFmtId="4" fontId="42" fillId="0" borderId="20" xfId="0" applyNumberFormat="1" applyFont="1" applyBorder="1" applyAlignment="1">
      <alignment horizontal="centerContinuous" vertical="center"/>
    </xf>
    <xf numFmtId="4" fontId="42" fillId="0" borderId="91" xfId="0" applyNumberFormat="1" applyFont="1" applyBorder="1" applyAlignment="1">
      <alignment horizontal="centerContinuous" vertical="center"/>
    </xf>
    <xf numFmtId="4" fontId="42" fillId="0" borderId="21" xfId="0" applyNumberFormat="1" applyFont="1" applyBorder="1" applyAlignment="1">
      <alignment horizontal="centerContinuous" vertical="center"/>
    </xf>
    <xf numFmtId="4" fontId="42" fillId="0" borderId="27" xfId="0" applyNumberFormat="1" applyFont="1" applyBorder="1" applyAlignment="1">
      <alignment horizontal="centerContinuous" vertical="center"/>
    </xf>
    <xf numFmtId="180" fontId="42" fillId="0" borderId="10" xfId="0" applyNumberFormat="1" applyFont="1" applyBorder="1" applyAlignment="1">
      <alignment horizontal="center" vertical="center"/>
    </xf>
    <xf numFmtId="169" fontId="42" fillId="0" borderId="10" xfId="0" applyNumberFormat="1" applyFont="1" applyBorder="1" applyAlignment="1">
      <alignment horizontal="center" vertical="center"/>
    </xf>
    <xf numFmtId="169" fontId="42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3" fillId="3" borderId="89" xfId="0" applyFont="1" applyFill="1" applyBorder="1" applyAlignment="1">
      <alignment horizontal="centerContinuous" vertical="center"/>
    </xf>
    <xf numFmtId="0" fontId="43" fillId="3" borderId="130" xfId="0" applyFont="1" applyFill="1" applyBorder="1" applyAlignment="1">
      <alignment horizontal="centerContinuous" vertical="center"/>
    </xf>
    <xf numFmtId="0" fontId="43" fillId="3" borderId="106" xfId="0" applyFont="1" applyFill="1" applyBorder="1" applyAlignment="1">
      <alignment horizontal="centerContinuous" vertical="center"/>
    </xf>
    <xf numFmtId="170" fontId="54" fillId="0" borderId="9" xfId="0" applyNumberFormat="1" applyFont="1" applyFill="1" applyBorder="1" applyAlignment="1">
      <alignment horizontal="center" vertical="center"/>
    </xf>
    <xf numFmtId="170" fontId="54" fillId="0" borderId="15" xfId="0" applyNumberFormat="1" applyFont="1" applyFill="1" applyBorder="1" applyAlignment="1">
      <alignment horizontal="center" vertical="center"/>
    </xf>
    <xf numFmtId="170" fontId="54" fillId="0" borderId="10" xfId="0" applyNumberFormat="1" applyFont="1" applyFill="1" applyBorder="1" applyAlignment="1">
      <alignment horizontal="center" vertical="center"/>
    </xf>
    <xf numFmtId="170" fontId="54" fillId="0" borderId="11" xfId="0" applyNumberFormat="1" applyFont="1" applyFill="1" applyBorder="1" applyAlignment="1">
      <alignment horizontal="center" vertical="center"/>
    </xf>
    <xf numFmtId="170" fontId="54" fillId="0" borderId="16" xfId="0" applyNumberFormat="1" applyFont="1" applyFill="1" applyBorder="1" applyAlignment="1">
      <alignment horizontal="center" vertical="center"/>
    </xf>
    <xf numFmtId="170" fontId="54" fillId="0" borderId="12" xfId="0" applyNumberFormat="1" applyFont="1" applyFill="1" applyBorder="1" applyAlignment="1">
      <alignment horizontal="center" vertical="center"/>
    </xf>
    <xf numFmtId="170" fontId="54" fillId="0" borderId="13" xfId="0" applyNumberFormat="1" applyFont="1" applyFill="1" applyBorder="1" applyAlignment="1">
      <alignment horizontal="center" vertical="center"/>
    </xf>
    <xf numFmtId="170" fontId="54" fillId="0" borderId="17" xfId="0" applyNumberFormat="1" applyFont="1" applyFill="1" applyBorder="1" applyAlignment="1">
      <alignment horizontal="center" vertical="center"/>
    </xf>
    <xf numFmtId="170" fontId="54" fillId="0" borderId="14" xfId="0" applyNumberFormat="1" applyFont="1" applyFill="1" applyBorder="1" applyAlignment="1">
      <alignment horizontal="center" vertical="center"/>
    </xf>
    <xf numFmtId="0" fontId="62" fillId="0" borderId="0" xfId="0" applyFont="1"/>
    <xf numFmtId="0" fontId="50" fillId="0" borderId="0" xfId="4" applyAlignment="1">
      <alignment horizontal="center"/>
    </xf>
    <xf numFmtId="0" fontId="63" fillId="0" borderId="0" xfId="0" applyFont="1"/>
    <xf numFmtId="4" fontId="50" fillId="0" borderId="11" xfId="4" applyNumberFormat="1" applyBorder="1" applyAlignment="1">
      <alignment horizontal="center" vertical="center"/>
    </xf>
    <xf numFmtId="4" fontId="50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2" fillId="0" borderId="28" xfId="0" applyNumberFormat="1" applyFont="1" applyBorder="1" applyAlignment="1">
      <alignment horizontal="center" vertical="center"/>
    </xf>
    <xf numFmtId="4" fontId="42" fillId="0" borderId="131" xfId="0" applyNumberFormat="1" applyFont="1" applyBorder="1" applyAlignment="1">
      <alignment horizontal="center" vertical="center"/>
    </xf>
    <xf numFmtId="170" fontId="42" fillId="0" borderId="30" xfId="0" applyNumberFormat="1" applyFont="1" applyBorder="1" applyAlignment="1">
      <alignment horizontal="center" vertical="center"/>
    </xf>
    <xf numFmtId="2" fontId="42" fillId="0" borderId="132" xfId="0" applyNumberFormat="1" applyFont="1" applyBorder="1" applyAlignment="1">
      <alignment horizontal="center" vertical="center"/>
    </xf>
    <xf numFmtId="170" fontId="42" fillId="0" borderId="55" xfId="0" applyNumberFormat="1" applyFont="1" applyBorder="1" applyAlignment="1">
      <alignment horizontal="center" vertical="center"/>
    </xf>
    <xf numFmtId="170" fontId="42" fillId="0" borderId="75" xfId="0" applyNumberFormat="1" applyFont="1" applyBorder="1" applyAlignment="1">
      <alignment horizontal="center" vertical="center"/>
    </xf>
    <xf numFmtId="170" fontId="42" fillId="0" borderId="16" xfId="0" applyNumberFormat="1" applyFont="1" applyBorder="1" applyAlignment="1">
      <alignment horizontal="center" vertical="center"/>
    </xf>
    <xf numFmtId="170" fontId="42" fillId="0" borderId="12" xfId="0" applyNumberFormat="1" applyFont="1" applyBorder="1" applyAlignment="1">
      <alignment horizontal="center" vertical="center"/>
    </xf>
    <xf numFmtId="170" fontId="42" fillId="0" borderId="17" xfId="0" applyNumberFormat="1" applyFont="1" applyBorder="1" applyAlignment="1">
      <alignment horizontal="center" vertical="center"/>
    </xf>
    <xf numFmtId="170" fontId="42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5" fillId="0" borderId="14" xfId="0" applyNumberFormat="1" applyFont="1" applyBorder="1" applyAlignment="1">
      <alignment horizontal="center" vertical="center"/>
    </xf>
    <xf numFmtId="182" fontId="15" fillId="0" borderId="0" xfId="0" applyNumberFormat="1" applyFont="1" applyFill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4" fontId="15" fillId="0" borderId="16" xfId="0" applyNumberFormat="1" applyFont="1" applyBorder="1" applyAlignment="1">
      <alignment horizontal="center" vertical="center"/>
    </xf>
    <xf numFmtId="4" fontId="15" fillId="0" borderId="15" xfId="0" applyNumberFormat="1" applyFont="1" applyBorder="1" applyAlignment="1">
      <alignment horizontal="center" vertical="center"/>
    </xf>
    <xf numFmtId="4" fontId="15" fillId="0" borderId="17" xfId="0" applyNumberFormat="1" applyFont="1" applyBorder="1" applyAlignment="1">
      <alignment horizontal="center" vertical="center"/>
    </xf>
    <xf numFmtId="4" fontId="34" fillId="4" borderId="28" xfId="0" applyNumberFormat="1" applyFont="1" applyFill="1" applyBorder="1" applyAlignment="1">
      <alignment horizontal="center" vertical="center"/>
    </xf>
    <xf numFmtId="4" fontId="34" fillId="4" borderId="29" xfId="0" applyNumberFormat="1" applyFont="1" applyFill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5" xfId="0" applyNumberFormat="1" applyFont="1" applyBorder="1" applyAlignment="1">
      <alignment horizontal="right" vertical="center"/>
    </xf>
    <xf numFmtId="168" fontId="15" fillId="0" borderId="16" xfId="0" applyNumberFormat="1" applyFont="1" applyBorder="1" applyAlignment="1">
      <alignment horizontal="right" vertical="center"/>
    </xf>
    <xf numFmtId="168" fontId="15" fillId="0" borderId="17" xfId="0" applyNumberFormat="1" applyFont="1" applyBorder="1" applyAlignment="1">
      <alignment horizontal="right" vertical="center"/>
    </xf>
    <xf numFmtId="169" fontId="15" fillId="0" borderId="15" xfId="0" applyNumberFormat="1" applyFont="1" applyBorder="1" applyAlignment="1">
      <alignment horizontal="right" vertical="center"/>
    </xf>
    <xf numFmtId="169" fontId="15" fillId="0" borderId="16" xfId="0" applyNumberFormat="1" applyFont="1" applyBorder="1" applyAlignment="1">
      <alignment horizontal="right" vertical="center"/>
    </xf>
    <xf numFmtId="169" fontId="15" fillId="0" borderId="17" xfId="0" applyNumberFormat="1" applyFont="1" applyBorder="1" applyAlignment="1">
      <alignment horizontal="right" vertical="center"/>
    </xf>
    <xf numFmtId="168" fontId="14" fillId="0" borderId="11" xfId="0" applyNumberFormat="1" applyFont="1" applyBorder="1" applyAlignment="1">
      <alignment horizontal="right" vertical="center"/>
    </xf>
    <xf numFmtId="168" fontId="14" fillId="0" borderId="13" xfId="0" applyNumberFormat="1" applyFont="1" applyBorder="1" applyAlignment="1">
      <alignment horizontal="right" vertical="center"/>
    </xf>
    <xf numFmtId="4" fontId="14" fillId="0" borderId="16" xfId="0" applyNumberFormat="1" applyFont="1" applyBorder="1" applyAlignment="1">
      <alignment horizontal="center" vertical="center"/>
    </xf>
    <xf numFmtId="4" fontId="14" fillId="0" borderId="15" xfId="0" applyNumberFormat="1" applyFont="1" applyBorder="1" applyAlignment="1">
      <alignment horizontal="center" vertical="center"/>
    </xf>
    <xf numFmtId="4" fontId="14" fillId="0" borderId="17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68" fontId="14" fillId="0" borderId="9" xfId="0" applyNumberFormat="1" applyFont="1" applyBorder="1" applyAlignment="1">
      <alignment horizontal="right" vertical="center"/>
    </xf>
    <xf numFmtId="4" fontId="34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2" fillId="0" borderId="44" xfId="0" applyNumberFormat="1" applyFont="1" applyBorder="1" applyAlignment="1">
      <alignment horizontal="center"/>
    </xf>
    <xf numFmtId="169" fontId="42" fillId="0" borderId="82" xfId="0" applyNumberFormat="1" applyFont="1" applyBorder="1" applyAlignment="1">
      <alignment horizontal="center"/>
    </xf>
    <xf numFmtId="168" fontId="42" fillId="0" borderId="44" xfId="0" applyNumberFormat="1" applyFont="1" applyBorder="1" applyAlignment="1">
      <alignment horizontal="centerContinuous"/>
    </xf>
    <xf numFmtId="168" fontId="42" fillId="0" borderId="82" xfId="0" applyNumberFormat="1" applyFont="1" applyBorder="1" applyAlignment="1">
      <alignment horizontal="centerContinuous"/>
    </xf>
    <xf numFmtId="4" fontId="42" fillId="0" borderId="133" xfId="0" applyNumberFormat="1" applyFont="1" applyBorder="1" applyAlignment="1">
      <alignment horizontal="centerContinuous" vertical="center"/>
    </xf>
    <xf numFmtId="4" fontId="42" fillId="0" borderId="134" xfId="0" applyNumberFormat="1" applyFont="1" applyBorder="1" applyAlignment="1">
      <alignment horizontal="centerContinuous" vertical="center"/>
    </xf>
    <xf numFmtId="4" fontId="42" fillId="0" borderId="135" xfId="0" applyNumberFormat="1" applyFont="1" applyBorder="1" applyAlignment="1">
      <alignment horizontal="centerContinuous" vertical="center"/>
    </xf>
    <xf numFmtId="168" fontId="42" fillId="0" borderId="61" xfId="0" applyNumberFormat="1" applyFont="1" applyBorder="1" applyAlignment="1">
      <alignment horizontal="centerContinuous" vertical="center"/>
    </xf>
    <xf numFmtId="168" fontId="42" fillId="0" borderId="82" xfId="0" applyNumberFormat="1" applyFont="1" applyBorder="1" applyAlignment="1">
      <alignment horizontal="centerContinuous" vertical="center"/>
    </xf>
    <xf numFmtId="168" fontId="42" fillId="0" borderId="63" xfId="0" applyNumberFormat="1" applyFont="1" applyBorder="1" applyAlignment="1">
      <alignment horizontal="centerContinuous" vertical="center"/>
    </xf>
    <xf numFmtId="168" fontId="42" fillId="0" borderId="45" xfId="0" applyNumberFormat="1" applyFont="1" applyBorder="1" applyAlignment="1">
      <alignment horizontal="centerContinuous" vertical="center"/>
    </xf>
    <xf numFmtId="4" fontId="42" fillId="0" borderId="104" xfId="0" applyNumberFormat="1" applyFont="1" applyBorder="1" applyAlignment="1">
      <alignment horizontal="centerContinuous" vertical="center"/>
    </xf>
    <xf numFmtId="4" fontId="42" fillId="0" borderId="129" xfId="0" applyNumberFormat="1" applyFont="1" applyBorder="1" applyAlignment="1">
      <alignment horizontal="centerContinuous" vertical="center"/>
    </xf>
    <xf numFmtId="4" fontId="42" fillId="0" borderId="136" xfId="0" applyNumberFormat="1" applyFont="1" applyBorder="1" applyAlignment="1">
      <alignment horizontal="centerContinuous" vertical="center"/>
    </xf>
    <xf numFmtId="4" fontId="42" fillId="0" borderId="61" xfId="0" applyNumberFormat="1" applyFont="1" applyBorder="1" applyAlignment="1">
      <alignment horizontal="centerContinuous" vertical="center"/>
    </xf>
    <xf numFmtId="4" fontId="42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2" fillId="0" borderId="138" xfId="0" applyNumberFormat="1" applyFont="1" applyBorder="1" applyAlignment="1">
      <alignment horizontal="centerContinuous" vertical="center"/>
    </xf>
    <xf numFmtId="168" fontId="42" fillId="0" borderId="0" xfId="0" applyNumberFormat="1" applyFont="1"/>
    <xf numFmtId="168" fontId="17" fillId="0" borderId="139" xfId="0" applyNumberFormat="1" applyFont="1" applyBorder="1" applyAlignment="1">
      <alignment horizontal="center" vertical="center"/>
    </xf>
    <xf numFmtId="168" fontId="17" fillId="0" borderId="140" xfId="0" applyNumberFormat="1" applyFont="1" applyBorder="1" applyAlignment="1">
      <alignment horizontal="center" vertical="center"/>
    </xf>
    <xf numFmtId="168" fontId="17" fillId="0" borderId="141" xfId="0" applyNumberFormat="1" applyFont="1" applyBorder="1" applyAlignment="1">
      <alignment horizontal="center" vertical="center"/>
    </xf>
    <xf numFmtId="168" fontId="17" fillId="0" borderId="142" xfId="0" applyNumberFormat="1" applyFont="1" applyBorder="1" applyAlignment="1">
      <alignment horizontal="center" vertical="center"/>
    </xf>
    <xf numFmtId="0" fontId="34" fillId="4" borderId="143" xfId="0" applyFont="1" applyFill="1" applyBorder="1" applyAlignment="1">
      <alignment horizontal="center" vertical="center"/>
    </xf>
    <xf numFmtId="0" fontId="34" fillId="4" borderId="144" xfId="0" applyFont="1" applyFill="1" applyBorder="1" applyAlignment="1">
      <alignment horizontal="center" vertical="center"/>
    </xf>
    <xf numFmtId="4" fontId="42" fillId="0" borderId="145" xfId="0" applyNumberFormat="1" applyFont="1" applyBorder="1" applyAlignment="1">
      <alignment horizontal="center" vertical="center"/>
    </xf>
    <xf numFmtId="2" fontId="42" fillId="0" borderId="44" xfId="0" applyNumberFormat="1" applyFont="1" applyBorder="1" applyAlignment="1">
      <alignment horizontal="centerContinuous"/>
    </xf>
    <xf numFmtId="2" fontId="42" fillId="0" borderId="82" xfId="0" applyNumberFormat="1" applyFont="1" applyBorder="1" applyAlignment="1">
      <alignment horizontal="centerContinuous"/>
    </xf>
    <xf numFmtId="0" fontId="43" fillId="4" borderId="50" xfId="0" applyFont="1" applyFill="1" applyBorder="1" applyAlignment="1">
      <alignment horizontal="centerContinuous" vertical="center"/>
    </xf>
    <xf numFmtId="0" fontId="43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2" fillId="0" borderId="147" xfId="0" applyNumberFormat="1" applyFont="1" applyBorder="1" applyAlignment="1">
      <alignment horizontal="centerContinuous" vertical="center"/>
    </xf>
    <xf numFmtId="4" fontId="42" fillId="0" borderId="62" xfId="0" applyNumberFormat="1" applyFont="1" applyBorder="1" applyAlignment="1">
      <alignment horizontal="centerContinuous" vertical="center"/>
    </xf>
    <xf numFmtId="9" fontId="42" fillId="0" borderId="10" xfId="0" applyNumberFormat="1" applyFont="1" applyBorder="1" applyAlignment="1">
      <alignment horizontal="center" vertical="center"/>
    </xf>
    <xf numFmtId="9" fontId="42" fillId="0" borderId="12" xfId="0" applyNumberFormat="1" applyFont="1" applyBorder="1" applyAlignment="1">
      <alignment horizontal="center" vertical="center"/>
    </xf>
    <xf numFmtId="4" fontId="50" fillId="0" borderId="97" xfId="4" applyNumberFormat="1" applyBorder="1" applyAlignment="1">
      <alignment horizontal="center" vertical="center"/>
    </xf>
    <xf numFmtId="175" fontId="42" fillId="0" borderId="14" xfId="0" applyNumberFormat="1" applyFont="1" applyBorder="1" applyAlignment="1">
      <alignment horizontal="center" vertical="center"/>
    </xf>
    <xf numFmtId="176" fontId="42" fillId="0" borderId="10" xfId="0" applyNumberFormat="1" applyFont="1" applyBorder="1" applyAlignment="1">
      <alignment horizontal="center" vertical="center"/>
    </xf>
    <xf numFmtId="176" fontId="42" fillId="0" borderId="12" xfId="0" applyNumberFormat="1" applyFont="1" applyBorder="1" applyAlignment="1">
      <alignment horizontal="center" vertical="center"/>
    </xf>
    <xf numFmtId="176" fontId="42" fillId="0" borderId="14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175" fontId="42" fillId="0" borderId="13" xfId="0" applyNumberFormat="1" applyFont="1" applyBorder="1" applyAlignment="1">
      <alignment horizontal="center" vertical="center"/>
    </xf>
    <xf numFmtId="0" fontId="43" fillId="3" borderId="44" xfId="0" applyFont="1" applyFill="1" applyBorder="1" applyAlignment="1">
      <alignment horizontal="centerContinuous" vertical="center"/>
    </xf>
    <xf numFmtId="0" fontId="43" fillId="3" borderId="148" xfId="0" applyFont="1" applyFill="1" applyBorder="1" applyAlignment="1">
      <alignment horizontal="centerContinuous" vertical="center"/>
    </xf>
    <xf numFmtId="0" fontId="43" fillId="3" borderId="146" xfId="0" applyFont="1" applyFill="1" applyBorder="1" applyAlignment="1">
      <alignment horizontal="centerContinuous" vertical="center"/>
    </xf>
    <xf numFmtId="0" fontId="43" fillId="3" borderId="82" xfId="0" applyFont="1" applyFill="1" applyBorder="1" applyAlignment="1">
      <alignment horizontal="centerContinuous" vertical="center"/>
    </xf>
    <xf numFmtId="175" fontId="42" fillId="0" borderId="13" xfId="0" applyNumberFormat="1" applyFont="1" applyBorder="1" applyAlignment="1">
      <alignment horizontal="centerContinuous" vertical="center"/>
    </xf>
    <xf numFmtId="175" fontId="42" fillId="0" borderId="135" xfId="0" applyNumberFormat="1" applyFont="1" applyBorder="1" applyAlignment="1">
      <alignment horizontal="centerContinuous" vertical="center"/>
    </xf>
    <xf numFmtId="175" fontId="42" fillId="0" borderId="149" xfId="0" applyNumberFormat="1" applyFont="1" applyBorder="1" applyAlignment="1">
      <alignment horizontal="centerContinuous" vertical="center"/>
    </xf>
    <xf numFmtId="175" fontId="42" fillId="0" borderId="150" xfId="0" applyNumberFormat="1" applyFont="1" applyBorder="1" applyAlignment="1">
      <alignment horizontal="centerContinuous" vertical="center"/>
    </xf>
    <xf numFmtId="4" fontId="42" fillId="0" borderId="19" xfId="0" applyNumberFormat="1" applyFont="1" applyBorder="1" applyAlignment="1">
      <alignment horizontal="center" vertical="center"/>
    </xf>
    <xf numFmtId="0" fontId="66" fillId="0" borderId="0" xfId="0" applyFont="1" applyBorder="1"/>
    <xf numFmtId="0" fontId="66" fillId="0" borderId="0" xfId="0" applyFont="1"/>
    <xf numFmtId="0" fontId="0" fillId="0" borderId="0" xfId="0" applyBorder="1" applyAlignment="1">
      <alignment horizontal="left"/>
    </xf>
    <xf numFmtId="0" fontId="68" fillId="0" borderId="0" xfId="0" applyFont="1" applyFill="1" applyBorder="1" applyAlignment="1">
      <alignment horizontal="left" vertical="center"/>
    </xf>
    <xf numFmtId="0" fontId="50" fillId="0" borderId="0" xfId="4" applyFill="1" applyAlignment="1">
      <alignment horizontal="center"/>
    </xf>
    <xf numFmtId="4" fontId="50" fillId="0" borderId="151" xfId="4" applyNumberFormat="1" applyBorder="1" applyAlignment="1">
      <alignment horizontal="center" vertical="center"/>
    </xf>
    <xf numFmtId="0" fontId="50" fillId="0" borderId="152" xfId="4" applyFill="1" applyBorder="1" applyAlignment="1">
      <alignment horizontal="centerContinuous" vertical="center"/>
    </xf>
    <xf numFmtId="0" fontId="50" fillId="0" borderId="153" xfId="4" applyFill="1" applyBorder="1" applyAlignment="1">
      <alignment horizontal="centerContinuous" vertical="center"/>
    </xf>
    <xf numFmtId="4" fontId="50" fillId="0" borderId="154" xfId="4" applyNumberFormat="1" applyBorder="1" applyAlignment="1">
      <alignment horizontal="centerContinuous" vertical="center"/>
    </xf>
    <xf numFmtId="0" fontId="50" fillId="0" borderId="155" xfId="4" applyBorder="1" applyAlignment="1">
      <alignment horizontal="centerContinuous" vertical="center"/>
    </xf>
    <xf numFmtId="0" fontId="50" fillId="0" borderId="46" xfId="4" applyFill="1" applyBorder="1" applyAlignment="1">
      <alignment horizontal="center"/>
    </xf>
    <xf numFmtId="0" fontId="50" fillId="0" borderId="48" xfId="4" applyFill="1" applyBorder="1" applyAlignment="1">
      <alignment horizontal="center"/>
    </xf>
    <xf numFmtId="3" fontId="0" fillId="0" borderId="0" xfId="0" applyNumberFormat="1"/>
    <xf numFmtId="0" fontId="50" fillId="0" borderId="156" xfId="4" applyBorder="1" applyAlignment="1">
      <alignment horizontal="centerContinuous"/>
    </xf>
    <xf numFmtId="0" fontId="50" fillId="0" borderId="157" xfId="4" applyBorder="1" applyAlignment="1">
      <alignment horizontal="centerContinuous"/>
    </xf>
    <xf numFmtId="0" fontId="50" fillId="0" borderId="158" xfId="4" applyBorder="1" applyAlignment="1">
      <alignment horizontal="centerContinuous"/>
    </xf>
    <xf numFmtId="0" fontId="50" fillId="0" borderId="155" xfId="4" applyBorder="1" applyAlignment="1">
      <alignment horizontal="centerContinuous"/>
    </xf>
    <xf numFmtId="10" fontId="42" fillId="0" borderId="16" xfId="0" applyNumberFormat="1" applyFont="1" applyBorder="1" applyAlignment="1">
      <alignment horizontal="right" vertical="center"/>
    </xf>
    <xf numFmtId="10" fontId="42" fillId="0" borderId="17" xfId="0" applyNumberFormat="1" applyFont="1" applyBorder="1" applyAlignment="1">
      <alignment horizontal="right" vertical="center"/>
    </xf>
    <xf numFmtId="168" fontId="42" fillId="0" borderId="9" xfId="0" applyNumberFormat="1" applyFont="1" applyBorder="1" applyAlignment="1">
      <alignment horizontal="right" vertical="center"/>
    </xf>
    <xf numFmtId="168" fontId="42" fillId="0" borderId="11" xfId="0" applyNumberFormat="1" applyFont="1" applyBorder="1" applyAlignment="1">
      <alignment horizontal="right" vertical="center"/>
    </xf>
    <xf numFmtId="168" fontId="42" fillId="0" borderId="13" xfId="0" applyNumberFormat="1" applyFont="1" applyBorder="1" applyAlignment="1">
      <alignment horizontal="right" vertical="center"/>
    </xf>
    <xf numFmtId="0" fontId="73" fillId="0" borderId="0" xfId="0" applyFont="1"/>
    <xf numFmtId="0" fontId="74" fillId="0" borderId="0" xfId="0" applyFont="1"/>
    <xf numFmtId="0" fontId="74" fillId="0" borderId="0" xfId="0" applyFont="1" applyAlignment="1">
      <alignment horizontal="center"/>
    </xf>
    <xf numFmtId="0" fontId="67" fillId="0" borderId="0" xfId="0" applyFont="1"/>
    <xf numFmtId="0" fontId="75" fillId="0" borderId="0" xfId="0" applyFont="1"/>
    <xf numFmtId="168" fontId="33" fillId="0" borderId="159" xfId="0" applyNumberFormat="1" applyFont="1" applyBorder="1" applyAlignment="1">
      <alignment horizontal="right" vertical="center"/>
    </xf>
    <xf numFmtId="169" fontId="33" fillId="0" borderId="160" xfId="0" applyNumberFormat="1" applyFont="1" applyBorder="1" applyAlignment="1">
      <alignment horizontal="center" vertical="center"/>
    </xf>
    <xf numFmtId="168" fontId="33" fillId="6" borderId="67" xfId="0" applyNumberFormat="1" applyFont="1" applyFill="1" applyBorder="1" applyAlignment="1">
      <alignment horizontal="right" vertical="center"/>
    </xf>
    <xf numFmtId="168" fontId="33" fillId="0" borderId="67" xfId="0" applyNumberFormat="1" applyFont="1" applyBorder="1" applyAlignment="1">
      <alignment horizontal="right" vertical="center"/>
    </xf>
    <xf numFmtId="168" fontId="33" fillId="0" borderId="69" xfId="0" applyNumberFormat="1" applyFont="1" applyBorder="1" applyAlignment="1">
      <alignment horizontal="right" vertical="center"/>
    </xf>
    <xf numFmtId="169" fontId="33" fillId="0" borderId="70" xfId="0" applyNumberFormat="1" applyFont="1" applyBorder="1" applyAlignment="1">
      <alignment horizontal="right" vertical="center"/>
    </xf>
    <xf numFmtId="169" fontId="33" fillId="0" borderId="26" xfId="0" applyNumberFormat="1" applyFont="1" applyBorder="1" applyAlignment="1">
      <alignment horizontal="center" vertical="center"/>
    </xf>
    <xf numFmtId="4" fontId="43" fillId="4" borderId="29" xfId="0" applyNumberFormat="1" applyFont="1" applyFill="1" applyBorder="1" applyAlignment="1">
      <alignment horizontal="center" vertical="center"/>
    </xf>
    <xf numFmtId="4" fontId="43" fillId="4" borderId="30" xfId="0" applyNumberFormat="1" applyFont="1" applyFill="1" applyBorder="1" applyAlignment="1">
      <alignment horizontal="center" vertical="center"/>
    </xf>
    <xf numFmtId="4" fontId="40" fillId="5" borderId="9" xfId="0" applyNumberFormat="1" applyFont="1" applyFill="1" applyBorder="1" applyAlignment="1">
      <alignment horizontal="center" vertical="center"/>
    </xf>
    <xf numFmtId="4" fontId="41" fillId="5" borderId="13" xfId="0" applyNumberFormat="1" applyFont="1" applyFill="1" applyBorder="1" applyAlignment="1">
      <alignment horizontal="centerContinuous" vertical="center"/>
    </xf>
    <xf numFmtId="4" fontId="41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4" fillId="4" borderId="89" xfId="0" applyNumberFormat="1" applyFont="1" applyFill="1" applyBorder="1" applyAlignment="1">
      <alignment horizontal="centerContinuous" vertical="center"/>
    </xf>
    <xf numFmtId="0" fontId="42" fillId="0" borderId="134" xfId="0" applyFont="1" applyBorder="1" applyAlignment="1">
      <alignment horizontal="center" vertical="center"/>
    </xf>
    <xf numFmtId="0" fontId="42" fillId="0" borderId="161" xfId="0" applyFont="1" applyBorder="1" applyAlignment="1">
      <alignment horizontal="center" vertical="center"/>
    </xf>
    <xf numFmtId="0" fontId="34" fillId="4" borderId="58" xfId="0" applyFont="1" applyFill="1" applyBorder="1" applyAlignment="1">
      <alignment horizontal="centerContinuous" vertical="center"/>
    </xf>
    <xf numFmtId="0" fontId="42" fillId="0" borderId="162" xfId="0" applyFont="1" applyBorder="1" applyAlignment="1">
      <alignment horizontal="centerContinuous"/>
    </xf>
    <xf numFmtId="0" fontId="42" fillId="0" borderId="153" xfId="0" applyFont="1" applyBorder="1" applyAlignment="1">
      <alignment horizontal="centerContinuous"/>
    </xf>
    <xf numFmtId="0" fontId="42" fillId="0" borderId="163" xfId="0" applyFont="1" applyBorder="1" applyAlignment="1">
      <alignment horizontal="centerContinuous"/>
    </xf>
    <xf numFmtId="0" fontId="42" fillId="0" borderId="155" xfId="0" applyFont="1" applyBorder="1" applyAlignment="1">
      <alignment horizontal="centerContinuous"/>
    </xf>
    <xf numFmtId="168" fontId="43" fillId="4" borderId="29" xfId="0" applyNumberFormat="1" applyFont="1" applyFill="1" applyBorder="1" applyAlignment="1">
      <alignment horizontal="centerContinuous" vertical="center"/>
    </xf>
    <xf numFmtId="168" fontId="43" fillId="4" borderId="164" xfId="0" applyNumberFormat="1" applyFont="1" applyFill="1" applyBorder="1" applyAlignment="1">
      <alignment horizontal="centerContinuous" vertical="center"/>
    </xf>
    <xf numFmtId="4" fontId="42" fillId="0" borderId="70" xfId="0" applyNumberFormat="1" applyFont="1" applyBorder="1" applyAlignment="1">
      <alignment horizontal="center" vertical="center"/>
    </xf>
    <xf numFmtId="170" fontId="42" fillId="0" borderId="9" xfId="0" applyNumberFormat="1" applyFont="1" applyBorder="1" applyAlignment="1">
      <alignment horizontal="center" vertical="center"/>
    </xf>
    <xf numFmtId="170" fontId="42" fillId="0" borderId="15" xfId="0" applyNumberFormat="1" applyFont="1" applyBorder="1" applyAlignment="1">
      <alignment horizontal="center" vertical="center"/>
    </xf>
    <xf numFmtId="170" fontId="42" fillId="0" borderId="11" xfId="0" applyNumberFormat="1" applyFont="1" applyBorder="1" applyAlignment="1">
      <alignment horizontal="center" vertical="center"/>
    </xf>
    <xf numFmtId="184" fontId="16" fillId="0" borderId="0" xfId="0" applyNumberFormat="1" applyFont="1"/>
    <xf numFmtId="170" fontId="42" fillId="0" borderId="160" xfId="0" applyNumberFormat="1" applyFont="1" applyBorder="1" applyAlignment="1">
      <alignment horizontal="center" vertical="center"/>
    </xf>
    <xf numFmtId="170" fontId="42" fillId="0" borderId="68" xfId="0" applyNumberFormat="1" applyFont="1" applyBorder="1" applyAlignment="1">
      <alignment horizontal="center" vertical="center"/>
    </xf>
    <xf numFmtId="170" fontId="42" fillId="0" borderId="86" xfId="0" applyNumberFormat="1" applyFont="1" applyBorder="1" applyAlignment="1">
      <alignment horizontal="center" vertical="center"/>
    </xf>
    <xf numFmtId="170" fontId="42" fillId="0" borderId="70" xfId="0" applyNumberFormat="1" applyFont="1" applyBorder="1" applyAlignment="1">
      <alignment horizontal="center" vertical="center"/>
    </xf>
    <xf numFmtId="170" fontId="42" fillId="0" borderId="71" xfId="0" applyNumberFormat="1" applyFont="1" applyBorder="1" applyAlignment="1">
      <alignment horizontal="center" vertical="center"/>
    </xf>
    <xf numFmtId="4" fontId="50" fillId="0" borderId="9" xfId="4" applyNumberFormat="1" applyBorder="1" applyAlignment="1">
      <alignment horizontal="center" vertical="center"/>
    </xf>
    <xf numFmtId="4" fontId="42" fillId="0" borderId="0" xfId="0" applyNumberFormat="1" applyFont="1"/>
    <xf numFmtId="3" fontId="42" fillId="0" borderId="0" xfId="0" applyNumberFormat="1" applyFont="1"/>
    <xf numFmtId="0" fontId="42" fillId="0" borderId="31" xfId="0" applyFont="1" applyBorder="1" applyAlignment="1">
      <alignment horizontal="centerContinuous"/>
    </xf>
    <xf numFmtId="0" fontId="42" fillId="0" borderId="165" xfId="0" applyFont="1" applyBorder="1" applyAlignment="1">
      <alignment horizontal="centerContinuous"/>
    </xf>
    <xf numFmtId="0" fontId="42" fillId="0" borderId="35" xfId="0" applyFont="1" applyBorder="1" applyAlignment="1">
      <alignment horizontal="centerContinuous"/>
    </xf>
    <xf numFmtId="0" fontId="42" fillId="0" borderId="166" xfId="0" applyFont="1" applyBorder="1" applyAlignment="1">
      <alignment horizontal="centerContinuous"/>
    </xf>
    <xf numFmtId="3" fontId="42" fillId="0" borderId="23" xfId="0" applyNumberFormat="1" applyFont="1" applyBorder="1"/>
    <xf numFmtId="3" fontId="42" fillId="0" borderId="56" xfId="0" applyNumberFormat="1" applyFont="1" applyBorder="1"/>
    <xf numFmtId="3" fontId="42" fillId="0" borderId="24" xfId="0" applyNumberFormat="1" applyFont="1" applyBorder="1"/>
    <xf numFmtId="3" fontId="42" fillId="0" borderId="40" xfId="0" applyNumberFormat="1" applyFont="1" applyBorder="1"/>
    <xf numFmtId="3" fontId="42" fillId="0" borderId="0" xfId="0" applyNumberFormat="1" applyFont="1" applyBorder="1"/>
    <xf numFmtId="3" fontId="42" fillId="0" borderId="41" xfId="0" applyNumberFormat="1" applyFont="1" applyBorder="1"/>
    <xf numFmtId="3" fontId="42" fillId="0" borderId="42" xfId="0" applyNumberFormat="1" applyFont="1" applyBorder="1"/>
    <xf numFmtId="3" fontId="42" fillId="0" borderId="129" xfId="0" applyNumberFormat="1" applyFont="1" applyBorder="1"/>
    <xf numFmtId="3" fontId="42" fillId="0" borderId="43" xfId="0" applyNumberFormat="1" applyFont="1" applyBorder="1"/>
    <xf numFmtId="3" fontId="42" fillId="0" borderId="44" xfId="0" applyNumberFormat="1" applyFont="1" applyBorder="1"/>
    <xf numFmtId="3" fontId="42" fillId="0" borderId="82" xfId="0" applyNumberFormat="1" applyFont="1" applyBorder="1"/>
    <xf numFmtId="3" fontId="42" fillId="0" borderId="45" xfId="0" applyNumberFormat="1" applyFont="1" applyBorder="1"/>
    <xf numFmtId="4" fontId="42" fillId="9" borderId="44" xfId="0" applyNumberFormat="1" applyFont="1" applyFill="1" applyBorder="1" applyAlignment="1">
      <alignment horizontal="center" vertical="center"/>
    </xf>
    <xf numFmtId="4" fontId="42" fillId="9" borderId="45" xfId="0" applyNumberFormat="1" applyFont="1" applyFill="1" applyBorder="1" applyAlignment="1">
      <alignment horizontal="center" vertical="center"/>
    </xf>
    <xf numFmtId="0" fontId="42" fillId="0" borderId="44" xfId="0" applyFont="1" applyBorder="1"/>
    <xf numFmtId="0" fontId="42" fillId="0" borderId="82" xfId="0" applyFont="1" applyBorder="1"/>
    <xf numFmtId="0" fontId="42" fillId="0" borderId="45" xfId="0" applyFont="1" applyBorder="1"/>
    <xf numFmtId="0" fontId="42" fillId="0" borderId="56" xfId="0" applyFont="1" applyBorder="1"/>
    <xf numFmtId="0" fontId="42" fillId="0" borderId="24" xfId="0" applyFont="1" applyBorder="1"/>
    <xf numFmtId="0" fontId="42" fillId="0" borderId="0" xfId="0" applyFont="1" applyBorder="1"/>
    <xf numFmtId="0" fontId="42" fillId="0" borderId="41" xfId="0" applyFont="1" applyBorder="1"/>
    <xf numFmtId="0" fontId="42" fillId="0" borderId="129" xfId="0" applyFont="1" applyBorder="1"/>
    <xf numFmtId="0" fontId="42" fillId="0" borderId="43" xfId="0" applyFont="1" applyBorder="1"/>
    <xf numFmtId="0" fontId="42" fillId="0" borderId="23" xfId="0" applyFont="1" applyBorder="1"/>
    <xf numFmtId="0" fontId="42" fillId="0" borderId="40" xfId="0" applyFont="1" applyBorder="1"/>
    <xf numFmtId="0" fontId="42" fillId="0" borderId="42" xfId="0" applyFont="1" applyBorder="1"/>
    <xf numFmtId="4" fontId="43" fillId="4" borderId="20" xfId="0" applyNumberFormat="1" applyFont="1" applyFill="1" applyBorder="1" applyAlignment="1">
      <alignment horizontal="center" vertical="center"/>
    </xf>
    <xf numFmtId="4" fontId="43" fillId="4" borderId="21" xfId="0" applyNumberFormat="1" applyFont="1" applyFill="1" applyBorder="1" applyAlignment="1">
      <alignment horizontal="center" vertical="center"/>
    </xf>
    <xf numFmtId="4" fontId="41" fillId="5" borderId="16" xfId="0" applyNumberFormat="1" applyFont="1" applyFill="1" applyBorder="1" applyAlignment="1">
      <alignment horizontal="center" vertical="center"/>
    </xf>
    <xf numFmtId="4" fontId="41" fillId="5" borderId="12" xfId="0" applyNumberFormat="1" applyFont="1" applyFill="1" applyBorder="1" applyAlignment="1">
      <alignment horizontal="center" vertical="center"/>
    </xf>
    <xf numFmtId="171" fontId="41" fillId="5" borderId="15" xfId="0" applyNumberFormat="1" applyFont="1" applyFill="1" applyBorder="1" applyAlignment="1">
      <alignment horizontal="right" vertical="center"/>
    </xf>
    <xf numFmtId="171" fontId="41" fillId="5" borderId="17" xfId="0" applyNumberFormat="1" applyFont="1" applyFill="1" applyBorder="1" applyAlignment="1">
      <alignment horizontal="right" vertical="center"/>
    </xf>
    <xf numFmtId="172" fontId="41" fillId="5" borderId="15" xfId="0" applyNumberFormat="1" applyFont="1" applyFill="1" applyBorder="1" applyAlignment="1">
      <alignment horizontal="right" vertical="center"/>
    </xf>
    <xf numFmtId="172" fontId="41" fillId="5" borderId="17" xfId="0" applyNumberFormat="1" applyFont="1" applyFill="1" applyBorder="1" applyAlignment="1">
      <alignment horizontal="right" vertical="center"/>
    </xf>
    <xf numFmtId="173" fontId="41" fillId="5" borderId="15" xfId="0" applyNumberFormat="1" applyFont="1" applyFill="1" applyBorder="1" applyAlignment="1">
      <alignment horizontal="right" vertical="center"/>
    </xf>
    <xf numFmtId="173" fontId="41" fillId="5" borderId="17" xfId="0" applyNumberFormat="1" applyFont="1" applyFill="1" applyBorder="1" applyAlignment="1">
      <alignment horizontal="right" vertical="center"/>
    </xf>
    <xf numFmtId="174" fontId="41" fillId="5" borderId="15" xfId="0" applyNumberFormat="1" applyFont="1" applyFill="1" applyBorder="1" applyAlignment="1">
      <alignment horizontal="right" vertical="center"/>
    </xf>
    <xf numFmtId="174" fontId="41" fillId="5" borderId="17" xfId="0" applyNumberFormat="1" applyFont="1" applyFill="1" applyBorder="1" applyAlignment="1">
      <alignment horizontal="right" vertical="center"/>
    </xf>
    <xf numFmtId="10" fontId="41" fillId="5" borderId="15" xfId="0" applyNumberFormat="1" applyFont="1" applyFill="1" applyBorder="1" applyAlignment="1">
      <alignment horizontal="right" vertical="center"/>
    </xf>
    <xf numFmtId="10" fontId="41" fillId="5" borderId="10" xfId="0" applyNumberFormat="1" applyFont="1" applyFill="1" applyBorder="1" applyAlignment="1">
      <alignment horizontal="right" vertical="center"/>
    </xf>
    <xf numFmtId="168" fontId="41" fillId="5" borderId="13" xfId="0" applyNumberFormat="1" applyFont="1" applyFill="1" applyBorder="1" applyAlignment="1">
      <alignment horizontal="right" vertical="center"/>
    </xf>
    <xf numFmtId="168" fontId="41" fillId="5" borderId="17" xfId="0" applyNumberFormat="1" applyFont="1" applyFill="1" applyBorder="1" applyAlignment="1">
      <alignment horizontal="right" vertical="center"/>
    </xf>
    <xf numFmtId="4" fontId="43" fillId="4" borderId="72" xfId="0" applyNumberFormat="1" applyFont="1" applyFill="1" applyBorder="1" applyAlignment="1">
      <alignment horizontal="center" vertical="center"/>
    </xf>
    <xf numFmtId="4" fontId="43" fillId="4" borderId="73" xfId="0" applyNumberFormat="1" applyFont="1" applyFill="1" applyBorder="1" applyAlignment="1">
      <alignment horizontal="center" vertical="center"/>
    </xf>
    <xf numFmtId="4" fontId="41" fillId="5" borderId="55" xfId="0" applyNumberFormat="1" applyFont="1" applyFill="1" applyBorder="1" applyAlignment="1">
      <alignment horizontal="center" vertical="center"/>
    </xf>
    <xf numFmtId="4" fontId="41" fillId="5" borderId="75" xfId="0" applyNumberFormat="1" applyFont="1" applyFill="1" applyBorder="1" applyAlignment="1">
      <alignment horizontal="center" vertical="center"/>
    </xf>
    <xf numFmtId="4" fontId="41" fillId="5" borderId="76" xfId="0" applyNumberFormat="1" applyFont="1" applyFill="1" applyBorder="1" applyAlignment="1">
      <alignment horizontal="center" vertical="center"/>
    </xf>
    <xf numFmtId="4" fontId="41" fillId="5" borderId="77" xfId="0" applyNumberFormat="1" applyFont="1" applyFill="1" applyBorder="1" applyAlignment="1">
      <alignment horizontal="center" vertical="center"/>
    </xf>
    <xf numFmtId="4" fontId="41" fillId="5" borderId="78" xfId="0" applyNumberFormat="1" applyFont="1" applyFill="1" applyBorder="1" applyAlignment="1">
      <alignment horizontal="center" vertical="center"/>
    </xf>
    <xf numFmtId="4" fontId="13" fillId="0" borderId="64" xfId="0" applyNumberFormat="1" applyFont="1" applyBorder="1" applyAlignment="1">
      <alignment horizontal="center" vertical="center"/>
    </xf>
    <xf numFmtId="180" fontId="23" fillId="0" borderId="65" xfId="0" applyNumberFormat="1" applyFont="1" applyBorder="1" applyAlignment="1">
      <alignment horizontal="right" vertical="center"/>
    </xf>
    <xf numFmtId="180" fontId="23" fillId="0" borderId="16" xfId="0" applyNumberFormat="1" applyFont="1" applyBorder="1" applyAlignment="1">
      <alignment horizontal="right" vertical="center"/>
    </xf>
    <xf numFmtId="180" fontId="23" fillId="0" borderId="70" xfId="0" applyNumberFormat="1" applyFont="1" applyBorder="1" applyAlignment="1">
      <alignment horizontal="right" vertical="center"/>
    </xf>
    <xf numFmtId="4" fontId="21" fillId="0" borderId="0" xfId="0" applyNumberFormat="1" applyFont="1" applyBorder="1" applyAlignment="1">
      <alignment horizontal="center" vertical="center"/>
    </xf>
    <xf numFmtId="10" fontId="22" fillId="0" borderId="0" xfId="0" applyNumberFormat="1" applyFont="1" applyBorder="1" applyAlignment="1">
      <alignment horizontal="right" vertical="center"/>
    </xf>
    <xf numFmtId="4" fontId="22" fillId="0" borderId="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180" fontId="22" fillId="0" borderId="15" xfId="0" applyNumberFormat="1" applyFont="1" applyBorder="1" applyAlignment="1">
      <alignment horizontal="right" vertical="center"/>
    </xf>
    <xf numFmtId="180" fontId="22" fillId="0" borderId="16" xfId="0" applyNumberFormat="1" applyFont="1" applyBorder="1" applyAlignment="1">
      <alignment horizontal="right" vertical="center"/>
    </xf>
    <xf numFmtId="180" fontId="22" fillId="0" borderId="17" xfId="0" applyNumberFormat="1" applyFont="1" applyBorder="1" applyAlignment="1">
      <alignment horizontal="right" vertical="center"/>
    </xf>
    <xf numFmtId="4" fontId="13" fillId="0" borderId="9" xfId="0" applyNumberFormat="1" applyFont="1" applyBorder="1" applyAlignment="1">
      <alignment horizontal="center" vertical="center"/>
    </xf>
    <xf numFmtId="180" fontId="23" fillId="0" borderId="15" xfId="0" applyNumberFormat="1" applyFont="1" applyBorder="1" applyAlignment="1">
      <alignment horizontal="right" vertical="center"/>
    </xf>
    <xf numFmtId="180" fontId="23" fillId="0" borderId="17" xfId="0" applyNumberFormat="1" applyFont="1" applyBorder="1" applyAlignment="1">
      <alignment horizontal="right" vertical="center"/>
    </xf>
    <xf numFmtId="10" fontId="42" fillId="0" borderId="55" xfId="0" applyNumberFormat="1" applyFont="1" applyBorder="1" applyAlignment="1">
      <alignment horizontal="right" vertical="center"/>
    </xf>
    <xf numFmtId="4" fontId="42" fillId="9" borderId="167" xfId="0" applyNumberFormat="1" applyFont="1" applyFill="1" applyBorder="1" applyAlignment="1">
      <alignment horizontal="center" vertical="center"/>
    </xf>
    <xf numFmtId="168" fontId="42" fillId="0" borderId="64" xfId="0" applyNumberFormat="1" applyFont="1" applyBorder="1" applyAlignment="1">
      <alignment horizontal="right" vertical="center"/>
    </xf>
    <xf numFmtId="4" fontId="42" fillId="9" borderId="168" xfId="0" applyNumberFormat="1" applyFont="1" applyFill="1" applyBorder="1" applyAlignment="1">
      <alignment horizontal="center" vertical="center"/>
    </xf>
    <xf numFmtId="168" fontId="42" fillId="0" borderId="67" xfId="0" applyNumberFormat="1" applyFont="1" applyBorder="1" applyAlignment="1">
      <alignment horizontal="right" vertical="center"/>
    </xf>
    <xf numFmtId="4" fontId="42" fillId="0" borderId="169" xfId="0" applyNumberFormat="1" applyFont="1" applyBorder="1" applyAlignment="1">
      <alignment horizontal="center" vertical="center"/>
    </xf>
    <xf numFmtId="4" fontId="42" fillId="0" borderId="68" xfId="0" applyNumberFormat="1" applyFont="1" applyBorder="1" applyAlignment="1">
      <alignment horizontal="center" vertical="center"/>
    </xf>
    <xf numFmtId="168" fontId="42" fillId="0" borderId="69" xfId="0" applyNumberFormat="1" applyFont="1" applyBorder="1" applyAlignment="1">
      <alignment horizontal="right" vertical="center"/>
    </xf>
    <xf numFmtId="10" fontId="42" fillId="0" borderId="70" xfId="0" applyNumberFormat="1" applyFont="1" applyBorder="1" applyAlignment="1">
      <alignment horizontal="right" vertical="center"/>
    </xf>
    <xf numFmtId="175" fontId="23" fillId="0" borderId="16" xfId="0" applyNumberFormat="1" applyFont="1" applyBorder="1" applyAlignment="1">
      <alignment horizontal="center" vertical="center"/>
    </xf>
    <xf numFmtId="175" fontId="23" fillId="0" borderId="17" xfId="0" applyNumberFormat="1" applyFont="1" applyBorder="1" applyAlignment="1">
      <alignment horizontal="center" vertical="center"/>
    </xf>
    <xf numFmtId="175" fontId="23" fillId="0" borderId="15" xfId="0" applyNumberFormat="1" applyFont="1" applyBorder="1" applyAlignment="1">
      <alignment horizontal="center" vertical="center"/>
    </xf>
    <xf numFmtId="0" fontId="76" fillId="0" borderId="0" xfId="0" applyFont="1"/>
    <xf numFmtId="0" fontId="76" fillId="0" borderId="0" xfId="0" applyFont="1" applyAlignment="1">
      <alignment horizontal="right"/>
    </xf>
    <xf numFmtId="170" fontId="41" fillId="5" borderId="15" xfId="0" applyNumberFormat="1" applyFont="1" applyFill="1" applyBorder="1" applyAlignment="1">
      <alignment horizontal="center" vertical="center"/>
    </xf>
    <xf numFmtId="170" fontId="41" fillId="5" borderId="17" xfId="0" applyNumberFormat="1" applyFont="1" applyFill="1" applyBorder="1" applyAlignment="1">
      <alignment horizontal="centerContinuous" vertical="center"/>
    </xf>
    <xf numFmtId="175" fontId="19" fillId="0" borderId="15" xfId="0" applyNumberFormat="1" applyFont="1" applyBorder="1" applyAlignment="1">
      <alignment horizontal="center" vertical="center"/>
    </xf>
    <xf numFmtId="175" fontId="19" fillId="0" borderId="16" xfId="0" applyNumberFormat="1" applyFont="1" applyBorder="1" applyAlignment="1">
      <alignment horizontal="center" vertical="center"/>
    </xf>
    <xf numFmtId="4" fontId="23" fillId="0" borderId="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41" fillId="5" borderId="11" xfId="0" applyNumberFormat="1" applyFont="1" applyFill="1" applyBorder="1" applyAlignment="1">
      <alignment horizontal="centerContinuous" vertical="center"/>
    </xf>
    <xf numFmtId="170" fontId="41" fillId="5" borderId="16" xfId="0" applyNumberFormat="1" applyFont="1" applyFill="1" applyBorder="1" applyAlignment="1">
      <alignment horizontal="centerContinuous" vertical="center"/>
    </xf>
    <xf numFmtId="4" fontId="40" fillId="5" borderId="11" xfId="0" applyNumberFormat="1" applyFont="1" applyFill="1" applyBorder="1" applyAlignment="1">
      <alignment horizontal="center" vertical="center"/>
    </xf>
    <xf numFmtId="170" fontId="41" fillId="5" borderId="16" xfId="0" applyNumberFormat="1" applyFont="1" applyFill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0" fontId="34" fillId="4" borderId="21" xfId="9" applyFont="1" applyFill="1" applyBorder="1" applyAlignment="1" applyProtection="1">
      <alignment horizontal="center" vertical="center"/>
      <protection hidden="1"/>
    </xf>
    <xf numFmtId="168" fontId="12" fillId="0" borderId="9" xfId="9" applyNumberFormat="1" applyFont="1" applyBorder="1" applyAlignment="1" applyProtection="1">
      <alignment horizontal="right" vertical="center"/>
      <protection hidden="1"/>
    </xf>
    <xf numFmtId="168" fontId="12" fillId="0" borderId="11" xfId="9" applyNumberFormat="1" applyFont="1" applyBorder="1" applyAlignment="1" applyProtection="1">
      <alignment horizontal="right" vertical="center"/>
      <protection hidden="1"/>
    </xf>
    <xf numFmtId="168" fontId="12" fillId="0" borderId="13" xfId="9" applyNumberFormat="1" applyFont="1" applyBorder="1" applyAlignment="1" applyProtection="1">
      <alignment horizontal="right" vertical="center"/>
      <protection hidden="1"/>
    </xf>
    <xf numFmtId="0" fontId="34" fillId="4" borderId="4" xfId="9" applyFont="1" applyFill="1" applyBorder="1" applyAlignment="1" applyProtection="1">
      <alignment horizontal="center" vertical="center"/>
      <protection hidden="1"/>
    </xf>
    <xf numFmtId="0" fontId="34" fillId="4" borderId="5" xfId="0" applyFont="1" applyFill="1" applyBorder="1" applyAlignment="1">
      <alignment horizontal="center" vertical="center"/>
    </xf>
    <xf numFmtId="0" fontId="43" fillId="3" borderId="164" xfId="0" applyFont="1" applyFill="1" applyBorder="1" applyAlignment="1">
      <alignment horizontal="centerContinuous" vertical="center"/>
    </xf>
    <xf numFmtId="0" fontId="43" fillId="3" borderId="90" xfId="0" applyFont="1" applyFill="1" applyBorder="1" applyAlignment="1">
      <alignment horizontal="centerContinuous" vertical="center"/>
    </xf>
    <xf numFmtId="169" fontId="12" fillId="0" borderId="15" xfId="37" applyNumberFormat="1" applyFont="1" applyBorder="1" applyAlignment="1" applyProtection="1">
      <alignment horizontal="center" vertical="center"/>
      <protection hidden="1"/>
    </xf>
    <xf numFmtId="169" fontId="12" fillId="0" borderId="15" xfId="0" applyNumberFormat="1" applyFont="1" applyBorder="1" applyAlignment="1">
      <alignment horizontal="center" vertical="center"/>
    </xf>
    <xf numFmtId="169" fontId="12" fillId="0" borderId="16" xfId="37" applyNumberFormat="1" applyFont="1" applyBorder="1" applyAlignment="1" applyProtection="1">
      <alignment horizontal="center" vertical="center"/>
      <protection hidden="1"/>
    </xf>
    <xf numFmtId="169" fontId="12" fillId="0" borderId="16" xfId="0" applyNumberFormat="1" applyFont="1" applyBorder="1" applyAlignment="1">
      <alignment horizontal="center" vertical="center"/>
    </xf>
    <xf numFmtId="169" fontId="12" fillId="0" borderId="17" xfId="37" applyNumberFormat="1" applyFont="1" applyBorder="1" applyAlignment="1" applyProtection="1">
      <alignment horizontal="center" vertical="center"/>
      <protection hidden="1"/>
    </xf>
    <xf numFmtId="169" fontId="12" fillId="0" borderId="17" xfId="0" applyNumberFormat="1" applyFont="1" applyBorder="1" applyAlignment="1">
      <alignment horizontal="center" vertical="center"/>
    </xf>
    <xf numFmtId="0" fontId="34" fillId="4" borderId="175" xfId="0" applyFont="1" applyFill="1" applyBorder="1" applyAlignment="1">
      <alignment horizontal="center" vertical="center"/>
    </xf>
    <xf numFmtId="0" fontId="34" fillId="4" borderId="176" xfId="0" applyFont="1" applyFill="1" applyBorder="1" applyAlignment="1">
      <alignment horizontal="center" vertical="center"/>
    </xf>
    <xf numFmtId="0" fontId="34" fillId="4" borderId="177" xfId="0" applyFont="1" applyFill="1" applyBorder="1" applyAlignment="1">
      <alignment horizontal="center" vertical="center"/>
    </xf>
    <xf numFmtId="168" fontId="19" fillId="0" borderId="159" xfId="0" applyNumberFormat="1" applyFont="1" applyBorder="1" applyAlignment="1">
      <alignment horizontal="right" vertical="center"/>
    </xf>
    <xf numFmtId="4" fontId="19" fillId="0" borderId="160" xfId="0" applyNumberFormat="1" applyFont="1" applyBorder="1" applyAlignment="1">
      <alignment horizontal="center" vertical="center"/>
    </xf>
    <xf numFmtId="168" fontId="19" fillId="0" borderId="67" xfId="0" applyNumberFormat="1" applyFont="1" applyBorder="1" applyAlignment="1">
      <alignment horizontal="right" vertical="center"/>
    </xf>
    <xf numFmtId="168" fontId="19" fillId="0" borderId="69" xfId="0" applyNumberFormat="1" applyFont="1" applyBorder="1" applyAlignment="1">
      <alignment horizontal="right" vertical="center"/>
    </xf>
    <xf numFmtId="175" fontId="19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1" fillId="0" borderId="9" xfId="0" applyNumberFormat="1" applyFont="1" applyBorder="1" applyAlignment="1">
      <alignment horizontal="right" vertical="center"/>
    </xf>
    <xf numFmtId="168" fontId="11" fillId="0" borderId="11" xfId="0" applyNumberFormat="1" applyFont="1" applyBorder="1" applyAlignment="1">
      <alignment horizontal="right" vertical="center"/>
    </xf>
    <xf numFmtId="168" fontId="11" fillId="0" borderId="13" xfId="0" applyNumberFormat="1" applyFont="1" applyBorder="1" applyAlignment="1">
      <alignment horizontal="right" vertical="center"/>
    </xf>
    <xf numFmtId="168" fontId="12" fillId="0" borderId="64" xfId="9" applyNumberFormat="1" applyFont="1" applyBorder="1" applyAlignment="1" applyProtection="1">
      <alignment horizontal="right" vertical="center"/>
      <protection hidden="1"/>
    </xf>
    <xf numFmtId="169" fontId="12" fillId="0" borderId="65" xfId="0" applyNumberFormat="1" applyFont="1" applyBorder="1" applyAlignment="1">
      <alignment horizontal="center" vertical="center"/>
    </xf>
    <xf numFmtId="169" fontId="12" fillId="0" borderId="66" xfId="0" applyNumberFormat="1" applyFont="1" applyBorder="1" applyAlignment="1">
      <alignment horizontal="center" vertical="center"/>
    </xf>
    <xf numFmtId="168" fontId="12" fillId="0" borderId="67" xfId="9" applyNumberFormat="1" applyFont="1" applyBorder="1" applyAlignment="1" applyProtection="1">
      <alignment horizontal="right" vertical="center"/>
      <protection hidden="1"/>
    </xf>
    <xf numFmtId="169" fontId="12" fillId="0" borderId="68" xfId="0" applyNumberFormat="1" applyFont="1" applyBorder="1" applyAlignment="1">
      <alignment horizontal="center" vertical="center"/>
    </xf>
    <xf numFmtId="168" fontId="12" fillId="0" borderId="69" xfId="9" applyNumberFormat="1" applyFont="1" applyBorder="1" applyAlignment="1" applyProtection="1">
      <alignment horizontal="right" vertical="center"/>
      <protection hidden="1"/>
    </xf>
    <xf numFmtId="169" fontId="12" fillId="0" borderId="70" xfId="0" applyNumberFormat="1" applyFont="1" applyBorder="1" applyAlignment="1">
      <alignment horizontal="center" vertical="center"/>
    </xf>
    <xf numFmtId="169" fontId="12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3" fillId="0" borderId="2" xfId="0" applyNumberFormat="1" applyFont="1" applyBorder="1" applyAlignment="1">
      <alignment horizontal="center" vertical="center"/>
    </xf>
    <xf numFmtId="0" fontId="100" fillId="0" borderId="23" xfId="6" applyFont="1" applyBorder="1" applyAlignment="1">
      <alignment horizontal="centerContinuous" vertical="center"/>
    </xf>
    <xf numFmtId="0" fontId="100" fillId="0" borderId="24" xfId="6" applyFont="1" applyBorder="1" applyAlignment="1">
      <alignment horizontal="centerContinuous" vertical="center"/>
    </xf>
    <xf numFmtId="0" fontId="100" fillId="0" borderId="42" xfId="6" applyFont="1" applyBorder="1" applyAlignment="1">
      <alignment horizontal="centerContinuous" vertical="center"/>
    </xf>
    <xf numFmtId="0" fontId="102" fillId="0" borderId="0" xfId="6" applyFont="1" applyAlignment="1">
      <alignment horizontal="center" wrapText="1"/>
    </xf>
    <xf numFmtId="43" fontId="101" fillId="40" borderId="58" xfId="7" applyFont="1" applyFill="1" applyBorder="1" applyProtection="1">
      <protection hidden="1"/>
    </xf>
    <xf numFmtId="43" fontId="101" fillId="40" borderId="46" xfId="7" applyFont="1" applyFill="1" applyBorder="1" applyProtection="1">
      <protection hidden="1"/>
    </xf>
    <xf numFmtId="0" fontId="103" fillId="0" borderId="40" xfId="6" applyFont="1" applyBorder="1" applyAlignment="1">
      <alignment wrapText="1"/>
    </xf>
    <xf numFmtId="0" fontId="103" fillId="0" borderId="0" xfId="6" applyFont="1" applyAlignment="1">
      <alignment wrapText="1"/>
    </xf>
    <xf numFmtId="15" fontId="104" fillId="0" borderId="0" xfId="6" applyNumberFormat="1" applyFont="1" applyProtection="1">
      <protection hidden="1"/>
    </xf>
    <xf numFmtId="43" fontId="104" fillId="0" borderId="0" xfId="62" applyFont="1" applyBorder="1" applyProtection="1">
      <protection hidden="1"/>
    </xf>
    <xf numFmtId="0" fontId="103" fillId="41" borderId="0" xfId="6" applyFont="1" applyFill="1" applyAlignment="1">
      <alignment wrapText="1"/>
    </xf>
    <xf numFmtId="0" fontId="103" fillId="41" borderId="41" xfId="6" applyFont="1" applyFill="1" applyBorder="1" applyAlignment="1">
      <alignment wrapText="1"/>
    </xf>
    <xf numFmtId="43" fontId="101" fillId="40" borderId="47" xfId="7" applyFont="1" applyFill="1" applyBorder="1" applyProtection="1">
      <protection hidden="1"/>
    </xf>
    <xf numFmtId="0" fontId="103" fillId="0" borderId="41" xfId="6" applyFont="1" applyBorder="1" applyAlignment="1">
      <alignment wrapText="1"/>
    </xf>
    <xf numFmtId="0" fontId="103" fillId="0" borderId="40" xfId="6" applyFont="1" applyBorder="1"/>
    <xf numFmtId="0" fontId="103" fillId="0" borderId="0" xfId="6" applyFont="1"/>
    <xf numFmtId="0" fontId="103" fillId="0" borderId="41" xfId="6" applyFont="1" applyBorder="1"/>
    <xf numFmtId="43" fontId="101" fillId="40" borderId="48" xfId="7" applyFont="1" applyFill="1" applyBorder="1" applyProtection="1">
      <protection hidden="1"/>
    </xf>
    <xf numFmtId="0" fontId="103" fillId="0" borderId="42" xfId="6" applyFont="1" applyBorder="1"/>
    <xf numFmtId="0" fontId="103" fillId="0" borderId="129" xfId="6" applyFont="1" applyBorder="1"/>
    <xf numFmtId="15" fontId="104" fillId="0" borderId="129" xfId="6" applyNumberFormat="1" applyFont="1" applyBorder="1" applyProtection="1">
      <protection hidden="1"/>
    </xf>
    <xf numFmtId="43" fontId="104" fillId="0" borderId="129" xfId="62" applyFont="1" applyBorder="1" applyProtection="1">
      <protection hidden="1"/>
    </xf>
    <xf numFmtId="0" fontId="103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19" fillId="0" borderId="64" xfId="0" applyNumberFormat="1" applyFont="1" applyBorder="1" applyAlignment="1">
      <alignment horizontal="right" vertical="center"/>
    </xf>
    <xf numFmtId="175" fontId="19" fillId="0" borderId="65" xfId="0" applyNumberFormat="1" applyFont="1" applyBorder="1" applyAlignment="1">
      <alignment horizontal="center" vertical="center"/>
    </xf>
    <xf numFmtId="4" fontId="19" fillId="0" borderId="66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168" fontId="23" fillId="0" borderId="159" xfId="0" applyNumberFormat="1" applyFont="1" applyBorder="1" applyAlignment="1">
      <alignment horizontal="right" vertical="center"/>
    </xf>
    <xf numFmtId="4" fontId="23" fillId="0" borderId="160" xfId="0" applyNumberFormat="1" applyFont="1" applyBorder="1" applyAlignment="1">
      <alignment horizontal="center" vertical="center"/>
    </xf>
    <xf numFmtId="168" fontId="23" fillId="0" borderId="67" xfId="0" applyNumberFormat="1" applyFont="1" applyBorder="1" applyAlignment="1">
      <alignment horizontal="right" vertical="center"/>
    </xf>
    <xf numFmtId="168" fontId="23" fillId="0" borderId="69" xfId="0" applyNumberFormat="1" applyFont="1" applyBorder="1" applyAlignment="1">
      <alignment horizontal="right" vertical="center"/>
    </xf>
    <xf numFmtId="175" fontId="23" fillId="0" borderId="70" xfId="0" applyNumberFormat="1" applyFont="1" applyBorder="1" applyAlignment="1">
      <alignment horizontal="center" vertical="center"/>
    </xf>
    <xf numFmtId="0" fontId="43" fillId="3" borderId="23" xfId="2" applyFont="1" applyFill="1" applyBorder="1" applyAlignment="1">
      <alignment horizontal="centerContinuous" vertical="center"/>
    </xf>
    <xf numFmtId="0" fontId="43" fillId="3" borderId="56" xfId="2" applyFont="1" applyFill="1" applyBorder="1" applyAlignment="1">
      <alignment horizontal="centerContinuous" vertical="center"/>
    </xf>
    <xf numFmtId="0" fontId="43" fillId="3" borderId="24" xfId="2" applyFont="1" applyFill="1" applyBorder="1" applyAlignment="1">
      <alignment horizontal="centerContinuous" vertical="center"/>
    </xf>
    <xf numFmtId="0" fontId="35" fillId="2" borderId="23" xfId="0" applyFont="1" applyFill="1" applyBorder="1" applyAlignment="1">
      <alignment horizontal="centerContinuous" vertical="center"/>
    </xf>
    <xf numFmtId="0" fontId="35" fillId="2" borderId="56" xfId="0" applyFont="1" applyFill="1" applyBorder="1" applyAlignment="1">
      <alignment horizontal="centerContinuous" vertical="center"/>
    </xf>
    <xf numFmtId="0" fontId="35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5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4" fillId="3" borderId="183" xfId="0" applyFont="1" applyFill="1" applyBorder="1" applyAlignment="1">
      <alignment horizontal="centerContinuous" vertical="center"/>
    </xf>
    <xf numFmtId="0" fontId="34" fillId="4" borderId="61" xfId="0" applyFont="1" applyFill="1" applyBorder="1" applyAlignment="1">
      <alignment horizontal="center" vertical="center"/>
    </xf>
    <xf numFmtId="0" fontId="34" fillId="4" borderId="62" xfId="0" applyFont="1" applyFill="1" applyBorder="1" applyAlignment="1">
      <alignment horizontal="center" vertical="center"/>
    </xf>
    <xf numFmtId="0" fontId="34" fillId="4" borderId="137" xfId="0" applyFont="1" applyFill="1" applyBorder="1" applyAlignment="1">
      <alignment horizontal="center" vertical="center"/>
    </xf>
    <xf numFmtId="0" fontId="34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4" fillId="0" borderId="0" xfId="0" applyNumberFormat="1" applyFont="1" applyAlignment="1">
      <alignment horizontal="left"/>
    </xf>
    <xf numFmtId="0" fontId="77" fillId="0" borderId="0" xfId="0" applyFont="1"/>
    <xf numFmtId="0" fontId="105" fillId="7" borderId="23" xfId="0" applyFont="1" applyFill="1" applyBorder="1" applyAlignment="1">
      <alignment horizontal="centerContinuous"/>
    </xf>
    <xf numFmtId="0" fontId="105" fillId="7" borderId="56" xfId="0" applyFont="1" applyFill="1" applyBorder="1" applyAlignment="1">
      <alignment horizontal="centerContinuous"/>
    </xf>
    <xf numFmtId="0" fontId="105" fillId="7" borderId="42" xfId="0" applyFont="1" applyFill="1" applyBorder="1" applyAlignment="1">
      <alignment horizontal="centerContinuous"/>
    </xf>
    <xf numFmtId="0" fontId="105" fillId="7" borderId="129" xfId="0" applyFont="1" applyFill="1" applyBorder="1" applyAlignment="1">
      <alignment horizontal="centerContinuous"/>
    </xf>
    <xf numFmtId="0" fontId="42" fillId="0" borderId="24" xfId="0" applyFont="1" applyBorder="1" applyAlignment="1">
      <alignment horizontal="center"/>
    </xf>
    <xf numFmtId="0" fontId="42" fillId="0" borderId="43" xfId="0" applyFont="1" applyBorder="1" applyAlignment="1">
      <alignment horizontal="center"/>
    </xf>
    <xf numFmtId="10" fontId="0" fillId="0" borderId="0" xfId="0" applyNumberFormat="1"/>
    <xf numFmtId="0" fontId="106" fillId="0" borderId="0" xfId="0" applyFont="1" applyAlignment="1">
      <alignment wrapText="1"/>
    </xf>
    <xf numFmtId="0" fontId="39" fillId="42" borderId="0" xfId="0" applyFont="1" applyFill="1"/>
    <xf numFmtId="4" fontId="0" fillId="42" borderId="0" xfId="0" applyNumberFormat="1" applyFill="1"/>
    <xf numFmtId="168" fontId="42" fillId="0" borderId="15" xfId="0" applyNumberFormat="1" applyFont="1" applyBorder="1" applyAlignment="1">
      <alignment horizontal="right" vertical="center"/>
    </xf>
    <xf numFmtId="168" fontId="42" fillId="0" borderId="16" xfId="0" applyNumberFormat="1" applyFont="1" applyBorder="1" applyAlignment="1">
      <alignment horizontal="right" vertical="center"/>
    </xf>
    <xf numFmtId="168" fontId="42" fillId="0" borderId="17" xfId="0" applyNumberFormat="1" applyFont="1" applyBorder="1" applyAlignment="1">
      <alignment horizontal="right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168" fontId="42" fillId="0" borderId="65" xfId="0" applyNumberFormat="1" applyFont="1" applyBorder="1" applyAlignment="1">
      <alignment horizontal="right" vertical="center"/>
    </xf>
    <xf numFmtId="4" fontId="42" fillId="0" borderId="67" xfId="0" applyNumberFormat="1" applyFont="1" applyBorder="1" applyAlignment="1">
      <alignment horizontal="center" vertical="center"/>
    </xf>
    <xf numFmtId="4" fontId="42" fillId="0" borderId="69" xfId="0" applyNumberFormat="1" applyFont="1" applyBorder="1" applyAlignment="1">
      <alignment horizontal="center" vertical="center"/>
    </xf>
    <xf numFmtId="168" fontId="42" fillId="0" borderId="70" xfId="0" applyNumberFormat="1" applyFont="1" applyBorder="1" applyAlignment="1">
      <alignment horizontal="right" vertical="center"/>
    </xf>
    <xf numFmtId="15" fontId="43" fillId="4" borderId="61" xfId="0" applyNumberFormat="1" applyFont="1" applyFill="1" applyBorder="1" applyAlignment="1">
      <alignment horizontal="center" vertical="center"/>
    </xf>
    <xf numFmtId="0" fontId="43" fillId="4" borderId="62" xfId="0" applyFont="1" applyFill="1" applyBorder="1" applyAlignment="1">
      <alignment horizontal="center" vertical="center"/>
    </xf>
    <xf numFmtId="0" fontId="43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42" fillId="0" borderId="0" xfId="0" applyNumberFormat="1" applyFont="1" applyFill="1" applyBorder="1" applyAlignment="1">
      <alignment horizontal="center" vertical="center"/>
    </xf>
    <xf numFmtId="15" fontId="43" fillId="4" borderId="184" xfId="0" applyNumberFormat="1" applyFont="1" applyFill="1" applyBorder="1" applyAlignment="1">
      <alignment horizontal="center" vertical="center"/>
    </xf>
    <xf numFmtId="0" fontId="43" fillId="4" borderId="185" xfId="0" applyFont="1" applyFill="1" applyBorder="1" applyAlignment="1">
      <alignment horizontal="center" vertical="center"/>
    </xf>
    <xf numFmtId="0" fontId="43" fillId="4" borderId="186" xfId="0" applyFont="1" applyFill="1" applyBorder="1" applyAlignment="1">
      <alignment horizontal="center" vertical="center"/>
    </xf>
    <xf numFmtId="4" fontId="42" fillId="9" borderId="16" xfId="0" applyNumberFormat="1" applyFont="1" applyFill="1" applyBorder="1" applyAlignment="1">
      <alignment horizontal="center" vertical="center"/>
    </xf>
    <xf numFmtId="0" fontId="43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69" fontId="42" fillId="0" borderId="66" xfId="0" applyNumberFormat="1" applyFont="1" applyBorder="1" applyAlignment="1">
      <alignment horizontal="center" vertical="center"/>
    </xf>
    <xf numFmtId="169" fontId="42" fillId="0" borderId="68" xfId="0" applyNumberFormat="1" applyFont="1" applyBorder="1" applyAlignment="1">
      <alignment horizontal="center" vertical="center"/>
    </xf>
    <xf numFmtId="169" fontId="42" fillId="0" borderId="71" xfId="0" applyNumberFormat="1" applyFont="1" applyBorder="1" applyAlignment="1">
      <alignment horizontal="center" vertical="center"/>
    </xf>
    <xf numFmtId="169" fontId="42" fillId="0" borderId="14" xfId="0" applyNumberFormat="1" applyFont="1" applyBorder="1" applyAlignment="1">
      <alignment horizontal="center" vertical="center"/>
    </xf>
    <xf numFmtId="4" fontId="42" fillId="43" borderId="67" xfId="0" applyNumberFormat="1" applyFont="1" applyFill="1" applyBorder="1" applyAlignment="1">
      <alignment horizontal="center" vertical="center"/>
    </xf>
    <xf numFmtId="168" fontId="42" fillId="43" borderId="16" xfId="0" applyNumberFormat="1" applyFont="1" applyFill="1" applyBorder="1" applyAlignment="1">
      <alignment horizontal="right" vertical="center"/>
    </xf>
    <xf numFmtId="169" fontId="42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42" fillId="0" borderId="0" xfId="0" applyNumberFormat="1" applyFont="1" applyBorder="1" applyAlignment="1">
      <alignment horizontal="center" vertical="center"/>
    </xf>
    <xf numFmtId="4" fontId="42" fillId="0" borderId="0" xfId="0" applyNumberFormat="1" applyFont="1" applyAlignment="1">
      <alignment horizontal="center"/>
    </xf>
    <xf numFmtId="11" fontId="7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7" fillId="0" borderId="189" xfId="64" applyBorder="1"/>
    <xf numFmtId="168" fontId="23" fillId="0" borderId="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23" fillId="0" borderId="10" xfId="0" applyNumberFormat="1" applyFont="1" applyBorder="1" applyAlignment="1">
      <alignment horizontal="centerContinuous" vertical="center"/>
    </xf>
    <xf numFmtId="4" fontId="23" fillId="0" borderId="12" xfId="0" applyNumberFormat="1" applyFont="1" applyBorder="1" applyAlignment="1">
      <alignment horizontal="centerContinuous" vertical="center"/>
    </xf>
    <xf numFmtId="0" fontId="34" fillId="4" borderId="30" xfId="0" applyFont="1" applyFill="1" applyBorder="1" applyAlignment="1">
      <alignment horizontal="centerContinuous" vertical="center"/>
    </xf>
    <xf numFmtId="0" fontId="42" fillId="0" borderId="31" xfId="0" applyFont="1" applyBorder="1" applyAlignment="1">
      <alignment horizontal="center"/>
    </xf>
    <xf numFmtId="0" fontId="42" fillId="0" borderId="32" xfId="0" applyFont="1" applyBorder="1" applyAlignment="1">
      <alignment horizontal="center"/>
    </xf>
    <xf numFmtId="0" fontId="42" fillId="0" borderId="33" xfId="0" applyFont="1" applyBorder="1" applyAlignment="1">
      <alignment horizontal="center"/>
    </xf>
    <xf numFmtId="0" fontId="42" fillId="0" borderId="34" xfId="0" applyFont="1" applyBorder="1" applyAlignment="1">
      <alignment horizontal="center"/>
    </xf>
    <xf numFmtId="0" fontId="42" fillId="0" borderId="35" xfId="0" applyFont="1" applyBorder="1" applyAlignment="1">
      <alignment horizontal="center"/>
    </xf>
    <xf numFmtId="168" fontId="42" fillId="0" borderId="36" xfId="0" applyNumberFormat="1" applyFont="1" applyBorder="1" applyAlignment="1">
      <alignment horizontal="center"/>
    </xf>
    <xf numFmtId="14" fontId="42" fillId="0" borderId="0" xfId="0" applyNumberFormat="1" applyFont="1"/>
    <xf numFmtId="179" fontId="42" fillId="0" borderId="0" xfId="0" applyNumberFormat="1" applyFont="1"/>
    <xf numFmtId="180" fontId="42" fillId="0" borderId="0" xfId="61" applyNumberFormat="1" applyFont="1"/>
    <xf numFmtId="170" fontId="42" fillId="0" borderId="0" xfId="61" applyNumberFormat="1" applyFont="1"/>
    <xf numFmtId="0" fontId="42" fillId="0" borderId="2" xfId="0" applyFont="1" applyBorder="1" applyAlignment="1">
      <alignment horizontal="centerContinuous" vertical="center"/>
    </xf>
    <xf numFmtId="0" fontId="36" fillId="0" borderId="165" xfId="0" applyFont="1" applyBorder="1" applyAlignment="1">
      <alignment horizontal="centerContinuous" vertical="center"/>
    </xf>
    <xf numFmtId="0" fontId="0" fillId="0" borderId="195" xfId="0" applyBorder="1" applyAlignment="1">
      <alignment horizontal="centerContinuous" vertical="center"/>
    </xf>
    <xf numFmtId="0" fontId="36" fillId="44" borderId="165" xfId="0" applyFont="1" applyFill="1" applyBorder="1" applyAlignment="1">
      <alignment horizontal="centerContinuous" vertical="center"/>
    </xf>
    <xf numFmtId="0" fontId="0" fillId="44" borderId="195" xfId="0" applyFill="1" applyBorder="1" applyAlignment="1">
      <alignment horizontal="centerContinuous" vertical="center"/>
    </xf>
    <xf numFmtId="0" fontId="36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42" fillId="0" borderId="70" xfId="0" applyNumberFormat="1" applyFont="1" applyBorder="1" applyAlignment="1">
      <alignment horizontal="centerContinuous" vertical="center"/>
    </xf>
    <xf numFmtId="4" fontId="42" fillId="0" borderId="71" xfId="0" applyNumberFormat="1" applyFont="1" applyBorder="1" applyAlignment="1">
      <alignment horizontal="centerContinuous" vertical="center"/>
    </xf>
    <xf numFmtId="4" fontId="34" fillId="4" borderId="30" xfId="0" applyNumberFormat="1" applyFont="1" applyFill="1" applyBorder="1" applyAlignment="1">
      <alignment horizontal="centerContinuous" vertical="center"/>
    </xf>
    <xf numFmtId="4" fontId="9" fillId="0" borderId="10" xfId="0" applyNumberFormat="1" applyFont="1" applyBorder="1" applyAlignment="1">
      <alignment horizontal="centerContinuous" vertical="center"/>
    </xf>
    <xf numFmtId="4" fontId="9" fillId="0" borderId="12" xfId="0" applyNumberFormat="1" applyFont="1" applyBorder="1" applyAlignment="1">
      <alignment horizontal="centerContinuous" vertical="center"/>
    </xf>
    <xf numFmtId="168" fontId="42" fillId="0" borderId="0" xfId="0" applyNumberFormat="1" applyFont="1" applyAlignment="1">
      <alignment horizontal="right"/>
    </xf>
    <xf numFmtId="4" fontId="42" fillId="0" borderId="0" xfId="0" applyNumberFormat="1" applyFont="1" applyAlignment="1">
      <alignment horizontal="right"/>
    </xf>
    <xf numFmtId="182" fontId="42" fillId="0" borderId="0" xfId="0" applyNumberFormat="1" applyFont="1"/>
    <xf numFmtId="175" fontId="42" fillId="0" borderId="0" xfId="0" applyNumberFormat="1" applyFont="1"/>
    <xf numFmtId="180" fontId="42" fillId="0" borderId="0" xfId="0" applyNumberFormat="1" applyFont="1" applyAlignment="1">
      <alignment horizontal="right"/>
    </xf>
    <xf numFmtId="182" fontId="42" fillId="0" borderId="0" xfId="0" applyNumberFormat="1" applyFont="1" applyAlignment="1">
      <alignment horizontal="right"/>
    </xf>
    <xf numFmtId="180" fontId="42" fillId="0" borderId="0" xfId="61" applyNumberFormat="1" applyFont="1" applyAlignment="1">
      <alignment horizontal="right"/>
    </xf>
    <xf numFmtId="186" fontId="42" fillId="0" borderId="0" xfId="61" applyNumberFormat="1" applyFont="1" applyAlignment="1">
      <alignment horizontal="right"/>
    </xf>
    <xf numFmtId="182" fontId="42" fillId="43" borderId="0" xfId="0" applyNumberFormat="1" applyFont="1" applyFill="1"/>
    <xf numFmtId="4" fontId="42" fillId="43" borderId="0" xfId="0" applyNumberFormat="1" applyFont="1" applyFill="1" applyAlignment="1">
      <alignment horizontal="right"/>
    </xf>
    <xf numFmtId="187" fontId="42" fillId="43" borderId="0" xfId="0" applyNumberFormat="1" applyFont="1" applyFill="1" applyAlignment="1">
      <alignment horizontal="right"/>
    </xf>
    <xf numFmtId="175" fontId="42" fillId="43" borderId="0" xfId="0" applyNumberFormat="1" applyFont="1" applyFill="1"/>
    <xf numFmtId="185" fontId="42" fillId="0" borderId="0" xfId="0" applyNumberFormat="1" applyFont="1" applyAlignment="1">
      <alignment horizontal="right"/>
    </xf>
    <xf numFmtId="185" fontId="42" fillId="0" borderId="0" xfId="61" applyNumberFormat="1" applyFont="1" applyAlignment="1">
      <alignment horizontal="right"/>
    </xf>
    <xf numFmtId="11" fontId="23" fillId="0" borderId="37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Continuous" vertical="center"/>
    </xf>
    <xf numFmtId="4" fontId="3" fillId="0" borderId="12" xfId="0" applyNumberFormat="1" applyFont="1" applyBorder="1" applyAlignment="1">
      <alignment horizontal="centerContinuous" vertical="center"/>
    </xf>
    <xf numFmtId="4" fontId="3" fillId="0" borderId="11" xfId="0" applyNumberFormat="1" applyFont="1" applyBorder="1" applyAlignment="1">
      <alignment horizontal="center" vertical="center"/>
    </xf>
    <xf numFmtId="168" fontId="3" fillId="0" borderId="191" xfId="0" applyNumberFormat="1" applyFont="1" applyBorder="1" applyAlignment="1">
      <alignment horizontal="centerContinuous" vertical="center"/>
    </xf>
    <xf numFmtId="168" fontId="23" fillId="0" borderId="192" xfId="0" applyNumberFormat="1" applyFont="1" applyBorder="1" applyAlignment="1">
      <alignment horizontal="centerContinuous" vertical="center"/>
    </xf>
    <xf numFmtId="182" fontId="3" fillId="0" borderId="191" xfId="0" applyNumberFormat="1" applyFont="1" applyBorder="1" applyAlignment="1">
      <alignment horizontal="centerContinuous" vertical="center"/>
    </xf>
    <xf numFmtId="0" fontId="34" fillId="4" borderId="164" xfId="0" applyFont="1" applyFill="1" applyBorder="1" applyAlignment="1">
      <alignment horizontal="center" vertical="center"/>
    </xf>
    <xf numFmtId="4" fontId="23" fillId="0" borderId="196" xfId="0" applyNumberFormat="1" applyFont="1" applyBorder="1" applyAlignment="1">
      <alignment horizontal="right" vertical="center"/>
    </xf>
    <xf numFmtId="4" fontId="23" fillId="0" borderId="191" xfId="0" applyNumberFormat="1" applyFont="1" applyBorder="1" applyAlignment="1">
      <alignment horizontal="right" vertical="center"/>
    </xf>
    <xf numFmtId="4" fontId="23" fillId="0" borderId="197" xfId="0" applyNumberFormat="1" applyFont="1" applyBorder="1" applyAlignment="1">
      <alignment horizontal="right" vertical="center"/>
    </xf>
    <xf numFmtId="4" fontId="3" fillId="0" borderId="64" xfId="0" applyNumberFormat="1" applyFont="1" applyBorder="1" applyAlignment="1">
      <alignment horizontal="center" vertical="center"/>
    </xf>
    <xf numFmtId="4" fontId="3" fillId="0" borderId="67" xfId="0" applyNumberFormat="1" applyFont="1" applyBorder="1" applyAlignment="1">
      <alignment horizontal="center" vertical="center"/>
    </xf>
    <xf numFmtId="4" fontId="3" fillId="0" borderId="69" xfId="0" applyNumberFormat="1" applyFont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right" vertical="center"/>
    </xf>
    <xf numFmtId="4" fontId="61" fillId="0" borderId="6" xfId="0" applyNumberFormat="1" applyFont="1" applyBorder="1" applyAlignment="1">
      <alignment horizontal="center" vertical="center"/>
    </xf>
    <xf numFmtId="4" fontId="61" fillId="0" borderId="0" xfId="0" applyNumberFormat="1" applyFont="1" applyBorder="1" applyAlignment="1">
      <alignment horizontal="center" vertical="center"/>
    </xf>
    <xf numFmtId="0" fontId="101" fillId="2" borderId="44" xfId="6" applyFont="1" applyFill="1" applyBorder="1" applyAlignment="1">
      <alignment horizontal="center"/>
    </xf>
    <xf numFmtId="0" fontId="101" fillId="2" borderId="82" xfId="6" applyFont="1" applyFill="1" applyBorder="1" applyAlignment="1">
      <alignment horizontal="center"/>
    </xf>
    <xf numFmtId="0" fontId="101" fillId="2" borderId="45" xfId="6" applyFont="1" applyFill="1" applyBorder="1" applyAlignment="1">
      <alignment horizontal="center"/>
    </xf>
    <xf numFmtId="0" fontId="101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1" fillId="2" borderId="41" xfId="6" applyFont="1" applyFill="1" applyBorder="1" applyAlignment="1" applyProtection="1">
      <alignment horizontal="center" vertical="center" textRotation="90" wrapText="1"/>
      <protection hidden="1"/>
    </xf>
    <xf numFmtId="4" fontId="6" fillId="0" borderId="193" xfId="0" applyNumberFormat="1" applyFont="1" applyBorder="1" applyAlignment="1">
      <alignment horizontal="center" vertical="center"/>
    </xf>
    <xf numFmtId="4" fontId="6" fillId="0" borderId="194" xfId="0" applyNumberFormat="1" applyFont="1" applyBorder="1" applyAlignment="1">
      <alignment horizontal="center" vertical="center"/>
    </xf>
    <xf numFmtId="168" fontId="23" fillId="0" borderId="191" xfId="0" applyNumberFormat="1" applyFont="1" applyBorder="1" applyAlignment="1">
      <alignment horizontal="center" vertical="center"/>
    </xf>
    <xf numFmtId="168" fontId="23" fillId="0" borderId="192" xfId="0" applyNumberFormat="1" applyFont="1" applyBorder="1" applyAlignment="1">
      <alignment horizontal="center" vertical="center"/>
    </xf>
    <xf numFmtId="4" fontId="5" fillId="0" borderId="193" xfId="0" applyNumberFormat="1" applyFont="1" applyBorder="1" applyAlignment="1">
      <alignment horizontal="center" vertical="center"/>
    </xf>
    <xf numFmtId="4" fontId="5" fillId="0" borderId="194" xfId="0" applyNumberFormat="1" applyFont="1" applyBorder="1" applyAlignment="1">
      <alignment horizontal="center" vertical="center"/>
    </xf>
    <xf numFmtId="4" fontId="23" fillId="0" borderId="191" xfId="0" applyNumberFormat="1" applyFont="1" applyBorder="1" applyAlignment="1">
      <alignment horizontal="center" vertical="center"/>
    </xf>
    <xf numFmtId="4" fontId="23" fillId="0" borderId="192" xfId="0" applyNumberFormat="1" applyFont="1" applyBorder="1" applyAlignment="1">
      <alignment horizontal="center" vertical="center"/>
    </xf>
    <xf numFmtId="0" fontId="43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3" fillId="3" borderId="4" xfId="0" applyNumberFormat="1" applyFont="1" applyFill="1" applyBorder="1" applyAlignment="1">
      <alignment horizontal="center" vertical="center" textRotation="90"/>
    </xf>
    <xf numFmtId="0" fontId="43" fillId="3" borderId="7" xfId="0" applyFont="1" applyFill="1" applyBorder="1" applyAlignment="1">
      <alignment horizontal="center" vertical="center" textRotation="90"/>
    </xf>
    <xf numFmtId="0" fontId="43" fillId="3" borderId="51" xfId="0" applyFont="1" applyFill="1" applyBorder="1" applyAlignment="1">
      <alignment horizontal="center" vertical="center" textRotation="90"/>
    </xf>
    <xf numFmtId="0" fontId="34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79" fontId="0" fillId="0" borderId="0" xfId="0" applyNumberFormat="1"/>
    <xf numFmtId="4" fontId="1" fillId="0" borderId="11" xfId="0" applyNumberFormat="1" applyFont="1" applyBorder="1" applyAlignment="1">
      <alignment horizontal="center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0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78"/>
  <sheetViews>
    <sheetView showGridLines="0" zoomScaleNormal="100" workbookViewId="0"/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105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60" t="s">
        <v>408</v>
      </c>
      <c r="C4" s="861"/>
      <c r="D4" s="864" t="s">
        <v>662</v>
      </c>
      <c r="I4" s="439"/>
    </row>
    <row r="5" spans="2:9" s="417" customFormat="1">
      <c r="B5" s="862" t="s">
        <v>409</v>
      </c>
      <c r="C5" s="863"/>
      <c r="D5" s="865" t="str" cm="1">
        <f t="array" ref="D5">_xll.d.Debug_GetAssemblyVersion()</f>
        <v>0.1.4</v>
      </c>
      <c r="I5" s="439"/>
    </row>
    <row r="6" spans="2:9" s="417" customFormat="1">
      <c r="B6" s="332" t="s">
        <v>410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445</v>
      </c>
      <c r="C9" s="200"/>
    </row>
    <row r="10" spans="2:9" s="439" customFormat="1" ht="18.75" customHeight="1">
      <c r="B10" s="969" t="str" cm="1">
        <f t="array" aca="1" ref="B10" ca="1">_xll.d.TestUtils_And(C19:C21,C24:C25,C28:C29,C33:C36,C40:C43)</f>
        <v>Error</v>
      </c>
      <c r="C10" s="969"/>
      <c r="D10" s="613" t="s">
        <v>661</v>
      </c>
    </row>
    <row r="11" spans="2:9" s="439" customFormat="1" ht="15" customHeight="1">
      <c r="B11" s="970"/>
      <c r="C11" s="970"/>
      <c r="D11" s="859" t="s">
        <v>665</v>
      </c>
    </row>
    <row r="12" spans="2:9" s="439" customFormat="1"/>
    <row r="13" spans="2:9" s="439" customFormat="1">
      <c r="F13" s="1"/>
    </row>
    <row r="14" spans="2:9">
      <c r="B14" s="332" t="s">
        <v>97</v>
      </c>
      <c r="C14" s="201"/>
    </row>
    <row r="15" spans="2:9">
      <c r="B15" s="603" t="s">
        <v>547</v>
      </c>
      <c r="C15" s="604"/>
      <c r="F15" s="439"/>
    </row>
    <row r="16" spans="2:9">
      <c r="B16" s="605" t="s">
        <v>548</v>
      </c>
      <c r="C16" s="606"/>
      <c r="F16" s="439"/>
    </row>
    <row r="17" spans="2:9">
      <c r="F17" s="439"/>
    </row>
    <row r="18" spans="2:9">
      <c r="B18" s="121" t="s">
        <v>243</v>
      </c>
      <c r="C18" s="122"/>
      <c r="F18" s="439"/>
    </row>
    <row r="19" spans="2:9">
      <c r="B19" s="412" t="s">
        <v>0</v>
      </c>
      <c r="C19" s="124" t="str">
        <f>Dates!C4</f>
        <v>Ok</v>
      </c>
      <c r="F19" s="439"/>
    </row>
    <row r="20" spans="2:9">
      <c r="B20" s="413" t="s">
        <v>338</v>
      </c>
      <c r="C20" s="126" t="str">
        <f>Mathematics!C4</f>
        <v>Ok</v>
      </c>
      <c r="F20" s="439"/>
      <c r="I20" s="439"/>
    </row>
    <row r="21" spans="2:9">
      <c r="B21" s="414" t="s">
        <v>361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391</v>
      </c>
      <c r="C23" s="429"/>
    </row>
    <row r="24" spans="2:9">
      <c r="B24" s="595" t="s">
        <v>515</v>
      </c>
      <c r="C24" s="300" t="str">
        <f>'Equity Pricers'!C4</f>
        <v>Ok</v>
      </c>
    </row>
    <row r="25" spans="2:9" s="439" customFormat="1">
      <c r="B25" s="414" t="s">
        <v>392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519</v>
      </c>
      <c r="C27" s="429"/>
    </row>
    <row r="28" spans="2:9" s="439" customFormat="1">
      <c r="B28" s="574" t="s">
        <v>518</v>
      </c>
      <c r="C28" s="300" t="str">
        <f>'FX Pricers'!C4</f>
        <v>Ok</v>
      </c>
    </row>
    <row r="29" spans="2:9" s="439" customFormat="1">
      <c r="B29" s="413" t="s">
        <v>666</v>
      </c>
      <c r="C29" s="300"/>
      <c r="D29" s="613" t="s">
        <v>663</v>
      </c>
    </row>
    <row r="30" spans="2:9" s="439" customFormat="1">
      <c r="B30" s="483" t="s">
        <v>668</v>
      </c>
      <c r="C30" s="300"/>
    </row>
    <row r="31" spans="2:9" s="439" customFormat="1"/>
    <row r="32" spans="2:9">
      <c r="B32" s="121" t="s">
        <v>242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724</v>
      </c>
      <c r="C34" s="279" t="str">
        <f ca="1">'Single Curve Bootstrapping'!C6</f>
        <v>Ok</v>
      </c>
    </row>
    <row r="35" spans="2:5">
      <c r="B35" s="574" t="s">
        <v>501</v>
      </c>
      <c r="C35" s="280" t="str">
        <f>'Interest Rate Pricers'!C4</f>
        <v>Ok</v>
      </c>
      <c r="D35" s="439"/>
    </row>
    <row r="36" spans="2:5">
      <c r="B36" s="413" t="s">
        <v>388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224</v>
      </c>
      <c r="D37" s="613" t="s">
        <v>663</v>
      </c>
    </row>
    <row r="38" spans="2:5">
      <c r="D38" s="298"/>
    </row>
    <row r="39" spans="2:5">
      <c r="B39" s="121" t="s">
        <v>106</v>
      </c>
      <c r="C39" s="122"/>
      <c r="D39" s="298"/>
    </row>
    <row r="40" spans="2:5">
      <c r="B40" s="650" t="s">
        <v>560</v>
      </c>
      <c r="C40" s="320" t="str">
        <f ca="1">'Fix EMS Links Utils'!C4</f>
        <v>Ok</v>
      </c>
      <c r="D40" s="613"/>
    </row>
    <row r="41" spans="2:5">
      <c r="B41" s="482" t="s">
        <v>534</v>
      </c>
      <c r="C41" s="279" t="str">
        <f ca="1">'Hyperlink Utils'!C4</f>
        <v>Error</v>
      </c>
      <c r="D41" s="613" t="s">
        <v>664</v>
      </c>
    </row>
    <row r="42" spans="2:5">
      <c r="B42" s="482" t="s">
        <v>69</v>
      </c>
      <c r="C42" s="631" t="str">
        <f ca="1">'Table Formatting'!C4</f>
        <v>Error</v>
      </c>
      <c r="D42" s="613" t="s">
        <v>664</v>
      </c>
    </row>
    <row r="43" spans="2:5">
      <c r="B43" s="414" t="s">
        <v>154</v>
      </c>
      <c r="C43" s="632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806"/>
    </row>
    <row r="65" spans="2:9">
      <c r="B65" s="8"/>
      <c r="D65" s="806"/>
    </row>
    <row r="66" spans="2:9">
      <c r="B66" s="8"/>
      <c r="D66" s="806"/>
      <c r="I66" s="905"/>
    </row>
    <row r="67" spans="2:9">
      <c r="B67" s="8"/>
      <c r="D67" s="806"/>
      <c r="I67" s="905"/>
    </row>
    <row r="68" spans="2:9">
      <c r="B68" s="8"/>
      <c r="D68" s="806"/>
      <c r="I68" s="905"/>
    </row>
    <row r="69" spans="2:9">
      <c r="B69" s="8"/>
      <c r="D69" s="806"/>
    </row>
    <row r="70" spans="2:9">
      <c r="B70" s="8"/>
      <c r="D70" s="806"/>
    </row>
    <row r="71" spans="2:9">
      <c r="B71" s="8"/>
      <c r="D71" s="806"/>
    </row>
    <row r="72" spans="2:9">
      <c r="B72" s="8"/>
      <c r="D72" s="806"/>
      <c r="I72" s="807"/>
    </row>
    <row r="73" spans="2:9">
      <c r="B73" s="8"/>
      <c r="D73" s="806"/>
      <c r="I73" s="807"/>
    </row>
    <row r="74" spans="2:9">
      <c r="B74" s="8"/>
      <c r="D74" s="806"/>
      <c r="I74" s="807"/>
    </row>
    <row r="75" spans="2:9">
      <c r="B75" s="8"/>
      <c r="D75" s="806"/>
      <c r="I75" s="807"/>
    </row>
    <row r="76" spans="2:9">
      <c r="B76" s="8"/>
      <c r="D76" s="806"/>
      <c r="I76" s="807"/>
    </row>
    <row r="77" spans="2:9">
      <c r="I77" s="807"/>
    </row>
    <row r="78" spans="2:9">
      <c r="I78" s="807"/>
    </row>
  </sheetData>
  <mergeCells count="1">
    <mergeCell ref="B10:C11"/>
  </mergeCells>
  <conditionalFormatting sqref="C19 C25 C33 C35">
    <cfRule type="cellIs" dxfId="909" priority="47" stopIfTrue="1" operator="equal">
      <formula>"ERROR"</formula>
    </cfRule>
    <cfRule type="cellIs" dxfId="908" priority="48" stopIfTrue="1" operator="equal">
      <formula>"OK"</formula>
    </cfRule>
    <cfRule type="cellIs" dxfId="907" priority="49" stopIfTrue="1" operator="equal">
      <formula>"WARNING"</formula>
    </cfRule>
  </conditionalFormatting>
  <conditionalFormatting sqref="C20">
    <cfRule type="cellIs" dxfId="906" priority="40" stopIfTrue="1" operator="equal">
      <formula>"ERROR"</formula>
    </cfRule>
    <cfRule type="cellIs" dxfId="905" priority="41" stopIfTrue="1" operator="equal">
      <formula>"OK"</formula>
    </cfRule>
    <cfRule type="cellIs" dxfId="904" priority="42" stopIfTrue="1" operator="equal">
      <formula>"WARNING"</formula>
    </cfRule>
  </conditionalFormatting>
  <conditionalFormatting sqref="C21">
    <cfRule type="cellIs" dxfId="903" priority="37" stopIfTrue="1" operator="equal">
      <formula>"ERROR"</formula>
    </cfRule>
    <cfRule type="cellIs" dxfId="902" priority="38" stopIfTrue="1" operator="equal">
      <formula>"OK"</formula>
    </cfRule>
    <cfRule type="cellIs" dxfId="901" priority="39" stopIfTrue="1" operator="equal">
      <formula>"WARNING"</formula>
    </cfRule>
  </conditionalFormatting>
  <conditionalFormatting sqref="D6">
    <cfRule type="cellIs" dxfId="900" priority="53" stopIfTrue="1" operator="equal">
      <formula>"ERROR"</formula>
    </cfRule>
    <cfRule type="cellIs" dxfId="899" priority="54" stopIfTrue="1" operator="equal">
      <formula>"OK"</formula>
    </cfRule>
    <cfRule type="cellIs" dxfId="898" priority="55" stopIfTrue="1" operator="equal">
      <formula>"WARNING"</formula>
    </cfRule>
  </conditionalFormatting>
  <conditionalFormatting sqref="C36">
    <cfRule type="cellIs" dxfId="897" priority="34" stopIfTrue="1" operator="equal">
      <formula>"ERROR"</formula>
    </cfRule>
    <cfRule type="cellIs" dxfId="896" priority="35" stopIfTrue="1" operator="equal">
      <formula>"OK"</formula>
    </cfRule>
    <cfRule type="cellIs" dxfId="895" priority="36" stopIfTrue="1" operator="equal">
      <formula>"WARNING"</formula>
    </cfRule>
  </conditionalFormatting>
  <conditionalFormatting sqref="B10:C11">
    <cfRule type="cellIs" dxfId="894" priority="31" stopIfTrue="1" operator="equal">
      <formula>"ERROR"</formula>
    </cfRule>
    <cfRule type="cellIs" dxfId="893" priority="32" stopIfTrue="1" operator="equal">
      <formula>"OK"</formula>
    </cfRule>
    <cfRule type="cellIs" dxfId="892" priority="33" stopIfTrue="1" operator="equal">
      <formula>"WARNING"</formula>
    </cfRule>
  </conditionalFormatting>
  <conditionalFormatting sqref="C34">
    <cfRule type="cellIs" dxfId="891" priority="59" stopIfTrue="1" operator="equal">
      <formula>"ERROR"</formula>
    </cfRule>
    <cfRule type="cellIs" dxfId="890" priority="60" stopIfTrue="1" operator="equal">
      <formula>"OK"</formula>
    </cfRule>
    <cfRule type="cellIs" dxfId="889" priority="61" stopIfTrue="1" operator="equal">
      <formula>"WARNING"</formula>
    </cfRule>
  </conditionalFormatting>
  <conditionalFormatting sqref="C24">
    <cfRule type="cellIs" dxfId="888" priority="19" stopIfTrue="1" operator="equal">
      <formula>"ERROR"</formula>
    </cfRule>
    <cfRule type="cellIs" dxfId="887" priority="20" stopIfTrue="1" operator="equal">
      <formula>"OK"</formula>
    </cfRule>
    <cfRule type="cellIs" dxfId="886" priority="21" stopIfTrue="1" operator="equal">
      <formula>"WARNING"</formula>
    </cfRule>
  </conditionalFormatting>
  <conditionalFormatting sqref="C40:C41">
    <cfRule type="cellIs" dxfId="885" priority="13" stopIfTrue="1" operator="equal">
      <formula>"ERROR"</formula>
    </cfRule>
    <cfRule type="cellIs" dxfId="884" priority="14" stopIfTrue="1" operator="equal">
      <formula>"OK"</formula>
    </cfRule>
    <cfRule type="cellIs" dxfId="883" priority="15" stopIfTrue="1" operator="equal">
      <formula>"WARNING"</formula>
    </cfRule>
  </conditionalFormatting>
  <conditionalFormatting sqref="C43">
    <cfRule type="cellIs" dxfId="882" priority="10" stopIfTrue="1" operator="equal">
      <formula>"ERROR"</formula>
    </cfRule>
    <cfRule type="cellIs" dxfId="881" priority="11" stopIfTrue="1" operator="equal">
      <formula>"OK"</formula>
    </cfRule>
    <cfRule type="cellIs" dxfId="880" priority="12" stopIfTrue="1" operator="equal">
      <formula>"WARNING"</formula>
    </cfRule>
  </conditionalFormatting>
  <conditionalFormatting sqref="C42">
    <cfRule type="cellIs" dxfId="879" priority="7" stopIfTrue="1" operator="equal">
      <formula>"ERROR"</formula>
    </cfRule>
    <cfRule type="cellIs" dxfId="878" priority="8" stopIfTrue="1" operator="equal">
      <formula>"OK"</formula>
    </cfRule>
    <cfRule type="cellIs" dxfId="877" priority="9" stopIfTrue="1" operator="equal">
      <formula>"WARNING"</formula>
    </cfRule>
  </conditionalFormatting>
  <conditionalFormatting sqref="C29:C30">
    <cfRule type="cellIs" dxfId="876" priority="4" stopIfTrue="1" operator="equal">
      <formula>"ERROR"</formula>
    </cfRule>
    <cfRule type="cellIs" dxfId="875" priority="5" stopIfTrue="1" operator="equal">
      <formula>"OK"</formula>
    </cfRule>
    <cfRule type="cellIs" dxfId="874" priority="6" stopIfTrue="1" operator="equal">
      <formula>"WARNING"</formula>
    </cfRule>
  </conditionalFormatting>
  <conditionalFormatting sqref="C28">
    <cfRule type="cellIs" dxfId="873" priority="1" stopIfTrue="1" operator="equal">
      <formula>"ERROR"</formula>
    </cfRule>
    <cfRule type="cellIs" dxfId="872" priority="2" stopIfTrue="1" operator="equal">
      <formula>"OK"</formula>
    </cfRule>
    <cfRule type="cellIs" dxfId="871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387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140</v>
      </c>
      <c r="C4" s="300" t="str" cm="1">
        <f t="array" ref="C4">_xll.d.TestUtils_And(D7:D20)</f>
        <v>Ok</v>
      </c>
    </row>
    <row r="6" spans="2:43">
      <c r="B6" s="189" t="s">
        <v>210</v>
      </c>
      <c r="C6" s="189"/>
      <c r="D6" s="190" t="s">
        <v>10</v>
      </c>
    </row>
    <row r="7" spans="2:43">
      <c r="B7" s="415" t="s">
        <v>494</v>
      </c>
      <c r="C7" s="415"/>
      <c r="D7" s="300" t="str">
        <f>C26</f>
        <v>Ok</v>
      </c>
    </row>
    <row r="8" spans="2:43">
      <c r="B8" s="415" t="s">
        <v>460</v>
      </c>
      <c r="C8" s="415"/>
      <c r="D8" s="300" t="str">
        <f>C38</f>
        <v>Ok</v>
      </c>
    </row>
    <row r="9" spans="2:43">
      <c r="B9" s="415" t="s">
        <v>464</v>
      </c>
      <c r="C9" s="415"/>
      <c r="D9" s="300" t="str">
        <f>C50</f>
        <v>Ok</v>
      </c>
    </row>
    <row r="10" spans="2:43">
      <c r="B10" s="415" t="s">
        <v>458</v>
      </c>
      <c r="C10" s="415"/>
      <c r="D10" s="300" t="str">
        <f>C62</f>
        <v>Ok</v>
      </c>
    </row>
    <row r="11" spans="2:43">
      <c r="B11" s="415" t="s">
        <v>378</v>
      </c>
      <c r="C11" s="415"/>
      <c r="D11" s="300" t="str">
        <f>C74</f>
        <v>Ok</v>
      </c>
    </row>
    <row r="12" spans="2:43">
      <c r="B12" s="415" t="s">
        <v>379</v>
      </c>
      <c r="C12" s="415"/>
      <c r="D12" s="300" t="str">
        <f>C89</f>
        <v>Ok</v>
      </c>
    </row>
    <row r="13" spans="2:43">
      <c r="B13" s="415" t="s">
        <v>380</v>
      </c>
      <c r="C13" s="415"/>
      <c r="D13" s="300" t="str">
        <f>C104</f>
        <v>Ok</v>
      </c>
    </row>
    <row r="14" spans="2:43">
      <c r="B14" s="415" t="s">
        <v>381</v>
      </c>
      <c r="C14" s="415"/>
      <c r="D14" s="300" t="str">
        <f>C119</f>
        <v>Ok</v>
      </c>
    </row>
    <row r="15" spans="2:43">
      <c r="B15" s="415" t="s">
        <v>382</v>
      </c>
      <c r="C15" s="415"/>
      <c r="D15" s="300" t="str">
        <f>C133</f>
        <v>Ok</v>
      </c>
    </row>
    <row r="16" spans="2:43">
      <c r="B16" s="415" t="s">
        <v>383</v>
      </c>
      <c r="C16" s="415"/>
      <c r="D16" s="300" t="str">
        <f>C181</f>
        <v>Ok</v>
      </c>
    </row>
    <row r="17" spans="2:7">
      <c r="B17" s="415" t="s">
        <v>384</v>
      </c>
      <c r="C17" s="415"/>
      <c r="D17" s="300" t="str">
        <f>C208</f>
        <v>Ok</v>
      </c>
    </row>
    <row r="18" spans="2:7">
      <c r="B18" s="415" t="s">
        <v>385</v>
      </c>
      <c r="C18" s="415"/>
      <c r="D18" s="300" t="str">
        <f>C224</f>
        <v>Ok</v>
      </c>
    </row>
    <row r="19" spans="2:7">
      <c r="B19" s="415" t="s">
        <v>386</v>
      </c>
      <c r="C19" s="415"/>
      <c r="D19" s="300" t="str">
        <f>C239</f>
        <v>Ok</v>
      </c>
    </row>
    <row r="20" spans="2:7">
      <c r="B20" s="415" t="s">
        <v>452</v>
      </c>
      <c r="C20" s="415"/>
      <c r="D20" s="300" t="str">
        <f>C253</f>
        <v>Ok</v>
      </c>
    </row>
    <row r="24" spans="2:7" ht="18.75">
      <c r="B24" s="3" t="s">
        <v>494</v>
      </c>
      <c r="C24" s="306"/>
      <c r="D24" s="306"/>
      <c r="E24" s="306"/>
      <c r="F24" s="306"/>
      <c r="G24" s="306"/>
    </row>
    <row r="26" spans="2:7">
      <c r="B26" s="50" t="s">
        <v>140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90</v>
      </c>
      <c r="C28" s="307"/>
      <c r="D28" s="307"/>
      <c r="E28" s="307"/>
      <c r="F28" s="307"/>
      <c r="G28" s="307"/>
    </row>
    <row r="30" spans="2:7">
      <c r="B30" s="121" t="s">
        <v>226</v>
      </c>
      <c r="C30" s="122"/>
      <c r="E30" s="121" t="s">
        <v>114</v>
      </c>
      <c r="F30" s="121" t="s">
        <v>228</v>
      </c>
      <c r="G30" s="121" t="s">
        <v>68</v>
      </c>
    </row>
    <row r="31" spans="2:7">
      <c r="B31" s="123" t="s">
        <v>232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233</v>
      </c>
      <c r="C32" s="321">
        <f>EDATE(C31,3)</f>
        <v>44834</v>
      </c>
    </row>
    <row r="36" spans="2:7" ht="18.75">
      <c r="B36" s="3" t="s">
        <v>460</v>
      </c>
      <c r="C36" s="306"/>
      <c r="D36" s="306"/>
      <c r="E36" s="306"/>
      <c r="F36" s="306"/>
      <c r="G36" s="306"/>
    </row>
    <row r="38" spans="2:7">
      <c r="B38" s="50" t="s">
        <v>140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90</v>
      </c>
      <c r="C40" s="307"/>
      <c r="D40" s="307"/>
      <c r="E40" s="307"/>
      <c r="F40" s="307"/>
      <c r="G40" s="307"/>
    </row>
    <row r="42" spans="2:7">
      <c r="B42" s="121" t="s">
        <v>226</v>
      </c>
      <c r="C42" s="122"/>
      <c r="E42" s="121" t="s">
        <v>114</v>
      </c>
      <c r="F42" s="121" t="s">
        <v>228</v>
      </c>
      <c r="G42" s="121" t="s">
        <v>68</v>
      </c>
    </row>
    <row r="43" spans="2:7">
      <c r="B43" s="123" t="s">
        <v>232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233</v>
      </c>
      <c r="C44" s="321">
        <f>EDATE(C43,3)</f>
        <v>44834</v>
      </c>
    </row>
    <row r="48" spans="2:7" ht="18.75">
      <c r="B48" s="3" t="s">
        <v>464</v>
      </c>
      <c r="C48" s="306"/>
      <c r="D48" s="306"/>
      <c r="E48" s="306"/>
      <c r="F48" s="306"/>
      <c r="G48" s="306"/>
    </row>
    <row r="50" spans="2:7">
      <c r="B50" s="50" t="s">
        <v>140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90</v>
      </c>
      <c r="C52" s="307"/>
      <c r="D52" s="307"/>
      <c r="E52" s="307"/>
      <c r="F52" s="307"/>
      <c r="G52" s="307"/>
    </row>
    <row r="54" spans="2:7">
      <c r="B54" s="121" t="s">
        <v>226</v>
      </c>
      <c r="C54" s="122"/>
      <c r="E54" s="121" t="s">
        <v>114</v>
      </c>
      <c r="F54" s="121" t="s">
        <v>228</v>
      </c>
      <c r="G54" s="121" t="s">
        <v>68</v>
      </c>
    </row>
    <row r="55" spans="2:7">
      <c r="B55" s="123" t="s">
        <v>232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233</v>
      </c>
      <c r="C56" s="321">
        <f>EDATE(C55,3)</f>
        <v>44834</v>
      </c>
    </row>
    <row r="60" spans="2:7" ht="18.75">
      <c r="B60" s="3" t="s">
        <v>458</v>
      </c>
      <c r="C60" s="306"/>
      <c r="D60" s="306"/>
      <c r="E60" s="306"/>
      <c r="F60" s="306"/>
      <c r="G60" s="306"/>
    </row>
    <row r="62" spans="2:7">
      <c r="B62" s="50" t="s">
        <v>140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90</v>
      </c>
      <c r="C64" s="307"/>
      <c r="D64" s="307"/>
      <c r="E64" s="307"/>
      <c r="F64" s="307"/>
      <c r="G64" s="307"/>
    </row>
    <row r="66" spans="2:43">
      <c r="B66" s="121" t="s">
        <v>226</v>
      </c>
      <c r="C66" s="122"/>
      <c r="E66" s="121" t="s">
        <v>114</v>
      </c>
      <c r="F66" s="121" t="s">
        <v>228</v>
      </c>
      <c r="G66" s="121" t="s">
        <v>68</v>
      </c>
    </row>
    <row r="67" spans="2:43">
      <c r="B67" s="123" t="s">
        <v>232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233</v>
      </c>
      <c r="C68" s="321">
        <f>EDATE(C67,3)</f>
        <v>44834</v>
      </c>
    </row>
    <row r="72" spans="2:43" ht="18.75">
      <c r="B72" s="3" t="s">
        <v>378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140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227</v>
      </c>
      <c r="C76" s="307"/>
      <c r="D76" s="307"/>
      <c r="E76" s="307"/>
      <c r="F76" s="307"/>
      <c r="G76" s="307"/>
      <c r="I76" s="4" t="s">
        <v>473</v>
      </c>
      <c r="J76" s="307"/>
      <c r="K76" s="307"/>
      <c r="L76" s="307"/>
      <c r="M76" s="307"/>
      <c r="N76" s="307"/>
      <c r="P76" s="4" t="s">
        <v>471</v>
      </c>
      <c r="Q76" s="4"/>
      <c r="R76" s="307"/>
      <c r="S76" s="307"/>
      <c r="T76" s="307"/>
      <c r="U76" s="307"/>
      <c r="W76" s="4" t="s">
        <v>472</v>
      </c>
      <c r="X76" s="307"/>
      <c r="Y76" s="307"/>
      <c r="Z76" s="307"/>
      <c r="AA76" s="307"/>
      <c r="AB76" s="307"/>
      <c r="AC76" s="307"/>
      <c r="AD76" s="307"/>
      <c r="AF76" s="4" t="s">
        <v>470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226</v>
      </c>
      <c r="C78" s="122"/>
      <c r="E78" s="121" t="s">
        <v>114</v>
      </c>
      <c r="F78" s="121" t="s">
        <v>228</v>
      </c>
      <c r="G78" s="121" t="s">
        <v>68</v>
      </c>
      <c r="I78" s="121" t="s">
        <v>226</v>
      </c>
      <c r="J78" s="122"/>
      <c r="L78" s="121" t="s">
        <v>114</v>
      </c>
      <c r="M78" s="121" t="s">
        <v>228</v>
      </c>
      <c r="N78" s="121" t="s">
        <v>68</v>
      </c>
      <c r="P78" s="121" t="s">
        <v>226</v>
      </c>
      <c r="Q78" s="122"/>
      <c r="S78" s="121" t="s">
        <v>114</v>
      </c>
      <c r="T78" s="121" t="s">
        <v>228</v>
      </c>
      <c r="U78" s="121" t="s">
        <v>68</v>
      </c>
      <c r="W78" s="121" t="s">
        <v>226</v>
      </c>
      <c r="X78" s="122"/>
      <c r="Z78" s="121" t="s">
        <v>114</v>
      </c>
      <c r="AA78" s="121"/>
      <c r="AB78" s="121" t="s">
        <v>228</v>
      </c>
      <c r="AC78" s="121"/>
      <c r="AD78" s="121" t="s">
        <v>68</v>
      </c>
      <c r="AF78" s="121" t="s">
        <v>226</v>
      </c>
      <c r="AG78" s="122"/>
      <c r="AI78" s="121" t="s">
        <v>114</v>
      </c>
      <c r="AJ78" s="121"/>
      <c r="AK78" s="121"/>
      <c r="AL78" s="121"/>
      <c r="AM78" s="121" t="s">
        <v>228</v>
      </c>
      <c r="AN78" s="121"/>
      <c r="AO78" s="121"/>
      <c r="AP78" s="121"/>
      <c r="AQ78" s="121" t="s">
        <v>68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461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474</v>
      </c>
      <c r="P80" s="127" t="s">
        <v>215</v>
      </c>
      <c r="Q80" s="128" t="s">
        <v>54</v>
      </c>
      <c r="W80" s="127" t="s">
        <v>215</v>
      </c>
      <c r="X80" s="128" t="s">
        <v>231</v>
      </c>
      <c r="AF80" s="127" t="s">
        <v>215</v>
      </c>
      <c r="AG80" s="128" t="s">
        <v>237</v>
      </c>
    </row>
    <row r="81" spans="2:36">
      <c r="B81" s="302" t="s">
        <v>225</v>
      </c>
      <c r="G81" s="299"/>
      <c r="I81" s="557" t="s">
        <v>468</v>
      </c>
      <c r="J81" s="558" t="s">
        <v>469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379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140</v>
      </c>
      <c r="C89" s="300" t="str" cm="1">
        <f t="array" ref="C89">_xll.d.TestUtils_And(G94,N94,W94,AJ94)</f>
        <v>Ok</v>
      </c>
    </row>
    <row r="91" spans="2:36" ht="15.75">
      <c r="B91" s="4" t="s">
        <v>227</v>
      </c>
      <c r="C91" s="307"/>
      <c r="D91" s="307"/>
      <c r="E91" s="307"/>
      <c r="F91" s="307"/>
      <c r="G91" s="307"/>
      <c r="I91" s="4" t="s">
        <v>229</v>
      </c>
      <c r="J91" s="4"/>
      <c r="K91" s="307"/>
      <c r="L91" s="307"/>
      <c r="M91" s="307"/>
      <c r="N91" s="307"/>
      <c r="P91" s="4" t="s">
        <v>230</v>
      </c>
      <c r="Q91" s="307"/>
      <c r="R91" s="307"/>
      <c r="S91" s="307"/>
      <c r="T91" s="307"/>
      <c r="U91" s="307"/>
      <c r="V91" s="307"/>
      <c r="W91" s="307"/>
      <c r="Y91" s="4" t="s">
        <v>236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226</v>
      </c>
      <c r="C93" s="122"/>
      <c r="E93" s="121" t="s">
        <v>114</v>
      </c>
      <c r="F93" s="121" t="s">
        <v>228</v>
      </c>
      <c r="G93" s="121" t="s">
        <v>68</v>
      </c>
      <c r="I93" s="121" t="s">
        <v>226</v>
      </c>
      <c r="J93" s="122"/>
      <c r="L93" s="121" t="s">
        <v>114</v>
      </c>
      <c r="M93" s="121" t="s">
        <v>228</v>
      </c>
      <c r="N93" s="121" t="s">
        <v>68</v>
      </c>
      <c r="P93" s="121" t="s">
        <v>226</v>
      </c>
      <c r="Q93" s="122"/>
      <c r="S93" s="121" t="s">
        <v>114</v>
      </c>
      <c r="T93" s="121"/>
      <c r="U93" s="121" t="s">
        <v>228</v>
      </c>
      <c r="V93" s="121"/>
      <c r="W93" s="121" t="s">
        <v>68</v>
      </c>
      <c r="Y93" s="121" t="s">
        <v>226</v>
      </c>
      <c r="Z93" s="122"/>
      <c r="AB93" s="121" t="s">
        <v>114</v>
      </c>
      <c r="AC93" s="121"/>
      <c r="AD93" s="121"/>
      <c r="AE93" s="121"/>
      <c r="AF93" s="121" t="s">
        <v>228</v>
      </c>
      <c r="AG93" s="121"/>
      <c r="AH93" s="121"/>
      <c r="AI93" s="121"/>
      <c r="AJ93" s="121" t="s">
        <v>68</v>
      </c>
    </row>
    <row r="94" spans="2:36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461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>
      <c r="G95" s="299"/>
      <c r="I95" s="127" t="s">
        <v>215</v>
      </c>
      <c r="J95" s="128" t="s">
        <v>54</v>
      </c>
      <c r="P95" s="127" t="s">
        <v>215</v>
      </c>
      <c r="Q95" s="128" t="s">
        <v>231</v>
      </c>
      <c r="Y95" s="127" t="s">
        <v>215</v>
      </c>
      <c r="Z95" s="128" t="s">
        <v>237</v>
      </c>
    </row>
    <row r="96" spans="2:36">
      <c r="B96" s="302" t="s">
        <v>225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380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140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227</v>
      </c>
      <c r="C106" s="307"/>
      <c r="D106" s="307"/>
      <c r="E106" s="307"/>
      <c r="F106" s="307"/>
      <c r="G106" s="307"/>
      <c r="I106" s="4" t="s">
        <v>229</v>
      </c>
      <c r="J106" s="4"/>
      <c r="K106" s="307"/>
      <c r="L106" s="307"/>
      <c r="M106" s="307"/>
      <c r="N106" s="307"/>
      <c r="P106" s="4" t="s">
        <v>230</v>
      </c>
      <c r="Q106" s="307"/>
      <c r="R106" s="307"/>
      <c r="S106" s="307"/>
      <c r="T106" s="307"/>
      <c r="U106" s="307"/>
      <c r="V106" s="307"/>
      <c r="W106" s="307"/>
      <c r="Y106" s="4" t="s">
        <v>236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226</v>
      </c>
      <c r="C108" s="122"/>
      <c r="E108" s="121" t="s">
        <v>114</v>
      </c>
      <c r="F108" s="121" t="s">
        <v>228</v>
      </c>
      <c r="G108" s="121" t="s">
        <v>68</v>
      </c>
      <c r="I108" s="121" t="s">
        <v>226</v>
      </c>
      <c r="J108" s="122"/>
      <c r="L108" s="121" t="s">
        <v>114</v>
      </c>
      <c r="M108" s="121" t="s">
        <v>228</v>
      </c>
      <c r="N108" s="121" t="s">
        <v>68</v>
      </c>
      <c r="P108" s="121" t="s">
        <v>226</v>
      </c>
      <c r="Q108" s="122"/>
      <c r="S108" s="121" t="s">
        <v>114</v>
      </c>
      <c r="T108" s="121"/>
      <c r="U108" s="121" t="s">
        <v>228</v>
      </c>
      <c r="V108" s="121"/>
      <c r="W108" s="121" t="s">
        <v>68</v>
      </c>
      <c r="Y108" s="121" t="s">
        <v>226</v>
      </c>
      <c r="Z108" s="122"/>
      <c r="AB108" s="121" t="s">
        <v>114</v>
      </c>
      <c r="AC108" s="121"/>
      <c r="AD108" s="121"/>
      <c r="AE108" s="121"/>
      <c r="AF108" s="121" t="s">
        <v>228</v>
      </c>
      <c r="AG108" s="121"/>
      <c r="AH108" s="121"/>
      <c r="AI108" s="121"/>
      <c r="AJ108" s="121" t="s">
        <v>68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461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215</v>
      </c>
      <c r="J110" s="128" t="s">
        <v>54</v>
      </c>
      <c r="P110" s="127" t="s">
        <v>215</v>
      </c>
      <c r="Q110" s="128" t="s">
        <v>231</v>
      </c>
      <c r="Y110" s="127" t="s">
        <v>215</v>
      </c>
      <c r="Z110" s="128" t="s">
        <v>237</v>
      </c>
    </row>
    <row r="111" spans="2:36">
      <c r="B111" s="302" t="s">
        <v>225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381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140</v>
      </c>
      <c r="C119" s="300" t="str" cm="1">
        <f t="array" ref="C119">_xll.d.TestUtils_And(G124,O124,AC124,AS124)</f>
        <v>Ok</v>
      </c>
    </row>
    <row r="121" spans="2:45" ht="15.75">
      <c r="B121" s="4" t="s">
        <v>234</v>
      </c>
      <c r="C121" s="307"/>
      <c r="D121" s="307"/>
      <c r="E121" s="307"/>
      <c r="F121" s="307"/>
      <c r="G121" s="307"/>
      <c r="I121" s="4" t="s">
        <v>235</v>
      </c>
      <c r="J121" s="4"/>
      <c r="K121" s="307"/>
      <c r="L121" s="307"/>
      <c r="M121" s="307"/>
      <c r="N121" s="307"/>
      <c r="O121" s="307"/>
      <c r="Q121" s="4" t="s">
        <v>239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240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226</v>
      </c>
      <c r="C123" s="122"/>
      <c r="E123" s="12" t="s">
        <v>114</v>
      </c>
      <c r="F123" s="27" t="s">
        <v>228</v>
      </c>
      <c r="G123" s="122" t="s">
        <v>68</v>
      </c>
      <c r="I123" s="121" t="s">
        <v>226</v>
      </c>
      <c r="J123" s="192"/>
      <c r="K123" s="122"/>
      <c r="M123" s="12" t="s">
        <v>114</v>
      </c>
      <c r="N123" s="27" t="s">
        <v>228</v>
      </c>
      <c r="O123" s="122" t="s">
        <v>68</v>
      </c>
      <c r="Q123" s="121" t="s">
        <v>226</v>
      </c>
      <c r="R123" s="192"/>
      <c r="S123" s="122"/>
      <c r="U123" s="12" t="s">
        <v>114</v>
      </c>
      <c r="V123" s="27"/>
      <c r="W123" s="27"/>
      <c r="X123" s="27"/>
      <c r="Y123" s="27" t="s">
        <v>228</v>
      </c>
      <c r="Z123" s="27"/>
      <c r="AA123" s="27"/>
      <c r="AB123" s="27"/>
      <c r="AC123" s="122" t="s">
        <v>68</v>
      </c>
      <c r="AE123" s="121" t="s">
        <v>226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228</v>
      </c>
      <c r="AO123" s="27"/>
      <c r="AP123" s="27"/>
      <c r="AQ123" s="27"/>
      <c r="AR123" s="27"/>
      <c r="AS123" s="122" t="s">
        <v>68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461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462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215</v>
      </c>
      <c r="C126" s="313" t="s">
        <v>54</v>
      </c>
      <c r="E126" s="552"/>
      <c r="I126" s="457" t="s">
        <v>215</v>
      </c>
      <c r="J126" s="539"/>
      <c r="K126" s="313" t="s">
        <v>231</v>
      </c>
      <c r="Q126" s="457" t="s">
        <v>215</v>
      </c>
      <c r="R126" s="539"/>
      <c r="S126" s="313" t="s">
        <v>237</v>
      </c>
      <c r="AE126" s="457" t="s">
        <v>215</v>
      </c>
      <c r="AF126" s="539"/>
      <c r="AG126" s="313" t="s">
        <v>231</v>
      </c>
    </row>
    <row r="127" spans="2:45">
      <c r="B127" s="127" t="s">
        <v>216</v>
      </c>
      <c r="C127" s="128" t="s">
        <v>217</v>
      </c>
      <c r="E127" s="552"/>
      <c r="I127" s="458" t="s">
        <v>216</v>
      </c>
      <c r="J127" s="540"/>
      <c r="K127" s="128" t="s">
        <v>217</v>
      </c>
      <c r="Q127" s="458" t="s">
        <v>216</v>
      </c>
      <c r="R127" s="540"/>
      <c r="S127" s="128" t="s">
        <v>217</v>
      </c>
      <c r="AE127" s="458" t="s">
        <v>216</v>
      </c>
      <c r="AF127" s="540"/>
      <c r="AG127" s="128" t="s">
        <v>241</v>
      </c>
    </row>
    <row r="128" spans="2:45">
      <c r="B128" s="199"/>
    </row>
    <row r="129" spans="2:30">
      <c r="B129" s="199"/>
    </row>
    <row r="131" spans="2:30" ht="18.75">
      <c r="B131" s="3" t="s">
        <v>382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140</v>
      </c>
      <c r="C133" s="300" t="str" cm="1">
        <f t="array" ref="C133">_xll.d.TestUtils_And(L138:O176)</f>
        <v>Ok</v>
      </c>
    </row>
    <row r="135" spans="2:30" ht="15.75">
      <c r="B135" s="4" t="s">
        <v>90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114</v>
      </c>
      <c r="C137" s="192"/>
      <c r="D137" s="192"/>
      <c r="E137" s="122"/>
      <c r="G137" s="121" t="s">
        <v>228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>
      <c r="B138" s="119" t="str" cm="1">
        <f t="array" ref="B138:E176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244</v>
      </c>
      <c r="H138" s="291" t="s">
        <v>245</v>
      </c>
      <c r="I138" s="291" t="s">
        <v>254</v>
      </c>
      <c r="J138" s="120" t="s">
        <v>255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266</v>
      </c>
      <c r="H139" s="320" t="s">
        <v>267</v>
      </c>
      <c r="I139" s="320" t="s">
        <v>258</v>
      </c>
      <c r="J139" s="124" t="s">
        <v>258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268</v>
      </c>
      <c r="H140" s="279" t="s">
        <v>269</v>
      </c>
      <c r="I140" s="279" t="s">
        <v>258</v>
      </c>
      <c r="J140" s="126" t="s">
        <v>258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/>
      </c>
      <c r="C141" s="279" t="str">
        <v>Austria</v>
      </c>
      <c r="D141" s="279" t="str">
        <v/>
      </c>
      <c r="E141" s="126" t="str">
        <v/>
      </c>
      <c r="G141" s="125" t="s">
        <v>258</v>
      </c>
      <c r="H141" s="279" t="s">
        <v>711</v>
      </c>
      <c r="I141" s="279" t="s">
        <v>258</v>
      </c>
      <c r="J141" s="126" t="s">
        <v>258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BWP</v>
      </c>
      <c r="C142" s="279" t="str">
        <v>Botswana</v>
      </c>
      <c r="D142" s="279" t="str">
        <v/>
      </c>
      <c r="E142" s="126" t="str">
        <v/>
      </c>
      <c r="G142" s="125" t="s">
        <v>270</v>
      </c>
      <c r="H142" s="279" t="s">
        <v>271</v>
      </c>
      <c r="I142" s="279" t="s">
        <v>258</v>
      </c>
      <c r="J142" s="126" t="s">
        <v>258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BRL</v>
      </c>
      <c r="C143" s="279" t="str">
        <v>Brazil</v>
      </c>
      <c r="D143" s="279" t="str">
        <v/>
      </c>
      <c r="E143" s="126" t="str">
        <v/>
      </c>
      <c r="G143" s="125" t="s">
        <v>272</v>
      </c>
      <c r="H143" s="279" t="s">
        <v>273</v>
      </c>
      <c r="I143" s="279" t="s">
        <v>258</v>
      </c>
      <c r="J143" s="126" t="s">
        <v>258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CAD</v>
      </c>
      <c r="C144" s="279" t="str">
        <v>Canada</v>
      </c>
      <c r="D144" s="279" t="str">
        <v/>
      </c>
      <c r="E144" s="126" t="str">
        <v/>
      </c>
      <c r="G144" s="125" t="s">
        <v>274</v>
      </c>
      <c r="H144" s="279" t="s">
        <v>275</v>
      </c>
      <c r="I144" s="279" t="s">
        <v>258</v>
      </c>
      <c r="J144" s="126" t="s">
        <v>258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CHF</v>
      </c>
      <c r="C145" s="279" t="str">
        <v>Switzerland</v>
      </c>
      <c r="D145" s="279" t="str">
        <v/>
      </c>
      <c r="E145" s="126" t="str">
        <v/>
      </c>
      <c r="G145" s="125" t="s">
        <v>276</v>
      </c>
      <c r="H145" s="279" t="s">
        <v>277</v>
      </c>
      <c r="I145" s="279" t="s">
        <v>258</v>
      </c>
      <c r="J145" s="126" t="s">
        <v>258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CLP</v>
      </c>
      <c r="C146" s="279" t="str">
        <v>Chile</v>
      </c>
      <c r="D146" s="279" t="str">
        <v/>
      </c>
      <c r="E146" s="126" t="str">
        <v/>
      </c>
      <c r="G146" s="125" t="s">
        <v>712</v>
      </c>
      <c r="H146" s="279" t="s">
        <v>713</v>
      </c>
      <c r="I146" s="279" t="s">
        <v>258</v>
      </c>
      <c r="J146" s="126" t="s">
        <v>258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CNH</v>
      </c>
      <c r="C147" s="279" t="str">
        <v>China</v>
      </c>
      <c r="D147" s="279" t="str">
        <v/>
      </c>
      <c r="E147" s="126" t="str">
        <v/>
      </c>
      <c r="G147" s="125" t="s">
        <v>278</v>
      </c>
      <c r="H147" s="279" t="s">
        <v>279</v>
      </c>
      <c r="I147" s="279" t="s">
        <v>258</v>
      </c>
      <c r="J147" s="126" t="s">
        <v>258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CZK</v>
      </c>
      <c r="C148" s="279" t="str">
        <v>Czech Republic</v>
      </c>
      <c r="D148" s="279" t="str">
        <v/>
      </c>
      <c r="E148" s="126" t="str">
        <v/>
      </c>
      <c r="G148" s="125" t="s">
        <v>280</v>
      </c>
      <c r="H148" s="279" t="s">
        <v>281</v>
      </c>
      <c r="I148" s="279" t="s">
        <v>258</v>
      </c>
      <c r="J148" s="126" t="s">
        <v>258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DKK</v>
      </c>
      <c r="C149" s="279" t="str">
        <v>Denmark</v>
      </c>
      <c r="D149" s="279" t="str">
        <v/>
      </c>
      <c r="E149" s="126" t="str">
        <v/>
      </c>
      <c r="G149" s="125" t="s">
        <v>282</v>
      </c>
      <c r="H149" s="279" t="s">
        <v>283</v>
      </c>
      <c r="I149" s="279" t="s">
        <v>258</v>
      </c>
      <c r="J149" s="126" t="s">
        <v>258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EUR</v>
      </c>
      <c r="C150" s="279" t="str">
        <v>Euro</v>
      </c>
      <c r="D150" s="279" t="str">
        <v/>
      </c>
      <c r="E150" s="126" t="str">
        <v/>
      </c>
      <c r="G150" s="125" t="s">
        <v>284</v>
      </c>
      <c r="H150" s="279" t="s">
        <v>285</v>
      </c>
      <c r="I150" s="279" t="s">
        <v>258</v>
      </c>
      <c r="J150" s="126" t="s">
        <v>258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/>
      </c>
      <c r="C151" s="279" t="str">
        <v>Finland</v>
      </c>
      <c r="D151" s="279" t="str">
        <v/>
      </c>
      <c r="E151" s="126" t="str">
        <v/>
      </c>
      <c r="G151" s="125" t="s">
        <v>258</v>
      </c>
      <c r="H151" s="279" t="s">
        <v>714</v>
      </c>
      <c r="I151" s="279" t="s">
        <v>258</v>
      </c>
      <c r="J151" s="126" t="s">
        <v>258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/>
      </c>
      <c r="C152" s="279" t="str">
        <v>France</v>
      </c>
      <c r="D152" s="279" t="str">
        <v/>
      </c>
      <c r="E152" s="126" t="str">
        <v/>
      </c>
      <c r="G152" s="125" t="s">
        <v>258</v>
      </c>
      <c r="H152" s="279" t="s">
        <v>715</v>
      </c>
      <c r="I152" s="279" t="s">
        <v>258</v>
      </c>
      <c r="J152" s="126" t="s">
        <v>258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GBP</v>
      </c>
      <c r="C153" s="279" t="str">
        <v>Great Britain</v>
      </c>
      <c r="D153" s="279" t="str">
        <v/>
      </c>
      <c r="E153" s="126" t="str">
        <v/>
      </c>
      <c r="G153" s="125" t="s">
        <v>286</v>
      </c>
      <c r="H153" s="279" t="s">
        <v>287</v>
      </c>
      <c r="I153" s="279" t="s">
        <v>258</v>
      </c>
      <c r="J153" s="126" t="s">
        <v>258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/>
      </c>
      <c r="C154" s="279" t="str">
        <v>Germany</v>
      </c>
      <c r="D154" s="279" t="str">
        <v/>
      </c>
      <c r="E154" s="126" t="str">
        <v/>
      </c>
      <c r="G154" s="125" t="s">
        <v>258</v>
      </c>
      <c r="H154" s="279" t="s">
        <v>288</v>
      </c>
      <c r="I154" s="279" t="s">
        <v>258</v>
      </c>
      <c r="J154" s="126" t="s">
        <v>258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HUF</v>
      </c>
      <c r="C155" s="279" t="str">
        <v>Hungary</v>
      </c>
      <c r="D155" s="279" t="str">
        <v/>
      </c>
      <c r="E155" s="126" t="str">
        <v/>
      </c>
      <c r="G155" s="125" t="s">
        <v>289</v>
      </c>
      <c r="H155" s="279" t="s">
        <v>290</v>
      </c>
      <c r="I155" s="279" t="s">
        <v>258</v>
      </c>
      <c r="J155" s="126" t="s">
        <v>258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INR</v>
      </c>
      <c r="C156" s="279" t="str">
        <v>India</v>
      </c>
      <c r="D156" s="279" t="str">
        <v/>
      </c>
      <c r="E156" s="126" t="str">
        <v/>
      </c>
      <c r="G156" s="125" t="s">
        <v>291</v>
      </c>
      <c r="H156" s="279" t="s">
        <v>292</v>
      </c>
      <c r="I156" s="279" t="s">
        <v>258</v>
      </c>
      <c r="J156" s="126" t="s">
        <v>258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ILS</v>
      </c>
      <c r="C157" s="279" t="str">
        <v>Israel</v>
      </c>
      <c r="D157" s="279" t="str">
        <v/>
      </c>
      <c r="E157" s="126" t="str">
        <v/>
      </c>
      <c r="G157" s="125" t="s">
        <v>293</v>
      </c>
      <c r="H157" s="279" t="s">
        <v>294</v>
      </c>
      <c r="I157" s="279" t="s">
        <v>258</v>
      </c>
      <c r="J157" s="126" t="s">
        <v>258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/>
      </c>
      <c r="C158" s="279" t="str">
        <v>Italy</v>
      </c>
      <c r="D158" s="279" t="str">
        <v/>
      </c>
      <c r="E158" s="126" t="str">
        <v/>
      </c>
      <c r="G158" s="125" t="s">
        <v>258</v>
      </c>
      <c r="H158" s="279" t="s">
        <v>295</v>
      </c>
      <c r="I158" s="279" t="s">
        <v>258</v>
      </c>
      <c r="J158" s="126" t="s">
        <v>258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JPY</v>
      </c>
      <c r="C159" s="279" t="str">
        <v>Japan</v>
      </c>
      <c r="D159" s="279" t="str">
        <v/>
      </c>
      <c r="E159" s="126" t="str">
        <v/>
      </c>
      <c r="G159" s="125" t="s">
        <v>296</v>
      </c>
      <c r="H159" s="279" t="s">
        <v>297</v>
      </c>
      <c r="I159" s="279" t="s">
        <v>258</v>
      </c>
      <c r="J159" s="126" t="s">
        <v>258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KRW</v>
      </c>
      <c r="C160" s="279" t="str">
        <v>South Korea</v>
      </c>
      <c r="D160" s="279" t="str">
        <v/>
      </c>
      <c r="E160" s="126" t="str">
        <v/>
      </c>
      <c r="G160" s="125" t="s">
        <v>298</v>
      </c>
      <c r="H160" s="279" t="s">
        <v>299</v>
      </c>
      <c r="I160" s="279" t="s">
        <v>258</v>
      </c>
      <c r="J160" s="126" t="s">
        <v>258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15">
      <c r="B161" s="125" t="str">
        <v>MXN</v>
      </c>
      <c r="C161" s="279" t="str">
        <v>Mexico</v>
      </c>
      <c r="D161" s="279" t="str">
        <v/>
      </c>
      <c r="E161" s="126" t="str">
        <v/>
      </c>
      <c r="G161" s="125" t="s">
        <v>300</v>
      </c>
      <c r="H161" s="279" t="s">
        <v>301</v>
      </c>
      <c r="I161" s="279" t="s">
        <v>258</v>
      </c>
      <c r="J161" s="126" t="s">
        <v>258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15">
      <c r="B162" s="125" t="str">
        <v>NOK</v>
      </c>
      <c r="C162" s="279" t="str">
        <v>Norway</v>
      </c>
      <c r="D162" s="279" t="str">
        <v/>
      </c>
      <c r="E162" s="126" t="str">
        <v/>
      </c>
      <c r="G162" s="125" t="s">
        <v>302</v>
      </c>
      <c r="H162" s="279" t="s">
        <v>303</v>
      </c>
      <c r="I162" s="279" t="s">
        <v>258</v>
      </c>
      <c r="J162" s="126" t="s">
        <v>258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15">
      <c r="B163" s="125" t="str">
        <v>NZD</v>
      </c>
      <c r="C163" s="279" t="str">
        <v>New Zealand</v>
      </c>
      <c r="D163" s="279" t="str">
        <v/>
      </c>
      <c r="E163" s="126" t="str">
        <v/>
      </c>
      <c r="G163" s="125" t="s">
        <v>304</v>
      </c>
      <c r="H163" s="279" t="s">
        <v>305</v>
      </c>
      <c r="I163" s="279" t="s">
        <v>258</v>
      </c>
      <c r="J163" s="126" t="s">
        <v>258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15">
      <c r="B164" s="125" t="str">
        <v>PLN</v>
      </c>
      <c r="C164" s="279" t="str">
        <v>Poland</v>
      </c>
      <c r="D164" s="279" t="str">
        <v/>
      </c>
      <c r="E164" s="126" t="str">
        <v/>
      </c>
      <c r="G164" s="125" t="s">
        <v>306</v>
      </c>
      <c r="H164" s="279" t="s">
        <v>307</v>
      </c>
      <c r="I164" s="279" t="s">
        <v>258</v>
      </c>
      <c r="J164" s="126" t="s">
        <v>258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15">
      <c r="B165" s="125" t="str">
        <v>RON</v>
      </c>
      <c r="C165" s="279" t="str">
        <v>Romania</v>
      </c>
      <c r="D165" s="279" t="str">
        <v/>
      </c>
      <c r="E165" s="126" t="str">
        <v/>
      </c>
      <c r="G165" s="125" t="s">
        <v>308</v>
      </c>
      <c r="H165" s="279" t="s">
        <v>309</v>
      </c>
      <c r="I165" s="279" t="s">
        <v>258</v>
      </c>
      <c r="J165" s="126" t="s">
        <v>258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15">
      <c r="B166" s="125" t="str">
        <v>RUB</v>
      </c>
      <c r="C166" s="279" t="str">
        <v>Russia</v>
      </c>
      <c r="D166" s="279" t="str">
        <v/>
      </c>
      <c r="E166" s="126" t="str">
        <v/>
      </c>
      <c r="G166" s="125" t="s">
        <v>310</v>
      </c>
      <c r="H166" s="279" t="s">
        <v>311</v>
      </c>
      <c r="I166" s="279" t="s">
        <v>258</v>
      </c>
      <c r="J166" s="126" t="s">
        <v>258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15">
      <c r="B167" s="125" t="str">
        <v>SGD</v>
      </c>
      <c r="C167" s="279" t="str">
        <v>Singapore</v>
      </c>
      <c r="D167" s="279" t="str">
        <v/>
      </c>
      <c r="E167" s="126" t="str">
        <v/>
      </c>
      <c r="G167" s="125" t="s">
        <v>312</v>
      </c>
      <c r="H167" s="279" t="s">
        <v>313</v>
      </c>
      <c r="I167" s="279" t="s">
        <v>258</v>
      </c>
      <c r="J167" s="126" t="s">
        <v>258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15">
      <c r="B168" s="125" t="str">
        <v>SKK</v>
      </c>
      <c r="C168" s="279" t="str">
        <v>Sweden</v>
      </c>
      <c r="D168" s="279" t="str">
        <v/>
      </c>
      <c r="E168" s="126" t="str">
        <v/>
      </c>
      <c r="G168" s="125" t="s">
        <v>314</v>
      </c>
      <c r="H168" s="279" t="s">
        <v>315</v>
      </c>
      <c r="I168" s="279" t="s">
        <v>258</v>
      </c>
      <c r="J168" s="126" t="s">
        <v>258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15">
      <c r="B169" s="125" t="str">
        <v/>
      </c>
      <c r="C169" s="279" t="str">
        <v>Slovakia</v>
      </c>
      <c r="D169" s="279" t="str">
        <v/>
      </c>
      <c r="E169" s="126" t="str">
        <v/>
      </c>
      <c r="G169" s="125" t="s">
        <v>258</v>
      </c>
      <c r="H169" s="279" t="s">
        <v>716</v>
      </c>
      <c r="I169" s="279" t="s">
        <v>258</v>
      </c>
      <c r="J169" s="126" t="s">
        <v>258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15">
      <c r="B170" s="125" t="str">
        <v>THB</v>
      </c>
      <c r="C170" s="279" t="str">
        <v>Thailand</v>
      </c>
      <c r="D170" s="279" t="str">
        <v/>
      </c>
      <c r="E170" s="126" t="str">
        <v/>
      </c>
      <c r="G170" s="125" t="s">
        <v>316</v>
      </c>
      <c r="H170" s="279" t="s">
        <v>317</v>
      </c>
      <c r="I170" s="279" t="s">
        <v>258</v>
      </c>
      <c r="J170" s="126" t="s">
        <v>258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15">
      <c r="B171" s="125" t="str">
        <v>TRY</v>
      </c>
      <c r="C171" s="279" t="str">
        <v>Turkey</v>
      </c>
      <c r="D171" s="279" t="str">
        <v/>
      </c>
      <c r="E171" s="126" t="str">
        <v/>
      </c>
      <c r="G171" s="125" t="s">
        <v>318</v>
      </c>
      <c r="H171" s="279" t="s">
        <v>319</v>
      </c>
      <c r="I171" s="279" t="s">
        <v>258</v>
      </c>
      <c r="J171" s="126" t="s">
        <v>258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15">
      <c r="B172" s="125" t="str">
        <v>TWD</v>
      </c>
      <c r="C172" s="279" t="str">
        <v>Taiwan</v>
      </c>
      <c r="D172" s="279" t="str">
        <v/>
      </c>
      <c r="E172" s="126" t="str">
        <v/>
      </c>
      <c r="G172" s="125" t="s">
        <v>320</v>
      </c>
      <c r="H172" s="279" t="s">
        <v>321</v>
      </c>
      <c r="I172" s="279" t="s">
        <v>258</v>
      </c>
      <c r="J172" s="126" t="s">
        <v>258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3" spans="2:15">
      <c r="B173" s="125" t="str">
        <v>UAH</v>
      </c>
      <c r="C173" s="279" t="str">
        <v>Ukraine</v>
      </c>
      <c r="D173" s="279" t="str">
        <v/>
      </c>
      <c r="E173" s="126" t="str">
        <v/>
      </c>
      <c r="G173" s="125" t="s">
        <v>322</v>
      </c>
      <c r="H173" s="279" t="s">
        <v>323</v>
      </c>
      <c r="I173" s="279" t="s">
        <v>258</v>
      </c>
      <c r="J173" s="126" t="s">
        <v>258</v>
      </c>
      <c r="L173" s="300" t="str" cm="1">
        <f t="array" ref="L173">_xll.d.TestUtils_Equal(B173,G173)</f>
        <v>Ok</v>
      </c>
      <c r="M173" s="300" t="str" cm="1">
        <f t="array" ref="M173">_xll.d.TestUtils_Equal(C173,H173)</f>
        <v>Ok</v>
      </c>
      <c r="N173" s="300" t="str" cm="1">
        <f t="array" ref="N173">_xll.d.TestUtils_Equal(D173,I173)</f>
        <v>Ok</v>
      </c>
      <c r="O173" s="300" t="str" cm="1">
        <f t="array" ref="O173">_xll.d.TestUtils_Equal(E173,J173)</f>
        <v>Ok</v>
      </c>
    </row>
    <row r="174" spans="2:15">
      <c r="B174" s="125" t="str">
        <v>USD</v>
      </c>
      <c r="C174" s="279" t="str">
        <v>USA</v>
      </c>
      <c r="D174" s="279" t="str">
        <v>United States</v>
      </c>
      <c r="E174" s="126" t="str">
        <v>United States of America</v>
      </c>
      <c r="G174" s="125" t="s">
        <v>324</v>
      </c>
      <c r="H174" s="279" t="s">
        <v>325</v>
      </c>
      <c r="I174" s="279" t="s">
        <v>326</v>
      </c>
      <c r="J174" s="126" t="s">
        <v>327</v>
      </c>
      <c r="L174" s="300" t="str" cm="1">
        <f t="array" ref="L174">_xll.d.TestUtils_Equal(B174,G174)</f>
        <v>Ok</v>
      </c>
      <c r="M174" s="300" t="str" cm="1">
        <f t="array" ref="M174">_xll.d.TestUtils_Equal(C174,H174)</f>
        <v>Ok</v>
      </c>
      <c r="N174" s="300" t="str" cm="1">
        <f t="array" ref="N174">_xll.d.TestUtils_Equal(D174,I174)</f>
        <v>Ok</v>
      </c>
      <c r="O174" s="300" t="str" cm="1">
        <f t="array" ref="O174">_xll.d.TestUtils_Equal(E174,J174)</f>
        <v>Ok</v>
      </c>
    </row>
    <row r="175" spans="2:15">
      <c r="B175" s="125" t="str">
        <v>WEEKENDSONLY</v>
      </c>
      <c r="C175" s="279" t="str">
        <v/>
      </c>
      <c r="D175" s="279" t="str">
        <v/>
      </c>
      <c r="E175" s="126" t="str">
        <v/>
      </c>
      <c r="G175" s="125" t="s">
        <v>463</v>
      </c>
      <c r="H175" s="279" t="s">
        <v>258</v>
      </c>
      <c r="I175" s="279" t="s">
        <v>258</v>
      </c>
      <c r="J175" s="126" t="s">
        <v>258</v>
      </c>
      <c r="L175" s="300" t="str" cm="1">
        <f t="array" ref="L175">_xll.d.TestUtils_Equal(B175,G175)</f>
        <v>Ok</v>
      </c>
      <c r="M175" s="300" t="str" cm="1">
        <f t="array" ref="M175">_xll.d.TestUtils_Equal(C175,H175)</f>
        <v>Ok</v>
      </c>
      <c r="N175" s="300" t="str" cm="1">
        <f t="array" ref="N175">_xll.d.TestUtils_Equal(D175,I175)</f>
        <v>Ok</v>
      </c>
      <c r="O175" s="300" t="str" cm="1">
        <f t="array" ref="O175">_xll.d.TestUtils_Equal(E175,J175)</f>
        <v>Ok</v>
      </c>
    </row>
    <row r="176" spans="2:15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328</v>
      </c>
      <c r="I176" s="191" t="s">
        <v>258</v>
      </c>
      <c r="J176" s="128" t="s">
        <v>258</v>
      </c>
      <c r="L176" s="300" t="str" cm="1">
        <f t="array" ref="L176">_xll.d.TestUtils_Equal(B176,G176)</f>
        <v>Ok</v>
      </c>
      <c r="M176" s="300" t="str" cm="1">
        <f t="array" ref="M176">_xll.d.TestUtils_Equal(C176,H176)</f>
        <v>Ok</v>
      </c>
      <c r="N176" s="300" t="str" cm="1">
        <f t="array" ref="N176">_xll.d.TestUtils_Equal(D176,I176)</f>
        <v>Ok</v>
      </c>
      <c r="O176" s="300" t="str" cm="1">
        <f t="array" ref="O176">_xll.d.TestUtils_Equal(E176,J176)</f>
        <v>Ok</v>
      </c>
    </row>
    <row r="179" spans="2:27" ht="18.75">
      <c r="B179" s="3" t="s">
        <v>383</v>
      </c>
      <c r="C179" s="306"/>
      <c r="D179" s="306"/>
      <c r="E179" s="306"/>
      <c r="F179" s="306"/>
      <c r="G179" s="306"/>
      <c r="H179" s="306"/>
      <c r="I179" s="306"/>
      <c r="J179" s="306"/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</row>
    <row r="181" spans="2:27">
      <c r="B181" s="50" t="s">
        <v>140</v>
      </c>
      <c r="C181" s="300" t="str" cm="1">
        <f t="array" ref="C181">_xll.d.TestUtils_And(G186:G194,N186:N203,AA186)</f>
        <v>Ok</v>
      </c>
    </row>
    <row r="183" spans="2:27" ht="15.75">
      <c r="B183" s="4" t="s">
        <v>234</v>
      </c>
      <c r="C183" s="307"/>
      <c r="D183" s="307"/>
      <c r="E183" s="307"/>
      <c r="F183" s="307"/>
      <c r="G183" s="307"/>
      <c r="I183" s="4" t="s">
        <v>235</v>
      </c>
      <c r="J183" s="307"/>
      <c r="K183" s="307"/>
      <c r="L183" s="307"/>
      <c r="M183" s="307"/>
      <c r="N183" s="307"/>
      <c r="P183" s="4" t="s">
        <v>239</v>
      </c>
      <c r="Q183" s="307"/>
      <c r="R183" s="307"/>
      <c r="S183" s="307"/>
      <c r="T183" s="307"/>
      <c r="U183" s="307"/>
      <c r="V183" s="307"/>
      <c r="W183" s="307"/>
      <c r="X183" s="307"/>
      <c r="Y183" s="307"/>
      <c r="Z183" s="307"/>
      <c r="AA183" s="307"/>
    </row>
    <row r="184" spans="2:27">
      <c r="G184" s="299"/>
      <c r="N184" s="299"/>
    </row>
    <row r="185" spans="2:27">
      <c r="B185" s="121" t="s">
        <v>226</v>
      </c>
      <c r="C185" s="122"/>
      <c r="E185" s="12" t="s">
        <v>114</v>
      </c>
      <c r="F185" s="27" t="s">
        <v>228</v>
      </c>
      <c r="G185" s="122" t="s">
        <v>68</v>
      </c>
      <c r="I185" s="121" t="s">
        <v>226</v>
      </c>
      <c r="J185" s="122"/>
      <c r="L185" s="12" t="s">
        <v>114</v>
      </c>
      <c r="M185" s="27" t="s">
        <v>228</v>
      </c>
      <c r="N185" s="122" t="s">
        <v>68</v>
      </c>
      <c r="P185" s="121" t="s">
        <v>226</v>
      </c>
      <c r="Q185" s="122"/>
      <c r="S185" s="12" t="s">
        <v>114</v>
      </c>
      <c r="T185" s="27"/>
      <c r="U185" s="27"/>
      <c r="V185" s="27"/>
      <c r="W185" s="27" t="s">
        <v>228</v>
      </c>
      <c r="X185" s="27"/>
      <c r="Y185" s="27"/>
      <c r="Z185" s="27"/>
      <c r="AA185" s="122" t="s">
        <v>68</v>
      </c>
    </row>
    <row r="186" spans="2:27">
      <c r="B186" s="123" t="s">
        <v>232</v>
      </c>
      <c r="C186" s="301">
        <v>44562</v>
      </c>
      <c r="E186" s="314" cm="1">
        <f t="array" ref="E186:E195">_xll.d.Dates_GetListOfHolidays(C186,C187,C188)</f>
        <v>44641</v>
      </c>
      <c r="F186" s="315">
        <v>44641</v>
      </c>
      <c r="G186" s="124" t="str" cm="1">
        <f t="array" ref="G186">_xll.d.TestUtils_Equal(E186,F186)</f>
        <v>Ok</v>
      </c>
      <c r="I186" s="123" t="s">
        <v>232</v>
      </c>
      <c r="J186" s="301">
        <v>44562</v>
      </c>
      <c r="L186" s="314" cm="1">
        <f t="array" ref="L186:L204">_xll.d.Dates_GetListOfHolidays(J186,J187,J188)</f>
        <v>44578</v>
      </c>
      <c r="M186" s="315">
        <v>44578</v>
      </c>
      <c r="N186" s="124" t="str" cm="1">
        <f t="array" ref="N186">_xll.d.TestUtils_Equal(L186,M186)</f>
        <v>Ok</v>
      </c>
      <c r="P186" s="123" t="s">
        <v>232</v>
      </c>
      <c r="Q186" s="301">
        <v>44562</v>
      </c>
      <c r="S186" s="536" t="str" cm="1">
        <f t="array" ref="S186">_xll.d.Dates_GetListOfHolidays(Q186,Q187,Q188)</f>
        <v>#∂Excel Error: Unsupported calendar: 'WRE'</v>
      </c>
      <c r="T186" s="537"/>
      <c r="U186" s="537"/>
      <c r="V186" s="537"/>
      <c r="W186" s="537" t="s">
        <v>461</v>
      </c>
      <c r="X186" s="537"/>
      <c r="Y186" s="537"/>
      <c r="Z186" s="537"/>
      <c r="AA186" s="310" t="str" cm="1">
        <f t="array" ref="AA186">_xll.d.TestUtils_Equal(S186,W186)</f>
        <v>Ok</v>
      </c>
    </row>
    <row r="187" spans="2:27">
      <c r="B187" s="125" t="s">
        <v>233</v>
      </c>
      <c r="C187" s="313">
        <v>44926</v>
      </c>
      <c r="E187" s="316">
        <v>44666</v>
      </c>
      <c r="F187" s="317">
        <v>44666</v>
      </c>
      <c r="G187" s="126" t="str" cm="1">
        <f t="array" ref="G187">_xll.d.TestUtils_Equal(E187,F187)</f>
        <v>Ok</v>
      </c>
      <c r="I187" s="125" t="s">
        <v>233</v>
      </c>
      <c r="J187" s="313">
        <v>44926</v>
      </c>
      <c r="L187" s="316">
        <v>44613</v>
      </c>
      <c r="M187" s="317">
        <v>44613</v>
      </c>
      <c r="N187" s="126" t="str" cm="1">
        <f t="array" ref="N187">_xll.d.TestUtils_Equal(L187,M187)</f>
        <v>Ok</v>
      </c>
      <c r="P187" s="125" t="s">
        <v>233</v>
      </c>
      <c r="Q187" s="313">
        <v>44926</v>
      </c>
    </row>
    <row r="188" spans="2:27">
      <c r="B188" s="127" t="s">
        <v>215</v>
      </c>
      <c r="C188" s="128" t="s">
        <v>54</v>
      </c>
      <c r="E188" s="316">
        <v>44669</v>
      </c>
      <c r="F188" s="317">
        <v>44669</v>
      </c>
      <c r="G188" s="126" t="str" cm="1">
        <f t="array" ref="G188">_xll.d.TestUtils_Equal(E188,F188)</f>
        <v>Ok</v>
      </c>
      <c r="I188" s="127" t="s">
        <v>215</v>
      </c>
      <c r="J188" s="128" t="s">
        <v>231</v>
      </c>
      <c r="L188" s="316">
        <v>44641</v>
      </c>
      <c r="M188" s="317">
        <v>44641</v>
      </c>
      <c r="N188" s="126" t="str" cm="1">
        <f t="array" ref="N188">_xll.d.TestUtils_Equal(L188,M188)</f>
        <v>Ok</v>
      </c>
      <c r="P188" s="127" t="s">
        <v>215</v>
      </c>
      <c r="Q188" s="128" t="s">
        <v>237</v>
      </c>
    </row>
    <row r="189" spans="2:27">
      <c r="E189" s="316">
        <v>44678</v>
      </c>
      <c r="F189" s="317">
        <v>44678</v>
      </c>
      <c r="G189" s="126" t="str" cm="1">
        <f t="array" ref="G189">_xll.d.TestUtils_Equal(E189,F189)</f>
        <v>Ok</v>
      </c>
      <c r="L189" s="316">
        <v>44666</v>
      </c>
      <c r="M189" s="317">
        <v>44666</v>
      </c>
      <c r="N189" s="126" t="str" cm="1">
        <f t="array" ref="N189">_xll.d.TestUtils_Equal(L189,M189)</f>
        <v>Ok</v>
      </c>
    </row>
    <row r="190" spans="2:27">
      <c r="E190" s="316">
        <v>44683</v>
      </c>
      <c r="F190" s="317">
        <v>44683</v>
      </c>
      <c r="G190" s="126" t="str" cm="1">
        <f t="array" ref="G190">_xll.d.TestUtils_Equal(E190,F190)</f>
        <v>Ok</v>
      </c>
      <c r="L190" s="316">
        <v>44669</v>
      </c>
      <c r="M190" s="317">
        <v>44669</v>
      </c>
      <c r="N190" s="126" t="str" cm="1">
        <f t="array" ref="N190">_xll.d.TestUtils_Equal(L190,M190)</f>
        <v>Ok</v>
      </c>
    </row>
    <row r="191" spans="2:27">
      <c r="E191" s="316">
        <v>44728</v>
      </c>
      <c r="F191" s="317">
        <v>44728</v>
      </c>
      <c r="G191" s="126" t="str" cm="1">
        <f t="array" ref="G191">_xll.d.TestUtils_Equal(E191,F191)</f>
        <v>Ok</v>
      </c>
      <c r="L191" s="316">
        <v>44678</v>
      </c>
      <c r="M191" s="317">
        <v>44678</v>
      </c>
      <c r="N191" s="126" t="str" cm="1">
        <f t="array" ref="N191">_xll.d.TestUtils_Equal(L191,M191)</f>
        <v>Ok</v>
      </c>
    </row>
    <row r="192" spans="2:27">
      <c r="E192" s="316">
        <v>44782</v>
      </c>
      <c r="F192" s="317">
        <v>44782</v>
      </c>
      <c r="G192" s="126" t="str" cm="1">
        <f t="array" ref="G192">_xll.d.TestUtils_Equal(E192,F192)</f>
        <v>Ok</v>
      </c>
      <c r="L192" s="316">
        <v>44683</v>
      </c>
      <c r="M192" s="317">
        <v>44683</v>
      </c>
      <c r="N192" s="126" t="str" cm="1">
        <f t="array" ref="N192">_xll.d.TestUtils_Equal(L192,M192)</f>
        <v>Ok</v>
      </c>
    </row>
    <row r="193" spans="2:35">
      <c r="E193" s="316">
        <v>44911</v>
      </c>
      <c r="F193" s="317">
        <v>44911</v>
      </c>
      <c r="G193" s="126" t="str" cm="1">
        <f t="array" ref="G193">_xll.d.TestUtils_Equal(E193,F193)</f>
        <v>Ok</v>
      </c>
      <c r="L193" s="316">
        <v>44711</v>
      </c>
      <c r="M193" s="317">
        <v>44711</v>
      </c>
      <c r="N193" s="126" t="str" cm="1">
        <f t="array" ref="N193">_xll.d.TestUtils_Equal(L193,M193)</f>
        <v>Ok</v>
      </c>
    </row>
    <row r="194" spans="2:35">
      <c r="E194" s="318">
        <v>44921</v>
      </c>
      <c r="F194" s="319">
        <v>44921</v>
      </c>
      <c r="G194" s="128" t="str" cm="1">
        <f t="array" ref="G194">_xll.d.TestUtils_Equal(E194,F194)</f>
        <v>Ok</v>
      </c>
      <c r="L194" s="316">
        <v>44728</v>
      </c>
      <c r="M194" s="317">
        <v>44728</v>
      </c>
      <c r="N194" s="126" t="str" cm="1">
        <f t="array" ref="N194">_xll.d.TestUtils_Equal(L194,M194)</f>
        <v>Ok</v>
      </c>
    </row>
    <row r="195" spans="2:35">
      <c r="E195" s="298">
        <v>44922</v>
      </c>
      <c r="G195" s="299"/>
      <c r="L195" s="316">
        <v>44732</v>
      </c>
      <c r="M195" s="317">
        <v>44732</v>
      </c>
      <c r="N195" s="126" t="str" cm="1">
        <f t="array" ref="N195">_xll.d.TestUtils_Equal(L195,M195)</f>
        <v>Ok</v>
      </c>
    </row>
    <row r="196" spans="2:35">
      <c r="G196" s="299"/>
      <c r="L196" s="316">
        <v>44746</v>
      </c>
      <c r="M196" s="317">
        <v>44746</v>
      </c>
      <c r="N196" s="126" t="str" cm="1">
        <f t="array" ref="N196">_xll.d.TestUtils_Equal(L196,M196)</f>
        <v>Ok</v>
      </c>
    </row>
    <row r="197" spans="2:35">
      <c r="G197" s="299"/>
      <c r="L197" s="316">
        <v>44782</v>
      </c>
      <c r="M197" s="317">
        <v>44782</v>
      </c>
      <c r="N197" s="126" t="str" cm="1">
        <f t="array" ref="N197">_xll.d.TestUtils_Equal(L197,M197)</f>
        <v>Ok</v>
      </c>
    </row>
    <row r="198" spans="2:35">
      <c r="G198" s="299"/>
      <c r="L198" s="316">
        <v>44809</v>
      </c>
      <c r="M198" s="317">
        <v>44809</v>
      </c>
      <c r="N198" s="126" t="str" cm="1">
        <f t="array" ref="N198">_xll.d.TestUtils_Equal(L198,M198)</f>
        <v>Ok</v>
      </c>
    </row>
    <row r="199" spans="2:35">
      <c r="G199" s="299"/>
      <c r="L199" s="316">
        <v>44844</v>
      </c>
      <c r="M199" s="317">
        <v>44844</v>
      </c>
      <c r="N199" s="126" t="str" cm="1">
        <f t="array" ref="N199">_xll.d.TestUtils_Equal(L199,M199)</f>
        <v>Ok</v>
      </c>
    </row>
    <row r="200" spans="2:35">
      <c r="G200" s="299"/>
      <c r="L200" s="316">
        <v>44876</v>
      </c>
      <c r="M200" s="317">
        <v>44876</v>
      </c>
      <c r="N200" s="126" t="str" cm="1">
        <f t="array" ref="N200">_xll.d.TestUtils_Equal(L200,M200)</f>
        <v>Ok</v>
      </c>
    </row>
    <row r="201" spans="2:35">
      <c r="G201" s="299"/>
      <c r="L201" s="316">
        <v>44889</v>
      </c>
      <c r="M201" s="317">
        <v>44889</v>
      </c>
      <c r="N201" s="126" t="str" cm="1">
        <f t="array" ref="N201">_xll.d.TestUtils_Equal(L201,M201)</f>
        <v>Ok</v>
      </c>
    </row>
    <row r="202" spans="2:35">
      <c r="G202" s="299"/>
      <c r="L202" s="316">
        <v>44911</v>
      </c>
      <c r="M202" s="317">
        <v>44911</v>
      </c>
      <c r="N202" s="126" t="str" cm="1">
        <f t="array" ref="N202">_xll.d.TestUtils_Equal(L202,M202)</f>
        <v>Ok</v>
      </c>
    </row>
    <row r="203" spans="2:35">
      <c r="G203" s="299"/>
      <c r="L203" s="318">
        <v>44921</v>
      </c>
      <c r="M203" s="319">
        <v>44921</v>
      </c>
      <c r="N203" s="128" t="str" cm="1">
        <f t="array" ref="N203">_xll.d.TestUtils_Equal(L203,M203)</f>
        <v>Ok</v>
      </c>
    </row>
    <row r="204" spans="2:35">
      <c r="L204" s="298">
        <v>44922</v>
      </c>
    </row>
    <row r="206" spans="2:35" ht="18.75">
      <c r="B206" s="3" t="s">
        <v>384</v>
      </c>
      <c r="C206" s="306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</row>
    <row r="208" spans="2:35">
      <c r="B208" s="50" t="s">
        <v>140</v>
      </c>
      <c r="C208" s="300" t="str" cm="1">
        <f t="array" ref="C208">_xll.d.TestUtils_And(G213:G217,N213:N217,U213:U217)</f>
        <v>Ok</v>
      </c>
    </row>
    <row r="210" spans="2:35" ht="15.75">
      <c r="B210" s="4" t="s">
        <v>333</v>
      </c>
      <c r="C210" s="307"/>
      <c r="D210" s="307"/>
      <c r="E210" s="307"/>
      <c r="F210" s="307"/>
      <c r="G210" s="307"/>
      <c r="I210" s="4" t="s">
        <v>335</v>
      </c>
      <c r="J210" s="307"/>
      <c r="K210" s="307"/>
      <c r="L210" s="307"/>
      <c r="M210" s="307"/>
      <c r="N210" s="307"/>
      <c r="P210" s="4" t="s">
        <v>336</v>
      </c>
      <c r="Q210" s="307"/>
      <c r="R210" s="307"/>
      <c r="S210" s="307"/>
      <c r="T210" s="307"/>
      <c r="U210" s="307"/>
      <c r="W210" s="4" t="s">
        <v>239</v>
      </c>
      <c r="X210" s="4"/>
      <c r="Y210" s="307"/>
      <c r="Z210" s="307"/>
      <c r="AA210" s="307"/>
      <c r="AB210" s="307"/>
      <c r="AC210" s="307"/>
      <c r="AD210" s="307"/>
      <c r="AE210" s="307"/>
      <c r="AF210" s="307"/>
      <c r="AG210" s="307"/>
      <c r="AH210" s="307"/>
      <c r="AI210" s="307"/>
    </row>
    <row r="212" spans="2:35">
      <c r="B212" s="121" t="s">
        <v>226</v>
      </c>
      <c r="C212" s="122"/>
      <c r="E212" s="121" t="s">
        <v>114</v>
      </c>
      <c r="F212" s="122" t="s">
        <v>228</v>
      </c>
      <c r="G212" s="122" t="s">
        <v>68</v>
      </c>
      <c r="I212" s="121" t="s">
        <v>226</v>
      </c>
      <c r="J212" s="122"/>
      <c r="L212" s="121" t="s">
        <v>114</v>
      </c>
      <c r="M212" s="122" t="s">
        <v>228</v>
      </c>
      <c r="N212" s="122" t="s">
        <v>68</v>
      </c>
      <c r="P212" s="121" t="s">
        <v>226</v>
      </c>
      <c r="Q212" s="122"/>
      <c r="S212" s="121" t="s">
        <v>114</v>
      </c>
      <c r="T212" s="122" t="s">
        <v>228</v>
      </c>
      <c r="U212" s="122" t="s">
        <v>68</v>
      </c>
      <c r="W212" s="121" t="s">
        <v>226</v>
      </c>
      <c r="X212" s="192"/>
      <c r="Y212" s="122"/>
      <c r="AA212" s="121" t="s">
        <v>114</v>
      </c>
      <c r="AB212" s="192"/>
      <c r="AC212" s="192"/>
      <c r="AD212" s="192"/>
      <c r="AE212" s="122" t="s">
        <v>228</v>
      </c>
      <c r="AF212" s="122"/>
      <c r="AG212" s="122"/>
      <c r="AH212" s="122"/>
      <c r="AI212" s="122" t="s">
        <v>68</v>
      </c>
    </row>
    <row r="213" spans="2:35">
      <c r="B213" s="123" t="s">
        <v>232</v>
      </c>
      <c r="C213" s="301">
        <v>44743</v>
      </c>
      <c r="E213" s="314">
        <f t="array" ref="E213:E217">_xll.d.Dates_GenerateSchedule(C213,C214,C215,C216,C217,C218)</f>
        <v>44743</v>
      </c>
      <c r="F213" s="301">
        <v>44743</v>
      </c>
      <c r="G213" s="300" t="str" cm="1">
        <f t="array" ref="G213">_xll.d.TestUtils_Equal(E213,F213)</f>
        <v>Ok</v>
      </c>
      <c r="I213" s="123" t="s">
        <v>232</v>
      </c>
      <c r="J213" s="301">
        <v>44743</v>
      </c>
      <c r="L213" s="314">
        <f t="array" ref="L213:L217">_xll.d.Dates_GenerateSchedule(J213,J214,J215,J216,J217,J218)</f>
        <v>44743</v>
      </c>
      <c r="M213" s="301">
        <v>44743</v>
      </c>
      <c r="N213" s="300" t="str" cm="1">
        <f t="array" ref="N213">_xll.d.TestUtils_Equal(L213,M213)</f>
        <v>Ok</v>
      </c>
      <c r="P213" s="123" t="s">
        <v>232</v>
      </c>
      <c r="Q213" s="301">
        <v>44743</v>
      </c>
      <c r="S213" s="314">
        <f t="array" ref="S213:S217">_xll.d.Dates_GenerateSchedule(Q213,Q214,Q215,Q216,Q217,Q218)</f>
        <v>44743</v>
      </c>
      <c r="T213" s="301">
        <v>44743</v>
      </c>
      <c r="U213" s="300" t="str" cm="1">
        <f t="array" ref="U213">_xll.d.TestUtils_Equal(S213,T213)</f>
        <v>Ok</v>
      </c>
      <c r="W213" s="456" t="s">
        <v>232</v>
      </c>
      <c r="X213" s="538"/>
      <c r="Y213" s="301">
        <v>44743</v>
      </c>
      <c r="AA213" s="541" t="str" cm="1">
        <f t="array" ref="AA213">_xll.d.Dates_GenerateSchedule(Y213,Y214,Y215,Y216,Y217,Y218)</f>
        <v>#∂Excel Error: Unsupported calendar: 'WRE'</v>
      </c>
      <c r="AB213" s="542"/>
      <c r="AC213" s="542"/>
      <c r="AD213" s="542"/>
      <c r="AE213" s="543" t="s">
        <v>238</v>
      </c>
      <c r="AF213" s="542"/>
      <c r="AG213" s="542"/>
      <c r="AH213" s="544"/>
      <c r="AI213" s="300" t="str" cm="1">
        <f t="array" ref="AI213">_xll.d.TestUtils_Equal(AA213,AE213)</f>
        <v>Error</v>
      </c>
    </row>
    <row r="214" spans="2:35">
      <c r="B214" s="125" t="s">
        <v>233</v>
      </c>
      <c r="C214" s="313">
        <v>45474</v>
      </c>
      <c r="E214" s="316">
        <v>44837</v>
      </c>
      <c r="F214" s="313">
        <v>44837</v>
      </c>
      <c r="G214" s="300" t="str" cm="1">
        <f t="array" ref="G214">_xll.d.TestUtils_Equal(E214,F214)</f>
        <v>Ok</v>
      </c>
      <c r="I214" s="125" t="s">
        <v>233</v>
      </c>
      <c r="J214" s="313">
        <v>45108</v>
      </c>
      <c r="L214" s="316">
        <v>44837</v>
      </c>
      <c r="M214" s="313">
        <v>44837</v>
      </c>
      <c r="N214" s="300" t="str" cm="1">
        <f t="array" ref="N214">_xll.d.TestUtils_Equal(L214,M214)</f>
        <v>Ok</v>
      </c>
      <c r="P214" s="125" t="s">
        <v>233</v>
      </c>
      <c r="Q214" s="313">
        <v>45108</v>
      </c>
      <c r="S214" s="316">
        <v>44824</v>
      </c>
      <c r="T214" s="313">
        <v>44824</v>
      </c>
      <c r="U214" s="300" t="str" cm="1">
        <f t="array" ref="U214">_xll.d.TestUtils_Equal(S214,T214)</f>
        <v>Ok</v>
      </c>
      <c r="W214" s="457" t="s">
        <v>233</v>
      </c>
      <c r="X214" s="539"/>
      <c r="Y214" s="313">
        <v>45108</v>
      </c>
    </row>
    <row r="215" spans="2:35">
      <c r="B215" s="125" t="s">
        <v>329</v>
      </c>
      <c r="C215" s="126" t="s">
        <v>24</v>
      </c>
      <c r="E215" s="316">
        <v>44929</v>
      </c>
      <c r="F215" s="313">
        <v>44929</v>
      </c>
      <c r="G215" s="300" t="str" cm="1">
        <f t="array" ref="G215">_xll.d.TestUtils_Equal(E215,F215)</f>
        <v>Ok</v>
      </c>
      <c r="I215" s="125" t="s">
        <v>329</v>
      </c>
      <c r="J215" s="126" t="s">
        <v>24</v>
      </c>
      <c r="L215" s="316">
        <v>44929</v>
      </c>
      <c r="M215" s="313">
        <v>44929</v>
      </c>
      <c r="N215" s="300" t="str" cm="1">
        <f t="array" ref="N215">_xll.d.TestUtils_Equal(L215,M215)</f>
        <v>Ok</v>
      </c>
      <c r="P215" s="125" t="s">
        <v>329</v>
      </c>
      <c r="Q215" s="126" t="s">
        <v>24</v>
      </c>
      <c r="S215" s="316">
        <v>44915</v>
      </c>
      <c r="T215" s="313">
        <v>44915</v>
      </c>
      <c r="U215" s="300" t="str" cm="1">
        <f t="array" ref="U215">_xll.d.TestUtils_Equal(S215,T215)</f>
        <v>Ok</v>
      </c>
      <c r="W215" s="457" t="s">
        <v>329</v>
      </c>
      <c r="X215" s="539"/>
      <c r="Y215" s="126" t="s">
        <v>24</v>
      </c>
    </row>
    <row r="216" spans="2:35">
      <c r="B216" s="125" t="s">
        <v>330</v>
      </c>
      <c r="C216" s="126" t="s">
        <v>231</v>
      </c>
      <c r="E216" s="316">
        <v>45019</v>
      </c>
      <c r="F216" s="313">
        <v>45019</v>
      </c>
      <c r="G216" s="300" t="str" cm="1">
        <f t="array" ref="G216">_xll.d.TestUtils_Equal(E216,F216)</f>
        <v>Ok</v>
      </c>
      <c r="I216" s="125" t="s">
        <v>330</v>
      </c>
      <c r="J216" s="126" t="s">
        <v>231</v>
      </c>
      <c r="L216" s="316">
        <v>45019</v>
      </c>
      <c r="M216" s="313">
        <v>45019</v>
      </c>
      <c r="N216" s="300" t="str" cm="1">
        <f t="array" ref="N216">_xll.d.TestUtils_Equal(L216,M216)</f>
        <v>Ok</v>
      </c>
      <c r="P216" s="125" t="s">
        <v>330</v>
      </c>
      <c r="Q216" s="126" t="s">
        <v>231</v>
      </c>
      <c r="S216" s="316">
        <v>45005</v>
      </c>
      <c r="T216" s="313">
        <v>45005</v>
      </c>
      <c r="U216" s="300" t="str" cm="1">
        <f t="array" ref="U216">_xll.d.TestUtils_Equal(S216,T216)</f>
        <v>Ok</v>
      </c>
      <c r="W216" s="457" t="s">
        <v>330</v>
      </c>
      <c r="X216" s="539"/>
      <c r="Y216" s="126" t="s">
        <v>237</v>
      </c>
    </row>
    <row r="217" spans="2:35">
      <c r="B217" s="125" t="s">
        <v>216</v>
      </c>
      <c r="C217" s="126" t="s">
        <v>217</v>
      </c>
      <c r="E217" s="318">
        <v>45110</v>
      </c>
      <c r="F217" s="321">
        <v>45110</v>
      </c>
      <c r="G217" s="300" t="str" cm="1">
        <f t="array" ref="G217">_xll.d.TestUtils_Equal(E217,F217)</f>
        <v>Ok</v>
      </c>
      <c r="I217" s="125" t="s">
        <v>216</v>
      </c>
      <c r="J217" s="126" t="s">
        <v>217</v>
      </c>
      <c r="L217" s="318">
        <v>45110</v>
      </c>
      <c r="M217" s="321">
        <v>45110</v>
      </c>
      <c r="N217" s="300" t="str" cm="1">
        <f t="array" ref="N217">_xll.d.TestUtils_Equal(L217,M217)</f>
        <v>Ok</v>
      </c>
      <c r="P217" s="125" t="s">
        <v>216</v>
      </c>
      <c r="Q217" s="126" t="s">
        <v>217</v>
      </c>
      <c r="S217" s="318">
        <v>45097</v>
      </c>
      <c r="T217" s="321">
        <v>45097</v>
      </c>
      <c r="U217" s="300" t="str" cm="1">
        <f t="array" ref="U217">_xll.d.TestUtils_Equal(S217,T217)</f>
        <v>Ok</v>
      </c>
      <c r="W217" s="457" t="s">
        <v>216</v>
      </c>
      <c r="X217" s="539"/>
      <c r="Y217" s="126" t="s">
        <v>217</v>
      </c>
    </row>
    <row r="218" spans="2:35">
      <c r="B218" s="127" t="s">
        <v>331</v>
      </c>
      <c r="C218" s="128" t="s">
        <v>332</v>
      </c>
      <c r="I218" s="127" t="s">
        <v>331</v>
      </c>
      <c r="J218" s="128" t="s">
        <v>334</v>
      </c>
      <c r="P218" s="127" t="s">
        <v>331</v>
      </c>
      <c r="Q218" s="128" t="s">
        <v>337</v>
      </c>
      <c r="W218" s="458" t="s">
        <v>331</v>
      </c>
      <c r="X218" s="540"/>
      <c r="Y218" s="128" t="s">
        <v>337</v>
      </c>
    </row>
    <row r="222" spans="2:35" ht="18.75">
      <c r="B222" s="3" t="s">
        <v>385</v>
      </c>
      <c r="C222" s="306"/>
      <c r="D222" s="306"/>
      <c r="E222" s="306"/>
      <c r="F222" s="306"/>
      <c r="G222" s="306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</row>
    <row r="224" spans="2:35">
      <c r="B224" s="50" t="s">
        <v>140</v>
      </c>
      <c r="C224" s="300" t="str" cm="1">
        <f t="array" ref="C224">_xll.d.TestUtils_And(H229:I233)</f>
        <v>Ok</v>
      </c>
    </row>
    <row r="226" spans="2:21" ht="15.75">
      <c r="B226" s="4" t="s">
        <v>90</v>
      </c>
      <c r="C226" s="307"/>
      <c r="D226" s="307"/>
      <c r="E226" s="307"/>
      <c r="F226" s="307"/>
      <c r="G226" s="307"/>
      <c r="H226" s="307"/>
      <c r="I226" s="307"/>
    </row>
    <row r="228" spans="2:21">
      <c r="B228" s="121" t="s">
        <v>114</v>
      </c>
      <c r="C228" s="122"/>
      <c r="E228" s="121" t="s">
        <v>228</v>
      </c>
      <c r="F228" s="122"/>
      <c r="H228" s="121" t="s">
        <v>68</v>
      </c>
      <c r="I228" s="122"/>
    </row>
    <row r="229" spans="2:21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244</v>
      </c>
      <c r="F229" s="120" t="s">
        <v>245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3" t="str">
        <v>Fol</v>
      </c>
      <c r="C230" s="124" t="str">
        <v>Following</v>
      </c>
      <c r="E230" s="123" t="s">
        <v>246</v>
      </c>
      <c r="F230" s="124" t="s">
        <v>247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1" spans="2:21">
      <c r="B231" s="125" t="str">
        <v>ModFol</v>
      </c>
      <c r="C231" s="126" t="str">
        <v>ModifiedFollowing</v>
      </c>
      <c r="E231" s="125" t="s">
        <v>248</v>
      </c>
      <c r="F231" s="126" t="s">
        <v>249</v>
      </c>
      <c r="H231" s="300" t="str" cm="1">
        <f t="array" ref="H231">_xll.d.TestUtils_Equal(B231,E231)</f>
        <v>Ok</v>
      </c>
      <c r="I231" s="300" t="str" cm="1">
        <f t="array" ref="I231">_xll.d.TestUtils_Equal(C231,F231)</f>
        <v>Ok</v>
      </c>
    </row>
    <row r="232" spans="2:21">
      <c r="B232" s="125" t="str">
        <v>ModPrec</v>
      </c>
      <c r="C232" s="126" t="str">
        <v>ModPreceding</v>
      </c>
      <c r="E232" s="125" t="s">
        <v>250</v>
      </c>
      <c r="F232" s="126" t="s">
        <v>251</v>
      </c>
      <c r="H232" s="300" t="str" cm="1">
        <f t="array" ref="H232">_xll.d.TestUtils_Equal(B232,E232)</f>
        <v>Ok</v>
      </c>
      <c r="I232" s="300" t="str" cm="1">
        <f t="array" ref="I232">_xll.d.TestUtils_Equal(C232,F232)</f>
        <v>Ok</v>
      </c>
    </row>
    <row r="233" spans="2:21">
      <c r="B233" s="127" t="str">
        <v>Prec</v>
      </c>
      <c r="C233" s="128" t="str">
        <v>Preceding</v>
      </c>
      <c r="E233" s="127" t="s">
        <v>252</v>
      </c>
      <c r="F233" s="128" t="s">
        <v>253</v>
      </c>
      <c r="H233" s="300" t="str" cm="1">
        <f t="array" ref="H233">_xll.d.TestUtils_Equal(B233,E233)</f>
        <v>Ok</v>
      </c>
      <c r="I233" s="300" t="str" cm="1">
        <f t="array" ref="I233">_xll.d.TestUtils_Equal(C233,F233)</f>
        <v>Ok</v>
      </c>
    </row>
    <row r="237" spans="2:21" ht="18.75">
      <c r="B237" s="3" t="s">
        <v>386</v>
      </c>
      <c r="C237" s="306"/>
      <c r="D237" s="306"/>
      <c r="E237" s="306"/>
      <c r="F237" s="306"/>
      <c r="G237" s="306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</row>
    <row r="239" spans="2:21">
      <c r="B239" s="50" t="s">
        <v>140</v>
      </c>
      <c r="C239" s="300" t="str" cm="1">
        <f t="array" ref="C239">_xll.d.TestUtils_And(L244:O248)</f>
        <v>Ok</v>
      </c>
    </row>
    <row r="241" spans="2:15" ht="15.75">
      <c r="B241" s="4" t="s">
        <v>90</v>
      </c>
      <c r="C241" s="307"/>
      <c r="D241" s="307"/>
      <c r="E241" s="307"/>
      <c r="F241" s="307"/>
      <c r="G241" s="307"/>
      <c r="H241" s="307"/>
      <c r="I241" s="307"/>
    </row>
    <row r="243" spans="2:15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>
      <c r="B244" s="119" t="str" cm="1">
        <f t="array" ref="B244:E248">_xll.d.Dates_GetAvailableDayCountConventions()</f>
        <v>Variant 1</v>
      </c>
      <c r="C244" s="291" t="str">
        <v>Variant 2</v>
      </c>
      <c r="D244" s="291" t="str">
        <v>Variant 3</v>
      </c>
      <c r="E244" s="120" t="str">
        <v>Variant 4</v>
      </c>
      <c r="G244" s="119" t="s">
        <v>244</v>
      </c>
      <c r="H244" s="291" t="s">
        <v>245</v>
      </c>
      <c r="I244" s="291" t="s">
        <v>254</v>
      </c>
      <c r="J244" s="120" t="s">
        <v>255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3" t="str">
        <v>Act360</v>
      </c>
      <c r="C245" s="320" t="str">
        <v>Actual360</v>
      </c>
      <c r="D245" s="320" t="str">
        <v/>
      </c>
      <c r="E245" s="124" t="str">
        <v/>
      </c>
      <c r="G245" s="123" t="s">
        <v>256</v>
      </c>
      <c r="H245" s="320" t="s">
        <v>257</v>
      </c>
      <c r="I245" s="320" t="s">
        <v>258</v>
      </c>
      <c r="J245" s="124" t="s">
        <v>258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6" spans="2:15">
      <c r="B246" s="125" t="str">
        <v>Act365</v>
      </c>
      <c r="C246" s="279" t="str">
        <v>Act365F</v>
      </c>
      <c r="D246" s="279" t="str">
        <v>Actual365</v>
      </c>
      <c r="E246" s="126" t="str">
        <v>Actual365F</v>
      </c>
      <c r="G246" s="125" t="s">
        <v>259</v>
      </c>
      <c r="H246" s="279" t="s">
        <v>260</v>
      </c>
      <c r="I246" s="279" t="s">
        <v>56</v>
      </c>
      <c r="J246" s="126" t="s">
        <v>261</v>
      </c>
      <c r="L246" s="300" t="str" cm="1">
        <f t="array" ref="L246">_xll.d.TestUtils_Equal(B246,G246)</f>
        <v>Ok</v>
      </c>
      <c r="M246" s="300" t="str" cm="1">
        <f t="array" ref="M246">_xll.d.TestUtils_Equal(C246,H246)</f>
        <v>Ok</v>
      </c>
      <c r="N246" s="300" t="str" cm="1">
        <f t="array" ref="N246">_xll.d.TestUtils_Equal(D246,I246)</f>
        <v>Ok</v>
      </c>
      <c r="O246" s="300" t="str" cm="1">
        <f t="array" ref="O246">_xll.d.TestUtils_Equal(E246,J246)</f>
        <v>Ok</v>
      </c>
    </row>
    <row r="247" spans="2:15">
      <c r="B247" s="125" t="str">
        <v>ActAct</v>
      </c>
      <c r="C247" s="279" t="str">
        <v>ActualActual</v>
      </c>
      <c r="D247" s="279" t="str">
        <v/>
      </c>
      <c r="E247" s="126" t="str">
        <v/>
      </c>
      <c r="G247" s="125" t="s">
        <v>262</v>
      </c>
      <c r="H247" s="279" t="s">
        <v>263</v>
      </c>
      <c r="I247" s="279" t="s">
        <v>258</v>
      </c>
      <c r="J247" s="126" t="s">
        <v>258</v>
      </c>
      <c r="L247" s="300" t="str" cm="1">
        <f t="array" ref="L247">_xll.d.TestUtils_Equal(B247,G247)</f>
        <v>Ok</v>
      </c>
      <c r="M247" s="300" t="str" cm="1">
        <f t="array" ref="M247">_xll.d.TestUtils_Equal(C247,H247)</f>
        <v>Ok</v>
      </c>
      <c r="N247" s="300" t="str" cm="1">
        <f t="array" ref="N247">_xll.d.TestUtils_Equal(D247,I247)</f>
        <v>Ok</v>
      </c>
      <c r="O247" s="300" t="str" cm="1">
        <f t="array" ref="O247">_xll.d.TestUtils_Equal(E247,J247)</f>
        <v>Ok</v>
      </c>
    </row>
    <row r="248" spans="2:15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264</v>
      </c>
      <c r="H248" s="191" t="s">
        <v>265</v>
      </c>
      <c r="I248" s="191" t="s">
        <v>258</v>
      </c>
      <c r="J248" s="128" t="s">
        <v>258</v>
      </c>
      <c r="L248" s="300" t="str" cm="1">
        <f t="array" ref="L248">_xll.d.TestUtils_Equal(B248,G248)</f>
        <v>Ok</v>
      </c>
      <c r="M248" s="300" t="str" cm="1">
        <f t="array" ref="M248">_xll.d.TestUtils_Equal(C248,H248)</f>
        <v>Ok</v>
      </c>
      <c r="N248" s="300" t="str" cm="1">
        <f t="array" ref="N248">_xll.d.TestUtils_Equal(D248,I248)</f>
        <v>Ok</v>
      </c>
      <c r="O248" s="300" t="str" cm="1">
        <f t="array" ref="O248">_xll.d.TestUtils_Equal(E248,J248)</f>
        <v>Ok</v>
      </c>
    </row>
    <row r="251" spans="2:15" ht="18.75">
      <c r="B251" s="3" t="s">
        <v>452</v>
      </c>
      <c r="C251" s="306"/>
      <c r="D251" s="306"/>
      <c r="E251" s="306"/>
    </row>
    <row r="253" spans="2:15">
      <c r="B253" s="50" t="s">
        <v>140</v>
      </c>
      <c r="C253" s="300" t="str" cm="1">
        <f t="array" ref="C253">_xll.d.TestUtils_And(E258:E264)</f>
        <v>Ok</v>
      </c>
    </row>
    <row r="255" spans="2:15" ht="15.75">
      <c r="B255" s="4" t="s">
        <v>90</v>
      </c>
      <c r="C255" s="307"/>
      <c r="D255" s="307"/>
      <c r="E255" s="307"/>
    </row>
    <row r="257" spans="2:5">
      <c r="B257" s="121" t="s">
        <v>31</v>
      </c>
      <c r="C257" s="192" t="s">
        <v>114</v>
      </c>
      <c r="D257" s="192" t="s">
        <v>228</v>
      </c>
      <c r="E257" s="122" t="s">
        <v>68</v>
      </c>
    </row>
    <row r="258" spans="2:5">
      <c r="B258" s="314">
        <v>44893</v>
      </c>
      <c r="C258" s="320" t="str" cm="1">
        <f t="array" ref="C258">_xll.d.Dates_GetWeekday(B258)</f>
        <v>Monday</v>
      </c>
      <c r="D258" s="320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>
      <c r="B259" s="316">
        <v>44894</v>
      </c>
      <c r="C259" s="279" t="str" cm="1">
        <f t="array" ref="C259">_xll.d.Dates_GetWeekday(B259)</f>
        <v>Tuesday</v>
      </c>
      <c r="D259" s="279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>
      <c r="B260" s="316">
        <v>44895</v>
      </c>
      <c r="C260" s="279" t="str" cm="1">
        <f t="array" ref="C260">_xll.d.Dates_GetWeekday(B260)</f>
        <v>Wednesday</v>
      </c>
      <c r="D260" s="279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>
      <c r="B261" s="316">
        <v>44896</v>
      </c>
      <c r="C261" s="279" t="str" cm="1">
        <f t="array" ref="C261">_xll.d.Dates_GetWeekday(B261)</f>
        <v>Thursday</v>
      </c>
      <c r="D261" s="279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>
      <c r="B262" s="316">
        <v>44897</v>
      </c>
      <c r="C262" s="279" t="str" cm="1">
        <f t="array" ref="C262">_xll.d.Dates_GetWeekday(B262)</f>
        <v>Friday</v>
      </c>
      <c r="D262" s="279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>
      <c r="B263" s="316">
        <v>44898</v>
      </c>
      <c r="C263" s="279" t="str" cm="1">
        <f t="array" ref="C263">_xll.d.Dates_GetWeekday(B263)</f>
        <v>Saturday</v>
      </c>
      <c r="D263" s="279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>
      <c r="B264" s="318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>
      <c r="D274" s="552"/>
      <c r="E274" s="552"/>
    </row>
    <row r="275" spans="2:5">
      <c r="D275" s="552"/>
      <c r="E275" s="552"/>
    </row>
    <row r="276" spans="2:5">
      <c r="B276" s="552"/>
      <c r="D276" s="552"/>
      <c r="E276" s="552"/>
    </row>
    <row r="277" spans="2:5">
      <c r="B277" s="552"/>
      <c r="D277" s="552"/>
      <c r="E277" s="552"/>
    </row>
    <row r="278" spans="2:5">
      <c r="D278" s="552"/>
      <c r="E278" s="552"/>
    </row>
    <row r="279" spans="2:5">
      <c r="E279" s="552"/>
    </row>
  </sheetData>
  <conditionalFormatting sqref="D11:D17">
    <cfRule type="cellIs" dxfId="870" priority="165" stopIfTrue="1" operator="equal">
      <formula>"ERROR"</formula>
    </cfRule>
    <cfRule type="cellIs" dxfId="869" priority="166" stopIfTrue="1" operator="equal">
      <formula>"OK"</formula>
    </cfRule>
    <cfRule type="cellIs" dxfId="868" priority="167" stopIfTrue="1" operator="equal">
      <formula>"WARNING"</formula>
    </cfRule>
  </conditionalFormatting>
  <conditionalFormatting sqref="C4">
    <cfRule type="cellIs" dxfId="867" priority="139" stopIfTrue="1" operator="equal">
      <formula>"ERROR"</formula>
    </cfRule>
    <cfRule type="cellIs" dxfId="866" priority="140" stopIfTrue="1" operator="equal">
      <formula>"OK"</formula>
    </cfRule>
    <cfRule type="cellIs" dxfId="865" priority="141" stopIfTrue="1" operator="equal">
      <formula>"WARNING"</formula>
    </cfRule>
  </conditionalFormatting>
  <conditionalFormatting sqref="C74">
    <cfRule type="cellIs" dxfId="864" priority="133" stopIfTrue="1" operator="equal">
      <formula>"ERROR"</formula>
    </cfRule>
  </conditionalFormatting>
  <conditionalFormatting sqref="C74">
    <cfRule type="cellIs" dxfId="863" priority="134" stopIfTrue="1" operator="equal">
      <formula>"OK"</formula>
    </cfRule>
  </conditionalFormatting>
  <conditionalFormatting sqref="C74">
    <cfRule type="cellIs" dxfId="862" priority="135" stopIfTrue="1" operator="equal">
      <formula>"WARNING"</formula>
    </cfRule>
  </conditionalFormatting>
  <conditionalFormatting sqref="G79">
    <cfRule type="cellIs" dxfId="861" priority="168" stopIfTrue="1" operator="equal">
      <formula>"ERROR"</formula>
    </cfRule>
    <cfRule type="cellIs" dxfId="860" priority="169" stopIfTrue="1" operator="equal">
      <formula>"OK"</formula>
    </cfRule>
    <cfRule type="cellIs" dxfId="859" priority="170" stopIfTrue="1" operator="equal">
      <formula>"WARNING"</formula>
    </cfRule>
  </conditionalFormatting>
  <conditionalFormatting sqref="U79">
    <cfRule type="cellIs" dxfId="858" priority="130" stopIfTrue="1" operator="equal">
      <formula>"ERROR"</formula>
    </cfRule>
    <cfRule type="cellIs" dxfId="857" priority="131" stopIfTrue="1" operator="equal">
      <formula>"OK"</formula>
    </cfRule>
    <cfRule type="cellIs" dxfId="856" priority="132" stopIfTrue="1" operator="equal">
      <formula>"WARNING"</formula>
    </cfRule>
  </conditionalFormatting>
  <conditionalFormatting sqref="AD79">
    <cfRule type="cellIs" dxfId="855" priority="127" stopIfTrue="1" operator="equal">
      <formula>"ERROR"</formula>
    </cfRule>
    <cfRule type="cellIs" dxfId="854" priority="128" stopIfTrue="1" operator="equal">
      <formula>"OK"</formula>
    </cfRule>
    <cfRule type="cellIs" dxfId="853" priority="129" stopIfTrue="1" operator="equal">
      <formula>"WARNING"</formula>
    </cfRule>
  </conditionalFormatting>
  <conditionalFormatting sqref="G186:G194">
    <cfRule type="cellIs" dxfId="852" priority="171" stopIfTrue="1" operator="equal">
      <formula>"ERROR"</formula>
    </cfRule>
    <cfRule type="cellIs" dxfId="851" priority="172" stopIfTrue="1" operator="equal">
      <formula>"OK"</formula>
    </cfRule>
    <cfRule type="cellIs" dxfId="850" priority="173" stopIfTrue="1" operator="equal">
      <formula>"WARNING"</formula>
    </cfRule>
  </conditionalFormatting>
  <conditionalFormatting sqref="C181">
    <cfRule type="cellIs" dxfId="849" priority="124" stopIfTrue="1" operator="equal">
      <formula>"ERROR"</formula>
    </cfRule>
  </conditionalFormatting>
  <conditionalFormatting sqref="C181">
    <cfRule type="cellIs" dxfId="848" priority="125" stopIfTrue="1" operator="equal">
      <formula>"OK"</formula>
    </cfRule>
  </conditionalFormatting>
  <conditionalFormatting sqref="C181">
    <cfRule type="cellIs" dxfId="847" priority="126" stopIfTrue="1" operator="equal">
      <formula>"WARNING"</formula>
    </cfRule>
  </conditionalFormatting>
  <conditionalFormatting sqref="N186:N203">
    <cfRule type="cellIs" dxfId="846" priority="121" stopIfTrue="1" operator="equal">
      <formula>"ERROR"</formula>
    </cfRule>
    <cfRule type="cellIs" dxfId="845" priority="122" stopIfTrue="1" operator="equal">
      <formula>"OK"</formula>
    </cfRule>
    <cfRule type="cellIs" dxfId="844" priority="123" stopIfTrue="1" operator="equal">
      <formula>"WARNING"</formula>
    </cfRule>
  </conditionalFormatting>
  <conditionalFormatting sqref="AQ79">
    <cfRule type="cellIs" dxfId="843" priority="118" stopIfTrue="1" operator="equal">
      <formula>"ERROR"</formula>
    </cfRule>
    <cfRule type="cellIs" dxfId="842" priority="119" stopIfTrue="1" operator="equal">
      <formula>"OK"</formula>
    </cfRule>
    <cfRule type="cellIs" dxfId="841" priority="120" stopIfTrue="1" operator="equal">
      <formula>"WARNING"</formula>
    </cfRule>
  </conditionalFormatting>
  <conditionalFormatting sqref="C89">
    <cfRule type="cellIs" dxfId="840" priority="112" stopIfTrue="1" operator="equal">
      <formula>"ERROR"</formula>
    </cfRule>
  </conditionalFormatting>
  <conditionalFormatting sqref="C89">
    <cfRule type="cellIs" dxfId="839" priority="113" stopIfTrue="1" operator="equal">
      <formula>"OK"</formula>
    </cfRule>
  </conditionalFormatting>
  <conditionalFormatting sqref="C89">
    <cfRule type="cellIs" dxfId="838" priority="114" stopIfTrue="1" operator="equal">
      <formula>"WARNING"</formula>
    </cfRule>
  </conditionalFormatting>
  <conditionalFormatting sqref="G94">
    <cfRule type="cellIs" dxfId="837" priority="115" stopIfTrue="1" operator="equal">
      <formula>"ERROR"</formula>
    </cfRule>
    <cfRule type="cellIs" dxfId="836" priority="116" stopIfTrue="1" operator="equal">
      <formula>"OK"</formula>
    </cfRule>
    <cfRule type="cellIs" dxfId="835" priority="117" stopIfTrue="1" operator="equal">
      <formula>"WARNING"</formula>
    </cfRule>
  </conditionalFormatting>
  <conditionalFormatting sqref="N94">
    <cfRule type="cellIs" dxfId="834" priority="109" stopIfTrue="1" operator="equal">
      <formula>"ERROR"</formula>
    </cfRule>
    <cfRule type="cellIs" dxfId="833" priority="110" stopIfTrue="1" operator="equal">
      <formula>"OK"</formula>
    </cfRule>
    <cfRule type="cellIs" dxfId="832" priority="111" stopIfTrue="1" operator="equal">
      <formula>"WARNING"</formula>
    </cfRule>
  </conditionalFormatting>
  <conditionalFormatting sqref="W94">
    <cfRule type="cellIs" dxfId="831" priority="106" stopIfTrue="1" operator="equal">
      <formula>"ERROR"</formula>
    </cfRule>
    <cfRule type="cellIs" dxfId="830" priority="107" stopIfTrue="1" operator="equal">
      <formula>"OK"</formula>
    </cfRule>
    <cfRule type="cellIs" dxfId="829" priority="108" stopIfTrue="1" operator="equal">
      <formula>"WARNING"</formula>
    </cfRule>
  </conditionalFormatting>
  <conditionalFormatting sqref="AJ94">
    <cfRule type="cellIs" dxfId="828" priority="103" stopIfTrue="1" operator="equal">
      <formula>"ERROR"</formula>
    </cfRule>
    <cfRule type="cellIs" dxfId="827" priority="104" stopIfTrue="1" operator="equal">
      <formula>"OK"</formula>
    </cfRule>
    <cfRule type="cellIs" dxfId="826" priority="105" stopIfTrue="1" operator="equal">
      <formula>"WARNING"</formula>
    </cfRule>
  </conditionalFormatting>
  <conditionalFormatting sqref="C104">
    <cfRule type="cellIs" dxfId="825" priority="97" stopIfTrue="1" operator="equal">
      <formula>"ERROR"</formula>
    </cfRule>
  </conditionalFormatting>
  <conditionalFormatting sqref="C104">
    <cfRule type="cellIs" dxfId="824" priority="98" stopIfTrue="1" operator="equal">
      <formula>"OK"</formula>
    </cfRule>
  </conditionalFormatting>
  <conditionalFormatting sqref="C104">
    <cfRule type="cellIs" dxfId="823" priority="99" stopIfTrue="1" operator="equal">
      <formula>"WARNING"</formula>
    </cfRule>
  </conditionalFormatting>
  <conditionalFormatting sqref="G109">
    <cfRule type="cellIs" dxfId="822" priority="100" stopIfTrue="1" operator="equal">
      <formula>"ERROR"</formula>
    </cfRule>
    <cfRule type="cellIs" dxfId="821" priority="101" stopIfTrue="1" operator="equal">
      <formula>"OK"</formula>
    </cfRule>
    <cfRule type="cellIs" dxfId="820" priority="102" stopIfTrue="1" operator="equal">
      <formula>"WARNING"</formula>
    </cfRule>
  </conditionalFormatting>
  <conditionalFormatting sqref="N109">
    <cfRule type="cellIs" dxfId="819" priority="94" stopIfTrue="1" operator="equal">
      <formula>"ERROR"</formula>
    </cfRule>
    <cfRule type="cellIs" dxfId="818" priority="95" stopIfTrue="1" operator="equal">
      <formula>"OK"</formula>
    </cfRule>
    <cfRule type="cellIs" dxfId="817" priority="96" stopIfTrue="1" operator="equal">
      <formula>"WARNING"</formula>
    </cfRule>
  </conditionalFormatting>
  <conditionalFormatting sqref="W109">
    <cfRule type="cellIs" dxfId="816" priority="91" stopIfTrue="1" operator="equal">
      <formula>"ERROR"</formula>
    </cfRule>
    <cfRule type="cellIs" dxfId="815" priority="92" stopIfTrue="1" operator="equal">
      <formula>"OK"</formula>
    </cfRule>
    <cfRule type="cellIs" dxfId="814" priority="93" stopIfTrue="1" operator="equal">
      <formula>"WARNING"</formula>
    </cfRule>
  </conditionalFormatting>
  <conditionalFormatting sqref="AJ109">
    <cfRule type="cellIs" dxfId="813" priority="88" stopIfTrue="1" operator="equal">
      <formula>"ERROR"</formula>
    </cfRule>
    <cfRule type="cellIs" dxfId="812" priority="89" stopIfTrue="1" operator="equal">
      <formula>"OK"</formula>
    </cfRule>
    <cfRule type="cellIs" dxfId="811" priority="90" stopIfTrue="1" operator="equal">
      <formula>"WARNING"</formula>
    </cfRule>
  </conditionalFormatting>
  <conditionalFormatting sqref="G124">
    <cfRule type="cellIs" dxfId="810" priority="82" stopIfTrue="1" operator="equal">
      <formula>"ERROR"</formula>
    </cfRule>
    <cfRule type="cellIs" dxfId="809" priority="83" stopIfTrue="1" operator="equal">
      <formula>"OK"</formula>
    </cfRule>
    <cfRule type="cellIs" dxfId="808" priority="84" stopIfTrue="1" operator="equal">
      <formula>"WARNING"</formula>
    </cfRule>
  </conditionalFormatting>
  <conditionalFormatting sqref="C119">
    <cfRule type="cellIs" dxfId="807" priority="79" stopIfTrue="1" operator="equal">
      <formula>"ERROR"</formula>
    </cfRule>
  </conditionalFormatting>
  <conditionalFormatting sqref="C119">
    <cfRule type="cellIs" dxfId="806" priority="80" stopIfTrue="1" operator="equal">
      <formula>"OK"</formula>
    </cfRule>
  </conditionalFormatting>
  <conditionalFormatting sqref="C119">
    <cfRule type="cellIs" dxfId="805" priority="81" stopIfTrue="1" operator="equal">
      <formula>"WARNING"</formula>
    </cfRule>
  </conditionalFormatting>
  <conditionalFormatting sqref="O124">
    <cfRule type="cellIs" dxfId="804" priority="76" stopIfTrue="1" operator="equal">
      <formula>"ERROR"</formula>
    </cfRule>
    <cfRule type="cellIs" dxfId="803" priority="77" stopIfTrue="1" operator="equal">
      <formula>"OK"</formula>
    </cfRule>
    <cfRule type="cellIs" dxfId="802" priority="78" stopIfTrue="1" operator="equal">
      <formula>"WARNING"</formula>
    </cfRule>
  </conditionalFormatting>
  <conditionalFormatting sqref="AC124">
    <cfRule type="cellIs" dxfId="801" priority="73" stopIfTrue="1" operator="equal">
      <formula>"ERROR"</formula>
    </cfRule>
    <cfRule type="cellIs" dxfId="800" priority="74" stopIfTrue="1" operator="equal">
      <formula>"OK"</formula>
    </cfRule>
    <cfRule type="cellIs" dxfId="799" priority="75" stopIfTrue="1" operator="equal">
      <formula>"WARNING"</formula>
    </cfRule>
  </conditionalFormatting>
  <conditionalFormatting sqref="AS124">
    <cfRule type="cellIs" dxfId="798" priority="70" stopIfTrue="1" operator="equal">
      <formula>"ERROR"</formula>
    </cfRule>
    <cfRule type="cellIs" dxfId="797" priority="71" stopIfTrue="1" operator="equal">
      <formula>"OK"</formula>
    </cfRule>
    <cfRule type="cellIs" dxfId="796" priority="72" stopIfTrue="1" operator="equal">
      <formula>"WARNING"</formula>
    </cfRule>
  </conditionalFormatting>
  <conditionalFormatting sqref="AA186">
    <cfRule type="cellIs" dxfId="795" priority="67" stopIfTrue="1" operator="equal">
      <formula>"ERROR"</formula>
    </cfRule>
    <cfRule type="cellIs" dxfId="794" priority="68" stopIfTrue="1" operator="equal">
      <formula>"OK"</formula>
    </cfRule>
    <cfRule type="cellIs" dxfId="793" priority="69" stopIfTrue="1" operator="equal">
      <formula>"WARNING"</formula>
    </cfRule>
  </conditionalFormatting>
  <conditionalFormatting sqref="C224">
    <cfRule type="cellIs" dxfId="792" priority="64" stopIfTrue="1" operator="equal">
      <formula>"ERROR"</formula>
    </cfRule>
  </conditionalFormatting>
  <conditionalFormatting sqref="C224">
    <cfRule type="cellIs" dxfId="791" priority="65" stopIfTrue="1" operator="equal">
      <formula>"OK"</formula>
    </cfRule>
  </conditionalFormatting>
  <conditionalFormatting sqref="C224">
    <cfRule type="cellIs" dxfId="790" priority="66" stopIfTrue="1" operator="equal">
      <formula>"WARNING"</formula>
    </cfRule>
  </conditionalFormatting>
  <conditionalFormatting sqref="H229:I233">
    <cfRule type="cellIs" dxfId="789" priority="174" stopIfTrue="1" operator="equal">
      <formula>"ERROR"</formula>
    </cfRule>
  </conditionalFormatting>
  <conditionalFormatting sqref="H229:I233">
    <cfRule type="cellIs" dxfId="788" priority="175" stopIfTrue="1" operator="equal">
      <formula>"OK"</formula>
    </cfRule>
  </conditionalFormatting>
  <conditionalFormatting sqref="H229:I233">
    <cfRule type="cellIs" dxfId="787" priority="176" stopIfTrue="1" operator="equal">
      <formula>"WARNING"</formula>
    </cfRule>
  </conditionalFormatting>
  <conditionalFormatting sqref="D16:D17">
    <cfRule type="cellIs" dxfId="786" priority="177" stopIfTrue="1" operator="equal">
      <formula>"ERROR"</formula>
    </cfRule>
    <cfRule type="cellIs" dxfId="785" priority="178" stopIfTrue="1" operator="equal">
      <formula>"OK"</formula>
    </cfRule>
    <cfRule type="cellIs" dxfId="784" priority="179" stopIfTrue="1" operator="equal">
      <formula>"WARNING"</formula>
    </cfRule>
  </conditionalFormatting>
  <conditionalFormatting sqref="D18:D19">
    <cfRule type="cellIs" dxfId="783" priority="180" stopIfTrue="1" operator="equal">
      <formula>"ERROR"</formula>
    </cfRule>
    <cfRule type="cellIs" dxfId="782" priority="181" stopIfTrue="1" operator="equal">
      <formula>"OK"</formula>
    </cfRule>
    <cfRule type="cellIs" dxfId="781" priority="182" stopIfTrue="1" operator="equal">
      <formula>"WARNING"</formula>
    </cfRule>
  </conditionalFormatting>
  <conditionalFormatting sqref="C239">
    <cfRule type="cellIs" dxfId="780" priority="58" stopIfTrue="1" operator="equal">
      <formula>"ERROR"</formula>
    </cfRule>
  </conditionalFormatting>
  <conditionalFormatting sqref="C239">
    <cfRule type="cellIs" dxfId="779" priority="59" stopIfTrue="1" operator="equal">
      <formula>"OK"</formula>
    </cfRule>
  </conditionalFormatting>
  <conditionalFormatting sqref="C239">
    <cfRule type="cellIs" dxfId="778" priority="60" stopIfTrue="1" operator="equal">
      <formula>"WARNING"</formula>
    </cfRule>
  </conditionalFormatting>
  <conditionalFormatting sqref="L244:O248">
    <cfRule type="cellIs" dxfId="777" priority="61" stopIfTrue="1" operator="equal">
      <formula>"ERROR"</formula>
    </cfRule>
  </conditionalFormatting>
  <conditionalFormatting sqref="L244:O248">
    <cfRule type="cellIs" dxfId="776" priority="62" stopIfTrue="1" operator="equal">
      <formula>"OK"</formula>
    </cfRule>
  </conditionalFormatting>
  <conditionalFormatting sqref="L244:O248">
    <cfRule type="cellIs" dxfId="775" priority="63" stopIfTrue="1" operator="equal">
      <formula>"WARNING"</formula>
    </cfRule>
  </conditionalFormatting>
  <conditionalFormatting sqref="C133">
    <cfRule type="cellIs" dxfId="774" priority="55" stopIfTrue="1" operator="equal">
      <formula>"ERROR"</formula>
    </cfRule>
  </conditionalFormatting>
  <conditionalFormatting sqref="C133">
    <cfRule type="cellIs" dxfId="773" priority="56" stopIfTrue="1" operator="equal">
      <formula>"OK"</formula>
    </cfRule>
  </conditionalFormatting>
  <conditionalFormatting sqref="C133">
    <cfRule type="cellIs" dxfId="772" priority="57" stopIfTrue="1" operator="equal">
      <formula>"WARNING"</formula>
    </cfRule>
  </conditionalFormatting>
  <conditionalFormatting sqref="L138:O176">
    <cfRule type="cellIs" dxfId="771" priority="183" stopIfTrue="1" operator="equal">
      <formula>"ERROR"</formula>
    </cfRule>
  </conditionalFormatting>
  <conditionalFormatting sqref="L138:O176">
    <cfRule type="cellIs" dxfId="770" priority="184" stopIfTrue="1" operator="equal">
      <formula>"OK"</formula>
    </cfRule>
  </conditionalFormatting>
  <conditionalFormatting sqref="L138:O176">
    <cfRule type="cellIs" dxfId="769" priority="185" stopIfTrue="1" operator="equal">
      <formula>"WARNING"</formula>
    </cfRule>
  </conditionalFormatting>
  <conditionalFormatting sqref="C208">
    <cfRule type="cellIs" dxfId="768" priority="52" stopIfTrue="1" operator="equal">
      <formula>"ERROR"</formula>
    </cfRule>
  </conditionalFormatting>
  <conditionalFormatting sqref="C208">
    <cfRule type="cellIs" dxfId="767" priority="53" stopIfTrue="1" operator="equal">
      <formula>"OK"</formula>
    </cfRule>
  </conditionalFormatting>
  <conditionalFormatting sqref="C208">
    <cfRule type="cellIs" dxfId="766" priority="54" stopIfTrue="1" operator="equal">
      <formula>"WARNING"</formula>
    </cfRule>
  </conditionalFormatting>
  <conditionalFormatting sqref="G213:G217">
    <cfRule type="cellIs" dxfId="765" priority="186" stopIfTrue="1" operator="equal">
      <formula>"ERROR"</formula>
    </cfRule>
  </conditionalFormatting>
  <conditionalFormatting sqref="G213:G217">
    <cfRule type="cellIs" dxfId="764" priority="187" stopIfTrue="1" operator="equal">
      <formula>"OK"</formula>
    </cfRule>
  </conditionalFormatting>
  <conditionalFormatting sqref="G213:G217">
    <cfRule type="cellIs" dxfId="763" priority="188" stopIfTrue="1" operator="equal">
      <formula>"WARNING"</formula>
    </cfRule>
  </conditionalFormatting>
  <conditionalFormatting sqref="N213:N217">
    <cfRule type="cellIs" dxfId="762" priority="49" stopIfTrue="1" operator="equal">
      <formula>"ERROR"</formula>
    </cfRule>
  </conditionalFormatting>
  <conditionalFormatting sqref="N213:N217">
    <cfRule type="cellIs" dxfId="761" priority="50" stopIfTrue="1" operator="equal">
      <formula>"OK"</formula>
    </cfRule>
  </conditionalFormatting>
  <conditionalFormatting sqref="N213:N217">
    <cfRule type="cellIs" dxfId="760" priority="51" stopIfTrue="1" operator="equal">
      <formula>"WARNING"</formula>
    </cfRule>
  </conditionalFormatting>
  <conditionalFormatting sqref="U213:U217">
    <cfRule type="cellIs" dxfId="759" priority="46" stopIfTrue="1" operator="equal">
      <formula>"ERROR"</formula>
    </cfRule>
  </conditionalFormatting>
  <conditionalFormatting sqref="U213:U217">
    <cfRule type="cellIs" dxfId="758" priority="47" stopIfTrue="1" operator="equal">
      <formula>"OK"</formula>
    </cfRule>
  </conditionalFormatting>
  <conditionalFormatting sqref="U213:U217">
    <cfRule type="cellIs" dxfId="757" priority="48" stopIfTrue="1" operator="equal">
      <formula>"WARNING"</formula>
    </cfRule>
  </conditionalFormatting>
  <conditionalFormatting sqref="AI213">
    <cfRule type="cellIs" dxfId="756" priority="43" stopIfTrue="1" operator="equal">
      <formula>"ERROR"</formula>
    </cfRule>
  </conditionalFormatting>
  <conditionalFormatting sqref="AI213">
    <cfRule type="cellIs" dxfId="755" priority="44" stopIfTrue="1" operator="equal">
      <formula>"OK"</formula>
    </cfRule>
  </conditionalFormatting>
  <conditionalFormatting sqref="AI213">
    <cfRule type="cellIs" dxfId="754" priority="45" stopIfTrue="1" operator="equal">
      <formula>"WARNING"</formula>
    </cfRule>
  </conditionalFormatting>
  <conditionalFormatting sqref="C253">
    <cfRule type="cellIs" dxfId="753" priority="40" stopIfTrue="1" operator="equal">
      <formula>"ERROR"</formula>
    </cfRule>
  </conditionalFormatting>
  <conditionalFormatting sqref="C253">
    <cfRule type="cellIs" dxfId="752" priority="41" stopIfTrue="1" operator="equal">
      <formula>"OK"</formula>
    </cfRule>
  </conditionalFormatting>
  <conditionalFormatting sqref="C253">
    <cfRule type="cellIs" dxfId="751" priority="42" stopIfTrue="1" operator="equal">
      <formula>"WARNING"</formula>
    </cfRule>
  </conditionalFormatting>
  <conditionalFormatting sqref="E258:E264">
    <cfRule type="cellIs" dxfId="750" priority="189" stopIfTrue="1" operator="equal">
      <formula>"ERROR"</formula>
    </cfRule>
  </conditionalFormatting>
  <conditionalFormatting sqref="E258:E264">
    <cfRule type="cellIs" dxfId="749" priority="190" stopIfTrue="1" operator="equal">
      <formula>"OK"</formula>
    </cfRule>
  </conditionalFormatting>
  <conditionalFormatting sqref="E258:E264">
    <cfRule type="cellIs" dxfId="748" priority="191" stopIfTrue="1" operator="equal">
      <formula>"WARNING"</formula>
    </cfRule>
  </conditionalFormatting>
  <conditionalFormatting sqref="D20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C62">
    <cfRule type="cellIs" dxfId="744" priority="34" stopIfTrue="1" operator="equal">
      <formula>"ERROR"</formula>
    </cfRule>
  </conditionalFormatting>
  <conditionalFormatting sqref="C62">
    <cfRule type="cellIs" dxfId="743" priority="35" stopIfTrue="1" operator="equal">
      <formula>"OK"</formula>
    </cfRule>
  </conditionalFormatting>
  <conditionalFormatting sqref="C62">
    <cfRule type="cellIs" dxfId="742" priority="36" stopIfTrue="1" operator="equal">
      <formula>"WARNING"</formula>
    </cfRule>
  </conditionalFormatting>
  <conditionalFormatting sqref="G67">
    <cfRule type="cellIs" dxfId="741" priority="31" stopIfTrue="1" operator="equal">
      <formula>"ERROR"</formula>
    </cfRule>
    <cfRule type="cellIs" dxfId="740" priority="32" stopIfTrue="1" operator="equal">
      <formula>"OK"</formula>
    </cfRule>
    <cfRule type="cellIs" dxfId="739" priority="33" stopIfTrue="1" operator="equal">
      <formula>"WARNING"</formula>
    </cfRule>
  </conditionalFormatting>
  <conditionalFormatting sqref="C38">
    <cfRule type="cellIs" dxfId="738" priority="28" stopIfTrue="1" operator="equal">
      <formula>"ERROR"</formula>
    </cfRule>
  </conditionalFormatting>
  <conditionalFormatting sqref="C38">
    <cfRule type="cellIs" dxfId="737" priority="29" stopIfTrue="1" operator="equal">
      <formula>"OK"</formula>
    </cfRule>
  </conditionalFormatting>
  <conditionalFormatting sqref="C38">
    <cfRule type="cellIs" dxfId="736" priority="30" stopIfTrue="1" operator="equal">
      <formula>"WARNING"</formula>
    </cfRule>
  </conditionalFormatting>
  <conditionalFormatting sqref="G43">
    <cfRule type="cellIs" dxfId="735" priority="25" stopIfTrue="1" operator="equal">
      <formula>"ERROR"</formula>
    </cfRule>
    <cfRule type="cellIs" dxfId="734" priority="26" stopIfTrue="1" operator="equal">
      <formula>"OK"</formula>
    </cfRule>
    <cfRule type="cellIs" dxfId="733" priority="27" stopIfTrue="1" operator="equal">
      <formula>"WARNING"</formula>
    </cfRule>
  </conditionalFormatting>
  <conditionalFormatting sqref="D8:D10">
    <cfRule type="cellIs" dxfId="732" priority="22" stopIfTrue="1" operator="equal">
      <formula>"ERROR"</formula>
    </cfRule>
    <cfRule type="cellIs" dxfId="731" priority="23" stopIfTrue="1" operator="equal">
      <formula>"OK"</formula>
    </cfRule>
    <cfRule type="cellIs" dxfId="730" priority="24" stopIfTrue="1" operator="equal">
      <formula>"WARNING"</formula>
    </cfRule>
  </conditionalFormatting>
  <conditionalFormatting sqref="C50">
    <cfRule type="cellIs" dxfId="729" priority="19" stopIfTrue="1" operator="equal">
      <formula>"ERROR"</formula>
    </cfRule>
  </conditionalFormatting>
  <conditionalFormatting sqref="C50">
    <cfRule type="cellIs" dxfId="728" priority="20" stopIfTrue="1" operator="equal">
      <formula>"OK"</formula>
    </cfRule>
  </conditionalFormatting>
  <conditionalFormatting sqref="C50">
    <cfRule type="cellIs" dxfId="727" priority="21" stopIfTrue="1" operator="equal">
      <formula>"WARNING"</formula>
    </cfRule>
  </conditionalFormatting>
  <conditionalFormatting sqref="G55">
    <cfRule type="cellIs" dxfId="726" priority="16" stopIfTrue="1" operator="equal">
      <formula>"ERROR"</formula>
    </cfRule>
    <cfRule type="cellIs" dxfId="725" priority="17" stopIfTrue="1" operator="equal">
      <formula>"OK"</formula>
    </cfRule>
    <cfRule type="cellIs" dxfId="724" priority="18" stopIfTrue="1" operator="equal">
      <formula>"WARNING"</formula>
    </cfRule>
  </conditionalFormatting>
  <conditionalFormatting sqref="N79">
    <cfRule type="cellIs" dxfId="723" priority="13" stopIfTrue="1" operator="equal">
      <formula>"ERROR"</formula>
    </cfRule>
    <cfRule type="cellIs" dxfId="722" priority="14" stopIfTrue="1" operator="equal">
      <formula>"OK"</formula>
    </cfRule>
    <cfRule type="cellIs" dxfId="721" priority="15" stopIfTrue="1" operator="equal">
      <formula>"WARNING"</formula>
    </cfRule>
  </conditionalFormatting>
  <conditionalFormatting sqref="C26">
    <cfRule type="cellIs" dxfId="720" priority="10" stopIfTrue="1" operator="equal">
      <formula>"ERROR"</formula>
    </cfRule>
  </conditionalFormatting>
  <conditionalFormatting sqref="C26">
    <cfRule type="cellIs" dxfId="719" priority="11" stopIfTrue="1" operator="equal">
      <formula>"OK"</formula>
    </cfRule>
  </conditionalFormatting>
  <conditionalFormatting sqref="C26">
    <cfRule type="cellIs" dxfId="718" priority="12" stopIfTrue="1" operator="equal">
      <formula>"WARNING"</formula>
    </cfRule>
  </conditionalFormatting>
  <conditionalFormatting sqref="G31">
    <cfRule type="cellIs" dxfId="717" priority="7" stopIfTrue="1" operator="equal">
      <formula>"ERROR"</formula>
    </cfRule>
    <cfRule type="cellIs" dxfId="716" priority="8" stopIfTrue="1" operator="equal">
      <formula>"OK"</formula>
    </cfRule>
    <cfRule type="cellIs" dxfId="715" priority="9" stopIfTrue="1" operator="equal">
      <formula>"WARNING"</formula>
    </cfRule>
  </conditionalFormatting>
  <conditionalFormatting sqref="D7">
    <cfRule type="cellIs" dxfId="714" priority="1" stopIfTrue="1" operator="equal">
      <formula>"ERROR"</formula>
    </cfRule>
    <cfRule type="cellIs" dxfId="713" priority="2" stopIfTrue="1" operator="equal">
      <formula>"OK"</formula>
    </cfRule>
    <cfRule type="cellIs" dxfId="71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387</v>
      </c>
    </row>
    <row r="2" spans="1:87" ht="26.25">
      <c r="B2" s="2" t="s">
        <v>338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140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210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339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565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355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339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140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340</v>
      </c>
      <c r="C16" s="307"/>
      <c r="D16" s="307"/>
      <c r="E16" s="307"/>
      <c r="F16" s="307"/>
      <c r="G16" s="307"/>
      <c r="H16" s="307"/>
      <c r="J16" s="4" t="s">
        <v>344</v>
      </c>
      <c r="K16" s="307"/>
      <c r="L16" s="307"/>
      <c r="M16" s="307"/>
      <c r="N16" s="307"/>
      <c r="O16" s="307"/>
      <c r="P16" s="307"/>
      <c r="R16" s="4" t="s">
        <v>346</v>
      </c>
      <c r="S16" s="307"/>
      <c r="T16" s="307"/>
      <c r="U16" s="307"/>
      <c r="V16" s="307"/>
      <c r="W16" s="307"/>
      <c r="X16" s="307"/>
      <c r="Y16" s="307"/>
      <c r="AA16" s="4" t="s">
        <v>347</v>
      </c>
      <c r="AB16" s="307"/>
      <c r="AC16" s="307"/>
      <c r="AD16" s="307"/>
      <c r="AE16" s="307"/>
      <c r="AF16" s="307"/>
      <c r="AG16" s="307"/>
      <c r="AI16" s="4" t="s">
        <v>348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477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478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481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226</v>
      </c>
      <c r="C18" s="192"/>
      <c r="D18" s="122"/>
      <c r="F18" s="121" t="s">
        <v>114</v>
      </c>
      <c r="G18" s="121" t="s">
        <v>228</v>
      </c>
      <c r="H18" s="121" t="s">
        <v>68</v>
      </c>
      <c r="J18" s="121" t="s">
        <v>226</v>
      </c>
      <c r="K18" s="192"/>
      <c r="L18" s="122"/>
      <c r="N18" s="121" t="s">
        <v>114</v>
      </c>
      <c r="O18" s="121" t="s">
        <v>228</v>
      </c>
      <c r="P18" s="121" t="s">
        <v>68</v>
      </c>
      <c r="R18" s="121" t="s">
        <v>226</v>
      </c>
      <c r="S18" s="192"/>
      <c r="T18" s="192"/>
      <c r="U18" s="122"/>
      <c r="W18" s="121" t="s">
        <v>114</v>
      </c>
      <c r="X18" s="121" t="s">
        <v>228</v>
      </c>
      <c r="Y18" s="121" t="s">
        <v>68</v>
      </c>
      <c r="AA18" s="121" t="s">
        <v>226</v>
      </c>
      <c r="AB18" s="192"/>
      <c r="AC18" s="122"/>
      <c r="AE18" s="121" t="s">
        <v>114</v>
      </c>
      <c r="AF18" s="121" t="s">
        <v>228</v>
      </c>
      <c r="AG18" s="121" t="s">
        <v>68</v>
      </c>
      <c r="AI18" s="121" t="s">
        <v>226</v>
      </c>
      <c r="AJ18" s="192"/>
      <c r="AK18" s="122"/>
      <c r="AM18" s="121" t="s">
        <v>114</v>
      </c>
      <c r="AN18" s="121"/>
      <c r="AO18" s="121"/>
      <c r="AP18" s="121"/>
      <c r="AQ18" s="121" t="s">
        <v>228</v>
      </c>
      <c r="AR18" s="121"/>
      <c r="AS18" s="121"/>
      <c r="AT18" s="121"/>
      <c r="AU18" s="121" t="s">
        <v>68</v>
      </c>
      <c r="AW18" s="121" t="s">
        <v>226</v>
      </c>
      <c r="AX18" s="192"/>
      <c r="AY18" s="122"/>
      <c r="BA18" s="121" t="s">
        <v>114</v>
      </c>
      <c r="BB18" s="121"/>
      <c r="BC18" s="121"/>
      <c r="BD18" s="121"/>
      <c r="BE18" s="121" t="s">
        <v>228</v>
      </c>
      <c r="BF18" s="121"/>
      <c r="BG18" s="121"/>
      <c r="BH18" s="121"/>
      <c r="BI18" s="121" t="s">
        <v>68</v>
      </c>
      <c r="BK18" s="121" t="s">
        <v>226</v>
      </c>
      <c r="BL18" s="192"/>
      <c r="BM18" s="122"/>
      <c r="BN18" s="439"/>
      <c r="BO18" s="121" t="s">
        <v>114</v>
      </c>
      <c r="BP18" s="121"/>
      <c r="BQ18" s="121"/>
      <c r="BR18" s="121"/>
      <c r="BS18" s="121" t="s">
        <v>228</v>
      </c>
      <c r="BT18" s="121"/>
      <c r="BU18" s="121"/>
      <c r="BV18" s="121"/>
      <c r="BW18" s="121" t="s">
        <v>68</v>
      </c>
      <c r="BX18" s="439"/>
      <c r="BY18" s="121" t="s">
        <v>226</v>
      </c>
      <c r="BZ18" s="192"/>
      <c r="CA18" s="122"/>
      <c r="CC18" s="121" t="s">
        <v>114</v>
      </c>
      <c r="CD18" s="121"/>
      <c r="CE18" s="121"/>
      <c r="CF18" s="121" t="s">
        <v>228</v>
      </c>
      <c r="CG18" s="121"/>
      <c r="CH18" s="121"/>
      <c r="CI18" s="121" t="s">
        <v>68</v>
      </c>
    </row>
    <row r="19" spans="2:87">
      <c r="B19" s="322" t="s">
        <v>341</v>
      </c>
      <c r="C19" s="323" t="s">
        <v>342</v>
      </c>
      <c r="D19" s="120" t="s">
        <v>343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341</v>
      </c>
      <c r="K19" s="323" t="s">
        <v>342</v>
      </c>
      <c r="L19" s="120" t="s">
        <v>343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341</v>
      </c>
      <c r="S19" s="323" t="s">
        <v>342</v>
      </c>
      <c r="T19" s="323" t="s">
        <v>345</v>
      </c>
      <c r="U19" s="120" t="s">
        <v>343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341</v>
      </c>
      <c r="AB19" s="323" t="s">
        <v>342</v>
      </c>
      <c r="AC19" s="120" t="s">
        <v>343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341</v>
      </c>
      <c r="AJ19" s="323" t="s">
        <v>342</v>
      </c>
      <c r="AK19" s="120" t="s">
        <v>343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475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341</v>
      </c>
      <c r="AX19" s="323" t="s">
        <v>342</v>
      </c>
      <c r="AY19" s="120" t="s">
        <v>343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476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341</v>
      </c>
      <c r="BL19" s="323" t="s">
        <v>342</v>
      </c>
      <c r="BM19" s="120" t="s">
        <v>343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479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341</v>
      </c>
      <c r="BZ19" s="323" t="s">
        <v>342</v>
      </c>
      <c r="CA19" s="120" t="s">
        <v>343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465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565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140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340</v>
      </c>
      <c r="C28" s="307"/>
      <c r="D28" s="307"/>
      <c r="E28" s="307"/>
      <c r="F28" s="307"/>
      <c r="G28" s="307"/>
      <c r="H28" s="307"/>
      <c r="I28" s="307"/>
      <c r="J28" s="307"/>
      <c r="L28" s="4" t="s">
        <v>579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581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226</v>
      </c>
      <c r="C30" s="192"/>
      <c r="D30" s="192"/>
      <c r="E30" s="192"/>
      <c r="F30" s="122"/>
      <c r="H30" s="121" t="s">
        <v>114</v>
      </c>
      <c r="I30" s="121" t="s">
        <v>228</v>
      </c>
      <c r="J30" s="121" t="s">
        <v>68</v>
      </c>
      <c r="L30" s="121" t="s">
        <v>226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228</v>
      </c>
      <c r="V30" s="121"/>
      <c r="W30" s="121"/>
      <c r="X30" s="121" t="s">
        <v>68</v>
      </c>
      <c r="Z30" s="121" t="s">
        <v>226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228</v>
      </c>
      <c r="AJ30" s="121"/>
      <c r="AK30" s="121"/>
      <c r="AL30" s="121" t="s">
        <v>68</v>
      </c>
    </row>
    <row r="31" spans="2:87" s="439" customFormat="1">
      <c r="B31" s="322" t="s">
        <v>341</v>
      </c>
      <c r="C31" s="638" t="s">
        <v>566</v>
      </c>
      <c r="D31" s="639"/>
      <c r="E31" s="639"/>
      <c r="F31" s="120" t="s">
        <v>343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341</v>
      </c>
      <c r="M31" s="638" t="s">
        <v>566</v>
      </c>
      <c r="N31" s="639"/>
      <c r="O31" s="639"/>
      <c r="P31" s="120" t="s">
        <v>343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580</v>
      </c>
      <c r="V31" s="561"/>
      <c r="W31" s="561"/>
      <c r="X31" s="310" t="str" cm="1">
        <f t="array" ref="X31">_xll.d.TestUtils_Equal(R31,U31)</f>
        <v>Ok</v>
      </c>
      <c r="Z31" s="322" t="s">
        <v>341</v>
      </c>
      <c r="AA31" s="638" t="s">
        <v>566</v>
      </c>
      <c r="AB31" s="639"/>
      <c r="AC31" s="639"/>
      <c r="AD31" s="120" t="s">
        <v>343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582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355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140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356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357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358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359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349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226</v>
      </c>
      <c r="C42" s="192"/>
      <c r="D42" s="192"/>
      <c r="E42" s="339"/>
      <c r="F42" s="339"/>
      <c r="G42" s="333"/>
      <c r="H42" s="201"/>
      <c r="J42" s="121" t="s">
        <v>114</v>
      </c>
      <c r="K42" s="121" t="s">
        <v>228</v>
      </c>
      <c r="L42" s="121" t="s">
        <v>68</v>
      </c>
      <c r="N42" s="332" t="s">
        <v>226</v>
      </c>
      <c r="O42" s="192"/>
      <c r="P42" s="192"/>
      <c r="Q42" s="339"/>
      <c r="R42" s="339"/>
      <c r="S42" s="333"/>
      <c r="T42" s="201"/>
      <c r="W42" s="121" t="s">
        <v>114</v>
      </c>
      <c r="X42" s="121" t="s">
        <v>228</v>
      </c>
      <c r="Y42" s="121" t="s">
        <v>68</v>
      </c>
      <c r="AA42" s="332" t="s">
        <v>226</v>
      </c>
      <c r="AB42" s="192"/>
      <c r="AC42" s="192"/>
      <c r="AD42" s="339"/>
      <c r="AE42" s="339"/>
      <c r="AF42" s="333"/>
      <c r="AG42" s="201"/>
      <c r="AI42" s="121" t="s">
        <v>114</v>
      </c>
      <c r="AJ42" s="121" t="s">
        <v>228</v>
      </c>
      <c r="AK42" s="121" t="s">
        <v>68</v>
      </c>
      <c r="AM42" s="332" t="s">
        <v>226</v>
      </c>
      <c r="AN42" s="192"/>
      <c r="AO42" s="192"/>
      <c r="AP42" s="339"/>
      <c r="AQ42" s="339"/>
      <c r="AR42" s="333"/>
      <c r="AS42" s="201"/>
      <c r="AU42" s="121" t="s">
        <v>114</v>
      </c>
      <c r="AV42" s="121"/>
      <c r="AW42" s="121"/>
      <c r="AX42" s="121"/>
      <c r="AY42" s="121" t="s">
        <v>228</v>
      </c>
      <c r="AZ42" s="121"/>
      <c r="BA42" s="121"/>
      <c r="BB42" s="121"/>
      <c r="BC42" s="121" t="s">
        <v>68</v>
      </c>
      <c r="BE42" s="332" t="s">
        <v>226</v>
      </c>
      <c r="BF42" s="192"/>
      <c r="BG42" s="192"/>
      <c r="BH42" s="339"/>
      <c r="BI42" s="339"/>
      <c r="BJ42" s="333"/>
      <c r="BK42" s="201"/>
      <c r="BM42" s="121" t="s">
        <v>114</v>
      </c>
      <c r="BN42" s="121"/>
      <c r="BO42" s="121"/>
      <c r="BP42" s="121"/>
      <c r="BQ42" s="121" t="s">
        <v>228</v>
      </c>
      <c r="BR42" s="121"/>
      <c r="BS42" s="121"/>
      <c r="BT42" s="121"/>
      <c r="BU42" s="121" t="s">
        <v>68</v>
      </c>
    </row>
    <row r="43" spans="1:82">
      <c r="A43" s="136"/>
      <c r="B43" s="334"/>
      <c r="C43" s="336" t="s">
        <v>353</v>
      </c>
      <c r="D43" s="339"/>
      <c r="E43" s="339"/>
      <c r="F43" s="337"/>
      <c r="G43" s="341" t="s">
        <v>354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353</v>
      </c>
      <c r="P43" s="339"/>
      <c r="Q43" s="339"/>
      <c r="R43" s="337"/>
      <c r="S43" s="341" t="s">
        <v>354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353</v>
      </c>
      <c r="AC43" s="339"/>
      <c r="AD43" s="339"/>
      <c r="AE43" s="337"/>
      <c r="AF43" s="341" t="s">
        <v>354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353</v>
      </c>
      <c r="AO43" s="339"/>
      <c r="AP43" s="339"/>
      <c r="AQ43" s="337"/>
      <c r="AR43" s="341" t="s">
        <v>354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360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353</v>
      </c>
      <c r="BG43" s="339"/>
      <c r="BH43" s="339"/>
      <c r="BI43" s="337"/>
      <c r="BJ43" s="341" t="s">
        <v>354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465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352</v>
      </c>
      <c r="C44" s="344">
        <v>0</v>
      </c>
      <c r="D44" s="345">
        <v>1</v>
      </c>
      <c r="E44" s="345">
        <v>2</v>
      </c>
      <c r="F44" s="346">
        <v>3</v>
      </c>
      <c r="G44" s="342" t="s">
        <v>351</v>
      </c>
      <c r="H44" s="120" t="s">
        <v>350</v>
      </c>
      <c r="N44" s="335" t="s">
        <v>352</v>
      </c>
      <c r="O44" s="344">
        <v>0</v>
      </c>
      <c r="P44" s="345">
        <v>1</v>
      </c>
      <c r="Q44" s="345">
        <v>2</v>
      </c>
      <c r="R44" s="346">
        <v>3</v>
      </c>
      <c r="S44" s="342" t="s">
        <v>351</v>
      </c>
      <c r="T44" s="120" t="s">
        <v>350</v>
      </c>
      <c r="AA44" s="335" t="s">
        <v>352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351</v>
      </c>
      <c r="AG44" s="120" t="s">
        <v>350</v>
      </c>
      <c r="AM44" s="335" t="s">
        <v>352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351</v>
      </c>
      <c r="AS44" s="120" t="s">
        <v>350</v>
      </c>
      <c r="AV44" s="439"/>
      <c r="AW44" s="439"/>
      <c r="AX44" s="439"/>
      <c r="AZ44" s="439"/>
      <c r="BA44" s="439"/>
      <c r="BB44" s="439"/>
      <c r="BE44" s="335" t="s">
        <v>352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351</v>
      </c>
      <c r="BK44" s="120" t="s">
        <v>350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1" priority="145" stopIfTrue="1" operator="equal">
      <formula>"ERROR"</formula>
    </cfRule>
    <cfRule type="cellIs" dxfId="710" priority="146" stopIfTrue="1" operator="equal">
      <formula>"OK"</formula>
    </cfRule>
    <cfRule type="cellIs" dxfId="709" priority="147" stopIfTrue="1" operator="equal">
      <formula>"WARNING"</formula>
    </cfRule>
  </conditionalFormatting>
  <conditionalFormatting sqref="C4">
    <cfRule type="cellIs" dxfId="708" priority="142" stopIfTrue="1" operator="equal">
      <formula>"ERROR"</formula>
    </cfRule>
    <cfRule type="cellIs" dxfId="707" priority="143" stopIfTrue="1" operator="equal">
      <formula>"OK"</formula>
    </cfRule>
    <cfRule type="cellIs" dxfId="706" priority="144" stopIfTrue="1" operator="equal">
      <formula>"WARNING"</formula>
    </cfRule>
  </conditionalFormatting>
  <conditionalFormatting sqref="C14">
    <cfRule type="cellIs" dxfId="705" priority="139" stopIfTrue="1" operator="equal">
      <formula>"ERROR"</formula>
    </cfRule>
  </conditionalFormatting>
  <conditionalFormatting sqref="C14">
    <cfRule type="cellIs" dxfId="704" priority="140" stopIfTrue="1" operator="equal">
      <formula>"OK"</formula>
    </cfRule>
  </conditionalFormatting>
  <conditionalFormatting sqref="C14">
    <cfRule type="cellIs" dxfId="703" priority="141" stopIfTrue="1" operator="equal">
      <formula>"WARNING"</formula>
    </cfRule>
  </conditionalFormatting>
  <conditionalFormatting sqref="H19">
    <cfRule type="cellIs" dxfId="702" priority="148" stopIfTrue="1" operator="equal">
      <formula>"ERROR"</formula>
    </cfRule>
    <cfRule type="cellIs" dxfId="701" priority="149" stopIfTrue="1" operator="equal">
      <formula>"OK"</formula>
    </cfRule>
    <cfRule type="cellIs" dxfId="700" priority="150" stopIfTrue="1" operator="equal">
      <formula>"WARNING"</formula>
    </cfRule>
  </conditionalFormatting>
  <conditionalFormatting sqref="C38">
    <cfRule type="cellIs" dxfId="699" priority="118" stopIfTrue="1" operator="equal">
      <formula>"ERROR"</formula>
    </cfRule>
  </conditionalFormatting>
  <conditionalFormatting sqref="C38">
    <cfRule type="cellIs" dxfId="698" priority="119" stopIfTrue="1" operator="equal">
      <formula>"OK"</formula>
    </cfRule>
  </conditionalFormatting>
  <conditionalFormatting sqref="C38">
    <cfRule type="cellIs" dxfId="697" priority="120" stopIfTrue="1" operator="equal">
      <formula>"WARNING"</formula>
    </cfRule>
  </conditionalFormatting>
  <conditionalFormatting sqref="P19">
    <cfRule type="cellIs" dxfId="696" priority="49" stopIfTrue="1" operator="equal">
      <formula>"ERROR"</formula>
    </cfRule>
    <cfRule type="cellIs" dxfId="695" priority="50" stopIfTrue="1" operator="equal">
      <formula>"OK"</formula>
    </cfRule>
    <cfRule type="cellIs" dxfId="694" priority="51" stopIfTrue="1" operator="equal">
      <formula>"WARNING"</formula>
    </cfRule>
  </conditionalFormatting>
  <conditionalFormatting sqref="Y19">
    <cfRule type="cellIs" dxfId="693" priority="46" stopIfTrue="1" operator="equal">
      <formula>"ERROR"</formula>
    </cfRule>
    <cfRule type="cellIs" dxfId="692" priority="47" stopIfTrue="1" operator="equal">
      <formula>"OK"</formula>
    </cfRule>
    <cfRule type="cellIs" dxfId="691" priority="48" stopIfTrue="1" operator="equal">
      <formula>"WARNING"</formula>
    </cfRule>
  </conditionalFormatting>
  <conditionalFormatting sqref="AG19">
    <cfRule type="cellIs" dxfId="690" priority="43" stopIfTrue="1" operator="equal">
      <formula>"ERROR"</formula>
    </cfRule>
    <cfRule type="cellIs" dxfId="689" priority="44" stopIfTrue="1" operator="equal">
      <formula>"OK"</formula>
    </cfRule>
    <cfRule type="cellIs" dxfId="688" priority="45" stopIfTrue="1" operator="equal">
      <formula>"WARNING"</formula>
    </cfRule>
  </conditionalFormatting>
  <conditionalFormatting sqref="AU19">
    <cfRule type="cellIs" dxfId="687" priority="40" stopIfTrue="1" operator="equal">
      <formula>"ERROR"</formula>
    </cfRule>
    <cfRule type="cellIs" dxfId="686" priority="41" stopIfTrue="1" operator="equal">
      <formula>"OK"</formula>
    </cfRule>
    <cfRule type="cellIs" dxfId="685" priority="42" stopIfTrue="1" operator="equal">
      <formula>"WARNING"</formula>
    </cfRule>
  </conditionalFormatting>
  <conditionalFormatting sqref="BI19">
    <cfRule type="cellIs" dxfId="684" priority="37" stopIfTrue="1" operator="equal">
      <formula>"ERROR"</formula>
    </cfRule>
    <cfRule type="cellIs" dxfId="683" priority="38" stopIfTrue="1" operator="equal">
      <formula>"OK"</formula>
    </cfRule>
    <cfRule type="cellIs" dxfId="682" priority="39" stopIfTrue="1" operator="equal">
      <formula>"WARNING"</formula>
    </cfRule>
  </conditionalFormatting>
  <conditionalFormatting sqref="CI19">
    <cfRule type="cellIs" dxfId="681" priority="34" stopIfTrue="1" operator="equal">
      <formula>"ERROR"</formula>
    </cfRule>
    <cfRule type="cellIs" dxfId="680" priority="35" stopIfTrue="1" operator="equal">
      <formula>"OK"</formula>
    </cfRule>
    <cfRule type="cellIs" dxfId="679" priority="36" stopIfTrue="1" operator="equal">
      <formula>"WARNING"</formula>
    </cfRule>
  </conditionalFormatting>
  <conditionalFormatting sqref="L43">
    <cfRule type="cellIs" dxfId="678" priority="28" stopIfTrue="1" operator="equal">
      <formula>"ERROR"</formula>
    </cfRule>
    <cfRule type="cellIs" dxfId="677" priority="29" stopIfTrue="1" operator="equal">
      <formula>"OK"</formula>
    </cfRule>
    <cfRule type="cellIs" dxfId="676" priority="30" stopIfTrue="1" operator="equal">
      <formula>"WARNING"</formula>
    </cfRule>
  </conditionalFormatting>
  <conditionalFormatting sqref="Y43">
    <cfRule type="cellIs" dxfId="675" priority="25" stopIfTrue="1" operator="equal">
      <formula>"ERROR"</formula>
    </cfRule>
    <cfRule type="cellIs" dxfId="674" priority="26" stopIfTrue="1" operator="equal">
      <formula>"OK"</formula>
    </cfRule>
    <cfRule type="cellIs" dxfId="673" priority="27" stopIfTrue="1" operator="equal">
      <formula>"WARNING"</formula>
    </cfRule>
  </conditionalFormatting>
  <conditionalFormatting sqref="AK43">
    <cfRule type="cellIs" dxfId="672" priority="22" stopIfTrue="1" operator="equal">
      <formula>"ERROR"</formula>
    </cfRule>
    <cfRule type="cellIs" dxfId="671" priority="23" stopIfTrue="1" operator="equal">
      <formula>"OK"</formula>
    </cfRule>
    <cfRule type="cellIs" dxfId="670" priority="24" stopIfTrue="1" operator="equal">
      <formula>"WARNING"</formula>
    </cfRule>
  </conditionalFormatting>
  <conditionalFormatting sqref="BC43">
    <cfRule type="cellIs" dxfId="669" priority="19" stopIfTrue="1" operator="equal">
      <formula>"ERROR"</formula>
    </cfRule>
    <cfRule type="cellIs" dxfId="668" priority="20" stopIfTrue="1" operator="equal">
      <formula>"OK"</formula>
    </cfRule>
    <cfRule type="cellIs" dxfId="667" priority="21" stopIfTrue="1" operator="equal">
      <formula>"WARNING"</formula>
    </cfRule>
  </conditionalFormatting>
  <conditionalFormatting sqref="BU43">
    <cfRule type="cellIs" dxfId="666" priority="16" stopIfTrue="1" operator="equal">
      <formula>"ERROR"</formula>
    </cfRule>
    <cfRule type="cellIs" dxfId="665" priority="17" stopIfTrue="1" operator="equal">
      <formula>"OK"</formula>
    </cfRule>
    <cfRule type="cellIs" dxfId="664" priority="18" stopIfTrue="1" operator="equal">
      <formula>"WARNING"</formula>
    </cfRule>
  </conditionalFormatting>
  <conditionalFormatting sqref="BW19">
    <cfRule type="cellIs" dxfId="663" priority="13" stopIfTrue="1" operator="equal">
      <formula>"ERROR"</formula>
    </cfRule>
    <cfRule type="cellIs" dxfId="662" priority="14" stopIfTrue="1" operator="equal">
      <formula>"OK"</formula>
    </cfRule>
    <cfRule type="cellIs" dxfId="661" priority="15" stopIfTrue="1" operator="equal">
      <formula>"WARNING"</formula>
    </cfRule>
  </conditionalFormatting>
  <conditionalFormatting sqref="C26">
    <cfRule type="cellIs" dxfId="660" priority="7" stopIfTrue="1" operator="equal">
      <formula>"ERROR"</formula>
    </cfRule>
  </conditionalFormatting>
  <conditionalFormatting sqref="C26">
    <cfRule type="cellIs" dxfId="659" priority="8" stopIfTrue="1" operator="equal">
      <formula>"OK"</formula>
    </cfRule>
  </conditionalFormatting>
  <conditionalFormatting sqref="C26">
    <cfRule type="cellIs" dxfId="658" priority="9" stopIfTrue="1" operator="equal">
      <formula>"WARNING"</formula>
    </cfRule>
  </conditionalFormatting>
  <conditionalFormatting sqref="J31">
    <cfRule type="cellIs" dxfId="657" priority="10" stopIfTrue="1" operator="equal">
      <formula>"ERROR"</formula>
    </cfRule>
    <cfRule type="cellIs" dxfId="656" priority="11" stopIfTrue="1" operator="equal">
      <formula>"OK"</formula>
    </cfRule>
    <cfRule type="cellIs" dxfId="655" priority="12" stopIfTrue="1" operator="equal">
      <formula>"WARNING"</formula>
    </cfRule>
  </conditionalFormatting>
  <conditionalFormatting sqref="X31">
    <cfRule type="cellIs" dxfId="654" priority="4" stopIfTrue="1" operator="equal">
      <formula>"ERROR"</formula>
    </cfRule>
    <cfRule type="cellIs" dxfId="653" priority="5" stopIfTrue="1" operator="equal">
      <formula>"OK"</formula>
    </cfRule>
    <cfRule type="cellIs" dxfId="652" priority="6" stopIfTrue="1" operator="equal">
      <formula>"WARNING"</formula>
    </cfRule>
  </conditionalFormatting>
  <conditionalFormatting sqref="AL31">
    <cfRule type="cellIs" dxfId="651" priority="1" stopIfTrue="1" operator="equal">
      <formula>"ERROR"</formula>
    </cfRule>
    <cfRule type="cellIs" dxfId="650" priority="2" stopIfTrue="1" operator="equal">
      <formula>"OK"</formula>
    </cfRule>
    <cfRule type="cellIs" dxfId="649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387</v>
      </c>
    </row>
    <row r="2" spans="1:52" ht="26.25">
      <c r="B2" s="2" t="s">
        <v>361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140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362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363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364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486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362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140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365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367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368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369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226</v>
      </c>
      <c r="C19" s="192"/>
      <c r="D19" s="122"/>
      <c r="F19" s="121" t="s">
        <v>114</v>
      </c>
      <c r="G19" s="121"/>
      <c r="H19" s="121"/>
      <c r="I19" s="121" t="s">
        <v>228</v>
      </c>
      <c r="J19" s="121"/>
      <c r="K19" s="121"/>
      <c r="L19" s="121" t="s">
        <v>68</v>
      </c>
      <c r="M19" s="341"/>
      <c r="N19" s="341"/>
      <c r="P19" s="121" t="s">
        <v>226</v>
      </c>
      <c r="Q19" s="192"/>
      <c r="R19" s="122"/>
      <c r="T19" s="121" t="s">
        <v>114</v>
      </c>
      <c r="U19" s="121"/>
      <c r="V19" s="121"/>
      <c r="W19" s="121" t="s">
        <v>228</v>
      </c>
      <c r="X19" s="121"/>
      <c r="Y19" s="121"/>
      <c r="Z19" s="121" t="s">
        <v>68</v>
      </c>
      <c r="AB19" s="121" t="s">
        <v>226</v>
      </c>
      <c r="AC19" s="192"/>
      <c r="AD19" s="122"/>
      <c r="AF19" s="121" t="s">
        <v>114</v>
      </c>
      <c r="AG19" s="121"/>
      <c r="AH19" s="121"/>
      <c r="AI19" s="121" t="s">
        <v>228</v>
      </c>
      <c r="AJ19" s="121"/>
      <c r="AK19" s="121"/>
      <c r="AL19" s="121" t="s">
        <v>68</v>
      </c>
      <c r="AN19" s="121" t="s">
        <v>226</v>
      </c>
      <c r="AO19" s="192"/>
      <c r="AP19" s="122"/>
      <c r="AR19" s="121" t="s">
        <v>114</v>
      </c>
      <c r="AS19" s="121"/>
      <c r="AT19" s="121"/>
      <c r="AU19" s="121"/>
      <c r="AV19" s="121" t="s">
        <v>228</v>
      </c>
      <c r="AW19" s="121"/>
      <c r="AX19" s="121"/>
      <c r="AY19" s="121"/>
      <c r="AZ19" s="121" t="s">
        <v>68</v>
      </c>
    </row>
    <row r="20" spans="2:53">
      <c r="B20" s="361" t="s">
        <v>366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366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466</v>
      </c>
      <c r="X20" s="547"/>
      <c r="Y20" s="547"/>
      <c r="Z20" s="310" t="str" cm="1">
        <f t="array" ref="Z20">_xll.d.TestUtils_Equal(T20,W20)</f>
        <v>Ok</v>
      </c>
      <c r="AB20" s="361" t="s">
        <v>366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467</v>
      </c>
      <c r="AJ20" s="549"/>
      <c r="AK20" s="550"/>
      <c r="AL20" s="310" t="str" cm="1">
        <f t="array" ref="AL20">_xll.d.TestUtils_Equal(AF20,AI20)</f>
        <v>Ok</v>
      </c>
      <c r="AN20" s="361" t="s">
        <v>366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492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363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140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370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372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226</v>
      </c>
      <c r="C32" s="192"/>
      <c r="E32" s="121" t="s">
        <v>114</v>
      </c>
      <c r="F32" s="121"/>
      <c r="G32" s="121"/>
      <c r="H32" s="121" t="s">
        <v>228</v>
      </c>
      <c r="I32" s="121"/>
      <c r="J32" s="121"/>
      <c r="K32" s="121" t="s">
        <v>68</v>
      </c>
      <c r="L32" s="341"/>
      <c r="M32" s="341"/>
      <c r="O32" s="121" t="s">
        <v>226</v>
      </c>
      <c r="P32" s="192"/>
      <c r="Q32" s="341"/>
      <c r="S32" s="121" t="s">
        <v>114</v>
      </c>
      <c r="T32" s="121"/>
      <c r="U32" s="121"/>
      <c r="V32" s="121"/>
      <c r="W32" s="121" t="s">
        <v>228</v>
      </c>
      <c r="X32" s="121"/>
      <c r="Y32" s="121"/>
      <c r="Z32" s="121"/>
      <c r="AA32" s="121" t="s">
        <v>68</v>
      </c>
      <c r="AB32" s="341"/>
      <c r="AC32" s="341"/>
      <c r="AD32" s="341"/>
    </row>
    <row r="33" spans="2:31">
      <c r="B33" s="370" t="s">
        <v>351</v>
      </c>
      <c r="C33" s="371" t="s">
        <v>350</v>
      </c>
      <c r="E33" s="385"/>
      <c r="F33" s="383" t="s">
        <v>351</v>
      </c>
      <c r="G33" s="297" t="s">
        <v>350</v>
      </c>
      <c r="H33" s="385"/>
      <c r="I33" s="383" t="s">
        <v>351</v>
      </c>
      <c r="J33" s="297" t="s">
        <v>350</v>
      </c>
      <c r="K33" s="385"/>
      <c r="L33" s="383" t="s">
        <v>351</v>
      </c>
      <c r="M33" s="297" t="s">
        <v>350</v>
      </c>
      <c r="O33" s="370" t="s">
        <v>351</v>
      </c>
      <c r="P33" s="393" t="s">
        <v>350</v>
      </c>
      <c r="Q33" s="392" t="s">
        <v>371</v>
      </c>
      <c r="S33" s="385"/>
      <c r="T33" s="383" t="s">
        <v>351</v>
      </c>
      <c r="U33" s="396" t="s">
        <v>350</v>
      </c>
      <c r="V33" s="394" t="s">
        <v>371</v>
      </c>
      <c r="W33" s="385"/>
      <c r="X33" s="383" t="s">
        <v>351</v>
      </c>
      <c r="Y33" s="396" t="s">
        <v>350</v>
      </c>
      <c r="Z33" s="394" t="s">
        <v>371</v>
      </c>
      <c r="AA33" s="385"/>
      <c r="AB33" s="383" t="s">
        <v>351</v>
      </c>
      <c r="AC33" s="396" t="s">
        <v>350</v>
      </c>
      <c r="AD33" s="394" t="s">
        <v>371</v>
      </c>
    </row>
    <row r="34" spans="2:31">
      <c r="B34" s="372">
        <v>1</v>
      </c>
      <c r="C34" s="373">
        <v>0.5</v>
      </c>
      <c r="D34" s="298"/>
      <c r="E34" s="384" t="s">
        <v>351</v>
      </c>
      <c r="F34" s="379" cm="1">
        <f t="array" ref="F34:G35">_xll.d.Stats_CorrelationMatrix(B34:C39)</f>
        <v>1</v>
      </c>
      <c r="G34" s="378">
        <v>0.9855793842654561</v>
      </c>
      <c r="H34" s="384" t="s">
        <v>351</v>
      </c>
      <c r="I34" s="379">
        <f>CORREL(B34:B39,B34:B39)</f>
        <v>1</v>
      </c>
      <c r="J34" s="378">
        <f>CORREL(B34:B39,C34:C39)</f>
        <v>0.98557938426545633</v>
      </c>
      <c r="K34" s="384" t="s">
        <v>351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351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351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351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350</v>
      </c>
      <c r="F35" s="380">
        <v>0.9855793842654561</v>
      </c>
      <c r="G35" s="366">
        <v>1</v>
      </c>
      <c r="H35" s="292" t="s">
        <v>350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350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350</v>
      </c>
      <c r="T35" s="399">
        <v>0.9855793842654561</v>
      </c>
      <c r="U35" s="401">
        <v>1</v>
      </c>
      <c r="V35" s="402">
        <v>-0.9461544177169412</v>
      </c>
      <c r="W35" s="381" t="s">
        <v>350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350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371</v>
      </c>
      <c r="T36" s="380">
        <v>-0.96679334300694564</v>
      </c>
      <c r="U36" s="400">
        <v>-0.9461544177169412</v>
      </c>
      <c r="V36" s="395">
        <v>1</v>
      </c>
      <c r="W36" s="382" t="s">
        <v>371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371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364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140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376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377</v>
      </c>
      <c r="N46" s="307"/>
      <c r="O46" s="307"/>
      <c r="P46" s="307"/>
      <c r="Q46" s="307"/>
      <c r="R46" s="307"/>
      <c r="S46" s="307"/>
      <c r="T46" s="307"/>
      <c r="V46" s="4" t="s">
        <v>480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485</v>
      </c>
      <c r="V47" s="481" t="s">
        <v>484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482</v>
      </c>
      <c r="V48" s="481" t="s">
        <v>483</v>
      </c>
    </row>
    <row r="49" spans="2:31">
      <c r="B49" s="403" t="s">
        <v>226</v>
      </c>
      <c r="D49" s="121" t="s">
        <v>114</v>
      </c>
      <c r="E49" s="192"/>
      <c r="F49" s="192"/>
      <c r="G49" s="192"/>
      <c r="H49" s="122"/>
      <c r="J49" s="121" t="s">
        <v>374</v>
      </c>
      <c r="K49" s="122" t="s">
        <v>375</v>
      </c>
      <c r="M49" s="121" t="s">
        <v>114</v>
      </c>
      <c r="N49" s="192"/>
      <c r="O49" s="192"/>
      <c r="P49" s="192"/>
      <c r="Q49" s="122"/>
      <c r="S49" s="121" t="s">
        <v>374</v>
      </c>
      <c r="T49" s="122" t="s">
        <v>375</v>
      </c>
      <c r="V49" s="403" t="s">
        <v>226</v>
      </c>
      <c r="W49" s="439"/>
      <c r="X49" s="121" t="s">
        <v>114</v>
      </c>
      <c r="Y49" s="192"/>
      <c r="Z49" s="192"/>
      <c r="AA49" s="192"/>
      <c r="AB49" s="122"/>
      <c r="AC49" s="439"/>
      <c r="AD49" s="121" t="s">
        <v>374</v>
      </c>
      <c r="AE49" s="122" t="s">
        <v>375</v>
      </c>
    </row>
    <row r="50" spans="2:31">
      <c r="B50" s="404" t="s">
        <v>373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373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68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68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486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140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491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490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493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226</v>
      </c>
      <c r="C99" s="439"/>
      <c r="D99" s="439"/>
      <c r="E99" s="121" t="s">
        <v>114</v>
      </c>
      <c r="F99" s="122"/>
      <c r="H99" s="122" t="s">
        <v>489</v>
      </c>
      <c r="I99" s="121" t="s">
        <v>488</v>
      </c>
      <c r="J99" s="121" t="s">
        <v>68</v>
      </c>
      <c r="K99" s="439"/>
      <c r="L99" s="403" t="s">
        <v>226</v>
      </c>
      <c r="M99" s="439"/>
      <c r="N99" s="439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403" t="s">
        <v>226</v>
      </c>
      <c r="X99" s="439"/>
      <c r="Y99" s="439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>
      <c r="B100" s="404" t="s">
        <v>373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373</v>
      </c>
      <c r="M100" s="439"/>
      <c r="N100" s="439"/>
      <c r="O100" s="548" t="s">
        <v>466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373</v>
      </c>
      <c r="X100" s="439"/>
      <c r="Y100" s="439"/>
      <c r="Z100" s="548" t="s">
        <v>492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487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487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487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48" priority="106" stopIfTrue="1" operator="equal">
      <formula>"ERROR"</formula>
    </cfRule>
    <cfRule type="cellIs" dxfId="647" priority="107" stopIfTrue="1" operator="equal">
      <formula>"OK"</formula>
    </cfRule>
    <cfRule type="cellIs" dxfId="646" priority="108" stopIfTrue="1" operator="equal">
      <formula>"WARNING"</formula>
    </cfRule>
  </conditionalFormatting>
  <conditionalFormatting sqref="C4">
    <cfRule type="cellIs" dxfId="645" priority="103" stopIfTrue="1" operator="equal">
      <formula>"ERROR"</formula>
    </cfRule>
    <cfRule type="cellIs" dxfId="644" priority="104" stopIfTrue="1" operator="equal">
      <formula>"OK"</formula>
    </cfRule>
    <cfRule type="cellIs" dxfId="643" priority="105" stopIfTrue="1" operator="equal">
      <formula>"WARNING"</formula>
    </cfRule>
  </conditionalFormatting>
  <conditionalFormatting sqref="C15">
    <cfRule type="cellIs" dxfId="642" priority="100" stopIfTrue="1" operator="equal">
      <formula>"ERROR"</formula>
    </cfRule>
  </conditionalFormatting>
  <conditionalFormatting sqref="C15">
    <cfRule type="cellIs" dxfId="641" priority="101" stopIfTrue="1" operator="equal">
      <formula>"OK"</formula>
    </cfRule>
  </conditionalFormatting>
  <conditionalFormatting sqref="C15">
    <cfRule type="cellIs" dxfId="640" priority="102" stopIfTrue="1" operator="equal">
      <formula>"WARNING"</formula>
    </cfRule>
  </conditionalFormatting>
  <conditionalFormatting sqref="L20:N22">
    <cfRule type="cellIs" dxfId="639" priority="109" stopIfTrue="1" operator="equal">
      <formula>"ERROR"</formula>
    </cfRule>
    <cfRule type="cellIs" dxfId="638" priority="110" stopIfTrue="1" operator="equal">
      <formula>"OK"</formula>
    </cfRule>
    <cfRule type="cellIs" dxfId="637" priority="111" stopIfTrue="1" operator="equal">
      <formula>"WARNING"</formula>
    </cfRule>
  </conditionalFormatting>
  <conditionalFormatting sqref="E9">
    <cfRule type="cellIs" dxfId="636" priority="61" stopIfTrue="1" operator="equal">
      <formula>"ERROR"</formula>
    </cfRule>
    <cfRule type="cellIs" dxfId="635" priority="62" stopIfTrue="1" operator="equal">
      <formula>"OK"</formula>
    </cfRule>
    <cfRule type="cellIs" dxfId="634" priority="63" stopIfTrue="1" operator="equal">
      <formula>"WARNING"</formula>
    </cfRule>
  </conditionalFormatting>
  <conditionalFormatting sqref="Z20">
    <cfRule type="cellIs" dxfId="633" priority="58" stopIfTrue="1" operator="equal">
      <formula>"ERROR"</formula>
    </cfRule>
    <cfRule type="cellIs" dxfId="632" priority="59" stopIfTrue="1" operator="equal">
      <formula>"OK"</formula>
    </cfRule>
    <cfRule type="cellIs" dxfId="631" priority="60" stopIfTrue="1" operator="equal">
      <formula>"WARNING"</formula>
    </cfRule>
  </conditionalFormatting>
  <conditionalFormatting sqref="AL20">
    <cfRule type="cellIs" dxfId="630" priority="55" stopIfTrue="1" operator="equal">
      <formula>"ERROR"</formula>
    </cfRule>
    <cfRule type="cellIs" dxfId="629" priority="56" stopIfTrue="1" operator="equal">
      <formula>"OK"</formula>
    </cfRule>
    <cfRule type="cellIs" dxfId="628" priority="57" stopIfTrue="1" operator="equal">
      <formula>"WARNING"</formula>
    </cfRule>
  </conditionalFormatting>
  <conditionalFormatting sqref="AZ20">
    <cfRule type="cellIs" dxfId="627" priority="52" stopIfTrue="1" operator="equal">
      <formula>"ERROR"</formula>
    </cfRule>
    <cfRule type="cellIs" dxfId="626" priority="53" stopIfTrue="1" operator="equal">
      <formula>"OK"</formula>
    </cfRule>
    <cfRule type="cellIs" dxfId="625" priority="54" stopIfTrue="1" operator="equal">
      <formula>"WARNING"</formula>
    </cfRule>
  </conditionalFormatting>
  <conditionalFormatting sqref="C28">
    <cfRule type="cellIs" dxfId="624" priority="46" stopIfTrue="1" operator="equal">
      <formula>"ERROR"</formula>
    </cfRule>
  </conditionalFormatting>
  <conditionalFormatting sqref="C28">
    <cfRule type="cellIs" dxfId="623" priority="47" stopIfTrue="1" operator="equal">
      <formula>"OK"</formula>
    </cfRule>
  </conditionalFormatting>
  <conditionalFormatting sqref="C28">
    <cfRule type="cellIs" dxfId="622" priority="48" stopIfTrue="1" operator="equal">
      <formula>"WARNING"</formula>
    </cfRule>
  </conditionalFormatting>
  <conditionalFormatting sqref="L34:M35">
    <cfRule type="cellIs" dxfId="621" priority="49" stopIfTrue="1" operator="equal">
      <formula>"ERROR"</formula>
    </cfRule>
    <cfRule type="cellIs" dxfId="620" priority="50" stopIfTrue="1" operator="equal">
      <formula>"OK"</formula>
    </cfRule>
    <cfRule type="cellIs" dxfId="619" priority="51" stopIfTrue="1" operator="equal">
      <formula>"WARNING"</formula>
    </cfRule>
  </conditionalFormatting>
  <conditionalFormatting sqref="AB34:AD36">
    <cfRule type="cellIs" dxfId="618" priority="34" stopIfTrue="1" operator="equal">
      <formula>"ERROR"</formula>
    </cfRule>
    <cfRule type="cellIs" dxfId="617" priority="35" stopIfTrue="1" operator="equal">
      <formula>"OK"</formula>
    </cfRule>
    <cfRule type="cellIs" dxfId="616" priority="36" stopIfTrue="1" operator="equal">
      <formula>"WARNING"</formula>
    </cfRule>
  </conditionalFormatting>
  <conditionalFormatting sqref="C44">
    <cfRule type="cellIs" dxfId="615" priority="31" stopIfTrue="1" operator="equal">
      <formula>"ERROR"</formula>
    </cfRule>
  </conditionalFormatting>
  <conditionalFormatting sqref="C44">
    <cfRule type="cellIs" dxfId="614" priority="32" stopIfTrue="1" operator="equal">
      <formula>"OK"</formula>
    </cfRule>
  </conditionalFormatting>
  <conditionalFormatting sqref="C44">
    <cfRule type="cellIs" dxfId="613" priority="33" stopIfTrue="1" operator="equal">
      <formula>"WARNING"</formula>
    </cfRule>
  </conditionalFormatting>
  <conditionalFormatting sqref="J53:K53">
    <cfRule type="cellIs" dxfId="612" priority="28" stopIfTrue="1" operator="equal">
      <formula>"ERROR"</formula>
    </cfRule>
    <cfRule type="cellIs" dxfId="611" priority="29" stopIfTrue="1" operator="equal">
      <formula>"OK"</formula>
    </cfRule>
    <cfRule type="cellIs" dxfId="610" priority="30" stopIfTrue="1" operator="equal">
      <formula>"WARNING"</formula>
    </cfRule>
  </conditionalFormatting>
  <conditionalFormatting sqref="S53:T53">
    <cfRule type="cellIs" dxfId="609" priority="25" stopIfTrue="1" operator="equal">
      <formula>"ERROR"</formula>
    </cfRule>
    <cfRule type="cellIs" dxfId="608" priority="26" stopIfTrue="1" operator="equal">
      <formula>"OK"</formula>
    </cfRule>
    <cfRule type="cellIs" dxfId="607" priority="27" stopIfTrue="1" operator="equal">
      <formula>"WARNING"</formula>
    </cfRule>
  </conditionalFormatting>
  <conditionalFormatting sqref="AD53:AE53">
    <cfRule type="cellIs" dxfId="606" priority="16" stopIfTrue="1" operator="equal">
      <formula>"ERROR"</formula>
    </cfRule>
    <cfRule type="cellIs" dxfId="605" priority="17" stopIfTrue="1" operator="equal">
      <formula>"OK"</formula>
    </cfRule>
    <cfRule type="cellIs" dxfId="604" priority="18" stopIfTrue="1" operator="equal">
      <formula>"WARNING"</formula>
    </cfRule>
  </conditionalFormatting>
  <conditionalFormatting sqref="C95">
    <cfRule type="cellIs" dxfId="603" priority="13" stopIfTrue="1" operator="equal">
      <formula>"ERROR"</formula>
    </cfRule>
  </conditionalFormatting>
  <conditionalFormatting sqref="C95">
    <cfRule type="cellIs" dxfId="602" priority="14" stopIfTrue="1" operator="equal">
      <formula>"OK"</formula>
    </cfRule>
  </conditionalFormatting>
  <conditionalFormatting sqref="C95">
    <cfRule type="cellIs" dxfId="601" priority="15" stopIfTrue="1" operator="equal">
      <formula>"WARNING"</formula>
    </cfRule>
  </conditionalFormatting>
  <conditionalFormatting sqref="S103 U100">
    <cfRule type="cellIs" dxfId="600" priority="7" stopIfTrue="1" operator="equal">
      <formula>"ERROR"</formula>
    </cfRule>
    <cfRule type="cellIs" dxfId="599" priority="8" stopIfTrue="1" operator="equal">
      <formula>"OK"</formula>
    </cfRule>
    <cfRule type="cellIs" dxfId="598" priority="9" stopIfTrue="1" operator="equal">
      <formula>"WARNING"</formula>
    </cfRule>
  </conditionalFormatting>
  <conditionalFormatting sqref="E10">
    <cfRule type="cellIs" dxfId="597" priority="4" stopIfTrue="1" operator="equal">
      <formula>"ERROR"</formula>
    </cfRule>
    <cfRule type="cellIs" dxfId="596" priority="5" stopIfTrue="1" operator="equal">
      <formula>"OK"</formula>
    </cfRule>
    <cfRule type="cellIs" dxfId="595" priority="6" stopIfTrue="1" operator="equal">
      <formula>"WARNING"</formula>
    </cfRule>
  </conditionalFormatting>
  <conditionalFormatting sqref="AD103 AJ100">
    <cfRule type="cellIs" dxfId="594" priority="1" stopIfTrue="1" operator="equal">
      <formula>"ERROR"</formula>
    </cfRule>
    <cfRule type="cellIs" dxfId="593" priority="2" stopIfTrue="1" operator="equal">
      <formula>"OK"</formula>
    </cfRule>
    <cfRule type="cellIs" dxfId="59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393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419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419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419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419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420</v>
      </c>
      <c r="C18" s="126">
        <v>100</v>
      </c>
      <c r="D18" s="298"/>
      <c r="K18" s="442" t="s">
        <v>420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420</v>
      </c>
      <c r="V18" s="126">
        <v>100</v>
      </c>
      <c r="W18" s="298"/>
      <c r="AD18" s="442" t="s">
        <v>420</v>
      </c>
      <c r="AE18" s="126">
        <v>100</v>
      </c>
      <c r="AF18" s="298"/>
    </row>
    <row r="19" spans="2:37">
      <c r="B19" s="442" t="s">
        <v>429</v>
      </c>
      <c r="C19" s="126">
        <v>0.1</v>
      </c>
      <c r="D19" s="298"/>
      <c r="K19" s="442" t="s">
        <v>429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429</v>
      </c>
      <c r="V19" s="126">
        <v>0.1</v>
      </c>
      <c r="W19" s="298"/>
      <c r="AD19" s="442" t="s">
        <v>429</v>
      </c>
      <c r="AE19" s="126">
        <v>0.1</v>
      </c>
      <c r="AF19" s="298"/>
    </row>
    <row r="20" spans="2:37">
      <c r="B20" s="442" t="s">
        <v>428</v>
      </c>
      <c r="C20" s="126">
        <v>0.03</v>
      </c>
      <c r="D20" s="298"/>
      <c r="E20" s="299"/>
      <c r="K20" s="442" t="s">
        <v>428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506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428</v>
      </c>
      <c r="V20" s="126">
        <v>0.03</v>
      </c>
      <c r="W20" s="298"/>
      <c r="AD20" s="442" t="s">
        <v>428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F24" s="299"/>
      <c r="G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699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516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226</v>
      </c>
      <c r="C31" s="122"/>
      <c r="D31" s="298"/>
      <c r="E31" s="121" t="s">
        <v>66</v>
      </c>
      <c r="F31" s="121" t="s">
        <v>422</v>
      </c>
      <c r="G31" s="121" t="s">
        <v>423</v>
      </c>
      <c r="H31" s="192" t="s">
        <v>67</v>
      </c>
      <c r="I31" s="122" t="s">
        <v>68</v>
      </c>
    </row>
    <row r="32" spans="2:37">
      <c r="B32" s="441" t="s">
        <v>700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>
      <c r="B33" s="442" t="s">
        <v>397</v>
      </c>
      <c r="C33" s="313">
        <f>EDATE(C32,12)</f>
        <v>45382</v>
      </c>
      <c r="D33" s="298"/>
      <c r="E33" s="906"/>
      <c r="F33" s="906"/>
      <c r="G33" s="906"/>
      <c r="H33" s="906"/>
      <c r="I33" s="906"/>
    </row>
    <row r="34" spans="2:9" s="54" customFormat="1">
      <c r="B34" s="442" t="s">
        <v>419</v>
      </c>
      <c r="C34" s="126">
        <v>130</v>
      </c>
      <c r="D34" s="676"/>
    </row>
    <row r="35" spans="2:9">
      <c r="B35" s="442" t="s">
        <v>420</v>
      </c>
      <c r="C35" s="126">
        <v>100</v>
      </c>
      <c r="D35" s="298"/>
    </row>
    <row r="36" spans="2:9">
      <c r="B36" s="442" t="s">
        <v>429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@@EquityEuropeanOption::09:14:26</v>
      </c>
    </row>
    <row r="37" spans="2:9">
      <c r="B37" s="442" t="s">
        <v>428</v>
      </c>
      <c r="C37" s="126">
        <v>0.03</v>
      </c>
      <c r="E37" s="299"/>
    </row>
    <row r="38" spans="2:9">
      <c r="B38" s="442" t="s">
        <v>73</v>
      </c>
      <c r="C38" s="126">
        <v>0.2</v>
      </c>
      <c r="D38" s="298"/>
      <c r="E38" s="299"/>
    </row>
    <row r="39" spans="2:9">
      <c r="B39" s="442" t="s">
        <v>215</v>
      </c>
      <c r="C39" s="126" t="s">
        <v>54</v>
      </c>
      <c r="D39" s="298"/>
      <c r="E39" s="907" t="str" cm="1">
        <f t="array" ref="E39:F41">_xll.d.Equity_GetPrice(E36, TRUE)</f>
        <v>Price</v>
      </c>
      <c r="F39" s="439">
        <v>36.117493907875513</v>
      </c>
    </row>
    <row r="40" spans="2:9">
      <c r="B40" s="442" t="s">
        <v>701</v>
      </c>
      <c r="C40" s="126" t="s">
        <v>259</v>
      </c>
      <c r="D40" s="298"/>
      <c r="E40" s="299" t="str">
        <v>Delta</v>
      </c>
      <c r="F40" s="439">
        <v>0.9323765968934391</v>
      </c>
    </row>
    <row r="41" spans="2:9">
      <c r="B41" s="442" t="s">
        <v>418</v>
      </c>
      <c r="C41" s="126" t="s">
        <v>425</v>
      </c>
      <c r="D41" s="298"/>
      <c r="E41" s="299" t="str">
        <v>Vega</v>
      </c>
      <c r="F41" s="907">
        <v>10.696836617978546</v>
      </c>
      <c r="G41" s="299"/>
    </row>
    <row r="42" spans="2:9">
      <c r="B42" s="443" t="s">
        <v>424</v>
      </c>
      <c r="C42" s="128" t="s">
        <v>426</v>
      </c>
    </row>
  </sheetData>
  <conditionalFormatting sqref="D7">
    <cfRule type="cellIs" dxfId="591" priority="55" stopIfTrue="1" operator="equal">
      <formula>"ERROR"</formula>
    </cfRule>
    <cfRule type="cellIs" dxfId="590" priority="56" stopIfTrue="1" operator="equal">
      <formula>"OK"</formula>
    </cfRule>
    <cfRule type="cellIs" dxfId="589" priority="57" stopIfTrue="1" operator="equal">
      <formula>"WARNING"</formula>
    </cfRule>
  </conditionalFormatting>
  <conditionalFormatting sqref="C4">
    <cfRule type="cellIs" dxfId="588" priority="52" stopIfTrue="1" operator="equal">
      <formula>"ERROR"</formula>
    </cfRule>
    <cfRule type="cellIs" dxfId="587" priority="53" stopIfTrue="1" operator="equal">
      <formula>"OK"</formula>
    </cfRule>
    <cfRule type="cellIs" dxfId="586" priority="54" stopIfTrue="1" operator="equal">
      <formula>"WARNING"</formula>
    </cfRule>
  </conditionalFormatting>
  <conditionalFormatting sqref="C12">
    <cfRule type="cellIs" dxfId="585" priority="49" stopIfTrue="1" operator="equal">
      <formula>"ERROR"</formula>
    </cfRule>
  </conditionalFormatting>
  <conditionalFormatting sqref="C12">
    <cfRule type="cellIs" dxfId="584" priority="50" stopIfTrue="1" operator="equal">
      <formula>"OK"</formula>
    </cfRule>
  </conditionalFormatting>
  <conditionalFormatting sqref="C12">
    <cfRule type="cellIs" dxfId="583" priority="51" stopIfTrue="1" operator="equal">
      <formula>"WARNING"</formula>
    </cfRule>
  </conditionalFormatting>
  <conditionalFormatting sqref="I17:J17 T17">
    <cfRule type="cellIs" dxfId="582" priority="61" stopIfTrue="1" operator="equal">
      <formula>"ERROR"</formula>
    </cfRule>
    <cfRule type="cellIs" dxfId="581" priority="62" stopIfTrue="1" operator="equal">
      <formula>"OK"</formula>
    </cfRule>
    <cfRule type="cellIs" dxfId="580" priority="63" stopIfTrue="1" operator="equal">
      <formula>"WARNING"</formula>
    </cfRule>
  </conditionalFormatting>
  <conditionalFormatting sqref="AB17">
    <cfRule type="cellIs" dxfId="579" priority="37" stopIfTrue="1" operator="equal">
      <formula>"ERROR"</formula>
    </cfRule>
    <cfRule type="cellIs" dxfId="578" priority="38" stopIfTrue="1" operator="equal">
      <formula>"OK"</formula>
    </cfRule>
    <cfRule type="cellIs" dxfId="577" priority="39" stopIfTrue="1" operator="equal">
      <formula>"WARNING"</formula>
    </cfRule>
  </conditionalFormatting>
  <conditionalFormatting sqref="AK17">
    <cfRule type="cellIs" dxfId="576" priority="31" stopIfTrue="1" operator="equal">
      <formula>"ERROR"</formula>
    </cfRule>
    <cfRule type="cellIs" dxfId="575" priority="32" stopIfTrue="1" operator="equal">
      <formula>"OK"</formula>
    </cfRule>
    <cfRule type="cellIs" dxfId="574" priority="33" stopIfTrue="1" operator="equal">
      <formula>"WARNING"</formula>
    </cfRule>
  </conditionalFormatting>
  <conditionalFormatting sqref="R17:S20">
    <cfRule type="cellIs" dxfId="573" priority="25" stopIfTrue="1" operator="equal">
      <formula>"ERROR"</formula>
    </cfRule>
    <cfRule type="cellIs" dxfId="572" priority="26" stopIfTrue="1" operator="equal">
      <formula>"OK"</formula>
    </cfRule>
    <cfRule type="cellIs" dxfId="571" priority="27" stopIfTrue="1" operator="equal">
      <formula>"WARNING"</formula>
    </cfRule>
  </conditionalFormatting>
  <conditionalFormatting sqref="I32:I33">
    <cfRule type="cellIs" dxfId="570" priority="1" stopIfTrue="1" operator="equal">
      <formula>"ERROR"</formula>
    </cfRule>
    <cfRule type="cellIs" dxfId="569" priority="2" stopIfTrue="1" operator="equal">
      <formula>"OK"</formula>
    </cfRule>
    <cfRule type="cellIs" dxfId="568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387</v>
      </c>
    </row>
    <row r="2" spans="1:65" ht="26.25">
      <c r="B2" s="2" t="s">
        <v>392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210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394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140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411</v>
      </c>
      <c r="C14" s="307"/>
      <c r="D14" s="307"/>
      <c r="E14" s="307"/>
      <c r="F14" s="307"/>
      <c r="G14" s="307"/>
      <c r="H14" s="307"/>
      <c r="I14" s="417"/>
      <c r="J14" s="4" t="s">
        <v>412</v>
      </c>
      <c r="K14" s="4"/>
      <c r="L14" s="4"/>
      <c r="M14" s="417"/>
      <c r="N14" s="4" t="s">
        <v>415</v>
      </c>
      <c r="O14" s="307"/>
      <c r="P14" s="307"/>
      <c r="Q14" s="307"/>
      <c r="R14" s="307"/>
      <c r="S14" s="307"/>
      <c r="T14" s="417"/>
      <c r="U14" s="4" t="s">
        <v>416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58" t="s">
        <v>698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226</v>
      </c>
      <c r="C16" s="122"/>
      <c r="E16" s="121" t="s">
        <v>114</v>
      </c>
      <c r="F16" s="121" t="s">
        <v>404</v>
      </c>
      <c r="G16" s="121" t="s">
        <v>228</v>
      </c>
      <c r="H16" s="121" t="s">
        <v>68</v>
      </c>
      <c r="I16" s="417"/>
      <c r="J16" s="438" t="s">
        <v>570</v>
      </c>
      <c r="K16" s="417"/>
      <c r="L16" s="417"/>
      <c r="M16" s="417"/>
      <c r="N16" s="121" t="s">
        <v>226</v>
      </c>
      <c r="O16" s="122"/>
      <c r="P16" s="417"/>
      <c r="Q16" s="121" t="s">
        <v>114</v>
      </c>
      <c r="R16" s="121" t="s">
        <v>228</v>
      </c>
      <c r="S16" s="121" t="s">
        <v>68</v>
      </c>
      <c r="T16" s="417"/>
      <c r="U16" s="121" t="s">
        <v>226</v>
      </c>
      <c r="V16" s="122"/>
      <c r="W16" s="417"/>
      <c r="X16" s="121" t="s">
        <v>114</v>
      </c>
      <c r="Y16" s="121" t="s">
        <v>228</v>
      </c>
      <c r="Z16" s="121" t="s">
        <v>68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396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571</v>
      </c>
      <c r="K17" s="417"/>
      <c r="L17" s="417"/>
      <c r="M17" s="417"/>
      <c r="N17" s="123" t="s">
        <v>396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414</v>
      </c>
      <c r="S17" s="310" t="str" cm="1">
        <f t="array" ref="S17">_xll.d.TestUtils_Equal(Q17,R17)</f>
        <v>Ok</v>
      </c>
      <c r="T17" s="417"/>
      <c r="U17" s="123" t="s">
        <v>396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417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397</v>
      </c>
      <c r="C18" s="313">
        <v>45930</v>
      </c>
      <c r="E18" s="298"/>
      <c r="F18" s="858" t="s">
        <v>660</v>
      </c>
      <c r="I18" s="417"/>
      <c r="J18" s="417"/>
      <c r="K18" s="417"/>
      <c r="L18" s="417"/>
      <c r="M18" s="417"/>
      <c r="N18" s="125" t="s">
        <v>397</v>
      </c>
      <c r="O18" s="313">
        <v>45930</v>
      </c>
      <c r="P18" s="417"/>
      <c r="Q18" s="298"/>
      <c r="R18" s="417"/>
      <c r="S18" s="417"/>
      <c r="T18" s="417"/>
      <c r="U18" s="125" t="s">
        <v>397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405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405</v>
      </c>
      <c r="O19" s="436">
        <f>C19</f>
        <v>250</v>
      </c>
      <c r="P19" s="417"/>
      <c r="Q19" s="417"/>
      <c r="R19" s="417"/>
      <c r="S19" s="417"/>
      <c r="T19" s="417"/>
      <c r="U19" s="125" t="s">
        <v>405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406</v>
      </c>
      <c r="C20" s="313" t="s">
        <v>427</v>
      </c>
      <c r="N20" s="125" t="s">
        <v>406</v>
      </c>
      <c r="O20" s="313" t="s">
        <v>413</v>
      </c>
      <c r="U20" s="125" t="s">
        <v>406</v>
      </c>
      <c r="V20" s="313" t="s">
        <v>407</v>
      </c>
    </row>
    <row r="21" spans="2:65" s="417" customFormat="1">
      <c r="B21" s="432" t="s">
        <v>395</v>
      </c>
      <c r="C21" s="433">
        <v>0.97</v>
      </c>
      <c r="N21" s="432" t="s">
        <v>395</v>
      </c>
      <c r="O21" s="433">
        <v>0.97</v>
      </c>
      <c r="U21" s="432" t="s">
        <v>395</v>
      </c>
      <c r="V21" s="433">
        <v>0.97</v>
      </c>
    </row>
    <row r="22" spans="2:65" s="417" customFormat="1"/>
    <row r="23" spans="2:65" s="417" customFormat="1"/>
    <row r="24" spans="2:65">
      <c r="B24" s="418" t="s">
        <v>398</v>
      </c>
      <c r="C24" s="419" t="s">
        <v>399</v>
      </c>
      <c r="D24" s="419" t="s">
        <v>400</v>
      </c>
      <c r="E24" s="419" t="s">
        <v>401</v>
      </c>
      <c r="F24" s="419" t="s">
        <v>402</v>
      </c>
      <c r="G24" s="417"/>
      <c r="J24" s="417"/>
      <c r="K24" s="417"/>
      <c r="L24" s="417"/>
      <c r="M24" s="417"/>
    </row>
    <row r="25" spans="2:65">
      <c r="B25" s="420" t="s">
        <v>403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403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403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403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403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403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403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403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403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403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403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403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403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403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403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403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403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403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403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403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403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403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403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403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403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403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403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403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403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403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403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403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403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403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403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403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403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403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403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403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403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403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403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403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403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403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403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403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403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403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403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403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403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403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403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403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403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403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403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403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403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403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403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403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403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403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403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403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403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403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403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403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403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403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403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403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403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403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403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403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403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403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403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403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403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403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403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403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403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403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403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403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403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403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403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403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403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403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403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403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403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403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403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403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403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403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403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403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403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403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403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403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403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403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403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403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403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403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403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403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403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403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403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403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403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403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403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403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403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403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403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403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403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403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403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403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403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403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403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403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403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403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403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403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403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403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403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403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403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403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403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403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403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403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403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403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403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403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403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403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403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403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403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403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403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403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403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403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403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403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403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403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403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403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403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403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403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403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403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403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403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403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403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403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403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403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403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403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403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403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403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403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403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403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403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403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403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403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403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403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403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403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403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403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403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403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403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403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403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403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403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403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403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403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403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403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403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403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403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403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403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403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403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403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403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403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403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403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403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403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403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403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403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403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403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403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403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403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403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403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403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403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403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403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403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403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403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403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403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403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403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403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403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403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403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403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403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403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403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403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403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403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403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403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403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403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403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403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403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403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403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403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403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403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403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403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403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403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403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403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403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403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403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403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403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403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403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403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403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403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403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403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403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403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403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403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403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403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403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403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403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403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403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403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403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403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403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403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403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403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403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403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403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403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403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403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403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403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403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403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403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403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403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403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403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403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403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403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403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403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403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403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403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403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403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403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403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403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403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403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403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403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403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403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403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403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403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403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403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403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403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403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403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403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403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403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403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403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403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403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403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403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403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403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403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403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403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403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403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403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403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403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403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403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403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403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403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403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403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403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403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403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403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403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403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403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403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403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403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403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403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403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403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403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403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403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403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403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403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403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403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403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403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403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403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403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403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403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403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403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403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403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403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403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403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403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403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403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403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403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403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403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403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403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403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403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403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403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403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403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403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403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403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403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403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403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403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403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403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403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403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403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403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403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403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403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403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403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403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403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403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403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403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403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403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403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403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403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403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403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403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403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403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403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403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403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403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403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403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403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403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403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403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403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403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403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403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403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403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403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403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403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403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403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403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403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403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403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403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403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403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403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403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403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403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403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403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403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403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403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403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403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403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403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403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403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403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403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403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403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403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403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403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403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403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403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403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403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403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403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403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403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403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403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403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403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403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403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403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403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403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403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403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403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403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403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403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403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403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403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403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403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403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403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403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403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403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403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403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403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403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403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403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403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403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403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403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403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403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403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403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403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403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403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403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403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403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403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403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403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403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403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403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403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403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403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403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403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403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403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403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403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403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403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403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403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403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403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403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403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403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403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403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403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403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403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403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403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403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403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403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403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403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403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403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403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403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403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403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403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403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403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403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403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403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403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403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403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403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403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403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403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403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403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403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403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403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403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403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403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403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403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403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403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403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403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403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403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403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403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403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403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403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403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403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403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403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403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403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403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403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403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403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403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403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403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403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403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403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403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403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403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403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403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403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403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403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403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403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403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403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403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403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403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403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403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403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403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403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403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403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403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403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403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403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403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403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403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403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403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403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403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403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403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403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403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403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403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403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403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403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403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403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403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403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403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403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403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403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403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403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403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403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403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403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403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403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403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403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403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403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403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403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403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403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403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403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403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403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403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403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403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403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403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403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403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403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403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403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403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403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403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403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403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403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403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403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403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403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403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403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403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403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403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403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403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403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403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403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403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403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403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403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403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403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403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403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403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403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403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403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403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403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403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403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403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403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403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403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403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403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403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403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403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403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403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403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403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403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403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403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403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403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403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403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403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403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403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403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403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403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403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403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403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403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403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403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403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403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403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403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403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403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403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403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403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403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403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403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403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403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403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403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403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403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403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403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403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403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403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403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403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403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403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403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403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403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403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403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403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403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403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403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403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403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403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403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403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403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403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403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403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403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403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403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403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403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403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403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403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403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403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403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403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403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403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403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403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403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403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403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403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403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403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403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403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403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403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403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403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403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403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403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403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403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403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403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403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403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403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403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403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403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403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403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403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403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403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403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403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403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403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403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403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403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403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403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403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403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403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403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403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403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403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403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403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403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403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403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403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403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403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403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403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403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403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403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403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403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403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403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403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403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403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403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403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403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403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403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403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403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403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403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403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403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403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403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403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403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403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403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403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403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403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403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403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403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403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403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403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403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403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403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403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403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403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403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403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403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403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403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403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403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403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403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403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403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403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403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403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403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403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403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403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403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403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403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403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403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403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403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403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403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403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403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403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403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403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403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403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403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403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403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403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403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403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403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403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403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403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403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403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403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403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403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403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403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403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403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403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403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403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403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403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403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403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403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403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403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403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403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403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403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403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403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403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403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403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403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403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403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403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403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403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403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403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403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403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403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403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403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403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403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403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403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403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403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403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403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403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403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403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403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403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403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403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403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403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403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403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403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403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403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403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403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403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403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403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403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403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403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403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403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403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403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403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403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403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403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403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403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403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403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403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403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403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403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403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403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403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403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403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403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403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403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403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403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403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403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403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403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403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403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403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403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403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403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403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403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403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403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403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403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403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403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403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403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403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403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403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403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403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403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403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403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403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403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403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403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403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403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403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403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403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403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403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403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403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403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403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403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403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403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403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403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403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403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403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403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403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403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403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403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403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403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403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403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403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403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403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403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403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403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403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403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403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403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403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403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403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403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403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403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403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403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403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403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403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403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403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403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403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403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403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403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403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403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403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403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403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403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403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403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403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403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403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403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403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403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403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403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403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403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403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403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403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403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403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403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403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403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403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403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403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403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403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403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403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403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403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403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403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403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403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403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403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403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403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403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403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403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403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403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403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403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403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403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403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403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67" priority="55" stopIfTrue="1" operator="equal">
      <formula>"ERROR"</formula>
    </cfRule>
    <cfRule type="cellIs" dxfId="566" priority="56" stopIfTrue="1" operator="equal">
      <formula>"OK"</formula>
    </cfRule>
    <cfRule type="cellIs" dxfId="565" priority="57" stopIfTrue="1" operator="equal">
      <formula>"WARNING"</formula>
    </cfRule>
  </conditionalFormatting>
  <conditionalFormatting sqref="C4">
    <cfRule type="cellIs" dxfId="564" priority="52" stopIfTrue="1" operator="equal">
      <formula>"ERROR"</formula>
    </cfRule>
    <cfRule type="cellIs" dxfId="563" priority="53" stopIfTrue="1" operator="equal">
      <formula>"OK"</formula>
    </cfRule>
    <cfRule type="cellIs" dxfId="562" priority="54" stopIfTrue="1" operator="equal">
      <formula>"WARNING"</formula>
    </cfRule>
  </conditionalFormatting>
  <conditionalFormatting sqref="H17">
    <cfRule type="cellIs" dxfId="561" priority="58" stopIfTrue="1" operator="equal">
      <formula>"ERROR"</formula>
    </cfRule>
    <cfRule type="cellIs" dxfId="560" priority="59" stopIfTrue="1" operator="equal">
      <formula>"OK"</formula>
    </cfRule>
    <cfRule type="cellIs" dxfId="559" priority="60" stopIfTrue="1" operator="equal">
      <formula>"WARNING"</formula>
    </cfRule>
  </conditionalFormatting>
  <conditionalFormatting sqref="C12">
    <cfRule type="cellIs" dxfId="558" priority="46" stopIfTrue="1" operator="equal">
      <formula>"ERROR"</formula>
    </cfRule>
  </conditionalFormatting>
  <conditionalFormatting sqref="C12">
    <cfRule type="cellIs" dxfId="557" priority="47" stopIfTrue="1" operator="equal">
      <formula>"OK"</formula>
    </cfRule>
  </conditionalFormatting>
  <conditionalFormatting sqref="C12">
    <cfRule type="cellIs" dxfId="556" priority="48" stopIfTrue="1" operator="equal">
      <formula>"WARNING"</formula>
    </cfRule>
  </conditionalFormatting>
  <conditionalFormatting sqref="S17">
    <cfRule type="cellIs" dxfId="555" priority="10" stopIfTrue="1" operator="equal">
      <formula>"ERROR"</formula>
    </cfRule>
    <cfRule type="cellIs" dxfId="554" priority="11" stopIfTrue="1" operator="equal">
      <formula>"OK"</formula>
    </cfRule>
    <cfRule type="cellIs" dxfId="553" priority="12" stopIfTrue="1" operator="equal">
      <formula>"WARNING"</formula>
    </cfRule>
  </conditionalFormatting>
  <conditionalFormatting sqref="Z17">
    <cfRule type="cellIs" dxfId="552" priority="7" stopIfTrue="1" operator="equal">
      <formula>"ERROR"</formula>
    </cfRule>
    <cfRule type="cellIs" dxfId="551" priority="8" stopIfTrue="1" operator="equal">
      <formula>"OK"</formula>
    </cfRule>
    <cfRule type="cellIs" dxfId="550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83" t="s">
        <v>610</v>
      </c>
      <c r="C49" s="784"/>
      <c r="D49" s="971" t="s">
        <v>611</v>
      </c>
      <c r="E49" s="972"/>
      <c r="F49" s="972"/>
      <c r="G49" s="972"/>
      <c r="H49" s="972"/>
      <c r="I49" s="972"/>
      <c r="J49" s="972"/>
      <c r="K49" s="972"/>
      <c r="L49" s="972"/>
      <c r="M49" s="972"/>
      <c r="N49" s="972"/>
      <c r="O49" s="972"/>
      <c r="P49" s="972"/>
      <c r="Q49" s="973"/>
    </row>
    <row r="50" spans="2:17">
      <c r="B50" s="785"/>
      <c r="C50" s="786"/>
      <c r="D50" s="787" t="s">
        <v>612</v>
      </c>
      <c r="E50" s="787" t="s">
        <v>22</v>
      </c>
      <c r="F50" s="787" t="s">
        <v>613</v>
      </c>
      <c r="G50" s="787" t="s">
        <v>0</v>
      </c>
      <c r="H50" s="787" t="s">
        <v>614</v>
      </c>
      <c r="I50" s="787">
        <v>0.1</v>
      </c>
      <c r="J50" s="787">
        <v>0.15</v>
      </c>
      <c r="K50" s="787">
        <v>0.25</v>
      </c>
      <c r="L50" s="787">
        <v>0.35</v>
      </c>
      <c r="M50" s="787">
        <v>0.5</v>
      </c>
      <c r="N50" s="787">
        <v>0.65</v>
      </c>
      <c r="O50" s="787">
        <v>0.75</v>
      </c>
      <c r="P50" s="787">
        <v>0.85</v>
      </c>
      <c r="Q50" s="787">
        <v>0.9</v>
      </c>
    </row>
    <row r="51" spans="2:17">
      <c r="B51" s="974" t="s">
        <v>22</v>
      </c>
      <c r="C51" s="788" t="s">
        <v>615</v>
      </c>
      <c r="D51" s="789" t="s">
        <v>616</v>
      </c>
      <c r="E51" s="790" t="s">
        <v>617</v>
      </c>
      <c r="F51" s="790">
        <v>0</v>
      </c>
      <c r="G51" s="791">
        <v>44271</v>
      </c>
      <c r="H51" s="792">
        <v>0</v>
      </c>
      <c r="I51" s="793">
        <v>0.23735000000000001</v>
      </c>
      <c r="J51" s="793">
        <v>0.23036999999999999</v>
      </c>
      <c r="K51" s="793">
        <v>0.21776000000000001</v>
      </c>
      <c r="L51" s="793">
        <v>0.2089</v>
      </c>
      <c r="M51" s="793">
        <v>0.20050000000000001</v>
      </c>
      <c r="N51" s="793">
        <v>0.19572000000000001</v>
      </c>
      <c r="O51" s="793">
        <v>0.19381000000000001</v>
      </c>
      <c r="P51" s="793">
        <v>0.19347</v>
      </c>
      <c r="Q51" s="794">
        <v>0.19361999999999999</v>
      </c>
    </row>
    <row r="52" spans="2:17">
      <c r="B52" s="975"/>
      <c r="C52" s="795" t="s">
        <v>618</v>
      </c>
      <c r="D52" s="789" t="s">
        <v>619</v>
      </c>
      <c r="E52" s="790" t="s">
        <v>620</v>
      </c>
      <c r="F52" s="790">
        <v>1</v>
      </c>
      <c r="G52" s="791">
        <v>44278</v>
      </c>
      <c r="H52" s="792">
        <v>1.9178082191780823E-2</v>
      </c>
      <c r="I52" s="790">
        <v>0.23735000000000001</v>
      </c>
      <c r="J52" s="790">
        <v>0.23036999999999999</v>
      </c>
      <c r="K52" s="790">
        <v>0.21776000000000001</v>
      </c>
      <c r="L52" s="790">
        <v>0.2089</v>
      </c>
      <c r="M52" s="790">
        <v>0.20050000000000001</v>
      </c>
      <c r="N52" s="790">
        <v>0.19572000000000001</v>
      </c>
      <c r="O52" s="790">
        <v>0.19381000000000001</v>
      </c>
      <c r="P52" s="790">
        <v>0.19347</v>
      </c>
      <c r="Q52" s="796">
        <v>0.19361999999999999</v>
      </c>
    </row>
    <row r="53" spans="2:17">
      <c r="B53" s="975"/>
      <c r="C53" s="795" t="s">
        <v>621</v>
      </c>
      <c r="D53" s="789" t="s">
        <v>619</v>
      </c>
      <c r="E53" s="790" t="s">
        <v>620</v>
      </c>
      <c r="F53" s="790">
        <v>2</v>
      </c>
      <c r="G53" s="791">
        <v>44285</v>
      </c>
      <c r="H53" s="792">
        <v>3.8356164383561646E-2</v>
      </c>
      <c r="I53" s="790">
        <v>0.22594999999999998</v>
      </c>
      <c r="J53" s="790">
        <v>0.21847999999999998</v>
      </c>
      <c r="K53" s="790">
        <v>0.20504</v>
      </c>
      <c r="L53" s="790">
        <v>0.19561000000000001</v>
      </c>
      <c r="M53" s="790">
        <v>0.18652999999999997</v>
      </c>
      <c r="N53" s="790">
        <v>0.18160000000000001</v>
      </c>
      <c r="O53" s="790">
        <v>0.1794</v>
      </c>
      <c r="P53" s="790">
        <v>0.17873999999999998</v>
      </c>
      <c r="Q53" s="796">
        <v>0.17879999999999999</v>
      </c>
    </row>
    <row r="54" spans="2:17">
      <c r="B54" s="975"/>
      <c r="C54" s="795" t="s">
        <v>622</v>
      </c>
      <c r="D54" s="789" t="s">
        <v>619</v>
      </c>
      <c r="E54" s="790" t="s">
        <v>620</v>
      </c>
      <c r="F54" s="790">
        <v>3</v>
      </c>
      <c r="G54" s="791">
        <v>44292</v>
      </c>
      <c r="H54" s="792">
        <v>5.7534246575342465E-2</v>
      </c>
      <c r="I54" s="790">
        <v>0.22193000000000002</v>
      </c>
      <c r="J54" s="790">
        <v>0.21437999999999999</v>
      </c>
      <c r="K54" s="790">
        <v>0.20069999999999999</v>
      </c>
      <c r="L54" s="790">
        <v>0.19102</v>
      </c>
      <c r="M54" s="790">
        <v>0.18158000000000002</v>
      </c>
      <c r="N54" s="790">
        <v>0.17664000000000002</v>
      </c>
      <c r="O54" s="790">
        <v>0.17432999999999998</v>
      </c>
      <c r="P54" s="790">
        <v>0.17348</v>
      </c>
      <c r="Q54" s="796">
        <v>0.17341000000000001</v>
      </c>
    </row>
    <row r="55" spans="2:17">
      <c r="B55" s="975"/>
      <c r="C55" s="795" t="s">
        <v>623</v>
      </c>
      <c r="D55" s="789" t="s">
        <v>624</v>
      </c>
      <c r="E55" s="790" t="s">
        <v>625</v>
      </c>
      <c r="F55" s="790">
        <v>1</v>
      </c>
      <c r="G55" s="791">
        <v>44302</v>
      </c>
      <c r="H55" s="792">
        <v>8.4931506849315067E-2</v>
      </c>
      <c r="I55" s="790">
        <v>0.21949000000000002</v>
      </c>
      <c r="J55" s="790">
        <v>0.21193999999999999</v>
      </c>
      <c r="K55" s="790">
        <v>0.19812000000000002</v>
      </c>
      <c r="L55" s="790">
        <v>0.18825</v>
      </c>
      <c r="M55" s="790">
        <v>0.17850000000000002</v>
      </c>
      <c r="N55" s="790">
        <v>0.17361000000000001</v>
      </c>
      <c r="O55" s="790">
        <v>0.17122000000000001</v>
      </c>
      <c r="P55" s="790">
        <v>0.17024</v>
      </c>
      <c r="Q55" s="796">
        <v>0.17004999999999998</v>
      </c>
    </row>
    <row r="56" spans="2:17">
      <c r="B56" s="975"/>
      <c r="C56" s="795" t="s">
        <v>626</v>
      </c>
      <c r="D56" s="789" t="s">
        <v>624</v>
      </c>
      <c r="E56" s="790" t="s">
        <v>625</v>
      </c>
      <c r="F56" s="790">
        <v>2</v>
      </c>
      <c r="G56" s="791">
        <v>44333</v>
      </c>
      <c r="H56" s="792">
        <v>0.16986301369863013</v>
      </c>
      <c r="I56" s="790">
        <v>0.21809999999999999</v>
      </c>
      <c r="J56" s="790">
        <v>0.21034</v>
      </c>
      <c r="K56" s="790">
        <v>0.19597999999999999</v>
      </c>
      <c r="L56" s="790">
        <v>0.18550999999999998</v>
      </c>
      <c r="M56" s="790">
        <v>0.17475000000000002</v>
      </c>
      <c r="N56" s="790">
        <v>0.16995000000000002</v>
      </c>
      <c r="O56" s="790">
        <v>0.16721</v>
      </c>
      <c r="P56" s="790">
        <v>0.16556999999999999</v>
      </c>
      <c r="Q56" s="796">
        <v>0.16499</v>
      </c>
    </row>
    <row r="57" spans="2:17">
      <c r="B57" s="975"/>
      <c r="C57" s="795" t="s">
        <v>627</v>
      </c>
      <c r="D57" s="789" t="s">
        <v>624</v>
      </c>
      <c r="E57" s="790" t="s">
        <v>625</v>
      </c>
      <c r="F57" s="790">
        <v>3</v>
      </c>
      <c r="G57" s="791">
        <v>44364</v>
      </c>
      <c r="H57" s="792">
        <v>0.25479452054794521</v>
      </c>
      <c r="I57" s="790">
        <v>0.21678999999999998</v>
      </c>
      <c r="J57" s="790">
        <v>0.20879999999999999</v>
      </c>
      <c r="K57" s="790">
        <v>0.19389000000000001</v>
      </c>
      <c r="L57" s="790">
        <v>0.18296999999999999</v>
      </c>
      <c r="M57" s="790">
        <v>0.17149999999999999</v>
      </c>
      <c r="N57" s="790">
        <v>0.16674</v>
      </c>
      <c r="O57" s="790">
        <v>0.16377</v>
      </c>
      <c r="P57" s="790">
        <v>0.16194</v>
      </c>
      <c r="Q57" s="796">
        <v>0.16126000000000001</v>
      </c>
    </row>
    <row r="58" spans="2:17">
      <c r="B58" s="975"/>
      <c r="C58" s="795" t="s">
        <v>628</v>
      </c>
      <c r="D58" s="789" t="s">
        <v>624</v>
      </c>
      <c r="E58" s="790" t="s">
        <v>625</v>
      </c>
      <c r="F58" s="790">
        <v>6</v>
      </c>
      <c r="G58" s="791">
        <v>44455</v>
      </c>
      <c r="H58" s="792">
        <v>0.50410958904109593</v>
      </c>
      <c r="I58" s="790">
        <v>0.21841000000000002</v>
      </c>
      <c r="J58" s="790">
        <v>0.21010999999999999</v>
      </c>
      <c r="K58" s="790">
        <v>0.19431999999999999</v>
      </c>
      <c r="L58" s="790">
        <v>0.18254999999999999</v>
      </c>
      <c r="M58" s="790">
        <v>0.16975000000000001</v>
      </c>
      <c r="N58" s="790">
        <v>0.16550000000000001</v>
      </c>
      <c r="O58" s="790">
        <v>0.16238</v>
      </c>
      <c r="P58" s="790">
        <v>0.16031999999999999</v>
      </c>
      <c r="Q58" s="796">
        <v>0.15953000000000001</v>
      </c>
    </row>
    <row r="59" spans="2:17">
      <c r="B59" s="975"/>
      <c r="C59" s="795" t="s">
        <v>629</v>
      </c>
      <c r="D59" s="789" t="s">
        <v>350</v>
      </c>
      <c r="E59" s="790" t="s">
        <v>630</v>
      </c>
      <c r="F59" s="790">
        <v>1</v>
      </c>
      <c r="G59" s="791">
        <v>44636</v>
      </c>
      <c r="H59" s="792">
        <v>1</v>
      </c>
      <c r="I59" s="790">
        <v>0.21946000000000002</v>
      </c>
      <c r="J59" s="790">
        <v>0.21112999999999998</v>
      </c>
      <c r="K59" s="790">
        <v>0.19488</v>
      </c>
      <c r="L59" s="790">
        <v>0.18240999999999999</v>
      </c>
      <c r="M59" s="790">
        <v>0.16800000000000001</v>
      </c>
      <c r="N59" s="790">
        <v>0.16440000000000002</v>
      </c>
      <c r="O59" s="790">
        <v>0.16089999999999999</v>
      </c>
      <c r="P59" s="790">
        <v>0.15842000000000001</v>
      </c>
      <c r="Q59" s="796">
        <v>0.15742</v>
      </c>
    </row>
    <row r="60" spans="2:17">
      <c r="B60" s="975"/>
      <c r="C60" s="795" t="s">
        <v>631</v>
      </c>
      <c r="D60" s="797" t="s">
        <v>624</v>
      </c>
      <c r="E60" s="798" t="s">
        <v>625</v>
      </c>
      <c r="F60" s="798">
        <v>18</v>
      </c>
      <c r="G60" s="791">
        <v>44820</v>
      </c>
      <c r="H60" s="792">
        <v>1.5041095890410958</v>
      </c>
      <c r="I60" s="798">
        <v>0.22447</v>
      </c>
      <c r="J60" s="798">
        <v>0.21585000000000001</v>
      </c>
      <c r="K60" s="798">
        <v>0.19878000000000001</v>
      </c>
      <c r="L60" s="798">
        <v>0.18539999999999998</v>
      </c>
      <c r="M60" s="798">
        <v>0.16927</v>
      </c>
      <c r="N60" s="798">
        <v>0.1661</v>
      </c>
      <c r="O60" s="798">
        <v>0.16197</v>
      </c>
      <c r="P60" s="798">
        <v>0.15887000000000001</v>
      </c>
      <c r="Q60" s="799">
        <v>0.15762999999999999</v>
      </c>
    </row>
    <row r="61" spans="2:17">
      <c r="B61" s="975"/>
      <c r="C61" s="800" t="s">
        <v>632</v>
      </c>
      <c r="D61" s="801" t="s">
        <v>350</v>
      </c>
      <c r="E61" s="802" t="s">
        <v>630</v>
      </c>
      <c r="F61" s="802">
        <v>2</v>
      </c>
      <c r="G61" s="803">
        <v>45001</v>
      </c>
      <c r="H61" s="804">
        <v>2</v>
      </c>
      <c r="I61" s="802">
        <v>0.22708999999999999</v>
      </c>
      <c r="J61" s="802">
        <v>0.21848999999999999</v>
      </c>
      <c r="K61" s="802">
        <v>0.2011</v>
      </c>
      <c r="L61" s="802">
        <v>0.18716000000000002</v>
      </c>
      <c r="M61" s="802">
        <v>0.16975000000000001</v>
      </c>
      <c r="N61" s="802">
        <v>0.16710999999999998</v>
      </c>
      <c r="O61" s="802">
        <v>0.16262000000000001</v>
      </c>
      <c r="P61" s="802">
        <v>0.15914</v>
      </c>
      <c r="Q61" s="805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49" priority="16" stopIfTrue="1" operator="equal">
      <formula>"ERROR"</formula>
    </cfRule>
    <cfRule type="cellIs" dxfId="548" priority="17" stopIfTrue="1" operator="equal">
      <formula>"OK"</formula>
    </cfRule>
    <cfRule type="cellIs" dxfId="547" priority="18" stopIfTrue="1" operator="equal">
      <formula>"WARNING"</formula>
    </cfRule>
  </conditionalFormatting>
  <conditionalFormatting sqref="C4">
    <cfRule type="cellIs" dxfId="546" priority="13" stopIfTrue="1" operator="equal">
      <formula>"ERROR"</formula>
    </cfRule>
    <cfRule type="cellIs" dxfId="545" priority="14" stopIfTrue="1" operator="equal">
      <formula>"OK"</formula>
    </cfRule>
    <cfRule type="cellIs" dxfId="544" priority="15" stopIfTrue="1" operator="equal">
      <formula>"WARNING"</formula>
    </cfRule>
  </conditionalFormatting>
  <conditionalFormatting sqref="C12">
    <cfRule type="cellIs" dxfId="543" priority="10" stopIfTrue="1" operator="equal">
      <formula>"ERROR"</formula>
    </cfRule>
  </conditionalFormatting>
  <conditionalFormatting sqref="C12">
    <cfRule type="cellIs" dxfId="542" priority="11" stopIfTrue="1" operator="equal">
      <formula>"OK"</formula>
    </cfRule>
  </conditionalFormatting>
  <conditionalFormatting sqref="C12">
    <cfRule type="cellIs" dxfId="541" priority="12" stopIfTrue="1" operator="equal">
      <formula>"WARNING"</formula>
    </cfRule>
  </conditionalFormatting>
  <conditionalFormatting sqref="I17:J17 T17">
    <cfRule type="cellIs" dxfId="540" priority="19" stopIfTrue="1" operator="equal">
      <formula>"ERROR"</formula>
    </cfRule>
    <cfRule type="cellIs" dxfId="539" priority="20" stopIfTrue="1" operator="equal">
      <formula>"OK"</formula>
    </cfRule>
    <cfRule type="cellIs" dxfId="538" priority="21" stopIfTrue="1" operator="equal">
      <formula>"WARNING"</formula>
    </cfRule>
  </conditionalFormatting>
  <conditionalFormatting sqref="AB17">
    <cfRule type="cellIs" dxfId="537" priority="7" stopIfTrue="1" operator="equal">
      <formula>"ERROR"</formula>
    </cfRule>
    <cfRule type="cellIs" dxfId="536" priority="8" stopIfTrue="1" operator="equal">
      <formula>"OK"</formula>
    </cfRule>
    <cfRule type="cellIs" dxfId="535" priority="9" stopIfTrue="1" operator="equal">
      <formula>"WARNING"</formula>
    </cfRule>
  </conditionalFormatting>
  <conditionalFormatting sqref="AK17">
    <cfRule type="cellIs" dxfId="534" priority="4" stopIfTrue="1" operator="equal">
      <formula>"ERROR"</formula>
    </cfRule>
    <cfRule type="cellIs" dxfId="533" priority="5" stopIfTrue="1" operator="equal">
      <formula>"OK"</formula>
    </cfRule>
    <cfRule type="cellIs" dxfId="532" priority="6" stopIfTrue="1" operator="equal">
      <formula>"WARNING"</formula>
    </cfRule>
  </conditionalFormatting>
  <conditionalFormatting sqref="R17:S21">
    <cfRule type="cellIs" dxfId="531" priority="1" stopIfTrue="1" operator="equal">
      <formula>"ERROR"</formula>
    </cfRule>
    <cfRule type="cellIs" dxfId="530" priority="2" stopIfTrue="1" operator="equal">
      <formula>"OK"</formula>
    </cfRule>
    <cfRule type="cellIs" dxfId="529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666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68">
        <v>0.9</v>
      </c>
      <c r="F30" s="868">
        <v>0.85</v>
      </c>
      <c r="G30" s="868">
        <v>0.8</v>
      </c>
      <c r="H30" s="868">
        <v>0.75</v>
      </c>
      <c r="I30" s="868">
        <v>0.7</v>
      </c>
      <c r="J30" s="868">
        <v>0.65</v>
      </c>
      <c r="K30" s="868">
        <v>0.6</v>
      </c>
      <c r="L30" s="868">
        <v>0.55000000000000004</v>
      </c>
      <c r="M30" s="868">
        <v>0.5</v>
      </c>
      <c r="N30" s="868">
        <v>0.45</v>
      </c>
      <c r="O30" s="868">
        <v>0.4</v>
      </c>
      <c r="P30" s="868">
        <v>0.35</v>
      </c>
      <c r="Q30" s="868">
        <v>0.29999999999999899</v>
      </c>
      <c r="R30" s="868">
        <v>0.249999999999998</v>
      </c>
      <c r="S30" s="868">
        <v>0.19999999999999701</v>
      </c>
      <c r="T30" s="868">
        <v>0.149999999999996</v>
      </c>
      <c r="U30" s="868">
        <v>9.9999999999994996E-2</v>
      </c>
    </row>
    <row r="31" spans="2:37">
      <c r="B31" s="867" t="s">
        <v>615</v>
      </c>
      <c r="C31" s="8" cm="1">
        <f t="array" ref="C31">_xll.d.Dates_AddTenorToDate($B$28,B31,"ZAR","MODFOL")</f>
        <v>45019</v>
      </c>
      <c r="D31" s="869" cm="1">
        <f t="array" ref="D31">_xll.d.Dates_Act360($B$28,C31)</f>
        <v>8.3333333333333332E-3</v>
      </c>
      <c r="E31" s="867">
        <v>5.8049999999999997E-2</v>
      </c>
      <c r="F31" s="867">
        <v>5.6619999999999997E-2</v>
      </c>
      <c r="G31" s="867">
        <v>5.5640000000000002E-2</v>
      </c>
      <c r="H31" s="867">
        <v>5.4900000000000004E-2</v>
      </c>
      <c r="I31" s="867">
        <v>5.4320000000000007E-2</v>
      </c>
      <c r="J31" s="867">
        <v>5.3859999999999998E-2</v>
      </c>
      <c r="K31" s="867">
        <v>5.3499999999999999E-2</v>
      </c>
      <c r="L31" s="867">
        <v>5.3200000000000004E-2</v>
      </c>
      <c r="M31" s="867">
        <v>5.2969999999999996E-2</v>
      </c>
      <c r="N31" s="867">
        <v>5.2809999999999996E-2</v>
      </c>
      <c r="O31" s="867">
        <v>5.2699999999999997E-2</v>
      </c>
      <c r="P31" s="867">
        <v>5.2670000000000002E-2</v>
      </c>
      <c r="Q31" s="867">
        <v>5.2720000000000003E-2</v>
      </c>
      <c r="R31" s="867">
        <v>5.287E-2</v>
      </c>
      <c r="S31" s="867">
        <v>5.3170000000000002E-2</v>
      </c>
      <c r="T31" s="867">
        <v>5.3699999999999998E-2</v>
      </c>
      <c r="U31" s="867">
        <v>5.4699999999999999E-2</v>
      </c>
    </row>
    <row r="32" spans="2:37">
      <c r="B32" s="867" t="s">
        <v>618</v>
      </c>
      <c r="C32" s="8" cm="1">
        <f t="array" ref="C32">_xll.d.Dates_AddTenorToDate($B$28,B32,"ZAR","MODFOL")</f>
        <v>45027</v>
      </c>
      <c r="D32" s="869" cm="1">
        <f t="array" ref="D32">_xll.d.Dates_Act360($B$28,C32)</f>
        <v>3.0555555555555555E-2</v>
      </c>
      <c r="E32" s="867">
        <v>8.5220000000000004E-2</v>
      </c>
      <c r="F32" s="867">
        <v>8.3699999999999997E-2</v>
      </c>
      <c r="G32" s="867">
        <v>8.2650000000000001E-2</v>
      </c>
      <c r="H32" s="867">
        <v>8.1839999999999996E-2</v>
      </c>
      <c r="I32" s="867">
        <v>8.1210000000000004E-2</v>
      </c>
      <c r="J32" s="867">
        <v>8.0690000000000012E-2</v>
      </c>
      <c r="K32" s="867">
        <v>8.0269999999999994E-2</v>
      </c>
      <c r="L32" s="867">
        <v>7.9930000000000001E-2</v>
      </c>
      <c r="M32" s="867">
        <v>7.9660000000000009E-2</v>
      </c>
      <c r="N32" s="867">
        <v>7.9460000000000003E-2</v>
      </c>
      <c r="O32" s="867">
        <v>7.9310000000000005E-2</v>
      </c>
      <c r="P32" s="867">
        <v>7.9240000000000005E-2</v>
      </c>
      <c r="Q32" s="867">
        <v>7.9250000000000001E-2</v>
      </c>
      <c r="R32" s="867">
        <v>7.9369999999999996E-2</v>
      </c>
      <c r="S32" s="867">
        <v>7.9640000000000002E-2</v>
      </c>
      <c r="T32" s="867">
        <v>8.0139999999999989E-2</v>
      </c>
      <c r="U32" s="867">
        <v>8.1089999999999995E-2</v>
      </c>
    </row>
    <row r="33" spans="2:76">
      <c r="B33" s="867" t="s">
        <v>621</v>
      </c>
      <c r="C33" s="8" cm="1">
        <f t="array" ref="C33">_xll.d.Dates_AddTenorToDate($B$28,B33,"ZAR","MODFOL")</f>
        <v>45030</v>
      </c>
      <c r="D33" s="869" cm="1">
        <f t="array" ref="D33">_xll.d.Dates_Act360($B$28,C33)</f>
        <v>3.888888888888889E-2</v>
      </c>
      <c r="E33" s="867">
        <v>9.11E-2</v>
      </c>
      <c r="F33" s="867">
        <v>8.9469999999999994E-2</v>
      </c>
      <c r="G33" s="867">
        <v>8.8249999999999995E-2</v>
      </c>
      <c r="H33" s="867">
        <v>8.727E-2</v>
      </c>
      <c r="I33" s="867">
        <v>8.6449999999999999E-2</v>
      </c>
      <c r="J33" s="867">
        <v>8.5760000000000003E-2</v>
      </c>
      <c r="K33" s="867">
        <v>8.5169999999999996E-2</v>
      </c>
      <c r="L33" s="867">
        <v>8.4680000000000005E-2</v>
      </c>
      <c r="M33" s="867">
        <v>8.43E-2</v>
      </c>
      <c r="N33" s="867">
        <v>8.4010000000000001E-2</v>
      </c>
      <c r="O33" s="867">
        <v>8.3819999999999992E-2</v>
      </c>
      <c r="P33" s="867">
        <v>8.3729999999999999E-2</v>
      </c>
      <c r="Q33" s="867">
        <v>8.3750000000000005E-2</v>
      </c>
      <c r="R33" s="867">
        <v>8.387E-2</v>
      </c>
      <c r="S33" s="867">
        <v>8.410999999999999E-2</v>
      </c>
      <c r="T33" s="867">
        <v>8.4499999999999992E-2</v>
      </c>
      <c r="U33" s="867">
        <v>8.5099999999999995E-2</v>
      </c>
    </row>
    <row r="34" spans="2:76">
      <c r="B34" s="867" t="s">
        <v>623</v>
      </c>
      <c r="C34" s="8" cm="1">
        <f t="array" ref="C34">_xll.d.Dates_AddTenorToDate($B$28,B34,"ZAR","MODFOL")</f>
        <v>45044</v>
      </c>
      <c r="D34" s="869" cm="1">
        <f t="array" ref="D34">_xll.d.Dates_Act360($B$28,C34)</f>
        <v>7.7777777777777779E-2</v>
      </c>
      <c r="E34" s="867">
        <v>8.4700000000000011E-2</v>
      </c>
      <c r="F34" s="867">
        <v>8.2589999999999997E-2</v>
      </c>
      <c r="G34" s="867">
        <v>8.1069999999999989E-2</v>
      </c>
      <c r="H34" s="867">
        <v>7.9880000000000007E-2</v>
      </c>
      <c r="I34" s="867">
        <v>7.893E-2</v>
      </c>
      <c r="J34" s="867">
        <v>7.8140000000000001E-2</v>
      </c>
      <c r="K34" s="867">
        <v>7.7499999999999999E-2</v>
      </c>
      <c r="L34" s="867">
        <v>7.6969999999999997E-2</v>
      </c>
      <c r="M34" s="867">
        <v>7.6550000000000007E-2</v>
      </c>
      <c r="N34" s="867">
        <v>7.6230000000000006E-2</v>
      </c>
      <c r="O34" s="867">
        <v>7.5990000000000002E-2</v>
      </c>
      <c r="P34" s="867">
        <v>7.5850000000000001E-2</v>
      </c>
      <c r="Q34" s="867">
        <v>7.5810000000000002E-2</v>
      </c>
      <c r="R34" s="867">
        <v>7.5880000000000003E-2</v>
      </c>
      <c r="S34" s="867">
        <v>7.6100000000000001E-2</v>
      </c>
      <c r="T34" s="867">
        <v>7.6499999999999999E-2</v>
      </c>
      <c r="U34" s="867">
        <v>7.7199999999999991E-2</v>
      </c>
    </row>
    <row r="35" spans="2:76">
      <c r="B35" s="867" t="s">
        <v>626</v>
      </c>
      <c r="C35" s="8" cm="1">
        <f t="array" ref="C35">_xll.d.Dates_AddTenorToDate($B$28,B35,"ZAR","MODFOL")</f>
        <v>45077</v>
      </c>
      <c r="D35" s="869" cm="1">
        <f t="array" ref="D35">_xll.d.Dates_Act360($B$28,C35)</f>
        <v>0.16944444444444445</v>
      </c>
      <c r="E35" s="867">
        <v>9.0370000000000006E-2</v>
      </c>
      <c r="F35" s="867">
        <v>8.77E-2</v>
      </c>
      <c r="G35" s="867">
        <v>8.5739999999999997E-2</v>
      </c>
      <c r="H35" s="867">
        <v>8.4190000000000001E-2</v>
      </c>
      <c r="I35" s="867">
        <v>8.2919999999999994E-2</v>
      </c>
      <c r="J35" s="867">
        <v>8.1869999999999998E-2</v>
      </c>
      <c r="K35" s="867">
        <v>8.0990000000000006E-2</v>
      </c>
      <c r="L35" s="867">
        <v>8.0259999999999998E-2</v>
      </c>
      <c r="M35" s="867">
        <v>7.9699999999999993E-2</v>
      </c>
      <c r="N35" s="867">
        <v>7.9259999999999997E-2</v>
      </c>
      <c r="O35" s="867">
        <v>7.8920000000000004E-2</v>
      </c>
      <c r="P35" s="867">
        <v>7.8710000000000002E-2</v>
      </c>
      <c r="Q35" s="867">
        <v>7.8630000000000005E-2</v>
      </c>
      <c r="R35" s="867">
        <v>7.8689999999999996E-2</v>
      </c>
      <c r="S35" s="867">
        <v>7.8899999999999998E-2</v>
      </c>
      <c r="T35" s="867">
        <v>7.9310000000000005E-2</v>
      </c>
      <c r="U35" s="867">
        <v>8.0020000000000008E-2</v>
      </c>
    </row>
    <row r="36" spans="2:76">
      <c r="B36" s="867" t="s">
        <v>627</v>
      </c>
      <c r="C36" s="8" cm="1">
        <f t="array" ref="C36">_xll.d.Dates_AddTenorToDate($B$28,B36,"ZAR","MODFOL")</f>
        <v>45107</v>
      </c>
      <c r="D36" s="869" cm="1">
        <f t="array" ref="D36">_xll.d.Dates_Act360($B$28,C36)</f>
        <v>0.25277777777777777</v>
      </c>
      <c r="E36" s="867">
        <v>9.2950000000000005E-2</v>
      </c>
      <c r="F36" s="867">
        <v>8.9540000000000008E-2</v>
      </c>
      <c r="G36" s="867">
        <v>8.7120000000000003E-2</v>
      </c>
      <c r="H36" s="867">
        <v>8.5260000000000002E-2</v>
      </c>
      <c r="I36" s="867">
        <v>8.3780000000000007E-2</v>
      </c>
      <c r="J36" s="867">
        <v>8.2569999999999991E-2</v>
      </c>
      <c r="K36" s="867">
        <v>8.1570000000000004E-2</v>
      </c>
      <c r="L36" s="867">
        <v>8.0749999999999988E-2</v>
      </c>
      <c r="M36" s="867">
        <v>8.0129999999999993E-2</v>
      </c>
      <c r="N36" s="867">
        <v>7.9619999999999996E-2</v>
      </c>
      <c r="O36" s="867">
        <v>7.9199999999999993E-2</v>
      </c>
      <c r="P36" s="867">
        <v>7.8909999999999994E-2</v>
      </c>
      <c r="Q36" s="867">
        <v>7.8750000000000001E-2</v>
      </c>
      <c r="R36" s="867">
        <v>7.8750000000000001E-2</v>
      </c>
      <c r="S36" s="867">
        <v>7.8949999999999992E-2</v>
      </c>
      <c r="T36" s="867">
        <v>7.9399999999999998E-2</v>
      </c>
      <c r="U36" s="867">
        <v>8.0299999999999996E-2</v>
      </c>
    </row>
    <row r="37" spans="2:76">
      <c r="B37" s="867" t="s">
        <v>628</v>
      </c>
      <c r="C37" s="8" cm="1">
        <f t="array" ref="C37">_xll.d.Dates_AddTenorToDate($B$28,B37,"ZAR","MODFOL")</f>
        <v>45198</v>
      </c>
      <c r="D37" s="869" cm="1">
        <f t="array" ref="D37">_xll.d.Dates_Act360($B$28,C37)</f>
        <v>0.50555555555555554</v>
      </c>
      <c r="E37" s="867">
        <v>9.7029999999999991E-2</v>
      </c>
      <c r="F37" s="867">
        <v>9.257E-2</v>
      </c>
      <c r="G37" s="867">
        <v>8.9369999999999991E-2</v>
      </c>
      <c r="H37" s="867">
        <v>8.6899999999999991E-2</v>
      </c>
      <c r="I37" s="867">
        <v>8.4900000000000003E-2</v>
      </c>
      <c r="J37" s="867">
        <v>8.3269999999999997E-2</v>
      </c>
      <c r="K37" s="867">
        <v>8.1910000000000011E-2</v>
      </c>
      <c r="L37" s="867">
        <v>8.0779999999999991E-2</v>
      </c>
      <c r="M37" s="867">
        <v>0.08</v>
      </c>
      <c r="N37" s="867">
        <v>7.934999999999999E-2</v>
      </c>
      <c r="O37" s="867">
        <v>7.8730000000000008E-2</v>
      </c>
      <c r="P37" s="867">
        <v>7.8289999999999998E-2</v>
      </c>
      <c r="Q37" s="867">
        <v>7.8030000000000002E-2</v>
      </c>
      <c r="R37" s="867">
        <v>7.7979999999999994E-2</v>
      </c>
      <c r="S37" s="867">
        <v>7.8189999999999996E-2</v>
      </c>
      <c r="T37" s="867">
        <v>7.8739999999999991E-2</v>
      </c>
      <c r="U37" s="867">
        <v>7.9839999999999994E-2</v>
      </c>
    </row>
    <row r="38" spans="2:76">
      <c r="B38" s="867" t="s">
        <v>667</v>
      </c>
      <c r="C38" s="8" cm="1">
        <f t="array" ref="C38">_xll.d.Dates_AddTenorToDate($B$28,B38,"ZAR","MODFOL")</f>
        <v>45289</v>
      </c>
      <c r="D38" s="869" cm="1">
        <f t="array" ref="D38">_xll.d.Dates_Act360($B$28,C38)</f>
        <v>0.7583333333333333</v>
      </c>
      <c r="E38" s="867">
        <v>9.8659999999999998E-2</v>
      </c>
      <c r="F38" s="867">
        <v>9.3829999999999997E-2</v>
      </c>
      <c r="G38" s="867">
        <v>9.0299999999999991E-2</v>
      </c>
      <c r="H38" s="867">
        <v>8.7520000000000001E-2</v>
      </c>
      <c r="I38" s="867">
        <v>8.5250000000000006E-2</v>
      </c>
      <c r="J38" s="867">
        <v>8.3360000000000004E-2</v>
      </c>
      <c r="K38" s="867">
        <v>8.1790000000000002E-2</v>
      </c>
      <c r="L38" s="867">
        <v>8.0489999999999992E-2</v>
      </c>
      <c r="M38" s="867">
        <v>7.9699999999999993E-2</v>
      </c>
      <c r="N38" s="867">
        <v>7.9039999999999999E-2</v>
      </c>
      <c r="O38" s="867">
        <v>7.8329999999999997E-2</v>
      </c>
      <c r="P38" s="867">
        <v>7.7850000000000003E-2</v>
      </c>
      <c r="Q38" s="867">
        <v>7.7609999999999998E-2</v>
      </c>
      <c r="R38" s="867">
        <v>7.7600000000000002E-2</v>
      </c>
      <c r="S38" s="867">
        <v>7.7869999999999995E-2</v>
      </c>
      <c r="T38" s="867">
        <v>7.8469999999999998E-2</v>
      </c>
      <c r="U38" s="867">
        <v>7.9570000000000002E-2</v>
      </c>
    </row>
    <row r="39" spans="2:76">
      <c r="B39" s="867" t="s">
        <v>629</v>
      </c>
      <c r="C39" s="8" cm="1">
        <f t="array" ref="C39">_xll.d.Dates_AddTenorToDate($B$28,B39,"ZAR","MODFOL")</f>
        <v>45379</v>
      </c>
      <c r="D39" s="869" cm="1">
        <f t="array" ref="D39">_xll.d.Dates_Act360($B$28,C39)</f>
        <v>1.0083333333333333</v>
      </c>
      <c r="E39" s="867">
        <v>0.10061999999999999</v>
      </c>
      <c r="F39" s="867">
        <v>9.5100000000000004E-2</v>
      </c>
      <c r="G39" s="867">
        <v>9.1090000000000004E-2</v>
      </c>
      <c r="H39" s="867">
        <v>8.795E-2</v>
      </c>
      <c r="I39" s="867">
        <v>8.541E-2</v>
      </c>
      <c r="J39" s="867">
        <v>8.3309999999999995E-2</v>
      </c>
      <c r="K39" s="867">
        <v>8.158E-2</v>
      </c>
      <c r="L39" s="867">
        <v>8.0149999999999999E-2</v>
      </c>
      <c r="M39" s="867">
        <v>7.9399999999999998E-2</v>
      </c>
      <c r="N39" s="867">
        <v>7.8750000000000001E-2</v>
      </c>
      <c r="O39" s="867">
        <v>7.7939999999999995E-2</v>
      </c>
      <c r="P39" s="867">
        <v>7.7380000000000004E-2</v>
      </c>
      <c r="Q39" s="867">
        <v>7.707E-2</v>
      </c>
      <c r="R39" s="867">
        <v>7.7030000000000001E-2</v>
      </c>
      <c r="S39" s="867">
        <v>7.7289999999999998E-2</v>
      </c>
      <c r="T39" s="867">
        <v>7.7929999999999999E-2</v>
      </c>
      <c r="U39" s="867">
        <v>7.9140000000000002E-2</v>
      </c>
    </row>
    <row r="40" spans="2:76">
      <c r="B40" s="867" t="s">
        <v>632</v>
      </c>
      <c r="C40" s="8" cm="1">
        <f t="array" ref="C40">_xll.d.Dates_AddTenorToDate($B$28,B40,"ZAR","MODFOL")</f>
        <v>45747</v>
      </c>
      <c r="D40" s="869" cm="1">
        <f t="array" ref="D40">_xll.d.Dates_Act360($B$28,C40)</f>
        <v>2.0305555555555554</v>
      </c>
      <c r="E40" s="867">
        <v>0.10005000000000001</v>
      </c>
      <c r="F40" s="867">
        <v>9.4689999999999996E-2</v>
      </c>
      <c r="G40" s="867">
        <v>9.0899999999999995E-2</v>
      </c>
      <c r="H40" s="867">
        <v>8.8000000000000009E-2</v>
      </c>
      <c r="I40" s="867">
        <v>8.5699999999999998E-2</v>
      </c>
      <c r="J40" s="867">
        <v>8.3829999999999988E-2</v>
      </c>
      <c r="K40" s="867">
        <v>8.2309999999999994E-2</v>
      </c>
      <c r="L40" s="867">
        <v>8.1079999999999999E-2</v>
      </c>
      <c r="M40" s="867">
        <v>8.0799999999999997E-2</v>
      </c>
      <c r="N40" s="867">
        <v>8.054E-2</v>
      </c>
      <c r="O40" s="867">
        <v>7.9689999999999997E-2</v>
      </c>
      <c r="P40" s="867">
        <v>7.9070000000000001E-2</v>
      </c>
      <c r="Q40" s="867">
        <v>7.8710000000000002E-2</v>
      </c>
      <c r="R40" s="867">
        <v>7.8630000000000005E-2</v>
      </c>
      <c r="S40" s="867">
        <v>7.8899999999999998E-2</v>
      </c>
      <c r="T40" s="867">
        <v>7.9660000000000009E-2</v>
      </c>
      <c r="U40" s="867">
        <v>8.1240000000000007E-2</v>
      </c>
    </row>
    <row r="41" spans="2:76">
      <c r="B41" s="867" t="s">
        <v>647</v>
      </c>
      <c r="C41" s="8" cm="1">
        <f t="array" ref="C41">_xll.d.Dates_AddTenorToDate($B$28,B41,"ZAR","MODFOL")</f>
        <v>46112</v>
      </c>
      <c r="D41" s="869" cm="1">
        <f t="array" ref="D41">_xll.d.Dates_Act360($B$28,C41)</f>
        <v>3.0444444444444443</v>
      </c>
      <c r="E41" s="867">
        <v>9.7989999999999994E-2</v>
      </c>
      <c r="F41" s="867">
        <v>9.3240000000000003E-2</v>
      </c>
      <c r="G41" s="867">
        <v>8.9939999999999992E-2</v>
      </c>
      <c r="H41" s="867">
        <v>8.7479999999999988E-2</v>
      </c>
      <c r="I41" s="867">
        <v>8.5580000000000003E-2</v>
      </c>
      <c r="J41" s="867">
        <v>8.4079999999999988E-2</v>
      </c>
      <c r="K41" s="867">
        <v>8.2909999999999998E-2</v>
      </c>
      <c r="L41" s="867">
        <v>8.2029999999999992E-2</v>
      </c>
      <c r="M41" s="867">
        <v>8.2100000000000006E-2</v>
      </c>
      <c r="N41" s="867">
        <v>8.2180000000000003E-2</v>
      </c>
      <c r="O41" s="867">
        <v>8.1500000000000003E-2</v>
      </c>
      <c r="P41" s="867">
        <v>8.1069999999999989E-2</v>
      </c>
      <c r="Q41" s="867">
        <v>8.0920000000000006E-2</v>
      </c>
      <c r="R41" s="867">
        <v>8.1089999999999995E-2</v>
      </c>
      <c r="S41" s="867">
        <v>8.166000000000001E-2</v>
      </c>
      <c r="T41" s="867">
        <v>8.2840000000000011E-2</v>
      </c>
      <c r="U41" s="867">
        <v>8.5050000000000014E-2</v>
      </c>
    </row>
    <row r="42" spans="2:76">
      <c r="B42" s="867" t="s">
        <v>649</v>
      </c>
      <c r="C42" s="8" cm="1">
        <f t="array" ref="C42">_xll.d.Dates_AddTenorToDate($B$28,B42,"ZAR","MODFOL")</f>
        <v>46843</v>
      </c>
      <c r="D42" s="869" cm="1">
        <f t="array" ref="D42">_xll.d.Dates_Act360($B$28,C42)</f>
        <v>5.0750000000000002</v>
      </c>
      <c r="E42" s="867">
        <v>0.10098000000000001</v>
      </c>
      <c r="F42" s="867">
        <v>9.6449999999999994E-2</v>
      </c>
      <c r="G42" s="867">
        <v>9.3339999999999992E-2</v>
      </c>
      <c r="H42" s="867">
        <v>9.1060000000000002E-2</v>
      </c>
      <c r="I42" s="867">
        <v>8.9349999999999999E-2</v>
      </c>
      <c r="J42" s="867">
        <v>8.8059999999999986E-2</v>
      </c>
      <c r="K42" s="867">
        <v>8.7120000000000003E-2</v>
      </c>
      <c r="L42" s="867">
        <v>8.6510000000000004E-2</v>
      </c>
      <c r="M42" s="867">
        <v>8.6899999999999991E-2</v>
      </c>
      <c r="N42" s="867">
        <v>8.7449999999999986E-2</v>
      </c>
      <c r="O42" s="867">
        <v>8.6709999999999995E-2</v>
      </c>
      <c r="P42" s="867">
        <v>8.6279999999999996E-2</v>
      </c>
      <c r="Q42" s="867">
        <v>8.6190000000000003E-2</v>
      </c>
      <c r="R42" s="867">
        <v>8.6460000000000009E-2</v>
      </c>
      <c r="S42" s="867">
        <v>8.72E-2</v>
      </c>
      <c r="T42" s="867">
        <v>8.8610000000000008E-2</v>
      </c>
      <c r="U42" s="867">
        <v>9.1170000000000015E-2</v>
      </c>
    </row>
    <row r="43" spans="2:76">
      <c r="B43" s="867" t="s">
        <v>651</v>
      </c>
      <c r="C43" s="8" cm="1">
        <f t="array" ref="C43">_xll.d.Dates_AddTenorToDate($B$28,B43,"ZAR","MODFOL")</f>
        <v>47571</v>
      </c>
      <c r="D43" s="869" cm="1">
        <f t="array" ref="D43">_xll.d.Dates_Act360($B$28,C43)</f>
        <v>7.0972222222222223</v>
      </c>
      <c r="E43" s="867">
        <v>0.10459</v>
      </c>
      <c r="F43" s="867">
        <v>9.9830000000000002E-2</v>
      </c>
      <c r="G43" s="867">
        <v>9.6630000000000008E-2</v>
      </c>
      <c r="H43" s="867">
        <v>9.4339999999999993E-2</v>
      </c>
      <c r="I43" s="867">
        <v>9.2660000000000006E-2</v>
      </c>
      <c r="J43" s="867">
        <v>9.1440000000000007E-2</v>
      </c>
      <c r="K43" s="867">
        <v>9.0619999999999992E-2</v>
      </c>
      <c r="L43" s="867">
        <v>9.0150000000000008E-2</v>
      </c>
      <c r="M43" s="867">
        <v>9.0500000000000011E-2</v>
      </c>
      <c r="N43" s="867">
        <v>9.1080000000000008E-2</v>
      </c>
      <c r="O43" s="867">
        <v>9.0389999999999998E-2</v>
      </c>
      <c r="P43" s="867">
        <v>9.0060000000000001E-2</v>
      </c>
      <c r="Q43" s="867">
        <v>9.0090000000000003E-2</v>
      </c>
      <c r="R43" s="867">
        <v>9.0530000000000013E-2</v>
      </c>
      <c r="S43" s="867">
        <v>9.1499999999999998E-2</v>
      </c>
      <c r="T43" s="867">
        <v>9.3240000000000003E-2</v>
      </c>
      <c r="U43" s="867">
        <v>9.6300000000000011E-2</v>
      </c>
    </row>
    <row r="44" spans="2:76">
      <c r="B44" s="867" t="s">
        <v>654</v>
      </c>
      <c r="C44" s="8" cm="1">
        <f t="array" ref="C44">_xll.d.Dates_AddTenorToDate($B$28,B44,"ZAR","MODFOL")</f>
        <v>48669</v>
      </c>
      <c r="D44" s="869" cm="1">
        <f t="array" ref="D44">_xll.d.Dates_Act360($B$28,C44)</f>
        <v>10.147222222222222</v>
      </c>
      <c r="E44" s="867">
        <v>0.10792</v>
      </c>
      <c r="F44" s="867">
        <v>0.10273</v>
      </c>
      <c r="G44" s="867">
        <v>9.9339999999999998E-2</v>
      </c>
      <c r="H44" s="867">
        <v>9.6980000000000011E-2</v>
      </c>
      <c r="I44" s="867">
        <v>9.5329999999999998E-2</v>
      </c>
      <c r="J44" s="867">
        <v>9.4220000000000012E-2</v>
      </c>
      <c r="K44" s="867">
        <v>9.3590000000000007E-2</v>
      </c>
      <c r="L44" s="867">
        <v>9.3409999999999993E-2</v>
      </c>
      <c r="M44" s="867">
        <v>9.3800000000000008E-2</v>
      </c>
      <c r="N44" s="867">
        <v>9.5129999999999992E-2</v>
      </c>
      <c r="O44" s="867">
        <v>9.4100000000000003E-2</v>
      </c>
      <c r="P44" s="867">
        <v>9.3530000000000002E-2</v>
      </c>
      <c r="Q44" s="867">
        <v>9.3420000000000003E-2</v>
      </c>
      <c r="R44" s="867">
        <v>9.3810000000000004E-2</v>
      </c>
      <c r="S44" s="867">
        <v>9.4830000000000012E-2</v>
      </c>
      <c r="T44" s="867">
        <v>9.6759999999999999E-2</v>
      </c>
      <c r="U44" s="867">
        <v>0.10026</v>
      </c>
    </row>
    <row r="46" spans="2:76">
      <c r="D46" s="869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528" priority="16" stopIfTrue="1" operator="equal">
      <formula>"ERROR"</formula>
    </cfRule>
    <cfRule type="cellIs" dxfId="527" priority="17" stopIfTrue="1" operator="equal">
      <formula>"OK"</formula>
    </cfRule>
    <cfRule type="cellIs" dxfId="526" priority="18" stopIfTrue="1" operator="equal">
      <formula>"WARNING"</formula>
    </cfRule>
  </conditionalFormatting>
  <conditionalFormatting sqref="C4">
    <cfRule type="cellIs" dxfId="525" priority="13" stopIfTrue="1" operator="equal">
      <formula>"ERROR"</formula>
    </cfRule>
    <cfRule type="cellIs" dxfId="524" priority="14" stopIfTrue="1" operator="equal">
      <formula>"OK"</formula>
    </cfRule>
    <cfRule type="cellIs" dxfId="523" priority="15" stopIfTrue="1" operator="equal">
      <formula>"WARNING"</formula>
    </cfRule>
  </conditionalFormatting>
  <conditionalFormatting sqref="C12">
    <cfRule type="cellIs" dxfId="522" priority="10" stopIfTrue="1" operator="equal">
      <formula>"ERROR"</formula>
    </cfRule>
  </conditionalFormatting>
  <conditionalFormatting sqref="C12">
    <cfRule type="cellIs" dxfId="521" priority="11" stopIfTrue="1" operator="equal">
      <formula>"OK"</formula>
    </cfRule>
  </conditionalFormatting>
  <conditionalFormatting sqref="C12">
    <cfRule type="cellIs" dxfId="520" priority="12" stopIfTrue="1" operator="equal">
      <formula>"WARNING"</formula>
    </cfRule>
  </conditionalFormatting>
  <conditionalFormatting sqref="I17:J17 T17">
    <cfRule type="cellIs" dxfId="519" priority="19" stopIfTrue="1" operator="equal">
      <formula>"ERROR"</formula>
    </cfRule>
    <cfRule type="cellIs" dxfId="518" priority="20" stopIfTrue="1" operator="equal">
      <formula>"OK"</formula>
    </cfRule>
    <cfRule type="cellIs" dxfId="517" priority="21" stopIfTrue="1" operator="equal">
      <formula>"WARNING"</formula>
    </cfRule>
  </conditionalFormatting>
  <conditionalFormatting sqref="AB17">
    <cfRule type="cellIs" dxfId="516" priority="7" stopIfTrue="1" operator="equal">
      <formula>"ERROR"</formula>
    </cfRule>
    <cfRule type="cellIs" dxfId="515" priority="8" stopIfTrue="1" operator="equal">
      <formula>"OK"</formula>
    </cfRule>
    <cfRule type="cellIs" dxfId="514" priority="9" stopIfTrue="1" operator="equal">
      <formula>"WARNING"</formula>
    </cfRule>
  </conditionalFormatting>
  <conditionalFormatting sqref="AK17">
    <cfRule type="cellIs" dxfId="513" priority="4" stopIfTrue="1" operator="equal">
      <formula>"ERROR"</formula>
    </cfRule>
    <cfRule type="cellIs" dxfId="512" priority="5" stopIfTrue="1" operator="equal">
      <formula>"OK"</formula>
    </cfRule>
    <cfRule type="cellIs" dxfId="511" priority="6" stopIfTrue="1" operator="equal">
      <formula>"WARNING"</formula>
    </cfRule>
  </conditionalFormatting>
  <conditionalFormatting sqref="R17:S21">
    <cfRule type="cellIs" dxfId="510" priority="1" stopIfTrue="1" operator="equal">
      <formula>"ERROR"</formula>
    </cfRule>
    <cfRule type="cellIs" dxfId="509" priority="2" stopIfTrue="1" operator="equal">
      <formula>"OK"</formula>
    </cfRule>
    <cfRule type="cellIs" dxfId="508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U161"/>
  <sheetViews>
    <sheetView showGridLines="0" tabSelected="1" topLeftCell="AD1" zoomScale="85" zoomScaleNormal="85" workbookViewId="0">
      <selection activeCell="AK13" sqref="AK13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6.5" style="439" customWidth="1"/>
    <col min="7" max="7" width="14.75" style="439" customWidth="1"/>
    <col min="8" max="8" width="18.875" style="439" bestFit="1" customWidth="1"/>
    <col min="9" max="9" width="17.25" style="439" bestFit="1" customWidth="1"/>
    <col min="10" max="10" width="16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7" style="439" customWidth="1"/>
    <col min="26" max="26" width="19.5" style="439" customWidth="1"/>
    <col min="27" max="27" width="18.125" style="439" customWidth="1"/>
    <col min="28" max="28" width="12.75" style="439" customWidth="1"/>
    <col min="29" max="29" width="15.375" style="439" customWidth="1"/>
    <col min="30" max="30" width="17" style="439" customWidth="1"/>
    <col min="31" max="31" width="18.375" style="439" customWidth="1"/>
    <col min="32" max="32" width="14.75" style="439"/>
    <col min="33" max="33" width="19.25" style="439" customWidth="1"/>
    <col min="34" max="34" width="16.25" style="439" customWidth="1"/>
    <col min="35" max="35" width="16" style="439" customWidth="1"/>
    <col min="36" max="36" width="13.75" style="439" customWidth="1"/>
    <col min="37" max="37" width="27.75" style="439" customWidth="1"/>
    <col min="38" max="38" width="25.375" style="439" customWidth="1"/>
    <col min="39" max="39" width="14.75" style="439"/>
    <col min="40" max="40" width="17.75" style="439" customWidth="1"/>
    <col min="41" max="50" width="14.75" style="439"/>
    <col min="51" max="52" width="70" style="439" bestFit="1" customWidth="1"/>
    <col min="53" max="58" width="14.75" style="439"/>
    <col min="59" max="60" width="22.5" style="439" customWidth="1"/>
    <col min="61" max="66" width="14.75" style="439"/>
    <col min="67" max="68" width="44.5" style="439" bestFit="1" customWidth="1"/>
    <col min="69" max="70" width="14.75" style="439"/>
    <col min="71" max="72" width="44.5" style="439" bestFit="1" customWidth="1"/>
    <col min="73" max="16384" width="14.75" style="439"/>
  </cols>
  <sheetData>
    <row r="1" spans="1:73">
      <c r="B1" s="408" t="s">
        <v>387</v>
      </c>
    </row>
    <row r="2" spans="1:73" ht="26.25">
      <c r="B2" s="2" t="s">
        <v>668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</row>
    <row r="4" spans="1:73">
      <c r="B4" s="50" t="s">
        <v>140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</row>
    <row r="5" spans="1:73">
      <c r="E5" s="298"/>
      <c r="F5" s="298"/>
      <c r="G5" s="298"/>
    </row>
    <row r="6" spans="1:73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</row>
    <row r="7" spans="1:73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</row>
    <row r="8" spans="1:73">
      <c r="E8" s="298"/>
      <c r="F8" s="298"/>
      <c r="G8" s="298"/>
    </row>
    <row r="9" spans="1:73">
      <c r="E9" s="298"/>
      <c r="F9" s="298"/>
      <c r="G9" s="298"/>
    </row>
    <row r="10" spans="1:73" s="298" customFormat="1" ht="18.75">
      <c r="A10" s="439"/>
      <c r="B10" s="3" t="s">
        <v>669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439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3">
      <c r="B12" s="50" t="s">
        <v>140</v>
      </c>
      <c r="C12" s="300" t="str" cm="1">
        <f t="array" ref="C12">_xll.d.TestUtils_And(#REF!,#REF!,#REF!,#REF!)</f>
        <v>Error</v>
      </c>
      <c r="D12" s="298"/>
      <c r="E12" s="298"/>
      <c r="Y12" s="56" t="s">
        <v>681</v>
      </c>
      <c r="Z12" s="208" t="str" cm="1">
        <f t="array" aca="1" ref="Z12" ca="1">_xll.d.Curve_CreateFromDiscountFactors("UsdOisOldValsTemplateCurve",Y15:AA18,Y22:Y44,Z22:Z44)</f>
        <v>@@UsdOisOldValsTemplateCurve::17:40:05</v>
      </c>
      <c r="AA12" s="209"/>
      <c r="AC12" s="56" t="s">
        <v>681</v>
      </c>
      <c r="AD12" s="208" t="str" cm="1">
        <f t="array" aca="1" ref="AD12" ca="1">_xll.d.Curve_CreateFromDiscountFactors("UsdSwapOldValsTemplateCurve",AC15:AE18,AC22:AC54,AD22:AD54)</f>
        <v>@@UsdSwapOldValsTemplateCurve::17:40:06</v>
      </c>
      <c r="AE12" s="209"/>
      <c r="AG12" s="56" t="s">
        <v>681</v>
      </c>
      <c r="AH12" s="208" t="str" cm="1">
        <f t="array" aca="1" ref="AH12" ca="1">_xll.d.Curve_CreateFromDiscountFactors("ZarSwapOldValsTemplateCurve",AG15:AI18,AG22:AG45,AH22:AH45)</f>
        <v>@@ZarSwapOldValsTemplateCurve::17:40:08</v>
      </c>
      <c r="AI12" s="209"/>
      <c r="AK12" s="439" t="str" cm="1">
        <f t="array" aca="1" ref="AK12" ca="1">_xll.d.Curve_BootstrapFxBasisCurve("UsdZarFxBasisUsingOldValsTemplateData",AK14:AM26,,,AK29:AN42)</f>
        <v>@@UsdZarFxBasisUsingOldValsTemplateData::17:40:37</v>
      </c>
    </row>
    <row r="13" spans="1:73">
      <c r="B13" s="298"/>
      <c r="C13" s="298"/>
      <c r="D13" s="298"/>
      <c r="E13" s="299"/>
      <c r="AA13" s="613"/>
      <c r="AE13" s="613"/>
      <c r="AI13" s="613"/>
    </row>
    <row r="14" spans="1:73">
      <c r="B14" s="613" t="s">
        <v>677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Y14" s="12" t="s">
        <v>726</v>
      </c>
      <c r="Z14" s="137"/>
      <c r="AA14" s="137"/>
      <c r="AC14" s="12" t="s">
        <v>728</v>
      </c>
      <c r="AD14" s="137"/>
      <c r="AE14" s="137"/>
      <c r="AF14" s="298"/>
      <c r="AG14" s="12" t="s">
        <v>729</v>
      </c>
      <c r="AH14" s="137"/>
      <c r="AI14" s="137"/>
      <c r="AK14" s="12" t="s">
        <v>47</v>
      </c>
      <c r="AL14" s="13"/>
      <c r="AM14" s="13"/>
    </row>
    <row r="15" spans="1:73">
      <c r="D15" s="613"/>
      <c r="Y15" s="62" t="s">
        <v>29</v>
      </c>
      <c r="Z15" s="937" t="s">
        <v>30</v>
      </c>
      <c r="AA15" s="937"/>
      <c r="AC15" s="62" t="s">
        <v>29</v>
      </c>
      <c r="AD15" s="937" t="s">
        <v>30</v>
      </c>
      <c r="AE15" s="937"/>
      <c r="AG15" s="62" t="s">
        <v>29</v>
      </c>
      <c r="AH15" s="937" t="s">
        <v>30</v>
      </c>
      <c r="AI15" s="937"/>
      <c r="AK15" s="62" t="s">
        <v>29</v>
      </c>
      <c r="AL15" s="917" t="s">
        <v>30</v>
      </c>
      <c r="AM15" s="917"/>
      <c r="AQ15" s="8">
        <v>44286</v>
      </c>
      <c r="AR15" s="992">
        <v>1</v>
      </c>
      <c r="AS15" s="439" t="e" cm="1">
        <f t="array" aca="1" ref="AS15" ca="1">_xll.d.Curve_GetDiscountFactors(AK12,AR15:AR40)</f>
        <v>#VALUE!</v>
      </c>
    </row>
    <row r="16" spans="1:73">
      <c r="B16" s="56" t="s">
        <v>681</v>
      </c>
      <c r="C16" s="208" t="str" cm="1">
        <f t="array" aca="1" ref="C16" ca="1">_xll.d.Curve_CreateFromDiscountFactors("CCSZarSwapCurve",B19:C22,C26:C49,D26:D49)</f>
        <v>@@CCSZarSwapCurve::09:14:33</v>
      </c>
      <c r="D16" s="209"/>
      <c r="F16" s="56" t="s">
        <v>681</v>
      </c>
      <c r="G16" s="208" t="str" cm="1">
        <f t="array" aca="1" ref="G16" ca="1">_xll.d.Curve_CreateFromDiscountFactors("CCSUsdZarBasisCurve",F19:G22,G26:G49,H26:H49)</f>
        <v>@@CCSUsdZarBasisCurve::09:14:33</v>
      </c>
      <c r="H16" s="209"/>
      <c r="J16" s="56" t="s">
        <v>681</v>
      </c>
      <c r="K16" s="208" t="str" cm="1">
        <f t="array" aca="1" ref="K16" ca="1">_xll.d.Curve_CreateFromDiscountFactors("CCSUsdSwapCurve",J19:K22,K26:K51,L26:L51)</f>
        <v>@@CCSUsdSwapCurve::09:14:33</v>
      </c>
      <c r="L16" s="209"/>
      <c r="Y16" s="873" t="s">
        <v>57</v>
      </c>
      <c r="Z16" s="955" t="s">
        <v>324</v>
      </c>
      <c r="AA16" s="938"/>
      <c r="AC16" s="873" t="s">
        <v>57</v>
      </c>
      <c r="AD16" s="955" t="s">
        <v>324</v>
      </c>
      <c r="AE16" s="938"/>
      <c r="AG16" s="873" t="s">
        <v>57</v>
      </c>
      <c r="AH16" s="955" t="s">
        <v>54</v>
      </c>
      <c r="AI16" s="938"/>
      <c r="AK16" s="216" t="s">
        <v>183</v>
      </c>
      <c r="AL16" s="915">
        <v>44286</v>
      </c>
      <c r="AM16" s="915"/>
      <c r="AQ16" s="8">
        <v>44292</v>
      </c>
      <c r="AR16" s="992">
        <v>0.99902033895462272</v>
      </c>
    </row>
    <row r="17" spans="2:44">
      <c r="D17" s="613"/>
      <c r="Y17" s="874" t="s">
        <v>55</v>
      </c>
      <c r="Z17" s="956" t="s">
        <v>257</v>
      </c>
      <c r="AA17" s="939"/>
      <c r="AC17" s="874" t="s">
        <v>55</v>
      </c>
      <c r="AD17" s="956" t="s">
        <v>257</v>
      </c>
      <c r="AE17" s="939"/>
      <c r="AG17" s="874" t="s">
        <v>55</v>
      </c>
      <c r="AH17" s="956" t="s">
        <v>56</v>
      </c>
      <c r="AI17" s="939"/>
      <c r="AK17" s="957" t="s">
        <v>731</v>
      </c>
      <c r="AL17" s="978" t="s">
        <v>717</v>
      </c>
      <c r="AM17" s="979"/>
      <c r="AQ17" s="8">
        <v>44293</v>
      </c>
      <c r="AR17" s="992">
        <v>0.99886921280844809</v>
      </c>
    </row>
    <row r="18" spans="2:44">
      <c r="B18" s="12" t="s">
        <v>673</v>
      </c>
      <c r="C18" s="137"/>
      <c r="D18" s="137"/>
      <c r="F18" s="12" t="s">
        <v>676</v>
      </c>
      <c r="G18" s="137"/>
      <c r="H18" s="137"/>
      <c r="J18" s="12" t="s">
        <v>47</v>
      </c>
      <c r="K18" s="137"/>
      <c r="L18" s="137"/>
      <c r="Y18" s="875" t="s">
        <v>43</v>
      </c>
      <c r="Z18" s="976" t="s">
        <v>710</v>
      </c>
      <c r="AA18" s="977"/>
      <c r="AC18" s="875" t="s">
        <v>43</v>
      </c>
      <c r="AD18" s="976" t="s">
        <v>710</v>
      </c>
      <c r="AE18" s="977"/>
      <c r="AG18" s="875" t="s">
        <v>43</v>
      </c>
      <c r="AH18" s="976" t="s">
        <v>710</v>
      </c>
      <c r="AI18" s="977"/>
      <c r="AK18" s="957" t="s">
        <v>733</v>
      </c>
      <c r="AL18" s="958" t="s">
        <v>24</v>
      </c>
      <c r="AM18" s="959"/>
      <c r="AQ18" s="8">
        <v>44299</v>
      </c>
      <c r="AR18" s="992">
        <v>0.99794543311442752</v>
      </c>
    </row>
    <row r="19" spans="2:44">
      <c r="B19" s="62" t="s">
        <v>29</v>
      </c>
      <c r="C19" s="937" t="s">
        <v>30</v>
      </c>
      <c r="D19" s="937"/>
      <c r="F19" s="62" t="s">
        <v>29</v>
      </c>
      <c r="G19" s="937" t="s">
        <v>30</v>
      </c>
      <c r="H19" s="937"/>
      <c r="J19" s="62" t="s">
        <v>29</v>
      </c>
      <c r="K19" s="937" t="s">
        <v>30</v>
      </c>
      <c r="L19" s="937"/>
      <c r="AK19" s="993" t="s">
        <v>739</v>
      </c>
      <c r="AL19" s="958" t="str">
        <f ca="1">Z12</f>
        <v>@@UsdOisOldValsTemplateCurve::14:57:43</v>
      </c>
      <c r="AM19" s="959"/>
      <c r="AQ19" s="8">
        <v>44306</v>
      </c>
      <c r="AR19" s="992">
        <v>0.99703223970779542</v>
      </c>
    </row>
    <row r="20" spans="2:44">
      <c r="B20" s="873" t="s">
        <v>57</v>
      </c>
      <c r="C20" s="938" t="s">
        <v>54</v>
      </c>
      <c r="D20" s="938"/>
      <c r="F20" s="873" t="s">
        <v>57</v>
      </c>
      <c r="G20" s="938" t="s">
        <v>54</v>
      </c>
      <c r="H20" s="938"/>
      <c r="J20" s="892" t="s">
        <v>57</v>
      </c>
      <c r="K20" s="938" t="s">
        <v>324</v>
      </c>
      <c r="L20" s="938"/>
      <c r="Y20" s="121" t="s">
        <v>725</v>
      </c>
      <c r="Z20" s="122"/>
      <c r="AC20" s="121" t="s">
        <v>727</v>
      </c>
      <c r="AD20" s="122"/>
      <c r="AG20" s="121" t="s">
        <v>730</v>
      </c>
      <c r="AH20" s="122"/>
      <c r="AK20" s="993" t="s">
        <v>740</v>
      </c>
      <c r="AL20" s="958" t="str">
        <f ca="1">AD12</f>
        <v>@@UsdSwapOldValsTemplateCurve::14:57:44</v>
      </c>
      <c r="AM20" s="959"/>
      <c r="AQ20" s="8">
        <v>44314</v>
      </c>
      <c r="AR20" s="992">
        <v>0.99592489116962546</v>
      </c>
    </row>
    <row r="21" spans="2:44">
      <c r="B21" s="874" t="s">
        <v>55</v>
      </c>
      <c r="C21" s="939" t="s">
        <v>56</v>
      </c>
      <c r="D21" s="939"/>
      <c r="F21" s="874" t="s">
        <v>55</v>
      </c>
      <c r="G21" s="939" t="s">
        <v>56</v>
      </c>
      <c r="H21" s="939"/>
      <c r="J21" s="893" t="s">
        <v>55</v>
      </c>
      <c r="K21" s="939" t="s">
        <v>257</v>
      </c>
      <c r="L21" s="939"/>
      <c r="Y21" s="881" t="s">
        <v>0</v>
      </c>
      <c r="Z21" s="882" t="s">
        <v>2</v>
      </c>
      <c r="AC21" s="881" t="s">
        <v>0</v>
      </c>
      <c r="AD21" s="882" t="s">
        <v>2</v>
      </c>
      <c r="AG21" s="881" t="s">
        <v>0</v>
      </c>
      <c r="AH21" s="882" t="s">
        <v>2</v>
      </c>
      <c r="AK21" s="957" t="s">
        <v>732</v>
      </c>
      <c r="AL21" s="978" t="s">
        <v>33</v>
      </c>
      <c r="AM21" s="979"/>
      <c r="AQ21" s="8">
        <v>44322</v>
      </c>
      <c r="AR21" s="992">
        <v>0.99484321796303365</v>
      </c>
    </row>
    <row r="22" spans="2:44">
      <c r="B22" s="875" t="s">
        <v>43</v>
      </c>
      <c r="C22" s="976" t="s">
        <v>709</v>
      </c>
      <c r="D22" s="977"/>
      <c r="F22" s="875" t="s">
        <v>43</v>
      </c>
      <c r="G22" s="976" t="s">
        <v>709</v>
      </c>
      <c r="H22" s="977"/>
      <c r="J22" s="894" t="s">
        <v>43</v>
      </c>
      <c r="K22" s="976" t="s">
        <v>709</v>
      </c>
      <c r="L22" s="977"/>
      <c r="Y22" s="870">
        <v>44286</v>
      </c>
      <c r="Z22" s="464">
        <v>1</v>
      </c>
      <c r="AC22" s="870">
        <v>44286</v>
      </c>
      <c r="AD22" s="464">
        <v>1</v>
      </c>
      <c r="AG22" s="870">
        <v>44286</v>
      </c>
      <c r="AH22" s="464">
        <v>1</v>
      </c>
      <c r="AK22" s="957" t="s">
        <v>734</v>
      </c>
      <c r="AL22" s="958" t="s">
        <v>24</v>
      </c>
      <c r="AM22" s="959"/>
      <c r="AQ22" s="8">
        <v>44354</v>
      </c>
      <c r="AR22" s="992">
        <v>0.99062450944270197</v>
      </c>
    </row>
    <row r="23" spans="2:44">
      <c r="Y23" s="871">
        <f t="shared" ref="Y23:Y44" ca="1" si="0">$Y$22+AA23</f>
        <v>44291</v>
      </c>
      <c r="Z23" s="465">
        <v>0.99999166670833317</v>
      </c>
      <c r="AC23" s="871">
        <v>44287</v>
      </c>
      <c r="AD23" s="465">
        <v>0.99999779096378405</v>
      </c>
      <c r="AG23" s="871">
        <v>44287</v>
      </c>
      <c r="AH23" s="465">
        <v>0.99990932330355131</v>
      </c>
      <c r="AK23" s="993" t="s">
        <v>741</v>
      </c>
      <c r="AL23" s="958" t="str">
        <f ca="1">AH12</f>
        <v>@@ZarSwapOldValsTemplateCurve::14:57:46</v>
      </c>
      <c r="AM23" s="959"/>
      <c r="AQ23" s="8">
        <v>44383</v>
      </c>
      <c r="AR23" s="992">
        <v>0.98664541325082444</v>
      </c>
    </row>
    <row r="24" spans="2:44">
      <c r="B24" s="121" t="s">
        <v>672</v>
      </c>
      <c r="C24" s="192"/>
      <c r="D24" s="122"/>
      <c r="F24" s="121" t="s">
        <v>674</v>
      </c>
      <c r="G24" s="192"/>
      <c r="H24" s="122"/>
      <c r="J24" s="121" t="s">
        <v>697</v>
      </c>
      <c r="K24" s="192"/>
      <c r="L24" s="122"/>
      <c r="Y24" s="871">
        <f t="shared" ca="1" si="0"/>
        <v>44292</v>
      </c>
      <c r="Z24" s="465">
        <v>0.99999000005833305</v>
      </c>
      <c r="AC24" s="871">
        <v>44298</v>
      </c>
      <c r="AD24" s="465">
        <v>0.99997123370423591</v>
      </c>
      <c r="AG24" s="871">
        <v>44316</v>
      </c>
      <c r="AH24" s="465">
        <v>0.99712500178214081</v>
      </c>
      <c r="AK24" s="957" t="s">
        <v>735</v>
      </c>
      <c r="AL24" s="960">
        <v>14.77675</v>
      </c>
      <c r="AM24" s="959"/>
      <c r="AQ24" s="8">
        <v>44414</v>
      </c>
      <c r="AR24" s="992">
        <v>0.98272345090717839</v>
      </c>
    </row>
    <row r="25" spans="2:44">
      <c r="B25" s="880" t="s">
        <v>22</v>
      </c>
      <c r="C25" s="881" t="s">
        <v>0</v>
      </c>
      <c r="D25" s="882" t="s">
        <v>2</v>
      </c>
      <c r="F25" s="880" t="s">
        <v>22</v>
      </c>
      <c r="G25" s="881" t="s">
        <v>0</v>
      </c>
      <c r="H25" s="882" t="s">
        <v>2</v>
      </c>
      <c r="J25" s="880" t="s">
        <v>22</v>
      </c>
      <c r="K25" s="881" t="s">
        <v>0</v>
      </c>
      <c r="L25" s="882" t="s">
        <v>2</v>
      </c>
      <c r="Y25" s="871">
        <f t="shared" ca="1" si="0"/>
        <v>44321</v>
      </c>
      <c r="Z25" s="465">
        <v>0.99994069771019323</v>
      </c>
      <c r="AC25" s="871">
        <v>44321</v>
      </c>
      <c r="AD25" s="465">
        <v>0.99989344834076721</v>
      </c>
      <c r="AG25" s="871">
        <v>44377</v>
      </c>
      <c r="AH25" s="465">
        <v>0.99092085729334145</v>
      </c>
      <c r="AK25" s="269" t="s">
        <v>45</v>
      </c>
      <c r="AL25" s="916" t="s">
        <v>24</v>
      </c>
      <c r="AM25" s="916"/>
      <c r="AQ25" s="8">
        <v>44446</v>
      </c>
      <c r="AR25" s="992">
        <v>0.97861357338373778</v>
      </c>
    </row>
    <row r="26" spans="2:44">
      <c r="B26" s="877" t="s">
        <v>675</v>
      </c>
      <c r="C26" s="870">
        <v>45016</v>
      </c>
      <c r="D26" s="464">
        <v>1</v>
      </c>
      <c r="F26" s="877" t="s">
        <v>675</v>
      </c>
      <c r="G26" s="876">
        <v>45016</v>
      </c>
      <c r="H26" s="895">
        <v>1</v>
      </c>
      <c r="J26" s="877" t="s">
        <v>675</v>
      </c>
      <c r="K26" s="871">
        <v>45016</v>
      </c>
      <c r="L26" s="896">
        <v>1</v>
      </c>
      <c r="Y26" s="871">
        <f t="shared" ca="1" si="0"/>
        <v>44354</v>
      </c>
      <c r="Z26" s="465">
        <v>0.9998791251863326</v>
      </c>
      <c r="AC26" s="871">
        <v>44354</v>
      </c>
      <c r="AD26" s="465">
        <v>0.99975110744237938</v>
      </c>
      <c r="AG26" s="871">
        <v>44469</v>
      </c>
      <c r="AH26" s="465">
        <v>0.98154428572109986</v>
      </c>
      <c r="AK26" s="143" t="s">
        <v>43</v>
      </c>
      <c r="AL26" s="980" t="s">
        <v>710</v>
      </c>
      <c r="AM26" s="981"/>
      <c r="AQ26" s="8">
        <v>44475</v>
      </c>
      <c r="AR26" s="992">
        <v>0.97485156715388177</v>
      </c>
    </row>
    <row r="27" spans="2:44">
      <c r="B27" s="125" t="s">
        <v>615</v>
      </c>
      <c r="C27" s="871">
        <v>45019</v>
      </c>
      <c r="D27" s="465">
        <v>0.99941924199999999</v>
      </c>
      <c r="F27" s="877" t="s">
        <v>615</v>
      </c>
      <c r="G27" s="871">
        <v>45019</v>
      </c>
      <c r="H27" s="896">
        <v>0.99941919999999995</v>
      </c>
      <c r="J27" s="877" t="s">
        <v>615</v>
      </c>
      <c r="K27" s="871">
        <v>45019</v>
      </c>
      <c r="L27" s="896">
        <v>0.99959474800000003</v>
      </c>
      <c r="Y27" s="871">
        <f t="shared" ca="1" si="0"/>
        <v>44383</v>
      </c>
      <c r="Z27" s="465">
        <v>0.99981950396701114</v>
      </c>
      <c r="AC27" s="871">
        <v>44383</v>
      </c>
      <c r="AD27" s="465">
        <v>0.9994840403244164</v>
      </c>
      <c r="AG27" s="871">
        <v>44560</v>
      </c>
      <c r="AH27" s="465">
        <v>0.97180440930321998</v>
      </c>
      <c r="AP27" s="8">
        <v>44567</v>
      </c>
      <c r="AQ27" s="992">
        <v>0.96320044759980061</v>
      </c>
    </row>
    <row r="28" spans="2:44">
      <c r="B28" s="125" t="s">
        <v>670</v>
      </c>
      <c r="C28" s="871">
        <v>45020</v>
      </c>
      <c r="D28" s="465">
        <v>0.99922414500000001</v>
      </c>
      <c r="F28" s="877" t="s">
        <v>670</v>
      </c>
      <c r="G28" s="871">
        <v>45020</v>
      </c>
      <c r="H28" s="896">
        <v>0.99922449999999996</v>
      </c>
      <c r="J28" s="877" t="s">
        <v>670</v>
      </c>
      <c r="K28" s="871">
        <v>45020</v>
      </c>
      <c r="L28" s="896">
        <v>0.99945968200000002</v>
      </c>
      <c r="Y28" s="871">
        <f t="shared" ca="1" si="0"/>
        <v>44413</v>
      </c>
      <c r="Z28" s="465">
        <v>0.99975311532231814</v>
      </c>
      <c r="AC28" s="871">
        <v>44407</v>
      </c>
      <c r="AD28" s="465">
        <v>0.99946382463338601</v>
      </c>
      <c r="AG28" s="871">
        <v>44651</v>
      </c>
      <c r="AH28" s="465">
        <v>0.9615672049033942</v>
      </c>
      <c r="AP28" s="8">
        <v>44657</v>
      </c>
      <c r="AQ28" s="992">
        <v>0.95191512062026107</v>
      </c>
    </row>
    <row r="29" spans="2:44">
      <c r="B29" s="125" t="s">
        <v>671</v>
      </c>
      <c r="C29" s="871">
        <v>45027</v>
      </c>
      <c r="D29" s="465">
        <v>0.997834322</v>
      </c>
      <c r="F29" s="877" t="s">
        <v>671</v>
      </c>
      <c r="G29" s="871">
        <v>45027</v>
      </c>
      <c r="H29" s="896">
        <v>0.99784050000000002</v>
      </c>
      <c r="J29" s="877" t="s">
        <v>671</v>
      </c>
      <c r="K29" s="871">
        <v>45027</v>
      </c>
      <c r="L29" s="896">
        <v>0.99848547700000001</v>
      </c>
      <c r="Y29" s="871">
        <f t="shared" ca="1" si="0"/>
        <v>44446</v>
      </c>
      <c r="Z29" s="465">
        <v>0.99968010076842584</v>
      </c>
      <c r="AC29" s="871">
        <v>44440</v>
      </c>
      <c r="AD29" s="465">
        <v>0.99933870078552967</v>
      </c>
      <c r="AG29" s="871">
        <v>44742</v>
      </c>
      <c r="AH29" s="465">
        <v>0.95057079360873153</v>
      </c>
      <c r="AK29" s="12" t="s">
        <v>736</v>
      </c>
      <c r="AL29" s="27"/>
      <c r="AM29" s="27"/>
      <c r="AN29" s="13"/>
      <c r="AQ29" s="8">
        <v>45019</v>
      </c>
      <c r="AR29" s="992">
        <v>0.90420401338243894</v>
      </c>
    </row>
    <row r="30" spans="2:44">
      <c r="B30" s="125" t="s">
        <v>623</v>
      </c>
      <c r="C30" s="871">
        <v>45044</v>
      </c>
      <c r="D30" s="465">
        <v>0.99436822499999999</v>
      </c>
      <c r="F30" s="877" t="s">
        <v>623</v>
      </c>
      <c r="G30" s="871">
        <v>45044</v>
      </c>
      <c r="H30" s="896">
        <v>0.99434610000000001</v>
      </c>
      <c r="J30" s="877" t="s">
        <v>623</v>
      </c>
      <c r="K30" s="871">
        <v>45050</v>
      </c>
      <c r="L30" s="896">
        <v>0.99523663699999998</v>
      </c>
      <c r="Y30" s="871">
        <f t="shared" ca="1" si="0"/>
        <v>44474</v>
      </c>
      <c r="Z30" s="465">
        <v>0.99961892112189865</v>
      </c>
      <c r="AC30" s="871">
        <v>44469</v>
      </c>
      <c r="AD30" s="465">
        <v>0.99910010175508768</v>
      </c>
      <c r="AG30" s="871">
        <v>44834</v>
      </c>
      <c r="AH30" s="465">
        <v>0.93911411596110872</v>
      </c>
      <c r="AK30" s="62" t="s">
        <v>35</v>
      </c>
      <c r="AL30" s="63" t="s">
        <v>737</v>
      </c>
      <c r="AM30" s="961" t="s">
        <v>738</v>
      </c>
      <c r="AN30" s="64" t="s">
        <v>42</v>
      </c>
      <c r="AQ30" s="8">
        <v>45384</v>
      </c>
      <c r="AR30" s="992">
        <v>0.85267887250625574</v>
      </c>
    </row>
    <row r="31" spans="2:44">
      <c r="B31" s="125" t="s">
        <v>626</v>
      </c>
      <c r="C31" s="871">
        <v>45077</v>
      </c>
      <c r="D31" s="465">
        <v>0.98768435499999996</v>
      </c>
      <c r="F31" s="877" t="s">
        <v>626</v>
      </c>
      <c r="G31" s="871">
        <v>45077</v>
      </c>
      <c r="H31" s="896">
        <v>0.98719480000000004</v>
      </c>
      <c r="J31" s="877" t="s">
        <v>626</v>
      </c>
      <c r="K31" s="871">
        <v>45082</v>
      </c>
      <c r="L31" s="896">
        <v>0.99065656000000002</v>
      </c>
      <c r="N31" s="903"/>
      <c r="Y31" s="871">
        <f t="shared" ca="1" si="0"/>
        <v>44566</v>
      </c>
      <c r="Z31" s="465">
        <v>0.99940923497933887</v>
      </c>
      <c r="AC31" s="871">
        <v>44502</v>
      </c>
      <c r="AD31" s="465">
        <v>0.99899920452018776</v>
      </c>
      <c r="AG31" s="871">
        <v>44925</v>
      </c>
      <c r="AH31" s="465">
        <v>0.927254656104601</v>
      </c>
      <c r="AK31" s="965" t="s">
        <v>632</v>
      </c>
      <c r="AL31" s="707">
        <f ca="1">69/10000</f>
        <v>6.8999999999999999E-3</v>
      </c>
      <c r="AM31" s="962">
        <v>2</v>
      </c>
      <c r="AN31" s="250" t="b">
        <v>1</v>
      </c>
      <c r="AQ31" s="8">
        <v>45748</v>
      </c>
      <c r="AR31" s="992">
        <v>0.79530748345081337</v>
      </c>
    </row>
    <row r="32" spans="2:44">
      <c r="B32" s="125" t="s">
        <v>627</v>
      </c>
      <c r="C32" s="871">
        <v>45107</v>
      </c>
      <c r="D32" s="465">
        <v>0.98146443900000002</v>
      </c>
      <c r="F32" s="877" t="s">
        <v>627</v>
      </c>
      <c r="G32" s="871">
        <v>45107</v>
      </c>
      <c r="H32" s="896">
        <v>0.98054549999999996</v>
      </c>
      <c r="J32" s="877" t="s">
        <v>627</v>
      </c>
      <c r="K32" s="871">
        <v>45112</v>
      </c>
      <c r="L32" s="896">
        <v>0.98638947300000002</v>
      </c>
      <c r="Y32" s="871">
        <f t="shared" ca="1" si="0"/>
        <v>44656</v>
      </c>
      <c r="Z32" s="465">
        <v>0.99917844871257111</v>
      </c>
      <c r="AC32" s="871">
        <v>44530</v>
      </c>
      <c r="AD32" s="465">
        <v>0.99886932915421978</v>
      </c>
      <c r="AG32" s="871">
        <v>45019</v>
      </c>
      <c r="AH32" s="465">
        <v>0.91469536953011721</v>
      </c>
      <c r="AK32" s="966" t="s">
        <v>647</v>
      </c>
      <c r="AL32" s="708">
        <v>5.7000000000000002E-3</v>
      </c>
      <c r="AM32" s="963">
        <v>2</v>
      </c>
      <c r="AN32" s="252" t="b">
        <v>1</v>
      </c>
      <c r="AQ32" s="8">
        <v>46113</v>
      </c>
      <c r="AR32" s="992">
        <v>0.73442996186163922</v>
      </c>
    </row>
    <row r="33" spans="2:44">
      <c r="B33" s="125" t="s">
        <v>628</v>
      </c>
      <c r="C33" s="871">
        <v>45198</v>
      </c>
      <c r="D33" s="465">
        <v>0.96091179299999996</v>
      </c>
      <c r="F33" s="877" t="s">
        <v>628</v>
      </c>
      <c r="G33" s="871">
        <v>45198</v>
      </c>
      <c r="H33" s="896">
        <v>0.96094789999999997</v>
      </c>
      <c r="J33" s="877" t="s">
        <v>628</v>
      </c>
      <c r="K33" s="871">
        <v>45203</v>
      </c>
      <c r="L33" s="896">
        <v>0.97355813899999999</v>
      </c>
      <c r="Y33" s="871">
        <f t="shared" ca="1" si="0"/>
        <v>44839</v>
      </c>
      <c r="Z33" s="465">
        <v>0.9984714980301832</v>
      </c>
      <c r="AC33" s="871">
        <v>44560</v>
      </c>
      <c r="AD33" s="465">
        <v>0.99857479669559857</v>
      </c>
      <c r="AG33" s="871">
        <v>45379</v>
      </c>
      <c r="AH33" s="465">
        <v>0.86234374883000919</v>
      </c>
      <c r="AK33" s="966" t="s">
        <v>648</v>
      </c>
      <c r="AL33" s="708">
        <f ca="1">46/10000</f>
        <v>4.5999999999999999E-3</v>
      </c>
      <c r="AM33" s="963">
        <v>2</v>
      </c>
      <c r="AN33" s="252" t="b">
        <v>1</v>
      </c>
      <c r="AQ33" s="8">
        <v>46478</v>
      </c>
      <c r="AR33" s="992">
        <v>0.67356811753159784</v>
      </c>
    </row>
    <row r="34" spans="2:44">
      <c r="B34" s="125" t="s">
        <v>667</v>
      </c>
      <c r="C34" s="871">
        <v>45289</v>
      </c>
      <c r="D34" s="465">
        <v>0.94072104300000003</v>
      </c>
      <c r="F34" s="877" t="s">
        <v>667</v>
      </c>
      <c r="G34" s="871">
        <v>45289</v>
      </c>
      <c r="H34" s="896">
        <v>0.94165010000000005</v>
      </c>
      <c r="J34" s="877" t="s">
        <v>667</v>
      </c>
      <c r="K34" s="871">
        <v>45295</v>
      </c>
      <c r="L34" s="896">
        <v>0.96170955700000005</v>
      </c>
      <c r="Y34" s="871">
        <f t="shared" ca="1" si="0"/>
        <v>45021</v>
      </c>
      <c r="Z34" s="465">
        <v>0.99704258580517213</v>
      </c>
      <c r="AC34" s="871">
        <v>44593</v>
      </c>
      <c r="AD34" s="465">
        <v>0.99840584430000068</v>
      </c>
      <c r="AG34" s="871">
        <v>45747</v>
      </c>
      <c r="AH34" s="465">
        <v>0.80211211609508848</v>
      </c>
      <c r="AK34" s="966" t="s">
        <v>649</v>
      </c>
      <c r="AL34" s="708">
        <v>3.8E-3</v>
      </c>
      <c r="AM34" s="963">
        <v>2</v>
      </c>
      <c r="AN34" s="252" t="b">
        <v>1</v>
      </c>
      <c r="AQ34" s="8">
        <v>46846</v>
      </c>
      <c r="AR34" s="992">
        <v>0.61456523392712425</v>
      </c>
    </row>
    <row r="35" spans="2:44">
      <c r="B35" s="125" t="s">
        <v>629</v>
      </c>
      <c r="C35" s="871">
        <v>45379</v>
      </c>
      <c r="D35" s="465">
        <v>0.92057749200000005</v>
      </c>
      <c r="F35" s="877" t="s">
        <v>629</v>
      </c>
      <c r="G35" s="871">
        <v>45379</v>
      </c>
      <c r="H35" s="896">
        <v>0.9232669</v>
      </c>
      <c r="J35" s="877" t="s">
        <v>629</v>
      </c>
      <c r="K35" s="871">
        <v>45386</v>
      </c>
      <c r="L35" s="896">
        <v>0.95118707199999997</v>
      </c>
      <c r="Y35" s="871">
        <f t="shared" ca="1" si="0"/>
        <v>45387</v>
      </c>
      <c r="Z35" s="465">
        <v>0.98995512228815885</v>
      </c>
      <c r="AC35" s="871">
        <v>44620</v>
      </c>
      <c r="AD35" s="465">
        <v>0.99823428805370984</v>
      </c>
      <c r="AG35" s="871">
        <v>46112</v>
      </c>
      <c r="AH35" s="465">
        <v>0.73811249343083374</v>
      </c>
      <c r="AK35" s="966" t="s">
        <v>650</v>
      </c>
      <c r="AL35" s="708">
        <v>3.0000000000000001E-3</v>
      </c>
      <c r="AM35" s="963">
        <v>2</v>
      </c>
      <c r="AN35" s="252" t="b">
        <v>1</v>
      </c>
      <c r="AQ35" s="8">
        <v>47211</v>
      </c>
      <c r="AR35" s="992">
        <v>0.55780791755217463</v>
      </c>
    </row>
    <row r="36" spans="2:44">
      <c r="B36" s="125" t="s">
        <v>632</v>
      </c>
      <c r="C36" s="871">
        <v>45747</v>
      </c>
      <c r="D36" s="465">
        <v>0.85585145699999998</v>
      </c>
      <c r="F36" s="877" t="s">
        <v>632</v>
      </c>
      <c r="G36" s="871">
        <v>45747</v>
      </c>
      <c r="H36" s="896">
        <v>0.85543950000000002</v>
      </c>
      <c r="J36" s="877" t="s">
        <v>632</v>
      </c>
      <c r="K36" s="871">
        <v>45751</v>
      </c>
      <c r="L36" s="896">
        <v>0.91719768300000004</v>
      </c>
      <c r="Y36" s="871">
        <f t="shared" ca="1" si="0"/>
        <v>45754</v>
      </c>
      <c r="Z36" s="465">
        <v>0.97638294403150039</v>
      </c>
      <c r="AC36" s="871">
        <v>44651</v>
      </c>
      <c r="AD36" s="465">
        <v>0.99791761253178113</v>
      </c>
      <c r="AG36" s="871">
        <v>46477</v>
      </c>
      <c r="AH36" s="465">
        <v>0.67405587880105278</v>
      </c>
      <c r="AK36" s="966" t="s">
        <v>651</v>
      </c>
      <c r="AL36" s="708">
        <v>2.3E-3</v>
      </c>
      <c r="AM36" s="963">
        <v>2</v>
      </c>
      <c r="AN36" s="252" t="b">
        <v>1</v>
      </c>
      <c r="AQ36" s="8">
        <v>47574</v>
      </c>
      <c r="AR36" s="992">
        <v>0.50643280863188</v>
      </c>
    </row>
    <row r="37" spans="2:44">
      <c r="B37" s="125" t="s">
        <v>647</v>
      </c>
      <c r="C37" s="871">
        <v>46112</v>
      </c>
      <c r="D37" s="465">
        <v>0.79235356700000004</v>
      </c>
      <c r="F37" s="877" t="s">
        <v>647</v>
      </c>
      <c r="G37" s="871">
        <v>46112</v>
      </c>
      <c r="H37" s="896">
        <v>0.79222870000000001</v>
      </c>
      <c r="J37" s="877" t="s">
        <v>647</v>
      </c>
      <c r="K37" s="871">
        <v>46118</v>
      </c>
      <c r="L37" s="896">
        <v>0.888698879</v>
      </c>
      <c r="Y37" s="871">
        <f t="shared" ca="1" si="0"/>
        <v>46118</v>
      </c>
      <c r="Z37" s="465">
        <v>0.95859840460182189</v>
      </c>
      <c r="AC37" s="871">
        <v>44742</v>
      </c>
      <c r="AD37" s="465">
        <v>0.99733079948384373</v>
      </c>
      <c r="AG37" s="871">
        <v>46843</v>
      </c>
      <c r="AH37" s="465">
        <v>0.61095284847423947</v>
      </c>
      <c r="AK37" s="966" t="s">
        <v>652</v>
      </c>
      <c r="AL37" s="708">
        <v>1.6999999999999999E-3</v>
      </c>
      <c r="AM37" s="963">
        <v>2</v>
      </c>
      <c r="AN37" s="252" t="b">
        <v>1</v>
      </c>
      <c r="AQ37" s="8">
        <v>47939</v>
      </c>
      <c r="AR37" s="992">
        <v>0.45879745811321393</v>
      </c>
    </row>
    <row r="38" spans="2:44">
      <c r="B38" s="125" t="s">
        <v>648</v>
      </c>
      <c r="C38" s="871">
        <v>46477</v>
      </c>
      <c r="D38" s="465">
        <v>0.72987643800000002</v>
      </c>
      <c r="F38" s="877" t="s">
        <v>648</v>
      </c>
      <c r="G38" s="871">
        <v>46477</v>
      </c>
      <c r="H38" s="896">
        <v>0.72975020000000002</v>
      </c>
      <c r="J38" s="877" t="s">
        <v>648</v>
      </c>
      <c r="K38" s="871">
        <v>46482</v>
      </c>
      <c r="L38" s="896">
        <v>0.86212352000000003</v>
      </c>
      <c r="Y38" s="871">
        <f t="shared" ca="1" si="0"/>
        <v>46848</v>
      </c>
      <c r="Z38" s="465">
        <v>0.916847221922653</v>
      </c>
      <c r="AC38" s="871">
        <v>44834</v>
      </c>
      <c r="AD38" s="465">
        <v>0.99657069726588954</v>
      </c>
      <c r="AG38" s="871">
        <v>47206</v>
      </c>
      <c r="AH38" s="465">
        <v>0.55139451149271068</v>
      </c>
      <c r="AK38" s="966" t="s">
        <v>653</v>
      </c>
      <c r="AL38" s="708">
        <v>1.1000000000000001E-3</v>
      </c>
      <c r="AM38" s="963">
        <v>2</v>
      </c>
      <c r="AN38" s="252" t="b">
        <v>1</v>
      </c>
      <c r="AQ38" s="8">
        <v>48670</v>
      </c>
      <c r="AR38" s="992">
        <v>0.37065541642190186</v>
      </c>
    </row>
    <row r="39" spans="2:44">
      <c r="B39" s="125" t="s">
        <v>649</v>
      </c>
      <c r="C39" s="871">
        <v>46843</v>
      </c>
      <c r="D39" s="465">
        <v>0.66780551399999999</v>
      </c>
      <c r="F39" s="877" t="s">
        <v>649</v>
      </c>
      <c r="G39" s="871">
        <v>46843</v>
      </c>
      <c r="H39" s="896">
        <v>0.66768899999999998</v>
      </c>
      <c r="J39" s="877" t="s">
        <v>649</v>
      </c>
      <c r="K39" s="871">
        <v>46847</v>
      </c>
      <c r="L39" s="896">
        <v>0.83607659400000001</v>
      </c>
      <c r="Y39" s="871">
        <f t="shared" ca="1" si="0"/>
        <v>47945</v>
      </c>
      <c r="Z39" s="465">
        <v>0.85313470404884062</v>
      </c>
      <c r="AC39" s="871">
        <v>44925</v>
      </c>
      <c r="AD39" s="465">
        <v>0.99561008355869274</v>
      </c>
      <c r="AG39" s="871">
        <v>47571</v>
      </c>
      <c r="AH39" s="465">
        <v>0.49551512522715596</v>
      </c>
      <c r="AK39" s="966" t="s">
        <v>654</v>
      </c>
      <c r="AL39" s="708">
        <v>5.9999999999999995E-4</v>
      </c>
      <c r="AM39" s="963">
        <v>2</v>
      </c>
      <c r="AN39" s="252" t="b">
        <v>1</v>
      </c>
      <c r="AQ39" s="8">
        <v>49766</v>
      </c>
      <c r="AR39" s="992">
        <v>0.27227842714998868</v>
      </c>
    </row>
    <row r="40" spans="2:44">
      <c r="B40" s="125" t="s">
        <v>650</v>
      </c>
      <c r="C40" s="871">
        <v>47206</v>
      </c>
      <c r="D40" s="465">
        <v>0.60568792999999999</v>
      </c>
      <c r="F40" s="877" t="s">
        <v>650</v>
      </c>
      <c r="G40" s="871">
        <v>47206</v>
      </c>
      <c r="H40" s="896">
        <v>0.60557669999999997</v>
      </c>
      <c r="J40" s="877" t="s">
        <v>650</v>
      </c>
      <c r="K40" s="871">
        <v>47212</v>
      </c>
      <c r="L40" s="896">
        <v>0.81026768800000004</v>
      </c>
      <c r="Y40" s="871">
        <f t="shared" ca="1" si="0"/>
        <v>48674</v>
      </c>
      <c r="Z40" s="465">
        <v>0.81185356759498484</v>
      </c>
      <c r="AC40" s="871">
        <v>45019</v>
      </c>
      <c r="AD40" s="465">
        <v>0.99432385829745307</v>
      </c>
      <c r="AG40" s="871">
        <v>47938</v>
      </c>
      <c r="AH40" s="465">
        <v>0.44356851386849538</v>
      </c>
      <c r="AK40" s="966" t="s">
        <v>655</v>
      </c>
      <c r="AL40" s="708">
        <v>0</v>
      </c>
      <c r="AM40" s="963">
        <v>2</v>
      </c>
      <c r="AN40" s="252" t="b">
        <v>1</v>
      </c>
      <c r="AQ40" s="8">
        <v>51592</v>
      </c>
      <c r="AR40" s="992">
        <v>0.17400644459089204</v>
      </c>
    </row>
    <row r="41" spans="2:44">
      <c r="B41" s="125" t="s">
        <v>651</v>
      </c>
      <c r="C41" s="871">
        <v>47571</v>
      </c>
      <c r="D41" s="465">
        <v>0.54612932300000006</v>
      </c>
      <c r="F41" s="877" t="s">
        <v>651</v>
      </c>
      <c r="G41" s="871">
        <v>47571</v>
      </c>
      <c r="H41" s="896">
        <v>0.54602439999999997</v>
      </c>
      <c r="J41" s="877" t="s">
        <v>651</v>
      </c>
      <c r="K41" s="871">
        <v>47577</v>
      </c>
      <c r="L41" s="896">
        <v>0.78501168799999999</v>
      </c>
      <c r="Y41" s="871">
        <f t="shared" ca="1" si="0"/>
        <v>49772</v>
      </c>
      <c r="Z41" s="465">
        <v>0.75461329995598525</v>
      </c>
      <c r="AC41" s="871">
        <v>45387</v>
      </c>
      <c r="AD41" s="465">
        <v>0.98432727184694901</v>
      </c>
      <c r="AG41" s="871">
        <v>48669</v>
      </c>
      <c r="AH41" s="465">
        <v>0.35154932738557765</v>
      </c>
      <c r="AK41" s="966" t="s">
        <v>656</v>
      </c>
      <c r="AL41" s="708">
        <v>-8.0000000000000004E-4</v>
      </c>
      <c r="AM41" s="963">
        <v>2</v>
      </c>
      <c r="AN41" s="252" t="b">
        <v>1</v>
      </c>
    </row>
    <row r="42" spans="2:44">
      <c r="B42" s="125" t="s">
        <v>652</v>
      </c>
      <c r="C42" s="871">
        <v>47938</v>
      </c>
      <c r="D42" s="465">
        <v>0.49058402699999998</v>
      </c>
      <c r="F42" s="877" t="s">
        <v>652</v>
      </c>
      <c r="G42" s="871">
        <v>47938</v>
      </c>
      <c r="H42" s="896">
        <v>0.49048560000000002</v>
      </c>
      <c r="J42" s="877" t="s">
        <v>652</v>
      </c>
      <c r="K42" s="871">
        <v>47942</v>
      </c>
      <c r="L42" s="896">
        <v>0.76021046599999997</v>
      </c>
      <c r="Y42" s="871">
        <f t="shared" ca="1" si="0"/>
        <v>51596</v>
      </c>
      <c r="Z42" s="465">
        <v>0.67259667371996701</v>
      </c>
      <c r="AC42" s="871">
        <v>45754</v>
      </c>
      <c r="AD42" s="465">
        <v>0.96844277265189782</v>
      </c>
      <c r="AG42" s="871">
        <v>49765</v>
      </c>
      <c r="AH42" s="465">
        <v>0.24855440058426634</v>
      </c>
      <c r="AK42" s="967" t="s">
        <v>657</v>
      </c>
      <c r="AL42" s="709">
        <v>-2.3500000000000001E-3</v>
      </c>
      <c r="AM42" s="964">
        <v>2</v>
      </c>
      <c r="AN42" s="255" t="b">
        <v>1</v>
      </c>
    </row>
    <row r="43" spans="2:44">
      <c r="B43" s="125" t="s">
        <v>653</v>
      </c>
      <c r="C43" s="871">
        <v>48304</v>
      </c>
      <c r="D43" s="465">
        <v>0.439981173</v>
      </c>
      <c r="F43" s="877" t="s">
        <v>653</v>
      </c>
      <c r="G43" s="871">
        <v>48304</v>
      </c>
      <c r="H43" s="896">
        <v>0.43988929999999998</v>
      </c>
      <c r="J43" s="877" t="s">
        <v>653</v>
      </c>
      <c r="K43" s="871">
        <v>48309</v>
      </c>
      <c r="L43" s="896">
        <v>0.73522727300000001</v>
      </c>
      <c r="Y43" s="871">
        <f t="shared" ca="1" si="0"/>
        <v>53422</v>
      </c>
      <c r="Z43" s="465">
        <v>0.60413888068019361</v>
      </c>
      <c r="AC43" s="871">
        <v>46118</v>
      </c>
      <c r="AD43" s="465">
        <v>0.94805319340061789</v>
      </c>
      <c r="AG43" s="871">
        <v>51589</v>
      </c>
      <c r="AH43" s="465">
        <v>0.1419763663614545</v>
      </c>
    </row>
    <row r="44" spans="2:44">
      <c r="B44" s="125" t="s">
        <v>654</v>
      </c>
      <c r="C44" s="871">
        <v>48669</v>
      </c>
      <c r="D44" s="465">
        <v>0.39577822400000001</v>
      </c>
      <c r="F44" s="899" t="s">
        <v>654</v>
      </c>
      <c r="G44" s="900">
        <v>48669</v>
      </c>
      <c r="H44" s="901">
        <v>0.39569320000000002</v>
      </c>
      <c r="J44" s="877" t="s">
        <v>654</v>
      </c>
      <c r="K44" s="871">
        <v>48673</v>
      </c>
      <c r="L44" s="896">
        <v>0.71099246900000002</v>
      </c>
      <c r="Y44" s="872">
        <f t="shared" ca="1" si="0"/>
        <v>55248</v>
      </c>
      <c r="Z44" s="898">
        <v>0.545474652384628</v>
      </c>
      <c r="AC44" s="871">
        <v>46482</v>
      </c>
      <c r="AD44" s="465">
        <v>0.9255257400239294</v>
      </c>
      <c r="AG44" s="871">
        <v>53416</v>
      </c>
      <c r="AH44" s="465">
        <v>8.2442215018176099E-2</v>
      </c>
    </row>
    <row r="45" spans="2:44">
      <c r="B45" s="125" t="s">
        <v>655</v>
      </c>
      <c r="C45" s="871">
        <v>49398</v>
      </c>
      <c r="D45" s="465">
        <v>0.31771698599999998</v>
      </c>
      <c r="F45" s="877" t="s">
        <v>655</v>
      </c>
      <c r="G45" s="871">
        <v>49398</v>
      </c>
      <c r="H45" s="896">
        <v>0.3176445</v>
      </c>
      <c r="J45" s="877" t="s">
        <v>655</v>
      </c>
      <c r="K45" s="871">
        <v>49403</v>
      </c>
      <c r="L45" s="896">
        <v>0.663886482</v>
      </c>
      <c r="AC45" s="871">
        <v>46848</v>
      </c>
      <c r="AD45" s="465">
        <v>0.90252130465230229</v>
      </c>
      <c r="AG45" s="872">
        <v>55243</v>
      </c>
      <c r="AH45" s="898">
        <v>5.3272385379469156E-2</v>
      </c>
      <c r="AL45" s="968">
        <v>4900</v>
      </c>
    </row>
    <row r="46" spans="2:44">
      <c r="B46" s="125" t="s">
        <v>656</v>
      </c>
      <c r="C46" s="871">
        <v>50495</v>
      </c>
      <c r="D46" s="465">
        <v>0.23207609700000001</v>
      </c>
      <c r="F46" s="899" t="s">
        <v>656</v>
      </c>
      <c r="G46" s="900">
        <v>50495</v>
      </c>
      <c r="H46" s="901">
        <v>0.23202039999999999</v>
      </c>
      <c r="J46" s="877" t="s">
        <v>656</v>
      </c>
      <c r="K46" s="871">
        <v>50500</v>
      </c>
      <c r="L46" s="896">
        <v>0.59854510000000005</v>
      </c>
      <c r="AC46" s="871">
        <v>47213</v>
      </c>
      <c r="AD46" s="465">
        <v>0.87982117054757125</v>
      </c>
      <c r="AL46" s="439">
        <f ca="1">AL45*21</f>
        <v>102900</v>
      </c>
    </row>
    <row r="47" spans="2:44">
      <c r="B47" s="125" t="s">
        <v>657</v>
      </c>
      <c r="C47" s="871">
        <v>52321</v>
      </c>
      <c r="D47" s="465">
        <v>0.14914686399999999</v>
      </c>
      <c r="F47" s="877" t="s">
        <v>657</v>
      </c>
      <c r="G47" s="871">
        <v>52321</v>
      </c>
      <c r="H47" s="896">
        <v>0.14911199999999999</v>
      </c>
      <c r="J47" s="877" t="s">
        <v>657</v>
      </c>
      <c r="K47" s="871">
        <v>52327</v>
      </c>
      <c r="L47" s="896">
        <v>0.50990804499999998</v>
      </c>
      <c r="AC47" s="871">
        <v>47578</v>
      </c>
      <c r="AD47" s="465">
        <v>0.85705985574434451</v>
      </c>
    </row>
    <row r="48" spans="2:44">
      <c r="B48" s="125" t="s">
        <v>658</v>
      </c>
      <c r="C48" s="871">
        <v>54148</v>
      </c>
      <c r="D48" s="465">
        <v>0.104645248</v>
      </c>
      <c r="F48" s="877" t="s">
        <v>658</v>
      </c>
      <c r="G48" s="871">
        <v>54148</v>
      </c>
      <c r="H48" s="896">
        <v>0.10462349999999999</v>
      </c>
      <c r="J48" s="877" t="s">
        <v>658</v>
      </c>
      <c r="K48" s="871">
        <v>54154</v>
      </c>
      <c r="L48" s="896">
        <v>0.44646429199999998</v>
      </c>
      <c r="AC48" s="871">
        <v>47945</v>
      </c>
      <c r="AD48" s="465">
        <v>0.83425817976781114</v>
      </c>
    </row>
    <row r="49" spans="2:30">
      <c r="B49" s="127" t="s">
        <v>659</v>
      </c>
      <c r="C49" s="872">
        <v>55974</v>
      </c>
      <c r="D49" s="898">
        <v>4.6601701000000002E-2</v>
      </c>
      <c r="F49" s="878" t="s">
        <v>659</v>
      </c>
      <c r="G49" s="879">
        <v>55974</v>
      </c>
      <c r="H49" s="897">
        <v>4.6587700000000003E-2</v>
      </c>
      <c r="J49" s="877" t="s">
        <v>659</v>
      </c>
      <c r="K49" s="871">
        <v>55978</v>
      </c>
      <c r="L49" s="896">
        <v>0.39598382399999998</v>
      </c>
      <c r="AC49" s="871">
        <v>48674</v>
      </c>
      <c r="AD49" s="465">
        <v>0.79040577506564624</v>
      </c>
    </row>
    <row r="50" spans="2:30">
      <c r="J50" s="877" t="s">
        <v>695</v>
      </c>
      <c r="K50" s="871">
        <v>59630</v>
      </c>
      <c r="L50" s="896">
        <v>0.331760479</v>
      </c>
      <c r="AC50" s="871">
        <v>49772</v>
      </c>
      <c r="AD50" s="465">
        <v>0.72986767757360771</v>
      </c>
    </row>
    <row r="51" spans="2:30">
      <c r="J51" s="878" t="s">
        <v>696</v>
      </c>
      <c r="K51" s="879">
        <v>63283</v>
      </c>
      <c r="L51" s="897">
        <v>0.29387605100000003</v>
      </c>
      <c r="AC51" s="871">
        <v>51596</v>
      </c>
      <c r="AD51" s="465">
        <v>0.64279189430997974</v>
      </c>
    </row>
    <row r="52" spans="2:30">
      <c r="D52" s="885"/>
      <c r="F52" s="591" t="s">
        <v>685</v>
      </c>
      <c r="AC52" s="871">
        <v>53422</v>
      </c>
      <c r="AD52" s="465">
        <v>0.57213277271920826</v>
      </c>
    </row>
    <row r="53" spans="2:30">
      <c r="F53" s="591" t="s">
        <v>686</v>
      </c>
      <c r="AC53" s="871">
        <v>55248</v>
      </c>
      <c r="AD53" s="465">
        <v>0.51094493705605015</v>
      </c>
    </row>
    <row r="54" spans="2:30">
      <c r="B54" s="121" t="s">
        <v>691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692</v>
      </c>
      <c r="O54" s="192"/>
      <c r="P54" s="122"/>
      <c r="Q54" s="122"/>
      <c r="R54" s="122"/>
      <c r="S54" s="122"/>
      <c r="T54" s="122"/>
      <c r="U54" s="122"/>
      <c r="V54" s="122"/>
      <c r="W54" s="122"/>
      <c r="AC54" s="872">
        <v>58901</v>
      </c>
      <c r="AD54" s="898">
        <v>0.42537340963061948</v>
      </c>
    </row>
    <row r="55" spans="2:30">
      <c r="B55" s="886" t="s">
        <v>678</v>
      </c>
      <c r="C55" s="887" t="s">
        <v>679</v>
      </c>
      <c r="D55" s="887" t="s">
        <v>682</v>
      </c>
      <c r="E55" s="887" t="s">
        <v>683</v>
      </c>
      <c r="F55" s="887" t="s">
        <v>687</v>
      </c>
      <c r="G55" s="887" t="s">
        <v>684</v>
      </c>
      <c r="H55" s="887" t="s">
        <v>688</v>
      </c>
      <c r="I55" s="887" t="s">
        <v>689</v>
      </c>
      <c r="J55" s="887" t="s">
        <v>690</v>
      </c>
      <c r="K55" s="888" t="s">
        <v>680</v>
      </c>
      <c r="L55" s="890" t="s">
        <v>693</v>
      </c>
      <c r="M55" s="890" t="s">
        <v>694</v>
      </c>
      <c r="N55" s="886" t="s">
        <v>678</v>
      </c>
      <c r="O55" s="887" t="s">
        <v>679</v>
      </c>
      <c r="P55" s="887" t="s">
        <v>682</v>
      </c>
      <c r="Q55" s="887" t="s">
        <v>683</v>
      </c>
      <c r="R55" s="887" t="s">
        <v>687</v>
      </c>
      <c r="S55" s="887" t="s">
        <v>684</v>
      </c>
      <c r="T55" s="887" t="s">
        <v>688</v>
      </c>
      <c r="U55" s="887" t="s">
        <v>689</v>
      </c>
      <c r="V55" s="887" t="s">
        <v>690</v>
      </c>
      <c r="W55" s="888" t="s">
        <v>680</v>
      </c>
    </row>
    <row r="56" spans="2:30">
      <c r="B56" s="940">
        <v>45016</v>
      </c>
      <c r="C56" s="941">
        <v>10000000</v>
      </c>
      <c r="D56" s="722"/>
      <c r="E56" s="722"/>
      <c r="F56" s="722"/>
      <c r="G56" s="722"/>
      <c r="H56" s="722"/>
      <c r="I56" s="722"/>
      <c r="J56" s="722"/>
      <c r="K56" s="941">
        <v>10000000</v>
      </c>
      <c r="L56" s="942">
        <v>17.792700000000011</v>
      </c>
      <c r="M56" s="942">
        <f>L56</f>
        <v>17.792700000000011</v>
      </c>
      <c r="N56" s="943">
        <f>M56-L56</f>
        <v>0</v>
      </c>
      <c r="Q56" s="884"/>
      <c r="R56" s="883"/>
    </row>
    <row r="57" spans="2:30">
      <c r="B57" s="940">
        <v>45107</v>
      </c>
      <c r="C57" s="889"/>
      <c r="D57" s="944">
        <v>7.9449336984840704E-2</v>
      </c>
      <c r="E57" s="945">
        <v>-1.3066301515926599</v>
      </c>
      <c r="F57" s="946">
        <f>D57</f>
        <v>7.9449336984840704E-2</v>
      </c>
      <c r="G57" s="300" t="str" cm="1">
        <f t="array" ref="G57">_xll.d.TestUtils_Equal(D57,F57)</f>
        <v>Ok</v>
      </c>
      <c r="H57" s="941">
        <v>-198079.16892110999</v>
      </c>
      <c r="I57" s="941" cm="1">
        <f t="array" ref="I57">-$C$56*_xll.d.Dates_Act365(B56,B57)*F57</f>
        <v>-198079.1689211097</v>
      </c>
      <c r="J57" s="455" t="str" cm="1">
        <f t="array" ref="J57">_xll.d.TestUtils_Equal(H57,I57)</f>
        <v>Ok</v>
      </c>
      <c r="K57" s="941">
        <v>-198079.16892110999</v>
      </c>
      <c r="L57" s="942">
        <v>17.894870650852098</v>
      </c>
      <c r="M57" s="942" cm="1">
        <f t="array" aca="1" ref="M57" ca="1">$M$56*_xll.d.Curve_GetDiscountFactors($K$16,B57)/_xll.d.Curve_GetDiscountFactors($G$16,B57)</f>
        <v>17.911641208201114</v>
      </c>
      <c r="N57" s="943">
        <f t="shared" ref="N57:N104" ca="1" si="1">M57-L57</f>
        <v>1.6770557349016002E-2</v>
      </c>
      <c r="O57" s="891">
        <f>L57-L56</f>
        <v>0.10217065085208787</v>
      </c>
      <c r="Q57" s="884"/>
      <c r="R57" s="883"/>
    </row>
    <row r="58" spans="2:30">
      <c r="B58" s="940">
        <v>45198</v>
      </c>
      <c r="C58" s="889"/>
      <c r="D58" s="944">
        <v>8.5659143971575508E-2</v>
      </c>
      <c r="E58" s="945">
        <v>-1.3066301515926599</v>
      </c>
      <c r="F58" s="947" cm="1">
        <f t="array" aca="1" ref="F58" ca="1">_xll.d.Curve_GetForwardRates($C$16,B57,B58,"Simple")+E58/10000</f>
        <v>8.5659143971575549E-2</v>
      </c>
      <c r="G58" s="300" t="str" cm="1">
        <f t="array" aca="1" ref="G58" ca="1">_xll.d.TestUtils_Equal(D58,F58)</f>
        <v>Ok</v>
      </c>
      <c r="H58" s="941">
        <v>-213561.15346338</v>
      </c>
      <c r="I58" s="941" cm="1">
        <f t="array" aca="1" ref="I58" ca="1">-$C$56*_xll.d.Dates_Act365(B57,B58)*F58</f>
        <v>-213561.15346338015</v>
      </c>
      <c r="J58" s="455" t="str" cm="1">
        <f t="array" aca="1" ref="J58" ca="1">_xll.d.TestUtils_Equal(H58,I58)</f>
        <v>Ok</v>
      </c>
      <c r="K58" s="941">
        <v>-213561.15346338</v>
      </c>
      <c r="L58" s="942">
        <v>18.039530362361127</v>
      </c>
      <c r="M58" s="942" cm="1">
        <f t="array" aca="1" ref="M58" ca="1">$M$56*_xll.d.Curve_GetDiscountFactors($K$16,B58)/_xll.d.Curve_GetDiscountFactors($G$16,B58)</f>
        <v>18.038852538596931</v>
      </c>
      <c r="N58" s="943">
        <f t="shared" ca="1" si="1"/>
        <v>-6.778237641960061E-4</v>
      </c>
      <c r="Q58" s="884"/>
      <c r="R58" s="883"/>
    </row>
    <row r="59" spans="2:30">
      <c r="B59" s="940">
        <v>45289</v>
      </c>
      <c r="C59" s="889"/>
      <c r="D59" s="944">
        <v>8.5957425452982406E-2</v>
      </c>
      <c r="E59" s="945">
        <v>-1.3066301515926599</v>
      </c>
      <c r="F59" s="946" cm="1">
        <f t="array" aca="1" ref="F59" ca="1">_xll.d.Curve_GetForwardRates($C$16,B58,B59,"Simple")+E59/10000</f>
        <v>8.5957425452982378E-2</v>
      </c>
      <c r="G59" s="300" t="str" cm="1">
        <f t="array" aca="1" ref="G59" ca="1">_xll.d.TestUtils_Equal(D59,F59)</f>
        <v>Ok</v>
      </c>
      <c r="H59" s="941">
        <v>-214304.814143052</v>
      </c>
      <c r="I59" s="941" cm="1">
        <f t="array" aca="1" ref="I59" ca="1">-$C$56*_xll.d.Dates_Act365(B58,B59)*F59</f>
        <v>-214304.81414305195</v>
      </c>
      <c r="J59" s="455" t="str" cm="1">
        <f t="array" aca="1" ref="J59" ca="1">_xll.d.TestUtils_Equal(H59,I59)</f>
        <v>Ok</v>
      </c>
      <c r="K59" s="941">
        <v>-214304.814143052</v>
      </c>
      <c r="L59" s="942">
        <v>18.203540394045042</v>
      </c>
      <c r="M59" s="942" cm="1">
        <f t="array" aca="1" ref="M59" ca="1">$M$56*_xll.d.Curve_GetDiscountFactors($K$16,B59)/_xll.d.Curve_GetDiscountFactors($G$16,B59)</f>
        <v>18.185580297584739</v>
      </c>
      <c r="N59" s="943">
        <f t="shared" ca="1" si="1"/>
        <v>-1.7960096460303276E-2</v>
      </c>
      <c r="Q59" s="884"/>
      <c r="R59" s="883"/>
    </row>
    <row r="60" spans="2:30">
      <c r="B60" s="940">
        <v>45379</v>
      </c>
      <c r="C60" s="889"/>
      <c r="D60" s="944">
        <v>8.8610687796257609E-2</v>
      </c>
      <c r="E60" s="945">
        <v>-1.3066301515926599</v>
      </c>
      <c r="F60" s="946" cm="1">
        <f t="array" aca="1" ref="F60" ca="1">_xll.d.Curve_GetForwardRates($C$16,B59,B60,"Simple")+E60/10000</f>
        <v>8.8610687796257651E-2</v>
      </c>
      <c r="G60" s="300" t="str" cm="1">
        <f t="array" aca="1" ref="G60" ca="1">_xll.d.TestUtils_Equal(D60,F60)</f>
        <v>Ok</v>
      </c>
      <c r="H60" s="941">
        <v>-218492.10689488199</v>
      </c>
      <c r="I60" s="941" cm="1">
        <f t="array" aca="1" ref="I60" ca="1">-$C$56*_xll.d.Dates_Act365(B59,B60)*F60</f>
        <v>-218492.1068948819</v>
      </c>
      <c r="J60" s="455" t="str" cm="1">
        <f t="array" aca="1" ref="J60" ca="1">_xll.d.TestUtils_Equal(H60,I60)</f>
        <v>Ok</v>
      </c>
      <c r="K60" s="941">
        <v>-218492.10689488199</v>
      </c>
      <c r="L60" s="942">
        <v>18.399227340008586</v>
      </c>
      <c r="M60" s="942" cm="1">
        <f t="array" aca="1" ref="M60" ca="1">$M$56*_xll.d.Curve_GetDiscountFactors($K$16,B60)/_xll.d.Curve_GetDiscountFactors($G$16,B60)</f>
        <v>18.345631755457656</v>
      </c>
      <c r="N60" s="943">
        <f t="shared" ca="1" si="1"/>
        <v>-5.3595584550929942E-2</v>
      </c>
      <c r="Q60" s="884"/>
      <c r="R60" s="883"/>
    </row>
    <row r="61" spans="2:30">
      <c r="B61" s="940">
        <v>45471</v>
      </c>
      <c r="C61" s="889"/>
      <c r="D61" s="944">
        <v>8.0897533127980897E-2</v>
      </c>
      <c r="E61" s="945">
        <v>-1.3066301515926599</v>
      </c>
      <c r="F61" s="946" cm="1">
        <f t="array" aca="1" ref="F61" ca="1">_xll.d.Curve_GetForwardRates($C$16,B60,B61,"Simple")+E61/10000</f>
        <v>8.0897533127980911E-2</v>
      </c>
      <c r="G61" s="300" t="str" cm="1">
        <f t="array" aca="1" ref="G61" ca="1">_xll.d.TestUtils_Equal(D61,F61)</f>
        <v>Ok</v>
      </c>
      <c r="H61" s="941">
        <v>-203906.11089792501</v>
      </c>
      <c r="I61" s="941" cm="1">
        <f t="array" aca="1" ref="I61" ca="1">-$C$56*_xll.d.Dates_Act365(B60,B61)*F61</f>
        <v>-203906.11089792452</v>
      </c>
      <c r="J61" s="455" t="str" cm="1">
        <f t="array" aca="1" ref="J61" ca="1">_xll.d.TestUtils_Equal(H61,I61)</f>
        <v>Ok</v>
      </c>
      <c r="K61" s="941">
        <v>-203906.11089792501</v>
      </c>
      <c r="L61" s="942">
        <v>18.58389929920898</v>
      </c>
      <c r="M61" s="942" cm="1">
        <f t="array" aca="1" ref="M61" ca="1">$M$56*_xll.d.Curve_GetDiscountFactors($K$16,B61)/_xll.d.Curve_GetDiscountFactors($G$16,B61)</f>
        <v>18.517634351562098</v>
      </c>
      <c r="N61" s="943">
        <f t="shared" ca="1" si="1"/>
        <v>-6.6264947646882177E-2</v>
      </c>
      <c r="Q61" s="884"/>
      <c r="R61" s="883"/>
    </row>
    <row r="62" spans="2:30">
      <c r="B62" s="940">
        <v>45565</v>
      </c>
      <c r="C62" s="889"/>
      <c r="D62" s="944">
        <v>7.271527497035471E-2</v>
      </c>
      <c r="E62" s="945">
        <v>-1.3066301515926599</v>
      </c>
      <c r="F62" s="946" cm="1">
        <f t="array" aca="1" ref="F62" ca="1">_xll.d.Curve_GetForwardRates($C$16,B61,B62,"Simple")+E62/10000</f>
        <v>7.2715274970354654E-2</v>
      </c>
      <c r="G62" s="300" t="str" cm="1">
        <f t="array" aca="1" ref="G62" ca="1">_xll.d.TestUtils_Equal(D62,F62)</f>
        <v>Ok</v>
      </c>
      <c r="H62" s="941">
        <v>-187266.735540091</v>
      </c>
      <c r="I62" s="941" cm="1">
        <f t="array" aca="1" ref="I62" ca="1">-$C$56*_xll.d.Dates_Act365(B61,B62)*F62</f>
        <v>-187266.73554009141</v>
      </c>
      <c r="J62" s="455" t="str" cm="1">
        <f t="array" aca="1" ref="J62" ca="1">_xll.d.TestUtils_Equal(H62,I62)</f>
        <v>Ok</v>
      </c>
      <c r="K62" s="941">
        <v>-187266.735540091</v>
      </c>
      <c r="L62" s="942">
        <v>18.751249058697272</v>
      </c>
      <c r="M62" s="942" cm="1">
        <f t="array" aca="1" ref="M62" ca="1">$M$56*_xll.d.Curve_GetDiscountFactors($K$16,B62)/_xll.d.Curve_GetDiscountFactors($G$16,B62)</f>
        <v>18.701706712006381</v>
      </c>
      <c r="N62" s="943">
        <f t="shared" ca="1" si="1"/>
        <v>-4.9542346690891748E-2</v>
      </c>
      <c r="Q62" s="884"/>
      <c r="R62" s="883"/>
    </row>
    <row r="63" spans="2:30">
      <c r="B63" s="940">
        <v>45657</v>
      </c>
      <c r="C63" s="889"/>
      <c r="D63" s="944">
        <v>6.8658062221273602E-2</v>
      </c>
      <c r="E63" s="945">
        <v>-1.3066301515926599</v>
      </c>
      <c r="F63" s="946" cm="1">
        <f t="array" aca="1" ref="F63" ca="1">_xll.d.Curve_GetForwardRates($C$16,B62,B63,"Simple")+E63/10000</f>
        <v>6.8658062221273589E-2</v>
      </c>
      <c r="G63" s="300" t="str" cm="1">
        <f t="array" aca="1" ref="G63" ca="1">_xll.d.TestUtils_Equal(D63,F63)</f>
        <v>Ok</v>
      </c>
      <c r="H63" s="941">
        <v>-173055.93765362099</v>
      </c>
      <c r="I63" s="941" cm="1">
        <f t="array" aca="1" ref="I63" ca="1">-$C$56*_xll.d.Dates_Act365(B62,B63)*F63</f>
        <v>-173055.93765362113</v>
      </c>
      <c r="J63" s="455" t="str" cm="1">
        <f t="array" aca="1" ref="J63" ca="1">_xll.d.TestUtils_Equal(H63,I63)</f>
        <v>Ok</v>
      </c>
      <c r="K63" s="941">
        <v>-173055.93765362099</v>
      </c>
      <c r="L63" s="942">
        <v>18.909355370341672</v>
      </c>
      <c r="M63" s="942" cm="1">
        <f t="array" aca="1" ref="M63" ca="1">$M$56*_xll.d.Curve_GetDiscountFactors($K$16,B63)/_xll.d.Curve_GetDiscountFactors($G$16,B63)</f>
        <v>18.890493401102717</v>
      </c>
      <c r="N63" s="943">
        <f t="shared" ca="1" si="1"/>
        <v>-1.8861969238955112E-2</v>
      </c>
      <c r="Q63" s="884"/>
      <c r="R63" s="883"/>
    </row>
    <row r="64" spans="2:30">
      <c r="B64" s="940">
        <v>45747</v>
      </c>
      <c r="C64" s="889"/>
      <c r="D64" s="944">
        <v>6.9032399758861301E-2</v>
      </c>
      <c r="E64" s="945">
        <v>-1.3066301515926599</v>
      </c>
      <c r="F64" s="946" cm="1">
        <f t="array" aca="1" ref="F64" ca="1">_xll.d.Curve_GetForwardRates($C$16,B63,B64,"Simple")+E64/10000</f>
        <v>6.9032399758860399E-2</v>
      </c>
      <c r="G64" s="300" t="str" cm="1">
        <f t="array" aca="1" ref="G64" ca="1">_xll.d.TestUtils_Equal(D64,F64)</f>
        <v>Ok</v>
      </c>
      <c r="H64" s="941">
        <v>-170216.87611774</v>
      </c>
      <c r="I64" s="941" cm="1">
        <f t="array" aca="1" ref="I64" ca="1">-$C$56*_xll.d.Dates_Act365(B63,B64)*F64</f>
        <v>-170216.87611773796</v>
      </c>
      <c r="J64" s="455" t="str" cm="1">
        <f t="array" aca="1" ref="J64" ca="1">_xll.d.TestUtils_Equal(H64,I64)</f>
        <v>Ok</v>
      </c>
      <c r="K64" s="941">
        <v>-170216.87611774</v>
      </c>
      <c r="L64" s="942">
        <v>19.074880531430914</v>
      </c>
      <c r="M64" s="942" cm="1">
        <f t="array" aca="1" ref="M64" ca="1">$M$56*_xll.d.Curve_GetDiscountFactors($K$16,B64)/_xll.d.Curve_GetDiscountFactors($G$16,B64)</f>
        <v>19.084066488543119</v>
      </c>
      <c r="N64" s="943">
        <f t="shared" ca="1" si="1"/>
        <v>9.1859571122050454E-3</v>
      </c>
      <c r="Q64" s="884"/>
      <c r="R64" s="883"/>
    </row>
    <row r="65" spans="2:18">
      <c r="B65" s="940">
        <v>45838</v>
      </c>
      <c r="C65" s="889"/>
      <c r="D65" s="944">
        <v>7.3022999924023294E-2</v>
      </c>
      <c r="E65" s="945">
        <v>-1.3066301515926599</v>
      </c>
      <c r="F65" s="946" cm="1">
        <f t="array" aca="1" ref="F65" ca="1">_xll.d.Curve_GetForwardRates($C$16,B64,B65,"Simple")+E65/10000</f>
        <v>7.3022999924023321E-2</v>
      </c>
      <c r="G65" s="300" t="str" cm="1">
        <f t="array" aca="1" ref="G65" ca="1">_xll.d.TestUtils_Equal(D65,F65)</f>
        <v>Ok</v>
      </c>
      <c r="H65" s="941">
        <v>-182057.342276332</v>
      </c>
      <c r="I65" s="941" cm="1">
        <f t="array" aca="1" ref="I65" ca="1">-$C$56*_xll.d.Dates_Act365(B64,B65)*F65</f>
        <v>-182057.34227633211</v>
      </c>
      <c r="J65" s="455" t="str" cm="1">
        <f t="array" aca="1" ref="J65" ca="1">_xll.d.TestUtils_Equal(H65,I65)</f>
        <v>Ok</v>
      </c>
      <c r="K65" s="941">
        <v>-182057.342276332</v>
      </c>
      <c r="L65" s="942">
        <v>19.267098857294766</v>
      </c>
      <c r="M65" s="942" cm="1">
        <f t="array" aca="1" ref="M65" ca="1">$M$56*_xll.d.Curve_GetDiscountFactors($K$16,B65)/_xll.d.Curve_GetDiscountFactors($G$16,B65)</f>
        <v>19.289380253939051</v>
      </c>
      <c r="N65" s="943">
        <f t="shared" ca="1" si="1"/>
        <v>2.2281396644284968E-2</v>
      </c>
      <c r="Q65" s="884"/>
      <c r="R65" s="883"/>
    </row>
    <row r="66" spans="2:18">
      <c r="B66" s="940">
        <v>45930</v>
      </c>
      <c r="C66" s="889"/>
      <c r="D66" s="944">
        <v>7.6935608029885805E-2</v>
      </c>
      <c r="E66" s="945">
        <v>-1.3066301515926599</v>
      </c>
      <c r="F66" s="946" cm="1">
        <f t="array" aca="1" ref="F66" ca="1">_xll.d.Curve_GetForwardRates($C$16,B65,B66,"Simple")+E66/10000</f>
        <v>7.6935608029885846E-2</v>
      </c>
      <c r="G66" s="300" t="str" cm="1">
        <f t="array" aca="1" ref="G66" ca="1">_xll.d.TestUtils_Equal(D66,F66)</f>
        <v>Ok</v>
      </c>
      <c r="H66" s="941">
        <v>-193919.88873286301</v>
      </c>
      <c r="I66" s="941" cm="1">
        <f t="array" aca="1" ref="I66" ca="1">-$C$56*_xll.d.Dates_Act365(B65,B66)*F66</f>
        <v>-193919.88873286298</v>
      </c>
      <c r="J66" s="455" t="str" cm="1">
        <f t="array" aca="1" ref="J66" ca="1">_xll.d.TestUtils_Equal(H66,I66)</f>
        <v>Ok</v>
      </c>
      <c r="K66" s="941">
        <v>-193919.88873286301</v>
      </c>
      <c r="L66" s="942">
        <v>19.485576679626359</v>
      </c>
      <c r="M66" s="942" cm="1">
        <f t="array" aca="1" ref="M66" ca="1">$M$56*_xll.d.Curve_GetDiscountFactors($K$16,B66)/_xll.d.Curve_GetDiscountFactors($G$16,B66)</f>
        <v>19.507099658341769</v>
      </c>
      <c r="N66" s="943">
        <f t="shared" ca="1" si="1"/>
        <v>2.152297871541009E-2</v>
      </c>
      <c r="Q66" s="884"/>
      <c r="R66" s="883"/>
    </row>
    <row r="67" spans="2:18">
      <c r="B67" s="940">
        <v>46022</v>
      </c>
      <c r="C67" s="889"/>
      <c r="D67" s="944">
        <v>7.9704697604764507E-2</v>
      </c>
      <c r="E67" s="945">
        <v>-1.3066301515926599</v>
      </c>
      <c r="F67" s="946" cm="1">
        <f t="array" aca="1" ref="F67" ca="1">_xll.d.Curve_GetForwardRates($C$16,B66,B67,"Simple")+E67/10000</f>
        <v>7.9704697604762759E-2</v>
      </c>
      <c r="G67" s="300" t="str" cm="1">
        <f t="array" aca="1" ref="G67" ca="1">_xll.d.TestUtils_Equal(D67,F67)</f>
        <v>Ok</v>
      </c>
      <c r="H67" s="941">
        <v>-200899.511770913</v>
      </c>
      <c r="I67" s="941" cm="1">
        <f t="array" aca="1" ref="I67" ca="1">-$C$56*_xll.d.Dates_Act365(B66,B67)*F67</f>
        <v>-200899.5117709089</v>
      </c>
      <c r="J67" s="455" t="str" cm="1">
        <f t="array" aca="1" ref="J67" ca="1">_xll.d.TestUtils_Equal(H67,I67)</f>
        <v>Ok</v>
      </c>
      <c r="K67" s="941">
        <v>-200899.511770913</v>
      </c>
      <c r="L67" s="942">
        <v>19.722612154705182</v>
      </c>
      <c r="M67" s="942" cm="1">
        <f t="array" aca="1" ref="M67" ca="1">$M$56*_xll.d.Curve_GetDiscountFactors($K$16,B67)/_xll.d.Curve_GetDiscountFactors($G$16,B67)</f>
        <v>19.735394531252524</v>
      </c>
      <c r="N67" s="943">
        <f t="shared" ca="1" si="1"/>
        <v>1.2782376547342267E-2</v>
      </c>
      <c r="Q67" s="884"/>
      <c r="R67" s="883"/>
    </row>
    <row r="68" spans="2:18">
      <c r="B68" s="940">
        <v>46112</v>
      </c>
      <c r="C68" s="889"/>
      <c r="D68" s="944">
        <v>8.1190332260036413E-2</v>
      </c>
      <c r="E68" s="945">
        <v>-1.3066301515926599</v>
      </c>
      <c r="F68" s="946" cm="1">
        <f t="array" aca="1" ref="F68" ca="1">_xll.d.Curve_GetForwardRates($C$16,B67,B68,"Simple")+E68/10000</f>
        <v>8.1190332260037315E-2</v>
      </c>
      <c r="G68" s="300" t="str" cm="1">
        <f t="array" aca="1" ref="G68" ca="1">_xll.d.TestUtils_Equal(D68,F68)</f>
        <v>Ok</v>
      </c>
      <c r="H68" s="941">
        <v>-200195.339819268</v>
      </c>
      <c r="I68" s="941" cm="1">
        <f t="array" aca="1" ref="I68" ca="1">-$C$56*_xll.d.Dates_Act365(B67,B68)*F68</f>
        <v>-200195.3398192701</v>
      </c>
      <c r="J68" s="455" t="str" cm="1">
        <f t="array" aca="1" ref="J68" ca="1">_xll.d.TestUtils_Equal(H68,I68)</f>
        <v>Ok</v>
      </c>
      <c r="K68" s="941">
        <v>-200195.339819268</v>
      </c>
      <c r="L68" s="942">
        <v>19.966227236057911</v>
      </c>
      <c r="M68" s="942" cm="1">
        <f t="array" aca="1" ref="M68" ca="1">$M$56*_xll.d.Curve_GetDiscountFactors($K$16,B68)/_xll.d.Curve_GetDiscountFactors($G$16,B68)</f>
        <v>19.969374209774315</v>
      </c>
      <c r="N68" s="943">
        <f t="shared" ca="1" si="1"/>
        <v>3.1469737164044886E-3</v>
      </c>
      <c r="Q68" s="884"/>
      <c r="R68" s="883"/>
    </row>
    <row r="69" spans="2:18">
      <c r="B69" s="940">
        <v>46203</v>
      </c>
      <c r="C69" s="889"/>
      <c r="D69" s="944">
        <v>8.1659487453250398E-2</v>
      </c>
      <c r="E69" s="945">
        <v>-1.3066301515926599</v>
      </c>
      <c r="F69" s="946" cm="1">
        <f t="array" aca="1" ref="F69" ca="1">_xll.d.Curve_GetForwardRates($C$16,B68,B69,"Simple")+E69/10000</f>
        <v>8.1659487453250357E-2</v>
      </c>
      <c r="G69" s="300" t="str" cm="1">
        <f t="array" aca="1" ref="G69" ca="1">_xll.d.TestUtils_Equal(D69,F69)</f>
        <v>Ok</v>
      </c>
      <c r="H69" s="941">
        <v>-203589.40707522701</v>
      </c>
      <c r="I69" s="941" cm="1">
        <f t="array" aca="1" ref="I69" ca="1">-$C$56*_xll.d.Dates_Act365(B68,B69)*F69</f>
        <v>-203589.40707522692</v>
      </c>
      <c r="J69" s="455" t="str" cm="1">
        <f t="array" aca="1" ref="J69" ca="1">_xll.d.TestUtils_Equal(H69,I69)</f>
        <v>Ok</v>
      </c>
      <c r="K69" s="941">
        <v>-203589.40707522701</v>
      </c>
      <c r="L69" s="942">
        <v>20.218802795100956</v>
      </c>
      <c r="M69" s="942" cm="1">
        <f t="array" aca="1" ref="M69" ca="1">$M$56*_xll.d.Curve_GetDiscountFactors($K$16,B69)/_xll.d.Curve_GetDiscountFactors($G$16,B69)</f>
        <v>20.217016497717818</v>
      </c>
      <c r="N69" s="943">
        <f t="shared" ca="1" si="1"/>
        <v>-1.786297383137736E-3</v>
      </c>
      <c r="Q69" s="884"/>
      <c r="R69" s="883"/>
    </row>
    <row r="70" spans="2:18">
      <c r="B70" s="940">
        <v>46295</v>
      </c>
      <c r="C70" s="889"/>
      <c r="D70" s="944">
        <v>8.2205137998336897E-2</v>
      </c>
      <c r="E70" s="945">
        <v>-1.3066301515926599</v>
      </c>
      <c r="F70" s="946" cm="1">
        <f t="array" aca="1" ref="F70" ca="1">_xll.d.Curve_GetForwardRates($C$16,B69,B70,"Simple")+E70/10000</f>
        <v>8.2205137998337729E-2</v>
      </c>
      <c r="G70" s="300" t="str" cm="1">
        <f t="array" aca="1" ref="G70" ca="1">_xll.d.TestUtils_Equal(D70,F70)</f>
        <v>Ok</v>
      </c>
      <c r="H70" s="941">
        <v>-207201.991667041</v>
      </c>
      <c r="I70" s="941" cm="1">
        <f t="array" aca="1" ref="I70" ca="1">-$C$56*_xll.d.Dates_Act365(B69,B70)*F70</f>
        <v>-207201.99166704307</v>
      </c>
      <c r="J70" s="455" t="str" cm="1">
        <f t="array" aca="1" ref="J70" ca="1">_xll.d.TestUtils_Equal(H70,I70)</f>
        <v>Ok</v>
      </c>
      <c r="K70" s="941">
        <v>-207201.991667041</v>
      </c>
      <c r="L70" s="942">
        <v>20.480656329084113</v>
      </c>
      <c r="M70" s="942" cm="1">
        <f t="array" aca="1" ref="M70" ca="1">$M$56*_xll.d.Curve_GetDiscountFactors($K$16,B70)/_xll.d.Curve_GetDiscountFactors($G$16,B70)</f>
        <v>20.478651005478703</v>
      </c>
      <c r="N70" s="943">
        <f t="shared" ca="1" si="1"/>
        <v>-2.0053236054096146E-3</v>
      </c>
      <c r="Q70" s="884"/>
      <c r="R70" s="883"/>
    </row>
    <row r="71" spans="2:18">
      <c r="B71" s="940">
        <v>46387</v>
      </c>
      <c r="C71" s="889"/>
      <c r="D71" s="944">
        <v>8.3128411196496596E-2</v>
      </c>
      <c r="E71" s="945">
        <v>-1.3066301515926599</v>
      </c>
      <c r="F71" s="946" cm="1">
        <f t="array" aca="1" ref="F71" ca="1">_xll.d.Curve_GetForwardRates($C$16,B70,B71,"Simple")+E71/10000</f>
        <v>8.312841119649568E-2</v>
      </c>
      <c r="G71" s="300" t="str" cm="1">
        <f t="array" aca="1" ref="G71" ca="1">_xll.d.TestUtils_Equal(D71,F71)</f>
        <v>Ok</v>
      </c>
      <c r="H71" s="941">
        <v>-209529.14602952599</v>
      </c>
      <c r="I71" s="941" cm="1">
        <f t="array" aca="1" ref="I71" ca="1">-$C$56*_xll.d.Dates_Act365(B70,B71)*F71</f>
        <v>-209529.1460295234</v>
      </c>
      <c r="J71" s="455" t="str" cm="1">
        <f t="array" aca="1" ref="J71" ca="1">_xll.d.TestUtils_Equal(H71,I71)</f>
        <v>Ok</v>
      </c>
      <c r="K71" s="941">
        <v>-209529.14602952599</v>
      </c>
      <c r="L71" s="942">
        <v>20.750881501400027</v>
      </c>
      <c r="M71" s="942" cm="1">
        <f t="array" aca="1" ref="M71" ca="1">$M$56*_xll.d.Curve_GetDiscountFactors($K$16,B71)/_xll.d.Curve_GetDiscountFactors($G$16,B71)</f>
        <v>20.751465664787908</v>
      </c>
      <c r="N71" s="943">
        <f t="shared" ca="1" si="1"/>
        <v>5.8416338788092048E-4</v>
      </c>
      <c r="Q71" s="884"/>
      <c r="R71" s="883"/>
    </row>
    <row r="72" spans="2:18">
      <c r="B72" s="940">
        <v>46477</v>
      </c>
      <c r="C72" s="889"/>
      <c r="D72" s="944">
        <v>8.4432021788474504E-2</v>
      </c>
      <c r="E72" s="945">
        <v>-1.3066301515926599</v>
      </c>
      <c r="F72" s="946" cm="1">
        <f t="array" aca="1" ref="F72" ca="1">_xll.d.Curve_GetForwardRates($C$16,B71,B72,"Simple")+E72/10000</f>
        <v>8.4432021788474462E-2</v>
      </c>
      <c r="G72" s="300" t="str" cm="1">
        <f t="array" aca="1" ref="G72" ca="1">_xll.d.TestUtils_Equal(D72,F72)</f>
        <v>Ok</v>
      </c>
      <c r="H72" s="941">
        <v>-208188.54687568999</v>
      </c>
      <c r="I72" s="941" cm="1">
        <f t="array" aca="1" ref="I72" ca="1">-$C$56*_xll.d.Dates_Act365(B71,B72)*F72</f>
        <v>-208188.54687569046</v>
      </c>
      <c r="J72" s="455" t="str" cm="1">
        <f t="array" aca="1" ref="J72" ca="1">_xll.d.TestUtils_Equal(H72,I72)</f>
        <v>Ok</v>
      </c>
      <c r="K72" s="941">
        <v>-208188.54687568999</v>
      </c>
      <c r="L72" s="942">
        <v>21.025341056899961</v>
      </c>
      <c r="M72" s="942" cm="1">
        <f t="array" aca="1" ref="M72" ca="1">$M$56*_xll.d.Curve_GetDiscountFactors($K$16,B72)/_xll.d.Curve_GetDiscountFactors($G$16,B72)</f>
        <v>21.028978187803613</v>
      </c>
      <c r="N72" s="943">
        <f t="shared" ca="1" si="1"/>
        <v>3.6371309036518085E-3</v>
      </c>
      <c r="Q72" s="884"/>
      <c r="R72" s="883"/>
    </row>
    <row r="73" spans="2:18">
      <c r="B73" s="940">
        <v>46568</v>
      </c>
      <c r="C73" s="889"/>
      <c r="D73" s="944">
        <v>8.6160459395043298E-2</v>
      </c>
      <c r="E73" s="945">
        <v>-1.3066301515926599</v>
      </c>
      <c r="F73" s="946" cm="1">
        <f t="array" aca="1" ref="F73" ca="1">_xll.d.Curve_GetForwardRates($C$16,B72,B73,"Simple")+E73/10000</f>
        <v>8.6160459395043285E-2</v>
      </c>
      <c r="G73" s="300" t="str" cm="1">
        <f t="array" aca="1" ref="G73" ca="1">_xll.d.TestUtils_Equal(D73,F73)</f>
        <v>Ok</v>
      </c>
      <c r="H73" s="941">
        <v>-214811.00835476501</v>
      </c>
      <c r="I73" s="941" cm="1">
        <f t="array" aca="1" ref="I73" ca="1">-$C$56*_xll.d.Dates_Act365(B72,B73)*F73</f>
        <v>-214811.00835476545</v>
      </c>
      <c r="J73" s="455" t="str" cm="1">
        <f t="array" aca="1" ref="J73" ca="1">_xll.d.TestUtils_Equal(H73,I73)</f>
        <v>Ok</v>
      </c>
      <c r="K73" s="941">
        <v>-214811.00835476501</v>
      </c>
      <c r="L73" s="942">
        <v>21.315127138378759</v>
      </c>
      <c r="M73" s="942" cm="1">
        <f t="array" aca="1" ref="M73" ca="1">$M$56*_xll.d.Curve_GetDiscountFactors($K$16,B73)/_xll.d.Curve_GetDiscountFactors($G$16,B73)</f>
        <v>21.32039849132174</v>
      </c>
      <c r="N73" s="943">
        <f t="shared" ca="1" si="1"/>
        <v>5.2713529429802009E-3</v>
      </c>
      <c r="Q73" s="884"/>
      <c r="R73" s="883"/>
    </row>
    <row r="74" spans="2:18">
      <c r="B74" s="940">
        <v>46660</v>
      </c>
      <c r="C74" s="889"/>
      <c r="D74" s="944">
        <v>8.8198809336336906E-2</v>
      </c>
      <c r="E74" s="945">
        <v>-1.3066301515926599</v>
      </c>
      <c r="F74" s="946" cm="1">
        <f t="array" aca="1" ref="F74" ca="1">_xll.d.Curve_GetForwardRates($C$16,B73,B74,"Simple")+E74/10000</f>
        <v>8.8198809336336004E-2</v>
      </c>
      <c r="G74" s="300" t="str" cm="1">
        <f t="array" aca="1" ref="G74" ca="1">_xll.d.TestUtils_Equal(D74,F74)</f>
        <v>Ok</v>
      </c>
      <c r="H74" s="941">
        <v>-222309.327642274</v>
      </c>
      <c r="I74" s="941" cm="1">
        <f t="array" aca="1" ref="I74" ca="1">-$C$56*_xll.d.Dates_Act365(B73,B74)*F74</f>
        <v>-222309.32764227162</v>
      </c>
      <c r="J74" s="455" t="str" cm="1">
        <f t="array" aca="1" ref="J74" ca="1">_xll.d.TestUtils_Equal(H74,I74)</f>
        <v>Ok</v>
      </c>
      <c r="K74" s="941">
        <v>-222309.327642274</v>
      </c>
      <c r="L74" s="942">
        <v>21.622381323228868</v>
      </c>
      <c r="M74" s="942" cm="1">
        <f t="array" aca="1" ref="M74" ca="1">$M$56*_xll.d.Curve_GetDiscountFactors($K$16,B74)/_xll.d.Curve_GetDiscountFactors($G$16,B74)</f>
        <v>21.627826936473884</v>
      </c>
      <c r="N74" s="943">
        <f t="shared" ca="1" si="1"/>
        <v>5.4456132450155792E-3</v>
      </c>
      <c r="Q74" s="884"/>
      <c r="R74" s="883"/>
    </row>
    <row r="75" spans="2:18">
      <c r="B75" s="940">
        <v>46752</v>
      </c>
      <c r="C75" s="889"/>
      <c r="D75" s="944">
        <v>9.0518256454501497E-2</v>
      </c>
      <c r="E75" s="945">
        <v>-1.3066301515926599</v>
      </c>
      <c r="F75" s="946" cm="1">
        <f t="array" aca="1" ref="F75" ca="1">_xll.d.Curve_GetForwardRates($C$16,B74,B75,"Simple")+E75/10000</f>
        <v>9.0518256454501511E-2</v>
      </c>
      <c r="G75" s="300" t="str" cm="1">
        <f t="array" aca="1" ref="G75" ca="1">_xll.d.TestUtils_Equal(D75,F75)</f>
        <v>Ok</v>
      </c>
      <c r="H75" s="941">
        <v>-228155.605309976</v>
      </c>
      <c r="I75" s="941" cm="1">
        <f t="array" aca="1" ref="I75" ca="1">-$C$56*_xll.d.Dates_Act365(B74,B75)*F75</f>
        <v>-228155.60530997644</v>
      </c>
      <c r="J75" s="455" t="str" cm="1">
        <f t="array" aca="1" ref="J75" ca="1">_xll.d.TestUtils_Equal(H75,I75)</f>
        <v>Ok</v>
      </c>
      <c r="K75" s="941">
        <v>-228155.605309976</v>
      </c>
      <c r="L75" s="942">
        <v>21.94580038898755</v>
      </c>
      <c r="M75" s="942" cm="1">
        <f t="array" aca="1" ref="M75" ca="1">$M$56*_xll.d.Curve_GetDiscountFactors($K$16,B75)/_xll.d.Curve_GetDiscountFactors($G$16,B75)</f>
        <v>21.950545229964025</v>
      </c>
      <c r="N75" s="943">
        <f t="shared" ca="1" si="1"/>
        <v>4.7448409764747623E-3</v>
      </c>
      <c r="Q75" s="884"/>
      <c r="R75" s="883"/>
    </row>
    <row r="76" spans="2:18">
      <c r="B76" s="940">
        <v>46843</v>
      </c>
      <c r="C76" s="889"/>
      <c r="D76" s="944">
        <v>9.3116168113874298E-2</v>
      </c>
      <c r="E76" s="945">
        <v>-1.3066301515926599</v>
      </c>
      <c r="F76" s="946" cm="1">
        <f t="array" aca="1" ref="F76" ca="1">_xll.d.Curve_GetForwardRates($C$16,B75,B76,"Simple")+E76/10000</f>
        <v>9.3116168113875214E-2</v>
      </c>
      <c r="G76" s="300" t="str" cm="1">
        <f t="array" aca="1" ref="G76" ca="1">_xll.d.TestUtils_Equal(D76,F76)</f>
        <v>Ok</v>
      </c>
      <c r="H76" s="941">
        <v>-232152.63831130299</v>
      </c>
      <c r="I76" s="941" cm="1">
        <f t="array" aca="1" ref="I76" ca="1">-$C$56*_xll.d.Dates_Act365(B75,B76)*F76</f>
        <v>-232152.63831130532</v>
      </c>
      <c r="J76" s="455" t="str" cm="1">
        <f t="array" aca="1" ref="J76" ca="1">_xll.d.TestUtils_Equal(H76,I76)</f>
        <v>Ok</v>
      </c>
      <c r="K76" s="941">
        <v>-232152.63831130299</v>
      </c>
      <c r="L76" s="948">
        <v>22.283609961634713</v>
      </c>
      <c r="M76" s="948" cm="1">
        <f t="array" aca="1" ref="M76" ca="1">$M$56*_xll.d.Curve_GetDiscountFactors($K$16,B76)/_xll.d.Curve_GetDiscountFactors($G$16,B76)</f>
        <v>22.287498527315883</v>
      </c>
      <c r="N76" s="943">
        <f t="shared" ca="1" si="1"/>
        <v>3.8885656811693536E-3</v>
      </c>
      <c r="Q76" s="884"/>
      <c r="R76" s="883"/>
    </row>
    <row r="77" spans="2:18">
      <c r="B77" s="940">
        <v>46934</v>
      </c>
      <c r="C77" s="889"/>
      <c r="D77" s="944">
        <v>9.5916829839174406E-2</v>
      </c>
      <c r="E77" s="945">
        <v>-1.3066301515926599</v>
      </c>
      <c r="F77" s="946" cm="1">
        <f t="array" aca="1" ref="F77" ca="1">_xll.d.Curve_GetForwardRates($C$16,B76,B77,"Simple")+E77/10000</f>
        <v>9.5916829839174364E-2</v>
      </c>
      <c r="G77" s="300" t="str" cm="1">
        <f t="array" aca="1" ref="G77" ca="1">_xll.d.TestUtils_Equal(D77,F77)</f>
        <v>Ok</v>
      </c>
      <c r="H77" s="941">
        <v>-239135.11000999599</v>
      </c>
      <c r="I77" s="941" cm="1">
        <f t="array" aca="1" ref="I77" ca="1">-$C$56*_xll.d.Dates_Act365(B76,B77)*F77</f>
        <v>-239135.11000999637</v>
      </c>
      <c r="J77" s="455" t="str" cm="1">
        <f t="array" aca="1" ref="J77" ca="1">_xll.d.TestUtils_Equal(H77,I77)</f>
        <v>Ok</v>
      </c>
      <c r="K77" s="941">
        <v>-239135.11000999599</v>
      </c>
      <c r="L77" s="945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43">
        <f t="shared" ca="1" si="1"/>
        <v>3.4996604978161372E-3</v>
      </c>
      <c r="Q77" s="884"/>
      <c r="R77" s="883"/>
    </row>
    <row r="78" spans="2:18">
      <c r="B78" s="940">
        <v>47025</v>
      </c>
      <c r="C78" s="889"/>
      <c r="D78" s="944">
        <v>9.84430222561231E-2</v>
      </c>
      <c r="E78" s="945">
        <v>-1.3066301515926599</v>
      </c>
      <c r="F78" s="946" cm="1">
        <f t="array" aca="1" ref="F78" ca="1">_xll.d.Curve_GetForwardRates($C$16,B77,B78,"Simple")+E78/10000</f>
        <v>9.8443022256123114E-2</v>
      </c>
      <c r="G78" s="300" t="str" cm="1">
        <f t="array" aca="1" ref="G78" ca="1">_xll.d.TestUtils_Equal(D78,F78)</f>
        <v>Ok</v>
      </c>
      <c r="H78" s="941">
        <v>-245433.28836458101</v>
      </c>
      <c r="I78" s="941" cm="1">
        <f t="array" aca="1" ref="I78" ca="1">-$C$56*_xll.d.Dates_Act365(B77,B78)*F78</f>
        <v>-245433.28836458092</v>
      </c>
      <c r="J78" s="455" t="str" cm="1">
        <f t="array" aca="1" ref="J78" ca="1">_xll.d.TestUtils_Equal(H78,I78)</f>
        <v>Ok</v>
      </c>
      <c r="K78" s="941">
        <v>-245433.28836458101</v>
      </c>
      <c r="L78" s="945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43">
        <f t="shared" ca="1" si="1"/>
        <v>3.5818258724233942E-3</v>
      </c>
      <c r="Q78" s="884"/>
      <c r="R78" s="883"/>
    </row>
    <row r="79" spans="2:18">
      <c r="B79" s="940">
        <v>47116</v>
      </c>
      <c r="C79" s="889"/>
      <c r="D79" s="944">
        <v>0.100536132711461</v>
      </c>
      <c r="E79" s="945">
        <v>-1.3066301515926599</v>
      </c>
      <c r="F79" s="946" cm="1">
        <f t="array" aca="1" ref="F79" ca="1">_xll.d.Curve_GetForwardRates($C$16,B78,B79,"Simple")+E79/10000</f>
        <v>0.10053613271146154</v>
      </c>
      <c r="G79" s="300" t="str" cm="1">
        <f t="array" aca="1" ref="G79" ca="1">_xll.d.TestUtils_Equal(D79,F79)</f>
        <v>Ok</v>
      </c>
      <c r="H79" s="941">
        <v>-250651.72812994299</v>
      </c>
      <c r="I79" s="941" cm="1">
        <f t="array" aca="1" ref="I79" ca="1">-$C$56*_xll.d.Dates_Act365(B78,B79)*F79</f>
        <v>-250651.72812994523</v>
      </c>
      <c r="J79" s="455" t="str" cm="1">
        <f t="array" aca="1" ref="J79" ca="1">_xll.d.TestUtils_Equal(H79,I79)</f>
        <v>Ok</v>
      </c>
      <c r="K79" s="941">
        <v>-250651.72812994299</v>
      </c>
      <c r="L79" s="945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43">
        <f t="shared" ca="1" si="1"/>
        <v>3.9485297799117802E-3</v>
      </c>
      <c r="Q79" s="884"/>
      <c r="R79" s="883"/>
    </row>
    <row r="80" spans="2:18">
      <c r="B80" s="940">
        <v>47206</v>
      </c>
      <c r="C80" s="889"/>
      <c r="D80" s="944">
        <v>0.102126538084113</v>
      </c>
      <c r="E80" s="945">
        <v>-1.3066301515926599</v>
      </c>
      <c r="F80" s="946" cm="1">
        <f t="array" aca="1" ref="F80" ca="1">_xll.d.Curve_GetForwardRates($C$16,B79,B80,"Simple")+E80/10000</f>
        <v>0.10212653808411279</v>
      </c>
      <c r="G80" s="300" t="str" cm="1">
        <f t="array" aca="1" ref="G80" ca="1">_xll.d.TestUtils_Equal(D80,F80)</f>
        <v>Ok</v>
      </c>
      <c r="H80" s="941">
        <v>-251818.861029319</v>
      </c>
      <c r="I80" s="941" cm="1">
        <f t="array" aca="1" ref="I80" ca="1">-$C$56*_xll.d.Dates_Act365(B79,B80)*F80</f>
        <v>-251818.8610293192</v>
      </c>
      <c r="J80" s="455" t="str" cm="1">
        <f t="array" aca="1" ref="J80" ca="1">_xll.d.TestUtils_Equal(H80,I80)</f>
        <v>Ok</v>
      </c>
      <c r="K80" s="941">
        <v>-251818.861029319</v>
      </c>
      <c r="L80" s="945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43">
        <f t="shared" ca="1" si="1"/>
        <v>4.3742097595576013E-3</v>
      </c>
      <c r="Q80" s="884"/>
      <c r="R80" s="883"/>
    </row>
    <row r="81" spans="2:18">
      <c r="B81" s="940">
        <v>47298</v>
      </c>
      <c r="C81" s="889"/>
      <c r="D81" s="944">
        <v>0.103319112272896</v>
      </c>
      <c r="E81" s="945">
        <v>-1.3066301515926599</v>
      </c>
      <c r="F81" s="946" cm="1">
        <f t="array" aca="1" ref="F81" ca="1">_xll.d.Curve_GetForwardRates($C$16,B80,B81,"Simple")+E81/10000</f>
        <v>0.10331911227289693</v>
      </c>
      <c r="G81" s="300" t="str" cm="1">
        <f t="array" aca="1" ref="G81" ca="1">_xll.d.TestUtils_Equal(D81,F81)</f>
        <v>Ok</v>
      </c>
      <c r="H81" s="941">
        <v>-260420.77613990201</v>
      </c>
      <c r="I81" s="941" cm="1">
        <f t="array" aca="1" ref="I81" ca="1">-$C$56*_xll.d.Dates_Act365(B80,B81)*F81</f>
        <v>-260420.77613990463</v>
      </c>
      <c r="J81" s="455" t="str" cm="1">
        <f t="array" aca="1" ref="J81" ca="1">_xll.d.TestUtils_Equal(H81,I81)</f>
        <v>Ok</v>
      </c>
      <c r="K81" s="941">
        <v>-260420.77613990201</v>
      </c>
      <c r="L81" s="945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43">
        <f t="shared" ca="1" si="1"/>
        <v>4.6675067051005215E-3</v>
      </c>
      <c r="Q81" s="884"/>
      <c r="R81" s="883"/>
    </row>
    <row r="82" spans="2:18">
      <c r="B82" s="940">
        <v>47389</v>
      </c>
      <c r="C82" s="889"/>
      <c r="D82" s="944">
        <v>0.10431805179244799</v>
      </c>
      <c r="E82" s="945">
        <v>-1.3066301515926599</v>
      </c>
      <c r="F82" s="946" cm="1">
        <f t="array" aca="1" ref="F82" ca="1">_xll.d.Curve_GetForwardRates($C$16,B81,B82,"Simple")+E82/10000</f>
        <v>0.10431805179244785</v>
      </c>
      <c r="G82" s="300" t="str" cm="1">
        <f t="array" aca="1" ref="G82" ca="1">_xll.d.TestUtils_Equal(D82,F82)</f>
        <v>Ok</v>
      </c>
      <c r="H82" s="941">
        <v>-260080.62227706201</v>
      </c>
      <c r="I82" s="941" cm="1">
        <f t="array" aca="1" ref="I82" ca="1">-$C$56*_xll.d.Dates_Act365(B81,B82)*F82</f>
        <v>-260080.62227706178</v>
      </c>
      <c r="J82" s="455" t="str" cm="1">
        <f t="array" aca="1" ref="J82" ca="1">_xll.d.TestUtils_Equal(H82,I82)</f>
        <v>Ok</v>
      </c>
      <c r="K82" s="941">
        <v>-260080.62227706201</v>
      </c>
      <c r="L82" s="945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43">
        <f t="shared" ca="1" si="1"/>
        <v>4.8130273148672131E-3</v>
      </c>
      <c r="Q82" s="884"/>
      <c r="R82" s="883"/>
    </row>
    <row r="83" spans="2:18">
      <c r="B83" s="940">
        <v>47483</v>
      </c>
      <c r="C83" s="889"/>
      <c r="D83" s="944">
        <v>0.105296972766981</v>
      </c>
      <c r="E83" s="945">
        <v>-1.3066301515926599</v>
      </c>
      <c r="F83" s="946" cm="1">
        <f t="array" aca="1" ref="F83" ca="1">_xll.d.Curve_GetForwardRates($C$16,B82,B83,"Simple")+E83/10000</f>
        <v>0.1052969727669805</v>
      </c>
      <c r="G83" s="300" t="str" cm="1">
        <f t="array" aca="1" ref="G83" ca="1">_xll.d.TestUtils_Equal(D83,F83)</f>
        <v>Ok</v>
      </c>
      <c r="H83" s="941">
        <v>-271175.76548208902</v>
      </c>
      <c r="I83" s="941" cm="1">
        <f t="array" aca="1" ref="I83" ca="1">-$C$56*_xll.d.Dates_Act365(B82,B83)*F83</f>
        <v>-271175.76548208675</v>
      </c>
      <c r="J83" s="455" t="str" cm="1">
        <f t="array" aca="1" ref="J83" ca="1">_xll.d.TestUtils_Equal(H83,I83)</f>
        <v>Ok</v>
      </c>
      <c r="K83" s="941">
        <v>-271175.76548208902</v>
      </c>
      <c r="L83" s="945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43">
        <f t="shared" ca="1" si="1"/>
        <v>4.8742048396803739E-3</v>
      </c>
      <c r="Q83" s="884"/>
      <c r="R83" s="883"/>
    </row>
    <row r="84" spans="2:18">
      <c r="B84" s="940">
        <v>47571</v>
      </c>
      <c r="C84" s="889"/>
      <c r="D84" s="944">
        <v>0.10602518720704801</v>
      </c>
      <c r="E84" s="945">
        <v>-1.3066301515926599</v>
      </c>
      <c r="F84" s="946" cm="1">
        <f t="array" aca="1" ref="F84" ca="1">_xll.d.Curve_GetForwardRates($C$16,B83,B84,"Simple")+E84/10000</f>
        <v>0.10602518720704787</v>
      </c>
      <c r="G84" s="300" t="str" cm="1">
        <f t="array" aca="1" ref="G84" ca="1">_xll.d.TestUtils_Equal(D84,F84)</f>
        <v>Ok</v>
      </c>
      <c r="H84" s="941">
        <v>-255622.36915671799</v>
      </c>
      <c r="I84" s="941" cm="1">
        <f t="array" aca="1" ref="I84" ca="1">-$C$56*_xll.d.Dates_Act365(B83,B84)*F84</f>
        <v>-255622.3691567182</v>
      </c>
      <c r="J84" s="455" t="str" cm="1">
        <f t="array" aca="1" ref="J84" ca="1">_xll.d.TestUtils_Equal(H84,I84)</f>
        <v>Ok</v>
      </c>
      <c r="K84" s="941">
        <v>-255622.36915671799</v>
      </c>
      <c r="L84" s="945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43">
        <f t="shared" ca="1" si="1"/>
        <v>4.9170871893977619E-3</v>
      </c>
      <c r="Q84" s="884"/>
      <c r="R84" s="883"/>
    </row>
    <row r="85" spans="2:18">
      <c r="B85" s="940">
        <v>47662</v>
      </c>
      <c r="C85" s="889"/>
      <c r="D85" s="944">
        <v>0.10679415523651499</v>
      </c>
      <c r="E85" s="945">
        <v>-1.3066301515926599</v>
      </c>
      <c r="F85" s="946" cm="1">
        <f t="array" aca="1" ref="F85" ca="1">_xll.d.Curve_GetForwardRates($C$16,B84,B85,"Simple")+E85/10000</f>
        <v>0.10679415523651541</v>
      </c>
      <c r="G85" s="300" t="str" cm="1">
        <f t="array" aca="1" ref="G85" ca="1">_xll.d.TestUtils_Equal(D85,F85)</f>
        <v>Ok</v>
      </c>
      <c r="H85" s="941">
        <v>-266253.92127460003</v>
      </c>
      <c r="I85" s="941" cm="1">
        <f t="array" aca="1" ref="I85" ca="1">-$C$56*_xll.d.Dates_Act365(B84,B85)*F85</f>
        <v>-266253.92127460008</v>
      </c>
      <c r="J85" s="455" t="str" cm="1">
        <f t="array" aca="1" ref="J85" ca="1">_xll.d.TestUtils_Equal(H85,I85)</f>
        <v>Ok</v>
      </c>
      <c r="K85" s="941">
        <v>-266253.92127460003</v>
      </c>
      <c r="L85" s="945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43">
        <f t="shared" ca="1" si="1"/>
        <v>5.0110332635995292E-3</v>
      </c>
      <c r="Q85" s="884"/>
      <c r="R85" s="883"/>
    </row>
    <row r="86" spans="2:18">
      <c r="B86" s="940">
        <v>47756</v>
      </c>
      <c r="C86" s="889"/>
      <c r="D86" s="944">
        <v>0.10760383124936</v>
      </c>
      <c r="E86" s="945">
        <v>-1.3066301515926599</v>
      </c>
      <c r="F86" s="946" cm="1">
        <f t="array" aca="1" ref="F86" ca="1">_xll.d.Curve_GetForwardRates($C$16,B85,B86,"Simple")+E86/10000</f>
        <v>0.10760383124936003</v>
      </c>
      <c r="G86" s="300" t="str" cm="1">
        <f t="array" aca="1" ref="G86" ca="1">_xll.d.TestUtils_Equal(D86,F86)</f>
        <v>Ok</v>
      </c>
      <c r="H86" s="941">
        <v>-277116.716094242</v>
      </c>
      <c r="I86" s="941" cm="1">
        <f t="array" aca="1" ref="I86" ca="1">-$C$56*_xll.d.Dates_Act365(B85,B86)*F86</f>
        <v>-277116.71609424223</v>
      </c>
      <c r="J86" s="455" t="str" cm="1">
        <f t="array" aca="1" ref="J86" ca="1">_xll.d.TestUtils_Equal(H86,I86)</f>
        <v>Ok</v>
      </c>
      <c r="K86" s="941">
        <v>-277116.716094242</v>
      </c>
      <c r="L86" s="945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43">
        <f t="shared" ca="1" si="1"/>
        <v>5.1623194309904363E-3</v>
      </c>
      <c r="Q86" s="884"/>
      <c r="R86" s="883"/>
    </row>
    <row r="87" spans="2:18">
      <c r="B87" s="940">
        <v>47848</v>
      </c>
      <c r="C87" s="889"/>
      <c r="D87" s="944">
        <v>0.108382976383149</v>
      </c>
      <c r="E87" s="945">
        <v>-1.3066301515926599</v>
      </c>
      <c r="F87" s="946" cm="1">
        <f t="array" aca="1" ref="F87" ca="1">_xll.d.Curve_GetForwardRates($C$16,B86,B87,"Simple")+E87/10000</f>
        <v>0.10838297638314945</v>
      </c>
      <c r="G87" s="300" t="str" cm="1">
        <f t="array" aca="1" ref="G87" ca="1">_xll.d.TestUtils_Equal(D87,F87)</f>
        <v>Ok</v>
      </c>
      <c r="H87" s="941">
        <v>-273184.48841780098</v>
      </c>
      <c r="I87" s="941" cm="1">
        <f t="array" aca="1" ref="I87" ca="1">-$C$56*_xll.d.Dates_Act365(B86,B87)*F87</f>
        <v>-273184.48841780139</v>
      </c>
      <c r="J87" s="455" t="str" cm="1">
        <f t="array" aca="1" ref="J87" ca="1">_xll.d.TestUtils_Equal(H87,I87)</f>
        <v>Ok</v>
      </c>
      <c r="K87" s="941">
        <v>-273184.48841780098</v>
      </c>
      <c r="L87" s="945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43">
        <f t="shared" ca="1" si="1"/>
        <v>5.3449561411333946E-3</v>
      </c>
      <c r="Q87" s="884"/>
      <c r="R87" s="883"/>
    </row>
    <row r="88" spans="2:18">
      <c r="B88" s="940">
        <v>47938</v>
      </c>
      <c r="C88" s="889"/>
      <c r="D88" s="944">
        <v>0.10919045348551699</v>
      </c>
      <c r="E88" s="945">
        <v>-1.3066301515926599</v>
      </c>
      <c r="F88" s="946" cm="1">
        <f t="array" aca="1" ref="F88" ca="1">_xll.d.Curve_GetForwardRates($C$16,B87,B88,"Simple")+E88/10000</f>
        <v>0.10919045348551651</v>
      </c>
      <c r="G88" s="300" t="str" cm="1">
        <f t="array" aca="1" ref="G88" ca="1">_xll.d.TestUtils_Equal(D88,F88)</f>
        <v>Ok</v>
      </c>
      <c r="H88" s="941">
        <v>-269236.73462182202</v>
      </c>
      <c r="I88" s="941" cm="1">
        <f t="array" aca="1" ref="I88" ca="1">-$C$56*_xll.d.Dates_Act365(B87,B88)*F88</f>
        <v>-269236.73462182155</v>
      </c>
      <c r="J88" s="455" t="str" cm="1">
        <f t="array" aca="1" ref="J88" ca="1">_xll.d.TestUtils_Equal(H88,I88)</f>
        <v>Ok</v>
      </c>
      <c r="K88" s="941">
        <v>-269236.73462182202</v>
      </c>
      <c r="L88" s="945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43">
        <f t="shared" ca="1" si="1"/>
        <v>5.5348488250288597E-3</v>
      </c>
      <c r="Q88" s="884"/>
      <c r="R88" s="883"/>
    </row>
    <row r="89" spans="2:18">
      <c r="B89" s="940">
        <v>48029</v>
      </c>
      <c r="C89" s="889"/>
      <c r="D89" s="944">
        <v>0.10999728380375601</v>
      </c>
      <c r="E89" s="945">
        <v>-1.3066301515926599</v>
      </c>
      <c r="F89" s="946" cm="1">
        <f t="array" aca="1" ref="F89" ca="1">_xll.d.Curve_GetForwardRates($C$16,B88,B89,"Simple")+E89/10000</f>
        <v>0.10999728380375462</v>
      </c>
      <c r="G89" s="300" t="str" cm="1">
        <f t="array" aca="1" ref="G89" ca="1">_xll.d.TestUtils_Equal(D89,F89)</f>
        <v>Ok</v>
      </c>
      <c r="H89" s="941">
        <v>-274239.803455938</v>
      </c>
      <c r="I89" s="941" cm="1">
        <f t="array" aca="1" ref="I89" ca="1">-$C$56*_xll.d.Dates_Act365(B88,B89)*F89</f>
        <v>-274239.8034559362</v>
      </c>
      <c r="J89" s="455" t="str" cm="1">
        <f t="array" aca="1" ref="J89" ca="1">_xll.d.TestUtils_Equal(H89,I89)</f>
        <v>Ok</v>
      </c>
      <c r="K89" s="941">
        <v>-274239.803455938</v>
      </c>
      <c r="L89" s="945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43">
        <f t="shared" ca="1" si="1"/>
        <v>5.717354758196791E-3</v>
      </c>
      <c r="Q89" s="884"/>
      <c r="R89" s="883"/>
    </row>
    <row r="90" spans="2:18">
      <c r="B90" s="940">
        <v>48121</v>
      </c>
      <c r="C90" s="889"/>
      <c r="D90" s="944">
        <v>0.11036981957537</v>
      </c>
      <c r="E90" s="945">
        <v>-1.3066301515926599</v>
      </c>
      <c r="F90" s="946" cm="1">
        <f t="array" aca="1" ref="F90" ca="1">_xll.d.Curve_GetForwardRates($C$16,B89,B90,"Simple")+E90/10000</f>
        <v>0.1103698195753722</v>
      </c>
      <c r="G90" s="300" t="str" cm="1">
        <f t="array" aca="1" ref="G90" ca="1">_xll.d.TestUtils_Equal(D90,F90)</f>
        <v>Ok</v>
      </c>
      <c r="H90" s="941">
        <v>-278192.42194339901</v>
      </c>
      <c r="I90" s="941" cm="1">
        <f t="array" aca="1" ref="I90" ca="1">-$C$56*_xll.d.Dates_Act365(B89,B90)*F90</f>
        <v>-278192.42194340396</v>
      </c>
      <c r="J90" s="455" t="str" cm="1">
        <f t="array" aca="1" ref="J90" ca="1">_xll.d.TestUtils_Equal(H90,I90)</f>
        <v>Ok</v>
      </c>
      <c r="K90" s="941">
        <v>-278192.42194339901</v>
      </c>
      <c r="L90" s="945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43">
        <f t="shared" ca="1" si="1"/>
        <v>5.88998238623617E-3</v>
      </c>
      <c r="Q90" s="884"/>
      <c r="R90" s="883"/>
    </row>
    <row r="91" spans="2:18">
      <c r="B91" s="940">
        <v>48213</v>
      </c>
      <c r="C91" s="889"/>
      <c r="D91" s="944">
        <v>0.110127577694814</v>
      </c>
      <c r="E91" s="945">
        <v>-1.3066301515926599</v>
      </c>
      <c r="F91" s="946" cm="1">
        <f t="array" aca="1" ref="F91" ca="1">_xll.d.Curve_GetForwardRates($C$16,B90,B91,"Simple")+E91/10000</f>
        <v>0.11012757769481427</v>
      </c>
      <c r="G91" s="300" t="str" cm="1">
        <f t="array" aca="1" ref="G91" ca="1">_xll.d.TestUtils_Equal(D91,F91)</f>
        <v>Ok</v>
      </c>
      <c r="H91" s="941">
        <v>-277581.83966912102</v>
      </c>
      <c r="I91" s="941" cm="1">
        <f t="array" aca="1" ref="I91" ca="1">-$C$56*_xll.d.Dates_Act365(B90,B91)*F91</f>
        <v>-277581.83966912091</v>
      </c>
      <c r="J91" s="455" t="str" cm="1">
        <f t="array" aca="1" ref="J91" ca="1">_xll.d.TestUtils_Equal(H91,I91)</f>
        <v>Ok</v>
      </c>
      <c r="K91" s="941">
        <v>-277581.83966912102</v>
      </c>
      <c r="L91" s="945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43">
        <f t="shared" ca="1" si="1"/>
        <v>6.0541883062583679E-3</v>
      </c>
      <c r="Q91" s="884"/>
      <c r="R91" s="883"/>
    </row>
    <row r="92" spans="2:18">
      <c r="B92" s="940">
        <v>48304</v>
      </c>
      <c r="C92" s="889"/>
      <c r="D92" s="944">
        <v>0.10920837468591399</v>
      </c>
      <c r="E92" s="945">
        <v>-1.3066301515926599</v>
      </c>
      <c r="F92" s="946" cm="1">
        <f t="array" aca="1" ref="F92" ca="1">_xll.d.Curve_GetForwardRates($C$16,B91,B92,"Simple")+E92/10000</f>
        <v>0.10920837468591418</v>
      </c>
      <c r="G92" s="300" t="str" cm="1">
        <f t="array" aca="1" ref="G92" ca="1">_xll.d.TestUtils_Equal(D92,F92)</f>
        <v>Ok</v>
      </c>
      <c r="H92" s="941">
        <v>-272272.93414844398</v>
      </c>
      <c r="I92" s="941" cm="1">
        <f t="array" aca="1" ref="I92" ca="1">-$C$56*_xll.d.Dates_Act365(B91,B92)*F92</f>
        <v>-272272.93414844357</v>
      </c>
      <c r="J92" s="455" t="str" cm="1">
        <f t="array" aca="1" ref="J92" ca="1">_xll.d.TestUtils_Equal(H92,I92)</f>
        <v>Ok</v>
      </c>
      <c r="K92" s="941">
        <v>-272272.93414844398</v>
      </c>
      <c r="L92" s="945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43">
        <f t="shared" ca="1" si="1"/>
        <v>6.2125980361145139E-3</v>
      </c>
      <c r="Q92" s="884"/>
      <c r="R92" s="883"/>
    </row>
    <row r="93" spans="2:18">
      <c r="B93" s="940">
        <v>48395</v>
      </c>
      <c r="C93" s="889"/>
      <c r="D93" s="944">
        <v>0.10782235017127099</v>
      </c>
      <c r="E93" s="945">
        <v>-1.3066301515926599</v>
      </c>
      <c r="F93" s="946" cm="1">
        <f t="array" aca="1" ref="F93" ca="1">_xll.d.Curve_GetForwardRates($C$16,B92,B93,"Simple")+E93/10000</f>
        <v>0.10782235017127222</v>
      </c>
      <c r="G93" s="300" t="str" cm="1">
        <f t="array" aca="1" ref="G93" ca="1">_xll.d.TestUtils_Equal(D93,F93)</f>
        <v>Ok</v>
      </c>
      <c r="H93" s="941">
        <v>-268817.36618042999</v>
      </c>
      <c r="I93" s="941" cm="1">
        <f t="array" aca="1" ref="I93" ca="1">-$C$56*_xll.d.Dates_Act365(B92,B93)*F93</f>
        <v>-268817.36618043209</v>
      </c>
      <c r="J93" s="455" t="str" cm="1">
        <f t="array" aca="1" ref="J93" ca="1">_xll.d.TestUtils_Equal(H93,I93)</f>
        <v>Ok</v>
      </c>
      <c r="K93" s="941">
        <v>-268817.36618042999</v>
      </c>
      <c r="L93" s="945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43">
        <f t="shared" ca="1" si="1"/>
        <v>6.3713853767346507E-3</v>
      </c>
      <c r="Q93" s="884"/>
      <c r="R93" s="883"/>
    </row>
    <row r="94" spans="2:18">
      <c r="B94" s="940">
        <v>48487</v>
      </c>
      <c r="C94" s="889"/>
      <c r="D94" s="944">
        <v>0.10688431637066</v>
      </c>
      <c r="E94" s="945">
        <v>-1.3066301515926599</v>
      </c>
      <c r="F94" s="946" cm="1">
        <f t="array" aca="1" ref="F94" ca="1">_xll.d.Curve_GetForwardRates($C$16,B93,B94,"Simple")+E94/10000</f>
        <v>0.10688431637066047</v>
      </c>
      <c r="G94" s="300" t="str" cm="1">
        <f t="array" aca="1" ref="G94" ca="1">_xll.d.TestUtils_Equal(D94,F94)</f>
        <v>Ok</v>
      </c>
      <c r="H94" s="941">
        <v>-269407.04400275799</v>
      </c>
      <c r="I94" s="941" cm="1">
        <f t="array" aca="1" ref="I94" ca="1">-$C$56*_xll.d.Dates_Act365(B93,B94)*F94</f>
        <v>-269407.04400276067</v>
      </c>
      <c r="J94" s="455" t="str" cm="1">
        <f t="array" aca="1" ref="J94" ca="1">_xll.d.TestUtils_Equal(H94,I94)</f>
        <v>Ok</v>
      </c>
      <c r="K94" s="941">
        <v>-269407.04400275799</v>
      </c>
      <c r="L94" s="945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43">
        <f t="shared" ca="1" si="1"/>
        <v>6.5343311661223424E-3</v>
      </c>
      <c r="Q94" s="884"/>
      <c r="R94" s="883"/>
    </row>
    <row r="95" spans="2:18">
      <c r="B95" s="940">
        <v>48579</v>
      </c>
      <c r="C95" s="889"/>
      <c r="D95" s="944">
        <v>0.106677757608655</v>
      </c>
      <c r="E95" s="945">
        <v>-1.3066301515926599</v>
      </c>
      <c r="F95" s="946" cm="1">
        <f t="array" aca="1" ref="F95" ca="1">_xll.d.Curve_GetForwardRates($C$16,B94,B95,"Simple")+E95/10000</f>
        <v>0.10667775760865393</v>
      </c>
      <c r="G95" s="300" t="str" cm="1">
        <f t="array" aca="1" ref="G95" ca="1">_xll.d.TestUtils_Equal(D95,F95)</f>
        <v>Ok</v>
      </c>
      <c r="H95" s="941">
        <v>-268886.40273962298</v>
      </c>
      <c r="I95" s="941" cm="1">
        <f t="array" aca="1" ref="I95" ca="1">-$C$56*_xll.d.Dates_Act365(B94,B95)*F95</f>
        <v>-268886.40273962088</v>
      </c>
      <c r="J95" s="455" t="str" cm="1">
        <f t="array" aca="1" ref="J95" ca="1">_xll.d.TestUtils_Equal(H95,I95)</f>
        <v>Ok</v>
      </c>
      <c r="K95" s="941">
        <v>-268886.40273962298</v>
      </c>
      <c r="L95" s="945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43">
        <f t="shared" ca="1" si="1"/>
        <v>6.701354921929692E-3</v>
      </c>
      <c r="Q95" s="884"/>
      <c r="R95" s="883"/>
    </row>
    <row r="96" spans="2:18">
      <c r="B96" s="940">
        <v>48669</v>
      </c>
      <c r="C96" s="889"/>
      <c r="D96" s="944">
        <v>0.107269315396405</v>
      </c>
      <c r="E96" s="945">
        <v>-1.3066301515926599</v>
      </c>
      <c r="F96" s="946" cm="1">
        <f t="array" aca="1" ref="F96" ca="1">_xll.d.Curve_GetForwardRates($C$16,B95,B96,"Simple")+E96/10000</f>
        <v>0.10726931539640371</v>
      </c>
      <c r="G96" s="300" t="str" cm="1">
        <f t="array" aca="1" ref="G96" ca="1">_xll.d.TestUtils_Equal(D96,F96)</f>
        <v>Ok</v>
      </c>
      <c r="H96" s="941">
        <v>-264499.68179935397</v>
      </c>
      <c r="I96" s="941" cm="1">
        <f t="array" aca="1" ref="I96" ca="1">-$C$56*_xll.d.Dates_Act365(B95,B96)*F96</f>
        <v>-264499.68179935159</v>
      </c>
      <c r="J96" s="455" t="str" cm="1">
        <f t="array" aca="1" ref="J96" ca="1">_xll.d.TestUtils_Equal(H96,I96)</f>
        <v>Ok</v>
      </c>
      <c r="K96" s="949">
        <v>-264499.68179935397</v>
      </c>
      <c r="L96" s="950">
        <v>31.975390685164221</v>
      </c>
      <c r="M96" s="950" cm="1">
        <f t="array" aca="1" ref="M96" ca="1">$M$56*_xll.d.Curve_GetDiscountFactors($K$16,B96)/_xll.d.Curve_GetDiscountFactors($G$16,B96)</f>
        <v>31.982261350663752</v>
      </c>
      <c r="N96" s="951">
        <f t="shared" ca="1" si="1"/>
        <v>6.870665499530304E-3</v>
      </c>
      <c r="O96" s="904">
        <v>31.9753906851642</v>
      </c>
      <c r="Q96" s="884"/>
      <c r="R96" s="883"/>
    </row>
    <row r="97" spans="2:18">
      <c r="B97" s="940">
        <v>48760</v>
      </c>
      <c r="C97" s="889"/>
      <c r="D97" s="944">
        <v>0.108617774089257</v>
      </c>
      <c r="E97" s="945">
        <v>-1.3066301515926599</v>
      </c>
      <c r="F97" s="946" cm="1">
        <f t="array" aca="1" ref="F97" ca="1">_xll.d.Curve_GetForwardRates($C$16,B96,B97,"Simple")+E97/10000</f>
        <v>0.10861777408925705</v>
      </c>
      <c r="G97" s="300" t="str" cm="1">
        <f t="array" aca="1" ref="G97" ca="1">_xll.d.TestUtils_Equal(D97,F97)</f>
        <v>Ok</v>
      </c>
      <c r="H97" s="941">
        <v>-270800.47786636697</v>
      </c>
      <c r="I97" s="941" cm="1">
        <f t="array" aca="1" ref="I97" ca="1">-$C$56*_xll.d.Dates_Act365(B96,B97)*F97</f>
        <v>-270800.47786636691</v>
      </c>
      <c r="J97" s="455" t="str" cm="1">
        <f t="array" aca="1" ref="J97" ca="1">_xll.d.TestUtils_Equal(H97,I97)</f>
        <v>Ok</v>
      </c>
      <c r="K97" s="941">
        <v>-270800.47786636697</v>
      </c>
      <c r="L97" s="945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43">
        <f t="shared" ca="1" si="1"/>
        <v>7.0497058699956483E-3</v>
      </c>
      <c r="Q97" s="884"/>
      <c r="R97" s="883"/>
    </row>
    <row r="98" spans="2:18">
      <c r="B98" s="940">
        <v>48852</v>
      </c>
      <c r="C98" s="889"/>
      <c r="D98" s="944">
        <v>0.109963643040318</v>
      </c>
      <c r="E98" s="945">
        <v>-1.3066301515926599</v>
      </c>
      <c r="F98" s="946" cm="1">
        <f t="array" aca="1" ref="F98" ca="1">_xll.d.Curve_GetForwardRates($C$16,B97,B98,"Simple")+E98/10000</f>
        <v>0.10996364304031664</v>
      </c>
      <c r="G98" s="300" t="str" cm="1">
        <f t="array" aca="1" ref="G98" ca="1">_xll.d.TestUtils_Equal(D98,F98)</f>
        <v>Ok</v>
      </c>
      <c r="H98" s="941">
        <v>-277168.63451258099</v>
      </c>
      <c r="I98" s="941" cm="1">
        <f t="array" aca="1" ref="I98" ca="1">-$C$56*_xll.d.Dates_Act365(B97,B98)*F98</f>
        <v>-277168.63451257895</v>
      </c>
      <c r="J98" s="455" t="str" cm="1">
        <f t="array" aca="1" ref="J98" ca="1">_xll.d.TestUtils_Equal(H98,I98)</f>
        <v>Ok</v>
      </c>
      <c r="K98" s="941">
        <v>-277168.63451258099</v>
      </c>
      <c r="L98" s="945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43">
        <f t="shared" ca="1" si="1"/>
        <v>7.2388585625517976E-3</v>
      </c>
      <c r="Q98" s="884"/>
      <c r="R98" s="883"/>
    </row>
    <row r="99" spans="2:18">
      <c r="B99" s="940">
        <v>48943</v>
      </c>
      <c r="C99" s="889"/>
      <c r="D99" s="944">
        <v>0.111046637464129</v>
      </c>
      <c r="E99" s="945">
        <v>-1.3066301515926599</v>
      </c>
      <c r="F99" s="946" cm="1">
        <f t="array" aca="1" ref="F99" ca="1">_xll.d.Curve_GetForwardRates($C$16,B98,B99,"Simple")+E99/10000</f>
        <v>0.11104663746412834</v>
      </c>
      <c r="G99" s="300" t="str" cm="1">
        <f t="array" aca="1" ref="G99" ca="1">_xll.d.TestUtils_Equal(D99,F99)</f>
        <v>Ok</v>
      </c>
      <c r="H99" s="941">
        <v>-276856.00025303499</v>
      </c>
      <c r="I99" s="941" cm="1">
        <f t="array" aca="1" ref="I99" ca="1">-$C$56*_xll.d.Dates_Act365(B98,B99)*F99</f>
        <v>-276856.00025303231</v>
      </c>
      <c r="J99" s="455" t="str" cm="1">
        <f t="array" aca="1" ref="J99" ca="1">_xll.d.TestUtils_Equal(H99,I99)</f>
        <v>Ok</v>
      </c>
      <c r="K99" s="941">
        <v>-276856.00025303499</v>
      </c>
      <c r="L99" s="945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43">
        <f t="shared" ca="1" si="1"/>
        <v>7.4335233708922033E-3</v>
      </c>
      <c r="Q99" s="884"/>
      <c r="R99" s="883"/>
    </row>
    <row r="100" spans="2:18">
      <c r="B100" s="940">
        <v>49034</v>
      </c>
      <c r="C100" s="889"/>
      <c r="D100" s="944">
        <v>0.11188292615923701</v>
      </c>
      <c r="E100" s="945">
        <v>-1.3066301515926599</v>
      </c>
      <c r="F100" s="946" cm="1">
        <f t="array" aca="1" ref="F100" ca="1">_xll.d.Curve_GetForwardRates($C$16,B99,B100,"Simple")+E100/10000</f>
        <v>0.11188292615923909</v>
      </c>
      <c r="G100" s="300" t="str" cm="1">
        <f t="array" aca="1" ref="G100" ca="1">_xll.d.TestUtils_Equal(D100,F100)</f>
        <v>Ok</v>
      </c>
      <c r="H100" s="941">
        <v>-278940.99398604402</v>
      </c>
      <c r="I100" s="941" cm="1">
        <f t="array" aca="1" ref="I100" ca="1">-$C$56*_xll.d.Dates_Act365(B99,B100)*F100</f>
        <v>-278940.99398604815</v>
      </c>
      <c r="J100" s="455" t="str" cm="1">
        <f t="array" aca="1" ref="J100" ca="1">_xll.d.TestUtils_Equal(H100,I100)</f>
        <v>Ok</v>
      </c>
      <c r="K100" s="941">
        <v>-278940.99398604402</v>
      </c>
      <c r="L100" s="945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43">
        <f t="shared" ca="1" si="1"/>
        <v>7.6350471449302404E-3</v>
      </c>
      <c r="Q100" s="884"/>
      <c r="R100" s="883"/>
    </row>
    <row r="101" spans="2:18">
      <c r="B101" s="940">
        <v>49125</v>
      </c>
      <c r="C101" s="889"/>
      <c r="D101" s="944">
        <v>0.112432032365107</v>
      </c>
      <c r="E101" s="945">
        <v>-1.3066301515926599</v>
      </c>
      <c r="F101" s="946" cm="1">
        <f t="array" aca="1" ref="F101" ca="1">_xll.d.Curve_GetForwardRates($C$16,B100,B101,"Simple")+E101/10000</f>
        <v>0.11243203236510656</v>
      </c>
      <c r="G101" s="300" t="str" cm="1">
        <f t="array" aca="1" ref="G101" ca="1">_xll.d.TestUtils_Equal(D101,F101)</f>
        <v>Ok</v>
      </c>
      <c r="H101" s="941">
        <v>-280309.998499309</v>
      </c>
      <c r="I101" s="941" cm="1">
        <f t="array" aca="1" ref="I101" ca="1">-$C$56*_xll.d.Dates_Act365(B100,B101)*F101</f>
        <v>-280309.99849930673</v>
      </c>
      <c r="J101" s="455" t="str" cm="1">
        <f t="array" aca="1" ref="J101" ca="1">_xll.d.TestUtils_Equal(H101,I101)</f>
        <v>Ok</v>
      </c>
      <c r="K101" s="941">
        <v>-280309.998499309</v>
      </c>
      <c r="L101" s="945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43">
        <f t="shared" ca="1" si="1"/>
        <v>7.842549849669922E-3</v>
      </c>
      <c r="Q101" s="884"/>
      <c r="R101" s="883"/>
    </row>
    <row r="102" spans="2:18">
      <c r="B102" s="940">
        <v>49216</v>
      </c>
      <c r="C102" s="889"/>
      <c r="D102" s="944">
        <v>0.112660419539217</v>
      </c>
      <c r="E102" s="945">
        <v>-1.3066301515926599</v>
      </c>
      <c r="F102" s="946" cm="1">
        <f t="array" aca="1" ref="F102" ca="1">_xll.d.Curve_GetForwardRates($C$16,B101,B102,"Simple")+E102/10000</f>
        <v>0.11266041953921527</v>
      </c>
      <c r="G102" s="300" t="str" cm="1">
        <f t="array" aca="1" ref="G102" ca="1">_xll.d.TestUtils_Equal(D102,F102)</f>
        <v>Ok</v>
      </c>
      <c r="H102" s="941">
        <v>-280879.40213886998</v>
      </c>
      <c r="I102" s="941" cm="1">
        <f t="array" aca="1" ref="I102" ca="1">-$C$56*_xll.d.Dates_Act365(B101,B102)*F102</f>
        <v>-280879.40213886544</v>
      </c>
      <c r="J102" s="455" t="str" cm="1">
        <f t="array" aca="1" ref="J102" ca="1">_xll.d.TestUtils_Equal(H102,I102)</f>
        <v>Ok</v>
      </c>
      <c r="K102" s="941">
        <v>-280879.40213886998</v>
      </c>
      <c r="L102" s="945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43">
        <f t="shared" ca="1" si="1"/>
        <v>8.0549018518780713E-3</v>
      </c>
      <c r="Q102" s="884"/>
      <c r="R102" s="883"/>
    </row>
    <row r="103" spans="2:18">
      <c r="B103" s="940">
        <v>49307</v>
      </c>
      <c r="C103" s="889"/>
      <c r="D103" s="952">
        <v>0.112531968219763</v>
      </c>
      <c r="E103" s="945">
        <v>-1.3066301515926599</v>
      </c>
      <c r="F103" s="953" cm="1">
        <f t="array" aca="1" ref="F103" ca="1">_xll.d.Curve_GetForwardRates($C$16,B102,B103,"Simple")+E103/10000</f>
        <v>0.11253196821976262</v>
      </c>
      <c r="G103" s="300" t="str" cm="1">
        <f t="array" aca="1" ref="G103" ca="1">_xll.d.TestUtils_Equal(D103,F103)</f>
        <v>Ok</v>
      </c>
      <c r="H103" s="941">
        <v>-280559.15364379197</v>
      </c>
      <c r="I103" s="941" cm="1">
        <f t="array" aca="1" ref="I103" ca="1">-$C$56*_xll.d.Dates_Act365(B102,B103)*F103</f>
        <v>-280559.15364379174</v>
      </c>
      <c r="J103" s="455" t="str" cm="1">
        <f t="array" aca="1" ref="J103" ca="1">_xll.d.TestUtils_Equal(H103,I103)</f>
        <v>Ok</v>
      </c>
      <c r="K103" s="941">
        <v>-280559.15364379197</v>
      </c>
      <c r="L103" s="945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43">
        <f t="shared" ca="1" si="1"/>
        <v>8.2706867605963907E-3</v>
      </c>
      <c r="Q103" s="884"/>
      <c r="R103" s="883"/>
    </row>
    <row r="104" spans="2:18">
      <c r="B104" s="940">
        <v>49398</v>
      </c>
      <c r="C104" s="941">
        <v>-10000000</v>
      </c>
      <c r="D104" s="944">
        <v>0.11200812610859601</v>
      </c>
      <c r="E104" s="945">
        <v>-1.3066301515926599</v>
      </c>
      <c r="F104" s="946" cm="1">
        <f t="array" aca="1" ref="F104" ca="1">_xll.d.Curve_GetForwardRates($C$16,B103,B104,"Simple")+E104/10000</f>
        <v>0.11200812610859552</v>
      </c>
      <c r="G104" s="300" t="str" cm="1">
        <f t="array" aca="1" ref="G104" ca="1">_xll.d.TestUtils_Equal(D104,F104)</f>
        <v>Ok</v>
      </c>
      <c r="H104" s="941">
        <v>-279253.13632554002</v>
      </c>
      <c r="I104" s="941" cm="1">
        <f t="array" aca="1" ref="I104" ca="1">-$C$56*_xll.d.Dates_Act365(B103,B104)*F104</f>
        <v>-279253.1363255395</v>
      </c>
      <c r="J104" s="455" t="str" cm="1">
        <f t="array" aca="1" ref="J104" ca="1">_xll.d.TestUtils_Equal(H104,I104)</f>
        <v>Ok</v>
      </c>
      <c r="K104" s="941">
        <v>-10279253.136325501</v>
      </c>
      <c r="L104" s="945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43">
        <f t="shared" ca="1" si="1"/>
        <v>8.4881638408660365E-3</v>
      </c>
      <c r="Q104" s="884"/>
      <c r="R104" s="883"/>
    </row>
    <row r="106" spans="2:18">
      <c r="M106" s="902"/>
    </row>
    <row r="110" spans="2:18">
      <c r="L110" s="891"/>
    </row>
    <row r="111" spans="2:18">
      <c r="L111" s="891"/>
    </row>
    <row r="112" spans="2:18">
      <c r="L112" s="891"/>
    </row>
    <row r="113" spans="12:12">
      <c r="L113" s="891"/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mergeCells count="9">
    <mergeCell ref="AH18:AI18"/>
    <mergeCell ref="AL21:AM21"/>
    <mergeCell ref="AL17:AM17"/>
    <mergeCell ref="AL26:AM26"/>
    <mergeCell ref="C22:D22"/>
    <mergeCell ref="G22:H22"/>
    <mergeCell ref="K22:L22"/>
    <mergeCell ref="Z18:AA18"/>
    <mergeCell ref="AD18:AE18"/>
  </mergeCells>
  <conditionalFormatting sqref="E7">
    <cfRule type="cellIs" dxfId="507" priority="16" stopIfTrue="1" operator="equal">
      <formula>"ERROR"</formula>
    </cfRule>
    <cfRule type="cellIs" dxfId="506" priority="17" stopIfTrue="1" operator="equal">
      <formula>"OK"</formula>
    </cfRule>
    <cfRule type="cellIs" dxfId="505" priority="18" stopIfTrue="1" operator="equal">
      <formula>"WARNING"</formula>
    </cfRule>
  </conditionalFormatting>
  <conditionalFormatting sqref="C4">
    <cfRule type="cellIs" dxfId="504" priority="13" stopIfTrue="1" operator="equal">
      <formula>"ERROR"</formula>
    </cfRule>
    <cfRule type="cellIs" dxfId="503" priority="14" stopIfTrue="1" operator="equal">
      <formula>"OK"</formula>
    </cfRule>
    <cfRule type="cellIs" dxfId="502" priority="15" stopIfTrue="1" operator="equal">
      <formula>"WARNING"</formula>
    </cfRule>
  </conditionalFormatting>
  <conditionalFormatting sqref="C12">
    <cfRule type="cellIs" dxfId="501" priority="10" stopIfTrue="1" operator="equal">
      <formula>"ERROR"</formula>
    </cfRule>
  </conditionalFormatting>
  <conditionalFormatting sqref="C12">
    <cfRule type="cellIs" dxfId="500" priority="11" stopIfTrue="1" operator="equal">
      <formula>"OK"</formula>
    </cfRule>
  </conditionalFormatting>
  <conditionalFormatting sqref="C12">
    <cfRule type="cellIs" dxfId="499" priority="12" stopIfTrue="1" operator="equal">
      <formula>"WARNING"</formula>
    </cfRule>
  </conditionalFormatting>
  <conditionalFormatting sqref="J57:J104">
    <cfRule type="cellIs" dxfId="498" priority="19" stopIfTrue="1" operator="equal">
      <formula>"ERROR"</formula>
    </cfRule>
    <cfRule type="cellIs" dxfId="497" priority="20" stopIfTrue="1" operator="equal">
      <formula>"OK"</formula>
    </cfRule>
    <cfRule type="cellIs" dxfId="496" priority="21" stopIfTrue="1" operator="equal">
      <formula>"WARNING"</formula>
    </cfRule>
  </conditionalFormatting>
  <conditionalFormatting sqref="G57:G104">
    <cfRule type="cellIs" dxfId="495" priority="22" stopIfTrue="1" operator="equal">
      <formula>"ERROR"</formula>
    </cfRule>
    <cfRule type="cellIs" dxfId="494" priority="23" stopIfTrue="1" operator="equal">
      <formula>"OK"</formula>
    </cfRule>
    <cfRule type="cellIs" dxfId="493" priority="24" stopIfTrue="1" operator="equal">
      <formula>"WARNING"</formula>
    </cfRule>
  </conditionalFormatting>
  <dataValidations count="3">
    <dataValidation type="list" allowBlank="1" showInputMessage="1" showErrorMessage="1" sqref="C22:D22 G22:H22 K22:L22 Z18:AA18 AD18:AE18 AH18:AI18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6:AM26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17:AM17 AL21:AM21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zoomScale="70" zoomScaleNormal="70" workbookViewId="0">
      <selection activeCell="D25" sqref="A23:D25"/>
    </sheetView>
  </sheetViews>
  <sheetFormatPr defaultRowHeight="15"/>
  <cols>
    <col min="1" max="1" width="3.75" customWidth="1"/>
    <col min="2" max="2" width="20.75" customWidth="1"/>
    <col min="3" max="3" width="23.8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387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140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140</v>
      </c>
      <c r="C6" s="50"/>
    </row>
    <row r="7" spans="2:22">
      <c r="B7" s="480" t="s">
        <v>447</v>
      </c>
      <c r="C7" s="164" t="str">
        <f ca="1">C15</f>
        <v>Ok</v>
      </c>
    </row>
    <row r="8" spans="2:22">
      <c r="B8" s="480" t="s">
        <v>448</v>
      </c>
      <c r="C8" s="164" t="str">
        <f ca="1">C62</f>
        <v>Ok</v>
      </c>
      <c r="E8" s="495"/>
    </row>
    <row r="9" spans="2:22">
      <c r="B9" s="480" t="s">
        <v>453</v>
      </c>
      <c r="C9" s="164" t="str">
        <f ca="1">C76</f>
        <v>Ok</v>
      </c>
    </row>
    <row r="10" spans="2:22" s="439" customFormat="1">
      <c r="B10" s="480" t="s">
        <v>636</v>
      </c>
      <c r="C10" s="828" t="str">
        <f ca="1">C90</f>
        <v>Ok</v>
      </c>
    </row>
    <row r="13" spans="2:22" ht="18.75">
      <c r="B13" s="3" t="s">
        <v>447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140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58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_xll.d.Curve_CreateFromDiscountFactors("ExampleCurve",B22:C25,B29:B34,C29:C34)</f>
        <v>@@ExampleCurve::09:14:37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47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57</v>
      </c>
      <c r="C23" s="140" t="s">
        <v>54</v>
      </c>
    </row>
    <row r="24" spans="2:17">
      <c r="B24" s="141" t="s">
        <v>55</v>
      </c>
      <c r="C24" s="142" t="s">
        <v>56</v>
      </c>
      <c r="E24" s="144"/>
    </row>
    <row r="25" spans="2:17">
      <c r="B25" s="143" t="s">
        <v>43</v>
      </c>
      <c r="C25" s="914" t="s">
        <v>710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459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107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90</v>
      </c>
      <c r="C41" s="4"/>
      <c r="D41" s="4"/>
      <c r="E41" s="4"/>
      <c r="G41" s="4" t="s">
        <v>92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107</v>
      </c>
      <c r="C43" s="164" t="str" cm="1">
        <f t="array" aca="1" ref="C43" ca="1">_xll.d.TestUtils_And(E47:E57)</f>
        <v>Ok</v>
      </c>
      <c r="D43"/>
      <c r="E43"/>
      <c r="G43" s="50" t="s">
        <v>107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 s="479" t="s">
        <v>446</v>
      </c>
      <c r="E45"/>
      <c r="F45"/>
      <c r="G45" s="27" t="s">
        <v>139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61</v>
      </c>
      <c r="D46" s="187" t="s">
        <v>62</v>
      </c>
      <c r="E46" s="50" t="s">
        <v>68</v>
      </c>
      <c r="F46"/>
      <c r="G46" s="529" t="s">
        <v>66</v>
      </c>
      <c r="H46" s="529"/>
      <c r="I46" s="529"/>
      <c r="J46" s="529" t="s">
        <v>67</v>
      </c>
      <c r="K46" s="529"/>
      <c r="L46" s="630"/>
      <c r="M46" s="185" t="s">
        <v>68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554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448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140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63</v>
      </c>
      <c r="D65" s="27"/>
      <c r="E65" s="27"/>
      <c r="F65" s="27" t="s">
        <v>79</v>
      </c>
      <c r="G65" s="27"/>
      <c r="H65" s="27"/>
      <c r="I65" s="27"/>
      <c r="J65" s="27" t="s">
        <v>80</v>
      </c>
      <c r="K65" s="27"/>
      <c r="L65" s="27"/>
      <c r="M65" s="27"/>
      <c r="N65" s="27" t="s">
        <v>65</v>
      </c>
      <c r="O65" s="27"/>
      <c r="P65" s="27"/>
      <c r="Q65" s="27" t="s">
        <v>64</v>
      </c>
      <c r="R65" s="27"/>
      <c r="S65" s="27"/>
      <c r="T65" s="27" t="s">
        <v>219</v>
      </c>
      <c r="U65" s="27"/>
      <c r="V65" s="13"/>
    </row>
    <row r="66" spans="2:25">
      <c r="B66" s="503" t="s">
        <v>31</v>
      </c>
      <c r="C66" s="504" t="s">
        <v>59</v>
      </c>
      <c r="D66" s="504" t="s">
        <v>60</v>
      </c>
      <c r="E66" s="504" t="s">
        <v>68</v>
      </c>
      <c r="F66" s="504" t="s">
        <v>59</v>
      </c>
      <c r="G66" s="504" t="s">
        <v>60</v>
      </c>
      <c r="H66" s="504"/>
      <c r="I66" s="504" t="s">
        <v>68</v>
      </c>
      <c r="J66" s="504" t="s">
        <v>59</v>
      </c>
      <c r="K66" s="504" t="s">
        <v>60</v>
      </c>
      <c r="L66" s="504"/>
      <c r="M66" s="504" t="s">
        <v>68</v>
      </c>
      <c r="N66" s="504" t="s">
        <v>59</v>
      </c>
      <c r="O66" s="504" t="s">
        <v>60</v>
      </c>
      <c r="P66" s="504" t="s">
        <v>68</v>
      </c>
      <c r="Q66" s="504" t="s">
        <v>59</v>
      </c>
      <c r="R66" s="504" t="s">
        <v>60</v>
      </c>
      <c r="S66" s="504" t="s">
        <v>68</v>
      </c>
      <c r="T66" s="504" t="s">
        <v>59</v>
      </c>
      <c r="U66" s="504" t="s">
        <v>60</v>
      </c>
      <c r="V66" s="138" t="s">
        <v>68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453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140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63</v>
      </c>
      <c r="G79" s="27"/>
      <c r="H79" s="27"/>
      <c r="I79" s="27"/>
      <c r="J79" s="27" t="s">
        <v>79</v>
      </c>
      <c r="K79" s="27"/>
      <c r="L79" s="27"/>
      <c r="M79" s="27"/>
      <c r="N79" s="27" t="s">
        <v>80</v>
      </c>
      <c r="O79" s="27"/>
      <c r="P79" s="27"/>
      <c r="Q79" s="27" t="s">
        <v>65</v>
      </c>
      <c r="R79" s="27"/>
      <c r="S79" s="27"/>
      <c r="T79" s="27" t="s">
        <v>64</v>
      </c>
      <c r="U79" s="27"/>
      <c r="V79" s="27"/>
      <c r="W79" s="27" t="s">
        <v>219</v>
      </c>
      <c r="X79" s="27"/>
      <c r="Y79" s="13"/>
    </row>
    <row r="80" spans="2:25">
      <c r="B80" s="503" t="s">
        <v>232</v>
      </c>
      <c r="C80" s="504" t="s">
        <v>233</v>
      </c>
      <c r="D80" s="504" t="s">
        <v>455</v>
      </c>
      <c r="E80" s="504" t="s">
        <v>456</v>
      </c>
      <c r="F80" s="504" t="s">
        <v>454</v>
      </c>
      <c r="G80" s="504" t="s">
        <v>457</v>
      </c>
      <c r="H80" s="504"/>
      <c r="I80" s="504" t="s">
        <v>68</v>
      </c>
      <c r="J80" s="504" t="s">
        <v>454</v>
      </c>
      <c r="K80" s="504" t="s">
        <v>457</v>
      </c>
      <c r="L80" s="504"/>
      <c r="M80" s="504" t="s">
        <v>68</v>
      </c>
      <c r="N80" s="504" t="s">
        <v>454</v>
      </c>
      <c r="O80" s="504" t="s">
        <v>457</v>
      </c>
      <c r="P80" s="504" t="s">
        <v>68</v>
      </c>
      <c r="Q80" s="504" t="s">
        <v>454</v>
      </c>
      <c r="R80" s="504" t="s">
        <v>457</v>
      </c>
      <c r="S80" s="504" t="s">
        <v>68</v>
      </c>
      <c r="T80" s="504" t="s">
        <v>454</v>
      </c>
      <c r="U80" s="504" t="s">
        <v>457</v>
      </c>
      <c r="V80" s="504" t="s">
        <v>68</v>
      </c>
      <c r="W80" s="504" t="s">
        <v>454</v>
      </c>
      <c r="X80" s="504" t="s">
        <v>457</v>
      </c>
      <c r="Y80" s="138" t="s">
        <v>68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636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140</v>
      </c>
      <c r="C90" s="828" t="str">
        <f ca="1">K94</f>
        <v>Ok</v>
      </c>
      <c r="D90" s="439"/>
      <c r="E90" s="439"/>
    </row>
    <row r="91" spans="2:25">
      <c r="B91" s="479" t="s">
        <v>638</v>
      </c>
      <c r="C91" s="439"/>
    </row>
    <row r="92" spans="2:25">
      <c r="B92" s="479" t="s">
        <v>639</v>
      </c>
    </row>
    <row r="93" spans="2:25">
      <c r="B93" s="822" t="s">
        <v>66</v>
      </c>
      <c r="C93" s="823"/>
      <c r="D93" s="823"/>
      <c r="E93" s="823"/>
      <c r="F93" s="823" t="s">
        <v>67</v>
      </c>
      <c r="G93" s="823"/>
      <c r="H93" s="823"/>
      <c r="I93" s="823"/>
      <c r="J93" s="823"/>
      <c r="K93" s="824" t="s">
        <v>68</v>
      </c>
    </row>
    <row r="94" spans="2:25">
      <c r="B94" s="825" t="str" cm="1">
        <f t="array" aca="1" ref="B94" ca="1">_xll.d.Curve_GetInstruments(C19)</f>
        <v>#∂Excel Error: No instruments found. Was this bootstrapped or built from discount factors directly?</v>
      </c>
      <c r="C94" s="826"/>
      <c r="D94" s="826"/>
      <c r="E94" s="826"/>
      <c r="F94" s="829" t="s">
        <v>637</v>
      </c>
      <c r="G94" s="826"/>
      <c r="H94" s="826"/>
      <c r="I94" s="826"/>
      <c r="J94" s="830"/>
      <c r="K94" s="827" t="str" cm="1">
        <f t="array" aca="1" ref="K94" ca="1">_xll.d.TestUtils_Equal(B94,F94)</f>
        <v>Ok</v>
      </c>
    </row>
  </sheetData>
  <conditionalFormatting sqref="E47:E57">
    <cfRule type="cellIs" dxfId="492" priority="43" stopIfTrue="1" operator="equal">
      <formula>"OK"</formula>
    </cfRule>
    <cfRule type="cellIs" dxfId="491" priority="44" stopIfTrue="1" operator="equal">
      <formula>"ERROR"</formula>
    </cfRule>
  </conditionalFormatting>
  <conditionalFormatting sqref="C43">
    <cfRule type="cellIs" dxfId="490" priority="41" stopIfTrue="1" operator="equal">
      <formula>"OK"</formula>
    </cfRule>
    <cfRule type="cellIs" dxfId="489" priority="42" stopIfTrue="1" operator="equal">
      <formula>"ERROR"</formula>
    </cfRule>
  </conditionalFormatting>
  <conditionalFormatting sqref="C15">
    <cfRule type="cellIs" dxfId="488" priority="45" stopIfTrue="1" operator="equal">
      <formula>"OK"</formula>
    </cfRule>
    <cfRule type="cellIs" dxfId="487" priority="46" stopIfTrue="1" operator="equal">
      <formula>"ERROR"</formula>
    </cfRule>
  </conditionalFormatting>
  <conditionalFormatting sqref="E67:E71">
    <cfRule type="cellIs" dxfId="486" priority="39" stopIfTrue="1" operator="equal">
      <formula>"OK"</formula>
    </cfRule>
    <cfRule type="cellIs" dxfId="485" priority="40" stopIfTrue="1" operator="equal">
      <formula>"ERROR"</formula>
    </cfRule>
  </conditionalFormatting>
  <conditionalFormatting sqref="S67:S71">
    <cfRule type="cellIs" dxfId="484" priority="37" stopIfTrue="1" operator="equal">
      <formula>"OK"</formula>
    </cfRule>
    <cfRule type="cellIs" dxfId="483" priority="38" stopIfTrue="1" operator="equal">
      <formula>"ERROR"</formula>
    </cfRule>
  </conditionalFormatting>
  <conditionalFormatting sqref="P67:P71">
    <cfRule type="cellIs" dxfId="482" priority="35" stopIfTrue="1" operator="equal">
      <formula>"OK"</formula>
    </cfRule>
    <cfRule type="cellIs" dxfId="481" priority="36" stopIfTrue="1" operator="equal">
      <formula>"ERROR"</formula>
    </cfRule>
  </conditionalFormatting>
  <conditionalFormatting sqref="M47">
    <cfRule type="cellIs" dxfId="480" priority="33" stopIfTrue="1" operator="equal">
      <formula>"OK"</formula>
    </cfRule>
    <cfRule type="cellIs" dxfId="479" priority="34" stopIfTrue="1" operator="equal">
      <formula>"ERROR"</formula>
    </cfRule>
  </conditionalFormatting>
  <conditionalFormatting sqref="C7">
    <cfRule type="cellIs" dxfId="478" priority="47" stopIfTrue="1" operator="equal">
      <formula>"ERROR"</formula>
    </cfRule>
    <cfRule type="cellIs" dxfId="477" priority="48" stopIfTrue="1" operator="equal">
      <formula>"OK"</formula>
    </cfRule>
    <cfRule type="cellIs" dxfId="476" priority="49" stopIfTrue="1" operator="equal">
      <formula>"WARNING"</formula>
    </cfRule>
  </conditionalFormatting>
  <conditionalFormatting sqref="H43">
    <cfRule type="cellIs" dxfId="475" priority="31" stopIfTrue="1" operator="equal">
      <formula>"OK"</formula>
    </cfRule>
    <cfRule type="cellIs" dxfId="474" priority="32" stopIfTrue="1" operator="equal">
      <formula>"ERROR"</formula>
    </cfRule>
  </conditionalFormatting>
  <conditionalFormatting sqref="I67:I71">
    <cfRule type="cellIs" dxfId="473" priority="29" stopIfTrue="1" operator="equal">
      <formula>"OK"</formula>
    </cfRule>
    <cfRule type="cellIs" dxfId="472" priority="30" stopIfTrue="1" operator="equal">
      <formula>"ERROR"</formula>
    </cfRule>
  </conditionalFormatting>
  <conditionalFormatting sqref="C62">
    <cfRule type="cellIs" dxfId="471" priority="27" stopIfTrue="1" operator="equal">
      <formula>"OK"</formula>
    </cfRule>
    <cfRule type="cellIs" dxfId="470" priority="28" stopIfTrue="1" operator="equal">
      <formula>"ERROR"</formula>
    </cfRule>
  </conditionalFormatting>
  <conditionalFormatting sqref="M67:M71">
    <cfRule type="cellIs" dxfId="469" priority="25" stopIfTrue="1" operator="equal">
      <formula>"OK"</formula>
    </cfRule>
    <cfRule type="cellIs" dxfId="468" priority="26" stopIfTrue="1" operator="equal">
      <formula>"ERROR"</formula>
    </cfRule>
  </conditionalFormatting>
  <conditionalFormatting sqref="V67:V71">
    <cfRule type="cellIs" dxfId="467" priority="23" stopIfTrue="1" operator="equal">
      <formula>"OK"</formula>
    </cfRule>
    <cfRule type="cellIs" dxfId="466" priority="24" stopIfTrue="1" operator="equal">
      <formula>"ERROR"</formula>
    </cfRule>
  </conditionalFormatting>
  <conditionalFormatting sqref="C8">
    <cfRule type="cellIs" dxfId="465" priority="50" stopIfTrue="1" operator="equal">
      <formula>"ERROR"</formula>
    </cfRule>
    <cfRule type="cellIs" dxfId="464" priority="51" stopIfTrue="1" operator="equal">
      <formula>"OK"</formula>
    </cfRule>
    <cfRule type="cellIs" dxfId="463" priority="52" stopIfTrue="1" operator="equal">
      <formula>"WARNING"</formula>
    </cfRule>
  </conditionalFormatting>
  <conditionalFormatting sqref="C4">
    <cfRule type="cellIs" dxfId="462" priority="21" stopIfTrue="1" operator="equal">
      <formula>"OK"</formula>
    </cfRule>
    <cfRule type="cellIs" dxfId="461" priority="22" stopIfTrue="1" operator="equal">
      <formula>"ERROR"</formula>
    </cfRule>
  </conditionalFormatting>
  <conditionalFormatting sqref="I81:I85">
    <cfRule type="cellIs" dxfId="460" priority="19" stopIfTrue="1" operator="equal">
      <formula>"OK"</formula>
    </cfRule>
    <cfRule type="cellIs" dxfId="459" priority="20" stopIfTrue="1" operator="equal">
      <formula>"ERROR"</formula>
    </cfRule>
  </conditionalFormatting>
  <conditionalFormatting sqref="V81:V85">
    <cfRule type="cellIs" dxfId="458" priority="17" stopIfTrue="1" operator="equal">
      <formula>"OK"</formula>
    </cfRule>
    <cfRule type="cellIs" dxfId="457" priority="18" stopIfTrue="1" operator="equal">
      <formula>"ERROR"</formula>
    </cfRule>
  </conditionalFormatting>
  <conditionalFormatting sqref="S81:S85">
    <cfRule type="cellIs" dxfId="456" priority="15" stopIfTrue="1" operator="equal">
      <formula>"OK"</formula>
    </cfRule>
    <cfRule type="cellIs" dxfId="455" priority="16" stopIfTrue="1" operator="equal">
      <formula>"ERROR"</formula>
    </cfRule>
  </conditionalFormatting>
  <conditionalFormatting sqref="M81:M85">
    <cfRule type="cellIs" dxfId="454" priority="13" stopIfTrue="1" operator="equal">
      <formula>"OK"</formula>
    </cfRule>
    <cfRule type="cellIs" dxfId="453" priority="14" stopIfTrue="1" operator="equal">
      <formula>"ERROR"</formula>
    </cfRule>
  </conditionalFormatting>
  <conditionalFormatting sqref="C76">
    <cfRule type="cellIs" dxfId="452" priority="11" stopIfTrue="1" operator="equal">
      <formula>"OK"</formula>
    </cfRule>
    <cfRule type="cellIs" dxfId="451" priority="12" stopIfTrue="1" operator="equal">
      <formula>"ERROR"</formula>
    </cfRule>
  </conditionalFormatting>
  <conditionalFormatting sqref="P81:P85">
    <cfRule type="cellIs" dxfId="450" priority="9" stopIfTrue="1" operator="equal">
      <formula>"OK"</formula>
    </cfRule>
    <cfRule type="cellIs" dxfId="449" priority="10" stopIfTrue="1" operator="equal">
      <formula>"ERROR"</formula>
    </cfRule>
  </conditionalFormatting>
  <conditionalFormatting sqref="Y81:Y85">
    <cfRule type="cellIs" dxfId="448" priority="7" stopIfTrue="1" operator="equal">
      <formula>"OK"</formula>
    </cfRule>
    <cfRule type="cellIs" dxfId="447" priority="8" stopIfTrue="1" operator="equal">
      <formula>"ERROR"</formula>
    </cfRule>
  </conditionalFormatting>
  <conditionalFormatting sqref="C9:C10">
    <cfRule type="cellIs" dxfId="446" priority="53" stopIfTrue="1" operator="equal">
      <formula>"ERROR"</formula>
    </cfRule>
    <cfRule type="cellIs" dxfId="445" priority="54" stopIfTrue="1" operator="equal">
      <formula>"OK"</formula>
    </cfRule>
    <cfRule type="cellIs" dxfId="444" priority="55" stopIfTrue="1" operator="equal">
      <formula>"WARNING"</formula>
    </cfRule>
  </conditionalFormatting>
  <conditionalFormatting sqref="C39">
    <cfRule type="cellIs" dxfId="443" priority="5" stopIfTrue="1" operator="equal">
      <formula>"OK"</formula>
    </cfRule>
    <cfRule type="cellIs" dxfId="442" priority="6" stopIfTrue="1" operator="equal">
      <formula>"ERROR"</formula>
    </cfRule>
  </conditionalFormatting>
  <conditionalFormatting sqref="C90">
    <cfRule type="cellIs" dxfId="441" priority="3" stopIfTrue="1" operator="equal">
      <formula>"OK"</formula>
    </cfRule>
    <cfRule type="cellIs" dxfId="440" priority="4" stopIfTrue="1" operator="equal">
      <formula>"ERROR"</formula>
    </cfRule>
  </conditionalFormatting>
  <conditionalFormatting sqref="K94">
    <cfRule type="cellIs" dxfId="439" priority="1" stopIfTrue="1" operator="equal">
      <formula>"OK"</formula>
    </cfRule>
    <cfRule type="cellIs" dxfId="438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H300"/>
  <sheetViews>
    <sheetView showGridLines="0" topLeftCell="I19" zoomScale="70" zoomScaleNormal="70" workbookViewId="0">
      <selection activeCell="L29" sqref="L29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9" customWidth="1"/>
    <col min="13" max="13" width="13.625" style="439" customWidth="1"/>
    <col min="14" max="15" width="16.5" style="439" customWidth="1"/>
    <col min="16" max="16" width="6.25" style="439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24" width="18.75" style="439" bestFit="1" customWidth="1"/>
    <col min="25" max="25" width="12.75" style="439" customWidth="1"/>
    <col min="26" max="27" width="3.75" style="439" customWidth="1"/>
    <col min="28" max="28" width="17.75" customWidth="1"/>
    <col min="29" max="30" width="13.25" customWidth="1"/>
    <col min="31" max="31" width="11.875" customWidth="1"/>
    <col min="32" max="32" width="10.125" bestFit="1" customWidth="1"/>
    <col min="33" max="33" width="11.375" customWidth="1"/>
    <col min="34" max="34" width="23.5" customWidth="1"/>
    <col min="35" max="35" width="27.625" customWidth="1"/>
    <col min="36" max="36" width="17.125" customWidth="1"/>
    <col min="37" max="41" width="13.5" style="439" customWidth="1"/>
    <col min="42" max="43" width="3.75" customWidth="1"/>
    <col min="44" max="60" width="11" style="439" customWidth="1"/>
    <col min="61" max="61" width="11.375" customWidth="1"/>
    <col min="63" max="63" width="11" customWidth="1"/>
    <col min="78" max="78" width="20.25" customWidth="1"/>
  </cols>
  <sheetData>
    <row r="1" spans="2:86">
      <c r="B1" s="408" t="s">
        <v>387</v>
      </c>
    </row>
    <row r="2" spans="2:86" ht="26.25">
      <c r="B2" s="2" t="s">
        <v>642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</row>
    <row r="4" spans="2:86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86">
      <c r="B6" s="50" t="s">
        <v>140</v>
      </c>
      <c r="C6" s="164" t="str" cm="1">
        <f t="array" aca="1" ref="C6" ca="1">_xll.d.TestUtils_And(D11:D12,H12:H13,H16,H19)</f>
        <v>Ok</v>
      </c>
      <c r="J6" s="203"/>
      <c r="K6" s="204"/>
      <c r="M6" s="54"/>
      <c r="N6" s="54"/>
      <c r="O6" s="54"/>
      <c r="P6" s="54"/>
      <c r="Q6" s="54"/>
      <c r="R6" s="54"/>
      <c r="S6" s="54"/>
      <c r="T6" s="54"/>
    </row>
    <row r="7" spans="2:86">
      <c r="J7" s="203"/>
      <c r="K7" s="204"/>
      <c r="M7" s="54"/>
      <c r="N7" s="54"/>
      <c r="O7" s="54"/>
      <c r="P7" s="54"/>
      <c r="Q7" s="54"/>
      <c r="R7" s="54"/>
      <c r="S7" s="54"/>
      <c r="T7" s="54"/>
    </row>
    <row r="8" spans="2:86" s="439" customFormat="1" ht="15.75">
      <c r="B8" s="4" t="s">
        <v>643</v>
      </c>
      <c r="C8" s="4"/>
      <c r="D8" s="4"/>
      <c r="F8" s="4" t="s">
        <v>644</v>
      </c>
      <c r="G8" s="4"/>
      <c r="H8" s="4"/>
      <c r="J8" s="203"/>
      <c r="K8" s="204"/>
      <c r="M8" s="54"/>
      <c r="N8" s="54"/>
      <c r="O8" s="54"/>
      <c r="P8" s="54"/>
      <c r="Q8" s="54"/>
      <c r="R8" s="54"/>
      <c r="S8" s="54"/>
      <c r="T8" s="54"/>
    </row>
    <row r="9" spans="2:86" s="439" customFormat="1">
      <c r="J9" s="203"/>
      <c r="K9" s="204"/>
      <c r="M9" s="54"/>
      <c r="N9" s="54"/>
      <c r="O9" s="54"/>
      <c r="P9" s="54"/>
      <c r="Q9" s="54"/>
      <c r="R9" s="54"/>
      <c r="S9" s="54"/>
      <c r="T9" s="54"/>
    </row>
    <row r="10" spans="2:86">
      <c r="B10" s="189" t="s">
        <v>210</v>
      </c>
      <c r="C10" s="189"/>
      <c r="D10" s="190" t="s">
        <v>10</v>
      </c>
      <c r="F10" s="189" t="s">
        <v>9</v>
      </c>
      <c r="G10" s="189"/>
      <c r="H10" s="190" t="s">
        <v>10</v>
      </c>
      <c r="J10" s="203"/>
      <c r="K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3"/>
      <c r="AA10" s="204"/>
      <c r="AP10" s="203"/>
      <c r="AQ10" s="20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</row>
    <row r="11" spans="2:86">
      <c r="B11" s="202" t="s">
        <v>640</v>
      </c>
      <c r="C11" s="202"/>
      <c r="D11" s="164" t="str">
        <f ca="1">C75</f>
        <v>Ok</v>
      </c>
      <c r="F11" s="235" t="str">
        <f>B21</f>
        <v>ZAR Swap Curve Testing</v>
      </c>
      <c r="G11" s="236"/>
      <c r="H11" s="237"/>
      <c r="J11" s="203"/>
      <c r="K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3"/>
      <c r="AA11" s="204"/>
      <c r="AP11" s="203"/>
      <c r="AQ11" s="20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</row>
    <row r="12" spans="2:86">
      <c r="B12" s="415" t="s">
        <v>636</v>
      </c>
      <c r="C12" s="415"/>
      <c r="D12" s="300" t="str">
        <f ca="1">C103</f>
        <v>Ok</v>
      </c>
      <c r="F12" s="407" t="str">
        <f>B23</f>
        <v>Flat Curve, 3m JIBAR</v>
      </c>
      <c r="G12" s="202"/>
      <c r="H12" s="164" t="str">
        <f ca="1">C25</f>
        <v>Ok</v>
      </c>
      <c r="J12" s="203"/>
      <c r="K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3"/>
      <c r="AA12" s="204"/>
      <c r="AP12" s="203"/>
      <c r="AQ12" s="20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</row>
    <row r="13" spans="2:86">
      <c r="F13" s="202" t="s">
        <v>583</v>
      </c>
      <c r="G13" s="202"/>
      <c r="H13" s="164" t="str">
        <f ca="1">M25</f>
        <v>Ok</v>
      </c>
      <c r="J13" s="203"/>
      <c r="K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3"/>
      <c r="AA13" s="204"/>
      <c r="AP13" s="203"/>
      <c r="AQ13" s="20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</row>
    <row r="14" spans="2:86" s="439" customFormat="1">
      <c r="J14" s="203"/>
      <c r="K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3"/>
      <c r="AA14" s="204"/>
      <c r="AP14" s="203"/>
      <c r="AQ14" s="20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</row>
    <row r="15" spans="2:86">
      <c r="F15" s="235" t="s">
        <v>191</v>
      </c>
      <c r="G15" s="236"/>
      <c r="H15" s="237"/>
      <c r="J15" s="203"/>
      <c r="K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3"/>
      <c r="AA15" s="204"/>
      <c r="AP15" s="203"/>
      <c r="AQ15" s="20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</row>
    <row r="16" spans="2:86">
      <c r="F16" s="407" t="str">
        <f>AB23</f>
        <v>Real Curve, FEDFUND</v>
      </c>
      <c r="G16" s="202"/>
      <c r="H16" s="164" t="str">
        <f ca="1">AC25</f>
        <v>Ok</v>
      </c>
      <c r="J16" s="203"/>
      <c r="K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3"/>
      <c r="AA16" s="204"/>
      <c r="AP16" s="203"/>
      <c r="AQ16" s="20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</row>
    <row r="17" spans="2:85" s="439" customFormat="1">
      <c r="F17" s="407"/>
      <c r="G17" s="202"/>
      <c r="H17" s="164"/>
      <c r="J17" s="203"/>
      <c r="K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3"/>
      <c r="AA17" s="204"/>
      <c r="AP17" s="203"/>
      <c r="AQ17" s="20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</row>
    <row r="18" spans="2:85">
      <c r="B18" s="199"/>
      <c r="C18" s="234"/>
      <c r="D18" s="164"/>
      <c r="F18" s="235" t="s">
        <v>720</v>
      </c>
      <c r="G18" s="236"/>
      <c r="H18" s="237"/>
      <c r="J18" s="203"/>
      <c r="K18" s="20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3"/>
      <c r="AA18" s="204"/>
      <c r="AP18" s="203"/>
      <c r="AQ18" s="20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</row>
    <row r="19" spans="2:85">
      <c r="F19" s="202" t="s">
        <v>719</v>
      </c>
      <c r="G19" s="202"/>
      <c r="H19" s="164" t="str">
        <f ca="1">#REF!</f>
        <v>Ok</v>
      </c>
      <c r="J19" s="203"/>
      <c r="K19" s="20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3"/>
      <c r="AA19" s="204"/>
      <c r="AP19" s="203"/>
      <c r="AQ19" s="20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</row>
    <row r="20" spans="2:85">
      <c r="J20" s="203"/>
      <c r="K20" s="20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81"/>
      <c r="X20" s="54"/>
      <c r="Y20" s="54"/>
      <c r="Z20" s="203"/>
      <c r="AA20" s="204"/>
      <c r="AP20" s="203"/>
      <c r="AQ20" s="20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</row>
    <row r="21" spans="2:85" ht="18.75">
      <c r="B21" s="3" t="s">
        <v>211</v>
      </c>
      <c r="C21" s="3"/>
      <c r="D21" s="3"/>
      <c r="E21" s="3"/>
      <c r="F21" s="3"/>
      <c r="G21" s="3"/>
      <c r="H21" s="3"/>
      <c r="I21" s="3"/>
      <c r="J21" s="203"/>
      <c r="K21" s="204"/>
      <c r="L21" s="3" t="s">
        <v>211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3"/>
      <c r="AA21" s="204"/>
      <c r="AB21" s="3" t="s">
        <v>212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03"/>
      <c r="AQ21" s="20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3" t="s">
        <v>184</v>
      </c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</row>
    <row r="22" spans="2:85">
      <c r="J22" s="203"/>
      <c r="K22" s="204"/>
      <c r="Z22" s="203"/>
      <c r="AA22" s="204"/>
      <c r="AP22" s="203"/>
      <c r="AQ22" s="20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</row>
    <row r="23" spans="2:85" ht="15.75">
      <c r="B23" s="4" t="s">
        <v>192</v>
      </c>
      <c r="C23" s="4"/>
      <c r="D23" s="4"/>
      <c r="E23" s="4"/>
      <c r="F23" s="4"/>
      <c r="G23" s="4"/>
      <c r="H23" s="4"/>
      <c r="I23" s="4"/>
      <c r="J23" s="203"/>
      <c r="K23" s="204"/>
      <c r="L23" s="4" t="s">
        <v>583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3"/>
      <c r="AA23" s="204"/>
      <c r="AB23" s="4" t="s">
        <v>600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203"/>
      <c r="AQ23" s="20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t="s">
        <v>188</v>
      </c>
      <c r="BS23" t="s">
        <v>185</v>
      </c>
    </row>
    <row r="24" spans="2:85">
      <c r="J24" s="203"/>
      <c r="K24" s="204"/>
      <c r="U24" s="739"/>
      <c r="V24" s="739"/>
      <c r="W24" s="739"/>
      <c r="X24" s="739"/>
      <c r="Y24" s="739"/>
      <c r="Z24" s="203"/>
      <c r="AA24" s="204"/>
      <c r="AP24" s="203"/>
      <c r="AQ24" s="20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</row>
    <row r="25" spans="2:85">
      <c r="B25" s="50" t="s">
        <v>107</v>
      </c>
      <c r="C25" s="164" t="str" cm="1">
        <f t="array" aca="1" ref="C25" ca="1">_xll.d.TestUtils_And(I33:I38,I59:I60)</f>
        <v>Ok</v>
      </c>
      <c r="J25" s="203"/>
      <c r="K25" s="204"/>
      <c r="L25" s="50" t="s">
        <v>107</v>
      </c>
      <c r="M25" s="164" t="str" cm="1">
        <f t="array" aca="1" ref="M25" ca="1">_xll.d.TestUtils_And(T33:T43,T84:T89,Y33:Y49)</f>
        <v>Ok</v>
      </c>
      <c r="Z25" s="203"/>
      <c r="AA25" s="204"/>
      <c r="AB25" s="50" t="s">
        <v>107</v>
      </c>
      <c r="AC25" s="164" t="str" cm="1">
        <f t="array" aca="1" ref="AC25" ca="1">_xll.d.TestUtils_And(AJ33:AJ39,AJ55:AJ60,AO33:AO54)</f>
        <v>Ok</v>
      </c>
      <c r="AP25" s="203"/>
      <c r="AQ25" s="20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6" t="s">
        <v>37</v>
      </c>
      <c r="BJ25" s="56"/>
      <c r="BK25" s="265" t="e" cm="1">
        <f t="array" aca="1" ref="BK25" ca="1">_xll.d.Curve_SingleCurveBootstrap("CurveMissingBaseDate",BI29:BJ31,BI36:BK41,BI43:BK46,BI48:BK51)</f>
        <v>#NAME?</v>
      </c>
      <c r="BL25" s="39"/>
      <c r="BM25" s="39"/>
      <c r="BN25" s="39"/>
      <c r="BO25" s="209"/>
      <c r="BS25" s="56" t="s">
        <v>37</v>
      </c>
      <c r="BT25" s="56"/>
      <c r="BU25" s="208" t="e" cm="1">
        <f t="array" aca="1" ref="BU25" ca="1">_xll.d.Curve_SingleCurveBootstrap("CurveMissingRateIndex",BS29:BT31,BS36:BU41,BS43:BU46,BS48:BU51)</f>
        <v>#NAME?</v>
      </c>
      <c r="BV25" s="209"/>
      <c r="CD25" s="56" t="s">
        <v>37</v>
      </c>
      <c r="CE25" s="56"/>
      <c r="CF25" s="208"/>
      <c r="CG25" s="209"/>
    </row>
    <row r="26" spans="2:85">
      <c r="J26" s="203"/>
      <c r="K26" s="204"/>
      <c r="Q26" s="912" t="s">
        <v>705</v>
      </c>
      <c r="R26" s="912"/>
      <c r="S26" s="912"/>
      <c r="T26" s="912"/>
      <c r="V26" s="912" t="s">
        <v>704</v>
      </c>
      <c r="W26" s="912"/>
      <c r="X26" s="912"/>
      <c r="Y26" s="912"/>
      <c r="Z26" s="203"/>
      <c r="AA26" s="204"/>
      <c r="AG26" s="912" t="s">
        <v>705</v>
      </c>
      <c r="AH26" s="912"/>
      <c r="AI26" s="912"/>
      <c r="AJ26" s="912"/>
      <c r="AK26" s="739"/>
      <c r="AL26" s="912" t="s">
        <v>704</v>
      </c>
      <c r="AM26" s="912"/>
      <c r="AN26" s="912"/>
      <c r="AO26" s="912"/>
      <c r="AP26" s="203"/>
      <c r="AQ26" s="20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</row>
    <row r="27" spans="2:85">
      <c r="J27" s="203"/>
      <c r="K27" s="204"/>
      <c r="Q27" s="733" t="s">
        <v>706</v>
      </c>
      <c r="V27" s="733" t="s">
        <v>707</v>
      </c>
      <c r="Z27" s="203"/>
      <c r="AA27" s="204"/>
      <c r="AG27" s="733" t="s">
        <v>706</v>
      </c>
      <c r="AH27" s="439"/>
      <c r="AI27" s="439"/>
      <c r="AJ27" s="439"/>
      <c r="AL27" s="733" t="s">
        <v>707</v>
      </c>
      <c r="AP27" s="203"/>
      <c r="AQ27" s="20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K27" t="s">
        <v>187</v>
      </c>
    </row>
    <row r="28" spans="2:85">
      <c r="B28" s="56" t="s">
        <v>37</v>
      </c>
      <c r="C28" s="56"/>
      <c r="F28" s="121" t="s">
        <v>489</v>
      </c>
      <c r="G28" s="908">
        <v>9.9999999999999995E-7</v>
      </c>
      <c r="H28" s="439"/>
      <c r="I28" s="439"/>
      <c r="J28" s="203"/>
      <c r="K28" s="204"/>
      <c r="L28" s="56" t="s">
        <v>37</v>
      </c>
      <c r="M28" s="56"/>
      <c r="U28" s="739"/>
      <c r="V28" s="859" t="s">
        <v>708</v>
      </c>
      <c r="Y28" s="739"/>
      <c r="Z28" s="203"/>
      <c r="AA28" s="204"/>
      <c r="AB28" s="56" t="s">
        <v>37</v>
      </c>
      <c r="AC28" s="56"/>
      <c r="AG28" s="12" t="s">
        <v>609</v>
      </c>
      <c r="AH28" s="12"/>
      <c r="AI28" s="913" cm="1">
        <f t="array" ref="AI28">_xll.d.Dates_AddTenorToDate(AC33,"2d","USD","MODFOL")</f>
        <v>43923</v>
      </c>
      <c r="AL28" s="859" t="s">
        <v>708</v>
      </c>
      <c r="AO28" s="739"/>
      <c r="AP28" s="203"/>
      <c r="AQ28" s="20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</row>
    <row r="29" spans="2:85">
      <c r="B29" s="929" t="str" cm="1">
        <f t="array" aca="1" ref="B29" ca="1">_xll.d.Curve_Bootstrap("ZARFlatCurve",B31:C36,,B39:D43,B45:D49,B51:D54)</f>
        <v>@@ZARFlatCurve::09:14:33</v>
      </c>
      <c r="C29" s="930"/>
      <c r="F29" s="439"/>
      <c r="G29" s="439"/>
      <c r="H29" s="439"/>
      <c r="I29" s="439"/>
      <c r="J29" s="203"/>
      <c r="K29" s="204"/>
      <c r="L29" s="929" t="str" cm="1">
        <f t="array" aca="1" ref="L29" ca="1">_xll.d.Curve_Bootstrap("ZARRealCurve",L31:M36,,L39:N43,L45:N53,L55:N62)</f>
        <v>@@ZARRealCurve::09:14:36</v>
      </c>
      <c r="M29" s="930"/>
      <c r="Q29" s="121" t="s">
        <v>489</v>
      </c>
      <c r="R29" s="121"/>
      <c r="S29" s="782">
        <v>1.0000000000000001E-5</v>
      </c>
      <c r="U29" s="739"/>
      <c r="V29" s="121" t="s">
        <v>489</v>
      </c>
      <c r="W29" s="121"/>
      <c r="X29" s="782">
        <v>1E-4</v>
      </c>
      <c r="Y29" s="739"/>
      <c r="Z29" s="203"/>
      <c r="AA29" s="204"/>
      <c r="AB29" s="929" t="str" cm="1">
        <f t="array" aca="1" ref="AB29" ca="1">_xll.d.Curve_Bootstrap("USDOIS",AB31:AC36,,AB39:AD41,AB43:AD64)</f>
        <v>@@USDOIS::09:14:35</v>
      </c>
      <c r="AC29" s="930"/>
      <c r="AG29" s="121" t="s">
        <v>489</v>
      </c>
      <c r="AH29" s="121"/>
      <c r="AI29" s="782">
        <v>9.9999999999999995E-7</v>
      </c>
      <c r="AL29" s="121" t="s">
        <v>489</v>
      </c>
      <c r="AM29" s="121"/>
      <c r="AN29" s="782">
        <v>1E-4</v>
      </c>
      <c r="AP29" s="203"/>
      <c r="AQ29" s="20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49" t="s">
        <v>47</v>
      </c>
      <c r="BJ29" s="50"/>
      <c r="BS29" s="49" t="s">
        <v>47</v>
      </c>
      <c r="BT29" s="50"/>
      <c r="CD29" s="49" t="s">
        <v>47</v>
      </c>
      <c r="CE29" s="50"/>
    </row>
    <row r="30" spans="2:85">
      <c r="J30" s="203"/>
      <c r="K30" s="204"/>
      <c r="Z30" s="203"/>
      <c r="AA30" s="204"/>
      <c r="AP30" s="203"/>
      <c r="AQ30" s="20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1" t="s">
        <v>29</v>
      </c>
      <c r="BJ30" s="52" t="s">
        <v>30</v>
      </c>
      <c r="BS30" s="51" t="s">
        <v>29</v>
      </c>
      <c r="BT30" s="52" t="s">
        <v>30</v>
      </c>
      <c r="CD30" s="51" t="s">
        <v>29</v>
      </c>
      <c r="CE30" s="52" t="s">
        <v>30</v>
      </c>
    </row>
    <row r="31" spans="2:85">
      <c r="B31" s="12" t="s">
        <v>47</v>
      </c>
      <c r="C31" s="13"/>
      <c r="D31" s="13"/>
      <c r="F31" s="231" t="s">
        <v>210</v>
      </c>
      <c r="G31" s="232"/>
      <c r="H31" s="232"/>
      <c r="I31" s="233"/>
      <c r="J31" s="203"/>
      <c r="K31" s="204"/>
      <c r="L31" s="12" t="s">
        <v>47</v>
      </c>
      <c r="M31" s="13"/>
      <c r="N31" s="13"/>
      <c r="Q31" s="231" t="s">
        <v>210</v>
      </c>
      <c r="R31" s="232"/>
      <c r="S31" s="232"/>
      <c r="T31" s="233"/>
      <c r="U31" s="739"/>
      <c r="V31" s="121" t="s">
        <v>31</v>
      </c>
      <c r="W31" s="753" t="s">
        <v>2</v>
      </c>
      <c r="X31" s="754"/>
      <c r="Y31" s="122" t="s">
        <v>68</v>
      </c>
      <c r="Z31" s="203"/>
      <c r="AA31" s="204"/>
      <c r="AB31" s="12" t="s">
        <v>47</v>
      </c>
      <c r="AC31" s="13"/>
      <c r="AD31" s="13"/>
      <c r="AG31" s="121" t="s">
        <v>210</v>
      </c>
      <c r="AH31" s="192"/>
      <c r="AI31" s="192"/>
      <c r="AJ31" s="122"/>
      <c r="AL31" s="121" t="s">
        <v>31</v>
      </c>
      <c r="AM31" s="753" t="s">
        <v>2</v>
      </c>
      <c r="AN31" s="754"/>
      <c r="AO31" s="122" t="s">
        <v>68</v>
      </c>
      <c r="AP31" s="203"/>
      <c r="AQ31" s="20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214" t="s">
        <v>32</v>
      </c>
      <c r="BJ31" s="215" t="s">
        <v>33</v>
      </c>
      <c r="BL31" s="53"/>
      <c r="BS31" s="210" t="s">
        <v>183</v>
      </c>
      <c r="BT31" s="46">
        <v>44713</v>
      </c>
      <c r="BV31" s="53"/>
      <c r="CD31" s="210" t="s">
        <v>183</v>
      </c>
      <c r="CE31" s="46">
        <v>44713</v>
      </c>
      <c r="CG31" s="53"/>
    </row>
    <row r="32" spans="2:85">
      <c r="B32" s="62" t="s">
        <v>29</v>
      </c>
      <c r="C32" s="917" t="s">
        <v>30</v>
      </c>
      <c r="D32" s="917"/>
      <c r="F32" s="62" t="s">
        <v>31</v>
      </c>
      <c r="G32" s="63" t="s">
        <v>38</v>
      </c>
      <c r="H32" s="63" t="s">
        <v>39</v>
      </c>
      <c r="I32" s="64" t="s">
        <v>68</v>
      </c>
      <c r="J32" s="203"/>
      <c r="K32" s="204"/>
      <c r="L32" s="62" t="s">
        <v>29</v>
      </c>
      <c r="M32" s="917" t="s">
        <v>30</v>
      </c>
      <c r="N32" s="917"/>
      <c r="Q32" s="62" t="s">
        <v>31</v>
      </c>
      <c r="R32" s="63" t="s">
        <v>38</v>
      </c>
      <c r="S32" s="63" t="s">
        <v>39</v>
      </c>
      <c r="T32" s="64" t="s">
        <v>68</v>
      </c>
      <c r="U32" s="739"/>
      <c r="V32" s="751"/>
      <c r="W32" s="747" t="s">
        <v>598</v>
      </c>
      <c r="X32" s="44" t="s">
        <v>599</v>
      </c>
      <c r="Y32" s="752"/>
      <c r="Z32" s="203"/>
      <c r="AA32" s="204"/>
      <c r="AB32" s="62" t="s">
        <v>29</v>
      </c>
      <c r="AC32" s="917" t="s">
        <v>30</v>
      </c>
      <c r="AD32" s="917"/>
      <c r="AG32" s="761" t="s">
        <v>31</v>
      </c>
      <c r="AH32" s="762" t="s">
        <v>38</v>
      </c>
      <c r="AI32" s="762" t="s">
        <v>39</v>
      </c>
      <c r="AJ32" s="763" t="s">
        <v>9</v>
      </c>
      <c r="AL32" s="751"/>
      <c r="AM32" s="747" t="s">
        <v>598</v>
      </c>
      <c r="AN32" s="44" t="s">
        <v>599</v>
      </c>
      <c r="AO32" s="752"/>
      <c r="AP32" s="203"/>
      <c r="AQ32" s="20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214"/>
      <c r="BJ32" s="215"/>
      <c r="BL32" s="53"/>
      <c r="BS32" s="211"/>
      <c r="BT32" s="212"/>
      <c r="BV32" s="53"/>
      <c r="CD32" s="211" t="s">
        <v>32</v>
      </c>
      <c r="CE32" s="213" t="s">
        <v>186</v>
      </c>
      <c r="CG32" s="53"/>
    </row>
    <row r="33" spans="1:84">
      <c r="B33" s="216" t="s">
        <v>183</v>
      </c>
      <c r="C33" s="915">
        <v>44713</v>
      </c>
      <c r="D33" s="915"/>
      <c r="E33" s="53"/>
      <c r="F33" s="228">
        <f>C33</f>
        <v>44713</v>
      </c>
      <c r="G33" s="238">
        <v>1</v>
      </c>
      <c r="H33" s="238" cm="1">
        <f t="array" aca="1" ref="H33" ca="1">_xll.d.Curve_GetDiscountFactors($B$29,F33)</f>
        <v>1</v>
      </c>
      <c r="I33" s="217" t="str" cm="1">
        <f t="array" aca="1" ref="I33" ca="1">_xll.d.TestUtils_Equal(G33,H33,$G$28)</f>
        <v>Ok</v>
      </c>
      <c r="J33" s="203"/>
      <c r="K33" s="204"/>
      <c r="L33" s="216" t="s">
        <v>183</v>
      </c>
      <c r="M33" s="915">
        <v>43861</v>
      </c>
      <c r="N33" s="915"/>
      <c r="O33" s="53"/>
      <c r="Q33" s="228">
        <f>M33</f>
        <v>43861</v>
      </c>
      <c r="R33" s="732">
        <v>1</v>
      </c>
      <c r="S33" s="732" cm="1">
        <f t="array" aca="1" ref="S33" ca="1">_xll.d.Curve_GetDiscountFactors($L$29,Q33)</f>
        <v>1</v>
      </c>
      <c r="T33" s="217" t="str" cm="1">
        <f t="array" aca="1" ref="T33" ca="1">_xll.d.TestUtils_Equal(R33,S33,$S$29)</f>
        <v>Ok</v>
      </c>
      <c r="U33" s="739"/>
      <c r="V33" s="748">
        <v>43861</v>
      </c>
      <c r="W33" s="755">
        <v>1</v>
      </c>
      <c r="X33" s="756" cm="1">
        <f t="array" aca="1" ref="X33:X49" ca="1">_xll.d.Curve_GetDiscountFactors($L$29,V33:V49)</f>
        <v>1</v>
      </c>
      <c r="Y33" s="746" t="str" cm="1">
        <f t="array" aca="1" ref="Y33" ca="1">_xll.d.TestUtils_Equal(W33,X33,$X$29)</f>
        <v>Ok</v>
      </c>
      <c r="Z33" s="203"/>
      <c r="AA33" s="204"/>
      <c r="AB33" s="270" t="s">
        <v>183</v>
      </c>
      <c r="AC33" s="915">
        <v>43921</v>
      </c>
      <c r="AD33" s="915"/>
      <c r="AE33" s="53"/>
      <c r="AG33" s="764">
        <f>AC33</f>
        <v>43921</v>
      </c>
      <c r="AH33" s="737">
        <v>1</v>
      </c>
      <c r="AI33" s="737" cm="1">
        <f t="array" aca="1" ref="AI33" ca="1">_xll.d.Curve_GetDiscountFactors($AB$29,AG33)</f>
        <v>1</v>
      </c>
      <c r="AJ33" s="765" t="str" cm="1">
        <f t="array" aca="1" ref="AJ33" ca="1">_xll.d.TestUtils_Equal(AH33,AI33,$AI$29)</f>
        <v>Ok</v>
      </c>
      <c r="AL33" s="773">
        <v>43923</v>
      </c>
      <c r="AM33" s="774">
        <v>1</v>
      </c>
      <c r="AN33" s="775" cm="1">
        <f t="array" aca="1" ref="AN33" ca="1">_xll.d.Curve_GetDiscountFactors($AB$29,AL33)</f>
        <v>0.99999583340497411</v>
      </c>
      <c r="AO33" s="746" t="str" cm="1">
        <f t="array" aca="1" ref="AO33" ca="1">_xll.d.TestUtils_Equal(AM33,AN33,$AN$29)</f>
        <v>Ok</v>
      </c>
      <c r="AP33" s="203"/>
      <c r="AQ33" s="20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</row>
    <row r="34" spans="1:84">
      <c r="B34" s="269" t="s">
        <v>218</v>
      </c>
      <c r="C34" s="978" t="s">
        <v>33</v>
      </c>
      <c r="D34" s="979"/>
      <c r="E34" s="53"/>
      <c r="F34" s="229">
        <f>EDATE(F33,1)</f>
        <v>44743</v>
      </c>
      <c r="G34" s="239">
        <f>1/(1+YEARFRAC($F$33,F34,3)*C41)</f>
        <v>0.99184782608695643</v>
      </c>
      <c r="H34" s="239" cm="1">
        <f t="array" aca="1" ref="H34" ca="1">_xll.d.Curve_GetDiscountFactors($B$29,F34)</f>
        <v>0.99184782608695654</v>
      </c>
      <c r="I34" s="217" t="str" cm="1">
        <f t="array" aca="1" ref="I34" ca="1">_xll.d.TestUtils_Equal(G34,H34,$G$28)</f>
        <v>Ok</v>
      </c>
      <c r="J34" s="203"/>
      <c r="K34" s="204"/>
      <c r="L34" s="269" t="s">
        <v>218</v>
      </c>
      <c r="M34" s="978" t="s">
        <v>33</v>
      </c>
      <c r="N34" s="979"/>
      <c r="O34" s="53"/>
      <c r="Q34" s="229">
        <v>43862</v>
      </c>
      <c r="R34" s="730" cm="1">
        <f t="array" ref="R34">1/(1+_xll.d.Dates_Act365($Q$33,Q34)*M41)</f>
        <v>0.99982802957891237</v>
      </c>
      <c r="S34" s="730" cm="1">
        <f t="array" aca="1" ref="S34" ca="1">_xll.d.Curve_GetDiscountFactors($L$29,Q34)</f>
        <v>0.99982805914426409</v>
      </c>
      <c r="T34" s="217" t="str" cm="1">
        <f t="array" aca="1" ref="T34" ca="1">_xll.d.TestUtils_Equal(R34,S34,$S$29)</f>
        <v>Ok</v>
      </c>
      <c r="U34" s="739"/>
      <c r="V34" s="749">
        <v>43864</v>
      </c>
      <c r="W34" s="757">
        <v>0.99948429439882203</v>
      </c>
      <c r="X34" s="758">
        <f ca="1"/>
        <v>0.9994842661186828</v>
      </c>
      <c r="Y34" s="746" t="str" cm="1">
        <f t="array" aca="1" ref="Y34" ca="1">_xll.d.TestUtils_Equal(W34,X34,$X$29)</f>
        <v>Ok</v>
      </c>
      <c r="Z34" s="203"/>
      <c r="AA34" s="204"/>
      <c r="AB34" s="713" t="s">
        <v>218</v>
      </c>
      <c r="AC34" s="978" t="s">
        <v>51</v>
      </c>
      <c r="AD34" s="979"/>
      <c r="AE34" s="439"/>
      <c r="AF34" s="439"/>
      <c r="AG34" s="766">
        <f>EDATE(AI28,1)</f>
        <v>43953</v>
      </c>
      <c r="AH34" s="738" cm="1">
        <f t="array" ref="AH34">1/(1+AC45*_xll.d.Dates_Act360($AG$33,AG34))</f>
        <v>0.99993778164914182</v>
      </c>
      <c r="AI34" s="738" cm="1">
        <f t="array" aca="1" ref="AI34" ca="1">_xll.d.Curve_GetDiscountFactors($AB$29,AG34)</f>
        <v>0.99993750383066704</v>
      </c>
      <c r="AJ34" s="765" t="str" cm="1">
        <f t="array" aca="1" ref="AJ34" ca="1">_xll.d.TestUtils_Equal(AH34,AI34,$AI$29)</f>
        <v>Ok</v>
      </c>
      <c r="AL34" s="776">
        <v>43924</v>
      </c>
      <c r="AM34" s="758">
        <v>0.99999777778271604</v>
      </c>
      <c r="AN34" s="777" cm="1">
        <f t="array" aca="1" ref="AN34" ca="1">_xll.d.Curve_GetDiscountFactors($AB$29,AL34)</f>
        <v>0.99999388903101272</v>
      </c>
      <c r="AO34" s="746" t="str" cm="1">
        <f t="array" aca="1" ref="AO34" ca="1">_xll.d.TestUtils_Equal(AM34,AN34,$AN$29)</f>
        <v>Ok</v>
      </c>
      <c r="AP34" s="203"/>
      <c r="AQ34" s="20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439"/>
      <c r="BJ34" s="439"/>
      <c r="BK34" s="439"/>
      <c r="BL34" s="439"/>
      <c r="BM34" s="54"/>
      <c r="BN34" s="54"/>
      <c r="BO34" s="54"/>
      <c r="BP34" s="269" t="s">
        <v>218</v>
      </c>
      <c r="BQ34" s="271" t="s">
        <v>51</v>
      </c>
      <c r="BS34" s="53"/>
      <c r="BU34" s="266" t="str">
        <f>AB51</f>
        <v>9m</v>
      </c>
      <c r="BV34" s="272" t="e">
        <f>1/(1+AC51*(AB51-$AG$33)/360)</f>
        <v>#VALUE!</v>
      </c>
      <c r="BW34" s="277" t="e" cm="1">
        <f t="array" aca="1" ref="BW34" ca="1">_xll.d.Curve_GetDiscountFactors($AB$29,BU34)</f>
        <v>#VALUE!</v>
      </c>
      <c r="BX34" s="267" t="str" cm="1">
        <f t="array" aca="1" ref="BX34" ca="1">_xll.d.TestUtils_Equal(BV34,BW34,0.001)</f>
        <v>Error</v>
      </c>
      <c r="BY34" s="203"/>
      <c r="BZ34" s="204"/>
    </row>
    <row r="35" spans="1:84">
      <c r="B35" s="269" t="s">
        <v>45</v>
      </c>
      <c r="C35" s="916" t="s">
        <v>24</v>
      </c>
      <c r="D35" s="916"/>
      <c r="F35" s="229">
        <f>EDATE(F33,2)</f>
        <v>44774</v>
      </c>
      <c r="G35" s="239">
        <f>1/(1+YEARFRAC($F$33,F35,3)*C42)</f>
        <v>0.98356238210724867</v>
      </c>
      <c r="H35" s="239" cm="1">
        <f t="array" aca="1" ref="H35" ca="1">_xll.d.Curve_GetDiscountFactors($B$29,F35)</f>
        <v>0.98356238210724867</v>
      </c>
      <c r="I35" s="217" t="str" cm="1">
        <f t="array" aca="1" ref="I35" ca="1">_xll.d.TestUtils_Equal(G35,H35,$G$28)</f>
        <v>Ok</v>
      </c>
      <c r="J35" s="203"/>
      <c r="K35" s="204"/>
      <c r="L35" s="269" t="s">
        <v>45</v>
      </c>
      <c r="M35" s="916" t="s">
        <v>24</v>
      </c>
      <c r="N35" s="916"/>
      <c r="Q35" s="229" cm="1">
        <f t="array" ref="Q35">_xll.d.Dates_AddTenorToDate($M$33,L42,"ZAR","ModFol")</f>
        <v>43889</v>
      </c>
      <c r="R35" s="730" cm="1">
        <f t="array" ref="R35">1/(1+_xll.d.Dates_Act365($Q$33,Q35)*M42)</f>
        <v>0.99512731140810684</v>
      </c>
      <c r="S35" s="730" cm="1">
        <f t="array" aca="1" ref="S35" ca="1">_xll.d.Curve_GetDiscountFactors($L$29,Q35)</f>
        <v>0.99512731140810684</v>
      </c>
      <c r="T35" s="217" t="str" cm="1">
        <f t="array" aca="1" ref="T35" ca="1">_xll.d.TestUtils_Equal(R35,S35,$S$29)</f>
        <v>Ok</v>
      </c>
      <c r="U35" s="739"/>
      <c r="V35" s="749">
        <v>43892</v>
      </c>
      <c r="W35" s="757">
        <v>0.99460805260486285</v>
      </c>
      <c r="X35" s="758">
        <f ca="1"/>
        <v>0.99459025791532751</v>
      </c>
      <c r="Y35" s="746" t="str" cm="1">
        <f t="array" aca="1" ref="Y35" ca="1">_xll.d.TestUtils_Equal(W35,X35,$X$29)</f>
        <v>Ok</v>
      </c>
      <c r="Z35" s="203"/>
      <c r="AA35" s="204"/>
      <c r="AB35" s="269" t="s">
        <v>45</v>
      </c>
      <c r="AC35" s="916" t="s">
        <v>52</v>
      </c>
      <c r="AD35" s="916"/>
      <c r="AE35" s="53"/>
      <c r="AG35" s="766">
        <f>EDATE(AG34,1)</f>
        <v>43984</v>
      </c>
      <c r="AH35" s="738" cm="1">
        <f t="array" ref="AH35">1/(1+AC46*_xll.d.Dates_Act360($AG$33,AG35))</f>
        <v>0.99987576543614454</v>
      </c>
      <c r="AI35" s="738" cm="1">
        <f t="array" aca="1" ref="AI35" ca="1">_xll.d.Curve_GetDiscountFactors($AB$29,AG35)</f>
        <v>0.99987554282229585</v>
      </c>
      <c r="AJ35" s="765" t="str" cm="1">
        <f t="array" aca="1" ref="AJ35" ca="1">_xll.d.TestUtils_Equal(AH35,AI35,$AI$29)</f>
        <v>Ok</v>
      </c>
      <c r="AL35" s="776">
        <v>43955</v>
      </c>
      <c r="AM35" s="758">
        <v>0.99993778164914182</v>
      </c>
      <c r="AN35" s="777" cm="1">
        <f t="array" aca="1" ref="AN35" ca="1">_xll.d.Curve_GetDiscountFactors($AB$29,AL35)</f>
        <v>0.99993361531335467</v>
      </c>
      <c r="AO35" s="746" t="str" cm="1">
        <f t="array" aca="1" ref="AO35" ca="1">_xll.d.TestUtils_Equal(AM35,AN35,$AN$29)</f>
        <v>Ok</v>
      </c>
      <c r="AP35" s="203"/>
      <c r="AQ35" s="20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</row>
    <row r="36" spans="1:84">
      <c r="B36" s="143" t="s">
        <v>43</v>
      </c>
      <c r="C36" s="980" t="s">
        <v>710</v>
      </c>
      <c r="D36" s="981"/>
      <c r="F36" s="229">
        <f>EDATE(F33,3)</f>
        <v>44805</v>
      </c>
      <c r="G36" s="239">
        <f>1/(1+YEARFRAC($F$33,F36,3)*C43)</f>
        <v>0.97541421699625863</v>
      </c>
      <c r="H36" s="239" cm="1">
        <f t="array" aca="1" ref="H36" ca="1">_xll.d.Curve_GetDiscountFactors($B$29,F36)</f>
        <v>0.97541421699625874</v>
      </c>
      <c r="I36" s="217" t="str" cm="1">
        <f t="array" aca="1" ref="I36" ca="1">_xll.d.TestUtils_Equal(G36,H36,$G$28)</f>
        <v>Ok</v>
      </c>
      <c r="J36" s="203"/>
      <c r="K36" s="204"/>
      <c r="L36" s="143" t="s">
        <v>43</v>
      </c>
      <c r="M36" s="980" t="s">
        <v>710</v>
      </c>
      <c r="N36" s="981"/>
      <c r="Q36" s="229" cm="1">
        <f t="array" ref="Q36">_xll.d.Dates_AddTenorToDate($M$33,L43,"ZAR","ModFol")</f>
        <v>43951</v>
      </c>
      <c r="R36" s="730" cm="1">
        <f t="array" ref="R36">1/(1+_xll.d.Dates_Act365($Q$33,Q36)*M43)</f>
        <v>0.98408691024210704</v>
      </c>
      <c r="S36" s="730" cm="1">
        <f t="array" aca="1" ref="S36" ca="1">_xll.d.Curve_GetDiscountFactors($L$29,Q36)</f>
        <v>0.98408691024222983</v>
      </c>
      <c r="T36" s="217" t="str" cm="1">
        <f t="array" aca="1" ref="T36" ca="1">_xll.d.TestUtils_Equal(R36,S36,$S$29)</f>
        <v>Ok</v>
      </c>
      <c r="U36" s="739"/>
      <c r="V36" s="749">
        <v>43951</v>
      </c>
      <c r="W36" s="757">
        <v>0.98408691018216155</v>
      </c>
      <c r="X36" s="758">
        <f ca="1"/>
        <v>0.98408691024222983</v>
      </c>
      <c r="Y36" s="746" t="str" cm="1">
        <f t="array" aca="1" ref="Y36" ca="1">_xll.d.TestUtils_Equal(W36,X36,$X$29)</f>
        <v>Ok</v>
      </c>
      <c r="Z36" s="203"/>
      <c r="AA36" s="204"/>
      <c r="AB36" s="127" t="s">
        <v>43</v>
      </c>
      <c r="AC36" s="980" t="s">
        <v>710</v>
      </c>
      <c r="AD36" s="981"/>
      <c r="AG36" s="766">
        <f>EDATE(AG35,1)</f>
        <v>44014</v>
      </c>
      <c r="AH36" s="738" cm="1">
        <f t="array" ref="AH36">1/(1+AC47*_xll.d.Dates_Act360($AG$33,AG36))</f>
        <v>0.99982436418669129</v>
      </c>
      <c r="AI36" s="738" cm="1">
        <f t="array" aca="1" ref="AI36" ca="1">_xll.d.Curve_GetDiscountFactors($AB$29,AG36)</f>
        <v>0.999823974772866</v>
      </c>
      <c r="AJ36" s="765" t="str" cm="1">
        <f t="array" aca="1" ref="AJ36" ca="1">_xll.d.TestUtils_Equal(AH36,AI36,$AI$29)</f>
        <v>Ok</v>
      </c>
      <c r="AL36" s="776">
        <v>43984</v>
      </c>
      <c r="AM36" s="758">
        <v>0.99987970891612998</v>
      </c>
      <c r="AN36" s="777" cm="1">
        <f t="array" aca="1" ref="AN36" ca="1">_xll.d.Curve_GetDiscountFactors($AB$29,AL36)</f>
        <v>0.99987554282229585</v>
      </c>
      <c r="AO36" s="746" t="str" cm="1">
        <f t="array" aca="1" ref="AO36" ca="1">_xll.d.TestUtils_Equal(AM36,AN36,$AN$29)</f>
        <v>Ok</v>
      </c>
      <c r="AP36" s="203"/>
      <c r="AQ36" s="20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12" t="s">
        <v>21</v>
      </c>
      <c r="BJ36" s="13"/>
      <c r="BK36" s="13"/>
      <c r="BS36" s="12" t="s">
        <v>21</v>
      </c>
      <c r="BT36" s="13"/>
      <c r="BU36" s="13"/>
      <c r="CD36" s="12" t="s">
        <v>21</v>
      </c>
      <c r="CE36" s="13"/>
      <c r="CF36" s="13"/>
    </row>
    <row r="37" spans="1:84">
      <c r="A37" s="439"/>
      <c r="B37" s="439"/>
      <c r="C37" s="439"/>
      <c r="D37" s="439"/>
      <c r="E37" s="439"/>
      <c r="F37" s="229">
        <f>EDATE(F33,6)</f>
        <v>44896</v>
      </c>
      <c r="G37" s="239">
        <f>G36*1/(1+YEARFRAC($F$36,F37,3)*C47)</f>
        <v>0.95168722053898536</v>
      </c>
      <c r="H37" s="239" cm="1">
        <f t="array" aca="1" ref="H37" ca="1">_xll.d.Curve_GetDiscountFactors($B$29,F37)</f>
        <v>0.95168722053906507</v>
      </c>
      <c r="I37" s="217" t="str" cm="1">
        <f t="array" aca="1" ref="I37" ca="1">_xll.d.TestUtils_Equal(G37,H37,$G$28)</f>
        <v>Ok</v>
      </c>
      <c r="J37" s="203"/>
      <c r="K37" s="204"/>
      <c r="P37" s="734" t="s">
        <v>27</v>
      </c>
      <c r="Q37" s="229" cm="1">
        <f t="array" ref="Q37">_xll.d.Dates_AddTenorToDate($M$33,P37,"ZAR","ModFol")</f>
        <v>44043</v>
      </c>
      <c r="R37" s="730">
        <f t="array" ref="R37">1/(1+_xll.d.Dates_Act365($Q$36,Q37)*M47)*R36</f>
        <v>0.96832000758706194</v>
      </c>
      <c r="S37" s="730" cm="1">
        <f t="array" aca="1" ref="S37" ca="1">_xll.d.Curve_GetDiscountFactors($L$29,Q37)</f>
        <v>0.96832386496367961</v>
      </c>
      <c r="T37" s="217" t="str" cm="1">
        <f t="array" aca="1" ref="T37" ca="1">_xll.d.TestUtils_Equal(R37,S37,$S$29)</f>
        <v>Ok</v>
      </c>
      <c r="U37" s="739"/>
      <c r="V37" s="749">
        <v>44042</v>
      </c>
      <c r="W37" s="757">
        <v>0.96848867041690068</v>
      </c>
      <c r="X37" s="758">
        <f ca="1"/>
        <v>0.96848867052025589</v>
      </c>
      <c r="Y37" s="746" t="str" cm="1">
        <f t="array" aca="1" ref="Y37" ca="1">_xll.d.TestUtils_Equal(W37,X37,$X$29)</f>
        <v>Ok</v>
      </c>
      <c r="Z37" s="203"/>
      <c r="AA37" s="204"/>
      <c r="AF37" s="8"/>
      <c r="AG37" s="766">
        <f>EDATE(AG36,1)</f>
        <v>44045</v>
      </c>
      <c r="AH37" s="738" cm="1">
        <f t="array" ref="AH37">1/(1+AC48*_xll.d.Dates_Act360($AG$33,AG37))</f>
        <v>0.99976927546831706</v>
      </c>
      <c r="AI37" s="738" cm="1">
        <f t="array" aca="1" ref="AI37" ca="1">_xll.d.Curve_GetDiscountFactors($AB$29,AG37)</f>
        <v>0.9997687514301089</v>
      </c>
      <c r="AJ37" s="765" t="str" cm="1">
        <f t="array" aca="1" ref="AJ37" ca="1">_xll.d.TestUtils_Equal(AH37,AI37,$AI$29)</f>
        <v>Ok</v>
      </c>
      <c r="AL37" s="776">
        <v>44014</v>
      </c>
      <c r="AM37" s="758">
        <v>0.99982814065182357</v>
      </c>
      <c r="AN37" s="777" cm="1">
        <f t="array" aca="1" ref="AN37" ca="1">_xll.d.Curve_GetDiscountFactors($AB$29,AL37)</f>
        <v>0.999823974772866</v>
      </c>
      <c r="AO37" s="746" t="str" cm="1">
        <f t="array" aca="1" ref="AO37" ca="1">_xll.d.TestUtils_Equal(AM37,AN37,$AN$29)</f>
        <v>Ok</v>
      </c>
      <c r="AP37" s="203"/>
      <c r="AQ37" s="20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43" t="s">
        <v>35</v>
      </c>
      <c r="BJ37" s="44" t="s">
        <v>36</v>
      </c>
      <c r="BK37" s="45" t="s">
        <v>42</v>
      </c>
      <c r="BS37" s="43" t="s">
        <v>35</v>
      </c>
      <c r="BT37" s="44" t="s">
        <v>36</v>
      </c>
      <c r="BU37" s="45" t="s">
        <v>42</v>
      </c>
      <c r="CD37" s="43" t="s">
        <v>35</v>
      </c>
      <c r="CE37" s="44" t="s">
        <v>36</v>
      </c>
      <c r="CF37" s="45" t="s">
        <v>42</v>
      </c>
    </row>
    <row r="38" spans="1:84">
      <c r="A38" s="439"/>
      <c r="B38" s="439"/>
      <c r="C38" s="439"/>
      <c r="D38" s="439"/>
      <c r="E38" s="439"/>
      <c r="F38" s="230">
        <f>EDATE(F33,9)</f>
        <v>44986</v>
      </c>
      <c r="G38" s="240">
        <f>G37*1/(1+C48*YEARFRAC(F37,F38,3))</f>
        <v>0.92878565640836808</v>
      </c>
      <c r="H38" s="240" cm="1">
        <f t="array" aca="1" ref="H38" ca="1">_xll.d.Curve_GetDiscountFactors($B$29,F38)</f>
        <v>0.92878565640844579</v>
      </c>
      <c r="I38" s="217" t="str" cm="1">
        <f t="array" aca="1" ref="I38" ca="1">_xll.d.TestUtils_Equal(G38,H38,$G$28)</f>
        <v>Ok</v>
      </c>
      <c r="J38" s="203"/>
      <c r="K38" s="204"/>
      <c r="P38" s="734" t="s">
        <v>28</v>
      </c>
      <c r="Q38" s="229" cm="1">
        <f t="array" ref="Q38">_xll.d.Dates_AddTenorToDate($M$33,P38,"ZAR","ModFol")</f>
        <v>44134</v>
      </c>
      <c r="R38" s="730" cm="1">
        <f t="array" ref="R38">1/(1+_xll.d.Dates_Act365(Q37,Q38)*M48)*R37</f>
        <v>0.95343955884482767</v>
      </c>
      <c r="S38" s="730" cm="1">
        <f t="array" aca="1" ref="S38" ca="1">_xll.d.Curve_GetDiscountFactors($L$29,Q38)</f>
        <v>0.95344335694403037</v>
      </c>
      <c r="T38" s="217" t="str" cm="1">
        <f t="array" aca="1" ref="T38" ca="1">_xll.d.TestUtils_Equal(R38,S38,$S$29)</f>
        <v>Ok</v>
      </c>
      <c r="U38" s="739"/>
      <c r="V38" s="749">
        <v>44134</v>
      </c>
      <c r="W38" s="757">
        <v>0.95344335683361159</v>
      </c>
      <c r="X38" s="758">
        <f ca="1"/>
        <v>0.95344335694403037</v>
      </c>
      <c r="Y38" s="746" t="str" cm="1">
        <f t="array" aca="1" ref="Y38" ca="1">_xll.d.TestUtils_Equal(W38,X38,$X$29)</f>
        <v>Ok</v>
      </c>
      <c r="Z38" s="203"/>
      <c r="AA38" s="204"/>
      <c r="AB38" s="439"/>
      <c r="AC38" s="439"/>
      <c r="AD38" s="439"/>
      <c r="AE38" s="439"/>
      <c r="AF38" s="8"/>
      <c r="AG38" s="766">
        <f>EDATE(AG37,1)</f>
        <v>44076</v>
      </c>
      <c r="AH38" s="738" cm="1">
        <f t="array" ref="AH38">1/(1+AC49*_xll.d.Dates_Act360($AG$33,AG38))</f>
        <v>0.99971591406108762</v>
      </c>
      <c r="AI38" s="738" cm="1">
        <f t="array" aca="1" ref="AI38" ca="1">_xll.d.Curve_GetDiscountFactors($AB$29,AG38)</f>
        <v>0.99971541323156266</v>
      </c>
      <c r="AJ38" s="765" t="str" cm="1">
        <f t="array" aca="1" ref="AJ38" ca="1">_xll.d.TestUtils_Equal(AH38,AI38,$AI$29)</f>
        <v>Ok</v>
      </c>
      <c r="AL38" s="776">
        <v>44046</v>
      </c>
      <c r="AM38" s="758">
        <v>0.99977113572418042</v>
      </c>
      <c r="AN38" s="777" cm="1">
        <f t="array" aca="1" ref="AN38" ca="1">_xll.d.Curve_GetDiscountFactors($AB$29,AL38)</f>
        <v>0.9997669700827394</v>
      </c>
      <c r="AO38" s="746" t="str" cm="1">
        <f t="array" aca="1" ref="AO38" ca="1">_xll.d.TestUtils_Equal(AM38,AN38,$AN$29)</f>
        <v>Ok</v>
      </c>
      <c r="AP38" s="203"/>
      <c r="AQ38" s="20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42" t="s">
        <v>25</v>
      </c>
      <c r="BJ38" s="42">
        <v>0.1</v>
      </c>
      <c r="BK38" s="42" t="b">
        <v>1</v>
      </c>
      <c r="BS38" s="42" t="s">
        <v>25</v>
      </c>
      <c r="BT38" s="42">
        <v>0.1</v>
      </c>
      <c r="BU38" s="42" t="b">
        <v>1</v>
      </c>
      <c r="CD38" s="42" t="s">
        <v>25</v>
      </c>
      <c r="CE38" s="42">
        <v>0.1</v>
      </c>
      <c r="CF38" s="42" t="b">
        <v>1</v>
      </c>
    </row>
    <row r="39" spans="1:84">
      <c r="A39" s="439"/>
      <c r="B39" s="12" t="s">
        <v>21</v>
      </c>
      <c r="C39" s="27"/>
      <c r="D39" s="13"/>
      <c r="G39" s="8"/>
      <c r="J39" s="203"/>
      <c r="K39" s="204"/>
      <c r="L39" s="12" t="s">
        <v>21</v>
      </c>
      <c r="M39" s="27"/>
      <c r="N39" s="13"/>
      <c r="P39" s="734" t="s">
        <v>589</v>
      </c>
      <c r="Q39" s="229" cm="1">
        <f t="array" ref="Q39">_xll.d.Dates_AddTenorToDate($M$33,P39,"ZAR","ModFol")</f>
        <v>44225</v>
      </c>
      <c r="R39" s="730" cm="1">
        <f t="array" ref="R39">1/(1+_xll.d.Dates_Act365(Q38,Q39)*M49)*R38</f>
        <v>0.93890302491578215</v>
      </c>
      <c r="S39" s="730" cm="1">
        <f t="array" aca="1" ref="S39" ca="1">_xll.d.Curve_GetDiscountFactors($L$29,Q39)</f>
        <v>0.93890676510758675</v>
      </c>
      <c r="T39" s="217" t="str" cm="1">
        <f t="array" aca="1" ref="T39" ca="1">_xll.d.TestUtils_Equal(R39,S39,$S$29)</f>
        <v>Ok</v>
      </c>
      <c r="U39" s="739"/>
      <c r="V39" s="749">
        <v>44229</v>
      </c>
      <c r="W39" s="757">
        <v>0.93827416773178896</v>
      </c>
      <c r="X39" s="758">
        <f ca="1"/>
        <v>0.93827588915268834</v>
      </c>
      <c r="Y39" s="746" t="str" cm="1">
        <f t="array" aca="1" ref="Y39" ca="1">_xll.d.TestUtils_Equal(W39,X39,$X$29)</f>
        <v>Ok</v>
      </c>
      <c r="Z39" s="203"/>
      <c r="AA39" s="204"/>
      <c r="AB39" s="12" t="s">
        <v>21</v>
      </c>
      <c r="AC39" s="27"/>
      <c r="AD39" s="13"/>
      <c r="AF39" s="8"/>
      <c r="AG39" s="767">
        <f>EDATE(AG38,1)</f>
        <v>44106</v>
      </c>
      <c r="AH39" s="768" cm="1">
        <f t="array" ref="AH39">1/(1+AC50*_xll.d.Dates_Act360($AG$33,AG39))</f>
        <v>0.99966094832835872</v>
      </c>
      <c r="AI39" s="768" cm="1">
        <f t="array" aca="1" ref="AI39" ca="1">_xll.d.Curve_GetDiscountFactors($AB$29,AG39)</f>
        <v>0.99966044732489745</v>
      </c>
      <c r="AJ39" s="765" t="str" cm="1">
        <f t="array" aca="1" ref="AJ39" ca="1">_xll.d.TestUtils_Equal(AH39,AI39,$AI$29)</f>
        <v>Ok</v>
      </c>
      <c r="AL39" s="776">
        <v>44076</v>
      </c>
      <c r="AM39" s="758">
        <v>0.9997195786581865</v>
      </c>
      <c r="AN39" s="777" cm="1">
        <f t="array" aca="1" ref="AN39" ca="1">_xll.d.Curve_GetDiscountFactors($AB$29,AL39)</f>
        <v>0.99971541323156266</v>
      </c>
      <c r="AO39" s="746" t="str" cm="1">
        <f t="array" aca="1" ref="AO39" ca="1">_xll.d.TestUtils_Equal(AM39,AN39,$AN$29)</f>
        <v>Ok</v>
      </c>
      <c r="AP39" s="203"/>
      <c r="AQ39" s="20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42" t="s">
        <v>26</v>
      </c>
      <c r="BJ39" s="42">
        <v>0.1</v>
      </c>
      <c r="BK39" s="42" t="b">
        <v>1</v>
      </c>
      <c r="BS39" s="42" t="s">
        <v>26</v>
      </c>
      <c r="BT39" s="42">
        <v>0.1</v>
      </c>
      <c r="BU39" s="42" t="b">
        <v>1</v>
      </c>
      <c r="CD39" s="42" t="s">
        <v>26</v>
      </c>
      <c r="CE39" s="42">
        <v>0.1</v>
      </c>
      <c r="CF39" s="42" t="b">
        <v>1</v>
      </c>
    </row>
    <row r="40" spans="1:84">
      <c r="A40" s="439"/>
      <c r="B40" s="62" t="s">
        <v>35</v>
      </c>
      <c r="C40" s="63" t="s">
        <v>36</v>
      </c>
      <c r="D40" s="64" t="s">
        <v>42</v>
      </c>
      <c r="J40" s="203"/>
      <c r="K40" s="204"/>
      <c r="L40" s="62" t="s">
        <v>35</v>
      </c>
      <c r="M40" s="63" t="s">
        <v>36</v>
      </c>
      <c r="N40" s="64" t="s">
        <v>42</v>
      </c>
      <c r="P40" s="734" t="s">
        <v>590</v>
      </c>
      <c r="Q40" s="229" cm="1">
        <f t="array" ref="Q40">_xll.d.Dates_AddTenorToDate($M$33,P40,"ZAR","ModFol")</f>
        <v>44316</v>
      </c>
      <c r="R40" s="730" cm="1">
        <f t="array" ref="R40">1/(1+_xll.d.Dates_Act365(Q39,Q40)*M50)*R39</f>
        <v>0.92465622578544726</v>
      </c>
      <c r="S40" s="730" cm="1">
        <f t="array" aca="1" ref="S40" ca="1">_xll.d.Curve_GetDiscountFactors($L$29,Q40)</f>
        <v>0.9246579918987835</v>
      </c>
      <c r="T40" s="217" t="str" cm="1">
        <f t="array" aca="1" ref="T40" ca="1">_xll.d.TestUtils_Equal(R40,S40,$S$29)</f>
        <v>Ok</v>
      </c>
      <c r="U40" s="739"/>
      <c r="V40" s="749">
        <v>44319</v>
      </c>
      <c r="W40" s="757">
        <v>0.92419291912677659</v>
      </c>
      <c r="X40" s="758">
        <f ca="1"/>
        <v>0.92418977115362178</v>
      </c>
      <c r="Y40" s="746" t="str" cm="1">
        <f t="array" aca="1" ref="Y40" ca="1">_xll.d.TestUtils_Equal(W40,X40,$X$29)</f>
        <v>Ok</v>
      </c>
      <c r="Z40" s="203"/>
      <c r="AA40" s="204"/>
      <c r="AB40" s="62" t="s">
        <v>35</v>
      </c>
      <c r="AC40" s="63" t="s">
        <v>36</v>
      </c>
      <c r="AD40" s="64" t="s">
        <v>42</v>
      </c>
      <c r="AF40" s="8"/>
      <c r="AI40" s="273"/>
      <c r="AJ40" s="278"/>
      <c r="AL40" s="776">
        <v>44106</v>
      </c>
      <c r="AM40" s="758">
        <v>0.99966461252249861</v>
      </c>
      <c r="AN40" s="777" cm="1">
        <f t="array" aca="1" ref="AN40" ca="1">_xll.d.Curve_GetDiscountFactors($AB$29,AL40)</f>
        <v>0.99966044732489745</v>
      </c>
      <c r="AO40" s="746" t="str" cm="1">
        <f t="array" aca="1" ref="AO40" ca="1">_xll.d.TestUtils_Equal(AM40,AN40,$AN$29)</f>
        <v>Ok</v>
      </c>
      <c r="AP40" s="203"/>
      <c r="AQ40" s="20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42" t="s">
        <v>24</v>
      </c>
      <c r="BJ40" s="42">
        <v>0.1</v>
      </c>
      <c r="BK40" s="42" t="b">
        <v>1</v>
      </c>
      <c r="BS40" s="42" t="s">
        <v>24</v>
      </c>
      <c r="BT40" s="42">
        <v>0.1</v>
      </c>
      <c r="BU40" s="42" t="b">
        <v>1</v>
      </c>
      <c r="CD40" s="42" t="s">
        <v>24</v>
      </c>
      <c r="CE40" s="42">
        <v>0.1</v>
      </c>
      <c r="CF40" s="42" t="b">
        <v>1</v>
      </c>
    </row>
    <row r="41" spans="1:84">
      <c r="A41" s="439"/>
      <c r="B41" s="248" t="s">
        <v>25</v>
      </c>
      <c r="C41" s="249">
        <v>0.1</v>
      </c>
      <c r="D41" s="250" t="b">
        <v>1</v>
      </c>
      <c r="F41" s="121" t="s">
        <v>552</v>
      </c>
      <c r="G41" s="192"/>
      <c r="H41" s="192"/>
      <c r="I41" s="122"/>
      <c r="J41" s="203"/>
      <c r="K41" s="204"/>
      <c r="L41" s="706" t="s">
        <v>52</v>
      </c>
      <c r="M41" s="707">
        <v>6.2780000000000002E-2</v>
      </c>
      <c r="N41" s="250" t="b">
        <v>1</v>
      </c>
      <c r="P41" s="734" t="s">
        <v>591</v>
      </c>
      <c r="Q41" s="229" cm="1">
        <f t="array" ref="Q41">_xll.d.Dates_AddTenorToDate($M$33,P41,"ZAR","ModFol")</f>
        <v>44407</v>
      </c>
      <c r="R41" s="730" cm="1">
        <f t="array" ref="R41">1/(1+_xll.d.Dates_Act365(Q40,Q41)*M51)*R40</f>
        <v>0.9105585344591941</v>
      </c>
      <c r="S41" s="730" cm="1">
        <f t="array" aca="1" ref="S41" ca="1">_xll.d.Curve_GetDiscountFactors($L$29,Q41)</f>
        <v>0.91056027364563519</v>
      </c>
      <c r="T41" s="217" t="str" cm="1">
        <f t="array" aca="1" ref="T41" ca="1">_xll.d.TestUtils_Equal(R41,S41,$S$29)</f>
        <v>Ok</v>
      </c>
      <c r="U41" s="739"/>
      <c r="V41" s="749">
        <v>44407</v>
      </c>
      <c r="W41" s="757">
        <v>0.91056113955799578</v>
      </c>
      <c r="X41" s="758">
        <f ca="1"/>
        <v>0.91056027364563519</v>
      </c>
      <c r="Y41" s="746" t="str" cm="1">
        <f t="array" aca="1" ref="Y41" ca="1">_xll.d.TestUtils_Equal(W41,X41,$X$29)</f>
        <v>Ok</v>
      </c>
      <c r="Z41" s="203"/>
      <c r="AA41" s="204"/>
      <c r="AB41" s="225" t="s">
        <v>52</v>
      </c>
      <c r="AC41" s="227">
        <v>8.0000000000000004E-4</v>
      </c>
      <c r="AD41" s="226" t="b">
        <v>1</v>
      </c>
      <c r="AF41" s="8"/>
      <c r="AG41" s="121" t="s">
        <v>552</v>
      </c>
      <c r="AH41" s="192"/>
      <c r="AI41" s="192"/>
      <c r="AJ41" s="122"/>
      <c r="AL41" s="776">
        <v>44200</v>
      </c>
      <c r="AM41" s="758">
        <v>0.99949242443046016</v>
      </c>
      <c r="AN41" s="777" cm="1">
        <f t="array" aca="1" ref="AN41" ca="1">_xll.d.Curve_GetDiscountFactors($AB$29,AL41)</f>
        <v>0.99948825995032253</v>
      </c>
      <c r="AO41" s="746" t="str" cm="1">
        <f t="array" aca="1" ref="AO41" ca="1">_xll.d.TestUtils_Equal(AM41,AN41,$AN$29)</f>
        <v>Ok</v>
      </c>
      <c r="AP41" s="203"/>
      <c r="AQ41" s="20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42" t="s">
        <v>27</v>
      </c>
      <c r="BJ41" s="42">
        <v>0.1</v>
      </c>
      <c r="BK41" s="42" t="b">
        <v>1</v>
      </c>
      <c r="BS41" s="42" t="s">
        <v>27</v>
      </c>
      <c r="BT41" s="42">
        <v>0.1</v>
      </c>
      <c r="BU41" s="42" t="b">
        <v>1</v>
      </c>
      <c r="CD41" s="42" t="s">
        <v>27</v>
      </c>
      <c r="CE41" s="42">
        <v>0.1</v>
      </c>
      <c r="CF41" s="42" t="b">
        <v>1</v>
      </c>
    </row>
    <row r="42" spans="1:84">
      <c r="B42" s="251" t="s">
        <v>26</v>
      </c>
      <c r="C42" s="223">
        <v>0.1</v>
      </c>
      <c r="D42" s="252" t="b">
        <v>1</v>
      </c>
      <c r="F42" s="119" t="s">
        <v>0</v>
      </c>
      <c r="G42" s="291" t="s">
        <v>550</v>
      </c>
      <c r="H42" s="291" t="s">
        <v>551</v>
      </c>
      <c r="I42" s="120" t="s">
        <v>2</v>
      </c>
      <c r="J42" s="203"/>
      <c r="K42" s="204"/>
      <c r="L42" s="251" t="s">
        <v>25</v>
      </c>
      <c r="M42" s="708">
        <v>6.3829999999999998E-2</v>
      </c>
      <c r="N42" s="252" t="b">
        <v>1</v>
      </c>
      <c r="P42" s="734" t="s">
        <v>592</v>
      </c>
      <c r="Q42" s="229" cm="1">
        <f t="array" ref="Q42">_xll.d.Dates_AddTenorToDate($M$33,P42,"ZAR","ModFol")</f>
        <v>44498</v>
      </c>
      <c r="R42" s="730" cm="1">
        <f t="array" ref="R42">1/(1+_xll.d.Dates_Act365(Q41,Q42)*M52)*R41</f>
        <v>0.89656572268967616</v>
      </c>
      <c r="S42" s="730" cm="1">
        <f t="array" aca="1" ref="S42" ca="1">_xll.d.Curve_GetDiscountFactors($L$29,Q42)</f>
        <v>0.89656743514954496</v>
      </c>
      <c r="T42" s="217" t="str" cm="1">
        <f t="array" aca="1" ref="T42" ca="1">_xll.d.TestUtils_Equal(R42,S42,$S$29)</f>
        <v>Ok</v>
      </c>
      <c r="U42" s="739"/>
      <c r="V42" s="749">
        <v>44502</v>
      </c>
      <c r="W42" s="757">
        <v>0.89595940151095488</v>
      </c>
      <c r="X42" s="758">
        <f ca="1"/>
        <v>0.89595168092309352</v>
      </c>
      <c r="Y42" s="746" t="str" cm="1">
        <f t="array" aca="1" ref="Y42" ca="1">_xll.d.TestUtils_Equal(W42,X42,$X$29)</f>
        <v>Ok</v>
      </c>
      <c r="Z42" s="203"/>
      <c r="AA42" s="204"/>
      <c r="AF42" s="8"/>
      <c r="AG42" s="119" t="s">
        <v>0</v>
      </c>
      <c r="AH42" s="291" t="s">
        <v>550</v>
      </c>
      <c r="AI42" s="291" t="s">
        <v>551</v>
      </c>
      <c r="AJ42" s="120" t="s">
        <v>2</v>
      </c>
      <c r="AL42" s="776">
        <v>44291</v>
      </c>
      <c r="AM42" s="758">
        <v>0.99929516381112526</v>
      </c>
      <c r="AN42" s="777" cm="1">
        <f t="array" aca="1" ref="AN42" ca="1">_xll.d.Curve_GetDiscountFactors($AB$29,AL42)</f>
        <v>0.99928852256680945</v>
      </c>
      <c r="AO42" s="746" t="str" cm="1">
        <f t="array" aca="1" ref="AO42" ca="1">_xll.d.TestUtils_Equal(AM42,AN42,$AN$29)</f>
        <v>Ok</v>
      </c>
      <c r="AP42" s="203"/>
      <c r="AQ42" s="20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</row>
    <row r="43" spans="1:84">
      <c r="B43" s="253" t="s">
        <v>24</v>
      </c>
      <c r="C43" s="254">
        <v>0.1</v>
      </c>
      <c r="D43" s="255" t="b">
        <v>1</v>
      </c>
      <c r="F43" s="609">
        <f t="array" ref="F43:F55">_xll.d.Dates_GenerateSchedule(C33,_xll.d.Dates_AddTenorToDate(C33,"3Y","ZAR","ModFol"),"3m","ZAR","ModFol","Forward")</f>
        <v>44713</v>
      </c>
      <c r="G43" s="722"/>
      <c r="H43" s="722"/>
      <c r="I43" s="724"/>
      <c r="J43" s="203"/>
      <c r="K43" s="204"/>
      <c r="L43" s="253" t="s">
        <v>24</v>
      </c>
      <c r="M43" s="709">
        <v>6.5579999999999999E-2</v>
      </c>
      <c r="N43" s="255" t="b">
        <v>1</v>
      </c>
      <c r="P43" s="734" t="s">
        <v>593</v>
      </c>
      <c r="Q43" s="230" cm="1">
        <f t="array" ref="Q43">_xll.d.Dates_AddTenorToDate($M$33,P43,"ZAR","ModFol")</f>
        <v>44592</v>
      </c>
      <c r="R43" s="731" cm="1">
        <f t="array" ref="R43">1/(1+_xll.d.Dates_Act365(Q42,Q43)*M53)*R42</f>
        <v>0.88220678011621201</v>
      </c>
      <c r="S43" s="731" cm="1">
        <f t="array" aca="1" ref="S43" ca="1">_xll.d.Curve_GetDiscountFactors($L$29,Q43)</f>
        <v>0.88220846515019113</v>
      </c>
      <c r="T43" s="217" t="str" cm="1">
        <f t="array" aca="1" ref="T43" ca="1">_xll.d.TestUtils_Equal(R43,S43,$S$29)</f>
        <v>Ok</v>
      </c>
      <c r="U43" s="739"/>
      <c r="V43" s="749">
        <v>44593</v>
      </c>
      <c r="W43" s="757">
        <v>0.88203888724645341</v>
      </c>
      <c r="X43" s="758">
        <f ca="1"/>
        <v>0.88205105245938864</v>
      </c>
      <c r="Y43" s="746" t="str" cm="1">
        <f t="array" aca="1" ref="Y43" ca="1">_xll.d.TestUtils_Equal(W43,X43,$X$29)</f>
        <v>Ok</v>
      </c>
      <c r="Z43" s="203"/>
      <c r="AA43" s="204"/>
      <c r="AB43" s="12" t="s">
        <v>50</v>
      </c>
      <c r="AC43" s="27"/>
      <c r="AD43" s="13"/>
      <c r="AE43" s="439"/>
      <c r="AF43" s="8"/>
      <c r="AG43" s="723">
        <f t="array" ref="AG43:AG51">_xll.d.Dates_GenerateSchedule(AI28,_xll.d.Dates_AddTenorToDate(AI28,"8Y","USD","ModFol"),"1y","USD","ModFol","Forward")</f>
        <v>43923</v>
      </c>
      <c r="AH43" s="722"/>
      <c r="AI43" s="722"/>
      <c r="AJ43" s="724"/>
      <c r="AL43" s="776">
        <v>44473</v>
      </c>
      <c r="AM43" s="758">
        <v>0.99879392902080666</v>
      </c>
      <c r="AN43" s="777" cm="1">
        <f t="array" aca="1" ref="AN43" ca="1">_xll.d.Curve_GetDiscountFactors($AB$29,AL43)</f>
        <v>0.99878999980635563</v>
      </c>
      <c r="AO43" s="746" t="str" cm="1">
        <f t="array" aca="1" ref="AO43" ca="1">_xll.d.TestUtils_Equal(AM43,AN43,$AN$29)</f>
        <v>Ok</v>
      </c>
      <c r="AP43" s="203"/>
      <c r="AQ43" s="20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12" t="s">
        <v>34</v>
      </c>
      <c r="BJ43" s="13"/>
      <c r="BK43" s="13"/>
      <c r="BS43" s="12" t="s">
        <v>34</v>
      </c>
      <c r="BT43" s="13"/>
      <c r="BU43" s="13"/>
      <c r="CD43" s="12" t="s">
        <v>34</v>
      </c>
      <c r="CE43" s="13"/>
      <c r="CF43" s="13"/>
    </row>
    <row r="44" spans="1:84">
      <c r="F44" s="610">
        <v>44805</v>
      </c>
      <c r="G44" s="279" cm="1">
        <f t="array" ref="G44">_xll.d.Dates_Act365(F43,F44)</f>
        <v>0.25205479452054796</v>
      </c>
      <c r="H44" s="607">
        <f t="array" aca="1" ref="H44:H55" ca="1">_xll.d.Curve_GetForwardRates(B29,F43:F54,F44:F55,"Simple")</f>
        <v>9.9999999999999409E-2</v>
      </c>
      <c r="I44" s="126" cm="1">
        <f t="array" aca="1" ref="I44:I55" ca="1">_xll.d.Curve_GetDiscountFactors(B29,F44:F55)</f>
        <v>0.97541421699625874</v>
      </c>
      <c r="J44" s="203"/>
      <c r="K44" s="204"/>
      <c r="U44" s="739"/>
      <c r="V44" s="749">
        <v>44957</v>
      </c>
      <c r="W44" s="757">
        <v>0.82657950215859954</v>
      </c>
      <c r="X44" s="758">
        <f ca="1"/>
        <v>0.82657902369806091</v>
      </c>
      <c r="Y44" s="746" t="str" cm="1">
        <f t="array" aca="1" ref="Y44" ca="1">_xll.d.TestUtils_Equal(W44,X44,$X$29)</f>
        <v>Ok</v>
      </c>
      <c r="Z44" s="203"/>
      <c r="AA44" s="204"/>
      <c r="AB44" s="62" t="s">
        <v>35</v>
      </c>
      <c r="AC44" s="63" t="s">
        <v>36</v>
      </c>
      <c r="AD44" s="64" t="s">
        <v>42</v>
      </c>
      <c r="AE44" s="439"/>
      <c r="AF44" s="8"/>
      <c r="AG44" s="725">
        <v>44288</v>
      </c>
      <c r="AH44" s="280" cm="1">
        <f t="array" ref="AH44">_xll.d.Dates_Act360(AG43,AG44)</f>
        <v>1.0138888888888888</v>
      </c>
      <c r="AI44" s="721">
        <f t="array" aca="1" ref="AI44:AI51" ca="1">_xll.d.Curve_GetForwardRates(AB29,AG43:AG50,AG44:AG51,"Simple")</f>
        <v>6.899999999996476E-4</v>
      </c>
      <c r="AJ44" s="726">
        <f t="array" aca="1" ref="AJ44:AJ51" ca="1">_xll.d.Curve_GetDiscountFactors(AB29,AG44:AG51)</f>
        <v>0.99929674205917551</v>
      </c>
      <c r="AL44" s="776">
        <v>44655</v>
      </c>
      <c r="AM44" s="758">
        <v>0.99831442697204265</v>
      </c>
      <c r="AN44" s="777" cm="1">
        <f t="array" aca="1" ref="AN44" ca="1">_xll.d.Curve_GetDiscountFactors($AB$29,AL44)</f>
        <v>0.99831018836474006</v>
      </c>
      <c r="AO44" s="746" t="str" cm="1">
        <f t="array" aca="1" ref="AO44" ca="1">_xll.d.TestUtils_Equal(AM44,AN44,$AN$29)</f>
        <v>Ok</v>
      </c>
      <c r="AP44" s="203"/>
      <c r="AQ44" s="20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43" t="s">
        <v>35</v>
      </c>
      <c r="BJ44" s="44" t="s">
        <v>36</v>
      </c>
      <c r="BK44" s="45" t="s">
        <v>42</v>
      </c>
      <c r="BS44" s="43" t="s">
        <v>35</v>
      </c>
      <c r="BT44" s="44" t="s">
        <v>36</v>
      </c>
      <c r="BU44" s="45" t="s">
        <v>42</v>
      </c>
      <c r="CD44" s="43" t="s">
        <v>35</v>
      </c>
      <c r="CE44" s="44" t="s">
        <v>36</v>
      </c>
      <c r="CF44" s="45" t="s">
        <v>42</v>
      </c>
    </row>
    <row r="45" spans="1:84">
      <c r="B45" s="12" t="s">
        <v>34</v>
      </c>
      <c r="C45" s="27"/>
      <c r="D45" s="13"/>
      <c r="F45" s="610">
        <v>44896</v>
      </c>
      <c r="G45" s="279" cm="1">
        <f t="array" ref="G45">_xll.d.Dates_Act365(F44,F45)</f>
        <v>0.24931506849315069</v>
      </c>
      <c r="H45" s="607">
        <f ca="1"/>
        <v>9.9999999999655947E-2</v>
      </c>
      <c r="I45" s="126">
        <f ca="1"/>
        <v>0.95168722053906507</v>
      </c>
      <c r="J45" s="203"/>
      <c r="K45" s="204"/>
      <c r="L45" s="12" t="s">
        <v>34</v>
      </c>
      <c r="M45" s="27"/>
      <c r="N45" s="13"/>
      <c r="U45" s="739"/>
      <c r="V45" s="749">
        <v>45322</v>
      </c>
      <c r="W45" s="757">
        <v>0.77142555086444875</v>
      </c>
      <c r="X45" s="758">
        <f ca="1"/>
        <v>0.77142509298979944</v>
      </c>
      <c r="Y45" s="746" t="str" cm="1">
        <f t="array" aca="1" ref="Y45" ca="1">_xll.d.TestUtils_Equal(W45,X45,$X$29)</f>
        <v>Ok</v>
      </c>
      <c r="Z45" s="203"/>
      <c r="AA45" s="204"/>
      <c r="AB45" s="770" t="s">
        <v>25</v>
      </c>
      <c r="AC45" s="274">
        <v>7.000000000000001E-4</v>
      </c>
      <c r="AD45" s="205" t="b">
        <v>1</v>
      </c>
      <c r="AE45" s="439"/>
      <c r="AF45" s="8"/>
      <c r="AG45" s="725">
        <v>44655</v>
      </c>
      <c r="AH45" s="279" cm="1">
        <f t="array" ref="AH45">_xll.d.Dates_Act360(AG44,AG45)</f>
        <v>1.0194444444444444</v>
      </c>
      <c r="AI45" s="607">
        <f ca="1"/>
        <v>9.6937465456676023E-4</v>
      </c>
      <c r="AJ45" s="727">
        <f ca="1"/>
        <v>0.99831018836474006</v>
      </c>
      <c r="AL45" s="776">
        <v>45019</v>
      </c>
      <c r="AM45" s="758">
        <v>0.99647638149095108</v>
      </c>
      <c r="AN45" s="777" cm="1">
        <f t="array" aca="1" ref="AN45" ca="1">_xll.d.Curve_GetDiscountFactors($AB$29,AL45)</f>
        <v>0.99647124209597082</v>
      </c>
      <c r="AO45" s="746" t="str" cm="1">
        <f t="array" aca="1" ref="AO45" ca="1">_xll.d.TestUtils_Equal(AM45,AN45,$AN$29)</f>
        <v>Ok</v>
      </c>
      <c r="AP45" s="203"/>
      <c r="AQ45" s="20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42" t="s">
        <v>27</v>
      </c>
      <c r="BJ45" s="42">
        <v>0.1</v>
      </c>
      <c r="BK45" s="42" t="b">
        <v>1</v>
      </c>
      <c r="BS45" s="42" t="s">
        <v>27</v>
      </c>
      <c r="BT45" s="42">
        <v>0.1</v>
      </c>
      <c r="BU45" s="42" t="b">
        <v>1</v>
      </c>
      <c r="CD45" s="42" t="s">
        <v>27</v>
      </c>
      <c r="CE45" s="42">
        <v>0.1</v>
      </c>
      <c r="CF45" s="42" t="b">
        <v>1</v>
      </c>
    </row>
    <row r="46" spans="1:84">
      <c r="B46" s="62" t="s">
        <v>193</v>
      </c>
      <c r="C46" s="63" t="s">
        <v>36</v>
      </c>
      <c r="D46" s="64" t="s">
        <v>42</v>
      </c>
      <c r="F46" s="610">
        <v>44986</v>
      </c>
      <c r="G46" s="279" cm="1">
        <f t="array" ref="G46">_xll.d.Dates_Act365(F45,F46)</f>
        <v>0.24657534246575341</v>
      </c>
      <c r="H46" s="607">
        <f ca="1"/>
        <v>0.10000000000000005</v>
      </c>
      <c r="I46" s="126">
        <f ca="1"/>
        <v>0.92878565640844579</v>
      </c>
      <c r="J46" s="203"/>
      <c r="K46" s="204"/>
      <c r="L46" s="62" t="s">
        <v>193</v>
      </c>
      <c r="M46" s="63" t="s">
        <v>36</v>
      </c>
      <c r="N46" s="64" t="s">
        <v>42</v>
      </c>
      <c r="Q46" s="121" t="s">
        <v>552</v>
      </c>
      <c r="R46" s="192"/>
      <c r="S46" s="192"/>
      <c r="T46" s="122"/>
      <c r="U46" s="739"/>
      <c r="V46" s="749">
        <v>45688</v>
      </c>
      <c r="W46" s="757">
        <v>0.71728031027113948</v>
      </c>
      <c r="X46" s="758">
        <f ca="1"/>
        <v>0.7172798723379229</v>
      </c>
      <c r="Y46" s="746" t="str" cm="1">
        <f t="array" aca="1" ref="Y46" ca="1">_xll.d.TestUtils_Equal(W46,X46,$X$29)</f>
        <v>Ok</v>
      </c>
      <c r="Z46" s="203"/>
      <c r="AA46" s="204"/>
      <c r="AB46" s="771" t="s">
        <v>26</v>
      </c>
      <c r="AC46" s="275">
        <v>7.0999999999999991E-4</v>
      </c>
      <c r="AD46" s="206" t="b">
        <v>1</v>
      </c>
      <c r="AE46" s="439"/>
      <c r="AG46" s="725">
        <v>45019</v>
      </c>
      <c r="AH46" s="279" cm="1">
        <f t="array" ref="AH46">_xll.d.Dates_Act360(AG45,AG46)</f>
        <v>1.0111111111111111</v>
      </c>
      <c r="AI46" s="607">
        <f ca="1"/>
        <v>1.8251786817129298E-3</v>
      </c>
      <c r="AJ46" s="727">
        <f ca="1"/>
        <v>0.99647124209597082</v>
      </c>
      <c r="AL46" s="776">
        <v>45384</v>
      </c>
      <c r="AM46" s="758">
        <v>0.99353628932238969</v>
      </c>
      <c r="AN46" s="777" cm="1">
        <f t="array" aca="1" ref="AN46" ca="1">_xll.d.Curve_GetDiscountFactors($AB$29,AL46)</f>
        <v>0.99352261368897021</v>
      </c>
      <c r="AO46" s="746" t="str" cm="1">
        <f t="array" aca="1" ref="AO46" ca="1">_xll.d.TestUtils_Equal(AM46,AN46,$AN$29)</f>
        <v>Ok</v>
      </c>
      <c r="AP46" s="203"/>
      <c r="AQ46" s="20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42" t="s">
        <v>28</v>
      </c>
      <c r="BJ46" s="42">
        <v>0.1</v>
      </c>
      <c r="BK46" s="42" t="b">
        <v>1</v>
      </c>
      <c r="BS46" s="42" t="s">
        <v>28</v>
      </c>
      <c r="BT46" s="42">
        <v>0.1</v>
      </c>
      <c r="BU46" s="42" t="b">
        <v>1</v>
      </c>
      <c r="CD46" s="42" t="s">
        <v>28</v>
      </c>
      <c r="CE46" s="42">
        <v>0.1</v>
      </c>
      <c r="CF46" s="42" t="b">
        <v>1</v>
      </c>
    </row>
    <row r="47" spans="1:84">
      <c r="B47" s="256" t="s">
        <v>194</v>
      </c>
      <c r="C47" s="247">
        <v>0.1</v>
      </c>
      <c r="D47" s="246" t="b">
        <v>1</v>
      </c>
      <c r="F47" s="610">
        <v>45078</v>
      </c>
      <c r="G47" s="279" cm="1">
        <f t="array" ref="G47">_xll.d.Dates_Act365(F46,F47)</f>
        <v>0.25205479452054796</v>
      </c>
      <c r="H47" s="607">
        <f ca="1"/>
        <v>9.9999999999999409E-2</v>
      </c>
      <c r="I47" s="126">
        <f ca="1"/>
        <v>0.9059507338030004</v>
      </c>
      <c r="J47" s="203"/>
      <c r="K47" s="204"/>
      <c r="L47" s="256" t="s">
        <v>194</v>
      </c>
      <c r="M47" s="715">
        <v>6.4600000000000005E-2</v>
      </c>
      <c r="N47" s="246" t="b">
        <v>1</v>
      </c>
      <c r="Q47" s="119" t="s">
        <v>0</v>
      </c>
      <c r="R47" s="291" t="s">
        <v>550</v>
      </c>
      <c r="S47" s="291" t="s">
        <v>551</v>
      </c>
      <c r="T47" s="120" t="s">
        <v>2</v>
      </c>
      <c r="U47" s="739"/>
      <c r="V47" s="749">
        <v>46052</v>
      </c>
      <c r="W47" s="757">
        <v>0.66351867459800129</v>
      </c>
      <c r="X47" s="758">
        <f ca="1"/>
        <v>0.66351825452723412</v>
      </c>
      <c r="Y47" s="746" t="str" cm="1">
        <f t="array" aca="1" ref="Y47" ca="1">_xll.d.TestUtils_Equal(W47,X47,$X$29)</f>
        <v>Ok</v>
      </c>
      <c r="Z47" s="203"/>
      <c r="AA47" s="204"/>
      <c r="AB47" s="771" t="s">
        <v>24</v>
      </c>
      <c r="AC47" s="275">
        <v>6.8000000000000005E-4</v>
      </c>
      <c r="AD47" s="206" t="b">
        <v>1</v>
      </c>
      <c r="AE47" s="439"/>
      <c r="AG47" s="725">
        <v>45384</v>
      </c>
      <c r="AH47" s="279" cm="1">
        <f t="array" ref="AH47">_xll.d.Dates_Act360(AG46,AG47)</f>
        <v>1.0138888888888888</v>
      </c>
      <c r="AI47" s="607">
        <f ca="1"/>
        <v>2.9271968216640592E-3</v>
      </c>
      <c r="AJ47" s="727">
        <f ca="1"/>
        <v>0.99352261368897021</v>
      </c>
      <c r="AL47" s="776">
        <v>45749</v>
      </c>
      <c r="AM47" s="758">
        <v>0.98925951996509143</v>
      </c>
      <c r="AN47" s="777" cm="1">
        <f t="array" aca="1" ref="AN47" ca="1">_xll.d.Curve_GetDiscountFactors($AB$29,AL47)</f>
        <v>0.98924200910255289</v>
      </c>
      <c r="AO47" s="746" t="str" cm="1">
        <f t="array" aca="1" ref="AO47" ca="1">_xll.d.TestUtils_Equal(AM47,AN47,$AN$29)</f>
        <v>Ok</v>
      </c>
      <c r="AP47" s="203"/>
      <c r="AQ47" s="20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</row>
    <row r="48" spans="1:84">
      <c r="B48" s="257" t="s">
        <v>195</v>
      </c>
      <c r="C48" s="242">
        <v>0.1</v>
      </c>
      <c r="D48" s="243" t="b">
        <v>1</v>
      </c>
      <c r="F48" s="610">
        <v>45170</v>
      </c>
      <c r="G48" s="279" cm="1">
        <f t="array" ref="G48">_xll.d.Dates_Act365(F47,F48)</f>
        <v>0.25205479452054796</v>
      </c>
      <c r="H48" s="607">
        <f ca="1"/>
        <v>0.10000003427727382</v>
      </c>
      <c r="I48" s="126">
        <f ca="1"/>
        <v>0.88367721820259459</v>
      </c>
      <c r="J48" s="203"/>
      <c r="K48" s="204"/>
      <c r="L48" s="257" t="s">
        <v>195</v>
      </c>
      <c r="M48" s="716">
        <v>6.2600000000000003E-2</v>
      </c>
      <c r="N48" s="243" t="b">
        <v>1</v>
      </c>
      <c r="P48" s="9"/>
      <c r="Q48" s="723">
        <f t="array" ref="Q48:Q80">_xll.d.Dates_GenerateSchedule(M33,_xll.d.Dates_AddTenorToDate(M33,"8Y","ZAR","ModFol"),"3m","ZAR","ModFol","Forward")</f>
        <v>43861</v>
      </c>
      <c r="R48" s="722"/>
      <c r="S48" s="722"/>
      <c r="T48" s="724"/>
      <c r="U48" s="739"/>
      <c r="V48" s="749">
        <v>46416</v>
      </c>
      <c r="W48" s="757">
        <v>0.61166546399400523</v>
      </c>
      <c r="X48" s="758">
        <f ca="1"/>
        <v>0.61166506256260311</v>
      </c>
      <c r="Y48" s="746" t="str" cm="1">
        <f t="array" aca="1" ref="Y48" ca="1">_xll.d.TestUtils_Equal(W48,X48,$X$29)</f>
        <v>Ok</v>
      </c>
      <c r="Z48" s="203"/>
      <c r="AA48" s="204"/>
      <c r="AB48" s="771" t="s">
        <v>601</v>
      </c>
      <c r="AC48" s="275">
        <v>6.7000000000000002E-4</v>
      </c>
      <c r="AD48" s="206" t="b">
        <v>1</v>
      </c>
      <c r="AE48" s="439"/>
      <c r="AG48" s="725">
        <v>45749</v>
      </c>
      <c r="AH48" s="279" cm="1">
        <f t="array" ref="AH48">_xll.d.Dates_Act360(AG47,AG48)</f>
        <v>1.0138888888888888</v>
      </c>
      <c r="AI48" s="607">
        <f ca="1"/>
        <v>4.2678799814167357E-3</v>
      </c>
      <c r="AJ48" s="727">
        <f ca="1"/>
        <v>0.98924200910255289</v>
      </c>
      <c r="AL48" s="776">
        <v>46479</v>
      </c>
      <c r="AM48" s="758">
        <v>0.97794158297967493</v>
      </c>
      <c r="AN48" s="777" cm="1">
        <f t="array" aca="1" ref="AN48" ca="1">_xll.d.Curve_GetDiscountFactors($AB$29,AL48)</f>
        <v>0.97789827726743384</v>
      </c>
      <c r="AO48" s="746" t="str" cm="1">
        <f t="array" aca="1" ref="AO48" ca="1">_xll.d.TestUtils_Equal(AM48,AN48,$AN$29)</f>
        <v>Ok</v>
      </c>
      <c r="AP48" s="203"/>
      <c r="AQ48" s="20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12" t="s">
        <v>40</v>
      </c>
      <c r="BJ48" s="13"/>
      <c r="BK48" s="13"/>
      <c r="BS48" s="12" t="s">
        <v>40</v>
      </c>
      <c r="BT48" s="13"/>
      <c r="BU48" s="13"/>
      <c r="CD48" s="12" t="s">
        <v>40</v>
      </c>
      <c r="CE48" s="13"/>
      <c r="CF48" s="13"/>
    </row>
    <row r="49" spans="2:84">
      <c r="B49" s="258" t="s">
        <v>196</v>
      </c>
      <c r="C49" s="244">
        <v>0.1</v>
      </c>
      <c r="D49" s="245" t="b">
        <v>1</v>
      </c>
      <c r="F49" s="610">
        <v>45261</v>
      </c>
      <c r="G49" s="279" cm="1">
        <f t="array" ref="G49">_xll.d.Dates_Act365(F48,F49)</f>
        <v>0.24931506849315069</v>
      </c>
      <c r="H49" s="607">
        <f ca="1"/>
        <v>9.9986450530170273E-2</v>
      </c>
      <c r="I49" s="126">
        <f ca="1"/>
        <v>0.86218457021928574</v>
      </c>
      <c r="J49" s="203"/>
      <c r="K49" s="204"/>
      <c r="L49" s="257" t="s">
        <v>196</v>
      </c>
      <c r="M49" s="716">
        <v>6.2100000000000002E-2</v>
      </c>
      <c r="N49" s="243" t="b">
        <v>1</v>
      </c>
      <c r="P49" s="9"/>
      <c r="Q49" s="725">
        <v>43951</v>
      </c>
      <c r="R49" s="280" cm="1">
        <f t="array" ref="R49">_xll.d.Dates_Act365(Q48,Q49)</f>
        <v>0.24657534246575341</v>
      </c>
      <c r="S49" s="721">
        <f t="array" aca="1" ref="S49:S80" ca="1">_xll.d.Curve_GetForwardRates(L29,Q48:Q79,Q49:Q80,"Simple")</f>
        <v>6.5579999999485508E-2</v>
      </c>
      <c r="T49" s="726">
        <f t="array" aca="1" ref="T49:T80" ca="1">_xll.d.Curve_GetDiscountFactors(L29,Q49:Q80)</f>
        <v>0.98408691024222983</v>
      </c>
      <c r="U49" s="739"/>
      <c r="V49" s="750">
        <v>46783</v>
      </c>
      <c r="W49" s="759">
        <v>0.55992571979354799</v>
      </c>
      <c r="X49" s="760">
        <f ca="1"/>
        <v>0.5599253361228067</v>
      </c>
      <c r="Y49" s="746" t="str" cm="1">
        <f t="array" aca="1" ref="Y49" ca="1">_xll.d.TestUtils_Equal(W49,X49,$X$29)</f>
        <v>Ok</v>
      </c>
      <c r="Z49" s="203"/>
      <c r="AA49" s="204"/>
      <c r="AB49" s="771" t="s">
        <v>602</v>
      </c>
      <c r="AC49" s="275">
        <v>6.6E-4</v>
      </c>
      <c r="AD49" s="206" t="b">
        <v>1</v>
      </c>
      <c r="AE49" s="439"/>
      <c r="AG49" s="725">
        <v>46114</v>
      </c>
      <c r="AH49" s="279" cm="1">
        <f t="array" ref="AH49">_xll.d.Dates_Act360(AG48,AG49)</f>
        <v>1.0138888888888888</v>
      </c>
      <c r="AI49" s="607">
        <f ca="1"/>
        <v>5.704109949398458E-3</v>
      </c>
      <c r="AJ49" s="727">
        <f ca="1"/>
        <v>0.98355378932825099</v>
      </c>
      <c r="AL49" s="776">
        <v>47575</v>
      </c>
      <c r="AM49" s="758">
        <v>0.95684032944715969</v>
      </c>
      <c r="AN49" s="777" cm="1">
        <f t="array" aca="1" ref="AN49" ca="1">_xll.d.Curve_GetDiscountFactors($AB$29,AL49)</f>
        <v>0.95681834245853092</v>
      </c>
      <c r="AO49" s="746" t="str" cm="1">
        <f t="array" aca="1" ref="AO49" ca="1">_xll.d.TestUtils_Equal(AM49,AN49,$AN$29)</f>
        <v>Ok</v>
      </c>
      <c r="AP49" s="203"/>
      <c r="AQ49" s="20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43" t="s">
        <v>35</v>
      </c>
      <c r="BJ49" s="44" t="s">
        <v>36</v>
      </c>
      <c r="BK49" s="45" t="s">
        <v>42</v>
      </c>
      <c r="BS49" s="43" t="s">
        <v>35</v>
      </c>
      <c r="BT49" s="44" t="s">
        <v>36</v>
      </c>
      <c r="BU49" s="45" t="s">
        <v>42</v>
      </c>
      <c r="CD49" s="43" t="s">
        <v>35</v>
      </c>
      <c r="CE49" s="44" t="s">
        <v>36</v>
      </c>
      <c r="CF49" s="45" t="s">
        <v>42</v>
      </c>
    </row>
    <row r="50" spans="2:84">
      <c r="F50" s="610">
        <v>45352</v>
      </c>
      <c r="G50" s="279" cm="1">
        <f t="array" ref="G50">_xll.d.Dates_Act365(F49,F50)</f>
        <v>0.24931506849315069</v>
      </c>
      <c r="H50" s="607">
        <f ca="1"/>
        <v>9.9986450530170273E-2</v>
      </c>
      <c r="I50" s="126">
        <f ca="1"/>
        <v>0.84121466278854429</v>
      </c>
      <c r="J50" s="203"/>
      <c r="K50" s="204"/>
      <c r="L50" s="713" t="s">
        <v>584</v>
      </c>
      <c r="M50" s="716">
        <v>6.1800000000000001E-2</v>
      </c>
      <c r="N50" s="243" t="b">
        <v>1</v>
      </c>
      <c r="Q50" s="725">
        <v>44043</v>
      </c>
      <c r="R50" s="279" cm="1">
        <f t="array" ref="R50">_xll.d.Dates_Act365(Q49,Q50)</f>
        <v>0.25205479452054796</v>
      </c>
      <c r="S50" s="607">
        <f ca="1"/>
        <v>6.4583938319548381E-2</v>
      </c>
      <c r="T50" s="727">
        <f ca="1"/>
        <v>0.96832386496367961</v>
      </c>
      <c r="U50" s="739"/>
      <c r="V50" s="739"/>
      <c r="W50" s="739"/>
      <c r="X50" s="739"/>
      <c r="Y50" s="739"/>
      <c r="Z50" s="203"/>
      <c r="AA50" s="204"/>
      <c r="AB50" s="771" t="s">
        <v>27</v>
      </c>
      <c r="AC50" s="275">
        <v>6.6E-4</v>
      </c>
      <c r="AD50" s="206" t="b">
        <v>1</v>
      </c>
      <c r="AE50" s="439"/>
      <c r="AG50" s="725">
        <v>46479</v>
      </c>
      <c r="AH50" s="279" cm="1">
        <f t="array" ref="AH50">_xll.d.Dates_Act360(AG49,AG50)</f>
        <v>1.0138888888888888</v>
      </c>
      <c r="AI50" s="607">
        <f ca="1"/>
        <v>5.704109949398458E-3</v>
      </c>
      <c r="AJ50" s="727">
        <f ca="1"/>
        <v>0.97789827726743384</v>
      </c>
      <c r="AL50" s="776">
        <v>48306</v>
      </c>
      <c r="AM50" s="758">
        <v>0.94199581673574373</v>
      </c>
      <c r="AN50" s="777" cm="1">
        <f t="array" aca="1" ref="AN50" ca="1">_xll.d.Curve_GetDiscountFactors($AB$29,AL50)</f>
        <v>0.9419632289416594</v>
      </c>
      <c r="AO50" s="746" t="str" cm="1">
        <f t="array" aca="1" ref="AO50" ca="1">_xll.d.TestUtils_Equal(AM50,AN50,$AN$29)</f>
        <v>Ok</v>
      </c>
      <c r="AP50" s="203"/>
      <c r="AQ50" s="20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42" t="s">
        <v>49</v>
      </c>
      <c r="BJ50" s="42">
        <v>0.1</v>
      </c>
      <c r="BK50" s="42" t="b">
        <v>1</v>
      </c>
      <c r="BS50" s="42" t="s">
        <v>49</v>
      </c>
      <c r="BT50" s="42">
        <v>0.1</v>
      </c>
      <c r="BU50" s="42" t="b">
        <v>1</v>
      </c>
      <c r="CD50" s="42" t="s">
        <v>49</v>
      </c>
      <c r="CE50" s="42">
        <v>0.1</v>
      </c>
      <c r="CF50" s="42" t="b">
        <v>1</v>
      </c>
    </row>
    <row r="51" spans="2:84">
      <c r="B51" s="12" t="s">
        <v>40</v>
      </c>
      <c r="C51" s="27"/>
      <c r="D51" s="13"/>
      <c r="F51" s="610">
        <v>45446</v>
      </c>
      <c r="G51" s="279" cm="1">
        <f t="array" ref="G51">_xll.d.Dates_Act365(F50,F51)</f>
        <v>0.25753424657534246</v>
      </c>
      <c r="H51" s="607">
        <f ca="1"/>
        <v>0.10002720913876365</v>
      </c>
      <c r="I51" s="126">
        <f ca="1"/>
        <v>0.82008882054014454</v>
      </c>
      <c r="J51" s="203"/>
      <c r="K51" s="204"/>
      <c r="L51" s="713" t="s">
        <v>585</v>
      </c>
      <c r="M51" s="716">
        <v>6.2100000000000002E-2</v>
      </c>
      <c r="N51" s="243" t="b">
        <v>1</v>
      </c>
      <c r="P51" s="9"/>
      <c r="Q51" s="725">
        <v>44134</v>
      </c>
      <c r="R51" s="279" cm="1">
        <f t="array" ref="R51">_xll.d.Dates_Act365(Q50,Q51)</f>
        <v>0.24931506849315069</v>
      </c>
      <c r="S51" s="607">
        <f ca="1"/>
        <v>6.2600000000052947E-2</v>
      </c>
      <c r="T51" s="727">
        <f ca="1"/>
        <v>0.95344335694403037</v>
      </c>
      <c r="U51" s="739"/>
      <c r="V51" s="739"/>
      <c r="W51" s="739"/>
      <c r="X51" s="739"/>
      <c r="Y51" s="739"/>
      <c r="Z51" s="203"/>
      <c r="AA51" s="204"/>
      <c r="AB51" s="771" t="s">
        <v>28</v>
      </c>
      <c r="AC51" s="275">
        <v>6.6E-4</v>
      </c>
      <c r="AD51" s="206" t="b">
        <v>1</v>
      </c>
      <c r="AE51" s="439"/>
      <c r="AG51" s="728">
        <v>46846</v>
      </c>
      <c r="AH51" s="640" cm="1">
        <f t="array" ref="AH51">_xll.d.Dates_Act360(AG50,AG51)</f>
        <v>1.0194444444444444</v>
      </c>
      <c r="AI51" s="729">
        <f ca="1"/>
        <v>7.1841692349993245E-3</v>
      </c>
      <c r="AJ51" s="328">
        <f ca="1"/>
        <v>0.97078835787150608</v>
      </c>
      <c r="AL51" s="776">
        <v>49401</v>
      </c>
      <c r="AM51" s="758">
        <v>0.92158205934554305</v>
      </c>
      <c r="AN51" s="777" cm="1">
        <f t="array" aca="1" ref="AN51" ca="1">_xll.d.Curve_GetDiscountFactors($AB$29,AL51)</f>
        <v>0.92156171445373025</v>
      </c>
      <c r="AO51" s="746" t="str" cm="1">
        <f t="array" aca="1" ref="AO51" ca="1">_xll.d.TestUtils_Equal(AM51,AN51,$AN$29)</f>
        <v>Ok</v>
      </c>
      <c r="AP51" s="203"/>
      <c r="AQ51" s="20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42" t="s">
        <v>53</v>
      </c>
      <c r="BJ51" s="42">
        <v>0.1</v>
      </c>
      <c r="BK51" s="42" t="b">
        <v>1</v>
      </c>
      <c r="BS51" s="42" t="s">
        <v>53</v>
      </c>
      <c r="BT51" s="42">
        <v>0.1</v>
      </c>
      <c r="BU51" s="42" t="b">
        <v>1</v>
      </c>
      <c r="CD51" s="42" t="s">
        <v>53</v>
      </c>
      <c r="CE51" s="42">
        <v>0.1</v>
      </c>
      <c r="CF51" s="42" t="b">
        <v>1</v>
      </c>
    </row>
    <row r="52" spans="2:84">
      <c r="B52" s="62" t="s">
        <v>35</v>
      </c>
      <c r="C52" s="63" t="s">
        <v>36</v>
      </c>
      <c r="D52" s="64" t="s">
        <v>42</v>
      </c>
      <c r="F52" s="610">
        <v>45537</v>
      </c>
      <c r="G52" s="279" cm="1">
        <f t="array" ref="G52">_xll.d.Dates_Act365(F51,F52)</f>
        <v>0.24931506849315069</v>
      </c>
      <c r="H52" s="607">
        <f ca="1"/>
        <v>0.1000000000000389</v>
      </c>
      <c r="I52" s="126">
        <f ca="1"/>
        <v>0.80014012161761539</v>
      </c>
      <c r="J52" s="203"/>
      <c r="K52" s="204"/>
      <c r="L52" s="713" t="s">
        <v>586</v>
      </c>
      <c r="M52" s="716">
        <v>6.2600000000000003E-2</v>
      </c>
      <c r="N52" s="243" t="b">
        <v>1</v>
      </c>
      <c r="P52" s="9"/>
      <c r="Q52" s="725">
        <v>44225</v>
      </c>
      <c r="R52" s="279" cm="1">
        <f t="array" ref="R52">_xll.d.Dates_Act365(Q51,Q52)</f>
        <v>0.24931506849315069</v>
      </c>
      <c r="S52" s="607">
        <f ca="1"/>
        <v>6.2100000000028716E-2</v>
      </c>
      <c r="T52" s="727">
        <f ca="1"/>
        <v>0.93890676510758675</v>
      </c>
      <c r="U52" s="739"/>
      <c r="V52" s="739"/>
      <c r="W52" s="739"/>
      <c r="X52" s="739"/>
      <c r="Y52" s="739"/>
      <c r="Z52" s="203"/>
      <c r="AA52" s="204"/>
      <c r="AB52" s="771" t="s">
        <v>589</v>
      </c>
      <c r="AC52" s="275">
        <v>6.9000000000000008E-4</v>
      </c>
      <c r="AD52" s="206" t="b">
        <v>1</v>
      </c>
      <c r="AE52" s="439"/>
      <c r="AG52" s="439"/>
      <c r="AH52" s="439"/>
      <c r="AI52" s="439"/>
      <c r="AJ52" s="439"/>
      <c r="AL52" s="776">
        <v>51228</v>
      </c>
      <c r="AM52" s="758">
        <v>0.88718364143951234</v>
      </c>
      <c r="AN52" s="777" cm="1">
        <f t="array" aca="1" ref="AN52" ca="1">_xll.d.Curve_GetDiscountFactors($AB$29,AL52)</f>
        <v>0.88716540900503715</v>
      </c>
      <c r="AO52" s="746" t="str" cm="1">
        <f t="array" aca="1" ref="AO52" ca="1">_xll.d.TestUtils_Equal(AM52,AN52,$AN$29)</f>
        <v>Ok</v>
      </c>
      <c r="AP52" s="203"/>
      <c r="AQ52" s="20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</row>
    <row r="53" spans="2:84">
      <c r="B53" s="216" t="s">
        <v>49</v>
      </c>
      <c r="C53" s="222">
        <v>0.1</v>
      </c>
      <c r="D53" s="217" t="b">
        <v>1</v>
      </c>
      <c r="F53" s="610">
        <v>45628</v>
      </c>
      <c r="G53" s="279" cm="1">
        <f t="array" ref="G53">_xll.d.Dates_Act365(F52,F53)</f>
        <v>0.24931506849315069</v>
      </c>
      <c r="H53" s="607">
        <f ca="1"/>
        <v>0.1000000000000389</v>
      </c>
      <c r="I53" s="126">
        <f ca="1"/>
        <v>0.78067667572955579</v>
      </c>
      <c r="J53" s="203"/>
      <c r="K53" s="204"/>
      <c r="L53" s="714" t="s">
        <v>587</v>
      </c>
      <c r="M53" s="717">
        <v>6.3200000000000006E-2</v>
      </c>
      <c r="N53" s="245" t="b">
        <v>1</v>
      </c>
      <c r="Q53" s="725">
        <v>44316</v>
      </c>
      <c r="R53" s="279" cm="1">
        <f t="array" ref="R53">_xll.d.Dates_Act365(Q52,Q53)</f>
        <v>0.24931506849315069</v>
      </c>
      <c r="S53" s="607">
        <f ca="1"/>
        <v>6.1808445134642599E-2</v>
      </c>
      <c r="T53" s="727">
        <f ca="1"/>
        <v>0.9246579918987835</v>
      </c>
      <c r="U53" s="739"/>
      <c r="V53" s="739"/>
      <c r="W53" s="739"/>
      <c r="X53" s="739"/>
      <c r="Y53" s="739"/>
      <c r="Z53" s="203"/>
      <c r="AA53" s="204"/>
      <c r="AB53" s="771" t="s">
        <v>591</v>
      </c>
      <c r="AC53" s="275">
        <v>7.9000000000000001E-4</v>
      </c>
      <c r="AD53" s="206" t="b">
        <v>1</v>
      </c>
      <c r="AE53" s="439"/>
      <c r="AG53" s="294" t="s">
        <v>553</v>
      </c>
      <c r="AH53" s="295"/>
      <c r="AI53" s="295"/>
      <c r="AJ53" s="296"/>
      <c r="AL53" s="776">
        <v>53055</v>
      </c>
      <c r="AM53" s="758">
        <v>0.85641643828217151</v>
      </c>
      <c r="AN53" s="777" cm="1">
        <f t="array" aca="1" ref="AN53" ca="1">_xll.d.Curve_GetDiscountFactors($AB$29,AL53)</f>
        <v>0.85640111401297891</v>
      </c>
      <c r="AO53" s="746" t="str" cm="1">
        <f t="array" aca="1" ref="AO53" ca="1">_xll.d.TestUtils_Equal(AM53,AN53,$AN$29)</f>
        <v>Ok</v>
      </c>
      <c r="AP53" s="203"/>
      <c r="AQ53" s="20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</row>
    <row r="54" spans="2:84">
      <c r="B54" s="218" t="s">
        <v>53</v>
      </c>
      <c r="C54" s="224">
        <v>0.1</v>
      </c>
      <c r="D54" s="219" t="b">
        <v>1</v>
      </c>
      <c r="F54" s="610">
        <v>45719</v>
      </c>
      <c r="G54" s="279" cm="1">
        <f t="array" ref="G54">_xll.d.Dates_Act365(F53,F54)</f>
        <v>0.24931506849315069</v>
      </c>
      <c r="H54" s="607">
        <f ca="1"/>
        <v>0.1000000000000389</v>
      </c>
      <c r="I54" s="126">
        <f ca="1"/>
        <v>0.76168667907320275</v>
      </c>
      <c r="J54" s="203"/>
      <c r="K54" s="204"/>
      <c r="L54" s="710"/>
      <c r="M54" s="711"/>
      <c r="N54" s="712"/>
      <c r="P54" s="612"/>
      <c r="Q54" s="725">
        <v>44407</v>
      </c>
      <c r="R54" s="279" cm="1">
        <f t="array" ref="R54">_xll.d.Dates_Act365(Q53,Q54)</f>
        <v>0.24931506849315069</v>
      </c>
      <c r="S54" s="607">
        <f ca="1"/>
        <v>6.2100000000003784E-2</v>
      </c>
      <c r="T54" s="727">
        <f ca="1"/>
        <v>0.91056027364563519</v>
      </c>
      <c r="U54" s="739"/>
      <c r="V54" s="739"/>
      <c r="W54" s="739"/>
      <c r="X54" s="739"/>
      <c r="Y54" s="739"/>
      <c r="Z54" s="203"/>
      <c r="AA54" s="204"/>
      <c r="AB54" s="771" t="s">
        <v>49</v>
      </c>
      <c r="AC54" s="275">
        <v>8.3000000000000001E-4</v>
      </c>
      <c r="AD54" s="206" t="b">
        <v>1</v>
      </c>
      <c r="AE54" s="439"/>
      <c r="AG54" s="503" t="s">
        <v>22</v>
      </c>
      <c r="AH54" s="624" t="s">
        <v>66</v>
      </c>
      <c r="AI54" s="624" t="s">
        <v>67</v>
      </c>
      <c r="AJ54" s="625" t="s">
        <v>68</v>
      </c>
      <c r="AL54" s="778">
        <v>54882</v>
      </c>
      <c r="AM54" s="779">
        <v>0.82945903335872884</v>
      </c>
      <c r="AN54" s="780" cm="1">
        <f t="array" aca="1" ref="AN54" ca="1">_xll.d.Curve_GetDiscountFactors($AB$29,AL54)</f>
        <v>0.82944410369349064</v>
      </c>
      <c r="AO54" s="746" t="str" cm="1">
        <f t="array" aca="1" ref="AO54" ca="1">_xll.d.TestUtils_Equal(AM54,AN54,$AN$29)</f>
        <v>Ok</v>
      </c>
      <c r="AP54" s="203"/>
      <c r="AQ54" s="20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</row>
    <row r="55" spans="2:84">
      <c r="F55" s="611">
        <v>45810</v>
      </c>
      <c r="G55" s="191" cm="1">
        <f t="array" ref="G55">_xll.d.Dates_Act365(F54,F55)</f>
        <v>0.24931506849315069</v>
      </c>
      <c r="H55" s="608">
        <f ca="1"/>
        <v>0.1000000000000389</v>
      </c>
      <c r="I55" s="128">
        <f ca="1"/>
        <v>0.7431586149738475</v>
      </c>
      <c r="J55" s="203"/>
      <c r="K55" s="204"/>
      <c r="L55" s="12" t="s">
        <v>40</v>
      </c>
      <c r="M55" s="27"/>
      <c r="N55" s="13"/>
      <c r="Q55" s="725">
        <v>44498</v>
      </c>
      <c r="R55" s="279" cm="1">
        <f t="array" ref="R55">_xll.d.Dates_Act365(Q54,Q55)</f>
        <v>0.24931506849315069</v>
      </c>
      <c r="S55" s="607">
        <f ca="1"/>
        <v>6.2600000000000391E-2</v>
      </c>
      <c r="T55" s="727">
        <f ca="1"/>
        <v>0.89656743514954496</v>
      </c>
      <c r="U55" s="739"/>
      <c r="V55" s="739"/>
      <c r="W55" s="739"/>
      <c r="X55" s="739"/>
      <c r="Y55" s="739"/>
      <c r="Z55" s="203"/>
      <c r="AA55" s="204"/>
      <c r="AB55" s="771" t="s">
        <v>53</v>
      </c>
      <c r="AC55" s="275">
        <v>1.16E-3</v>
      </c>
      <c r="AD55" s="206" t="b">
        <v>1</v>
      </c>
      <c r="AE55" s="439"/>
      <c r="AG55" s="626" t="s">
        <v>48</v>
      </c>
      <c r="AH55" s="735">
        <f ca="1">SUMPRODUCT(AH44,AI44,AJ44)/SUMPRODUCT(AH44,AJ44)</f>
        <v>6.8999999999964749E-4</v>
      </c>
      <c r="AI55" s="735">
        <f>AC52</f>
        <v>6.9000000000000008E-4</v>
      </c>
      <c r="AJ55" s="195" t="str" cm="1">
        <f t="array" aca="1" ref="AJ55" ca="1">_xll.d.TestUtils_Equal(AH55,AI55,$AI$29)</f>
        <v>Ok</v>
      </c>
      <c r="AP55" s="203"/>
      <c r="AQ55" s="20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</row>
    <row r="56" spans="2:84">
      <c r="J56" s="203"/>
      <c r="K56" s="204"/>
      <c r="L56" s="62" t="s">
        <v>35</v>
      </c>
      <c r="M56" s="63" t="s">
        <v>36</v>
      </c>
      <c r="N56" s="64" t="s">
        <v>42</v>
      </c>
      <c r="Q56" s="725">
        <v>44592</v>
      </c>
      <c r="R56" s="279" cm="1">
        <f t="array" ref="R56">_xll.d.Dates_Act365(Q55,Q56)</f>
        <v>0.25753424657534246</v>
      </c>
      <c r="S56" s="607">
        <f ca="1"/>
        <v>6.3199999999999007E-2</v>
      </c>
      <c r="T56" s="727">
        <f ca="1"/>
        <v>0.88220846515019113</v>
      </c>
      <c r="U56" s="739"/>
      <c r="V56" s="739"/>
      <c r="W56" s="739"/>
      <c r="X56" s="739"/>
      <c r="Y56" s="739"/>
      <c r="Z56" s="203"/>
      <c r="AA56" s="204"/>
      <c r="AB56" s="771" t="s">
        <v>588</v>
      </c>
      <c r="AC56" s="275">
        <v>1.6000000000000001E-3</v>
      </c>
      <c r="AD56" s="206" t="b">
        <v>1</v>
      </c>
      <c r="AE56" s="439"/>
      <c r="AG56" s="742" t="s">
        <v>49</v>
      </c>
      <c r="AH56" s="743">
        <f t="array" aca="1" ref="AH56" ca="1">SUMPRODUCT(AH44:AH45,AI44:AI45,AJ44:AJ45)/SUMPRODUCT(AH44:AH45,AJ44:AJ45)</f>
        <v>8.2999999999944858E-4</v>
      </c>
      <c r="AI56" s="743">
        <f>AC54</f>
        <v>8.3000000000000001E-4</v>
      </c>
      <c r="AJ56" s="195" t="str" cm="1">
        <f t="array" aca="1" ref="AJ56" ca="1">_xll.d.TestUtils_Equal(AH56,AI56,$AI$29)</f>
        <v>Ok</v>
      </c>
      <c r="AP56" s="203"/>
      <c r="AQ56" s="20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</row>
    <row r="57" spans="2:84">
      <c r="E57" s="144"/>
      <c r="F57" s="294" t="s">
        <v>553</v>
      </c>
      <c r="G57" s="295"/>
      <c r="H57" s="295"/>
      <c r="I57" s="296"/>
      <c r="J57" s="203"/>
      <c r="K57" s="204"/>
      <c r="L57" s="718" t="s">
        <v>53</v>
      </c>
      <c r="M57" s="719">
        <v>6.3899999999999998E-2</v>
      </c>
      <c r="N57" s="217" t="b">
        <v>1</v>
      </c>
      <c r="Q57" s="725">
        <v>44680</v>
      </c>
      <c r="R57" s="279" cm="1">
        <f t="array" ref="R57">_xll.d.Dates_Act365(Q56,Q57)</f>
        <v>0.24109589041095891</v>
      </c>
      <c r="S57" s="607">
        <f ca="1"/>
        <v>6.5646944640344859E-2</v>
      </c>
      <c r="T57" s="727">
        <f ca="1"/>
        <v>0.8684631182417123</v>
      </c>
      <c r="U57" s="739"/>
      <c r="V57" s="739"/>
      <c r="W57" s="739"/>
      <c r="X57" s="739"/>
      <c r="Y57" s="739"/>
      <c r="Z57" s="203"/>
      <c r="AA57" s="204"/>
      <c r="AB57" s="771" t="s">
        <v>594</v>
      </c>
      <c r="AC57" s="275">
        <v>2.1299999999999999E-3</v>
      </c>
      <c r="AD57" s="206" t="b">
        <v>1</v>
      </c>
      <c r="AE57" s="439"/>
      <c r="AG57" s="744" t="s">
        <v>53</v>
      </c>
      <c r="AH57" s="743">
        <f ca="1">SUMPRODUCT(AH44:AH46,AI44:AI46,AJ44:AJ46)/SUMPRODUCT(AH44:AH46,AJ44:AJ46)</f>
        <v>1.1600000000000475E-3</v>
      </c>
      <c r="AI57" s="745">
        <f>AC55</f>
        <v>1.16E-3</v>
      </c>
      <c r="AJ57" s="195" t="str" cm="1">
        <f t="array" aca="1" ref="AJ57" ca="1">_xll.d.TestUtils_Equal(AH57,AI57,$AI$29)</f>
        <v>Ok</v>
      </c>
      <c r="AP57" s="203"/>
      <c r="AQ57" s="20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</row>
    <row r="58" spans="2:84">
      <c r="F58" s="503" t="s">
        <v>22</v>
      </c>
      <c r="G58" s="624" t="s">
        <v>66</v>
      </c>
      <c r="H58" s="624" t="s">
        <v>67</v>
      </c>
      <c r="I58" s="625" t="s">
        <v>68</v>
      </c>
      <c r="J58" s="203"/>
      <c r="K58" s="204"/>
      <c r="L58" s="713" t="s">
        <v>588</v>
      </c>
      <c r="M58" s="708">
        <v>6.5199999999999994E-2</v>
      </c>
      <c r="N58" s="221" t="b">
        <v>1</v>
      </c>
      <c r="Q58" s="725">
        <v>44771</v>
      </c>
      <c r="R58" s="279" cm="1">
        <f t="array" ref="R58">_xll.d.Dates_Act365(Q57,Q58)</f>
        <v>0.24931506849315069</v>
      </c>
      <c r="S58" s="607">
        <f ca="1"/>
        <v>6.5664565447619103E-2</v>
      </c>
      <c r="T58" s="727">
        <f ca="1"/>
        <v>0.8544743766924553</v>
      </c>
      <c r="U58" s="739"/>
      <c r="V58" s="739"/>
      <c r="W58" s="739"/>
      <c r="X58" s="739"/>
      <c r="Y58" s="739"/>
      <c r="Z58" s="203"/>
      <c r="AA58" s="204"/>
      <c r="AB58" s="771" t="s">
        <v>596</v>
      </c>
      <c r="AC58" s="275">
        <v>3.14E-3</v>
      </c>
      <c r="AD58" s="206" t="b">
        <v>1</v>
      </c>
      <c r="AE58" s="439"/>
      <c r="AG58" s="742" t="s">
        <v>588</v>
      </c>
      <c r="AH58" s="743">
        <f ca="1">SUMPRODUCT(AH$44:AH47,AI$44:AI47,AJ$44:AJ47)/SUMPRODUCT(AH$44:AH47,AJ$44:AJ47)</f>
        <v>1.5999999999999929E-3</v>
      </c>
      <c r="AI58" s="743">
        <f>AC56</f>
        <v>1.6000000000000001E-3</v>
      </c>
      <c r="AJ58" s="195" t="str" cm="1">
        <f t="array" aca="1" ref="AJ58" ca="1">_xll.d.TestUtils_Equal(AH58,AI58,$AI$29)</f>
        <v>Ok</v>
      </c>
      <c r="AK58" s="769"/>
      <c r="AP58" s="203"/>
      <c r="AQ58" s="20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</row>
    <row r="59" spans="2:84">
      <c r="F59" s="626" t="s">
        <v>49</v>
      </c>
      <c r="G59" s="194">
        <f ca="1">SUMPRODUCT(G44:G51,H44:H51,I44:I51)/SUMPRODUCT(G44:G51,I44:I51)</f>
        <v>9.999999999999995E-2</v>
      </c>
      <c r="H59" s="194">
        <f>C53</f>
        <v>0.1</v>
      </c>
      <c r="I59" s="195" t="str" cm="1">
        <f t="array" aca="1" ref="I59" ca="1">_xll.d.TestUtils_Equal(G59,H59,$G$28)</f>
        <v>Ok</v>
      </c>
      <c r="J59" s="203"/>
      <c r="K59" s="204"/>
      <c r="L59" s="740" t="s">
        <v>594</v>
      </c>
      <c r="M59" s="708">
        <v>6.6600000000000006E-2</v>
      </c>
      <c r="N59" s="221" t="b">
        <v>1</v>
      </c>
      <c r="Q59" s="725">
        <v>44865</v>
      </c>
      <c r="R59" s="279" cm="1">
        <f t="array" ref="R59">_xll.d.Dates_Act365(Q58,Q59)</f>
        <v>0.25753424657534246</v>
      </c>
      <c r="S59" s="607">
        <f ca="1"/>
        <v>6.5682192553250654E-2</v>
      </c>
      <c r="T59" s="727">
        <f ca="1"/>
        <v>0.84026101379899365</v>
      </c>
      <c r="U59" s="739"/>
      <c r="V59" s="739"/>
      <c r="W59" s="739"/>
      <c r="X59" s="739"/>
      <c r="Y59" s="739"/>
      <c r="Z59" s="203"/>
      <c r="AA59" s="204"/>
      <c r="AB59" s="771" t="s">
        <v>603</v>
      </c>
      <c r="AC59" s="275">
        <v>4.3299999999999996E-3</v>
      </c>
      <c r="AD59" s="206" t="b">
        <v>1</v>
      </c>
      <c r="AE59" s="439"/>
      <c r="AG59" s="744" t="s">
        <v>594</v>
      </c>
      <c r="AH59" s="743">
        <f ca="1">SUMPRODUCT(AH$44:AH48,AI$44:AI48,AJ$44:AJ48)/SUMPRODUCT(AH$44:AH48,AJ$44:AJ48)</f>
        <v>2.1299999999999835E-3</v>
      </c>
      <c r="AI59" s="745">
        <f>AC57</f>
        <v>2.1299999999999999E-3</v>
      </c>
      <c r="AJ59" s="195" t="str" cm="1">
        <f t="array" aca="1" ref="AJ59" ca="1">_xll.d.TestUtils_Equal(AH59,AI59,$AI$29)</f>
        <v>Ok</v>
      </c>
      <c r="AK59" s="769"/>
      <c r="AP59" s="203"/>
      <c r="AQ59" s="20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</row>
    <row r="60" spans="2:84">
      <c r="B60" s="439"/>
      <c r="C60" s="439"/>
      <c r="D60" s="439"/>
      <c r="E60" s="439"/>
      <c r="F60" s="627" t="s">
        <v>53</v>
      </c>
      <c r="G60" s="628">
        <f ca="1">SUMPRODUCT(G44:G55,H44:H55,I44:I55)/SUMPRODUCT(G44:G55,I44:I55)</f>
        <v>0.10000000000001162</v>
      </c>
      <c r="H60" s="628">
        <f>C54</f>
        <v>0.1</v>
      </c>
      <c r="I60" s="195" t="str" cm="1">
        <f t="array" aca="1" ref="I60" ca="1">_xll.d.TestUtils_Equal(G60,H60,$G$28)</f>
        <v>Ok</v>
      </c>
      <c r="J60" s="203"/>
      <c r="K60" s="204"/>
      <c r="L60" s="740" t="s">
        <v>595</v>
      </c>
      <c r="M60" s="708">
        <v>6.83E-2</v>
      </c>
      <c r="N60" s="221" t="b">
        <v>1</v>
      </c>
      <c r="Q60" s="725">
        <v>44957</v>
      </c>
      <c r="R60" s="279" cm="1">
        <f t="array" ref="R60">_xll.d.Dates_Act365(Q59,Q60)</f>
        <v>0.25205479452054796</v>
      </c>
      <c r="S60" s="607">
        <f ca="1"/>
        <v>6.567044044955346E-2</v>
      </c>
      <c r="T60" s="727">
        <f ca="1"/>
        <v>0.82657902369806091</v>
      </c>
      <c r="U60" s="739"/>
      <c r="V60" s="739"/>
      <c r="W60" s="739"/>
      <c r="X60" s="739"/>
      <c r="Y60" s="739"/>
      <c r="Z60" s="203"/>
      <c r="AA60" s="204"/>
      <c r="AB60" s="771" t="s">
        <v>604</v>
      </c>
      <c r="AC60" s="275">
        <v>4.8799999999999998E-3</v>
      </c>
      <c r="AD60" s="206" t="b">
        <v>1</v>
      </c>
      <c r="AE60" s="439"/>
      <c r="AG60" s="627" t="s">
        <v>596</v>
      </c>
      <c r="AH60" s="736">
        <f ca="1">SUMPRODUCT(AH$44:AH50,AI$44:AI50,AJ$44:AJ50)/SUMPRODUCT(AH$44:AH50,AJ$44:AJ50)</f>
        <v>3.1399999999999952E-3</v>
      </c>
      <c r="AI60" s="736">
        <f>AC58</f>
        <v>3.14E-3</v>
      </c>
      <c r="AJ60" s="195" t="str" cm="1">
        <f t="array" aca="1" ref="AJ60" ca="1">_xll.d.TestUtils_Equal(AH60,AI60,$AI$29)</f>
        <v>Ok</v>
      </c>
      <c r="AK60" s="769"/>
      <c r="AP60" s="203"/>
      <c r="AQ60" s="20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</row>
    <row r="61" spans="2:84">
      <c r="B61" s="439"/>
      <c r="C61" s="439"/>
      <c r="D61" s="439"/>
      <c r="E61" s="439"/>
      <c r="J61" s="203"/>
      <c r="K61" s="204"/>
      <c r="L61" s="740" t="s">
        <v>596</v>
      </c>
      <c r="M61" s="708">
        <v>6.9900000000000004E-2</v>
      </c>
      <c r="N61" s="221" t="b">
        <v>1</v>
      </c>
      <c r="Q61" s="725">
        <v>45044</v>
      </c>
      <c r="R61" s="279" cm="1">
        <f t="array" ref="R61">_xll.d.Dates_Act365(Q60,Q61)</f>
        <v>0.23835616438356164</v>
      </c>
      <c r="S61" s="607">
        <f ca="1"/>
        <v>6.9627409251456204E-2</v>
      </c>
      <c r="T61" s="727">
        <f ca="1"/>
        <v>0.81308496623525706</v>
      </c>
      <c r="U61" s="739"/>
      <c r="V61" s="739"/>
      <c r="W61" s="739"/>
      <c r="X61" s="739"/>
      <c r="Y61" s="739"/>
      <c r="Z61" s="203"/>
      <c r="AA61" s="204"/>
      <c r="AB61" s="771" t="s">
        <v>605</v>
      </c>
      <c r="AC61" s="275">
        <v>5.3300000000000005E-3</v>
      </c>
      <c r="AD61" s="206" t="b">
        <v>1</v>
      </c>
      <c r="AE61" s="439"/>
      <c r="AG61" s="439"/>
      <c r="AH61" s="439"/>
      <c r="AI61" s="439"/>
      <c r="AJ61" s="439"/>
      <c r="AK61" s="769"/>
      <c r="AP61" s="203"/>
      <c r="AQ61" s="20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</row>
    <row r="62" spans="2:84">
      <c r="B62" s="439"/>
      <c r="C62" s="439"/>
      <c r="D62" s="439"/>
      <c r="E62" s="439"/>
      <c r="F62" t="s">
        <v>214</v>
      </c>
      <c r="J62" s="203"/>
      <c r="K62" s="204"/>
      <c r="L62" s="741" t="s">
        <v>597</v>
      </c>
      <c r="M62" s="720">
        <v>7.17E-2</v>
      </c>
      <c r="N62" s="219" t="b">
        <v>1</v>
      </c>
      <c r="Q62" s="725">
        <v>45138</v>
      </c>
      <c r="R62" s="279" cm="1">
        <f t="array" ref="R62">_xll.d.Dates_Act365(Q61,Q62)</f>
        <v>0.25753424657534246</v>
      </c>
      <c r="S62" s="607">
        <f ca="1"/>
        <v>6.9673662080457208E-2</v>
      </c>
      <c r="T62" s="727">
        <f ca="1"/>
        <v>0.79875266436418613</v>
      </c>
      <c r="U62" s="739"/>
      <c r="V62" s="739"/>
      <c r="W62" s="739"/>
      <c r="X62" s="739"/>
      <c r="Y62" s="739"/>
      <c r="Z62" s="203"/>
      <c r="AA62" s="204"/>
      <c r="AB62" s="771" t="s">
        <v>606</v>
      </c>
      <c r="AC62" s="275">
        <v>5.8499999999999993E-3</v>
      </c>
      <c r="AD62" s="206" t="b">
        <v>1</v>
      </c>
      <c r="AE62" s="439"/>
      <c r="AG62" s="298" t="s">
        <v>214</v>
      </c>
      <c r="AH62" s="439"/>
      <c r="AI62" s="439"/>
      <c r="AJ62" s="439"/>
      <c r="AK62" s="769"/>
      <c r="AP62" s="203"/>
      <c r="AQ62" s="20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</row>
    <row r="63" spans="2:84">
      <c r="B63" s="439"/>
      <c r="C63" s="439"/>
      <c r="D63" s="439"/>
      <c r="E63" s="439"/>
      <c r="F63" s="268" t="s">
        <v>213</v>
      </c>
      <c r="J63" s="203"/>
      <c r="K63" s="204"/>
      <c r="Q63" s="725">
        <v>45230</v>
      </c>
      <c r="R63" s="279" cm="1">
        <f t="array" ref="R63">_xll.d.Dates_Act365(Q62,Q63)</f>
        <v>0.25205479452054796</v>
      </c>
      <c r="S63" s="607">
        <f ca="1"/>
        <v>6.9660442813186355E-2</v>
      </c>
      <c r="T63" s="727">
        <f ca="1"/>
        <v>0.78496996654839757</v>
      </c>
      <c r="U63" s="739"/>
      <c r="V63" s="739"/>
      <c r="W63" s="739"/>
      <c r="X63" s="739"/>
      <c r="Y63" s="739"/>
      <c r="Z63" s="203"/>
      <c r="AA63" s="204"/>
      <c r="AB63" s="771" t="s">
        <v>607</v>
      </c>
      <c r="AC63" s="275">
        <v>6.0599999999999994E-3</v>
      </c>
      <c r="AD63" s="206" t="b">
        <v>1</v>
      </c>
      <c r="AE63" s="439"/>
      <c r="AF63" s="439"/>
      <c r="AG63" s="268" t="s">
        <v>213</v>
      </c>
      <c r="AH63" s="439"/>
      <c r="AI63" s="439"/>
      <c r="AJ63" s="439"/>
      <c r="AK63" s="769"/>
      <c r="AP63" s="203"/>
      <c r="AQ63" s="20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</row>
    <row r="64" spans="2:84">
      <c r="B64" s="439"/>
      <c r="C64" s="439"/>
      <c r="D64" s="439"/>
      <c r="E64" s="439"/>
      <c r="J64" s="203"/>
      <c r="K64" s="204"/>
      <c r="Q64" s="725">
        <v>45322</v>
      </c>
      <c r="R64" s="279" cm="1">
        <f t="array" ref="R64">_xll.d.Dates_Act365(Q63,Q64)</f>
        <v>0.25205479452054796</v>
      </c>
      <c r="S64" s="607">
        <f ca="1"/>
        <v>6.9660442813186355E-2</v>
      </c>
      <c r="T64" s="727">
        <f ca="1"/>
        <v>0.77142509298979944</v>
      </c>
      <c r="U64" s="739"/>
      <c r="V64" s="739"/>
      <c r="W64" s="739"/>
      <c r="X64" s="739"/>
      <c r="Y64" s="739"/>
      <c r="Z64" s="203"/>
      <c r="AA64" s="204"/>
      <c r="AB64" s="772" t="s">
        <v>608</v>
      </c>
      <c r="AC64" s="276">
        <v>6.0999999999999995E-3</v>
      </c>
      <c r="AD64" s="207" t="b">
        <v>1</v>
      </c>
      <c r="AE64" s="439"/>
      <c r="AF64" s="439"/>
      <c r="AP64" s="203"/>
      <c r="AQ64" s="20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</row>
    <row r="65" spans="2:60">
      <c r="B65" s="439"/>
      <c r="C65" s="439"/>
      <c r="D65" s="439"/>
      <c r="E65" s="439"/>
      <c r="F65" s="268"/>
      <c r="G65" s="439"/>
      <c r="H65" s="439"/>
      <c r="I65" s="439"/>
      <c r="K65" s="204"/>
      <c r="Q65" s="725">
        <v>45412</v>
      </c>
      <c r="R65" s="279" cm="1">
        <f t="array" ref="R65">_xll.d.Dates_Act365(Q64,Q65)</f>
        <v>0.24657534246575341</v>
      </c>
      <c r="S65" s="607">
        <f ca="1"/>
        <v>7.3227894012922207E-2</v>
      </c>
      <c r="T65" s="727">
        <f ca="1"/>
        <v>0.75774313663670723</v>
      </c>
      <c r="U65" s="739"/>
      <c r="V65" s="739"/>
      <c r="W65" s="739"/>
      <c r="X65" s="739"/>
      <c r="Y65" s="739"/>
      <c r="Z65" s="203"/>
      <c r="AA65" s="204"/>
      <c r="AB65" s="1"/>
      <c r="AF65" s="439"/>
      <c r="AP65" s="203"/>
      <c r="AQ65" s="20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</row>
    <row r="66" spans="2:60">
      <c r="B66" s="439"/>
      <c r="C66" s="439"/>
      <c r="D66" s="439"/>
      <c r="E66" s="439"/>
      <c r="F66" s="268"/>
      <c r="G66" s="439"/>
      <c r="H66" s="439"/>
      <c r="I66" s="439"/>
      <c r="K66" s="204"/>
      <c r="Q66" s="725">
        <v>45504</v>
      </c>
      <c r="R66" s="279" cm="1">
        <f t="array" ref="R66">_xll.d.Dates_Act365(Q65,Q66)</f>
        <v>0.25205479452054796</v>
      </c>
      <c r="S66" s="607">
        <f ca="1"/>
        <v>7.3242499618464976E-2</v>
      </c>
      <c r="T66" s="727">
        <f ca="1"/>
        <v>0.74400791486493201</v>
      </c>
      <c r="U66" s="739"/>
      <c r="V66" s="739"/>
      <c r="W66" s="739"/>
      <c r="X66" s="739"/>
      <c r="Y66" s="739"/>
      <c r="Z66" s="203"/>
      <c r="AA66" s="204"/>
      <c r="AB66" s="1"/>
      <c r="AF66" s="439"/>
      <c r="AP66" s="203"/>
      <c r="AQ66" s="20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</row>
    <row r="67" spans="2:60">
      <c r="B67" s="439"/>
      <c r="C67" s="439"/>
      <c r="D67" s="439"/>
      <c r="E67" s="439"/>
      <c r="F67" s="268"/>
      <c r="G67" s="439"/>
      <c r="H67" s="439"/>
      <c r="I67" s="439"/>
      <c r="K67" s="204"/>
      <c r="Q67" s="725">
        <v>45596</v>
      </c>
      <c r="R67" s="279" cm="1">
        <f t="array" ref="R67">_xll.d.Dates_Act365(Q66,Q67)</f>
        <v>0.25205479452054796</v>
      </c>
      <c r="S67" s="607">
        <f ca="1"/>
        <v>7.3242499618465864E-2</v>
      </c>
      <c r="T67" s="727">
        <f ca="1"/>
        <v>0.7305216644239394</v>
      </c>
      <c r="U67" s="739"/>
      <c r="V67" s="739"/>
      <c r="W67" s="739"/>
      <c r="X67" s="739"/>
      <c r="Y67" s="739"/>
      <c r="Z67" s="203"/>
      <c r="AA67" s="204"/>
      <c r="AF67" s="439"/>
      <c r="AG67" s="439"/>
      <c r="AH67" s="439"/>
      <c r="AI67" s="439"/>
      <c r="AJ67" s="439"/>
      <c r="AP67" s="203"/>
      <c r="AQ67" s="20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</row>
    <row r="68" spans="2:60">
      <c r="B68" s="439"/>
      <c r="C68" s="439"/>
      <c r="D68" s="439"/>
      <c r="E68" s="439"/>
      <c r="F68" s="268"/>
      <c r="G68" s="439"/>
      <c r="H68" s="439"/>
      <c r="I68" s="439"/>
      <c r="K68" s="204"/>
      <c r="Q68" s="725">
        <v>45688</v>
      </c>
      <c r="R68" s="279" cm="1">
        <f t="array" ref="R68">_xll.d.Dates_Act365(Q67,Q68)</f>
        <v>0.25205479452054796</v>
      </c>
      <c r="S68" s="607">
        <f ca="1"/>
        <v>7.3242499618465864E-2</v>
      </c>
      <c r="T68" s="727">
        <f ca="1"/>
        <v>0.7172798723379229</v>
      </c>
      <c r="U68" s="739"/>
      <c r="V68" s="739"/>
      <c r="W68" s="739"/>
      <c r="X68" s="739"/>
      <c r="Y68" s="739"/>
      <c r="Z68" s="203"/>
      <c r="AA68" s="204"/>
      <c r="AF68" s="439"/>
      <c r="AG68" s="439"/>
      <c r="AH68" s="439"/>
      <c r="AI68" s="439"/>
      <c r="AJ68" s="439"/>
      <c r="AP68" s="203"/>
      <c r="AQ68" s="20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</row>
    <row r="69" spans="2:60">
      <c r="B69" s="439"/>
      <c r="C69" s="439"/>
      <c r="D69" s="439"/>
      <c r="E69" s="439"/>
      <c r="F69" s="268"/>
      <c r="G69" s="439"/>
      <c r="H69" s="439"/>
      <c r="I69" s="439"/>
      <c r="K69" s="204"/>
      <c r="Q69" s="725">
        <v>45777</v>
      </c>
      <c r="R69" s="279" cm="1">
        <f t="array" ref="R69">_xll.d.Dates_Act365(Q68,Q69)</f>
        <v>0.24383561643835616</v>
      </c>
      <c r="S69" s="607">
        <f ca="1"/>
        <v>7.8872625681809028E-2</v>
      </c>
      <c r="T69" s="727">
        <f ca="1"/>
        <v>0.70374547089678152</v>
      </c>
      <c r="U69" s="739"/>
      <c r="V69" s="739"/>
      <c r="W69" s="739"/>
      <c r="X69" s="739"/>
      <c r="Y69" s="739"/>
      <c r="Z69" s="203"/>
      <c r="AA69" s="204"/>
      <c r="AF69" s="439"/>
      <c r="AG69" s="439"/>
      <c r="AH69" s="439"/>
      <c r="AI69" s="439"/>
      <c r="AJ69" s="439"/>
      <c r="AP69" s="203"/>
      <c r="AQ69" s="20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</row>
    <row r="70" spans="2:60">
      <c r="B70" s="439"/>
      <c r="C70" s="439"/>
      <c r="D70" s="439"/>
      <c r="E70" s="439"/>
      <c r="F70" s="268"/>
      <c r="G70" s="439"/>
      <c r="H70" s="439"/>
      <c r="I70" s="439"/>
      <c r="J70" s="439"/>
      <c r="K70" s="204"/>
      <c r="Q70" s="725">
        <v>45869</v>
      </c>
      <c r="R70" s="279" cm="1">
        <f t="array" ref="R70">_xll.d.Dates_Act365(Q69,Q70)</f>
        <v>0.25205479452054796</v>
      </c>
      <c r="S70" s="607">
        <f ca="1"/>
        <v>7.8898034102052414E-2</v>
      </c>
      <c r="T70" s="727">
        <f ca="1"/>
        <v>0.69002323565414547</v>
      </c>
      <c r="U70" s="739"/>
      <c r="V70" s="739"/>
      <c r="W70" s="739"/>
      <c r="X70" s="739"/>
      <c r="Y70" s="739"/>
      <c r="Z70" s="203"/>
      <c r="AF70" s="439"/>
      <c r="AG70" s="439"/>
      <c r="AH70" s="439"/>
      <c r="AI70" s="439"/>
      <c r="AJ70" s="439"/>
      <c r="AP70" s="203"/>
      <c r="AQ70" s="20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</row>
    <row r="71" spans="2:60">
      <c r="B71" s="439"/>
      <c r="C71" s="439"/>
      <c r="D71" s="439"/>
      <c r="E71" s="439"/>
      <c r="F71" s="268"/>
      <c r="G71" s="439"/>
      <c r="H71" s="439"/>
      <c r="I71" s="439"/>
      <c r="J71" s="439"/>
      <c r="K71" s="204"/>
      <c r="Q71" s="725">
        <v>45961</v>
      </c>
      <c r="R71" s="279" cm="1">
        <f t="array" ref="R71">_xll.d.Dates_Act365(Q70,Q71)</f>
        <v>0.25205479452054796</v>
      </c>
      <c r="S71" s="607">
        <f ca="1"/>
        <v>7.8898034102052414E-2</v>
      </c>
      <c r="T71" s="727">
        <f ca="1"/>
        <v>0.67656856837157653</v>
      </c>
      <c r="U71" s="739"/>
      <c r="V71" s="739"/>
      <c r="W71" s="739"/>
      <c r="X71" s="739"/>
      <c r="Y71" s="739"/>
      <c r="Z71" s="203"/>
      <c r="AF71" s="439"/>
      <c r="AG71" s="439"/>
      <c r="AH71" s="439"/>
      <c r="AI71" s="439"/>
      <c r="AJ71" s="439"/>
      <c r="AP71" s="203"/>
      <c r="AQ71" s="20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</row>
    <row r="72" spans="2:60">
      <c r="B72" s="439"/>
      <c r="C72" s="439"/>
      <c r="D72" s="439"/>
      <c r="E72" s="439"/>
      <c r="F72" s="268"/>
      <c r="G72" s="439"/>
      <c r="H72" s="439"/>
      <c r="I72" s="439"/>
      <c r="J72" s="439"/>
      <c r="K72" s="204"/>
      <c r="Q72" s="725">
        <v>46052</v>
      </c>
      <c r="R72" s="279" cm="1">
        <f t="array" ref="R72">_xll.d.Dates_Act365(Q71,Q72)</f>
        <v>0.24931506849315069</v>
      </c>
      <c r="S72" s="607">
        <f ca="1"/>
        <v>7.8889563418133274E-2</v>
      </c>
      <c r="T72" s="727">
        <f ca="1"/>
        <v>0.66351825452723412</v>
      </c>
      <c r="U72" s="739"/>
      <c r="V72" s="739"/>
      <c r="W72" s="739"/>
      <c r="X72" s="739"/>
      <c r="Y72" s="739"/>
      <c r="Z72" s="203"/>
      <c r="AF72" s="439"/>
      <c r="AP72" s="203"/>
      <c r="AQ72" s="20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</row>
    <row r="73" spans="2:60" ht="15.75">
      <c r="B73" s="4" t="s">
        <v>640</v>
      </c>
      <c r="C73" s="4"/>
      <c r="D73" s="4"/>
      <c r="E73" s="4"/>
      <c r="F73" s="4"/>
      <c r="G73" s="4"/>
      <c r="H73" s="4"/>
      <c r="I73" s="4"/>
      <c r="J73" s="439"/>
      <c r="K73" s="204"/>
      <c r="Q73" s="725">
        <v>46142</v>
      </c>
      <c r="R73" s="279" cm="1">
        <f t="array" ref="R73">_xll.d.Dates_Act365(Q72,Q73)</f>
        <v>0.24657534246575341</v>
      </c>
      <c r="S73" s="607">
        <f ca="1"/>
        <v>8.2421416322325455E-2</v>
      </c>
      <c r="T73" s="727">
        <f ca="1"/>
        <v>0.65030210695910651</v>
      </c>
      <c r="U73" s="739"/>
      <c r="V73" s="739"/>
      <c r="W73" s="739"/>
      <c r="X73" s="739"/>
      <c r="Y73" s="739"/>
      <c r="Z73" s="203"/>
      <c r="AF73" s="439"/>
      <c r="AP73" s="203"/>
      <c r="AQ73" s="20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</row>
    <row r="74" spans="2:60">
      <c r="B74" s="439"/>
      <c r="C74" s="439"/>
      <c r="D74" s="439"/>
      <c r="E74" s="439"/>
      <c r="J74" s="439"/>
      <c r="K74" s="204"/>
      <c r="Q74" s="725">
        <v>46234</v>
      </c>
      <c r="R74" s="279" cm="1">
        <f t="array" ref="R74">_xll.d.Dates_Act365(Q73,Q74)</f>
        <v>0.25205479452054796</v>
      </c>
      <c r="S74" s="607">
        <f ca="1"/>
        <v>8.2439906018469941E-2</v>
      </c>
      <c r="T74" s="727">
        <f ca="1"/>
        <v>0.63706430967903849</v>
      </c>
      <c r="U74" s="739"/>
      <c r="V74" s="739"/>
      <c r="W74" s="739"/>
      <c r="X74" s="739"/>
      <c r="Y74" s="739"/>
      <c r="Z74" s="203"/>
      <c r="AF74" s="439"/>
      <c r="AP74" s="203"/>
      <c r="AQ74" s="20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</row>
    <row r="75" spans="2:60">
      <c r="B75" s="50" t="s">
        <v>107</v>
      </c>
      <c r="C75" s="300" t="str" cm="1">
        <f t="array" aca="1" ref="C75" ca="1">_xll.d.TestUtils_And(F86:F98)</f>
        <v>Ok</v>
      </c>
      <c r="D75" s="298"/>
      <c r="E75" s="298"/>
      <c r="F75" s="298"/>
      <c r="J75" s="439"/>
      <c r="K75" s="204"/>
      <c r="Q75" s="725">
        <v>46325</v>
      </c>
      <c r="R75" s="279" cm="1">
        <f t="array" ref="R75">_xll.d.Dates_Act365(Q74,Q75)</f>
        <v>0.24931506849315069</v>
      </c>
      <c r="S75" s="607">
        <f ca="1"/>
        <v>8.2430660480342144E-2</v>
      </c>
      <c r="T75" s="727">
        <f ca="1"/>
        <v>0.62423551712172753</v>
      </c>
      <c r="U75" s="739"/>
      <c r="V75" s="739"/>
      <c r="W75" s="739"/>
      <c r="X75" s="739"/>
      <c r="Y75" s="739"/>
      <c r="Z75" s="203"/>
      <c r="AF75" s="439"/>
      <c r="AP75" s="203"/>
      <c r="AQ75" s="20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</row>
    <row r="76" spans="2:60">
      <c r="B76" s="298"/>
      <c r="C76" s="298"/>
      <c r="D76" s="298"/>
      <c r="E76" s="298"/>
      <c r="F76" s="298"/>
      <c r="H76" s="806"/>
      <c r="J76" s="439"/>
      <c r="K76" s="204"/>
      <c r="Q76" s="725">
        <v>46416</v>
      </c>
      <c r="R76" s="279" cm="1">
        <f t="array" ref="R76">_xll.d.Dates_Act365(Q75,Q76)</f>
        <v>0.24931506849315069</v>
      </c>
      <c r="S76" s="607">
        <f ca="1"/>
        <v>8.2430660480341256E-2</v>
      </c>
      <c r="T76" s="727">
        <f ca="1"/>
        <v>0.61166506256260311</v>
      </c>
      <c r="U76" s="739"/>
      <c r="V76" s="739"/>
      <c r="W76" s="739"/>
      <c r="X76" s="739"/>
      <c r="Y76" s="739"/>
      <c r="Z76" s="203"/>
      <c r="AF76" s="439"/>
      <c r="AP76" s="203"/>
      <c r="AQ76" s="20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</row>
    <row r="77" spans="2:60">
      <c r="B77" s="12" t="s">
        <v>29</v>
      </c>
      <c r="C77" s="27" t="s">
        <v>30</v>
      </c>
      <c r="D77" s="298"/>
      <c r="E77" s="298"/>
      <c r="F77" s="298"/>
      <c r="G77" s="439"/>
      <c r="H77" s="806"/>
      <c r="I77" s="439"/>
      <c r="J77" s="439"/>
      <c r="K77" s="204"/>
      <c r="Q77" s="725">
        <v>46507</v>
      </c>
      <c r="R77" s="279" cm="1">
        <f t="array" ref="R77">_xll.d.Dates_Act365(Q76,Q77)</f>
        <v>0.24931506849315069</v>
      </c>
      <c r="S77" s="607">
        <f ca="1"/>
        <v>8.8869984700953766E-2</v>
      </c>
      <c r="T77" s="727">
        <f ca="1"/>
        <v>0.59840639566474352</v>
      </c>
      <c r="U77" s="739"/>
      <c r="V77" s="739"/>
      <c r="W77" s="739"/>
      <c r="X77" s="739"/>
      <c r="Y77" s="739"/>
      <c r="Z77" s="203"/>
      <c r="AF77" s="439"/>
      <c r="AP77" s="203"/>
      <c r="AQ77" s="20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</row>
    <row r="78" spans="2:60">
      <c r="B78" s="918" t="s">
        <v>3</v>
      </c>
      <c r="C78" s="919" t="s">
        <v>703</v>
      </c>
      <c r="D78" s="298"/>
      <c r="E78" s="298"/>
      <c r="F78" s="298"/>
      <c r="G78" s="439"/>
      <c r="H78" s="806"/>
      <c r="I78" s="439"/>
      <c r="J78" s="439"/>
      <c r="K78" s="204"/>
      <c r="Q78" s="725">
        <v>46598</v>
      </c>
      <c r="R78" s="279" cm="1">
        <f t="array" ref="R78">_xll.d.Dates_Act365(Q77,Q78)</f>
        <v>0.24931506849315069</v>
      </c>
      <c r="S78" s="607">
        <f ca="1"/>
        <v>8.8869984700953766E-2</v>
      </c>
      <c r="T78" s="727">
        <f ca="1"/>
        <v>0.58543512829101552</v>
      </c>
      <c r="U78" s="739"/>
      <c r="Z78" s="203"/>
      <c r="AF78" s="439"/>
      <c r="AP78" s="203"/>
      <c r="AQ78" s="20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</row>
    <row r="79" spans="2:60">
      <c r="B79" s="920" t="s">
        <v>44</v>
      </c>
      <c r="C79" s="921" t="s">
        <v>641</v>
      </c>
      <c r="D79" s="298"/>
      <c r="E79" s="298"/>
      <c r="F79" s="298"/>
      <c r="H79" s="806"/>
      <c r="J79" s="439"/>
      <c r="K79" s="204"/>
      <c r="Q79" s="725">
        <v>46689</v>
      </c>
      <c r="R79" s="279" cm="1">
        <f t="array" ref="R79">_xll.d.Dates_Act365(Q78,Q79)</f>
        <v>0.24931506849315069</v>
      </c>
      <c r="S79" s="607">
        <f ca="1"/>
        <v>8.8869984700953766E-2</v>
      </c>
      <c r="T79" s="727">
        <f ca="1"/>
        <v>0.57274503066831239</v>
      </c>
      <c r="U79" s="739"/>
      <c r="Z79" s="203"/>
      <c r="AF79" s="439"/>
      <c r="AP79" s="203"/>
      <c r="AQ79" s="20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</row>
    <row r="80" spans="2:60">
      <c r="B80" s="922" t="s">
        <v>31</v>
      </c>
      <c r="C80" s="923">
        <v>45016</v>
      </c>
      <c r="D80" s="298"/>
      <c r="E80" s="298"/>
      <c r="F80" s="298"/>
      <c r="H80" s="806"/>
      <c r="J80" s="439"/>
      <c r="K80" s="204"/>
      <c r="Q80" s="728">
        <v>46783</v>
      </c>
      <c r="R80" s="640" cm="1">
        <f t="array" ref="R80">_xll.d.Dates_Act365(Q79,Q80)</f>
        <v>0.25753424657534246</v>
      </c>
      <c r="S80" s="729">
        <f ca="1"/>
        <v>8.8902212401088004E-2</v>
      </c>
      <c r="T80" s="328">
        <f ca="1"/>
        <v>0.5599253361228067</v>
      </c>
      <c r="U80" s="739"/>
      <c r="Z80" s="203"/>
      <c r="AP80" s="203"/>
      <c r="AQ80" s="20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</row>
    <row r="81" spans="2:60">
      <c r="B81" s="924"/>
      <c r="C81" s="925"/>
      <c r="D81" s="926"/>
      <c r="E81" s="927"/>
      <c r="F81" s="298"/>
      <c r="H81" s="806"/>
      <c r="J81" s="439"/>
      <c r="K81" s="204"/>
      <c r="U81" s="739"/>
      <c r="Z81" s="203"/>
      <c r="AP81" s="203"/>
      <c r="AQ81" s="20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</row>
    <row r="82" spans="2:60">
      <c r="B82" s="56" t="s">
        <v>12</v>
      </c>
      <c r="C82" s="208" t="str" cm="1">
        <f t="array" ref="C82">_xll.d.Curve_Get(C78,C79,C80)</f>
        <v>@@OmicronZARSwapCurve::09:14:24</v>
      </c>
      <c r="D82" s="928"/>
      <c r="E82" s="927"/>
      <c r="F82" s="298"/>
      <c r="H82" s="806"/>
      <c r="J82" s="439"/>
      <c r="K82" s="204"/>
      <c r="Q82" s="294" t="s">
        <v>553</v>
      </c>
      <c r="R82" s="295"/>
      <c r="S82" s="295"/>
      <c r="T82" s="296"/>
      <c r="U82" s="739"/>
      <c r="Z82" s="203"/>
      <c r="AP82" s="203"/>
      <c r="AQ82" s="20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</row>
    <row r="83" spans="2:60">
      <c r="B83" s="733" t="s">
        <v>718</v>
      </c>
      <c r="C83" s="925"/>
      <c r="D83" s="298"/>
      <c r="E83" s="927"/>
      <c r="F83" s="298"/>
      <c r="H83" s="806"/>
      <c r="J83" s="439"/>
      <c r="K83" s="204"/>
      <c r="Q83" s="503" t="s">
        <v>22</v>
      </c>
      <c r="R83" s="624" t="s">
        <v>66</v>
      </c>
      <c r="S83" s="624" t="s">
        <v>67</v>
      </c>
      <c r="T83" s="625" t="s">
        <v>68</v>
      </c>
      <c r="U83" s="739"/>
      <c r="Z83" s="203"/>
      <c r="AP83" s="203"/>
      <c r="AQ83" s="20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</row>
    <row r="84" spans="2:60">
      <c r="B84" s="49" t="s">
        <v>66</v>
      </c>
      <c r="C84" s="187"/>
      <c r="D84" s="841" t="s">
        <v>67</v>
      </c>
      <c r="E84" s="50"/>
      <c r="F84" s="841" t="s">
        <v>189</v>
      </c>
      <c r="H84" s="806"/>
      <c r="J84" s="439"/>
      <c r="K84" s="204"/>
      <c r="Q84" s="626" t="s">
        <v>53</v>
      </c>
      <c r="R84" s="735">
        <f ca="1">SUMPRODUCT(R49:R60,S49:S60,T49:T60)/SUMPRODUCT(R49:R60,T49:T60)</f>
        <v>6.3900000000075619E-2</v>
      </c>
      <c r="S84" s="735">
        <f t="shared" ref="S84:S89" si="0">M57</f>
        <v>6.3899999999999998E-2</v>
      </c>
      <c r="T84" s="195" t="str" cm="1">
        <f t="array" aca="1" ref="T84" ca="1">_xll.d.TestUtils_Equal(R84,S84,$S$29)</f>
        <v>Ok</v>
      </c>
      <c r="U84" s="739"/>
      <c r="Z84" s="203"/>
      <c r="AP84" s="203"/>
      <c r="AQ84" s="20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</row>
    <row r="85" spans="2:60">
      <c r="B85" s="842" t="s">
        <v>0</v>
      </c>
      <c r="C85" s="843" t="s">
        <v>2</v>
      </c>
      <c r="D85" s="844" t="s">
        <v>0</v>
      </c>
      <c r="E85" s="845" t="s">
        <v>2</v>
      </c>
      <c r="F85" s="845"/>
      <c r="H85" s="806"/>
      <c r="J85" s="439"/>
      <c r="K85" s="204"/>
      <c r="Q85" s="742" t="s">
        <v>588</v>
      </c>
      <c r="R85" s="743">
        <f ca="1">SUMPRODUCT(R49:R64,S49:S64,T49:T64)/SUMPRODUCT(R49:R64,T49:T64)</f>
        <v>6.5199999999998454E-2</v>
      </c>
      <c r="S85" s="743">
        <f t="shared" si="0"/>
        <v>6.5199999999999994E-2</v>
      </c>
      <c r="T85" s="195" t="str" cm="1">
        <f t="array" aca="1" ref="T85" ca="1">_xll.d.TestUtils_Equal(R85,S85,$S$29)</f>
        <v>Ok</v>
      </c>
      <c r="U85" s="739"/>
      <c r="Z85" s="203"/>
      <c r="AP85" s="203"/>
      <c r="AQ85" s="20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</row>
    <row r="86" spans="2:60">
      <c r="B86" s="846">
        <f>C80</f>
        <v>45016</v>
      </c>
      <c r="C86" s="847" cm="1">
        <f t="array" aca="1" ref="C86:C98" ca="1">_xll.d.Curve_GetDiscountFactors(C82,B86:B98)</f>
        <v>1</v>
      </c>
      <c r="D86" s="848">
        <f>B86</f>
        <v>45016</v>
      </c>
      <c r="E86" s="849">
        <v>1</v>
      </c>
      <c r="F86" s="164" t="str" cm="1">
        <f t="array" aca="1" ref="F86" ca="1">_xll.d.TestUtils_Equal(C86,E86)</f>
        <v>Ok</v>
      </c>
      <c r="H86" s="806"/>
      <c r="I86" s="439"/>
      <c r="J86" s="439"/>
      <c r="K86" s="204"/>
      <c r="Q86" s="744" t="s">
        <v>594</v>
      </c>
      <c r="R86" s="743">
        <f ca="1">SUMPRODUCT(R49:R68,S49:S68,T49:T68)/SUMPRODUCT(R49:R68,T49:T68)</f>
        <v>6.659999999998896E-2</v>
      </c>
      <c r="S86" s="745">
        <f t="shared" si="0"/>
        <v>6.6600000000000006E-2</v>
      </c>
      <c r="T86" s="195" t="str" cm="1">
        <f t="array" aca="1" ref="T86" ca="1">_xll.d.TestUtils_Equal(R86,S86,$S$29)</f>
        <v>Ok</v>
      </c>
      <c r="U86" s="739"/>
      <c r="Z86" s="203"/>
      <c r="AP86" s="203"/>
      <c r="AQ86" s="20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</row>
    <row r="87" spans="2:60">
      <c r="B87" s="850">
        <f>EDATE(B86,1)</f>
        <v>45046</v>
      </c>
      <c r="C87" s="851">
        <f ca="1"/>
        <v>0.99360206292623832</v>
      </c>
      <c r="D87" s="852">
        <f t="shared" ref="D87:D98" si="1">B87</f>
        <v>45046</v>
      </c>
      <c r="E87" s="853">
        <v>0.99360206292619835</v>
      </c>
      <c r="F87" s="164" t="str" cm="1">
        <f t="array" aca="1" ref="F87" ca="1">_xll.d.TestUtils_Equal(C87,E87)</f>
        <v>Ok</v>
      </c>
      <c r="J87" s="439"/>
      <c r="K87" s="204"/>
      <c r="Q87" s="742" t="s">
        <v>595</v>
      </c>
      <c r="R87" s="743">
        <f ca="1">SUMPRODUCT(R49:R72,S49:S72,T49:T72)/SUMPRODUCT(R49:R72,T49:T72)</f>
        <v>6.8299999999972105E-2</v>
      </c>
      <c r="S87" s="743">
        <f t="shared" si="0"/>
        <v>6.83E-2</v>
      </c>
      <c r="T87" s="195" t="str" cm="1">
        <f t="array" aca="1" ref="T87" ca="1">_xll.d.TestUtils_Equal(R87,S87,$S$29)</f>
        <v>Ok</v>
      </c>
      <c r="U87" s="739"/>
      <c r="Z87" s="203"/>
      <c r="AP87" s="203"/>
      <c r="AQ87" s="20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</row>
    <row r="88" spans="2:60">
      <c r="B88" s="850">
        <f t="shared" ref="B88:B98" si="2">EDATE(B87,1)</f>
        <v>45076</v>
      </c>
      <c r="C88" s="851">
        <f ca="1"/>
        <v>0.98715921592482847</v>
      </c>
      <c r="D88" s="852">
        <f t="shared" si="1"/>
        <v>45076</v>
      </c>
      <c r="E88" s="853">
        <v>0.98715921592479683</v>
      </c>
      <c r="F88" s="164" t="str" cm="1">
        <f t="array" aca="1" ref="F88" ca="1">_xll.d.TestUtils_Equal(C88,E88)</f>
        <v>Ok</v>
      </c>
      <c r="G88" s="439"/>
      <c r="J88" s="439"/>
      <c r="K88" s="204"/>
      <c r="Q88" s="744" t="s">
        <v>596</v>
      </c>
      <c r="R88" s="743">
        <f ca="1">SUMPRODUCT(R49:R76,S49:S76,T49:T76)/SUMPRODUCT(R49:R76,T49:T76)</f>
        <v>6.9899999999974857E-2</v>
      </c>
      <c r="S88" s="745">
        <f t="shared" si="0"/>
        <v>6.9900000000000004E-2</v>
      </c>
      <c r="T88" s="195" t="str" cm="1">
        <f t="array" aca="1" ref="T88" ca="1">_xll.d.TestUtils_Equal(R88,S88,$S$29)</f>
        <v>Ok</v>
      </c>
      <c r="U88" s="739"/>
      <c r="Z88" s="203"/>
      <c r="AP88" s="203"/>
      <c r="AQ88" s="20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</row>
    <row r="89" spans="2:60">
      <c r="B89" s="850">
        <f t="shared" si="2"/>
        <v>45107</v>
      </c>
      <c r="C89" s="851">
        <f ca="1"/>
        <v>0.98054549384544809</v>
      </c>
      <c r="D89" s="852">
        <f t="shared" si="1"/>
        <v>45107</v>
      </c>
      <c r="E89" s="853">
        <v>0.980545493845425</v>
      </c>
      <c r="F89" s="164" t="str" cm="1">
        <f t="array" aca="1" ref="F89" ca="1">_xll.d.TestUtils_Equal(C89,E89)</f>
        <v>Ok</v>
      </c>
      <c r="J89" s="439"/>
      <c r="K89" s="204"/>
      <c r="Q89" s="627" t="s">
        <v>597</v>
      </c>
      <c r="R89" s="736">
        <f ca="1">SUMPRODUCT(R49:R80,S49:S80,T49:T80)/SUMPRODUCT(R49:R80,T49:T80)</f>
        <v>7.1699999999962502E-2</v>
      </c>
      <c r="S89" s="736">
        <f t="shared" si="0"/>
        <v>7.17E-2</v>
      </c>
      <c r="T89" s="195" t="str" cm="1">
        <f t="array" aca="1" ref="T89" ca="1">_xll.d.TestUtils_Equal(R89,S89,$S$29)</f>
        <v>Ok</v>
      </c>
      <c r="U89" s="739"/>
    </row>
    <row r="90" spans="2:60">
      <c r="B90" s="850">
        <f t="shared" si="2"/>
        <v>45137</v>
      </c>
      <c r="C90" s="851">
        <f ca="1"/>
        <v>0.97404099755707096</v>
      </c>
      <c r="D90" s="852">
        <f t="shared" si="1"/>
        <v>45137</v>
      </c>
      <c r="E90" s="853">
        <v>0.97404099755704809</v>
      </c>
      <c r="F90" s="164" t="str" cm="1">
        <f t="array" aca="1" ref="F90" ca="1">_xll.d.TestUtils_Equal(C90,E90)</f>
        <v>Ok</v>
      </c>
      <c r="J90" s="439"/>
      <c r="K90" s="204"/>
      <c r="AR90" s="903"/>
    </row>
    <row r="91" spans="2:60">
      <c r="B91" s="850">
        <f t="shared" si="2"/>
        <v>45168</v>
      </c>
      <c r="C91" s="851">
        <f ca="1"/>
        <v>0.96736501063794622</v>
      </c>
      <c r="D91" s="852">
        <f t="shared" si="1"/>
        <v>45168</v>
      </c>
      <c r="E91" s="853">
        <v>0.96736501063792357</v>
      </c>
      <c r="F91" s="164" t="str" cm="1">
        <f t="array" aca="1" ref="F91" ca="1">_xll.d.TestUtils_Equal(C91,E91)</f>
        <v>Ok</v>
      </c>
      <c r="J91" s="439"/>
      <c r="K91" s="204"/>
      <c r="Q91" s="298" t="s">
        <v>214</v>
      </c>
    </row>
    <row r="92" spans="2:60">
      <c r="B92" s="850">
        <f t="shared" si="2"/>
        <v>45199</v>
      </c>
      <c r="C92" s="851">
        <f ca="1"/>
        <v>0.96073374854956706</v>
      </c>
      <c r="D92" s="852">
        <f t="shared" si="1"/>
        <v>45199</v>
      </c>
      <c r="E92" s="853">
        <v>0.96073374854954563</v>
      </c>
      <c r="F92" s="164" t="str" cm="1">
        <f t="array" aca="1" ref="F92" ca="1">_xll.d.TestUtils_Equal(C92,E92)</f>
        <v>Ok</v>
      </c>
      <c r="J92" s="439"/>
      <c r="K92" s="204"/>
      <c r="Q92" s="268" t="s">
        <v>213</v>
      </c>
    </row>
    <row r="93" spans="2:60">
      <c r="B93" s="850">
        <f t="shared" si="2"/>
        <v>45229</v>
      </c>
      <c r="C93" s="851">
        <f ca="1"/>
        <v>0.95432992729212318</v>
      </c>
      <c r="D93" s="852">
        <f t="shared" si="1"/>
        <v>45229</v>
      </c>
      <c r="E93" s="853">
        <v>0.95432992729213328</v>
      </c>
      <c r="F93" s="164" t="str" cm="1">
        <f t="array" aca="1" ref="F93" ca="1">_xll.d.TestUtils_Equal(C93,E93)</f>
        <v>Ok</v>
      </c>
      <c r="J93" s="439"/>
      <c r="K93" s="204"/>
    </row>
    <row r="94" spans="2:60">
      <c r="B94" s="850">
        <f t="shared" si="2"/>
        <v>45260</v>
      </c>
      <c r="C94" s="851">
        <f ca="1"/>
        <v>0.94775748497073764</v>
      </c>
      <c r="D94" s="852">
        <f t="shared" si="1"/>
        <v>45260</v>
      </c>
      <c r="E94" s="853">
        <v>0.94775748497078005</v>
      </c>
      <c r="F94" s="164" t="str" cm="1">
        <f t="array" aca="1" ref="F94" ca="1">_xll.d.TestUtils_Equal(C94,E94)</f>
        <v>Ok</v>
      </c>
      <c r="J94" s="439"/>
      <c r="K94" s="204"/>
    </row>
    <row r="95" spans="2:60">
      <c r="B95" s="850">
        <f t="shared" si="2"/>
        <v>45290</v>
      </c>
      <c r="C95" s="851">
        <f ca="1"/>
        <v>0.94144380075975365</v>
      </c>
      <c r="D95" s="852">
        <f t="shared" si="1"/>
        <v>45290</v>
      </c>
      <c r="E95" s="853">
        <v>0.94144380075982581</v>
      </c>
      <c r="F95" s="164" t="str" cm="1">
        <f t="array" aca="1" ref="F95" ca="1">_xll.d.TestUtils_Equal(C95,E95)</f>
        <v>Ok</v>
      </c>
      <c r="J95" s="439"/>
      <c r="K95" s="204"/>
    </row>
    <row r="96" spans="2:60">
      <c r="B96" s="850">
        <f t="shared" si="2"/>
        <v>45321</v>
      </c>
      <c r="C96" s="851">
        <f ca="1"/>
        <v>0.93507226945881949</v>
      </c>
      <c r="D96" s="852">
        <f t="shared" si="1"/>
        <v>45321</v>
      </c>
      <c r="E96" s="853">
        <v>0.93507226945889121</v>
      </c>
      <c r="F96" s="164" t="str" cm="1">
        <f t="array" aca="1" ref="F96" ca="1">_xll.d.TestUtils_Equal(C96,E96)</f>
        <v>Ok</v>
      </c>
      <c r="J96" s="439"/>
      <c r="K96" s="204"/>
    </row>
    <row r="97" spans="2:11">
      <c r="B97" s="850">
        <f t="shared" si="2"/>
        <v>45351</v>
      </c>
      <c r="C97" s="851">
        <f ca="1"/>
        <v>0.92894733177189004</v>
      </c>
      <c r="D97" s="852">
        <f t="shared" si="1"/>
        <v>45351</v>
      </c>
      <c r="E97" s="853">
        <v>0.92894733177196143</v>
      </c>
      <c r="F97" s="164" t="str" cm="1">
        <f t="array" aca="1" ref="F97" ca="1">_xll.d.TestUtils_Equal(C97,E97)</f>
        <v>Ok</v>
      </c>
      <c r="J97" s="439"/>
      <c r="K97" s="204"/>
    </row>
    <row r="98" spans="2:11">
      <c r="B98" s="854">
        <f t="shared" si="2"/>
        <v>45380</v>
      </c>
      <c r="C98" s="855">
        <f ca="1"/>
        <v>0.92307131168988987</v>
      </c>
      <c r="D98" s="856">
        <f t="shared" si="1"/>
        <v>45380</v>
      </c>
      <c r="E98" s="857">
        <v>0.92307131168996104</v>
      </c>
      <c r="F98" s="164" t="str" cm="1">
        <f t="array" aca="1" ref="F98" ca="1">_xll.d.TestUtils_Equal(C98,E98)</f>
        <v>Ok</v>
      </c>
      <c r="J98" s="439"/>
      <c r="K98" s="204"/>
    </row>
    <row r="99" spans="2:11">
      <c r="J99" s="439"/>
      <c r="K99" s="204"/>
    </row>
    <row r="100" spans="2:11">
      <c r="J100" s="439"/>
      <c r="K100" s="204"/>
    </row>
    <row r="101" spans="2:11" ht="15.75">
      <c r="B101" s="4" t="s">
        <v>636</v>
      </c>
      <c r="C101" s="4"/>
      <c r="D101" s="4"/>
      <c r="E101" s="4"/>
      <c r="F101" s="4"/>
      <c r="G101" s="4"/>
      <c r="H101" s="4"/>
      <c r="I101" s="4"/>
      <c r="J101" s="4"/>
      <c r="K101" s="204"/>
    </row>
    <row r="102" spans="2:11">
      <c r="C102" s="164"/>
      <c r="K102" s="204"/>
    </row>
    <row r="103" spans="2:11">
      <c r="B103" s="50" t="s">
        <v>107</v>
      </c>
      <c r="C103" s="164" t="str" cm="1">
        <f t="array" aca="1" ref="C103" ca="1">_xll.d.TestUtils_And(H106:J121)</f>
        <v>Ok</v>
      </c>
      <c r="D103" s="439"/>
      <c r="E103" s="439"/>
      <c r="F103" s="439"/>
      <c r="G103" s="439"/>
      <c r="H103" s="439"/>
      <c r="K103" s="204"/>
    </row>
    <row r="104" spans="2:11">
      <c r="B104" s="439"/>
      <c r="C104" s="439"/>
      <c r="D104" s="439"/>
      <c r="E104" s="439"/>
      <c r="F104" s="439"/>
      <c r="G104" s="439"/>
      <c r="H104" s="439"/>
      <c r="K104" s="204"/>
    </row>
    <row r="105" spans="2:11">
      <c r="B105" s="12" t="s">
        <v>66</v>
      </c>
      <c r="C105" s="27"/>
      <c r="D105" s="13"/>
      <c r="E105" s="12" t="s">
        <v>67</v>
      </c>
      <c r="F105" s="27"/>
      <c r="G105" s="13"/>
      <c r="H105" s="12" t="s">
        <v>189</v>
      </c>
      <c r="I105" s="27"/>
      <c r="J105" s="13"/>
      <c r="K105" s="204"/>
    </row>
    <row r="106" spans="2:11">
      <c r="B106" s="831" t="str" cm="1">
        <f t="array" aca="1" ref="B106:D121" ca="1">_xll.d.Curve_GetInstruments(B29)</f>
        <v>Deposits</v>
      </c>
      <c r="C106" s="832" t="str">
        <f ca="1"/>
        <v/>
      </c>
      <c r="D106" s="838" t="str">
        <f ca="1"/>
        <v/>
      </c>
      <c r="E106" s="832" t="str">
        <f t="shared" ref="E106:E121" si="3">IF(B39&lt;&gt;"",B39,"")</f>
        <v>Deposits</v>
      </c>
      <c r="F106" s="832" t="str">
        <f t="shared" ref="F106:F121" si="4">IF(C39&lt;&gt;"",C39,"")</f>
        <v/>
      </c>
      <c r="G106" s="76" t="str">
        <f t="shared" ref="G106:G121" si="5">IF(D39&lt;&gt;"",D39,"")</f>
        <v/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204"/>
    </row>
    <row r="107" spans="2:11">
      <c r="B107" s="77" t="str">
        <f ca="1"/>
        <v>Tenors</v>
      </c>
      <c r="C107" s="54" t="str">
        <f ca="1"/>
        <v>Rates</v>
      </c>
      <c r="D107" s="839" t="str">
        <f ca="1"/>
        <v>Include</v>
      </c>
      <c r="E107" s="54" t="str">
        <f t="shared" si="3"/>
        <v>Tenors</v>
      </c>
      <c r="F107" s="54" t="str">
        <f t="shared" si="4"/>
        <v>Rates</v>
      </c>
      <c r="G107" s="78" t="str">
        <f t="shared" si="5"/>
        <v>Include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204"/>
    </row>
    <row r="108" spans="2:11">
      <c r="B108" s="77" t="str">
        <f ca="1"/>
        <v>1m</v>
      </c>
      <c r="C108" s="833">
        <f ca="1"/>
        <v>0.1</v>
      </c>
      <c r="D108" s="839" t="b">
        <f ca="1"/>
        <v>1</v>
      </c>
      <c r="E108" s="54" t="str">
        <f t="shared" si="3"/>
        <v>1m</v>
      </c>
      <c r="F108" s="54">
        <f t="shared" si="4"/>
        <v>0.1</v>
      </c>
      <c r="G108" s="78" t="b">
        <f t="shared" si="5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204"/>
    </row>
    <row r="109" spans="2:11">
      <c r="B109" s="77" t="str">
        <f ca="1"/>
        <v>2m</v>
      </c>
      <c r="C109" s="833">
        <f ca="1"/>
        <v>0.1</v>
      </c>
      <c r="D109" s="839" t="b">
        <f ca="1"/>
        <v>1</v>
      </c>
      <c r="E109" s="54" t="str">
        <f t="shared" si="3"/>
        <v>2m</v>
      </c>
      <c r="F109" s="54">
        <f t="shared" si="4"/>
        <v>0.1</v>
      </c>
      <c r="G109" s="78" t="b">
        <f t="shared" si="5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204"/>
    </row>
    <row r="110" spans="2:11">
      <c r="B110" s="834" t="str">
        <f ca="1"/>
        <v>3m</v>
      </c>
      <c r="C110" s="833">
        <f ca="1"/>
        <v>0.1</v>
      </c>
      <c r="D110" s="839" t="b">
        <f ca="1"/>
        <v>1</v>
      </c>
      <c r="E110" s="54" t="str">
        <f t="shared" si="3"/>
        <v>3m</v>
      </c>
      <c r="F110" s="54">
        <f t="shared" si="4"/>
        <v>0.1</v>
      </c>
      <c r="G110" s="78" t="b">
        <f t="shared" si="5"/>
        <v>1</v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9"/>
    </row>
    <row r="111" spans="2:11">
      <c r="B111" s="77" t="str">
        <f ca="1"/>
        <v/>
      </c>
      <c r="C111" s="54" t="str">
        <f ca="1"/>
        <v/>
      </c>
      <c r="D111" s="839" t="str">
        <f ca="1"/>
        <v/>
      </c>
      <c r="E111" s="54" t="str">
        <f t="shared" si="3"/>
        <v/>
      </c>
      <c r="F111" s="54" t="str">
        <f t="shared" si="4"/>
        <v/>
      </c>
      <c r="G111" s="78" t="str">
        <f t="shared" si="5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  <c r="K111" s="439"/>
    </row>
    <row r="112" spans="2:11">
      <c r="B112" s="77" t="str">
        <f ca="1"/>
        <v>FRAs</v>
      </c>
      <c r="C112" s="54" t="str">
        <f ca="1"/>
        <v/>
      </c>
      <c r="D112" s="839" t="str">
        <f ca="1"/>
        <v/>
      </c>
      <c r="E112" s="54" t="str">
        <f t="shared" si="3"/>
        <v>FRAs</v>
      </c>
      <c r="F112" s="54" t="str">
        <f t="shared" si="4"/>
        <v/>
      </c>
      <c r="G112" s="78" t="str">
        <f t="shared" si="5"/>
        <v/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834" t="str">
        <f ca="1"/>
        <v>FraTenors</v>
      </c>
      <c r="C113" s="54" t="str">
        <f ca="1"/>
        <v>Rates</v>
      </c>
      <c r="D113" s="839" t="str">
        <f ca="1"/>
        <v>Include</v>
      </c>
      <c r="E113" s="54" t="str">
        <f t="shared" si="3"/>
        <v>FraTenors</v>
      </c>
      <c r="F113" s="54" t="str">
        <f t="shared" si="4"/>
        <v>Rates</v>
      </c>
      <c r="G113" s="78" t="str">
        <f t="shared" si="5"/>
        <v>Include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3x6</v>
      </c>
      <c r="C114" s="833">
        <f ca="1"/>
        <v>0.1</v>
      </c>
      <c r="D114" s="839" t="b">
        <f ca="1"/>
        <v>1</v>
      </c>
      <c r="E114" s="54" t="str">
        <f t="shared" si="3"/>
        <v>3x6</v>
      </c>
      <c r="F114" s="54">
        <f t="shared" si="4"/>
        <v>0.1</v>
      </c>
      <c r="G114" s="78" t="b">
        <f t="shared" si="5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77" t="str">
        <f ca="1"/>
        <v>6x9</v>
      </c>
      <c r="C115" s="833">
        <f ca="1"/>
        <v>0.1</v>
      </c>
      <c r="D115" s="839" t="b">
        <f ca="1"/>
        <v>1</v>
      </c>
      <c r="E115" s="54" t="str">
        <f t="shared" si="3"/>
        <v>6x9</v>
      </c>
      <c r="F115" s="54">
        <f t="shared" si="4"/>
        <v>0.1</v>
      </c>
      <c r="G115" s="78" t="b">
        <f t="shared" si="5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834" t="str">
        <f ca="1"/>
        <v>9x12</v>
      </c>
      <c r="C116" s="833">
        <f ca="1"/>
        <v>0.1</v>
      </c>
      <c r="D116" s="839" t="b">
        <f ca="1"/>
        <v>1</v>
      </c>
      <c r="E116" s="54" t="str">
        <f t="shared" si="3"/>
        <v>9x12</v>
      </c>
      <c r="F116" s="54">
        <f t="shared" si="4"/>
        <v>0.1</v>
      </c>
      <c r="G116" s="78" t="b">
        <f t="shared" si="5"/>
        <v>1</v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/>
      </c>
      <c r="C117" s="54" t="str">
        <f ca="1"/>
        <v/>
      </c>
      <c r="D117" s="839" t="str">
        <f ca="1"/>
        <v/>
      </c>
      <c r="E117" s="54" t="str">
        <f t="shared" si="3"/>
        <v/>
      </c>
      <c r="F117" s="54" t="str">
        <f t="shared" si="4"/>
        <v/>
      </c>
      <c r="G117" s="78" t="str">
        <f t="shared" si="5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Interest Rate Swaps</v>
      </c>
      <c r="C118" s="54" t="str">
        <f ca="1"/>
        <v/>
      </c>
      <c r="D118" s="839" t="str">
        <f ca="1"/>
        <v/>
      </c>
      <c r="E118" s="54" t="str">
        <f t="shared" si="3"/>
        <v>Interest Rate Swaps</v>
      </c>
      <c r="F118" s="54" t="str">
        <f t="shared" si="4"/>
        <v/>
      </c>
      <c r="G118" s="78" t="str">
        <f t="shared" si="5"/>
        <v/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77" t="str">
        <f ca="1"/>
        <v>Tenors</v>
      </c>
      <c r="C119" s="54" t="str">
        <f ca="1"/>
        <v>Rates</v>
      </c>
      <c r="D119" s="839" t="str">
        <f ca="1"/>
        <v>Include</v>
      </c>
      <c r="E119" s="54" t="str">
        <f t="shared" si="3"/>
        <v>Tenors</v>
      </c>
      <c r="F119" s="54" t="str">
        <f t="shared" si="4"/>
        <v>Rates</v>
      </c>
      <c r="G119" s="78" t="str">
        <f t="shared" si="5"/>
        <v>Include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835" t="str">
        <f ca="1"/>
        <v>2y</v>
      </c>
      <c r="C120" s="833">
        <f ca="1"/>
        <v>0.1</v>
      </c>
      <c r="D120" s="839" t="b">
        <f ca="1"/>
        <v>1</v>
      </c>
      <c r="E120" s="54" t="str">
        <f t="shared" si="3"/>
        <v>2y</v>
      </c>
      <c r="F120" s="54">
        <f t="shared" si="4"/>
        <v>0.1</v>
      </c>
      <c r="G120" s="78" t="b">
        <f t="shared" si="5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1" spans="2:13">
      <c r="B121" s="79" t="str">
        <f ca="1"/>
        <v>3y</v>
      </c>
      <c r="C121" s="836">
        <f ca="1"/>
        <v>0.1</v>
      </c>
      <c r="D121" s="840" t="b">
        <f ca="1"/>
        <v>1</v>
      </c>
      <c r="E121" s="837" t="str">
        <f t="shared" si="3"/>
        <v>3y</v>
      </c>
      <c r="F121" s="837">
        <f t="shared" si="4"/>
        <v>0.1</v>
      </c>
      <c r="G121" s="80" t="b">
        <f t="shared" si="5"/>
        <v>1</v>
      </c>
      <c r="H121" s="164" t="str" cm="1">
        <f t="array" aca="1" ref="H121" ca="1">_xll.d.TestUtils_Equal(B121,E121)</f>
        <v>Ok</v>
      </c>
      <c r="I121" s="164" t="str" cm="1">
        <f t="array" aca="1" ref="I121" ca="1">_xll.d.TestUtils_Equal(C121,F121)</f>
        <v>Ok</v>
      </c>
      <c r="J121" s="164" t="str" cm="1">
        <f t="array" aca="1" ref="J121" ca="1">_xll.d.TestUtils_Equal(D121,G121)</f>
        <v>Ok</v>
      </c>
    </row>
    <row r="125" spans="2:13">
      <c r="B125" s="12" t="s">
        <v>66</v>
      </c>
      <c r="C125" s="27"/>
      <c r="D125" s="13"/>
      <c r="E125" s="13"/>
      <c r="F125" s="12" t="s">
        <v>67</v>
      </c>
      <c r="G125" s="27"/>
      <c r="H125" s="13"/>
      <c r="I125" s="13"/>
      <c r="J125" s="12" t="s">
        <v>189</v>
      </c>
      <c r="K125" s="27"/>
      <c r="L125" s="13"/>
      <c r="M125" s="13"/>
    </row>
    <row r="126" spans="2:13">
      <c r="B126" s="831" t="str">
        <f t="array" ref="B126:E156">_xll.d.Curve_GetInstruments(C82)</f>
        <v>Deposits</v>
      </c>
      <c r="C126" s="832" t="str">
        <v/>
      </c>
      <c r="D126" s="832" t="str">
        <v/>
      </c>
      <c r="E126" s="832" t="str">
        <v/>
      </c>
      <c r="F126" s="909" t="s">
        <v>21</v>
      </c>
      <c r="G126" s="832" t="s">
        <v>258</v>
      </c>
      <c r="H126" s="832" t="s">
        <v>258</v>
      </c>
      <c r="I126" s="76" t="s">
        <v>258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77" t="str">
        <v>Tenors</v>
      </c>
      <c r="C127" s="54" t="str">
        <v>RateIndex</v>
      </c>
      <c r="D127" s="54" t="str">
        <v>Rates</v>
      </c>
      <c r="E127" s="54" t="str">
        <v>Include</v>
      </c>
      <c r="F127" s="910" t="s">
        <v>35</v>
      </c>
      <c r="G127" s="54" t="s">
        <v>32</v>
      </c>
      <c r="H127" s="54" t="s">
        <v>36</v>
      </c>
      <c r="I127" s="78" t="s">
        <v>42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77" t="str">
        <v>1D</v>
      </c>
      <c r="C128" s="54" t="str">
        <v>JIBAR</v>
      </c>
      <c r="D128" s="54">
        <v>7.0699999999999999E-2</v>
      </c>
      <c r="E128" s="54" t="str">
        <v>TRUE</v>
      </c>
      <c r="F128" s="910" t="s">
        <v>645</v>
      </c>
      <c r="G128" s="54" t="s">
        <v>33</v>
      </c>
      <c r="H128" s="54">
        <v>7.0699999999999999E-2</v>
      </c>
      <c r="I128" s="78" t="s">
        <v>646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77" t="str">
        <v>1M</v>
      </c>
      <c r="C129" s="54" t="str">
        <v>JIBAR</v>
      </c>
      <c r="D129" s="54">
        <v>7.825E-2</v>
      </c>
      <c r="E129" s="54" t="str">
        <v>TRUE</v>
      </c>
      <c r="F129" s="910" t="s">
        <v>623</v>
      </c>
      <c r="G129" s="54" t="s">
        <v>33</v>
      </c>
      <c r="H129" s="54">
        <v>7.825E-2</v>
      </c>
      <c r="I129" s="78" t="s">
        <v>646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77" t="str">
        <v>3M</v>
      </c>
      <c r="C130" s="54" t="str">
        <v>JIBAR</v>
      </c>
      <c r="D130" s="54">
        <v>7.9579999999999998E-2</v>
      </c>
      <c r="E130" s="54" t="str">
        <v>TRUE</v>
      </c>
      <c r="F130" s="910" t="s">
        <v>627</v>
      </c>
      <c r="G130" s="54" t="s">
        <v>33</v>
      </c>
      <c r="H130" s="54">
        <v>7.9579999999999998E-2</v>
      </c>
      <c r="I130" s="78" t="s">
        <v>646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77" t="str">
        <v/>
      </c>
      <c r="C131" s="54" t="str">
        <v/>
      </c>
      <c r="D131" s="54" t="str">
        <v/>
      </c>
      <c r="E131" s="54" t="str">
        <v/>
      </c>
      <c r="F131" s="910" t="s">
        <v>258</v>
      </c>
      <c r="G131" s="54" t="s">
        <v>258</v>
      </c>
      <c r="H131" s="54" t="s">
        <v>258</v>
      </c>
      <c r="I131" s="78" t="s">
        <v>258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77" t="str">
        <v>FRAs</v>
      </c>
      <c r="C132" s="54" t="str">
        <v/>
      </c>
      <c r="D132" s="54" t="str">
        <v/>
      </c>
      <c r="E132" s="54" t="str">
        <v/>
      </c>
      <c r="F132" s="910" t="s">
        <v>34</v>
      </c>
      <c r="G132" s="54" t="s">
        <v>258</v>
      </c>
      <c r="H132" s="54" t="s">
        <v>258</v>
      </c>
      <c r="I132" s="78" t="s">
        <v>258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77" t="str">
        <v>FraTenors</v>
      </c>
      <c r="C133" s="54" t="str">
        <v>RateIndex</v>
      </c>
      <c r="D133" s="54" t="str">
        <v>Rates</v>
      </c>
      <c r="E133" s="54" t="str">
        <v>Include</v>
      </c>
      <c r="F133" s="910" t="s">
        <v>193</v>
      </c>
      <c r="G133" s="54" t="s">
        <v>32</v>
      </c>
      <c r="H133" s="54" t="s">
        <v>36</v>
      </c>
      <c r="I133" s="78" t="s">
        <v>42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77" t="str">
        <v>3x6</v>
      </c>
      <c r="C134" s="54" t="str">
        <v>JIBAR</v>
      </c>
      <c r="D134" s="54">
        <v>8.1799999999999998E-2</v>
      </c>
      <c r="E134" s="54" t="str">
        <v>TRUE</v>
      </c>
      <c r="F134" s="910" t="s">
        <v>194</v>
      </c>
      <c r="G134" s="54" t="s">
        <v>33</v>
      </c>
      <c r="H134" s="54">
        <v>8.1799999999999998E-2</v>
      </c>
      <c r="I134" s="78" t="s">
        <v>646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77" t="str">
        <v>6x9</v>
      </c>
      <c r="C135" s="54" t="str">
        <v>JIBAR</v>
      </c>
      <c r="D135" s="54">
        <v>8.2200000000000009E-2</v>
      </c>
      <c r="E135" s="54" t="str">
        <v>TRUE</v>
      </c>
      <c r="F135" s="910" t="s">
        <v>195</v>
      </c>
      <c r="G135" s="54" t="s">
        <v>33</v>
      </c>
      <c r="H135" s="54">
        <v>8.2200000000000009E-2</v>
      </c>
      <c r="I135" s="78" t="s">
        <v>646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77" t="str">
        <v>9x12</v>
      </c>
      <c r="C136" s="54" t="str">
        <v>JIBAR</v>
      </c>
      <c r="D136" s="54">
        <v>8.0749999999999988E-2</v>
      </c>
      <c r="E136" s="54" t="str">
        <v>TRUE</v>
      </c>
      <c r="F136" s="910" t="s">
        <v>196</v>
      </c>
      <c r="G136" s="54" t="s">
        <v>33</v>
      </c>
      <c r="H136" s="54">
        <v>8.0749999999999988E-2</v>
      </c>
      <c r="I136" s="78" t="s">
        <v>646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77" t="str">
        <v>12x15</v>
      </c>
      <c r="C137" s="54" t="str">
        <v>JIBAR</v>
      </c>
      <c r="D137" s="54">
        <v>7.8100000000000003E-2</v>
      </c>
      <c r="E137" s="54" t="str">
        <v>TRUE</v>
      </c>
      <c r="F137" s="910" t="s">
        <v>584</v>
      </c>
      <c r="G137" s="54" t="s">
        <v>33</v>
      </c>
      <c r="H137" s="54">
        <v>7.8100000000000003E-2</v>
      </c>
      <c r="I137" s="78" t="s">
        <v>646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77" t="str">
        <v>15x18</v>
      </c>
      <c r="C138" s="54" t="str">
        <v>JIBAR</v>
      </c>
      <c r="D138" s="54">
        <v>7.6649999999999996E-2</v>
      </c>
      <c r="E138" s="54" t="str">
        <v>TRUE</v>
      </c>
      <c r="F138" s="910" t="s">
        <v>585</v>
      </c>
      <c r="G138" s="54" t="s">
        <v>33</v>
      </c>
      <c r="H138" s="54">
        <v>7.6649999999999996E-2</v>
      </c>
      <c r="I138" s="78" t="s">
        <v>646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77" t="str">
        <v>18x21</v>
      </c>
      <c r="C139" s="54" t="str">
        <v>JIBAR</v>
      </c>
      <c r="D139" s="54">
        <v>7.5649999999999995E-2</v>
      </c>
      <c r="E139" s="54" t="str">
        <v>TRUE</v>
      </c>
      <c r="F139" s="910" t="s">
        <v>586</v>
      </c>
      <c r="G139" s="54" t="s">
        <v>33</v>
      </c>
      <c r="H139" s="54">
        <v>7.5649999999999995E-2</v>
      </c>
      <c r="I139" s="78" t="s">
        <v>646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77" t="str">
        <v>21x24</v>
      </c>
      <c r="C140" s="54" t="str">
        <v>JIBAR</v>
      </c>
      <c r="D140" s="54">
        <v>7.5199999999999989E-2</v>
      </c>
      <c r="E140" s="54" t="str">
        <v>TRUE</v>
      </c>
      <c r="F140" s="910" t="s">
        <v>587</v>
      </c>
      <c r="G140" s="54" t="s">
        <v>33</v>
      </c>
      <c r="H140" s="54">
        <v>7.5199999999999989E-2</v>
      </c>
      <c r="I140" s="78" t="s">
        <v>646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77" t="str">
        <v/>
      </c>
      <c r="C141" s="54" t="str">
        <v/>
      </c>
      <c r="D141" s="54" t="str">
        <v/>
      </c>
      <c r="E141" s="54" t="str">
        <v/>
      </c>
      <c r="F141" s="910" t="s">
        <v>258</v>
      </c>
      <c r="G141" s="54" t="s">
        <v>258</v>
      </c>
      <c r="H141" s="54" t="s">
        <v>258</v>
      </c>
      <c r="I141" s="78" t="s">
        <v>258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77" t="str">
        <v>Interest Rate Swaps</v>
      </c>
      <c r="C142" s="54" t="str">
        <v/>
      </c>
      <c r="D142" s="54" t="str">
        <v/>
      </c>
      <c r="E142" s="54" t="str">
        <v/>
      </c>
      <c r="F142" s="910" t="s">
        <v>40</v>
      </c>
      <c r="G142" s="54" t="s">
        <v>258</v>
      </c>
      <c r="H142" s="54" t="s">
        <v>258</v>
      </c>
      <c r="I142" s="78" t="s">
        <v>258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>
      <c r="B143" s="77" t="str">
        <v>Tenors</v>
      </c>
      <c r="C143" s="54" t="str">
        <v>RateIndex</v>
      </c>
      <c r="D143" s="54" t="str">
        <v>Rates</v>
      </c>
      <c r="E143" s="54" t="str">
        <v>Include</v>
      </c>
      <c r="F143" s="910" t="s">
        <v>35</v>
      </c>
      <c r="G143" s="54" t="s">
        <v>32</v>
      </c>
      <c r="H143" s="54" t="s">
        <v>36</v>
      </c>
      <c r="I143" s="78" t="s">
        <v>42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>
      <c r="B144" s="77" t="str">
        <v>3Y</v>
      </c>
      <c r="C144" s="54" t="str">
        <v>JIBAR</v>
      </c>
      <c r="D144" s="54">
        <v>7.85E-2</v>
      </c>
      <c r="E144" s="54" t="str">
        <v>TRUE</v>
      </c>
      <c r="F144" s="910" t="s">
        <v>647</v>
      </c>
      <c r="G144" s="54" t="s">
        <v>33</v>
      </c>
      <c r="H144" s="54">
        <v>7.85E-2</v>
      </c>
      <c r="I144" s="78" t="s">
        <v>646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1:13">
      <c r="B145" s="77" t="str">
        <v>4Y</v>
      </c>
      <c r="C145" s="54" t="str">
        <v>JIBAR</v>
      </c>
      <c r="D145" s="54">
        <v>7.9500000000000001E-2</v>
      </c>
      <c r="E145" s="54" t="str">
        <v>TRUE</v>
      </c>
      <c r="F145" s="910" t="s">
        <v>648</v>
      </c>
      <c r="G145" s="54" t="s">
        <v>33</v>
      </c>
      <c r="H145" s="54">
        <v>7.9500000000000001E-2</v>
      </c>
      <c r="I145" s="78" t="s">
        <v>646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1:13">
      <c r="B146" s="77" t="str">
        <v>5Y</v>
      </c>
      <c r="C146" s="54" t="str">
        <v>JIBAR</v>
      </c>
      <c r="D146" s="54">
        <v>8.1199999999999994E-2</v>
      </c>
      <c r="E146" s="54" t="str">
        <v>TRUE</v>
      </c>
      <c r="F146" s="910" t="s">
        <v>649</v>
      </c>
      <c r="G146" s="54" t="s">
        <v>33</v>
      </c>
      <c r="H146" s="54">
        <v>8.1199999999999994E-2</v>
      </c>
      <c r="I146" s="78" t="s">
        <v>646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1:13">
      <c r="B147" s="77" t="str">
        <v>6Y</v>
      </c>
      <c r="C147" s="54" t="str">
        <v>JIBAR</v>
      </c>
      <c r="D147" s="54">
        <v>8.3499999999999991E-2</v>
      </c>
      <c r="E147" s="54" t="str">
        <v>TRUE</v>
      </c>
      <c r="F147" s="910" t="s">
        <v>650</v>
      </c>
      <c r="G147" s="54" t="s">
        <v>33</v>
      </c>
      <c r="H147" s="54">
        <v>8.3499999999999991E-2</v>
      </c>
      <c r="I147" s="78" t="s">
        <v>646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1:13">
      <c r="B148" s="77" t="str">
        <v>7Y</v>
      </c>
      <c r="C148" s="54" t="str">
        <v>JIBAR</v>
      </c>
      <c r="D148" s="54">
        <v>8.585000000000001E-2</v>
      </c>
      <c r="E148" s="54" t="str">
        <v>TRUE</v>
      </c>
      <c r="F148" s="910" t="s">
        <v>651</v>
      </c>
      <c r="G148" s="54" t="s">
        <v>33</v>
      </c>
      <c r="H148" s="54">
        <v>8.585000000000001E-2</v>
      </c>
      <c r="I148" s="78" t="s">
        <v>646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1:13">
      <c r="B149" s="77" t="str">
        <v>8Y</v>
      </c>
      <c r="C149" s="54" t="str">
        <v>JIBAR</v>
      </c>
      <c r="D149" s="54">
        <v>8.7899999999999992E-2</v>
      </c>
      <c r="E149" s="54" t="str">
        <v>TRUE</v>
      </c>
      <c r="F149" s="910" t="s">
        <v>652</v>
      </c>
      <c r="G149" s="54" t="s">
        <v>33</v>
      </c>
      <c r="H149" s="54">
        <v>8.7899999999999992E-2</v>
      </c>
      <c r="I149" s="78" t="s">
        <v>646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1:13">
      <c r="B150" s="77" t="str">
        <v>9Y</v>
      </c>
      <c r="C150" s="54" t="str">
        <v>JIBAR</v>
      </c>
      <c r="D150" s="54">
        <v>8.9499999999999996E-2</v>
      </c>
      <c r="E150" s="54" t="str">
        <v>TRUE</v>
      </c>
      <c r="F150" s="910" t="s">
        <v>653</v>
      </c>
      <c r="G150" s="54" t="s">
        <v>33</v>
      </c>
      <c r="H150" s="54">
        <v>8.9499999999999996E-2</v>
      </c>
      <c r="I150" s="78" t="s">
        <v>646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1:13">
      <c r="B151" s="77" t="str">
        <v>10Y</v>
      </c>
      <c r="C151" s="54" t="str">
        <v>JIBAR</v>
      </c>
      <c r="D151" s="54">
        <v>9.06E-2</v>
      </c>
      <c r="E151" s="54" t="str">
        <v>TRUE</v>
      </c>
      <c r="F151" s="910" t="s">
        <v>654</v>
      </c>
      <c r="G151" s="54" t="s">
        <v>33</v>
      </c>
      <c r="H151" s="54">
        <v>9.06E-2</v>
      </c>
      <c r="I151" s="78" t="s">
        <v>646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1:13">
      <c r="B152" s="77" t="str">
        <v>12Y</v>
      </c>
      <c r="C152" s="54" t="str">
        <v>JIBAR</v>
      </c>
      <c r="D152" s="54">
        <v>9.2600000000000002E-2</v>
      </c>
      <c r="E152" s="54" t="str">
        <v>TRUE</v>
      </c>
      <c r="F152" s="910" t="s">
        <v>655</v>
      </c>
      <c r="G152" s="54" t="s">
        <v>33</v>
      </c>
      <c r="H152" s="54">
        <v>9.2600000000000002E-2</v>
      </c>
      <c r="I152" s="78" t="s">
        <v>646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1:13">
      <c r="B153" s="77" t="str">
        <v>15Y</v>
      </c>
      <c r="C153" s="54" t="str">
        <v>JIBAR</v>
      </c>
      <c r="D153" s="54">
        <v>9.3900000000000011E-2</v>
      </c>
      <c r="E153" s="54" t="str">
        <v>TRUE</v>
      </c>
      <c r="F153" s="910" t="s">
        <v>656</v>
      </c>
      <c r="G153" s="54" t="s">
        <v>33</v>
      </c>
      <c r="H153" s="54">
        <v>9.3900000000000011E-2</v>
      </c>
      <c r="I153" s="78" t="s">
        <v>646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1:13">
      <c r="B154" s="77" t="str">
        <v>20Y</v>
      </c>
      <c r="C154" s="54" t="str">
        <v>JIBAR</v>
      </c>
      <c r="D154" s="54">
        <v>9.35E-2</v>
      </c>
      <c r="E154" s="54" t="str">
        <v>TRUE</v>
      </c>
      <c r="F154" s="910" t="s">
        <v>657</v>
      </c>
      <c r="G154" s="54" t="s">
        <v>33</v>
      </c>
      <c r="H154" s="54">
        <v>9.35E-2</v>
      </c>
      <c r="I154" s="78" t="s">
        <v>646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1:13">
      <c r="B155" s="77" t="str">
        <v>25Y</v>
      </c>
      <c r="C155" s="54" t="str">
        <v>JIBAR</v>
      </c>
      <c r="D155" s="54">
        <v>9.2100000000000015E-2</v>
      </c>
      <c r="E155" s="54" t="str">
        <v>TRUE</v>
      </c>
      <c r="F155" s="910" t="s">
        <v>658</v>
      </c>
      <c r="G155" s="54" t="s">
        <v>33</v>
      </c>
      <c r="H155" s="54">
        <v>9.2100000000000015E-2</v>
      </c>
      <c r="I155" s="78" t="s">
        <v>646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56" spans="1:13">
      <c r="B156" s="79" t="str">
        <v>30Y</v>
      </c>
      <c r="C156" s="837" t="str">
        <v>JIBAR</v>
      </c>
      <c r="D156" s="837">
        <v>8.9700000000000002E-2</v>
      </c>
      <c r="E156" s="837" t="str">
        <v>TRUE</v>
      </c>
      <c r="F156" s="911" t="s">
        <v>659</v>
      </c>
      <c r="G156" s="837" t="s">
        <v>33</v>
      </c>
      <c r="H156" s="837">
        <v>8.9700000000000002E-2</v>
      </c>
      <c r="I156" s="80" t="s">
        <v>646</v>
      </c>
      <c r="J156" s="164" t="str" cm="1">
        <f t="array" ref="J156">_xll.d.TestUtils_Equal(B156,F156)</f>
        <v>Ok</v>
      </c>
      <c r="K156" s="164" t="str" cm="1">
        <f t="array" ref="K156">_xll.d.TestUtils_Equal(C156,G156)</f>
        <v>Ok</v>
      </c>
      <c r="L156" s="164" t="str" cm="1">
        <f t="array" ref="L156">_xll.d.TestUtils_Equal(D156,H156)</f>
        <v>Ok</v>
      </c>
      <c r="M156" s="164" t="str" cm="1">
        <f t="array" ref="M156">_xll.d.TestUtils_Equal(E156,I156)</f>
        <v>Ok</v>
      </c>
    </row>
    <row r="157" spans="1:13">
      <c r="A157" s="439"/>
      <c r="B157" s="439"/>
      <c r="C157" s="439"/>
      <c r="D157" s="439"/>
      <c r="E157" s="439"/>
      <c r="F157" s="439"/>
      <c r="G157" s="439"/>
      <c r="H157" s="439"/>
      <c r="I157" s="439"/>
      <c r="J157" s="439"/>
      <c r="K157" s="439"/>
    </row>
    <row r="158" spans="1:13">
      <c r="A158" s="439"/>
      <c r="B158" s="439"/>
      <c r="C158" s="439"/>
      <c r="D158" s="439"/>
      <c r="E158" s="439"/>
      <c r="F158" s="439"/>
      <c r="G158" s="439"/>
      <c r="H158" s="439"/>
      <c r="I158" s="439"/>
      <c r="J158" s="439"/>
      <c r="K158" s="439"/>
    </row>
    <row r="159" spans="1:13">
      <c r="A159" s="439"/>
      <c r="B159" s="439"/>
      <c r="C159" s="439"/>
      <c r="D159" s="439"/>
      <c r="E159" s="439"/>
      <c r="F159" s="439"/>
      <c r="G159" s="439"/>
      <c r="H159" s="439"/>
      <c r="I159" s="439"/>
      <c r="J159" s="439"/>
      <c r="K159" s="439"/>
    </row>
    <row r="160" spans="1:13">
      <c r="A160" s="439"/>
      <c r="B160" s="439"/>
      <c r="C160" s="439"/>
      <c r="D160" s="439"/>
      <c r="E160" s="439"/>
      <c r="F160" s="439"/>
      <c r="G160" s="439"/>
      <c r="H160" s="439"/>
      <c r="I160" s="439"/>
      <c r="J160" s="439"/>
      <c r="K160" s="439"/>
    </row>
    <row r="161" spans="1:11">
      <c r="A161" s="439"/>
      <c r="B161" s="439"/>
      <c r="C161" s="439"/>
      <c r="D161" s="439"/>
      <c r="E161" s="439"/>
      <c r="F161" s="439"/>
      <c r="G161" s="439"/>
      <c r="H161" s="439"/>
      <c r="I161" s="439"/>
      <c r="J161" s="439"/>
      <c r="K161" s="439"/>
    </row>
    <row r="162" spans="1:11">
      <c r="A162" s="439"/>
      <c r="B162" s="439"/>
      <c r="C162" s="439"/>
      <c r="D162" s="439"/>
      <c r="E162" s="439"/>
      <c r="F162" s="439"/>
      <c r="G162" s="439"/>
      <c r="H162" s="439"/>
      <c r="I162" s="439"/>
      <c r="J162" s="439"/>
      <c r="K162" s="439"/>
    </row>
    <row r="163" spans="1:11">
      <c r="A163" s="439"/>
      <c r="B163" s="439"/>
      <c r="C163" s="439"/>
      <c r="D163" s="439"/>
      <c r="E163" s="439"/>
      <c r="F163" s="439"/>
      <c r="G163" s="439"/>
      <c r="H163" s="439"/>
      <c r="I163" s="439"/>
      <c r="J163" s="439"/>
      <c r="K163" s="439"/>
    </row>
    <row r="164" spans="1:11">
      <c r="A164" s="439"/>
      <c r="B164" s="439"/>
      <c r="C164" s="439"/>
      <c r="D164" s="439"/>
      <c r="E164" s="439"/>
      <c r="F164" s="439"/>
      <c r="G164" s="439"/>
      <c r="H164" s="439"/>
      <c r="I164" s="439"/>
      <c r="J164" s="439"/>
      <c r="K164" s="439"/>
    </row>
    <row r="165" spans="1:11">
      <c r="A165" s="439"/>
      <c r="B165" s="439"/>
      <c r="C165" s="439"/>
      <c r="D165" s="439"/>
      <c r="E165" s="439"/>
      <c r="F165" s="439"/>
      <c r="G165" s="439"/>
      <c r="H165" s="439"/>
      <c r="I165" s="439"/>
      <c r="J165" s="439"/>
      <c r="K165" s="439"/>
    </row>
    <row r="166" spans="1:11">
      <c r="A166" s="439"/>
      <c r="B166" s="439"/>
      <c r="C166" s="439"/>
      <c r="D166" s="439"/>
      <c r="E166" s="439"/>
      <c r="F166" s="439"/>
      <c r="G166" s="439"/>
      <c r="H166" s="439"/>
      <c r="I166" s="439"/>
      <c r="J166" s="439"/>
      <c r="K166" s="439"/>
    </row>
    <row r="182" spans="4:4">
      <c r="D182" s="866"/>
    </row>
    <row r="183" spans="4:4">
      <c r="D183" s="866"/>
    </row>
    <row r="184" spans="4:4">
      <c r="D184" s="866"/>
    </row>
    <row r="185" spans="4:4">
      <c r="D185" s="866"/>
    </row>
    <row r="232" spans="2:8">
      <c r="B232" s="1">
        <v>45016</v>
      </c>
    </row>
    <row r="233" spans="2:8">
      <c r="B233" t="s">
        <v>641</v>
      </c>
    </row>
    <row r="235" spans="2:8">
      <c r="B235" t="str" cm="1">
        <f t="array" ref="B235">_xll.d.Curve_Get("MyZarCurve",B233,B232)</f>
        <v>@@MyZarCurve::09:14:27</v>
      </c>
    </row>
    <row r="239" spans="2:8">
      <c r="B239" s="8">
        <f>B232</f>
        <v>45016</v>
      </c>
      <c r="C239" cm="1">
        <f t="array" aca="1" ref="C239:C255" ca="1">_xll.d.Curve_GetDiscountFactors(B235,B239:B255)</f>
        <v>1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C240">
        <f ca="1"/>
        <v>0.99360206292623832</v>
      </c>
      <c r="E240" t="str">
        <v>Tenors</v>
      </c>
      <c r="F240" t="str">
        <v>RateIndex</v>
      </c>
      <c r="G240" t="str">
        <v>Rates</v>
      </c>
      <c r="H240" t="str">
        <v>Include</v>
      </c>
    </row>
    <row r="241" spans="2:8">
      <c r="B241" s="8">
        <f t="shared" ref="B241:B255" si="6">EDATE(B240,1)</f>
        <v>45076</v>
      </c>
      <c r="C241">
        <f ca="1"/>
        <v>0.98715921592482847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6"/>
        <v>45107</v>
      </c>
      <c r="C242">
        <f ca="1"/>
        <v>0.98054549384544809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6"/>
        <v>45137</v>
      </c>
      <c r="C243">
        <f ca="1"/>
        <v>0.97404099755707096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6"/>
        <v>45168</v>
      </c>
      <c r="C244">
        <f ca="1"/>
        <v>0.96736501063794622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6"/>
        <v>45199</v>
      </c>
      <c r="C245">
        <f ca="1"/>
        <v>0.96073374854956706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6"/>
        <v>45229</v>
      </c>
      <c r="C246">
        <f ca="1"/>
        <v>0.95432992729212318</v>
      </c>
      <c r="E246" t="str">
        <v>FraTenors</v>
      </c>
      <c r="F246" t="str">
        <v>RateIndex</v>
      </c>
      <c r="G246" t="str">
        <v>Rates</v>
      </c>
      <c r="H246" t="str">
        <v>Include</v>
      </c>
    </row>
    <row r="247" spans="2:8">
      <c r="B247" s="8">
        <f t="shared" si="6"/>
        <v>45260</v>
      </c>
      <c r="C247">
        <f ca="1"/>
        <v>0.94775748497073764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6"/>
        <v>45290</v>
      </c>
      <c r="C248">
        <f ca="1"/>
        <v>0.94144380075975365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6"/>
        <v>45321</v>
      </c>
      <c r="C249">
        <f ca="1"/>
        <v>0.93507226945881949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6"/>
        <v>45351</v>
      </c>
      <c r="C250">
        <f ca="1"/>
        <v>0.92894733177189004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6"/>
        <v>45380</v>
      </c>
      <c r="C251">
        <f ca="1"/>
        <v>0.92307131168988987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6"/>
        <v>45411</v>
      </c>
      <c r="C252">
        <f ca="1"/>
        <v>0.9170277977670056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6"/>
        <v>45441</v>
      </c>
      <c r="C253">
        <f ca="1"/>
        <v>0.9112169125432108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6"/>
        <v>45472</v>
      </c>
      <c r="C254">
        <f ca="1"/>
        <v>0.90525457782391716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6"/>
        <v>45502</v>
      </c>
      <c r="C255">
        <f ca="1"/>
        <v>0.89962461352276468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9">
      <c r="B273" t="str" cm="1">
        <f t="array" ref="B273">_xll.d.Curve_Get("MyOIS","USD-OIS",B271)</f>
        <v>@@MyOIS::09:14:28</v>
      </c>
    </row>
    <row r="275" spans="2:9">
      <c r="B275" s="8">
        <v>45016</v>
      </c>
      <c r="C275" cm="1">
        <f t="array" aca="1" ref="C275:C291" ca="1">_xll.d.Curve_GetDiscountFactors(B273,B275:B291)</f>
        <v>0.99986585133167794</v>
      </c>
      <c r="F275" t="str" cm="1">
        <f t="array" ref="F275:I300">_xll.d.Curve_GetInstruments(B273)</f>
        <v>Deposits</v>
      </c>
      <c r="G275" t="str">
        <v/>
      </c>
      <c r="H275" t="str">
        <v/>
      </c>
      <c r="I275" t="str">
        <v/>
      </c>
    </row>
    <row r="276" spans="2:9">
      <c r="B276" s="8">
        <v>45046</v>
      </c>
      <c r="C276">
        <f ca="1"/>
        <v>0.99586661697567314</v>
      </c>
      <c r="F276" t="str">
        <v>Tenors</v>
      </c>
      <c r="G276" t="str">
        <v>RateIndex</v>
      </c>
      <c r="H276" t="str">
        <v>Rates</v>
      </c>
      <c r="I276" t="str">
        <v>Include</v>
      </c>
    </row>
    <row r="277" spans="2:9">
      <c r="B277" s="8">
        <v>45076</v>
      </c>
      <c r="C277">
        <f ca="1"/>
        <v>0.99177994466267483</v>
      </c>
      <c r="F277" t="str">
        <v>1D</v>
      </c>
      <c r="G277" t="str">
        <v>FEDFUND</v>
      </c>
      <c r="H277">
        <v>4.8300000000000003E-2</v>
      </c>
      <c r="I277" t="str">
        <v>TRUE</v>
      </c>
    </row>
    <row r="278" spans="2:9">
      <c r="B278" s="8">
        <v>45107</v>
      </c>
      <c r="C278">
        <f ca="1"/>
        <v>0.98757618558836535</v>
      </c>
      <c r="F278" t="str">
        <v/>
      </c>
      <c r="G278" t="str">
        <v/>
      </c>
      <c r="H278" t="str">
        <v/>
      </c>
      <c r="I278" t="str">
        <v/>
      </c>
    </row>
    <row r="279" spans="2:9">
      <c r="B279" s="8">
        <v>45137</v>
      </c>
      <c r="C279">
        <f ca="1"/>
        <v>0.98356173708807204</v>
      </c>
      <c r="F279" t="str">
        <v>OISs</v>
      </c>
      <c r="G279" t="str">
        <v/>
      </c>
      <c r="H279" t="str">
        <v/>
      </c>
      <c r="I279" t="str">
        <v/>
      </c>
    </row>
    <row r="280" spans="2:9">
      <c r="B280" s="8">
        <v>45168</v>
      </c>
      <c r="C280">
        <f ca="1"/>
        <v>0.97949853519223229</v>
      </c>
      <c r="F280" t="str">
        <v>Tenors</v>
      </c>
      <c r="G280" t="str">
        <v>Rates</v>
      </c>
      <c r="H280" t="str">
        <v>Include</v>
      </c>
      <c r="I280" t="str">
        <v/>
      </c>
    </row>
    <row r="281" spans="2:9">
      <c r="B281" s="8">
        <v>45199</v>
      </c>
      <c r="C281">
        <f ca="1"/>
        <v>0.97551810508568582</v>
      </c>
      <c r="F281" t="str">
        <v>1M</v>
      </c>
      <c r="G281">
        <v>4.8189999999999997E-2</v>
      </c>
      <c r="H281" t="str">
        <v>TRUE</v>
      </c>
      <c r="I281" t="str">
        <v/>
      </c>
    </row>
    <row r="282" spans="2:9">
      <c r="B282" s="8">
        <v>45229</v>
      </c>
      <c r="C282">
        <f ca="1"/>
        <v>0.97183645666990182</v>
      </c>
      <c r="F282" t="str">
        <v>2M</v>
      </c>
      <c r="G282">
        <v>4.9031000000000005E-2</v>
      </c>
      <c r="H282" t="str">
        <v>TRUE</v>
      </c>
      <c r="I282" t="str">
        <v/>
      </c>
    </row>
    <row r="283" spans="2:9">
      <c r="B283" s="8">
        <v>45260</v>
      </c>
      <c r="C283">
        <f ca="1"/>
        <v>0.9680629131698828</v>
      </c>
      <c r="F283" t="str">
        <v>3M</v>
      </c>
      <c r="G283">
        <v>4.9269999999999994E-2</v>
      </c>
      <c r="H283" t="str">
        <v>TRUE</v>
      </c>
      <c r="I283" t="str">
        <v/>
      </c>
    </row>
    <row r="284" spans="2:9">
      <c r="B284" s="8">
        <v>45290</v>
      </c>
      <c r="C284">
        <f ca="1"/>
        <v>0.9644250483952177</v>
      </c>
      <c r="F284" t="str">
        <v>4M</v>
      </c>
      <c r="G284">
        <v>4.9340000000000002E-2</v>
      </c>
      <c r="H284" t="str">
        <v>TRUE</v>
      </c>
      <c r="I284" t="str">
        <v/>
      </c>
    </row>
    <row r="285" spans="2:9">
      <c r="B285" s="8">
        <v>45321</v>
      </c>
      <c r="C285">
        <f ca="1"/>
        <v>0.96088064660111094</v>
      </c>
      <c r="F285" t="str">
        <v>5M</v>
      </c>
      <c r="G285">
        <v>4.9240000000000006E-2</v>
      </c>
      <c r="H285" t="str">
        <v>TRUE</v>
      </c>
      <c r="I285" t="str">
        <v/>
      </c>
    </row>
    <row r="286" spans="2:9">
      <c r="B286" s="8">
        <v>45351</v>
      </c>
      <c r="C286">
        <f ca="1"/>
        <v>0.95749161076178679</v>
      </c>
      <c r="F286" t="str">
        <v>6M</v>
      </c>
      <c r="G286">
        <v>4.9082999999999995E-2</v>
      </c>
      <c r="H286" t="str">
        <v>TRUE</v>
      </c>
      <c r="I286" t="str">
        <v/>
      </c>
    </row>
    <row r="287" spans="2:9">
      <c r="B287" s="8">
        <v>45380</v>
      </c>
      <c r="C287">
        <f ca="1"/>
        <v>0.95422690537586496</v>
      </c>
      <c r="F287" t="str">
        <v>9M</v>
      </c>
      <c r="G287">
        <v>4.8243999999999995E-2</v>
      </c>
      <c r="H287" t="str">
        <v>TRUE</v>
      </c>
      <c r="I287" t="str">
        <v/>
      </c>
    </row>
    <row r="288" spans="2:9">
      <c r="B288" s="8">
        <v>45411</v>
      </c>
      <c r="C288">
        <f ca="1"/>
        <v>0.95118137594055108</v>
      </c>
      <c r="F288" t="str">
        <v>1Y</v>
      </c>
      <c r="G288">
        <v>4.7237999999999995E-2</v>
      </c>
      <c r="H288" t="str">
        <v>TRUE</v>
      </c>
      <c r="I288" t="str">
        <v/>
      </c>
    </row>
    <row r="289" spans="2:9">
      <c r="B289" s="8">
        <v>45441</v>
      </c>
      <c r="C289">
        <f ca="1"/>
        <v>0.94832351851588392</v>
      </c>
      <c r="F289" t="str">
        <v>18M</v>
      </c>
      <c r="G289">
        <v>4.3619999999999999E-2</v>
      </c>
      <c r="H289" t="str">
        <v>TRUE</v>
      </c>
      <c r="I289" t="str">
        <v/>
      </c>
    </row>
    <row r="290" spans="2:9">
      <c r="B290" s="8">
        <v>45472</v>
      </c>
      <c r="C290">
        <f ca="1"/>
        <v>0.94537941950430571</v>
      </c>
      <c r="F290" t="str">
        <v>2Y</v>
      </c>
      <c r="G290">
        <v>4.1289999999999993E-2</v>
      </c>
      <c r="H290" t="str">
        <v>TRUE</v>
      </c>
      <c r="I290" t="str">
        <v/>
      </c>
    </row>
    <row r="291" spans="2:9">
      <c r="B291" s="8">
        <v>45502</v>
      </c>
      <c r="C291">
        <f ca="1"/>
        <v>0.94253899425892451</v>
      </c>
      <c r="F291" t="str">
        <v>3Y</v>
      </c>
      <c r="G291">
        <v>3.7400000000000003E-2</v>
      </c>
      <c r="H291" t="str">
        <v>TRUE</v>
      </c>
      <c r="I291" t="str">
        <v/>
      </c>
    </row>
    <row r="292" spans="2:9">
      <c r="F292" t="str">
        <v>4Y</v>
      </c>
      <c r="G292">
        <v>3.5499999999999997E-2</v>
      </c>
      <c r="H292" t="str">
        <v>TRUE</v>
      </c>
      <c r="I292" t="str">
        <v/>
      </c>
    </row>
    <row r="293" spans="2:9">
      <c r="F293" t="str">
        <v>5Y</v>
      </c>
      <c r="G293">
        <v>3.424E-2</v>
      </c>
      <c r="H293" t="str">
        <v>TRUE</v>
      </c>
      <c r="I293" t="str">
        <v/>
      </c>
    </row>
    <row r="294" spans="2:9">
      <c r="F294" t="str">
        <v>7Y</v>
      </c>
      <c r="G294">
        <v>3.2939999999999997E-2</v>
      </c>
      <c r="H294" t="str">
        <v>TRUE</v>
      </c>
      <c r="I294" t="str">
        <v/>
      </c>
    </row>
    <row r="295" spans="2:9">
      <c r="F295" t="str">
        <v>10Y</v>
      </c>
      <c r="G295">
        <v>3.2349999999999997E-2</v>
      </c>
      <c r="H295" t="str">
        <v>TRUE</v>
      </c>
      <c r="I295" t="str">
        <v/>
      </c>
    </row>
    <row r="296" spans="2:9">
      <c r="F296" t="str">
        <v>12Y</v>
      </c>
      <c r="G296">
        <v>3.2419999999999997E-2</v>
      </c>
      <c r="H296" t="str">
        <v>TRUE</v>
      </c>
      <c r="I296" t="str">
        <v/>
      </c>
    </row>
    <row r="297" spans="2:9">
      <c r="F297" t="str">
        <v>15Y</v>
      </c>
      <c r="G297">
        <v>3.2349999999999997E-2</v>
      </c>
      <c r="H297" t="str">
        <v>TRUE</v>
      </c>
      <c r="I297" t="str">
        <v/>
      </c>
    </row>
    <row r="298" spans="2:9">
      <c r="F298" t="str">
        <v>20Y</v>
      </c>
      <c r="G298">
        <v>3.1820000000000001E-2</v>
      </c>
      <c r="H298" t="str">
        <v>TRUE</v>
      </c>
      <c r="I298" t="str">
        <v/>
      </c>
    </row>
    <row r="299" spans="2:9">
      <c r="F299" t="str">
        <v>25Y</v>
      </c>
      <c r="G299">
        <v>3.0800000000000001E-2</v>
      </c>
      <c r="H299" t="str">
        <v>TRUE</v>
      </c>
      <c r="I299" t="str">
        <v/>
      </c>
    </row>
    <row r="300" spans="2:9">
      <c r="F300" t="str">
        <v>30Y</v>
      </c>
      <c r="G300">
        <v>2.9699999999999997E-2</v>
      </c>
      <c r="H300" t="str">
        <v>TRUE</v>
      </c>
      <c r="I300" t="str">
        <v/>
      </c>
    </row>
  </sheetData>
  <mergeCells count="6">
    <mergeCell ref="C34:D34"/>
    <mergeCell ref="C36:D36"/>
    <mergeCell ref="M36:N36"/>
    <mergeCell ref="M34:N34"/>
    <mergeCell ref="AC34:AD34"/>
    <mergeCell ref="AC36:AD36"/>
  </mergeCells>
  <conditionalFormatting sqref="H12 BX34 V32:W32 U24:Y24 U28 D18 I33:I38 S29 T33:U43 T84:T89 V33:Y77 AJ33:AJ39 U31:U89 Y28 U29:Y29 H16:H17 H19">
    <cfRule type="cellIs" dxfId="437" priority="184" stopIfTrue="1" operator="equal">
      <formula>"ERROR"</formula>
    </cfRule>
    <cfRule type="cellIs" dxfId="436" priority="185" stopIfTrue="1" operator="equal">
      <formula>"OK"</formula>
    </cfRule>
    <cfRule type="cellIs" dxfId="435" priority="186" stopIfTrue="1" operator="equal">
      <formula>"WARNING"</formula>
    </cfRule>
  </conditionalFormatting>
  <conditionalFormatting sqref="C6">
    <cfRule type="cellIs" dxfId="434" priority="181" stopIfTrue="1" operator="equal">
      <formula>"ERROR"</formula>
    </cfRule>
    <cfRule type="cellIs" dxfId="433" priority="182" stopIfTrue="1" operator="equal">
      <formula>"OK"</formula>
    </cfRule>
    <cfRule type="cellIs" dxfId="432" priority="183" stopIfTrue="1" operator="equal">
      <formula>"WARNING"</formula>
    </cfRule>
  </conditionalFormatting>
  <conditionalFormatting sqref="C25">
    <cfRule type="cellIs" dxfId="431" priority="178" stopIfTrue="1" operator="equal">
      <formula>"ERROR"</formula>
    </cfRule>
    <cfRule type="cellIs" dxfId="430" priority="179" stopIfTrue="1" operator="equal">
      <formula>"OK"</formula>
    </cfRule>
    <cfRule type="cellIs" dxfId="429" priority="180" stopIfTrue="1" operator="equal">
      <formula>"WARNING"</formula>
    </cfRule>
  </conditionalFormatting>
  <conditionalFormatting sqref="AC25">
    <cfRule type="cellIs" dxfId="428" priority="175" stopIfTrue="1" operator="equal">
      <formula>"ERROR"</formula>
    </cfRule>
    <cfRule type="cellIs" dxfId="427" priority="176" stopIfTrue="1" operator="equal">
      <formula>"OK"</formula>
    </cfRule>
    <cfRule type="cellIs" dxfId="426" priority="177" stopIfTrue="1" operator="equal">
      <formula>"WARNING"</formula>
    </cfRule>
  </conditionalFormatting>
  <conditionalFormatting sqref="I59:I60">
    <cfRule type="cellIs" dxfId="425" priority="190" stopIfTrue="1" operator="equal">
      <formula>"ERROR"</formula>
    </cfRule>
    <cfRule type="cellIs" dxfId="424" priority="191" stopIfTrue="1" operator="equal">
      <formula>"OK"</formula>
    </cfRule>
    <cfRule type="cellIs" dxfId="423" priority="192" stopIfTrue="1" operator="equal">
      <formula>"WARNING"</formula>
    </cfRule>
  </conditionalFormatting>
  <conditionalFormatting sqref="M25">
    <cfRule type="cellIs" dxfId="422" priority="166" stopIfTrue="1" operator="equal">
      <formula>"ERROR"</formula>
    </cfRule>
    <cfRule type="cellIs" dxfId="421" priority="167" stopIfTrue="1" operator="equal">
      <formula>"OK"</formula>
    </cfRule>
    <cfRule type="cellIs" dxfId="420" priority="168" stopIfTrue="1" operator="equal">
      <formula>"WARNING"</formula>
    </cfRule>
  </conditionalFormatting>
  <conditionalFormatting sqref="H13">
    <cfRule type="cellIs" dxfId="419" priority="193" stopIfTrue="1" operator="equal">
      <formula>"ERROR"</formula>
    </cfRule>
    <cfRule type="cellIs" dxfId="418" priority="194" stopIfTrue="1" operator="equal">
      <formula>"OK"</formula>
    </cfRule>
    <cfRule type="cellIs" dxfId="417" priority="195" stopIfTrue="1" operator="equal">
      <formula>"WARNING"</formula>
    </cfRule>
  </conditionalFormatting>
  <conditionalFormatting sqref="AJ55:AJ60">
    <cfRule type="cellIs" dxfId="416" priority="151" stopIfTrue="1" operator="equal">
      <formula>"ERROR"</formula>
    </cfRule>
    <cfRule type="cellIs" dxfId="415" priority="152" stopIfTrue="1" operator="equal">
      <formula>"OK"</formula>
    </cfRule>
    <cfRule type="cellIs" dxfId="414" priority="153" stopIfTrue="1" operator="equal">
      <formula>"WARNING"</formula>
    </cfRule>
  </conditionalFormatting>
  <conditionalFormatting sqref="AL32:AM32 AL33:AL48 AN33:AO33 AN34:AN48 AO34:AO54">
    <cfRule type="cellIs" dxfId="413" priority="136" stopIfTrue="1" operator="equal">
      <formula>"ERROR"</formula>
    </cfRule>
    <cfRule type="cellIs" dxfId="412" priority="137" stopIfTrue="1" operator="equal">
      <formula>"OK"</formula>
    </cfRule>
    <cfRule type="cellIs" dxfId="411" priority="138" stopIfTrue="1" operator="equal">
      <formula>"WARNING"</formula>
    </cfRule>
  </conditionalFormatting>
  <conditionalFormatting sqref="AM33:AM48">
    <cfRule type="cellIs" dxfId="410" priority="133" stopIfTrue="1" operator="equal">
      <formula>"ERROR"</formula>
    </cfRule>
    <cfRule type="cellIs" dxfId="409" priority="134" stopIfTrue="1" operator="equal">
      <formula>"OK"</formula>
    </cfRule>
    <cfRule type="cellIs" dxfId="408" priority="135" stopIfTrue="1" operator="equal">
      <formula>"WARNING"</formula>
    </cfRule>
  </conditionalFormatting>
  <conditionalFormatting sqref="AL53:AL54 AN53:AN54">
    <cfRule type="cellIs" dxfId="407" priority="130" stopIfTrue="1" operator="equal">
      <formula>"ERROR"</formula>
    </cfRule>
    <cfRule type="cellIs" dxfId="406" priority="131" stopIfTrue="1" operator="equal">
      <formula>"OK"</formula>
    </cfRule>
    <cfRule type="cellIs" dxfId="405" priority="132" stopIfTrue="1" operator="equal">
      <formula>"WARNING"</formula>
    </cfRule>
  </conditionalFormatting>
  <conditionalFormatting sqref="AM53:AM54">
    <cfRule type="cellIs" dxfId="404" priority="127" stopIfTrue="1" operator="equal">
      <formula>"ERROR"</formula>
    </cfRule>
    <cfRule type="cellIs" dxfId="403" priority="128" stopIfTrue="1" operator="equal">
      <formula>"OK"</formula>
    </cfRule>
    <cfRule type="cellIs" dxfId="402" priority="129" stopIfTrue="1" operator="equal">
      <formula>"WARNING"</formula>
    </cfRule>
  </conditionalFormatting>
  <conditionalFormatting sqref="AL49:AL52 AN49:AN52">
    <cfRule type="cellIs" dxfId="401" priority="124" stopIfTrue="1" operator="equal">
      <formula>"ERROR"</formula>
    </cfRule>
    <cfRule type="cellIs" dxfId="400" priority="125" stopIfTrue="1" operator="equal">
      <formula>"OK"</formula>
    </cfRule>
    <cfRule type="cellIs" dxfId="399" priority="126" stopIfTrue="1" operator="equal">
      <formula>"WARNING"</formula>
    </cfRule>
  </conditionalFormatting>
  <conditionalFormatting sqref="AM49:AM52">
    <cfRule type="cellIs" dxfId="398" priority="121" stopIfTrue="1" operator="equal">
      <formula>"ERROR"</formula>
    </cfRule>
    <cfRule type="cellIs" dxfId="397" priority="122" stopIfTrue="1" operator="equal">
      <formula>"OK"</formula>
    </cfRule>
    <cfRule type="cellIs" dxfId="396" priority="123" stopIfTrue="1" operator="equal">
      <formula>"WARNING"</formula>
    </cfRule>
  </conditionalFormatting>
  <conditionalFormatting sqref="H106:J121 J126:M156">
    <cfRule type="cellIs" dxfId="395" priority="196" stopIfTrue="1" operator="equal">
      <formula>"ERROR"</formula>
    </cfRule>
  </conditionalFormatting>
  <conditionalFormatting sqref="H106:J121 J126:M156">
    <cfRule type="cellIs" dxfId="394" priority="197" stopIfTrue="1" operator="equal">
      <formula>"OK"</formula>
    </cfRule>
  </conditionalFormatting>
  <conditionalFormatting sqref="H106:J121 J126:M156">
    <cfRule type="cellIs" dxfId="393" priority="198" stopIfTrue="1" operator="equal">
      <formula>"WARNING"</formula>
    </cfRule>
  </conditionalFormatting>
  <conditionalFormatting sqref="C102">
    <cfRule type="cellIs" dxfId="392" priority="58" stopIfTrue="1" operator="equal">
      <formula>"ERROR"</formula>
    </cfRule>
  </conditionalFormatting>
  <conditionalFormatting sqref="C102">
    <cfRule type="cellIs" dxfId="391" priority="59" stopIfTrue="1" operator="equal">
      <formula>"OK"</formula>
    </cfRule>
  </conditionalFormatting>
  <conditionalFormatting sqref="C102">
    <cfRule type="cellIs" dxfId="390" priority="60" stopIfTrue="1" operator="equal">
      <formula>"WARNING"</formula>
    </cfRule>
  </conditionalFormatting>
  <conditionalFormatting sqref="C103">
    <cfRule type="cellIs" dxfId="389" priority="55" stopIfTrue="1" operator="equal">
      <formula>"ERROR"</formula>
    </cfRule>
  </conditionalFormatting>
  <conditionalFormatting sqref="C103">
    <cfRule type="cellIs" dxfId="388" priority="56" stopIfTrue="1" operator="equal">
      <formula>"OK"</formula>
    </cfRule>
  </conditionalFormatting>
  <conditionalFormatting sqref="C103">
    <cfRule type="cellIs" dxfId="387" priority="57" stopIfTrue="1" operator="equal">
      <formula>"WARNING"</formula>
    </cfRule>
  </conditionalFormatting>
  <conditionalFormatting sqref="D12">
    <cfRule type="cellIs" dxfId="386" priority="52" stopIfTrue="1" operator="equal">
      <formula>"ERROR"</formula>
    </cfRule>
    <cfRule type="cellIs" dxfId="385" priority="53" stopIfTrue="1" operator="equal">
      <formula>"OK"</formula>
    </cfRule>
    <cfRule type="cellIs" dxfId="384" priority="54" stopIfTrue="1" operator="equal">
      <formula>"WARNING"</formula>
    </cfRule>
  </conditionalFormatting>
  <conditionalFormatting sqref="F86:F98">
    <cfRule type="cellIs" dxfId="383" priority="199" stopIfTrue="1" operator="equal">
      <formula>"ERROR"</formula>
    </cfRule>
  </conditionalFormatting>
  <conditionalFormatting sqref="F86:F98">
    <cfRule type="cellIs" dxfId="382" priority="200" stopIfTrue="1" operator="equal">
      <formula>"OK"</formula>
    </cfRule>
  </conditionalFormatting>
  <conditionalFormatting sqref="F86:F98">
    <cfRule type="cellIs" dxfId="381" priority="201" stopIfTrue="1" operator="equal">
      <formula>"WARNING"</formula>
    </cfRule>
  </conditionalFormatting>
  <conditionalFormatting sqref="C75">
    <cfRule type="cellIs" dxfId="380" priority="49" stopIfTrue="1" operator="equal">
      <formula>"ERROR"</formula>
    </cfRule>
  </conditionalFormatting>
  <conditionalFormatting sqref="C75">
    <cfRule type="cellIs" dxfId="379" priority="50" stopIfTrue="1" operator="equal">
      <formula>"OK"</formula>
    </cfRule>
  </conditionalFormatting>
  <conditionalFormatting sqref="C75">
    <cfRule type="cellIs" dxfId="378" priority="51" stopIfTrue="1" operator="equal">
      <formula>"WARNING"</formula>
    </cfRule>
  </conditionalFormatting>
  <conditionalFormatting sqref="D11">
    <cfRule type="cellIs" dxfId="377" priority="202" stopIfTrue="1" operator="equal">
      <formula>"ERROR"</formula>
    </cfRule>
    <cfRule type="cellIs" dxfId="376" priority="203" stopIfTrue="1" operator="equal">
      <formula>"OK"</formula>
    </cfRule>
    <cfRule type="cellIs" dxfId="375" priority="204" stopIfTrue="1" operator="equal">
      <formula>"WARNING"</formula>
    </cfRule>
  </conditionalFormatting>
  <conditionalFormatting sqref="G28">
    <cfRule type="cellIs" dxfId="374" priority="46" stopIfTrue="1" operator="equal">
      <formula>"ERROR"</formula>
    </cfRule>
    <cfRule type="cellIs" dxfId="373" priority="47" stopIfTrue="1" operator="equal">
      <formula>"OK"</formula>
    </cfRule>
    <cfRule type="cellIs" dxfId="372" priority="48" stopIfTrue="1" operator="equal">
      <formula>"WARNING"</formula>
    </cfRule>
  </conditionalFormatting>
  <conditionalFormatting sqref="X29">
    <cfRule type="cellIs" dxfId="371" priority="43" stopIfTrue="1" operator="equal">
      <formula>"ERROR"</formula>
    </cfRule>
    <cfRule type="cellIs" dxfId="370" priority="44" stopIfTrue="1" operator="equal">
      <formula>"OK"</formula>
    </cfRule>
    <cfRule type="cellIs" dxfId="369" priority="45" stopIfTrue="1" operator="equal">
      <formula>"WARNING"</formula>
    </cfRule>
  </conditionalFormatting>
  <conditionalFormatting sqref="AI29">
    <cfRule type="cellIs" dxfId="368" priority="40" stopIfTrue="1" operator="equal">
      <formula>"ERROR"</formula>
    </cfRule>
    <cfRule type="cellIs" dxfId="367" priority="41" stopIfTrue="1" operator="equal">
      <formula>"OK"</formula>
    </cfRule>
    <cfRule type="cellIs" dxfId="366" priority="42" stopIfTrue="1" operator="equal">
      <formula>"WARNING"</formula>
    </cfRule>
  </conditionalFormatting>
  <conditionalFormatting sqref="AI29">
    <cfRule type="cellIs" dxfId="365" priority="37" stopIfTrue="1" operator="equal">
      <formula>"ERROR"</formula>
    </cfRule>
    <cfRule type="cellIs" dxfId="364" priority="38" stopIfTrue="1" operator="equal">
      <formula>"OK"</formula>
    </cfRule>
    <cfRule type="cellIs" dxfId="363" priority="39" stopIfTrue="1" operator="equal">
      <formula>"WARNING"</formula>
    </cfRule>
  </conditionalFormatting>
  <conditionalFormatting sqref="AN29">
    <cfRule type="cellIs" dxfId="362" priority="34" stopIfTrue="1" operator="equal">
      <formula>"ERROR"</formula>
    </cfRule>
    <cfRule type="cellIs" dxfId="361" priority="35" stopIfTrue="1" operator="equal">
      <formula>"OK"</formula>
    </cfRule>
    <cfRule type="cellIs" dxfId="360" priority="36" stopIfTrue="1" operator="equal">
      <formula>"WARNING"</formula>
    </cfRule>
  </conditionalFormatting>
  <conditionalFormatting sqref="AN29">
    <cfRule type="cellIs" dxfId="359" priority="31" stopIfTrue="1" operator="equal">
      <formula>"ERROR"</formula>
    </cfRule>
    <cfRule type="cellIs" dxfId="358" priority="32" stopIfTrue="1" operator="equal">
      <formula>"OK"</formula>
    </cfRule>
    <cfRule type="cellIs" dxfId="357" priority="33" stopIfTrue="1" operator="equal">
      <formula>"WARNING"</formula>
    </cfRule>
  </conditionalFormatting>
  <conditionalFormatting sqref="AI28">
    <cfRule type="cellIs" dxfId="356" priority="28" stopIfTrue="1" operator="equal">
      <formula>"ERROR"</formula>
    </cfRule>
    <cfRule type="cellIs" dxfId="355" priority="29" stopIfTrue="1" operator="equal">
      <formula>"OK"</formula>
    </cfRule>
    <cfRule type="cellIs" dxfId="354" priority="30" stopIfTrue="1" operator="equal">
      <formula>"WARNING"</formula>
    </cfRule>
  </conditionalFormatting>
  <conditionalFormatting sqref="AI28">
    <cfRule type="cellIs" dxfId="353" priority="25" stopIfTrue="1" operator="equal">
      <formula>"ERROR"</formula>
    </cfRule>
    <cfRule type="cellIs" dxfId="352" priority="26" stopIfTrue="1" operator="equal">
      <formula>"OK"</formula>
    </cfRule>
    <cfRule type="cellIs" dxfId="351" priority="27" stopIfTrue="1" operator="equal">
      <formula>"WARNING"</formula>
    </cfRule>
  </conditionalFormatting>
  <conditionalFormatting sqref="AK26 AO28">
    <cfRule type="cellIs" dxfId="350" priority="22" stopIfTrue="1" operator="equal">
      <formula>"ERROR"</formula>
    </cfRule>
    <cfRule type="cellIs" dxfId="349" priority="23" stopIfTrue="1" operator="equal">
      <formula>"OK"</formula>
    </cfRule>
    <cfRule type="cellIs" dxfId="348" priority="24" stopIfTrue="1" operator="equal">
      <formula>"WARNING"</formula>
    </cfRule>
  </conditionalFormatting>
  <dataValidations count="2">
    <dataValidation type="list" allowBlank="1" showInputMessage="1" showErrorMessage="1" sqref="C36 AC36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G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  <hyperlink ref="F19:G19" location="CurveBootstrapping.Title.DualBoostrappedRealCurveFEDFUND" display="CurveBootstrapping.Title.DualBoostrappedRealCurveFEDFUND" xr:uid="{880F0959-77C4-42FA-8B39-A1CA10F45015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" zoomScale="85" zoomScaleNormal="85" workbookViewId="0">
      <selection activeCell="G12" sqref="G12"/>
    </sheetView>
  </sheetViews>
  <sheetFormatPr defaultRowHeight="15"/>
  <cols>
    <col min="1" max="1" width="3.75" style="439" customWidth="1"/>
    <col min="2" max="2" width="15.5" style="439" customWidth="1"/>
    <col min="3" max="3" width="17.125" style="439" customWidth="1"/>
    <col min="4" max="4" width="11.25" style="439" customWidth="1"/>
    <col min="5" max="5" width="13.75" style="439" customWidth="1"/>
    <col min="6" max="6" width="14.875" style="439" bestFit="1" customWidth="1"/>
    <col min="7" max="7" width="19.625" style="439" bestFit="1" customWidth="1"/>
    <col min="8" max="8" width="19.5" style="439" bestFit="1" customWidth="1"/>
    <col min="9" max="9" width="14.5" style="439" bestFit="1" customWidth="1"/>
    <col min="10" max="10" width="10.625" style="439" customWidth="1"/>
    <col min="11" max="11" width="15.25" style="439" customWidth="1"/>
    <col min="12" max="12" width="16.5" style="439" customWidth="1"/>
    <col min="13" max="13" width="13.625" style="439" customWidth="1"/>
    <col min="14" max="14" width="16.5" style="439" customWidth="1"/>
    <col min="15" max="15" width="14.75" style="439" customWidth="1"/>
    <col min="16" max="16" width="15.25" style="439" bestFit="1" customWidth="1"/>
    <col min="17" max="17" width="16.5" style="439" customWidth="1"/>
    <col min="18" max="18" width="20.25" style="439" bestFit="1" customWidth="1"/>
    <col min="19" max="19" width="19.5" style="439" bestFit="1" customWidth="1"/>
    <col min="20" max="20" width="16.5" style="439" customWidth="1"/>
    <col min="21" max="21" width="8.375" style="439" customWidth="1"/>
    <col min="22" max="22" width="12.75" style="439" customWidth="1"/>
    <col min="23" max="23" width="18.5" style="439" bestFit="1" customWidth="1"/>
    <col min="24" max="16384" width="9" style="439"/>
  </cols>
  <sheetData>
    <row r="1" spans="1:23">
      <c r="B1" s="408" t="s">
        <v>387</v>
      </c>
    </row>
    <row r="2" spans="1:23" ht="26.25">
      <c r="B2" s="2" t="s">
        <v>642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140</v>
      </c>
      <c r="C6" s="164" t="str" cm="1">
        <f t="array" aca="1" ref="C6" ca="1">_xll.d.TestUtils_And(#REF!,#REF!,H10,D10)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5" t="s">
        <v>720</v>
      </c>
      <c r="C9" s="236"/>
      <c r="D9" s="237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2" t="s">
        <v>719</v>
      </c>
      <c r="C10" s="202"/>
      <c r="D10" s="164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407"/>
      <c r="G11" s="202"/>
      <c r="H11" s="16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9"/>
      <c r="C12" s="234"/>
      <c r="D12" s="16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81"/>
    </row>
    <row r="15" spans="1:23" ht="18.75">
      <c r="A15" s="204"/>
      <c r="B15" s="3" t="s">
        <v>702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4"/>
    </row>
    <row r="17" spans="1:23" ht="15.75">
      <c r="A17" s="204"/>
      <c r="B17" s="4" t="s">
        <v>719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4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4"/>
      <c r="B19" s="50" t="s">
        <v>107</v>
      </c>
      <c r="C19" s="164" t="str" cm="1">
        <f t="array" aca="1" ref="C19" ca="1">_xll.d.TestUtils_And(I29:I35,I52:I57,N29:N50,V31:V42,V83:V87,#REF!)</f>
        <v>Ok</v>
      </c>
      <c r="S19" s="54"/>
      <c r="T19" s="54"/>
      <c r="U19" s="54"/>
      <c r="V19" s="54"/>
      <c r="W19" s="54"/>
    </row>
    <row r="20" spans="1:23">
      <c r="A20" s="204"/>
      <c r="F20" s="912" t="s">
        <v>705</v>
      </c>
      <c r="G20" s="912"/>
      <c r="H20" s="912"/>
      <c r="I20" s="912"/>
      <c r="K20" s="912" t="s">
        <v>704</v>
      </c>
      <c r="L20" s="912"/>
      <c r="M20" s="912"/>
      <c r="N20" s="912"/>
      <c r="P20" s="912" t="s">
        <v>722</v>
      </c>
      <c r="Q20" s="912"/>
      <c r="R20" s="912"/>
      <c r="S20" s="54"/>
      <c r="T20" s="912" t="s">
        <v>723</v>
      </c>
      <c r="U20" s="912"/>
      <c r="V20" s="912"/>
      <c r="W20" s="912"/>
    </row>
    <row r="21" spans="1:23">
      <c r="A21" s="204"/>
      <c r="B21" s="56" t="s">
        <v>721</v>
      </c>
      <c r="C21" s="56"/>
      <c r="F21" s="733" t="s">
        <v>706</v>
      </c>
      <c r="K21" s="733" t="s">
        <v>707</v>
      </c>
      <c r="O21" s="54"/>
      <c r="S21" s="54"/>
      <c r="T21" s="54"/>
      <c r="U21" s="54"/>
      <c r="V21" s="54"/>
      <c r="W21" s="54"/>
    </row>
    <row r="22" spans="1:23">
      <c r="A22" s="204"/>
      <c r="B22" s="931" t="str">
        <f ca="1">P23</f>
        <v>@@USDSwap-Dual::09:14:42</v>
      </c>
      <c r="C22" s="932"/>
      <c r="F22" s="12" t="s">
        <v>609</v>
      </c>
      <c r="G22" s="12"/>
      <c r="H22" s="913" cm="1">
        <f t="array" aca="1" ref="H22" ca="1">_xll.d.Dates_AddTenorToDate(C29,"2d","USD","MODFOL")</f>
        <v>44655</v>
      </c>
      <c r="K22" s="859" t="s">
        <v>708</v>
      </c>
      <c r="N22" s="739"/>
      <c r="O22" s="54"/>
      <c r="P22" s="56" t="s">
        <v>721</v>
      </c>
      <c r="Q22" s="56"/>
      <c r="S22" s="54"/>
      <c r="T22" s="121" t="s">
        <v>489</v>
      </c>
      <c r="U22" s="54"/>
      <c r="V22" s="54"/>
      <c r="W22" s="54"/>
    </row>
    <row r="23" spans="1:23">
      <c r="A23" s="204"/>
      <c r="F23" s="121" t="s">
        <v>489</v>
      </c>
      <c r="G23" s="121"/>
      <c r="H23" s="782">
        <v>1E-3</v>
      </c>
      <c r="K23" s="121" t="s">
        <v>489</v>
      </c>
      <c r="O23" s="54"/>
      <c r="P23" s="931" t="str" cm="1">
        <f t="array" aca="1" ref="P23" ca="1">_xll.d.Curve_Bootstrap("USDSwap-Dual",P27:Q33,,P35:R39,P41:R48,P50:R64)</f>
        <v>@@USDSwap-Dual::09:14:42</v>
      </c>
      <c r="Q23" s="932"/>
      <c r="R23" s="54"/>
      <c r="S23" s="54"/>
      <c r="T23" s="954">
        <v>1E-3</v>
      </c>
      <c r="V23" s="54"/>
      <c r="W23" s="54"/>
    </row>
    <row r="24" spans="1:23">
      <c r="A24" s="204"/>
      <c r="B24" s="56" t="s">
        <v>37</v>
      </c>
      <c r="C24" s="56"/>
      <c r="K24" s="95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4"/>
      <c r="B25" s="929" t="str" cm="1">
        <f t="array" aca="1" ref="B25" ca="1">_xll.d.Curve_Bootstrap("USDOIS-Dual",B27:C32,,B35:D37,B39:D60)</f>
        <v>@@USDOIS-Dual::09:14:34</v>
      </c>
      <c r="C25" s="930"/>
      <c r="S25" s="54"/>
      <c r="V25" s="54"/>
      <c r="W25" s="54"/>
    </row>
    <row r="26" spans="1:23">
      <c r="A26" s="204"/>
      <c r="B26" s="933"/>
      <c r="C26" s="934"/>
      <c r="S26" s="54"/>
    </row>
    <row r="27" spans="1:23">
      <c r="A27" s="204"/>
      <c r="B27" s="12" t="s">
        <v>47</v>
      </c>
      <c r="C27" s="13"/>
      <c r="D27" s="13"/>
      <c r="F27" s="121" t="s">
        <v>210</v>
      </c>
      <c r="G27" s="192"/>
      <c r="H27" s="192"/>
      <c r="I27" s="122"/>
      <c r="K27" s="121" t="s">
        <v>31</v>
      </c>
      <c r="L27" s="753" t="s">
        <v>2</v>
      </c>
      <c r="M27" s="754"/>
      <c r="N27" s="122" t="s">
        <v>68</v>
      </c>
      <c r="O27" s="54"/>
      <c r="P27" s="12" t="s">
        <v>47</v>
      </c>
      <c r="Q27" s="13"/>
      <c r="R27" s="13"/>
      <c r="S27" s="54"/>
      <c r="T27" s="819" t="s">
        <v>210</v>
      </c>
      <c r="U27" s="820"/>
      <c r="V27" s="820"/>
      <c r="W27" s="821"/>
    </row>
    <row r="28" spans="1:23">
      <c r="A28" s="204"/>
      <c r="B28" s="62" t="s">
        <v>29</v>
      </c>
      <c r="C28" s="917" t="s">
        <v>30</v>
      </c>
      <c r="D28" s="917"/>
      <c r="F28" s="761" t="s">
        <v>31</v>
      </c>
      <c r="G28" s="762" t="s">
        <v>38</v>
      </c>
      <c r="H28" s="762" t="s">
        <v>39</v>
      </c>
      <c r="I28" s="763" t="s">
        <v>9</v>
      </c>
      <c r="K28" s="751"/>
      <c r="L28" s="747" t="s">
        <v>598</v>
      </c>
      <c r="M28" s="44" t="s">
        <v>599</v>
      </c>
      <c r="N28" s="752"/>
      <c r="O28" s="54"/>
      <c r="P28" s="62" t="s">
        <v>29</v>
      </c>
      <c r="Q28" s="917" t="s">
        <v>30</v>
      </c>
      <c r="R28" s="917"/>
      <c r="T28" s="761" t="s">
        <v>31</v>
      </c>
      <c r="U28" s="762" t="s">
        <v>38</v>
      </c>
      <c r="V28" s="762" t="s">
        <v>39</v>
      </c>
      <c r="W28" s="763" t="s">
        <v>68</v>
      </c>
    </row>
    <row r="29" spans="1:23">
      <c r="A29" s="204"/>
      <c r="B29" s="270" t="s">
        <v>183</v>
      </c>
      <c r="C29" s="915">
        <v>44651</v>
      </c>
      <c r="D29" s="915"/>
      <c r="F29" s="808">
        <f ca="1">C29</f>
        <v>44651</v>
      </c>
      <c r="G29" s="809">
        <v>1</v>
      </c>
      <c r="H29" s="809" cm="1">
        <f t="array" aca="1" ref="H29:H35" ca="1">_xll.d.Curve_GetDiscountFactors(B25,F29:F35)</f>
        <v>1</v>
      </c>
      <c r="I29" s="810" t="str" cm="1">
        <f t="array" aca="1" ref="I29" ca="1">_xll.d.TestUtils_Equal(G29,H29,$H$23)</f>
        <v>Ok</v>
      </c>
      <c r="K29" s="773">
        <v>44655</v>
      </c>
      <c r="L29" s="774">
        <v>0.99996333417359595</v>
      </c>
      <c r="M29" s="775" cm="1">
        <f t="array" aca="1" ref="M29:M50" ca="1">_xll.d.Curve_GetDiscountFactors(B25,K29:K50)</f>
        <v>0.99996233814505098</v>
      </c>
      <c r="N29" s="746" t="str" cm="1">
        <f t="array" aca="1" ref="N29" ca="1">_xll.d.TestUtils_Equal(L29,M29,$K$24)</f>
        <v>Ok</v>
      </c>
      <c r="O29" s="54"/>
      <c r="P29" s="216" t="s">
        <v>183</v>
      </c>
      <c r="Q29" s="915">
        <f ca="1">C29</f>
        <v>44651</v>
      </c>
      <c r="R29" s="915"/>
      <c r="T29" s="814">
        <f ca="1">Q29</f>
        <v>44651</v>
      </c>
      <c r="U29" s="732">
        <v>1</v>
      </c>
      <c r="V29" s="732" cm="1">
        <f t="array" aca="1" ref="V29" ca="1">_xll.d.Curve_GetDiscountFactors($P$23,T29)</f>
        <v>1</v>
      </c>
      <c r="W29" s="815" t="str" cm="1">
        <f t="array" aca="1" ref="W29" ca="1">_xll.d.TestUtils_Equal(U29,V29,$T$23)</f>
        <v>Ok</v>
      </c>
    </row>
    <row r="30" spans="1:23">
      <c r="A30" s="204"/>
      <c r="B30" s="713" t="s">
        <v>218</v>
      </c>
      <c r="C30" s="978" t="s">
        <v>51</v>
      </c>
      <c r="D30" s="979"/>
      <c r="F30" s="766">
        <f ca="1">EDATE(H22,1)</f>
        <v>44685</v>
      </c>
      <c r="G30" s="738" cm="1">
        <f t="array" aca="1" ref="G30" ca="1">1/(1+C41*_xll.d.Dates_Act360($F$29,F30))</f>
        <v>0.99967710429531254</v>
      </c>
      <c r="H30" s="738">
        <f ca="1"/>
        <v>0.99967743007747889</v>
      </c>
      <c r="I30" s="810" t="str" cm="1">
        <f t="array" aca="1" ref="I30" ca="1">_xll.d.TestUtils_Equal(G30,H30,$H$23)</f>
        <v>Ok</v>
      </c>
      <c r="K30" s="776">
        <v>44656</v>
      </c>
      <c r="L30" s="758">
        <v>0.9999541679270566</v>
      </c>
      <c r="M30" s="777">
        <f ca="1"/>
        <v>0.99995283990139083</v>
      </c>
      <c r="N30" s="746" t="str" cm="1">
        <f t="array" aca="1" ref="N30" ca="1">_xll.d.TestUtils_Equal(L30,M30,$K$24)</f>
        <v>Ok</v>
      </c>
      <c r="O30" s="54"/>
      <c r="P30" s="269" t="s">
        <v>218</v>
      </c>
      <c r="Q30" s="978" t="s">
        <v>717</v>
      </c>
      <c r="R30" s="979"/>
      <c r="T30" s="816" cm="1">
        <f t="array" aca="1" ref="T30" ca="1">_xll.d.Dates_AddTenorToDate($Q$29,P37,"USD","ModFol")</f>
        <v>44652</v>
      </c>
      <c r="U30" s="730" cm="1">
        <f t="array" aca="1" ref="U30" ca="1">1/(1+_xll.d.Dates_Act360($T$29,T30)*Q37)</f>
        <v>0.99999078591823332</v>
      </c>
      <c r="V30" s="730" cm="1">
        <f t="array" aca="1" ref="V30" ca="1">_xll.d.Curve_GetDiscountFactors($P$23,T30)</f>
        <v>0.99999078591823343</v>
      </c>
      <c r="W30" s="815" t="str" cm="1">
        <f t="array" aca="1" ref="W30" ca="1">_xll.d.TestUtils_Equal(U30,V30,$T$23)</f>
        <v>Ok</v>
      </c>
    </row>
    <row r="31" spans="1:23">
      <c r="A31" s="204"/>
      <c r="B31" s="269" t="s">
        <v>45</v>
      </c>
      <c r="C31" s="916" t="s">
        <v>52</v>
      </c>
      <c r="D31" s="916"/>
      <c r="F31" s="766">
        <f ca="1">EDATE(F30,1)</f>
        <v>44716</v>
      </c>
      <c r="G31" s="738" cm="1">
        <f t="array" aca="1" ref="G31" ca="1">1/(1+C42*_xll.d.Dates_Act360($F$29,F31))</f>
        <v>0.99898090073390411</v>
      </c>
      <c r="H31" s="738">
        <f ca="1"/>
        <v>0.9990171835784224</v>
      </c>
      <c r="I31" s="810" t="str" cm="1">
        <f t="array" aca="1" ref="I31" ca="1">_xll.d.TestUtils_Equal(G31,H31,$H$23)</f>
        <v>Ok</v>
      </c>
      <c r="K31" s="776">
        <v>44685</v>
      </c>
      <c r="L31" s="758">
        <v>0.99967709816278005</v>
      </c>
      <c r="M31" s="777">
        <f ca="1"/>
        <v>0.99967743007747889</v>
      </c>
      <c r="N31" s="746" t="str" cm="1">
        <f t="array" aca="1" ref="N31" ca="1">_xll.d.TestUtils_Equal(L31,M31,$K$24)</f>
        <v>Ok</v>
      </c>
      <c r="O31" s="54"/>
      <c r="P31" s="269" t="s">
        <v>45</v>
      </c>
      <c r="Q31" s="916" t="s">
        <v>24</v>
      </c>
      <c r="R31" s="916"/>
      <c r="T31" s="816" cm="1">
        <f t="array" aca="1" ref="T31" ca="1">_xll.d.Dates_AddTenorToDate($Q$29,P38,"USD","ModFol")</f>
        <v>44680</v>
      </c>
      <c r="U31" s="730" cm="1">
        <f t="array" aca="1" ref="U31" ca="1">1/(1+_xll.d.Dates_Act360($T$29,T31)*Q38)</f>
        <v>0.99963602141753505</v>
      </c>
      <c r="V31" s="730" cm="1">
        <f t="array" aca="1" ref="V31" ca="1">_xll.d.Curve_GetDiscountFactors($P$23,T31)</f>
        <v>0.99964995069796359</v>
      </c>
      <c r="W31" s="815" t="str" cm="1">
        <f t="array" aca="1" ref="W31" ca="1">_xll.d.TestUtils_Equal(U31,V31,$T$23)</f>
        <v>Ok</v>
      </c>
    </row>
    <row r="32" spans="1:23">
      <c r="A32" s="204"/>
      <c r="B32" s="127" t="s">
        <v>43</v>
      </c>
      <c r="C32" s="980" t="s">
        <v>710</v>
      </c>
      <c r="D32" s="981"/>
      <c r="F32" s="766">
        <f ca="1">EDATE(F31,1)</f>
        <v>44746</v>
      </c>
      <c r="G32" s="738" cm="1">
        <f t="array" aca="1" ref="G32" ca="1">1/(1+C43*_xll.d.Dates_Act360($F$29,F32))</f>
        <v>0.99810886096094031</v>
      </c>
      <c r="H32" s="738">
        <f ca="1"/>
        <v>0.99815996092050929</v>
      </c>
      <c r="I32" s="810" t="str" cm="1">
        <f t="array" aca="1" ref="I32" ca="1">_xll.d.TestUtils_Equal(G32,H32,$H$23)</f>
        <v>Ok</v>
      </c>
      <c r="K32" s="776">
        <v>44718</v>
      </c>
      <c r="L32" s="758">
        <v>0.99894954384460399</v>
      </c>
      <c r="M32" s="777">
        <f ca="1"/>
        <v>0.99897460200735522</v>
      </c>
      <c r="N32" s="746" t="str" cm="1">
        <f t="array" aca="1" ref="N32" ca="1">_xll.d.TestUtils_Equal(L32,M32,$K$24)</f>
        <v>Ok</v>
      </c>
      <c r="O32" s="54"/>
      <c r="P32" s="269" t="s">
        <v>43</v>
      </c>
      <c r="Q32" s="982" t="s">
        <v>710</v>
      </c>
      <c r="R32" s="983"/>
      <c r="S32" s="734"/>
      <c r="T32" s="816" cm="1">
        <f t="array" aca="1" ref="T32" ca="1">_xll.d.Dates_AddTenorToDate($Q$29,P39,"USD","ModFol")</f>
        <v>44742</v>
      </c>
      <c r="U32" s="730" cm="1">
        <f t="array" aca="1" ref="U32" ca="1">1/(1+_xll.d.Dates_Act360($T$29,T32)*Q39)</f>
        <v>0.99757525838473171</v>
      </c>
      <c r="V32" s="730" cm="1">
        <f t="array" aca="1" ref="V32" ca="1">_xll.d.Curve_GetDiscountFactors($P$23,T32)</f>
        <v>0.99767266761427387</v>
      </c>
      <c r="W32" s="815" t="str" cm="1">
        <f t="array" aca="1" ref="W32" ca="1">_xll.d.TestUtils_Equal(U32,V32,$T$23)</f>
        <v>Ok</v>
      </c>
    </row>
    <row r="33" spans="1:23">
      <c r="A33" s="204"/>
      <c r="F33" s="766">
        <f ca="1">EDATE(F32,1)</f>
        <v>44777</v>
      </c>
      <c r="G33" s="738" cm="1">
        <f t="array" aca="1" ref="G33" ca="1">1/(1+C44*_xll.d.Dates_Act360($F$29,F33))</f>
        <v>0.99701294920418426</v>
      </c>
      <c r="H33" s="738">
        <f ca="1"/>
        <v>0.99706994900858104</v>
      </c>
      <c r="I33" s="810" t="str" cm="1">
        <f t="array" aca="1" ref="I33" ca="1">_xll.d.TestUtils_Equal(G33,H33,$H$23)</f>
        <v>Ok</v>
      </c>
      <c r="K33" s="776">
        <v>44747</v>
      </c>
      <c r="L33" s="758">
        <v>0.99808891623829643</v>
      </c>
      <c r="M33" s="777">
        <f ca="1"/>
        <v>0.99813087888575547</v>
      </c>
      <c r="N33" s="746" t="str" cm="1">
        <f t="array" aca="1" ref="N33" ca="1">_xll.d.TestUtils_Equal(L33,M33,$K$24)</f>
        <v>Ok</v>
      </c>
      <c r="O33" s="54"/>
      <c r="P33" s="143" t="s">
        <v>635</v>
      </c>
      <c r="Q33" s="935" t="str">
        <f ca="1">B25</f>
        <v>@@USDOIS-Dual::09:14:34</v>
      </c>
      <c r="R33" s="936"/>
      <c r="S33" s="734" t="s">
        <v>27</v>
      </c>
      <c r="T33" s="816" cm="1">
        <f t="array" aca="1" ref="T33" ca="1">_xll.d.Dates_AddTenorToDate($Q$29,S33,"USD","ModFol")</f>
        <v>44834</v>
      </c>
      <c r="U33" s="730" cm="1">
        <f t="array" aca="1" ref="U33" ca="1">1/(1+_xll.d.Dates_Act360(T32,T33)*Q43)*U32</f>
        <v>0.9933460324656187</v>
      </c>
      <c r="V33" s="730" cm="1">
        <f t="array" aca="1" ref="V33" ca="1">_xll.d.Curve_GetDiscountFactors($P$23,T33)</f>
        <v>0.99349292112696475</v>
      </c>
      <c r="W33" s="815" t="str" cm="1">
        <f t="array" aca="1" ref="W33" ca="1">_xll.d.TestUtils_Equal(U33,V33,$T$23)</f>
        <v>Ok</v>
      </c>
    </row>
    <row r="34" spans="1:23">
      <c r="A34" s="204"/>
      <c r="F34" s="766">
        <f ca="1">EDATE(F33,1)</f>
        <v>44808</v>
      </c>
      <c r="G34" s="738" cm="1">
        <f t="array" aca="1" ref="G34" ca="1">1/(1+C45*_xll.d.Dates_Act360($F$29,F34))</f>
        <v>0.99561891723511198</v>
      </c>
      <c r="H34" s="738">
        <f ca="1"/>
        <v>0.99572377438915471</v>
      </c>
      <c r="I34" s="810" t="str" cm="1">
        <f t="array" aca="1" ref="I34" ca="1">_xll.d.TestUtils_Equal(G34,H34,$H$23)</f>
        <v>Ok</v>
      </c>
      <c r="K34" s="776">
        <v>44777</v>
      </c>
      <c r="L34" s="758">
        <v>0.9970128077099264</v>
      </c>
      <c r="M34" s="777">
        <f ca="1"/>
        <v>0.99706994900858104</v>
      </c>
      <c r="N34" s="746" t="str" cm="1">
        <f t="array" aca="1" ref="N34" ca="1">_xll.d.TestUtils_Equal(L34,M34,$K$24)</f>
        <v>Ok</v>
      </c>
      <c r="O34" s="54"/>
      <c r="S34" s="734" t="s">
        <v>28</v>
      </c>
      <c r="T34" s="816" cm="1">
        <f t="array" aca="1" ref="T34" ca="1">_xll.d.Dates_AddTenorToDate($Q$29,S34,"USD","ModFol")</f>
        <v>44925</v>
      </c>
      <c r="U34" s="730" cm="1">
        <f t="array" aca="1" ref="U34" ca="1">1/(1+_xll.d.Dates_Act360(T33,T34)*Q44)*U33</f>
        <v>0.98760768614641792</v>
      </c>
      <c r="V34" s="730" cm="1">
        <f t="array" aca="1" ref="V34" ca="1">_xll.d.Curve_GetDiscountFactors($P$23,T34)</f>
        <v>0.9878229886829365</v>
      </c>
      <c r="W34" s="815" t="str" cm="1">
        <f t="array" aca="1" ref="W34" ca="1">_xll.d.TestUtils_Equal(U34,V34,$T$23)</f>
        <v>Ok</v>
      </c>
    </row>
    <row r="35" spans="1:23">
      <c r="A35" s="204"/>
      <c r="B35" s="12" t="s">
        <v>21</v>
      </c>
      <c r="C35" s="27"/>
      <c r="D35" s="13"/>
      <c r="F35" s="767">
        <f ca="1">EDATE(F34,1)</f>
        <v>44838</v>
      </c>
      <c r="G35" s="768" cm="1">
        <f t="array" aca="1" ref="G35" ca="1">1/(1+C46*_xll.d.Dates_Act360($F$29,F35))</f>
        <v>0.9942261421490407</v>
      </c>
      <c r="H35" s="768">
        <f ca="1"/>
        <v>0.99431150017106629</v>
      </c>
      <c r="I35" s="810" t="str" cm="1">
        <f t="array" aca="1" ref="I35" ca="1">_xll.d.TestUtils_Equal(G35,H35,$H$23)</f>
        <v>Ok</v>
      </c>
      <c r="K35" s="776">
        <v>44810</v>
      </c>
      <c r="L35" s="758">
        <v>0.99556310762600775</v>
      </c>
      <c r="M35" s="777">
        <f ca="1"/>
        <v>0.99563698685194657</v>
      </c>
      <c r="N35" s="746" t="str" cm="1">
        <f t="array" aca="1" ref="N35" ca="1">_xll.d.TestUtils_Equal(L35,M35,$K$24)</f>
        <v>Ok</v>
      </c>
      <c r="O35" s="54"/>
      <c r="P35" s="12" t="s">
        <v>21</v>
      </c>
      <c r="Q35" s="27"/>
      <c r="R35" s="13"/>
      <c r="S35" s="734" t="s">
        <v>589</v>
      </c>
      <c r="T35" s="816" cm="1">
        <f t="array" aca="1" ref="T35" ca="1">_xll.d.Dates_AddTenorToDate($Q$29,S35,"USD","ModFol")</f>
        <v>45016</v>
      </c>
      <c r="U35" s="730" cm="1">
        <f t="array" aca="1" ref="U35" ca="1">1/(1+_xll.d.Dates_Act360(T34,T35)*Q45)*U34</f>
        <v>0.98075265823113977</v>
      </c>
      <c r="V35" s="730" cm="1">
        <f t="array" aca="1" ref="V35" ca="1">_xll.d.Curve_GetDiscountFactors($P$23,T35)</f>
        <v>0.98102938599449341</v>
      </c>
      <c r="W35" s="815" t="str" cm="1">
        <f t="array" aca="1" ref="W35" ca="1">_xll.d.TestUtils_Equal(U35,V35,$T$23)</f>
        <v>Ok</v>
      </c>
    </row>
    <row r="36" spans="1:23">
      <c r="A36" s="204"/>
      <c r="B36" s="62" t="s">
        <v>35</v>
      </c>
      <c r="C36" s="63" t="s">
        <v>36</v>
      </c>
      <c r="D36" s="64" t="s">
        <v>42</v>
      </c>
      <c r="H36" s="273"/>
      <c r="I36" s="278"/>
      <c r="K36" s="776">
        <v>44838</v>
      </c>
      <c r="L36" s="758">
        <v>0.99422578625789704</v>
      </c>
      <c r="M36" s="777">
        <f ca="1"/>
        <v>0.99431150017106629</v>
      </c>
      <c r="N36" s="746" t="str" cm="1">
        <f t="array" aca="1" ref="N36" ca="1">_xll.d.TestUtils_Equal(L36,M36,$K$24)</f>
        <v>Ok</v>
      </c>
      <c r="O36" s="54"/>
      <c r="P36" s="62" t="s">
        <v>35</v>
      </c>
      <c r="Q36" s="63" t="s">
        <v>36</v>
      </c>
      <c r="R36" s="64" t="s">
        <v>42</v>
      </c>
      <c r="S36" s="734" t="s">
        <v>590</v>
      </c>
      <c r="T36" s="816" cm="1">
        <f t="array" aca="1" ref="T36" ca="1">_xll.d.Dates_AddTenorToDate($Q$29,S36,"USD","ModFol")</f>
        <v>45107</v>
      </c>
      <c r="U36" s="730" cm="1">
        <f t="array" aca="1" ref="U36" ca="1">1/(1+_xll.d.Dates_Act360(T35,T36)*Q46)*U35</f>
        <v>0.97323697089520322</v>
      </c>
      <c r="V36" s="730" cm="1">
        <f t="array" aca="1" ref="V36" ca="1">_xll.d.Curve_GetDiscountFactors($P$23,T36)</f>
        <v>0.9735429979106599</v>
      </c>
      <c r="W36" s="815" t="str" cm="1">
        <f t="array" aca="1" ref="W36" ca="1">_xll.d.TestUtils_Equal(U36,V36,$T$23)</f>
        <v>Ok</v>
      </c>
    </row>
    <row r="37" spans="1:23">
      <c r="A37" s="204"/>
      <c r="B37" s="225" t="s">
        <v>52</v>
      </c>
      <c r="C37" s="227">
        <v>3.3E-3</v>
      </c>
      <c r="D37" s="226" t="b">
        <v>1</v>
      </c>
      <c r="K37" s="776">
        <v>44930</v>
      </c>
      <c r="L37" s="758">
        <v>0.9888258604504544</v>
      </c>
      <c r="M37" s="777">
        <f ca="1"/>
        <v>0.98894793056834618</v>
      </c>
      <c r="N37" s="746" t="str" cm="1">
        <f t="array" aca="1" ref="N37" ca="1">_xll.d.TestUtils_Equal(L37,M37,$K$24)</f>
        <v>Ok</v>
      </c>
      <c r="O37" s="54"/>
      <c r="P37" s="706" t="s">
        <v>52</v>
      </c>
      <c r="Q37" s="707">
        <v>3.3170999999999999E-3</v>
      </c>
      <c r="R37" s="250" t="b">
        <v>1</v>
      </c>
      <c r="S37" s="734" t="s">
        <v>591</v>
      </c>
      <c r="T37" s="816" cm="1">
        <f t="array" aca="1" ref="T37" ca="1">_xll.d.Dates_AddTenorToDate($Q$29,S37,"USD","ModFol")</f>
        <v>45198</v>
      </c>
      <c r="U37" s="730" cm="1">
        <f t="array" aca="1" ref="U37" ca="1">1/(1+_xll.d.Dates_Act360(T36,T37)*Q47)*U36</f>
        <v>0.96546961497669326</v>
      </c>
      <c r="V37" s="730" cm="1">
        <f t="array" aca="1" ref="V37" ca="1">_xll.d.Curve_GetDiscountFactors($P$23,T37)</f>
        <v>0.96579053316281505</v>
      </c>
      <c r="W37" s="815" t="str" cm="1">
        <f t="array" aca="1" ref="W37" ca="1">_xll.d.TestUtils_Equal(U37,V37,$T$23)</f>
        <v>Ok</v>
      </c>
    </row>
    <row r="38" spans="1:23">
      <c r="A38" s="204"/>
      <c r="F38" s="121" t="s">
        <v>552</v>
      </c>
      <c r="G38" s="192"/>
      <c r="H38" s="192"/>
      <c r="I38" s="122"/>
      <c r="K38" s="776">
        <v>45020</v>
      </c>
      <c r="L38" s="758">
        <v>0.98256492920654781</v>
      </c>
      <c r="M38" s="777">
        <f ca="1"/>
        <v>0.98271527559368366</v>
      </c>
      <c r="N38" s="746" t="str" cm="1">
        <f t="array" aca="1" ref="N38" ca="1">_xll.d.TestUtils_Equal(L38,M38,$K$24)</f>
        <v>Ok</v>
      </c>
      <c r="O38" s="54"/>
      <c r="P38" s="251" t="s">
        <v>25</v>
      </c>
      <c r="Q38" s="708">
        <v>4.5199999999999997E-3</v>
      </c>
      <c r="R38" s="252" t="b">
        <v>1</v>
      </c>
      <c r="S38" s="734" t="s">
        <v>592</v>
      </c>
      <c r="T38" s="817" cm="1">
        <f t="array" aca="1" ref="T38" ca="1">_xll.d.Dates_AddTenorToDate($Q$29,S38,"USD","ModFol")</f>
        <v>45289</v>
      </c>
      <c r="U38" s="818" cm="1">
        <f t="array" aca="1" ref="U38" ca="1">1/(1+_xll.d.Dates_Act360(T37,T38)*Q48)*U37</f>
        <v>0.95784519384053368</v>
      </c>
      <c r="V38" s="818" cm="1">
        <f t="array" aca="1" ref="V38" ca="1">_xll.d.Curve_GetDiscountFactors($P$23,T38)</f>
        <v>0.95815945900895705</v>
      </c>
      <c r="W38" s="815" t="str" cm="1">
        <f t="array" aca="1" ref="W38" ca="1">_xll.d.TestUtils_Equal(U38,V38,$T$23)</f>
        <v>Ok</v>
      </c>
    </row>
    <row r="39" spans="1:23">
      <c r="A39" s="204"/>
      <c r="B39" s="12" t="s">
        <v>50</v>
      </c>
      <c r="C39" s="27"/>
      <c r="D39" s="13"/>
      <c r="F39" s="119" t="s">
        <v>0</v>
      </c>
      <c r="G39" s="291" t="s">
        <v>550</v>
      </c>
      <c r="H39" s="291" t="s">
        <v>551</v>
      </c>
      <c r="I39" s="120" t="s">
        <v>2</v>
      </c>
      <c r="K39" s="776">
        <v>45203</v>
      </c>
      <c r="L39" s="758">
        <v>0.96863570501852436</v>
      </c>
      <c r="M39" s="777">
        <f ca="1"/>
        <v>0.96889716294273875</v>
      </c>
      <c r="N39" s="746" t="str" cm="1">
        <f t="array" aca="1" ref="N39" ca="1">_xll.d.TestUtils_Equal(L39,M39,$K$24)</f>
        <v>Ok</v>
      </c>
      <c r="O39" s="54"/>
      <c r="P39" s="253" t="s">
        <v>24</v>
      </c>
      <c r="Q39" s="709">
        <v>9.6156999999999996E-3</v>
      </c>
      <c r="R39" s="255" t="b">
        <v>1</v>
      </c>
      <c r="S39" s="734"/>
      <c r="T39" s="54"/>
      <c r="U39" s="54"/>
      <c r="V39" s="54"/>
      <c r="W39" s="54"/>
    </row>
    <row r="40" spans="1:23">
      <c r="A40" s="204"/>
      <c r="B40" s="62" t="s">
        <v>35</v>
      </c>
      <c r="C40" s="63" t="s">
        <v>36</v>
      </c>
      <c r="D40" s="64" t="s">
        <v>42</v>
      </c>
      <c r="F40" s="723">
        <f t="array" aca="1" ref="F40:F48" ca="1">_xll.d.Dates_GenerateSchedule(H22,_xll.d.Dates_AddTenorToDate(H22,"8Y","USD","ModFol"),"1y","USD","ModFol","Forward")</f>
        <v>44655</v>
      </c>
      <c r="G40" s="722"/>
      <c r="H40" s="722"/>
      <c r="I40" s="724"/>
      <c r="K40" s="776">
        <v>45386</v>
      </c>
      <c r="L40" s="758">
        <v>0.95447497778402202</v>
      </c>
      <c r="M40" s="777">
        <f ca="1"/>
        <v>0.95462529734401802</v>
      </c>
      <c r="N40" s="746" t="str" cm="1">
        <f t="array" aca="1" ref="N40" ca="1">_xll.d.TestUtils_Equal(L40,M40,$K$24)</f>
        <v>Ok</v>
      </c>
      <c r="O40" s="54"/>
    </row>
    <row r="41" spans="1:23">
      <c r="A41" s="204"/>
      <c r="B41" s="770" t="s">
        <v>25</v>
      </c>
      <c r="C41" s="274">
        <v>3.4200000000000003E-3</v>
      </c>
      <c r="D41" s="205" t="b">
        <v>1</v>
      </c>
      <c r="F41" s="725">
        <f ca="1"/>
        <v>45020</v>
      </c>
      <c r="G41" s="280" cm="1">
        <f t="array" aca="1" ref="G41" ca="1">_xll.d.Dates_Act360(F40,F41)</f>
        <v>1.0138888888888888</v>
      </c>
      <c r="H41" s="721">
        <f t="array" aca="1" ref="H41:H48" ca="1">_xll.d.Curve_GetForwardRates(B25,F40:F47,F41:F48,"Simple")</f>
        <v>1.7310000000000013E-2</v>
      </c>
      <c r="I41" s="726">
        <f t="array" aca="1" ref="I41:I48" ca="1">_xll.d.Curve_GetDiscountFactors(B25,F41:F48)</f>
        <v>0.98271527559368366</v>
      </c>
      <c r="K41" s="776">
        <v>45751</v>
      </c>
      <c r="L41" s="758">
        <v>0.93151665593338084</v>
      </c>
      <c r="M41" s="777">
        <f ca="1"/>
        <v>0.93168703124417185</v>
      </c>
      <c r="N41" s="746" t="str" cm="1">
        <f t="array" aca="1" ref="N41" ca="1">_xll.d.TestUtils_Equal(L41,M41,$K$24)</f>
        <v>Ok</v>
      </c>
      <c r="O41" s="54"/>
      <c r="P41" s="12" t="s">
        <v>34</v>
      </c>
      <c r="Q41" s="27"/>
      <c r="R41" s="13"/>
      <c r="T41" s="121" t="s">
        <v>552</v>
      </c>
      <c r="U41" s="192"/>
      <c r="V41" s="192"/>
      <c r="W41" s="122"/>
    </row>
    <row r="42" spans="1:23">
      <c r="A42" s="204"/>
      <c r="B42" s="771" t="s">
        <v>26</v>
      </c>
      <c r="C42" s="275">
        <v>5.6499999999999996E-3</v>
      </c>
      <c r="D42" s="206" t="b">
        <v>1</v>
      </c>
      <c r="F42" s="725">
        <f ca="1"/>
        <v>45386</v>
      </c>
      <c r="G42" s="279" cm="1">
        <f t="array" aca="1" ref="G42" ca="1">_xll.d.Dates_Act360(F41,F42)</f>
        <v>1.0166666666666666</v>
      </c>
      <c r="H42" s="607">
        <f ca="1"/>
        <v>2.8942755738634987E-2</v>
      </c>
      <c r="I42" s="727">
        <f ca="1"/>
        <v>0.95462529734401802</v>
      </c>
      <c r="K42" s="776">
        <v>46118</v>
      </c>
      <c r="L42" s="758">
        <v>0.91204003345386175</v>
      </c>
      <c r="M42" s="777">
        <f ca="1"/>
        <v>0.91218522603362695</v>
      </c>
      <c r="N42" s="746" t="str" cm="1">
        <f t="array" aca="1" ref="N42" ca="1">_xll.d.TestUtils_Equal(L42,M42,$K$24)</f>
        <v>Ok</v>
      </c>
      <c r="O42" s="54"/>
      <c r="P42" s="62" t="s">
        <v>193</v>
      </c>
      <c r="Q42" s="63" t="s">
        <v>36</v>
      </c>
      <c r="R42" s="64" t="s">
        <v>42</v>
      </c>
      <c r="T42" s="119" t="s">
        <v>0</v>
      </c>
      <c r="U42" s="291" t="s">
        <v>550</v>
      </c>
      <c r="V42" s="291" t="s">
        <v>551</v>
      </c>
      <c r="W42" s="120" t="s">
        <v>2</v>
      </c>
    </row>
    <row r="43" spans="1:23">
      <c r="A43" s="204"/>
      <c r="B43" s="771" t="s">
        <v>24</v>
      </c>
      <c r="C43" s="275">
        <v>7.1799999999999998E-3</v>
      </c>
      <c r="D43" s="206" t="b">
        <v>1</v>
      </c>
      <c r="F43" s="725">
        <f ca="1"/>
        <v>45751</v>
      </c>
      <c r="G43" s="279" cm="1">
        <f t="array" aca="1" ref="G43" ca="1">_xll.d.Dates_Act360(F42,F43)</f>
        <v>1.0138888888888888</v>
      </c>
      <c r="H43" s="607">
        <f ca="1"/>
        <v>2.4282878818597056E-2</v>
      </c>
      <c r="I43" s="727">
        <f ca="1"/>
        <v>0.93168703124417185</v>
      </c>
      <c r="K43" s="776">
        <v>46482</v>
      </c>
      <c r="L43" s="758">
        <v>0.89492872245432198</v>
      </c>
      <c r="M43" s="777">
        <f ca="1"/>
        <v>0.89506557532505249</v>
      </c>
      <c r="N43" s="746" t="str" cm="1">
        <f t="array" aca="1" ref="N43" ca="1">_xll.d.TestUtils_Equal(L43,M43,$K$24)</f>
        <v>Ok</v>
      </c>
      <c r="O43" s="54"/>
      <c r="P43" s="256" t="s">
        <v>194</v>
      </c>
      <c r="Q43" s="715">
        <v>1.6659999999999998E-2</v>
      </c>
      <c r="R43" s="246" t="b">
        <v>1</v>
      </c>
      <c r="T43" s="723">
        <f t="array" aca="1" ref="T43:T75" ca="1">_xll.d.Dates_GenerateSchedule(Q29,_xll.d.Dates_AddTenorToDate(Q29,"8Y","USD","ModFol"),"3m","USD","ModFol","Forward")</f>
        <v>44651</v>
      </c>
      <c r="U43" s="722"/>
      <c r="V43" s="722"/>
      <c r="W43" s="724"/>
    </row>
    <row r="44" spans="1:23">
      <c r="A44" s="204"/>
      <c r="B44" s="771" t="s">
        <v>601</v>
      </c>
      <c r="C44" s="275">
        <v>8.5599999999999999E-3</v>
      </c>
      <c r="D44" s="206" t="b">
        <v>1</v>
      </c>
      <c r="F44" s="725">
        <f ca="1"/>
        <v>46118</v>
      </c>
      <c r="G44" s="279" cm="1">
        <f t="array" aca="1" ref="G44" ca="1">_xll.d.Dates_Act360(F43,F44)</f>
        <v>1.0194444444444444</v>
      </c>
      <c r="H44" s="607">
        <f ca="1"/>
        <v>2.0971438286730561E-2</v>
      </c>
      <c r="I44" s="727">
        <f ca="1"/>
        <v>0.91218522603362695</v>
      </c>
      <c r="K44" s="776">
        <v>47212</v>
      </c>
      <c r="L44" s="758">
        <v>0.86066681192648165</v>
      </c>
      <c r="M44" s="777">
        <f ca="1"/>
        <v>0.86079635578515534</v>
      </c>
      <c r="N44" s="746" t="str" cm="1">
        <f t="array" aca="1" ref="N44" ca="1">_xll.d.TestUtils_Equal(L44,M44,$K$24)</f>
        <v>Ok</v>
      </c>
      <c r="O44" s="54"/>
      <c r="P44" s="257" t="s">
        <v>195</v>
      </c>
      <c r="Q44" s="716">
        <v>2.2985999999999999E-2</v>
      </c>
      <c r="R44" s="243" t="b">
        <v>1</v>
      </c>
      <c r="S44" s="9"/>
      <c r="T44" s="725">
        <f ca="1"/>
        <v>44742</v>
      </c>
      <c r="U44" s="280" cm="1">
        <f t="array" aca="1" ref="U44" ca="1">_xll.d.Dates_Act360(T43,T44)</f>
        <v>0.25277777777777777</v>
      </c>
      <c r="V44" s="721">
        <f t="array" aca="1" ref="V44:V75" ca="1">_xll.d.Curve_GetForwardRates(P23,T43:T74,T44:T75,"Simple")</f>
        <v>9.2285070215201558E-3</v>
      </c>
      <c r="W44" s="726">
        <f t="array" aca="1" ref="W44:W75" ca="1">_xll.d.Curve_GetDiscountFactors(P23,T44:T75)</f>
        <v>0.99767266761427387</v>
      </c>
    </row>
    <row r="45" spans="1:23">
      <c r="A45" s="204"/>
      <c r="B45" s="771" t="s">
        <v>602</v>
      </c>
      <c r="C45" s="275">
        <v>1.0089999999999998E-2</v>
      </c>
      <c r="D45" s="206" t="b">
        <v>1</v>
      </c>
      <c r="F45" s="725">
        <f ca="1"/>
        <v>46482</v>
      </c>
      <c r="G45" s="279" cm="1">
        <f t="array" aca="1" ref="G45" ca="1">_xll.d.Dates_Act360(F44,F45)</f>
        <v>1.0111111111111111</v>
      </c>
      <c r="H45" s="607">
        <f ca="1"/>
        <v>1.8916516449267999E-2</v>
      </c>
      <c r="I45" s="727">
        <f ca="1"/>
        <v>0.89506557532505249</v>
      </c>
      <c r="K45" s="776">
        <v>48309</v>
      </c>
      <c r="L45" s="758">
        <v>0.81049568807084837</v>
      </c>
      <c r="M45" s="777">
        <f ca="1"/>
        <v>0.81061212037315589</v>
      </c>
      <c r="N45" s="746" t="str" cm="1">
        <f t="array" aca="1" ref="N45" ca="1">_xll.d.TestUtils_Equal(L45,M45,$K$24)</f>
        <v>Ok</v>
      </c>
      <c r="O45" s="54"/>
      <c r="P45" s="257" t="s">
        <v>196</v>
      </c>
      <c r="Q45" s="716">
        <v>2.7650999999999998E-2</v>
      </c>
      <c r="R45" s="243" t="b">
        <v>1</v>
      </c>
      <c r="S45" s="9"/>
      <c r="T45" s="725">
        <f ca="1"/>
        <v>44834</v>
      </c>
      <c r="U45" s="279" cm="1">
        <f t="array" aca="1" ref="U45" ca="1">_xll.d.Dates_Act365(T44,T45)</f>
        <v>0.25205479452054796</v>
      </c>
      <c r="V45" s="607">
        <f ca="1"/>
        <v>1.6462653517849195E-2</v>
      </c>
      <c r="W45" s="727">
        <f ca="1"/>
        <v>0.99349292112696475</v>
      </c>
    </row>
    <row r="46" spans="1:23">
      <c r="A46" s="204"/>
      <c r="B46" s="771" t="s">
        <v>27</v>
      </c>
      <c r="C46" s="275">
        <v>1.1180000000000001E-2</v>
      </c>
      <c r="D46" s="206" t="b">
        <v>1</v>
      </c>
      <c r="F46" s="725">
        <f ca="1"/>
        <v>46847</v>
      </c>
      <c r="G46" s="279" cm="1">
        <f t="array" aca="1" ref="G46" ca="1">_xll.d.Dates_Act360(F45,F46)</f>
        <v>1.0138888888888888</v>
      </c>
      <c r="H46" s="607">
        <f ca="1"/>
        <v>1.9441248096197686E-2</v>
      </c>
      <c r="I46" s="727">
        <f ca="1"/>
        <v>0.87776374123595957</v>
      </c>
      <c r="K46" s="776">
        <v>49038</v>
      </c>
      <c r="L46" s="758">
        <v>0.77683553954317675</v>
      </c>
      <c r="M46" s="777">
        <f ca="1"/>
        <v>0.77694743626846119</v>
      </c>
      <c r="N46" s="746" t="str" cm="1">
        <f t="array" aca="1" ref="N46" ca="1">_xll.d.TestUtils_Equal(L46,M46,$K$24)</f>
        <v>Ok</v>
      </c>
      <c r="O46" s="54"/>
      <c r="P46" s="713" t="s">
        <v>584</v>
      </c>
      <c r="Q46" s="716">
        <v>3.0550000000000001E-2</v>
      </c>
      <c r="R46" s="243" t="b">
        <v>1</v>
      </c>
      <c r="T46" s="725">
        <f ca="1"/>
        <v>44925</v>
      </c>
      <c r="U46" s="279" cm="1">
        <f t="array" aca="1" ref="U46" ca="1">_xll.d.Dates_Act365(T45,T46)</f>
        <v>0.24931506849315069</v>
      </c>
      <c r="V46" s="607">
        <f ca="1"/>
        <v>2.2707005438578065E-2</v>
      </c>
      <c r="W46" s="727">
        <f ca="1"/>
        <v>0.9878229886829365</v>
      </c>
    </row>
    <row r="47" spans="1:23">
      <c r="A47" s="204"/>
      <c r="B47" s="771" t="s">
        <v>28</v>
      </c>
      <c r="C47" s="275">
        <v>1.4579999999999999E-2</v>
      </c>
      <c r="D47" s="206" t="b">
        <v>1</v>
      </c>
      <c r="F47" s="725">
        <f ca="1"/>
        <v>47212</v>
      </c>
      <c r="G47" s="279" cm="1">
        <f t="array" aca="1" ref="G47" ca="1">_xll.d.Dates_Act360(F46,F47)</f>
        <v>1.0138888888888888</v>
      </c>
      <c r="H47" s="607">
        <f ca="1"/>
        <v>1.9441248096197686E-2</v>
      </c>
      <c r="I47" s="727">
        <f ca="1"/>
        <v>0.86079635578515534</v>
      </c>
      <c r="K47" s="776">
        <v>50136</v>
      </c>
      <c r="L47" s="758">
        <v>0.72962499907491318</v>
      </c>
      <c r="M47" s="777">
        <f ca="1"/>
        <v>0.72972988149656359</v>
      </c>
      <c r="N47" s="746" t="str" cm="1">
        <f t="array" aca="1" ref="N47" ca="1">_xll.d.TestUtils_Equal(L47,M47,$K$24)</f>
        <v>Ok</v>
      </c>
      <c r="O47" s="54"/>
      <c r="P47" s="713" t="s">
        <v>585</v>
      </c>
      <c r="Q47" s="716">
        <v>3.1827000000000001E-2</v>
      </c>
      <c r="R47" s="243" t="b">
        <v>1</v>
      </c>
      <c r="S47" s="9"/>
      <c r="T47" s="725">
        <f ca="1"/>
        <v>45016</v>
      </c>
      <c r="U47" s="279" cm="1">
        <f t="array" aca="1" ref="U47" ca="1">_xll.d.Dates_Act365(T46,T47)</f>
        <v>0.24931506849315069</v>
      </c>
      <c r="V47" s="607">
        <f ca="1"/>
        <v>2.7395500317387859E-2</v>
      </c>
      <c r="W47" s="727">
        <f ca="1"/>
        <v>0.98102938599449341</v>
      </c>
    </row>
    <row r="48" spans="1:23">
      <c r="A48" s="204"/>
      <c r="B48" s="771" t="s">
        <v>589</v>
      </c>
      <c r="C48" s="275">
        <v>1.7310000000000002E-2</v>
      </c>
      <c r="D48" s="206" t="b">
        <v>1</v>
      </c>
      <c r="F48" s="728">
        <f ca="1"/>
        <v>47577</v>
      </c>
      <c r="G48" s="640" cm="1">
        <f t="array" aca="1" ref="G48" ca="1">_xll.d.Dates_Act360(F47,F48)</f>
        <v>1.0138888888888888</v>
      </c>
      <c r="H48" s="729">
        <f ca="1"/>
        <v>1.9910782449838585E-2</v>
      </c>
      <c r="I48" s="328">
        <f ca="1"/>
        <v>0.84376304036130911</v>
      </c>
      <c r="K48" s="776">
        <v>51963</v>
      </c>
      <c r="L48" s="758">
        <v>0.6587292168104727</v>
      </c>
      <c r="M48" s="777">
        <f ca="1"/>
        <v>0.65884119832618304</v>
      </c>
      <c r="N48" s="746" t="str" cm="1">
        <f t="array" aca="1" ref="N48" ca="1">_xll.d.TestUtils_Equal(L48,M48,$K$24)</f>
        <v>Ok</v>
      </c>
      <c r="O48" s="54"/>
      <c r="P48" s="714" t="s">
        <v>586</v>
      </c>
      <c r="Q48" s="717">
        <v>3.1489999999999997E-2</v>
      </c>
      <c r="R48" s="245" t="b">
        <v>1</v>
      </c>
      <c r="S48" s="9"/>
      <c r="T48" s="725">
        <f ca="1"/>
        <v>45107</v>
      </c>
      <c r="U48" s="279" cm="1">
        <f t="array" aca="1" ref="U48" ca="1">_xll.d.Dates_Act365(T47,T48)</f>
        <v>0.24931506849315069</v>
      </c>
      <c r="V48" s="607">
        <f ca="1"/>
        <v>3.0421337727465129E-2</v>
      </c>
      <c r="W48" s="727">
        <f ca="1"/>
        <v>0.9735429979106599</v>
      </c>
    </row>
    <row r="49" spans="1:23">
      <c r="A49" s="204"/>
      <c r="B49" s="771" t="s">
        <v>591</v>
      </c>
      <c r="C49" s="275">
        <v>2.0879999999999999E-2</v>
      </c>
      <c r="D49" s="206" t="b">
        <v>1</v>
      </c>
      <c r="K49" s="776">
        <v>53786</v>
      </c>
      <c r="L49" s="758">
        <v>0.60407419555991859</v>
      </c>
      <c r="M49" s="777">
        <f ca="1"/>
        <v>0.60416443029591738</v>
      </c>
      <c r="N49" s="746" t="str" cm="1">
        <f t="array" aca="1" ref="N49" ca="1">_xll.d.TestUtils_Equal(L49,M49,$K$24)</f>
        <v>Ok</v>
      </c>
      <c r="O49" s="54"/>
      <c r="P49" s="710"/>
      <c r="Q49" s="711"/>
      <c r="R49" s="712"/>
      <c r="T49" s="725">
        <f ca="1"/>
        <v>45198</v>
      </c>
      <c r="U49" s="279" cm="1">
        <f t="array" aca="1" ref="U49" ca="1">_xll.d.Dates_Act365(T48,T49)</f>
        <v>0.24931506849315069</v>
      </c>
      <c r="V49" s="607">
        <f ca="1"/>
        <v>3.1755427556034097E-2</v>
      </c>
      <c r="W49" s="727">
        <f ca="1"/>
        <v>0.96579053316281505</v>
      </c>
    </row>
    <row r="50" spans="1:23">
      <c r="A50" s="204"/>
      <c r="B50" s="771" t="s">
        <v>49</v>
      </c>
      <c r="C50" s="275">
        <v>2.3050000000000001E-2</v>
      </c>
      <c r="D50" s="206" t="b">
        <v>1</v>
      </c>
      <c r="F50" s="294" t="s">
        <v>553</v>
      </c>
      <c r="G50" s="295"/>
      <c r="H50" s="295"/>
      <c r="I50" s="296"/>
      <c r="K50" s="778">
        <v>55613</v>
      </c>
      <c r="L50" s="779">
        <v>0.56044847306900425</v>
      </c>
      <c r="M50" s="780">
        <f ca="1"/>
        <v>0.56052710527542615</v>
      </c>
      <c r="N50" s="746" t="str" cm="1">
        <f t="array" aca="1" ref="N50" ca="1">_xll.d.TestUtils_Equal(L50,M50,$K$24)</f>
        <v>Ok</v>
      </c>
      <c r="O50" s="54"/>
      <c r="P50" s="12" t="s">
        <v>40</v>
      </c>
      <c r="Q50" s="27"/>
      <c r="R50" s="13"/>
      <c r="S50" s="612"/>
      <c r="T50" s="725">
        <f ca="1"/>
        <v>45289</v>
      </c>
      <c r="U50" s="279" cm="1">
        <f t="array" aca="1" ref="U50" ca="1">_xll.d.Dates_Act365(T49,T50)</f>
        <v>0.24931506849315069</v>
      </c>
      <c r="V50" s="607">
        <f ca="1"/>
        <v>3.1507140591940527E-2</v>
      </c>
      <c r="W50" s="727">
        <f ca="1"/>
        <v>0.95815945900895705</v>
      </c>
    </row>
    <row r="51" spans="1:23">
      <c r="A51" s="204"/>
      <c r="B51" s="771" t="s">
        <v>53</v>
      </c>
      <c r="C51" s="275">
        <v>2.3450000000000002E-2</v>
      </c>
      <c r="D51" s="206" t="b">
        <v>1</v>
      </c>
      <c r="F51" s="503" t="s">
        <v>22</v>
      </c>
      <c r="G51" s="624" t="s">
        <v>66</v>
      </c>
      <c r="H51" s="624" t="s">
        <v>67</v>
      </c>
      <c r="I51" s="625" t="s">
        <v>68</v>
      </c>
      <c r="O51" s="54"/>
      <c r="P51" s="62" t="s">
        <v>35</v>
      </c>
      <c r="Q51" s="63" t="s">
        <v>36</v>
      </c>
      <c r="R51" s="64" t="s">
        <v>42</v>
      </c>
      <c r="T51" s="725">
        <f ca="1"/>
        <v>45380</v>
      </c>
      <c r="U51" s="279" cm="1">
        <f t="array" aca="1" ref="U51" ca="1">_xll.d.Dates_Act365(T50,T51)</f>
        <v>0.24931506849315069</v>
      </c>
      <c r="V51" s="607">
        <f ca="1"/>
        <v>3.5215889828160526E-2</v>
      </c>
      <c r="W51" s="727">
        <f ca="1"/>
        <v>0.9497053770275079</v>
      </c>
    </row>
    <row r="52" spans="1:23">
      <c r="A52" s="204"/>
      <c r="B52" s="771" t="s">
        <v>588</v>
      </c>
      <c r="C52" s="275">
        <v>2.2850000000000002E-2</v>
      </c>
      <c r="D52" s="206" t="b">
        <v>1</v>
      </c>
      <c r="F52" s="626" t="s">
        <v>48</v>
      </c>
      <c r="G52" s="735">
        <f ca="1">SUMPRODUCT(G41,H41,I41)/SUMPRODUCT(G41,I41)</f>
        <v>1.7310000000000013E-2</v>
      </c>
      <c r="H52" s="735">
        <f ca="1">C48</f>
        <v>1.7310000000000002E-2</v>
      </c>
      <c r="I52" s="195" t="str" cm="1">
        <f t="array" aca="1" ref="I52" ca="1">_xll.d.TestUtils_Equal(G52,H52,$H$23)</f>
        <v>Ok</v>
      </c>
      <c r="O52" s="54"/>
      <c r="P52" s="811" t="s">
        <v>49</v>
      </c>
      <c r="Q52" s="719">
        <v>2.5665E-2</v>
      </c>
      <c r="R52" s="217" t="b">
        <v>1</v>
      </c>
      <c r="T52" s="725">
        <f ca="1"/>
        <v>45471</v>
      </c>
      <c r="U52" s="279" cm="1">
        <f t="array" aca="1" ref="U52" ca="1">_xll.d.Dates_Act365(T51,T52)</f>
        <v>0.24931506849315069</v>
      </c>
      <c r="V52" s="607">
        <f ca="1"/>
        <v>2.8889122847043237E-2</v>
      </c>
      <c r="W52" s="727">
        <f ca="1"/>
        <v>0.94282040436616499</v>
      </c>
    </row>
    <row r="53" spans="1:23">
      <c r="A53" s="204"/>
      <c r="B53" s="771" t="s">
        <v>594</v>
      </c>
      <c r="C53" s="275">
        <v>2.2099999999999998E-2</v>
      </c>
      <c r="D53" s="206" t="b">
        <v>1</v>
      </c>
      <c r="F53" s="742" t="s">
        <v>49</v>
      </c>
      <c r="G53" s="743">
        <f t="array" aca="1" ref="G53" ca="1">SUMPRODUCT(G41:G42,H41:H42,I41:I42)/SUMPRODUCT(G41:G42,I41:I42)</f>
        <v>2.3049999999999904E-2</v>
      </c>
      <c r="H53" s="743">
        <f ca="1">C50</f>
        <v>2.3050000000000001E-2</v>
      </c>
      <c r="I53" s="195" t="str" cm="1">
        <f t="array" aca="1" ref="I53" ca="1">_xll.d.TestUtils_Equal(G53,H53,$H$23)</f>
        <v>Ok</v>
      </c>
      <c r="O53" s="54"/>
      <c r="P53" s="812" t="s">
        <v>53</v>
      </c>
      <c r="Q53" s="708">
        <v>2.656E-2</v>
      </c>
      <c r="R53" s="221" t="b">
        <v>1</v>
      </c>
      <c r="T53" s="725">
        <f ca="1"/>
        <v>45565</v>
      </c>
      <c r="U53" s="279" cm="1">
        <f t="array" aca="1" ref="U53" ca="1">_xll.d.Dates_Act365(T52,T53)</f>
        <v>0.25753424657534246</v>
      </c>
      <c r="V53" s="607">
        <f ca="1"/>
        <v>2.842771639339637E-2</v>
      </c>
      <c r="W53" s="727">
        <f ca="1"/>
        <v>0.93587360865635094</v>
      </c>
    </row>
    <row r="54" spans="1:23">
      <c r="A54" s="204"/>
      <c r="B54" s="771" t="s">
        <v>596</v>
      </c>
      <c r="C54" s="275">
        <v>2.138E-2</v>
      </c>
      <c r="D54" s="206" t="b">
        <v>1</v>
      </c>
      <c r="F54" s="744" t="s">
        <v>53</v>
      </c>
      <c r="G54" s="743">
        <f ca="1">SUMPRODUCT(G41:G43,H41:H43,I41:I43)/SUMPRODUCT(G41:G43,I41:I43)</f>
        <v>2.3450000000000058E-2</v>
      </c>
      <c r="H54" s="745">
        <f ca="1">C51</f>
        <v>2.3450000000000002E-2</v>
      </c>
      <c r="I54" s="195" t="str" cm="1">
        <f t="array" aca="1" ref="I54" ca="1">_xll.d.TestUtils_Equal(G54,H54,$H$23)</f>
        <v>Ok</v>
      </c>
      <c r="J54" s="769"/>
      <c r="O54" s="54"/>
      <c r="P54" s="812" t="s">
        <v>588</v>
      </c>
      <c r="Q54" s="708">
        <v>2.5990000000000003E-2</v>
      </c>
      <c r="R54" s="221" t="b">
        <v>1</v>
      </c>
      <c r="T54" s="725">
        <f ca="1"/>
        <v>45657</v>
      </c>
      <c r="U54" s="279" cm="1">
        <f t="array" aca="1" ref="U54" ca="1">_xll.d.Dates_Act365(T53,T54)</f>
        <v>0.25205479452054796</v>
      </c>
      <c r="V54" s="607">
        <f ca="1"/>
        <v>2.8425477225058449E-2</v>
      </c>
      <c r="W54" s="727">
        <f ca="1"/>
        <v>0.92912418242749084</v>
      </c>
    </row>
    <row r="55" spans="1:23">
      <c r="A55" s="204"/>
      <c r="B55" s="771" t="s">
        <v>603</v>
      </c>
      <c r="C55" s="275">
        <v>2.0969999999999999E-2</v>
      </c>
      <c r="D55" s="206" t="b">
        <v>1</v>
      </c>
      <c r="F55" s="742" t="s">
        <v>588</v>
      </c>
      <c r="G55" s="743">
        <f ca="1">SUMPRODUCT(G$41:G44,H$41:H44,I$41:I44)/SUMPRODUCT(G$41:G44,I$41:I44)</f>
        <v>2.2850000000024438E-2</v>
      </c>
      <c r="H55" s="743">
        <f ca="1">C52</f>
        <v>2.2850000000000002E-2</v>
      </c>
      <c r="I55" s="195" t="str" cm="1">
        <f t="array" aca="1" ref="I55" ca="1">_xll.d.TestUtils_Equal(G55,H55,$H$23)</f>
        <v>Ok</v>
      </c>
      <c r="J55" s="769"/>
      <c r="O55" s="54"/>
      <c r="P55" s="812" t="s">
        <v>594</v>
      </c>
      <c r="Q55" s="708">
        <v>2.5137E-2</v>
      </c>
      <c r="R55" s="221" t="b">
        <v>1</v>
      </c>
      <c r="T55" s="725">
        <f ca="1"/>
        <v>45747</v>
      </c>
      <c r="U55" s="279" cm="1">
        <f t="array" aca="1" ref="U55" ca="1">_xll.d.Dates_Act365(T54,T55)</f>
        <v>0.24657534246575341</v>
      </c>
      <c r="V55" s="607">
        <f ca="1"/>
        <v>2.8423238291736652E-2</v>
      </c>
      <c r="W55" s="727">
        <f ca="1"/>
        <v>0.9225685857392566</v>
      </c>
    </row>
    <row r="56" spans="1:23">
      <c r="A56" s="204"/>
      <c r="B56" s="771" t="s">
        <v>604</v>
      </c>
      <c r="C56" s="275">
        <v>2.1000000000000001E-2</v>
      </c>
      <c r="D56" s="206" t="b">
        <v>1</v>
      </c>
      <c r="F56" s="744" t="s">
        <v>594</v>
      </c>
      <c r="G56" s="743">
        <f ca="1">SUMPRODUCT(G$41:G45,H$41:H45,I$41:I45)/SUMPRODUCT(G$41:G45,I$41:I45)</f>
        <v>2.21000000000347E-2</v>
      </c>
      <c r="H56" s="745">
        <f ca="1">C53</f>
        <v>2.2099999999999998E-2</v>
      </c>
      <c r="I56" s="195" t="str" cm="1">
        <f t="array" aca="1" ref="I56" ca="1">_xll.d.TestUtils_Equal(G56,H56,$H$23)</f>
        <v>Ok</v>
      </c>
      <c r="J56" s="769"/>
      <c r="O56" s="54"/>
      <c r="P56" s="812" t="s">
        <v>595</v>
      </c>
      <c r="Q56" s="708">
        <v>2.4760000000000001E-2</v>
      </c>
      <c r="R56" s="221" t="b">
        <v>1</v>
      </c>
      <c r="T56" s="725">
        <f ca="1"/>
        <v>45838</v>
      </c>
      <c r="U56" s="279" cm="1">
        <f t="array" aca="1" ref="U56" ca="1">_xll.d.Dates_Act365(T55,T56)</f>
        <v>0.24931506849315069</v>
      </c>
      <c r="V56" s="607">
        <f ca="1"/>
        <v>2.4391780675763371E-2</v>
      </c>
      <c r="W56" s="727">
        <f ca="1"/>
        <v>0.91691516182033517</v>
      </c>
    </row>
    <row r="57" spans="1:23">
      <c r="A57" s="204"/>
      <c r="B57" s="771" t="s">
        <v>605</v>
      </c>
      <c r="C57" s="275">
        <v>2.0959999999999999E-2</v>
      </c>
      <c r="D57" s="206" t="b">
        <v>1</v>
      </c>
      <c r="F57" s="627" t="s">
        <v>596</v>
      </c>
      <c r="G57" s="736">
        <f ca="1">SUMPRODUCT(G$41:G47,H$41:H47,I$41:I47)/SUMPRODUCT(G$41:G47,I$41:I47)</f>
        <v>2.1380000000000007E-2</v>
      </c>
      <c r="H57" s="736">
        <f ca="1">C54</f>
        <v>2.138E-2</v>
      </c>
      <c r="I57" s="195" t="str" cm="1">
        <f t="array" aca="1" ref="I57" ca="1">_xll.d.TestUtils_Equal(G57,H57,$H$23)</f>
        <v>Ok</v>
      </c>
      <c r="J57" s="769"/>
      <c r="O57" s="54"/>
      <c r="P57" s="812" t="s">
        <v>596</v>
      </c>
      <c r="Q57" s="708">
        <v>2.4512999999999997E-2</v>
      </c>
      <c r="R57" s="221" t="b">
        <v>1</v>
      </c>
      <c r="T57" s="725">
        <f ca="1"/>
        <v>45930</v>
      </c>
      <c r="U57" s="279" cm="1">
        <f t="array" aca="1" ref="U57" ca="1">_xll.d.Dates_Act365(T56,T57)</f>
        <v>0.25205479452054796</v>
      </c>
      <c r="V57" s="607">
        <f ca="1"/>
        <v>2.4207285189124541E-2</v>
      </c>
      <c r="W57" s="727">
        <f ca="1"/>
        <v>0.91127771880490283</v>
      </c>
    </row>
    <row r="58" spans="1:23">
      <c r="A58" s="204"/>
      <c r="B58" s="771" t="s">
        <v>606</v>
      </c>
      <c r="C58" s="275">
        <v>2.0830000000000001E-2</v>
      </c>
      <c r="D58" s="206" t="b">
        <v>1</v>
      </c>
      <c r="J58" s="769"/>
      <c r="O58" s="54"/>
      <c r="P58" s="812" t="s">
        <v>597</v>
      </c>
      <c r="Q58" s="708">
        <v>2.4540000000000003E-2</v>
      </c>
      <c r="R58" s="221" t="b">
        <v>1</v>
      </c>
      <c r="T58" s="725">
        <f ca="1"/>
        <v>46022</v>
      </c>
      <c r="U58" s="279" cm="1">
        <f t="array" aca="1" ref="U58" ca="1">_xll.d.Dates_Act365(T57,T58)</f>
        <v>0.25205479452054796</v>
      </c>
      <c r="V58" s="607">
        <f ca="1"/>
        <v>2.4207285189124541E-2</v>
      </c>
      <c r="W58" s="727">
        <f ca="1"/>
        <v>0.90567493631759299</v>
      </c>
    </row>
    <row r="59" spans="1:23">
      <c r="A59" s="204"/>
      <c r="B59" s="771" t="s">
        <v>607</v>
      </c>
      <c r="C59" s="275">
        <v>2.0250000000000001E-2</v>
      </c>
      <c r="D59" s="206" t="b">
        <v>1</v>
      </c>
      <c r="F59" s="298" t="s">
        <v>214</v>
      </c>
      <c r="J59" s="769"/>
      <c r="O59" s="54"/>
      <c r="P59" s="812" t="s">
        <v>633</v>
      </c>
      <c r="Q59" s="708">
        <v>2.4089999999999997E-2</v>
      </c>
      <c r="R59" s="221" t="b">
        <v>1</v>
      </c>
      <c r="T59" s="725">
        <f ca="1"/>
        <v>46112</v>
      </c>
      <c r="U59" s="279" cm="1">
        <f t="array" aca="1" ref="U59" ca="1">_xll.d.Dates_Act365(T58,T59)</f>
        <v>0.24657534246575341</v>
      </c>
      <c r="V59" s="607">
        <f ca="1"/>
        <v>2.4205660850634025E-2</v>
      </c>
      <c r="W59" s="727">
        <f ca="1"/>
        <v>0.9002272872168785</v>
      </c>
    </row>
    <row r="60" spans="1:23">
      <c r="A60" s="204"/>
      <c r="B60" s="772" t="s">
        <v>608</v>
      </c>
      <c r="C60" s="276">
        <v>1.9550000000000001E-2</v>
      </c>
      <c r="D60" s="207" t="b">
        <v>1</v>
      </c>
      <c r="F60" s="268" t="s">
        <v>213</v>
      </c>
      <c r="O60" s="54"/>
      <c r="P60" s="812" t="s">
        <v>603</v>
      </c>
      <c r="Q60" s="708">
        <v>2.3950999999999997E-2</v>
      </c>
      <c r="R60" s="221" t="b">
        <v>1</v>
      </c>
      <c r="T60" s="725">
        <f ca="1"/>
        <v>46203</v>
      </c>
      <c r="U60" s="279" cm="1">
        <f t="array" aca="1" ref="U60" ca="1">_xll.d.Dates_Act365(T59,T60)</f>
        <v>0.24931506849315069</v>
      </c>
      <c r="V60" s="607">
        <f ca="1"/>
        <v>2.1705012791103824E-2</v>
      </c>
      <c r="W60" s="727">
        <f ca="1"/>
        <v>0.89531510071716947</v>
      </c>
    </row>
    <row r="61" spans="1:23">
      <c r="A61" s="204"/>
      <c r="B61" s="1"/>
      <c r="O61" s="54"/>
      <c r="P61" s="812" t="s">
        <v>604</v>
      </c>
      <c r="Q61" s="708">
        <v>2.4050999999999999E-2</v>
      </c>
      <c r="R61" s="221" t="b">
        <v>1</v>
      </c>
      <c r="T61" s="725">
        <f ca="1"/>
        <v>46295</v>
      </c>
      <c r="U61" s="279" cm="1">
        <f t="array" aca="1" ref="U61" ca="1">_xll.d.Dates_Act365(T60,T61)</f>
        <v>0.25205479452054796</v>
      </c>
      <c r="V61" s="607">
        <f ca="1"/>
        <v>2.1497269415409484E-2</v>
      </c>
      <c r="W61" s="727">
        <f ca="1"/>
        <v>0.89042334049250571</v>
      </c>
    </row>
    <row r="62" spans="1:23">
      <c r="A62" s="204"/>
      <c r="B62" s="1"/>
      <c r="O62" s="54"/>
      <c r="P62" s="812" t="s">
        <v>605</v>
      </c>
      <c r="Q62" s="708">
        <v>2.4262499999999999E-2</v>
      </c>
      <c r="R62" s="221" t="b">
        <v>1</v>
      </c>
      <c r="T62" s="725">
        <f ca="1"/>
        <v>46387</v>
      </c>
      <c r="U62" s="279" cm="1">
        <f t="array" aca="1" ref="U62" ca="1">_xll.d.Dates_Act365(T61,T62)</f>
        <v>0.25205479452054796</v>
      </c>
      <c r="V62" s="607">
        <f ca="1"/>
        <v>2.1497269415409484E-2</v>
      </c>
      <c r="W62" s="727">
        <f ca="1"/>
        <v>0.88555830752629705</v>
      </c>
    </row>
    <row r="63" spans="1:23">
      <c r="A63" s="204"/>
      <c r="O63" s="54"/>
      <c r="P63" s="812" t="s">
        <v>606</v>
      </c>
      <c r="Q63" s="708">
        <v>2.3692999999999999E-2</v>
      </c>
      <c r="R63" s="221" t="b">
        <v>1</v>
      </c>
      <c r="T63" s="725">
        <f ca="1"/>
        <v>46477</v>
      </c>
      <c r="U63" s="279" cm="1">
        <f t="array" aca="1" ref="U63" ca="1">_xll.d.Dates_Act365(T62,T63)</f>
        <v>0.24657534246575341</v>
      </c>
      <c r="V63" s="607">
        <f ca="1"/>
        <v>2.1495988108997999E-2</v>
      </c>
      <c r="W63" s="727">
        <f ca="1"/>
        <v>0.88082475789583703</v>
      </c>
    </row>
    <row r="64" spans="1:23">
      <c r="A64" s="204"/>
      <c r="O64" s="54"/>
      <c r="P64" s="812" t="s">
        <v>607</v>
      </c>
      <c r="Q64" s="708">
        <v>2.3399999999999997E-2</v>
      </c>
      <c r="R64" s="221" t="b">
        <v>1</v>
      </c>
      <c r="T64" s="725">
        <f ca="1"/>
        <v>46568</v>
      </c>
      <c r="U64" s="279" cm="1">
        <f t="array" aca="1" ref="U64" ca="1">_xll.d.Dates_Act365(T63,T64)</f>
        <v>0.24931506849315069</v>
      </c>
      <c r="V64" s="607">
        <f ca="1"/>
        <v>2.2677569918727922E-2</v>
      </c>
      <c r="W64" s="727">
        <f ca="1"/>
        <v>0.87580430976872248</v>
      </c>
    </row>
    <row r="65" spans="1:23">
      <c r="A65" s="204"/>
      <c r="O65" s="54"/>
      <c r="P65" s="812" t="s">
        <v>608</v>
      </c>
      <c r="Q65" s="708">
        <v>2.2423999999999999E-2</v>
      </c>
      <c r="R65" s="221" t="b">
        <v>1</v>
      </c>
      <c r="T65" s="725">
        <f ca="1"/>
        <v>46660</v>
      </c>
      <c r="U65" s="279" cm="1">
        <f t="array" aca="1" ref="U65" ca="1">_xll.d.Dates_Act365(T64,T65)</f>
        <v>0.25205479452054796</v>
      </c>
      <c r="V65" s="607">
        <f ca="1"/>
        <v>2.2746957314163267E-2</v>
      </c>
      <c r="W65" s="727">
        <f ca="1"/>
        <v>0.8707425861896928</v>
      </c>
    </row>
    <row r="66" spans="1:23">
      <c r="A66" s="204"/>
      <c r="O66" s="54"/>
      <c r="P66" s="813" t="s">
        <v>634</v>
      </c>
      <c r="Q66" s="720">
        <v>2.1080000000000002E-2</v>
      </c>
      <c r="R66" s="219" t="b">
        <v>1</v>
      </c>
      <c r="T66" s="725">
        <f ca="1"/>
        <v>46752</v>
      </c>
      <c r="U66" s="279" cm="1">
        <f t="array" aca="1" ref="U66" ca="1">_xll.d.Dates_Act365(T65,T66)</f>
        <v>0.25205479452054796</v>
      </c>
      <c r="V66" s="607">
        <f ca="1"/>
        <v>2.2746957314164137E-2</v>
      </c>
      <c r="W66" s="727">
        <f ca="1"/>
        <v>0.86571011691474076</v>
      </c>
    </row>
    <row r="67" spans="1:23">
      <c r="A67" s="204"/>
      <c r="B67" s="54"/>
      <c r="C67" s="54"/>
      <c r="D67" s="54"/>
      <c r="E67" s="54"/>
      <c r="O67" s="54"/>
      <c r="P67" s="54"/>
      <c r="Q67" s="54"/>
      <c r="R67" s="54"/>
      <c r="T67" s="725">
        <f ca="1"/>
        <v>46843</v>
      </c>
      <c r="U67" s="279" cm="1">
        <f t="array" aca="1" ref="U67" ca="1">_xll.d.Dates_Act365(T66,T67)</f>
        <v>0.24931506849315069</v>
      </c>
      <c r="V67" s="607">
        <f ca="1"/>
        <v>2.274624007318388E-2</v>
      </c>
      <c r="W67" s="727">
        <f ca="1"/>
        <v>0.86076096172371219</v>
      </c>
    </row>
    <row r="68" spans="1:23">
      <c r="A68" s="204"/>
      <c r="B68" s="54"/>
      <c r="C68" s="54"/>
      <c r="D68" s="54"/>
      <c r="E68" s="54"/>
      <c r="O68" s="54"/>
      <c r="P68" s="54"/>
      <c r="Q68" s="54"/>
      <c r="R68" s="54"/>
      <c r="T68" s="725">
        <f ca="1"/>
        <v>46934</v>
      </c>
      <c r="U68" s="279" cm="1">
        <f t="array" aca="1" ref="U68" ca="1">_xll.d.Dates_Act365(T67,T68)</f>
        <v>0.24931506849315069</v>
      </c>
      <c r="V68" s="607">
        <f ca="1"/>
        <v>2.2908247699141925E-2</v>
      </c>
      <c r="W68" s="727">
        <f ca="1"/>
        <v>0.85580525371033911</v>
      </c>
    </row>
    <row r="69" spans="1:23">
      <c r="A69" s="204"/>
      <c r="B69" s="54"/>
      <c r="C69" s="54"/>
      <c r="D69" s="54"/>
      <c r="E69" s="54"/>
      <c r="O69" s="54"/>
      <c r="P69" s="54"/>
      <c r="Q69" s="54"/>
      <c r="R69" s="54"/>
      <c r="T69" s="725">
        <f ca="1"/>
        <v>47025</v>
      </c>
      <c r="U69" s="279" cm="1">
        <f t="array" aca="1" ref="U69" ca="1">_xll.d.Dates_Act365(T68,T69)</f>
        <v>0.24931506849315069</v>
      </c>
      <c r="V69" s="607">
        <f ca="1"/>
        <v>2.291569648423835E-2</v>
      </c>
      <c r="W69" s="727">
        <f ca="1"/>
        <v>0.85087648459573362</v>
      </c>
    </row>
    <row r="70" spans="1:23">
      <c r="A70" s="204"/>
      <c r="B70" s="54"/>
      <c r="C70" s="54"/>
      <c r="D70" s="54"/>
      <c r="E70" s="54"/>
      <c r="O70" s="54"/>
      <c r="P70" s="54"/>
      <c r="Q70" s="54"/>
      <c r="R70" s="54"/>
      <c r="T70" s="725">
        <f ca="1"/>
        <v>47116</v>
      </c>
      <c r="U70" s="279" cm="1">
        <f t="array" aca="1" ref="U70" ca="1">_xll.d.Dates_Act365(T69,T70)</f>
        <v>0.24931506849315069</v>
      </c>
      <c r="V70" s="607">
        <f ca="1"/>
        <v>2.291569648423835E-2</v>
      </c>
      <c r="W70" s="727">
        <f ca="1"/>
        <v>0.84597610133746592</v>
      </c>
    </row>
    <row r="71" spans="1:23">
      <c r="A71" s="204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25">
        <f ca="1"/>
        <v>47207</v>
      </c>
      <c r="U71" s="279" cm="1">
        <f t="array" aca="1" ref="U71" ca="1">_xll.d.Dates_Act365(T70,T71)</f>
        <v>0.24931506849315069</v>
      </c>
      <c r="V71" s="607">
        <f ca="1"/>
        <v>2.291569648423835E-2</v>
      </c>
      <c r="W71" s="727">
        <f ca="1"/>
        <v>0.84110394045519843</v>
      </c>
    </row>
    <row r="72" spans="1:23">
      <c r="A72" s="204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25">
        <f ca="1"/>
        <v>47298</v>
      </c>
      <c r="U72" s="279" cm="1">
        <f t="array" aca="1" ref="U72" ca="1">_xll.d.Dates_Act365(T71,T72)</f>
        <v>0.24931506849315069</v>
      </c>
      <c r="V72" s="607">
        <f ca="1"/>
        <v>2.4644841747545453E-2</v>
      </c>
      <c r="W72" s="727">
        <f ca="1"/>
        <v>0.8358965819906895</v>
      </c>
    </row>
    <row r="73" spans="1:23">
      <c r="A73" s="20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25">
        <f ca="1"/>
        <v>47389</v>
      </c>
      <c r="U73" s="279" cm="1">
        <f t="array" aca="1" ref="U73" ca="1">_xll.d.Dates_Act365(T72,T73)</f>
        <v>0.24931506849315069</v>
      </c>
      <c r="V73" s="607">
        <f ca="1"/>
        <v>2.4745396559896458E-2</v>
      </c>
      <c r="W73" s="727">
        <f ca="1"/>
        <v>0.83070047876284803</v>
      </c>
    </row>
    <row r="74" spans="1:23">
      <c r="A74" s="20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25">
        <f ca="1"/>
        <v>47483</v>
      </c>
      <c r="U74" s="279" cm="1">
        <f t="array" aca="1" ref="U74" ca="1">_xll.d.Dates_Act365(T73,T74)</f>
        <v>0.25753424657534246</v>
      </c>
      <c r="V74" s="607">
        <f ca="1"/>
        <v>2.4747942825686691E-2</v>
      </c>
      <c r="W74" s="727">
        <f ca="1"/>
        <v>0.82536698794998253</v>
      </c>
    </row>
    <row r="75" spans="1:23">
      <c r="A75" s="20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28">
        <f ca="1"/>
        <v>47571</v>
      </c>
      <c r="U75" s="640" cm="1">
        <f t="array" aca="1" ref="U75" ca="1">_xll.d.Dates_Act365(T74,T75)</f>
        <v>0.24109589041095891</v>
      </c>
      <c r="V75" s="729">
        <f ca="1"/>
        <v>2.4742850643221136E-2</v>
      </c>
      <c r="W75" s="328">
        <f ca="1"/>
        <v>0.82040497162821624</v>
      </c>
    </row>
    <row r="76" spans="1:23">
      <c r="A76" s="20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94" t="s">
        <v>553</v>
      </c>
      <c r="U78" s="295"/>
      <c r="V78" s="295"/>
      <c r="W78" s="296"/>
    </row>
    <row r="79" spans="1:23">
      <c r="A79" s="20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503" t="s">
        <v>22</v>
      </c>
      <c r="U79" s="624" t="s">
        <v>66</v>
      </c>
      <c r="V79" s="624" t="s">
        <v>67</v>
      </c>
      <c r="W79" s="625" t="s">
        <v>68</v>
      </c>
    </row>
    <row r="80" spans="1:23">
      <c r="A80" s="20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26" t="s">
        <v>53</v>
      </c>
      <c r="U80" s="735">
        <f ca="1">SUMPRODUCT(U44:U55,V44:V55,W44:W55)/SUMPRODUCT(U44:U55,W44:W55)</f>
        <v>2.6433362004861287E-2</v>
      </c>
      <c r="V80" s="735">
        <f t="shared" ref="V80:V85" ca="1" si="0">Q53</f>
        <v>2.656E-2</v>
      </c>
      <c r="W80" s="195" t="str" cm="1">
        <f t="array" aca="1" ref="W80" ca="1">_xll.d.TestUtils_Equal(U80,V80,$T$23)</f>
        <v>Ok</v>
      </c>
    </row>
    <row r="81" spans="1:23">
      <c r="A81" s="20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42" t="s">
        <v>588</v>
      </c>
      <c r="U81" s="743">
        <f ca="1">SUMPRODUCT(U44:U59,V44:V59,W44:W59)/SUMPRODUCT(U44:U59,W44:W59)</f>
        <v>2.5911984176960907E-2</v>
      </c>
      <c r="V81" s="743">
        <f t="shared" ca="1" si="0"/>
        <v>2.5990000000000003E-2</v>
      </c>
      <c r="W81" s="195" t="str" cm="1">
        <f t="array" aca="1" ref="W81" ca="1">_xll.d.TestUtils_Equal(U81,V81,$T$23)</f>
        <v>Ok</v>
      </c>
    </row>
    <row r="82" spans="1:23">
      <c r="A82" s="20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44" t="s">
        <v>594</v>
      </c>
      <c r="U82" s="743">
        <f ca="1">SUMPRODUCT(U44:U63,V44:V63,W44:W63)/SUMPRODUCT(U44:U63,W44:W63)</f>
        <v>2.5085355334442873E-2</v>
      </c>
      <c r="V82" s="743">
        <f t="shared" ca="1" si="0"/>
        <v>2.5137E-2</v>
      </c>
      <c r="W82" s="195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42" t="s">
        <v>595</v>
      </c>
      <c r="U83" s="743">
        <f ca="1">SUMPRODUCT(U44:U67,V44:V67,W44:W67)/SUMPRODUCT(U44:U67,W44:W67)</f>
        <v>2.471627762755494E-2</v>
      </c>
      <c r="V83" s="743">
        <f t="shared" ca="1" si="0"/>
        <v>2.4760000000000001E-2</v>
      </c>
      <c r="W83" s="195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44" t="s">
        <v>596</v>
      </c>
      <c r="U84" s="743">
        <f ca="1">SUMPRODUCT(U44:U71,V44:V71,W44:W71)/SUMPRODUCT(U44:U71,W44:W71)</f>
        <v>2.4478121162244102E-2</v>
      </c>
      <c r="V84" s="745">
        <f t="shared" ca="1" si="0"/>
        <v>2.4512999999999997E-2</v>
      </c>
      <c r="W84" s="195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27" t="s">
        <v>597</v>
      </c>
      <c r="U85" s="736">
        <f ca="1">SUMPRODUCT(U44:U75,V44:V75,W44:W75)/SUMPRODUCT(U44:U75,W44:W75)</f>
        <v>2.4505759653708541E-2</v>
      </c>
      <c r="V85" s="736">
        <f t="shared" ca="1" si="0"/>
        <v>2.4540000000000003E-2</v>
      </c>
      <c r="W85" s="195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47" priority="130" stopIfTrue="1" operator="equal">
      <formula>"ERROR"</formula>
    </cfRule>
    <cfRule type="cellIs" dxfId="346" priority="131" stopIfTrue="1" operator="equal">
      <formula>"OK"</formula>
    </cfRule>
    <cfRule type="cellIs" dxfId="345" priority="132" stopIfTrue="1" operator="equal">
      <formula>"WARNING"</formula>
    </cfRule>
  </conditionalFormatting>
  <conditionalFormatting sqref="C6">
    <cfRule type="cellIs" dxfId="344" priority="127" stopIfTrue="1" operator="equal">
      <formula>"ERROR"</formula>
    </cfRule>
    <cfRule type="cellIs" dxfId="343" priority="128" stopIfTrue="1" operator="equal">
      <formula>"OK"</formula>
    </cfRule>
    <cfRule type="cellIs" dxfId="342" priority="129" stopIfTrue="1" operator="equal">
      <formula>"WARNING"</formula>
    </cfRule>
  </conditionalFormatting>
  <conditionalFormatting sqref="I29:I35">
    <cfRule type="cellIs" dxfId="341" priority="94" stopIfTrue="1" operator="equal">
      <formula>"ERROR"</formula>
    </cfRule>
    <cfRule type="cellIs" dxfId="340" priority="95" stopIfTrue="1" operator="equal">
      <formula>"OK"</formula>
    </cfRule>
    <cfRule type="cellIs" dxfId="339" priority="96" stopIfTrue="1" operator="equal">
      <formula>"WARNING"</formula>
    </cfRule>
  </conditionalFormatting>
  <conditionalFormatting sqref="C19">
    <cfRule type="cellIs" dxfId="338" priority="91" stopIfTrue="1" operator="equal">
      <formula>"ERROR"</formula>
    </cfRule>
    <cfRule type="cellIs" dxfId="337" priority="92" stopIfTrue="1" operator="equal">
      <formula>"OK"</formula>
    </cfRule>
    <cfRule type="cellIs" dxfId="336" priority="93" stopIfTrue="1" operator="equal">
      <formula>"WARNING"</formula>
    </cfRule>
  </conditionalFormatting>
  <conditionalFormatting sqref="I52:I57">
    <cfRule type="cellIs" dxfId="335" priority="88" stopIfTrue="1" operator="equal">
      <formula>"ERROR"</formula>
    </cfRule>
    <cfRule type="cellIs" dxfId="334" priority="89" stopIfTrue="1" operator="equal">
      <formula>"OK"</formula>
    </cfRule>
    <cfRule type="cellIs" dxfId="333" priority="90" stopIfTrue="1" operator="equal">
      <formula>"WARNING"</formula>
    </cfRule>
  </conditionalFormatting>
  <conditionalFormatting sqref="K28:L28 K29:K44 M29:N29 M30:M44 N30:N50">
    <cfRule type="cellIs" dxfId="332" priority="85" stopIfTrue="1" operator="equal">
      <formula>"ERROR"</formula>
    </cfRule>
    <cfRule type="cellIs" dxfId="331" priority="86" stopIfTrue="1" operator="equal">
      <formula>"OK"</formula>
    </cfRule>
    <cfRule type="cellIs" dxfId="330" priority="87" stopIfTrue="1" operator="equal">
      <formula>"WARNING"</formula>
    </cfRule>
  </conditionalFormatting>
  <conditionalFormatting sqref="L29:L44">
    <cfRule type="cellIs" dxfId="329" priority="82" stopIfTrue="1" operator="equal">
      <formula>"ERROR"</formula>
    </cfRule>
    <cfRule type="cellIs" dxfId="328" priority="83" stopIfTrue="1" operator="equal">
      <formula>"OK"</formula>
    </cfRule>
    <cfRule type="cellIs" dxfId="327" priority="84" stopIfTrue="1" operator="equal">
      <formula>"WARNING"</formula>
    </cfRule>
  </conditionalFormatting>
  <conditionalFormatting sqref="K49:K50 M49:M50">
    <cfRule type="cellIs" dxfId="326" priority="79" stopIfTrue="1" operator="equal">
      <formula>"ERROR"</formula>
    </cfRule>
    <cfRule type="cellIs" dxfId="325" priority="80" stopIfTrue="1" operator="equal">
      <formula>"OK"</formula>
    </cfRule>
    <cfRule type="cellIs" dxfId="324" priority="81" stopIfTrue="1" operator="equal">
      <formula>"WARNING"</formula>
    </cfRule>
  </conditionalFormatting>
  <conditionalFormatting sqref="L49:L50">
    <cfRule type="cellIs" dxfId="323" priority="76" stopIfTrue="1" operator="equal">
      <formula>"ERROR"</formula>
    </cfRule>
    <cfRule type="cellIs" dxfId="322" priority="77" stopIfTrue="1" operator="equal">
      <formula>"OK"</formula>
    </cfRule>
    <cfRule type="cellIs" dxfId="321" priority="78" stopIfTrue="1" operator="equal">
      <formula>"WARNING"</formula>
    </cfRule>
  </conditionalFormatting>
  <conditionalFormatting sqref="K45:K48 M45:M48">
    <cfRule type="cellIs" dxfId="320" priority="73" stopIfTrue="1" operator="equal">
      <formula>"ERROR"</formula>
    </cfRule>
    <cfRule type="cellIs" dxfId="319" priority="74" stopIfTrue="1" operator="equal">
      <formula>"OK"</formula>
    </cfRule>
    <cfRule type="cellIs" dxfId="318" priority="75" stopIfTrue="1" operator="equal">
      <formula>"WARNING"</formula>
    </cfRule>
  </conditionalFormatting>
  <conditionalFormatting sqref="L45:L48">
    <cfRule type="cellIs" dxfId="317" priority="70" stopIfTrue="1" operator="equal">
      <formula>"ERROR"</formula>
    </cfRule>
    <cfRule type="cellIs" dxfId="316" priority="71" stopIfTrue="1" operator="equal">
      <formula>"OK"</formula>
    </cfRule>
    <cfRule type="cellIs" dxfId="315" priority="72" stopIfTrue="1" operator="equal">
      <formula>"WARNING"</formula>
    </cfRule>
  </conditionalFormatting>
  <conditionalFormatting sqref="W80:W85">
    <cfRule type="cellIs" dxfId="314" priority="67" stopIfTrue="1" operator="equal">
      <formula>"ERROR"</formula>
    </cfRule>
    <cfRule type="cellIs" dxfId="313" priority="68" stopIfTrue="1" operator="equal">
      <formula>"OK"</formula>
    </cfRule>
    <cfRule type="cellIs" dxfId="312" priority="69" stopIfTrue="1" operator="equal">
      <formula>"WARNING"</formula>
    </cfRule>
  </conditionalFormatting>
  <conditionalFormatting sqref="T23">
    <cfRule type="cellIs" dxfId="311" priority="64" stopIfTrue="1" operator="equal">
      <formula>"ERROR"</formula>
    </cfRule>
    <cfRule type="cellIs" dxfId="310" priority="65" stopIfTrue="1" operator="equal">
      <formula>"OK"</formula>
    </cfRule>
    <cfRule type="cellIs" dxfId="309" priority="66" stopIfTrue="1" operator="equal">
      <formula>"WARNING"</formula>
    </cfRule>
  </conditionalFormatting>
  <conditionalFormatting sqref="H23">
    <cfRule type="cellIs" dxfId="308" priority="22" stopIfTrue="1" operator="equal">
      <formula>"ERROR"</formula>
    </cfRule>
    <cfRule type="cellIs" dxfId="307" priority="23" stopIfTrue="1" operator="equal">
      <formula>"OK"</formula>
    </cfRule>
    <cfRule type="cellIs" dxfId="306" priority="24" stopIfTrue="1" operator="equal">
      <formula>"WARNING"</formula>
    </cfRule>
  </conditionalFormatting>
  <conditionalFormatting sqref="H23">
    <cfRule type="cellIs" dxfId="305" priority="19" stopIfTrue="1" operator="equal">
      <formula>"ERROR"</formula>
    </cfRule>
    <cfRule type="cellIs" dxfId="304" priority="20" stopIfTrue="1" operator="equal">
      <formula>"OK"</formula>
    </cfRule>
    <cfRule type="cellIs" dxfId="303" priority="21" stopIfTrue="1" operator="equal">
      <formula>"WARNING"</formula>
    </cfRule>
  </conditionalFormatting>
  <conditionalFormatting sqref="H22">
    <cfRule type="cellIs" dxfId="302" priority="16" stopIfTrue="1" operator="equal">
      <formula>"ERROR"</formula>
    </cfRule>
    <cfRule type="cellIs" dxfId="301" priority="17" stopIfTrue="1" operator="equal">
      <formula>"OK"</formula>
    </cfRule>
    <cfRule type="cellIs" dxfId="300" priority="18" stopIfTrue="1" operator="equal">
      <formula>"WARNING"</formula>
    </cfRule>
  </conditionalFormatting>
  <conditionalFormatting sqref="H22">
    <cfRule type="cellIs" dxfId="299" priority="13" stopIfTrue="1" operator="equal">
      <formula>"ERROR"</formula>
    </cfRule>
    <cfRule type="cellIs" dxfId="298" priority="14" stopIfTrue="1" operator="equal">
      <formula>"OK"</formula>
    </cfRule>
    <cfRule type="cellIs" dxfId="297" priority="15" stopIfTrue="1" operator="equal">
      <formula>"WARNING"</formula>
    </cfRule>
  </conditionalFormatting>
  <conditionalFormatting sqref="N22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K24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387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140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210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495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140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502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507</v>
      </c>
      <c r="M14" s="307"/>
      <c r="N14" s="307"/>
      <c r="O14" s="307"/>
      <c r="P14" s="307"/>
      <c r="Q14" s="307"/>
      <c r="R14" s="439"/>
      <c r="S14" s="4" t="s">
        <v>509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226</v>
      </c>
      <c r="C16" s="296"/>
      <c r="D16" s="439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9"/>
      <c r="L16" s="294" t="s">
        <v>226</v>
      </c>
      <c r="M16" s="296"/>
      <c r="N16" s="439"/>
      <c r="O16" s="581" t="s">
        <v>66</v>
      </c>
      <c r="P16" s="582" t="s">
        <v>67</v>
      </c>
      <c r="Q16" s="583" t="s">
        <v>68</v>
      </c>
      <c r="R16" s="439"/>
      <c r="S16" s="294" t="s">
        <v>226</v>
      </c>
      <c r="T16" s="296"/>
      <c r="V16" s="581" t="s">
        <v>66</v>
      </c>
      <c r="W16" s="584"/>
      <c r="X16" s="584"/>
      <c r="Y16" s="582" t="s">
        <v>67</v>
      </c>
      <c r="Z16" s="582"/>
      <c r="AA16" s="582"/>
      <c r="AB16" s="583" t="s">
        <v>68</v>
      </c>
      <c r="AD16" s="294" t="s">
        <v>226</v>
      </c>
      <c r="AE16" s="296"/>
      <c r="AF16" s="439"/>
      <c r="AG16" s="581" t="s">
        <v>66</v>
      </c>
      <c r="AH16" s="584"/>
      <c r="AI16" s="584"/>
      <c r="AJ16" s="582" t="s">
        <v>67</v>
      </c>
      <c r="AK16" s="582"/>
      <c r="AL16" s="582"/>
      <c r="AM16" s="583" t="s">
        <v>68</v>
      </c>
    </row>
    <row r="17" spans="1:39">
      <c r="A17" s="439"/>
      <c r="B17" s="123" t="s">
        <v>496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503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496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496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510</v>
      </c>
      <c r="Z17" s="588"/>
      <c r="AA17" s="588"/>
      <c r="AB17" s="579" t="str" cm="1">
        <f t="array" ref="AB17">_xll.d.TestUtils_Equal(V17,Y17)</f>
        <v>Ok</v>
      </c>
      <c r="AD17" s="123" t="s">
        <v>496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514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497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504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497</v>
      </c>
      <c r="M18" s="573">
        <v>0.1</v>
      </c>
      <c r="N18" s="439"/>
      <c r="O18" s="439"/>
      <c r="P18" s="439"/>
      <c r="Q18" s="439"/>
      <c r="R18" s="439"/>
      <c r="S18" s="125" t="s">
        <v>497</v>
      </c>
      <c r="T18" s="573">
        <v>0.1</v>
      </c>
      <c r="AD18" s="125" t="s">
        <v>497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499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505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499</v>
      </c>
      <c r="M19" s="573">
        <v>0.09</v>
      </c>
      <c r="N19" s="439"/>
      <c r="O19" s="439"/>
      <c r="P19" s="439"/>
      <c r="Q19" s="439"/>
      <c r="R19" s="439"/>
      <c r="S19" s="125" t="s">
        <v>499</v>
      </c>
      <c r="T19" s="573">
        <v>0.09</v>
      </c>
      <c r="AD19" s="125" t="s">
        <v>499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73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506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73</v>
      </c>
      <c r="M20" s="573">
        <v>0.25</v>
      </c>
      <c r="N20" s="439"/>
      <c r="O20" s="439"/>
      <c r="P20" s="439"/>
      <c r="Q20" s="439"/>
      <c r="R20" s="439"/>
      <c r="S20" s="125" t="s">
        <v>73</v>
      </c>
      <c r="T20" s="573">
        <v>0.25</v>
      </c>
      <c r="AD20" s="125" t="s">
        <v>73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498</v>
      </c>
      <c r="C21" s="126">
        <f>4/12</f>
        <v>0.33333333333333331</v>
      </c>
      <c r="D21" s="439"/>
      <c r="G21" s="439"/>
      <c r="H21" s="439"/>
      <c r="I21" s="439"/>
      <c r="L21" s="125" t="s">
        <v>498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498</v>
      </c>
      <c r="T21" s="126">
        <f>4/12</f>
        <v>0.33333333333333331</v>
      </c>
      <c r="AD21" s="125" t="s">
        <v>498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418</v>
      </c>
      <c r="C22" s="126" t="s">
        <v>500</v>
      </c>
      <c r="L22" s="125" t="s">
        <v>418</v>
      </c>
      <c r="M22" s="126" t="s">
        <v>500</v>
      </c>
      <c r="S22" s="125" t="s">
        <v>418</v>
      </c>
      <c r="T22" s="126" t="s">
        <v>508</v>
      </c>
      <c r="AD22" s="125" t="s">
        <v>418</v>
      </c>
      <c r="AE22" s="126" t="s">
        <v>500</v>
      </c>
    </row>
    <row r="23" spans="1:39">
      <c r="A23" s="439"/>
      <c r="B23" s="127" t="s">
        <v>511</v>
      </c>
      <c r="C23" s="128" t="s">
        <v>512</v>
      </c>
      <c r="D23" s="439"/>
      <c r="G23" s="439"/>
      <c r="H23" s="439"/>
      <c r="I23" s="439"/>
      <c r="L23" s="127" t="s">
        <v>511</v>
      </c>
      <c r="M23" s="128" t="s">
        <v>512</v>
      </c>
      <c r="N23" s="439"/>
      <c r="O23" s="439"/>
      <c r="P23" s="439"/>
      <c r="Q23" s="439"/>
      <c r="R23" s="439"/>
      <c r="S23" s="127" t="s">
        <v>511</v>
      </c>
      <c r="T23" s="128" t="s">
        <v>512</v>
      </c>
      <c r="AD23" s="127" t="s">
        <v>511</v>
      </c>
      <c r="AE23" s="128" t="s">
        <v>508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204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248</v>
      </c>
    </row>
    <row r="33" spans="2:11">
      <c r="B33" t="s">
        <v>334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387</v>
      </c>
    </row>
    <row r="2" spans="1:54" ht="26.25">
      <c r="B2" s="2" t="s">
        <v>388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140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210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389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390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389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140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90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433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438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140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140</v>
      </c>
      <c r="AG17" s="455" t="str">
        <f>AP20</f>
        <v>Ok</v>
      </c>
      <c r="AR17" s="50" t="s">
        <v>140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226</v>
      </c>
      <c r="C19" s="122"/>
      <c r="D19" s="298"/>
      <c r="E19" s="448" t="s">
        <v>549</v>
      </c>
      <c r="F19" s="298"/>
      <c r="G19" s="121" t="s">
        <v>431</v>
      </c>
      <c r="H19" s="192"/>
      <c r="I19" s="192"/>
      <c r="J19" s="192"/>
      <c r="K19" s="192"/>
      <c r="L19" s="122"/>
      <c r="N19" s="448" t="s">
        <v>114</v>
      </c>
      <c r="O19" s="298"/>
      <c r="P19" s="121" t="s">
        <v>431</v>
      </c>
      <c r="Q19" s="192"/>
      <c r="R19" s="192"/>
      <c r="S19" s="192"/>
      <c r="T19" s="192"/>
      <c r="U19" s="122"/>
      <c r="V19" s="298"/>
      <c r="W19" s="448" t="s">
        <v>68</v>
      </c>
      <c r="X19" s="298"/>
      <c r="Y19" s="121" t="s">
        <v>431</v>
      </c>
      <c r="Z19" s="192"/>
      <c r="AA19" s="192"/>
      <c r="AB19" s="192"/>
      <c r="AC19" s="192"/>
      <c r="AD19" s="122"/>
      <c r="AF19" s="12" t="s">
        <v>226</v>
      </c>
      <c r="AG19" s="12"/>
      <c r="AH19" s="122"/>
      <c r="AI19" s="445"/>
      <c r="AJ19" s="12" t="s">
        <v>114</v>
      </c>
      <c r="AK19" s="27"/>
      <c r="AL19" s="27"/>
      <c r="AM19" s="27" t="s">
        <v>228</v>
      </c>
      <c r="AN19" s="27"/>
      <c r="AO19" s="27"/>
      <c r="AP19" s="13" t="s">
        <v>68</v>
      </c>
      <c r="AR19" s="12" t="s">
        <v>226</v>
      </c>
      <c r="AS19" s="12"/>
      <c r="AT19" s="122"/>
      <c r="AU19" s="445"/>
      <c r="AV19" s="12" t="s">
        <v>114</v>
      </c>
      <c r="AW19" s="27"/>
      <c r="AX19" s="27"/>
      <c r="AY19" s="27" t="s">
        <v>228</v>
      </c>
      <c r="AZ19" s="27"/>
      <c r="BA19" s="27"/>
      <c r="BB19" s="13" t="s">
        <v>68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219</v>
      </c>
      <c r="H20" s="283" t="s">
        <v>79</v>
      </c>
      <c r="I20" s="449" t="s">
        <v>80</v>
      </c>
      <c r="J20" s="283" t="s">
        <v>65</v>
      </c>
      <c r="K20" s="283" t="s">
        <v>64</v>
      </c>
      <c r="L20" s="284" t="s">
        <v>63</v>
      </c>
      <c r="N20" s="298"/>
      <c r="O20" s="298"/>
      <c r="P20" s="282" t="s">
        <v>219</v>
      </c>
      <c r="Q20" s="283" t="s">
        <v>79</v>
      </c>
      <c r="R20" s="449" t="s">
        <v>80</v>
      </c>
      <c r="S20" s="283" t="s">
        <v>65</v>
      </c>
      <c r="T20" s="283" t="s">
        <v>64</v>
      </c>
      <c r="U20" s="284" t="s">
        <v>63</v>
      </c>
      <c r="W20" s="439"/>
      <c r="X20" s="298"/>
      <c r="Y20" s="282" t="s">
        <v>219</v>
      </c>
      <c r="Z20" s="283" t="s">
        <v>79</v>
      </c>
      <c r="AA20" s="449" t="s">
        <v>80</v>
      </c>
      <c r="AB20" s="283" t="s">
        <v>65</v>
      </c>
      <c r="AC20" s="283" t="s">
        <v>64</v>
      </c>
      <c r="AD20" s="284" t="s">
        <v>63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437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436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449</v>
      </c>
      <c r="C21" s="488">
        <f>3/12</f>
        <v>0.25</v>
      </c>
      <c r="D21" s="614"/>
      <c r="E21" s="984" t="s">
        <v>430</v>
      </c>
      <c r="F21" s="288" t="s">
        <v>219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84" t="s">
        <v>430</v>
      </c>
      <c r="O21" s="288" t="s">
        <v>219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84" t="s">
        <v>430</v>
      </c>
      <c r="X21" s="288" t="s">
        <v>219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434</v>
      </c>
      <c r="AG21" s="457"/>
      <c r="AH21" s="126" t="s">
        <v>432</v>
      </c>
      <c r="AJ21" s="298"/>
      <c r="AK21" s="445"/>
      <c r="AM21" s="447"/>
      <c r="AN21" s="298"/>
      <c r="AO21" s="299"/>
      <c r="AR21" s="457" t="s">
        <v>434</v>
      </c>
      <c r="AS21" s="457"/>
      <c r="AT21" s="126" t="s">
        <v>65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85"/>
      <c r="F22" s="289" t="s">
        <v>79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85"/>
      <c r="O22" s="289" t="s">
        <v>79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85"/>
      <c r="X22" s="289" t="s">
        <v>79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435</v>
      </c>
      <c r="AG22" s="457"/>
      <c r="AH22" s="126" t="s">
        <v>65</v>
      </c>
      <c r="AI22"/>
      <c r="AJ22"/>
      <c r="AK22"/>
      <c r="AM22" s="298"/>
      <c r="AN22"/>
      <c r="AO22"/>
      <c r="AP22"/>
      <c r="AR22" s="457" t="s">
        <v>435</v>
      </c>
      <c r="AS22" s="457"/>
      <c r="AT22" s="126" t="s">
        <v>432</v>
      </c>
      <c r="AY22" s="298"/>
    </row>
    <row r="23" spans="1:54" s="439" customFormat="1">
      <c r="B23" s="298"/>
      <c r="D23" s="615">
        <v>2</v>
      </c>
      <c r="E23" s="985"/>
      <c r="F23" s="289" t="s">
        <v>80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85"/>
      <c r="O23" s="289" t="s">
        <v>80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85"/>
      <c r="X23" s="289" t="s">
        <v>80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449</v>
      </c>
      <c r="AG23" s="458"/>
      <c r="AH23" s="128">
        <f>3/12</f>
        <v>0.25</v>
      </c>
      <c r="AR23" s="458" t="s">
        <v>449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85"/>
      <c r="F24" s="289" t="s">
        <v>65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85"/>
      <c r="O24" s="289" t="s">
        <v>65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85"/>
      <c r="X24" s="289" t="s">
        <v>65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85"/>
      <c r="F25" s="289" t="s">
        <v>64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85"/>
      <c r="O25" s="289" t="s">
        <v>64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85"/>
      <c r="X25" s="289" t="s">
        <v>64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86"/>
      <c r="F26" s="290" t="s">
        <v>63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86"/>
      <c r="O26" s="290" t="s">
        <v>63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86"/>
      <c r="X26" s="290" t="s">
        <v>63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390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140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90</v>
      </c>
      <c r="C33" s="307"/>
      <c r="D33" s="307"/>
      <c r="E33" s="307"/>
      <c r="F33" s="307"/>
      <c r="G33" s="307"/>
      <c r="H33" s="307"/>
      <c r="I33" s="439"/>
      <c r="J33" s="4" t="s">
        <v>442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140</v>
      </c>
      <c r="C35" s="300" t="str" cm="1">
        <f t="array" ref="C35">_xll.d.TestUtils_And(H38:H43)</f>
        <v>Ok</v>
      </c>
      <c r="J35" s="50" t="s">
        <v>140</v>
      </c>
      <c r="K35" s="455" t="str">
        <f>S38</f>
        <v>Ok</v>
      </c>
    </row>
    <row r="36" spans="2:24" s="439" customFormat="1"/>
    <row r="37" spans="2:24">
      <c r="B37" s="121" t="s">
        <v>226</v>
      </c>
      <c r="C37" s="122"/>
      <c r="E37" s="121"/>
      <c r="F37" s="332" t="s">
        <v>114</v>
      </c>
      <c r="G37" s="467" t="s">
        <v>228</v>
      </c>
      <c r="H37" s="454" t="s">
        <v>68</v>
      </c>
      <c r="I37" s="439"/>
      <c r="J37" s="121" t="s">
        <v>226</v>
      </c>
      <c r="K37" s="122"/>
      <c r="M37" s="121" t="s">
        <v>114</v>
      </c>
      <c r="N37" s="192"/>
      <c r="O37" s="192"/>
      <c r="P37" s="192" t="s">
        <v>228</v>
      </c>
      <c r="Q37" s="192"/>
      <c r="R37" s="192"/>
      <c r="S37" s="122" t="s">
        <v>68</v>
      </c>
    </row>
    <row r="38" spans="2:24">
      <c r="B38" s="123" t="s">
        <v>439</v>
      </c>
      <c r="C38" s="464">
        <v>0.9993298952745</v>
      </c>
      <c r="D38" s="439"/>
      <c r="E38" s="403" t="s">
        <v>219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443</v>
      </c>
      <c r="K38" s="464" t="s">
        <v>432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444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440</v>
      </c>
      <c r="C39" s="465">
        <v>0.99640260231230005</v>
      </c>
      <c r="D39" s="439"/>
      <c r="E39" s="468" t="s">
        <v>63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439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441</v>
      </c>
      <c r="C40" s="128">
        <v>0.25</v>
      </c>
      <c r="D40" s="439"/>
      <c r="E40" s="468" t="s">
        <v>79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440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80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441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65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64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387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387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140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190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191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197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192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107</v>
      </c>
      <c r="C20" s="164" t="str" cm="1">
        <f t="array" aca="1" ref="C20" ca="1">_xll.d.TestUtils_And(J22:J27)</f>
        <v>Error</v>
      </c>
      <c r="G20" s="231" t="s">
        <v>189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68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202</v>
      </c>
      <c r="C23" s="262" t="s">
        <v>203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198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199</v>
      </c>
      <c r="C28" s="220">
        <v>44713</v>
      </c>
      <c r="E28" s="53"/>
    </row>
    <row r="29" spans="2:10">
      <c r="B29" s="260" t="s">
        <v>200</v>
      </c>
      <c r="C29" s="241">
        <f>C28+365</f>
        <v>45078</v>
      </c>
      <c r="E29" s="53"/>
    </row>
    <row r="30" spans="2:10">
      <c r="B30" s="261" t="s">
        <v>201</v>
      </c>
      <c r="C30" s="263" t="s">
        <v>204</v>
      </c>
    </row>
    <row r="31" spans="2:10">
      <c r="B31" s="264" t="s">
        <v>205</v>
      </c>
      <c r="C31">
        <v>1000000</v>
      </c>
    </row>
    <row r="32" spans="2:10">
      <c r="B32" s="264" t="s">
        <v>207</v>
      </c>
      <c r="C32" t="s">
        <v>54</v>
      </c>
      <c r="D32" t="s">
        <v>208</v>
      </c>
    </row>
    <row r="33" spans="2:3">
      <c r="B33" s="264" t="s">
        <v>209</v>
      </c>
    </row>
    <row r="34" spans="2:3">
      <c r="B34" s="264" t="s">
        <v>206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387</v>
      </c>
    </row>
    <row r="2" spans="2:34" ht="26.25">
      <c r="B2" s="2" t="s">
        <v>560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>
      <c r="E5" s="596" t="s">
        <v>451</v>
      </c>
      <c r="F5" s="597"/>
    </row>
    <row r="6" spans="2:34">
      <c r="E6" s="598" t="s">
        <v>450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563</v>
      </c>
      <c r="C8" s="164" t="str" cm="1">
        <f t="array" aca="1" ref="C8" ca="1">_xll.d.TestUtils_And(J20,J23,H26:J28,H31:J33,Y20,Y23,Y26,Y31)</f>
        <v>Ok</v>
      </c>
      <c r="E8" s="612" t="s">
        <v>567</v>
      </c>
    </row>
    <row r="9" spans="2:34">
      <c r="B9" s="480" t="s">
        <v>564</v>
      </c>
      <c r="C9" s="164" t="str" cm="1">
        <f t="array" aca="1" ref="C9" ca="1">_xll.d.TestUtils_And(J39,J42,H45:J47,H50:J52,Y39,Y42,Y45,Y50)</f>
        <v>Ok</v>
      </c>
      <c r="E9" s="612" t="s">
        <v>568</v>
      </c>
    </row>
    <row r="12" spans="2:34">
      <c r="B12" s="50" t="s">
        <v>572</v>
      </c>
      <c r="C12" s="50" t="s">
        <v>562</v>
      </c>
      <c r="D12" s="50"/>
      <c r="E12" s="50"/>
      <c r="F12" s="50"/>
      <c r="G12" s="50"/>
      <c r="H12" s="50"/>
    </row>
    <row r="13" spans="2:34">
      <c r="B13" s="653" t="s">
        <v>563</v>
      </c>
      <c r="C13" s="654" t="s">
        <v>559</v>
      </c>
      <c r="D13" s="634"/>
      <c r="E13" s="634"/>
      <c r="F13" s="634"/>
      <c r="G13" s="634"/>
      <c r="H13" s="635"/>
    </row>
    <row r="14" spans="2:34">
      <c r="B14" s="655" t="s">
        <v>564</v>
      </c>
      <c r="C14" s="656" t="s">
        <v>561</v>
      </c>
      <c r="D14" s="636"/>
      <c r="E14" s="636"/>
      <c r="F14" s="636"/>
      <c r="G14" s="636"/>
      <c r="H14" s="637"/>
    </row>
    <row r="17" spans="2:34" ht="18.75">
      <c r="B17" s="3" t="s">
        <v>563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555</v>
      </c>
      <c r="C19" s="50"/>
      <c r="D19" s="50"/>
      <c r="E19" s="50" t="s">
        <v>569</v>
      </c>
      <c r="F19" s="50"/>
      <c r="G19" s="50"/>
      <c r="H19" s="50" t="s">
        <v>573</v>
      </c>
      <c r="I19" s="50"/>
      <c r="J19" s="50"/>
      <c r="K19" s="50" t="s">
        <v>576</v>
      </c>
      <c r="L19" s="50"/>
      <c r="M19" s="50"/>
      <c r="N19" s="50"/>
      <c r="O19" s="50"/>
      <c r="P19" s="50"/>
      <c r="Q19" s="50"/>
      <c r="R19" s="50" t="s">
        <v>575</v>
      </c>
      <c r="S19" s="50"/>
      <c r="T19" s="50"/>
      <c r="U19" s="50"/>
      <c r="V19" s="50"/>
      <c r="W19" s="50"/>
      <c r="X19" s="50"/>
      <c r="Y19" s="50" t="s">
        <v>577</v>
      </c>
      <c r="AF19" s="633" t="s">
        <v>555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578</v>
      </c>
      <c r="L20" s="672"/>
      <c r="M20" s="672"/>
      <c r="N20" s="672"/>
      <c r="O20" s="672"/>
      <c r="P20" s="672"/>
      <c r="Q20" s="673"/>
      <c r="R20" s="672" t="s">
        <v>578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556</v>
      </c>
      <c r="C22" s="50"/>
      <c r="D22" s="50"/>
      <c r="E22" s="50" t="s">
        <v>569</v>
      </c>
      <c r="F22" s="50"/>
      <c r="G22" s="50"/>
      <c r="H22" s="50" t="s">
        <v>573</v>
      </c>
      <c r="I22" s="50"/>
      <c r="J22" s="50"/>
      <c r="K22" s="50" t="s">
        <v>576</v>
      </c>
      <c r="L22" s="50"/>
      <c r="M22" s="50"/>
      <c r="N22" s="50"/>
      <c r="O22" s="50"/>
      <c r="P22" s="50"/>
      <c r="Q22" s="50"/>
      <c r="R22" s="50" t="s">
        <v>575</v>
      </c>
      <c r="S22" s="50"/>
      <c r="T22" s="50"/>
      <c r="U22" s="50"/>
      <c r="V22" s="50"/>
      <c r="W22" s="50"/>
      <c r="X22" s="50"/>
      <c r="Y22" s="50" t="s">
        <v>577</v>
      </c>
      <c r="Z22" s="298"/>
      <c r="AA22" s="298"/>
      <c r="AB22" s="298"/>
      <c r="AC22" s="298"/>
      <c r="AD22" s="298"/>
      <c r="AE22" s="298"/>
      <c r="AF22" s="633" t="s">
        <v>556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578</v>
      </c>
      <c r="L23" s="672"/>
      <c r="M23" s="672"/>
      <c r="N23" s="672"/>
      <c r="O23" s="672"/>
      <c r="P23" s="672"/>
      <c r="Q23" s="673"/>
      <c r="R23" s="672" t="s">
        <v>578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557</v>
      </c>
      <c r="C25" s="50"/>
      <c r="D25" s="50"/>
      <c r="E25" s="50" t="s">
        <v>574</v>
      </c>
      <c r="F25" s="50"/>
      <c r="G25" s="50"/>
      <c r="H25" s="50" t="s">
        <v>573</v>
      </c>
      <c r="I25" s="50"/>
      <c r="J25" s="50"/>
      <c r="K25" s="50" t="s">
        <v>576</v>
      </c>
      <c r="L25" s="50"/>
      <c r="M25" s="50"/>
      <c r="N25" s="50"/>
      <c r="O25" s="50"/>
      <c r="P25" s="50"/>
      <c r="Q25" s="50"/>
      <c r="R25" s="50" t="s">
        <v>575</v>
      </c>
      <c r="S25" s="50"/>
      <c r="T25" s="50"/>
      <c r="U25" s="50"/>
      <c r="V25" s="50"/>
      <c r="W25" s="50"/>
      <c r="X25" s="50"/>
      <c r="Y25" s="50" t="s">
        <v>577</v>
      </c>
      <c r="Z25" s="298"/>
      <c r="AA25" s="298"/>
      <c r="AB25" s="298"/>
      <c r="AC25" s="298"/>
      <c r="AD25" s="298"/>
      <c r="AE25" s="298"/>
      <c r="AF25" s="633" t="s">
        <v>557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578</v>
      </c>
      <c r="L26" s="674"/>
      <c r="M26" s="674"/>
      <c r="N26" s="674"/>
      <c r="O26" s="674"/>
      <c r="P26" s="674"/>
      <c r="Q26" s="675"/>
      <c r="R26" s="674" t="s">
        <v>578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558</v>
      </c>
      <c r="C30" s="50"/>
      <c r="D30" s="50"/>
      <c r="E30" s="50" t="s">
        <v>574</v>
      </c>
      <c r="F30" s="50"/>
      <c r="G30" s="50"/>
      <c r="H30" s="50" t="s">
        <v>573</v>
      </c>
      <c r="I30" s="50"/>
      <c r="J30" s="50"/>
      <c r="K30" s="50" t="s">
        <v>576</v>
      </c>
      <c r="L30" s="50"/>
      <c r="M30" s="50"/>
      <c r="N30" s="50"/>
      <c r="O30" s="50"/>
      <c r="P30" s="50"/>
      <c r="Q30" s="50"/>
      <c r="R30" s="50" t="s">
        <v>575</v>
      </c>
      <c r="S30" s="50"/>
      <c r="T30" s="50"/>
      <c r="U30" s="50"/>
      <c r="V30" s="50"/>
      <c r="W30" s="50"/>
      <c r="X30" s="50"/>
      <c r="Y30" s="50" t="s">
        <v>577</v>
      </c>
      <c r="Z30" s="298"/>
      <c r="AA30" s="298"/>
      <c r="AB30" s="298"/>
      <c r="AC30" s="298"/>
      <c r="AD30" s="298"/>
      <c r="AE30" s="298"/>
      <c r="AF30" s="633" t="s">
        <v>558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578</v>
      </c>
      <c r="L31" s="674"/>
      <c r="M31" s="674"/>
      <c r="N31" s="674"/>
      <c r="O31" s="674"/>
      <c r="P31" s="674"/>
      <c r="Q31" s="675"/>
      <c r="R31" s="674" t="s">
        <v>578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564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555</v>
      </c>
      <c r="C38" s="50"/>
      <c r="D38" s="50"/>
      <c r="E38" s="50" t="s">
        <v>569</v>
      </c>
      <c r="F38" s="50"/>
      <c r="G38" s="50"/>
      <c r="H38" s="50" t="s">
        <v>573</v>
      </c>
      <c r="I38" s="50"/>
      <c r="J38" s="50"/>
      <c r="K38" s="50" t="s">
        <v>576</v>
      </c>
      <c r="L38" s="50"/>
      <c r="M38" s="50"/>
      <c r="N38" s="50"/>
      <c r="O38" s="50"/>
      <c r="P38" s="50"/>
      <c r="Q38" s="50"/>
      <c r="R38" s="50" t="s">
        <v>575</v>
      </c>
      <c r="S38" s="50"/>
      <c r="T38" s="50"/>
      <c r="U38" s="50"/>
      <c r="V38" s="50"/>
      <c r="W38" s="50"/>
      <c r="X38" s="50"/>
      <c r="Y38" s="50" t="s">
        <v>577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578</v>
      </c>
      <c r="L39" s="672"/>
      <c r="M39" s="672"/>
      <c r="N39" s="672"/>
      <c r="O39" s="672"/>
      <c r="P39" s="672"/>
      <c r="Q39" s="673"/>
      <c r="R39" s="672" t="s">
        <v>578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556</v>
      </c>
      <c r="C41" s="50"/>
      <c r="D41" s="50"/>
      <c r="E41" s="50" t="s">
        <v>569</v>
      </c>
      <c r="F41" s="50"/>
      <c r="G41" s="50"/>
      <c r="H41" s="50" t="s">
        <v>573</v>
      </c>
      <c r="I41" s="50"/>
      <c r="J41" s="50"/>
      <c r="K41" s="50" t="s">
        <v>576</v>
      </c>
      <c r="L41" s="50"/>
      <c r="M41" s="50"/>
      <c r="N41" s="50"/>
      <c r="O41" s="50"/>
      <c r="P41" s="50"/>
      <c r="Q41" s="50"/>
      <c r="R41" s="50" t="s">
        <v>575</v>
      </c>
      <c r="S41" s="50"/>
      <c r="T41" s="50"/>
      <c r="U41" s="50"/>
      <c r="V41" s="50"/>
      <c r="W41" s="50"/>
      <c r="X41" s="50"/>
      <c r="Y41" s="50" t="s">
        <v>577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578</v>
      </c>
      <c r="L42" s="672"/>
      <c r="M42" s="672"/>
      <c r="N42" s="672"/>
      <c r="O42" s="672"/>
      <c r="P42" s="672"/>
      <c r="Q42" s="673"/>
      <c r="R42" s="672" t="s">
        <v>578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557</v>
      </c>
      <c r="C44" s="50"/>
      <c r="D44" s="50"/>
      <c r="E44" s="50" t="s">
        <v>574</v>
      </c>
      <c r="F44" s="50"/>
      <c r="G44" s="50"/>
      <c r="H44" s="50" t="s">
        <v>573</v>
      </c>
      <c r="I44" s="50"/>
      <c r="J44" s="50"/>
      <c r="K44" s="50" t="s">
        <v>576</v>
      </c>
      <c r="L44" s="50"/>
      <c r="M44" s="50"/>
      <c r="N44" s="50"/>
      <c r="O44" s="50"/>
      <c r="P44" s="50"/>
      <c r="Q44" s="50"/>
      <c r="R44" s="50" t="s">
        <v>575</v>
      </c>
      <c r="S44" s="50"/>
      <c r="T44" s="50"/>
      <c r="U44" s="50"/>
      <c r="V44" s="50"/>
      <c r="W44" s="50"/>
      <c r="X44" s="50"/>
      <c r="Y44" s="50" t="s">
        <v>577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578</v>
      </c>
      <c r="L45" s="674"/>
      <c r="M45" s="674"/>
      <c r="N45" s="674"/>
      <c r="O45" s="674"/>
      <c r="P45" s="674"/>
      <c r="Q45" s="675"/>
      <c r="R45" s="674" t="s">
        <v>578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558</v>
      </c>
      <c r="C49" s="50"/>
      <c r="D49" s="50"/>
      <c r="E49" s="50" t="s">
        <v>574</v>
      </c>
      <c r="F49" s="50"/>
      <c r="G49" s="50"/>
      <c r="H49" s="50" t="s">
        <v>573</v>
      </c>
      <c r="I49" s="50"/>
      <c r="J49" s="50"/>
      <c r="K49" s="50" t="s">
        <v>576</v>
      </c>
      <c r="L49" s="50"/>
      <c r="M49" s="50"/>
      <c r="N49" s="50"/>
      <c r="O49" s="50"/>
      <c r="P49" s="50"/>
      <c r="Q49" s="50"/>
      <c r="R49" s="50" t="s">
        <v>575</v>
      </c>
      <c r="S49" s="50"/>
      <c r="T49" s="50"/>
      <c r="U49" s="50"/>
      <c r="V49" s="50"/>
      <c r="W49" s="50"/>
      <c r="X49" s="50"/>
      <c r="Y49" s="50" t="s">
        <v>577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578</v>
      </c>
      <c r="L50" s="674"/>
      <c r="M50" s="674"/>
      <c r="N50" s="674"/>
      <c r="O50" s="674"/>
      <c r="P50" s="674"/>
      <c r="Q50" s="675"/>
      <c r="R50" s="674" t="s">
        <v>578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387</v>
      </c>
    </row>
    <row r="2" spans="2:21" ht="26.25">
      <c r="B2" s="2" t="s">
        <v>534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142</v>
      </c>
      <c r="C4" s="188" t="str" cm="1">
        <f t="array" aca="1" ref="C4" ca="1">_xll.d.TestUtils_And(C7:C11)</f>
        <v>Error</v>
      </c>
      <c r="D4" s="439"/>
      <c r="E4" s="134" t="s">
        <v>97</v>
      </c>
      <c r="F4" s="50"/>
      <c r="G4" s="439"/>
      <c r="H4" s="439"/>
    </row>
    <row r="5" spans="2:21">
      <c r="B5" s="439"/>
      <c r="C5" s="439"/>
      <c r="D5" s="439"/>
      <c r="E5" s="596" t="s">
        <v>451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450</v>
      </c>
      <c r="F6" s="599"/>
      <c r="G6" s="439"/>
      <c r="H6" s="439"/>
    </row>
    <row r="7" spans="2:21">
      <c r="B7" s="594" t="s">
        <v>90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92</v>
      </c>
      <c r="C8" s="164" t="str">
        <f ca="1">HyperlinkUtils.Test3.TestResult</f>
        <v>Error</v>
      </c>
    </row>
    <row r="9" spans="2:21" s="439" customFormat="1">
      <c r="B9" s="594" t="s">
        <v>93</v>
      </c>
      <c r="C9" s="164" t="str">
        <f ca="1">HyperlinkUtils.Test3.TestResult</f>
        <v>Error</v>
      </c>
    </row>
    <row r="10" spans="2:21" s="439" customFormat="1">
      <c r="B10" s="594" t="s">
        <v>96</v>
      </c>
      <c r="C10" s="164" t="str">
        <f ca="1">HyperlinkUtils.Test4.TestResult</f>
        <v>Ok</v>
      </c>
    </row>
    <row r="11" spans="2:21">
      <c r="B11" s="594" t="s">
        <v>99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536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107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531</v>
      </c>
      <c r="D18" s="593" t="s">
        <v>532</v>
      </c>
    </row>
    <row r="19" spans="2:11" s="439" customFormat="1" ht="15.75">
      <c r="B19" s="600" t="s">
        <v>530</v>
      </c>
      <c r="C19" s="592"/>
      <c r="D19" s="4" t="s">
        <v>538</v>
      </c>
    </row>
    <row r="20" spans="2:11" s="439" customFormat="1">
      <c r="B20" s="601" t="s">
        <v>94</v>
      </c>
      <c r="C20" s="592"/>
    </row>
    <row r="21" spans="2:11" s="439" customFormat="1">
      <c r="B21" s="54"/>
      <c r="C21" s="592"/>
    </row>
    <row r="22" spans="2:11">
      <c r="B22" s="50" t="s">
        <v>66</v>
      </c>
      <c r="C22" s="50" t="s">
        <v>67</v>
      </c>
      <c r="D22" s="50" t="s">
        <v>529</v>
      </c>
      <c r="E22" s="41" t="s">
        <v>535</v>
      </c>
    </row>
    <row r="23" spans="2:11">
      <c r="B23" s="480" t="s">
        <v>538</v>
      </c>
      <c r="C23" s="480" t="s">
        <v>538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>
      <c r="B26" s="4" t="s">
        <v>537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107</v>
      </c>
      <c r="C28" s="164" t="str" cm="1">
        <f t="array" aca="1" ref="C28" ca="1">_xll.d.TestUtils_And(D35:E35)</f>
        <v>Error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531</v>
      </c>
      <c r="C30" s="439"/>
      <c r="D30" s="593" t="s">
        <v>532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530</v>
      </c>
      <c r="C31" s="592"/>
      <c r="D31" s="4" t="s">
        <v>539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94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66</v>
      </c>
      <c r="C34" s="50" t="s">
        <v>67</v>
      </c>
      <c r="D34" s="50" t="s">
        <v>529</v>
      </c>
      <c r="E34" s="41" t="s">
        <v>535</v>
      </c>
      <c r="F34" s="439"/>
      <c r="G34" s="439"/>
      <c r="H34" s="439"/>
      <c r="I34" s="439"/>
      <c r="J34" s="439"/>
      <c r="K34" s="439"/>
    </row>
    <row r="35" spans="2:11">
      <c r="B35" s="480" t="s">
        <v>539</v>
      </c>
      <c r="C35" s="480" t="s">
        <v>539</v>
      </c>
      <c r="D35" s="164" t="str" cm="1">
        <f t="array" aca="1" ref="D35" ca="1">_xll.d.TestUtils_IsTrue(_xll.d.Formatting_Equal(B35,C35))</f>
        <v>Error</v>
      </c>
      <c r="E35" s="164" t="s">
        <v>109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540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107</v>
      </c>
      <c r="C40" s="164" t="str" cm="1">
        <f t="array" aca="1" ref="C40" ca="1">_xll.d.TestUtils_And(D47:E47)</f>
        <v>Error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531</v>
      </c>
      <c r="C42" s="439"/>
      <c r="D42" s="593" t="s">
        <v>532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530</v>
      </c>
      <c r="C43" s="592"/>
      <c r="D43" s="4" t="s">
        <v>541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94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66</v>
      </c>
      <c r="C46" s="50" t="s">
        <v>67</v>
      </c>
      <c r="D46" s="50" t="s">
        <v>529</v>
      </c>
      <c r="E46" s="41" t="s">
        <v>535</v>
      </c>
      <c r="F46" s="439"/>
      <c r="G46" s="439"/>
      <c r="H46" s="439"/>
      <c r="I46" s="439"/>
      <c r="J46" s="439"/>
      <c r="K46" s="439"/>
    </row>
    <row r="47" spans="2:11">
      <c r="B47" s="480" t="s">
        <v>541</v>
      </c>
      <c r="C47" s="480" t="s">
        <v>541</v>
      </c>
      <c r="D47" s="164" t="str" cm="1">
        <f t="array" aca="1" ref="D47" ca="1">_xll.d.TestUtils_IsTrue(_xll.d.Formatting_Equal(B47,C47))</f>
        <v>Error</v>
      </c>
      <c r="E47" s="164" t="s">
        <v>109</v>
      </c>
      <c r="F47" s="439"/>
      <c r="G47" s="439"/>
      <c r="H47" s="439"/>
      <c r="I47" s="439"/>
      <c r="J47" s="439"/>
      <c r="K47" s="439"/>
    </row>
    <row r="50" spans="2:11" ht="15.75">
      <c r="B50" s="4" t="s">
        <v>542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107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531</v>
      </c>
      <c r="C54" s="439"/>
      <c r="D54" s="593" t="s">
        <v>532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530</v>
      </c>
      <c r="C55" s="592"/>
      <c r="D55" s="4" t="s">
        <v>543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94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66</v>
      </c>
      <c r="C58" s="50" t="s">
        <v>67</v>
      </c>
      <c r="D58" s="50" t="s">
        <v>529</v>
      </c>
      <c r="E58" s="41" t="s">
        <v>535</v>
      </c>
      <c r="F58" s="439"/>
      <c r="G58" s="439"/>
      <c r="H58" s="439"/>
      <c r="I58" s="439"/>
      <c r="J58" s="439"/>
      <c r="K58" s="439"/>
    </row>
    <row r="59" spans="2:11">
      <c r="B59" s="480" t="s">
        <v>543</v>
      </c>
      <c r="C59" s="480" t="s">
        <v>543</v>
      </c>
      <c r="D59" s="164" t="str" cm="1">
        <f t="array" aca="1" ref="D59" ca="1">_xll.d.TestUtils_IsTrue(_xll.d.Formatting_Equal(B59,C59))</f>
        <v>Ok</v>
      </c>
      <c r="E59" s="164" t="s">
        <v>109</v>
      </c>
      <c r="F59" s="439"/>
      <c r="G59" s="439"/>
      <c r="H59" s="439"/>
      <c r="I59" s="439"/>
      <c r="J59" s="439"/>
      <c r="K59" s="439"/>
    </row>
    <row r="62" spans="2:11" ht="15.75">
      <c r="B62" s="4" t="s">
        <v>546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107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531</v>
      </c>
      <c r="C66" s="439"/>
      <c r="D66" s="593" t="s">
        <v>532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530</v>
      </c>
      <c r="C67" s="592"/>
      <c r="D67" s="4" t="s">
        <v>544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94</v>
      </c>
      <c r="C68" s="592"/>
      <c r="D68" s="4" t="s">
        <v>545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66</v>
      </c>
      <c r="C70" s="50" t="s">
        <v>67</v>
      </c>
      <c r="D70" s="50" t="s">
        <v>529</v>
      </c>
      <c r="E70" s="41" t="s">
        <v>535</v>
      </c>
      <c r="F70" s="439"/>
      <c r="G70" s="439"/>
      <c r="H70" s="439"/>
      <c r="I70" s="439"/>
      <c r="J70" s="439"/>
      <c r="K70" s="439"/>
    </row>
    <row r="71" spans="2:11">
      <c r="B71" s="480" t="s">
        <v>544</v>
      </c>
      <c r="C71" s="480" t="s">
        <v>544</v>
      </c>
      <c r="D71" s="164" t="str" cm="1">
        <f t="array" aca="1" ref="D71" ca="1">_xll.d.TestUtils_IsTrue(_xll.d.Formatting_Equal(B71,C71))</f>
        <v>Ok</v>
      </c>
      <c r="E71" s="164" t="s">
        <v>109</v>
      </c>
      <c r="F71" s="439"/>
      <c r="G71" s="439"/>
      <c r="H71" s="439"/>
      <c r="I71" s="439"/>
      <c r="J71" s="439"/>
      <c r="K71" s="439"/>
    </row>
    <row r="72" spans="2:11">
      <c r="B72" s="480" t="s">
        <v>545</v>
      </c>
      <c r="C72" s="480" t="s">
        <v>545</v>
      </c>
      <c r="D72" s="164" t="str" cm="1">
        <f t="array" aca="1" ref="D72" ca="1">_xll.d.TestUtils_IsTrue(_xll.d.Formatting_Equal(B72,C72))</f>
        <v>Ok</v>
      </c>
      <c r="E72" s="164" t="s">
        <v>109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387</v>
      </c>
    </row>
    <row r="2" spans="2:23" ht="26.25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140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90</v>
      </c>
      <c r="C7" s="164" t="str">
        <f>C21</f>
        <v>Ok</v>
      </c>
      <c r="F7" s="439"/>
      <c r="G7" s="439"/>
      <c r="H7" s="439"/>
      <c r="I7" s="439"/>
      <c r="J7" s="439"/>
    </row>
    <row r="8" spans="2:23">
      <c r="B8" s="199" t="s">
        <v>92</v>
      </c>
      <c r="C8" s="164" t="str">
        <f>C43</f>
        <v>Ok</v>
      </c>
      <c r="F8" s="439"/>
      <c r="G8" s="439"/>
      <c r="H8" s="439"/>
      <c r="I8" s="439"/>
      <c r="J8" s="439"/>
    </row>
    <row r="9" spans="2:23">
      <c r="B9" s="199" t="s">
        <v>93</v>
      </c>
      <c r="C9" s="164" t="str">
        <f>C65</f>
        <v>Ok</v>
      </c>
      <c r="F9" s="439"/>
      <c r="G9" s="439"/>
      <c r="H9" s="439"/>
      <c r="I9" s="439"/>
      <c r="J9" s="439"/>
    </row>
    <row r="10" spans="2:23">
      <c r="B10" s="199" t="s">
        <v>96</v>
      </c>
      <c r="C10" s="164" t="str">
        <f>C87</f>
        <v>Ok</v>
      </c>
      <c r="F10" s="439"/>
      <c r="G10" s="439"/>
      <c r="H10" s="439"/>
      <c r="I10" s="439"/>
      <c r="J10" s="439"/>
    </row>
    <row r="11" spans="2:23">
      <c r="B11" s="199" t="s">
        <v>99</v>
      </c>
      <c r="C11" s="164" t="str">
        <f>C109</f>
        <v>Ok</v>
      </c>
      <c r="F11" s="439"/>
      <c r="G11" s="439"/>
      <c r="H11" s="439"/>
      <c r="I11" s="439"/>
      <c r="J11" s="439"/>
    </row>
    <row r="12" spans="2:23">
      <c r="B12" s="199" t="s">
        <v>101</v>
      </c>
      <c r="C12" s="164" t="str">
        <f>C131</f>
        <v>Ok</v>
      </c>
      <c r="F12" s="439"/>
      <c r="G12" s="439"/>
      <c r="H12" s="439"/>
      <c r="I12" s="439"/>
      <c r="J12" s="439"/>
    </row>
    <row r="13" spans="2:23">
      <c r="B13" s="199" t="s">
        <v>143</v>
      </c>
      <c r="C13" s="164" t="str">
        <f>C153</f>
        <v>Ok</v>
      </c>
      <c r="F13" s="439"/>
      <c r="G13" s="439"/>
      <c r="H13" s="439"/>
      <c r="I13" s="439"/>
      <c r="J13" s="439"/>
    </row>
    <row r="14" spans="2:23">
      <c r="B14" s="199" t="s">
        <v>148</v>
      </c>
      <c r="C14" s="164" t="str">
        <f>C175</f>
        <v>Ok</v>
      </c>
      <c r="F14" s="439"/>
      <c r="G14" s="439"/>
      <c r="H14" s="439"/>
      <c r="I14" s="439"/>
      <c r="J14" s="439"/>
    </row>
    <row r="15" spans="2:23">
      <c r="B15" s="199" t="s">
        <v>153</v>
      </c>
      <c r="C15" s="164" t="str">
        <f>C197</f>
        <v>Ok</v>
      </c>
    </row>
    <row r="16" spans="2:23">
      <c r="B16" s="199" t="s">
        <v>170</v>
      </c>
      <c r="C16" s="164" t="str">
        <f>C219</f>
        <v>Ok</v>
      </c>
    </row>
    <row r="17" spans="2:23">
      <c r="B17" s="199"/>
    </row>
    <row r="19" spans="2:23" ht="18.75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107</v>
      </c>
      <c r="C21" s="164" t="str" cm="1">
        <f t="array" ref="C21">_xll.d.TestUtils_And(C27,F27,K27,P27)</f>
        <v>Ok</v>
      </c>
    </row>
    <row r="23" spans="2:23">
      <c r="B23" t="s">
        <v>161</v>
      </c>
    </row>
    <row r="25" spans="2:23" ht="15.7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>
      <c r="B30" s="165"/>
    </row>
    <row r="31" spans="2:23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109</v>
      </c>
    </row>
    <row r="34" spans="2:23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>
      <c r="C39" s="164"/>
    </row>
    <row r="41" spans="2:23" ht="18.75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107</v>
      </c>
      <c r="C43" s="164" t="str" cm="1">
        <f t="array" ref="C43">_xll.d.TestUtils_And(C49,F49,K49,P49)</f>
        <v>Ok</v>
      </c>
    </row>
    <row r="45" spans="2:23">
      <c r="B45" t="s">
        <v>162</v>
      </c>
    </row>
    <row r="47" spans="2:23" ht="15.7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>
      <c r="B52" s="165"/>
    </row>
    <row r="53" spans="2:23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109</v>
      </c>
    </row>
    <row r="56" spans="2:23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107</v>
      </c>
      <c r="C65" s="164" t="str" cm="1">
        <f t="array" ref="C65">_xll.d.TestUtils_And(C71,F71,K71,P71)</f>
        <v>Ok</v>
      </c>
    </row>
    <row r="67" spans="2:23">
      <c r="B67" t="s">
        <v>163</v>
      </c>
    </row>
    <row r="69" spans="2:23" s="54" customFormat="1" ht="15.7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>
      <c r="B74" s="165"/>
    </row>
    <row r="75" spans="2:23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109</v>
      </c>
    </row>
    <row r="78" spans="2:23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107</v>
      </c>
      <c r="C87" s="164" t="str" cm="1">
        <f t="array" ref="C87">_xll.d.TestUtils_And(C93,F93,K93,P93)</f>
        <v>Ok</v>
      </c>
    </row>
    <row r="89" spans="2:23">
      <c r="B89" t="s">
        <v>164</v>
      </c>
    </row>
    <row r="91" spans="2:23" ht="15.7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>
      <c r="B96" s="165"/>
    </row>
    <row r="97" spans="2:23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119</v>
      </c>
    </row>
    <row r="100" spans="2:23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107</v>
      </c>
      <c r="C109" s="164" t="str" cm="1">
        <f t="array" ref="C109">_xll.d.TestUtils_And(C115,F115,K115,P115)</f>
        <v>Ok</v>
      </c>
    </row>
    <row r="111" spans="2:23">
      <c r="B111" t="s">
        <v>165</v>
      </c>
    </row>
    <row r="113" spans="2:23" ht="15.7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>
      <c r="B118" s="165"/>
    </row>
    <row r="119" spans="2:23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119</v>
      </c>
    </row>
    <row r="122" spans="2:23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107</v>
      </c>
      <c r="C131" s="164" t="str" cm="1">
        <f t="array" ref="C131">_xll.d.TestUtils_And(C137,F137,K137,P137)</f>
        <v>Ok</v>
      </c>
    </row>
    <row r="133" spans="2:23">
      <c r="B133" t="s">
        <v>166</v>
      </c>
    </row>
    <row r="135" spans="2:23" ht="15.7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>
      <c r="B140" s="165"/>
    </row>
    <row r="141" spans="2:23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119</v>
      </c>
    </row>
    <row r="144" spans="2:23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107</v>
      </c>
      <c r="C153" s="164" t="str" cm="1">
        <f t="array" ref="C153">_xll.d.TestUtils_And(C159,F159,K159,P159)</f>
        <v>Ok</v>
      </c>
    </row>
    <row r="155" spans="2:23">
      <c r="B155" t="s">
        <v>167</v>
      </c>
    </row>
    <row r="157" spans="2:23" ht="15.7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>
      <c r="B162" s="165"/>
    </row>
    <row r="163" spans="2:23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123</v>
      </c>
    </row>
    <row r="166" spans="2:23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107</v>
      </c>
      <c r="C175" s="164" t="str" cm="1">
        <f t="array" ref="C175">_xll.d.TestUtils_And(C181,F181,K181,P181)</f>
        <v>Ok</v>
      </c>
    </row>
    <row r="177" spans="2:23">
      <c r="B177" t="s">
        <v>168</v>
      </c>
    </row>
    <row r="179" spans="2:23" ht="15.7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>
      <c r="B184" s="165"/>
    </row>
    <row r="185" spans="2:23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123</v>
      </c>
    </row>
    <row r="188" spans="2:23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107</v>
      </c>
      <c r="C197" s="164" t="str" cm="1">
        <f t="array" ref="C197">_xll.d.TestUtils_And(C203,F203,K203,P203)</f>
        <v>Ok</v>
      </c>
    </row>
    <row r="199" spans="2:23">
      <c r="B199" t="s">
        <v>169</v>
      </c>
    </row>
    <row r="201" spans="2:23" ht="15.7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>
      <c r="B206" s="165"/>
    </row>
    <row r="207" spans="2:23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123</v>
      </c>
      <c r="C209" t="str">
        <v>Warning</v>
      </c>
    </row>
    <row r="210" spans="2:23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107</v>
      </c>
      <c r="C219" s="164" t="str" cm="1">
        <f t="array" ref="C219">_xll.d.TestUtils_And(C225,F225,I225,L225)</f>
        <v>Ok</v>
      </c>
    </row>
    <row r="221" spans="2:23">
      <c r="B221" t="s">
        <v>175</v>
      </c>
    </row>
    <row r="223" spans="2:23" ht="15.7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>
      <c r="B228" s="165"/>
    </row>
    <row r="229" spans="2:21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387</v>
      </c>
    </row>
    <row r="2" spans="2:56" ht="26.2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142</v>
      </c>
      <c r="C4" s="188" t="str" cm="1">
        <f t="array" aca="1" ref="C4" ca="1">_xll.d.TestUtils_And(C7:C14)</f>
        <v>Error</v>
      </c>
      <c r="E4" s="134" t="s">
        <v>97</v>
      </c>
      <c r="F4" s="50"/>
    </row>
    <row r="5" spans="2:56">
      <c r="E5" s="409" t="s">
        <v>451</v>
      </c>
      <c r="F5" s="410"/>
    </row>
    <row r="6" spans="2:56">
      <c r="B6" s="189" t="s">
        <v>9</v>
      </c>
      <c r="C6" s="190" t="s">
        <v>10</v>
      </c>
      <c r="E6" s="411" t="s">
        <v>450</v>
      </c>
      <c r="F6" s="131"/>
    </row>
    <row r="7" spans="2:56">
      <c r="B7" s="186" t="s">
        <v>90</v>
      </c>
      <c r="C7" s="164" t="str">
        <f ca="1">C24</f>
        <v>Error</v>
      </c>
    </row>
    <row r="8" spans="2:56">
      <c r="B8" s="186" t="s">
        <v>92</v>
      </c>
      <c r="C8" s="164" t="str">
        <f ca="1">C48</f>
        <v>Error</v>
      </c>
    </row>
    <row r="9" spans="2:56">
      <c r="B9" s="186" t="s">
        <v>93</v>
      </c>
      <c r="C9" s="164" t="str">
        <f ca="1">C72</f>
        <v>Error</v>
      </c>
    </row>
    <row r="10" spans="2:56">
      <c r="B10" s="186" t="s">
        <v>96</v>
      </c>
      <c r="C10" s="164" t="str">
        <f ca="1">C108</f>
        <v>Error</v>
      </c>
    </row>
    <row r="11" spans="2:56">
      <c r="B11" s="186" t="s">
        <v>99</v>
      </c>
      <c r="C11" s="164" t="str">
        <f ca="1">C144</f>
        <v>Ok</v>
      </c>
    </row>
    <row r="12" spans="2:56">
      <c r="B12" s="186" t="s">
        <v>101</v>
      </c>
      <c r="C12" s="164" t="str">
        <f ca="1">C166</f>
        <v>Ok</v>
      </c>
    </row>
    <row r="13" spans="2:56">
      <c r="B13" s="186" t="s">
        <v>143</v>
      </c>
      <c r="C13" s="164" t="str">
        <f ca="1">C186</f>
        <v>Ok</v>
      </c>
    </row>
    <row r="14" spans="2:56">
      <c r="B14" s="186" t="s">
        <v>148</v>
      </c>
      <c r="C14" s="164" t="str">
        <f ca="1">C203</f>
        <v>Ok</v>
      </c>
    </row>
    <row r="17" spans="2:72" s="54" customFormat="1">
      <c r="B17" s="590" t="s">
        <v>527</v>
      </c>
    </row>
    <row r="18" spans="2:72">
      <c r="B18" s="591" t="s">
        <v>533</v>
      </c>
    </row>
    <row r="19" spans="2:72">
      <c r="B19" s="591"/>
    </row>
    <row r="20" spans="2:72">
      <c r="B20" s="591" t="s">
        <v>528</v>
      </c>
    </row>
    <row r="22" spans="2:72" ht="18.75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107</v>
      </c>
      <c r="C24" s="164" t="str" cm="1">
        <f t="array" aca="1" ref="C24" ca="1">_xll.d.TestUtils_And(BD39:BT43)</f>
        <v>Error</v>
      </c>
    </row>
    <row r="26" spans="2:72">
      <c r="B26" s="50" t="s">
        <v>91</v>
      </c>
      <c r="C26" s="50" t="s">
        <v>30</v>
      </c>
    </row>
    <row r="27" spans="2:72">
      <c r="B27" s="81" t="s">
        <v>86</v>
      </c>
      <c r="C27" s="146" t="s">
        <v>103</v>
      </c>
    </row>
    <row r="28" spans="2:72">
      <c r="B28" s="75" t="s">
        <v>87</v>
      </c>
      <c r="C28" s="147" t="s">
        <v>0</v>
      </c>
    </row>
    <row r="29" spans="2:72">
      <c r="B29" s="77"/>
      <c r="C29" s="148" t="s">
        <v>88</v>
      </c>
    </row>
    <row r="30" spans="2:72">
      <c r="B30" s="79"/>
      <c r="C30" s="149" t="s">
        <v>89</v>
      </c>
    </row>
    <row r="31" spans="2:72">
      <c r="B31" s="145" t="s">
        <v>102</v>
      </c>
      <c r="C31" s="151">
        <v>2</v>
      </c>
    </row>
    <row r="32" spans="2:72">
      <c r="B32" s="145" t="s">
        <v>103</v>
      </c>
      <c r="C32" s="151">
        <v>0</v>
      </c>
    </row>
    <row r="33" spans="2:72">
      <c r="B33" s="129" t="s">
        <v>94</v>
      </c>
      <c r="C33" s="130"/>
    </row>
    <row r="35" spans="2:72">
      <c r="B35" t="s">
        <v>72</v>
      </c>
    </row>
    <row r="37" spans="2:72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74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Error</v>
      </c>
      <c r="BE39" s="164" t="str" cm="1">
        <f t="array" aca="1" ref="BE39" ca="1">_xll.d.TestUtils_IsTrue(_xll.d.Formatting_Equal(C39,AM39))</f>
        <v>Error</v>
      </c>
      <c r="BF39" s="164" t="str" cm="1">
        <f t="array" aca="1" ref="BF39" ca="1">_xll.d.TestUtils_IsTrue(_xll.d.Formatting_Equal(D39,AN39))</f>
        <v>Error</v>
      </c>
      <c r="BG39" s="164" t="str" cm="1">
        <f t="array" aca="1" ref="BG39" ca="1">_xll.d.TestUtils_IsTrue(_xll.d.Formatting_Equal(E39,AO39))</f>
        <v>Error</v>
      </c>
      <c r="BH39" s="164" t="str" cm="1">
        <f t="array" aca="1" ref="BH39" ca="1">_xll.d.TestUtils_IsTrue(_xll.d.Formatting_Equal(F39,AP39))</f>
        <v>Error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Error</v>
      </c>
      <c r="BL39" s="164" t="str" cm="1">
        <f t="array" aca="1" ref="BL39" ca="1">_xll.d.TestUtils_IsTrue(_xll.d.Formatting_Equal(J39,AT39))</f>
        <v>Error</v>
      </c>
      <c r="BM39" s="164" t="str" cm="1">
        <f t="array" aca="1" ref="BM39" ca="1">_xll.d.TestUtils_IsTrue(_xll.d.Formatting_Equal(K39,AU39))</f>
        <v>Error</v>
      </c>
      <c r="BN39" s="164" t="str" cm="1">
        <f t="array" aca="1" ref="BN39" ca="1">_xll.d.TestUtils_IsTrue(_xll.d.Formatting_Equal(L39,AV39))</f>
        <v>Error</v>
      </c>
      <c r="BO39" s="164" t="str" cm="1">
        <f t="array" aca="1" ref="BO39" ca="1">_xll.d.TestUtils_IsTrue(_xll.d.Formatting_Equal(M39,AW39))</f>
        <v>Error</v>
      </c>
      <c r="BP39" s="164" t="str" cm="1">
        <f t="array" aca="1" ref="BP39" ca="1">_xll.d.TestUtils_IsTrue(_xll.d.Formatting_Equal(N39,AX39))</f>
        <v>Error</v>
      </c>
      <c r="BQ39" s="164" t="str" cm="1">
        <f t="array" aca="1" ref="BQ39" ca="1">_xll.d.TestUtils_IsTrue(_xll.d.Formatting_Equal(O39,AY39))</f>
        <v>Error</v>
      </c>
      <c r="BR39" s="164" t="str" cm="1">
        <f t="array" aca="1" ref="BR39" ca="1">_xll.d.TestUtils_IsTrue(_xll.d.Formatting_Equal(P39,AZ39))</f>
        <v>Error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22" t="s">
        <v>31</v>
      </c>
      <c r="AM40" s="624" t="s">
        <v>0</v>
      </c>
      <c r="AN40" s="624" t="s">
        <v>75</v>
      </c>
      <c r="AO40" s="624" t="s">
        <v>76</v>
      </c>
      <c r="AP40" s="624" t="s">
        <v>77</v>
      </c>
      <c r="AQ40" s="624" t="s">
        <v>78</v>
      </c>
      <c r="AR40" s="624" t="s">
        <v>79</v>
      </c>
      <c r="AS40" s="624" t="s">
        <v>63</v>
      </c>
      <c r="AT40" s="624" t="s">
        <v>64</v>
      </c>
      <c r="AU40" s="624" t="s">
        <v>65</v>
      </c>
      <c r="AV40" s="624" t="s">
        <v>80</v>
      </c>
      <c r="AW40" s="624" t="s">
        <v>23</v>
      </c>
      <c r="AX40" s="624" t="s">
        <v>36</v>
      </c>
      <c r="AY40" s="624" t="s">
        <v>81</v>
      </c>
      <c r="AZ40" s="624" t="s">
        <v>73</v>
      </c>
      <c r="BA40" s="624" t="s">
        <v>83</v>
      </c>
      <c r="BB40" s="625" t="s">
        <v>82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Error</v>
      </c>
      <c r="BM40" s="164" t="str" cm="1">
        <f t="array" aca="1" ref="BM40" ca="1">_xll.d.TestUtils_IsTrue(_xll.d.Formatting_Equal(K40,AU40))</f>
        <v>Error</v>
      </c>
      <c r="BN40" s="164" t="str" cm="1">
        <f t="array" aca="1" ref="BN40" ca="1">_xll.d.TestUtils_IsTrue(_xll.d.Formatting_Equal(L40,AV40))</f>
        <v>Error</v>
      </c>
      <c r="BO40" s="164" t="str" cm="1">
        <f t="array" aca="1" ref="BO40" ca="1">_xll.d.TestUtils_IsTrue(_xll.d.Formatting_Equal(M40,AW40))</f>
        <v>Error</v>
      </c>
      <c r="BP40" s="164" t="str" cm="1">
        <f t="array" aca="1" ref="BP40" ca="1">_xll.d.TestUtils_IsTrue(_xll.d.Formatting_Equal(N40,AX40))</f>
        <v>Error</v>
      </c>
      <c r="BQ40" s="164" t="str" cm="1">
        <f t="array" aca="1" ref="BQ40" ca="1">_xll.d.TestUtils_IsTrue(_xll.d.Formatting_Equal(O40,AY40))</f>
        <v>Error</v>
      </c>
      <c r="BR40" s="164" t="str" cm="1">
        <f t="array" aca="1" ref="BR40" ca="1">_xll.d.TestUtils_IsTrue(_xll.d.Formatting_Equal(P40,AZ40))</f>
        <v>Error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Error</v>
      </c>
      <c r="BK41" s="164" t="str" cm="1">
        <f t="array" aca="1" ref="BK41" ca="1">_xll.d.TestUtils_IsTrue(_xll.d.Formatting_Equal(I41,AS41))</f>
        <v>Error</v>
      </c>
      <c r="BL41" s="164" t="str" cm="1">
        <f t="array" aca="1" ref="BL41" ca="1">_xll.d.TestUtils_IsTrue(_xll.d.Formatting_Equal(J41,AT41))</f>
        <v>Error</v>
      </c>
      <c r="BM41" s="164" t="str" cm="1">
        <f t="array" aca="1" ref="BM41" ca="1">_xll.d.TestUtils_IsTrue(_xll.d.Formatting_Equal(K41,AU41))</f>
        <v>Error</v>
      </c>
      <c r="BN41" s="164" t="str" cm="1">
        <f t="array" aca="1" ref="BN41" ca="1">_xll.d.TestUtils_IsTrue(_xll.d.Formatting_Equal(L41,AV41))</f>
        <v>Error</v>
      </c>
      <c r="BO41" s="164" t="str" cm="1">
        <f t="array" aca="1" ref="BO41" ca="1">_xll.d.TestUtils_IsTrue(_xll.d.Formatting_Equal(M41,AW41))</f>
        <v>Error</v>
      </c>
      <c r="BP41" s="164" t="str" cm="1">
        <f t="array" aca="1" ref="BP41" ca="1">_xll.d.TestUtils_IsTrue(_xll.d.Formatting_Equal(N41,AX41))</f>
        <v>Error</v>
      </c>
      <c r="BQ41" s="164" t="str" cm="1">
        <f t="array" aca="1" ref="BQ41" ca="1">_xll.d.TestUtils_IsTrue(_xll.d.Formatting_Equal(O41,AY41))</f>
        <v>Error</v>
      </c>
      <c r="BR41" s="164" t="str" cm="1">
        <f t="array" aca="1" ref="BR41" ca="1">_xll.d.TestUtils_IsTrue(_xll.d.Formatting_Equal(P41,AZ41))</f>
        <v>Error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Error</v>
      </c>
      <c r="BK42" s="164" t="str" cm="1">
        <f t="array" aca="1" ref="BK42" ca="1">_xll.d.TestUtils_IsTrue(_xll.d.Formatting_Equal(I42,AS42))</f>
        <v>Error</v>
      </c>
      <c r="BL42" s="164" t="str" cm="1">
        <f t="array" aca="1" ref="BL42" ca="1">_xll.d.TestUtils_IsTrue(_xll.d.Formatting_Equal(J42,AT42))</f>
        <v>Error</v>
      </c>
      <c r="BM42" s="164" t="str" cm="1">
        <f t="array" aca="1" ref="BM42" ca="1">_xll.d.TestUtils_IsTrue(_xll.d.Formatting_Equal(K42,AU42))</f>
        <v>Error</v>
      </c>
      <c r="BN42" s="164" t="str" cm="1">
        <f t="array" aca="1" ref="BN42" ca="1">_xll.d.TestUtils_IsTrue(_xll.d.Formatting_Equal(L42,AV42))</f>
        <v>Error</v>
      </c>
      <c r="BO42" s="164" t="str" cm="1">
        <f t="array" aca="1" ref="BO42" ca="1">_xll.d.TestUtils_IsTrue(_xll.d.Formatting_Equal(M42,AW42))</f>
        <v>Error</v>
      </c>
      <c r="BP42" s="164" t="str" cm="1">
        <f t="array" aca="1" ref="BP42" ca="1">_xll.d.TestUtils_IsTrue(_xll.d.Formatting_Equal(N42,AX42))</f>
        <v>Error</v>
      </c>
      <c r="BQ42" s="164" t="str" cm="1">
        <f t="array" aca="1" ref="BQ42" ca="1">_xll.d.TestUtils_IsTrue(_xll.d.Formatting_Equal(O42,AY42))</f>
        <v>Error</v>
      </c>
      <c r="BR42" s="164" t="str" cm="1">
        <f t="array" aca="1" ref="BR42" ca="1">_xll.d.TestUtils_IsTrue(_xll.d.Formatting_Equal(P42,AZ42))</f>
        <v>Error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Error</v>
      </c>
      <c r="BL43" s="164" t="str" cm="1">
        <f t="array" aca="1" ref="BL43" ca="1">_xll.d.TestUtils_IsTrue(_xll.d.Formatting_Equal(J43,AT43))</f>
        <v>Error</v>
      </c>
      <c r="BM43" s="164" t="str" cm="1">
        <f t="array" aca="1" ref="BM43" ca="1">_xll.d.TestUtils_IsTrue(_xll.d.Formatting_Equal(K43,AU43))</f>
        <v>Error</v>
      </c>
      <c r="BN43" s="164" t="str" cm="1">
        <f t="array" aca="1" ref="BN43" ca="1">_xll.d.TestUtils_IsTrue(_xll.d.Formatting_Equal(L43,AV43))</f>
        <v>Error</v>
      </c>
      <c r="BO43" s="164" t="str" cm="1">
        <f t="array" aca="1" ref="BO43" ca="1">_xll.d.TestUtils_IsTrue(_xll.d.Formatting_Equal(M43,AW43))</f>
        <v>Error</v>
      </c>
      <c r="BP43" s="164" t="str" cm="1">
        <f t="array" aca="1" ref="BP43" ca="1">_xll.d.TestUtils_IsTrue(_xll.d.Formatting_Equal(N43,AX43))</f>
        <v>Error</v>
      </c>
      <c r="BQ43" s="164" t="str" cm="1">
        <f t="array" aca="1" ref="BQ43" ca="1">_xll.d.TestUtils_IsTrue(_xll.d.Formatting_Equal(O43,AY43))</f>
        <v>Error</v>
      </c>
      <c r="BR43" s="164" t="str" cm="1">
        <f t="array" aca="1" ref="BR43" ca="1">_xll.d.TestUtils_IsTrue(_xll.d.Formatting_Equal(P43,AZ43))</f>
        <v>Error</v>
      </c>
      <c r="BS43" s="164" t="str" cm="1">
        <f t="array" aca="1" ref="BS43" ca="1">_xll.d.TestUtils_IsTrue(_xll.d.Formatting_Equal(Q43,BA43))</f>
        <v>Error</v>
      </c>
      <c r="BT43" s="164" t="str" cm="1">
        <f t="array" aca="1" ref="BT43" ca="1">_xll.d.TestUtils_IsTrue(_xll.d.Formatting_Equal(R43,BB43))</f>
        <v>Error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107</v>
      </c>
      <c r="C48" s="164" t="str" cm="1">
        <f t="array" aca="1" ref="C48" ca="1">_xll.d.TestUtils_And(BD63:BT67)</f>
        <v>Error</v>
      </c>
    </row>
    <row r="50" spans="2:72">
      <c r="B50" s="50" t="s">
        <v>91</v>
      </c>
      <c r="C50" s="50" t="s">
        <v>30</v>
      </c>
    </row>
    <row r="51" spans="2:72">
      <c r="B51" s="81" t="s">
        <v>86</v>
      </c>
      <c r="C51" s="82" t="s">
        <v>102</v>
      </c>
    </row>
    <row r="52" spans="2:72">
      <c r="B52" s="75" t="s">
        <v>87</v>
      </c>
      <c r="C52" s="76" t="s">
        <v>0</v>
      </c>
    </row>
    <row r="53" spans="2:72">
      <c r="B53" s="77"/>
      <c r="C53" s="78" t="s">
        <v>88</v>
      </c>
    </row>
    <row r="54" spans="2:72">
      <c r="B54" s="79"/>
      <c r="C54" s="80" t="s">
        <v>89</v>
      </c>
    </row>
    <row r="55" spans="2:72">
      <c r="B55" s="145" t="s">
        <v>102</v>
      </c>
      <c r="C55" s="151">
        <v>2</v>
      </c>
    </row>
    <row r="56" spans="2:72">
      <c r="B56" s="145" t="s">
        <v>103</v>
      </c>
      <c r="C56" s="151">
        <v>0</v>
      </c>
    </row>
    <row r="57" spans="2:72">
      <c r="B57" s="129" t="s">
        <v>94</v>
      </c>
      <c r="C57" s="130"/>
    </row>
    <row r="58" spans="2:72">
      <c r="B58" s="54"/>
      <c r="C58" s="54"/>
    </row>
    <row r="59" spans="2:72">
      <c r="B59" t="s">
        <v>95</v>
      </c>
      <c r="C59" s="54"/>
    </row>
    <row r="60" spans="2:72">
      <c r="B60" s="54"/>
      <c r="C60" s="54"/>
    </row>
    <row r="61" spans="2:72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Error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Error</v>
      </c>
      <c r="BK63" s="164" t="str" cm="1">
        <f t="array" aca="1" ref="BK63" ca="1">_xll.d.TestUtils_IsTrue(_xll.d.Formatting_Equal(I63,AS63))</f>
        <v>Error</v>
      </c>
      <c r="BL63" s="164" t="str" cm="1">
        <f t="array" aca="1" ref="BL63" ca="1">_xll.d.TestUtils_IsTrue(_xll.d.Formatting_Equal(J63,AT63))</f>
        <v>Error</v>
      </c>
      <c r="BM63" s="164" t="str" cm="1">
        <f t="array" aca="1" ref="BM63" ca="1">_xll.d.TestUtils_IsTrue(_xll.d.Formatting_Equal(K63,AU63))</f>
        <v>Error</v>
      </c>
      <c r="BN63" s="164" t="str" cm="1">
        <f t="array" aca="1" ref="BN63" ca="1">_xll.d.TestUtils_IsTrue(_xll.d.Formatting_Equal(L63,AV63))</f>
        <v>Error</v>
      </c>
      <c r="BO63" s="164" t="str" cm="1">
        <f t="array" aca="1" ref="BO63" ca="1">_xll.d.TestUtils_IsTrue(_xll.d.Formatting_Equal(M63,AW63))</f>
        <v>Error</v>
      </c>
      <c r="BP63" s="164" t="str" cm="1">
        <f t="array" aca="1" ref="BP63" ca="1">_xll.d.TestUtils_IsTrue(_xll.d.Formatting_Equal(N63,AX63))</f>
        <v>Error</v>
      </c>
      <c r="BQ63" s="164" t="str" cm="1">
        <f t="array" aca="1" ref="BQ63" ca="1">_xll.d.TestUtils_IsTrue(_xll.d.Formatting_Equal(O63,AY63))</f>
        <v>Error</v>
      </c>
      <c r="BR63" s="164" t="str" cm="1">
        <f t="array" aca="1" ref="BR63" ca="1">_xll.d.TestUtils_IsTrue(_xll.d.Formatting_Equal(P63,AZ63))</f>
        <v>Error</v>
      </c>
      <c r="BS63" s="164" t="str" cm="1">
        <f t="array" aca="1" ref="BS63" ca="1">_xll.d.TestUtils_IsTrue(_xll.d.Formatting_Equal(Q63,BA63))</f>
        <v>Error</v>
      </c>
      <c r="BT63" s="164" t="str" cm="1">
        <f t="array" aca="1" ref="BT63" ca="1">_xll.d.TestUtils_IsTrue(_xll.d.Formatting_Equal(R63,BB63))</f>
        <v>Error</v>
      </c>
    </row>
    <row r="64" spans="2:72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Error</v>
      </c>
      <c r="BK64" s="164" t="str" cm="1">
        <f t="array" aca="1" ref="BK64" ca="1">_xll.d.TestUtils_IsTrue(_xll.d.Formatting_Equal(I64,AS64))</f>
        <v>Error</v>
      </c>
      <c r="BL64" s="164" t="str" cm="1">
        <f t="array" aca="1" ref="BL64" ca="1">_xll.d.TestUtils_IsTrue(_xll.d.Formatting_Equal(J64,AT64))</f>
        <v>Error</v>
      </c>
      <c r="BM64" s="164" t="str" cm="1">
        <f t="array" aca="1" ref="BM64" ca="1">_xll.d.TestUtils_IsTrue(_xll.d.Formatting_Equal(K64,AU64))</f>
        <v>Error</v>
      </c>
      <c r="BN64" s="164" t="str" cm="1">
        <f t="array" aca="1" ref="BN64" ca="1">_xll.d.TestUtils_IsTrue(_xll.d.Formatting_Equal(L64,AV64))</f>
        <v>Error</v>
      </c>
      <c r="BO64" s="164" t="str" cm="1">
        <f t="array" aca="1" ref="BO64" ca="1">_xll.d.TestUtils_IsTrue(_xll.d.Formatting_Equal(M64,AW64))</f>
        <v>Error</v>
      </c>
      <c r="BP64" s="164" t="str" cm="1">
        <f t="array" aca="1" ref="BP64" ca="1">_xll.d.TestUtils_IsTrue(_xll.d.Formatting_Equal(N64,AX64))</f>
        <v>Error</v>
      </c>
      <c r="BQ64" s="164" t="str" cm="1">
        <f t="array" aca="1" ref="BQ64" ca="1">_xll.d.TestUtils_IsTrue(_xll.d.Formatting_Equal(O64,AY64))</f>
        <v>Error</v>
      </c>
      <c r="BR64" s="164" t="str" cm="1">
        <f t="array" aca="1" ref="BR64" ca="1">_xll.d.TestUtils_IsTrue(_xll.d.Formatting_Equal(P64,AZ64))</f>
        <v>Error</v>
      </c>
      <c r="BS64" s="164" t="str" cm="1">
        <f t="array" aca="1" ref="BS64" ca="1">_xll.d.TestUtils_IsTrue(_xll.d.Formatting_Equal(Q64,BA64))</f>
        <v>Error</v>
      </c>
      <c r="BT64" s="164" t="str" cm="1">
        <f t="array" aca="1" ref="BT64" ca="1">_xll.d.TestUtils_IsTrue(_xll.d.Formatting_Equal(R64,BB64))</f>
        <v>Error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Error</v>
      </c>
      <c r="BK65" s="164" t="str" cm="1">
        <f t="array" aca="1" ref="BK65" ca="1">_xll.d.TestUtils_IsTrue(_xll.d.Formatting_Equal(I65,AS65))</f>
        <v>Error</v>
      </c>
      <c r="BL65" s="164" t="str" cm="1">
        <f t="array" aca="1" ref="BL65" ca="1">_xll.d.TestUtils_IsTrue(_xll.d.Formatting_Equal(J65,AT65))</f>
        <v>Error</v>
      </c>
      <c r="BM65" s="164" t="str" cm="1">
        <f t="array" aca="1" ref="BM65" ca="1">_xll.d.TestUtils_IsTrue(_xll.d.Formatting_Equal(K65,AU65))</f>
        <v>Error</v>
      </c>
      <c r="BN65" s="164" t="str" cm="1">
        <f t="array" aca="1" ref="BN65" ca="1">_xll.d.TestUtils_IsTrue(_xll.d.Formatting_Equal(L65,AV65))</f>
        <v>Error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Error</v>
      </c>
      <c r="BS65" s="164" t="str" cm="1">
        <f t="array" aca="1" ref="BS65" ca="1">_xll.d.TestUtils_IsTrue(_xll.d.Formatting_Equal(Q65,BA65))</f>
        <v>Error</v>
      </c>
      <c r="BT65" s="164" t="str" cm="1">
        <f t="array" aca="1" ref="BT65" ca="1">_xll.d.TestUtils_IsTrue(_xll.d.Formatting_Equal(R65,BB65))</f>
        <v>Error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Error</v>
      </c>
      <c r="BK66" s="164" t="str" cm="1">
        <f t="array" aca="1" ref="BK66" ca="1">_xll.d.TestUtils_IsTrue(_xll.d.Formatting_Equal(I66,AS66))</f>
        <v>Error</v>
      </c>
      <c r="BL66" s="164" t="str" cm="1">
        <f t="array" aca="1" ref="BL66" ca="1">_xll.d.TestUtils_IsTrue(_xll.d.Formatting_Equal(J66,AT66))</f>
        <v>Error</v>
      </c>
      <c r="BM66" s="164" t="str" cm="1">
        <f t="array" aca="1" ref="BM66" ca="1">_xll.d.TestUtils_IsTrue(_xll.d.Formatting_Equal(K66,AU66))</f>
        <v>Error</v>
      </c>
      <c r="BN66" s="164" t="str" cm="1">
        <f t="array" aca="1" ref="BN66" ca="1">_xll.d.TestUtils_IsTrue(_xll.d.Formatting_Equal(L66,AV66))</f>
        <v>Error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Error</v>
      </c>
      <c r="BS66" s="164" t="str" cm="1">
        <f t="array" aca="1" ref="BS66" ca="1">_xll.d.TestUtils_IsTrue(_xll.d.Formatting_Equal(Q66,BA66))</f>
        <v>Error</v>
      </c>
      <c r="BT66" s="164" t="str" cm="1">
        <f t="array" aca="1" ref="BT66" ca="1">_xll.d.TestUtils_IsTrue(_xll.d.Formatting_Equal(R66,BB66))</f>
        <v>Error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Error</v>
      </c>
      <c r="BL67" s="164" t="str" cm="1">
        <f t="array" aca="1" ref="BL67" ca="1">_xll.d.TestUtils_IsTrue(_xll.d.Formatting_Equal(J67,AT67))</f>
        <v>Error</v>
      </c>
      <c r="BM67" s="164" t="str" cm="1">
        <f t="array" aca="1" ref="BM67" ca="1">_xll.d.TestUtils_IsTrue(_xll.d.Formatting_Equal(K67,AU67))</f>
        <v>Error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Error</v>
      </c>
      <c r="BS67" s="164" t="str" cm="1">
        <f t="array" aca="1" ref="BS67" ca="1">_xll.d.TestUtils_IsTrue(_xll.d.Formatting_Equal(Q67,BA67))</f>
        <v>Error</v>
      </c>
      <c r="BT67" s="164" t="str" cm="1">
        <f t="array" aca="1" ref="BT67" ca="1">_xll.d.TestUtils_IsTrue(_xll.d.Formatting_Equal(R67,BB67))</f>
        <v>Error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107</v>
      </c>
      <c r="C72" s="164" t="str" cm="1">
        <f t="array" aca="1" ref="C72" ca="1">_xll.d.TestUtils_And(T87:X103)</f>
        <v>Error</v>
      </c>
    </row>
    <row r="74" spans="2:72">
      <c r="B74" s="50" t="s">
        <v>91</v>
      </c>
      <c r="C74" s="50" t="s">
        <v>30</v>
      </c>
    </row>
    <row r="75" spans="2:72">
      <c r="B75" s="81" t="s">
        <v>86</v>
      </c>
      <c r="C75" s="82" t="s">
        <v>103</v>
      </c>
    </row>
    <row r="76" spans="2:72">
      <c r="B76" s="75" t="s">
        <v>87</v>
      </c>
      <c r="C76" s="76" t="s">
        <v>0</v>
      </c>
    </row>
    <row r="77" spans="2:72">
      <c r="B77" s="77"/>
      <c r="C77" s="78" t="s">
        <v>88</v>
      </c>
    </row>
    <row r="78" spans="2:72">
      <c r="B78" s="79"/>
      <c r="C78" s="80" t="s">
        <v>89</v>
      </c>
    </row>
    <row r="79" spans="2:72">
      <c r="B79" s="145" t="s">
        <v>102</v>
      </c>
      <c r="C79" s="151">
        <v>0</v>
      </c>
    </row>
    <row r="80" spans="2:72">
      <c r="B80" s="145" t="s">
        <v>103</v>
      </c>
      <c r="C80" s="151">
        <v>2</v>
      </c>
    </row>
    <row r="81" spans="2:24">
      <c r="B81" s="132" t="s">
        <v>94</v>
      </c>
      <c r="C81" s="131"/>
    </row>
    <row r="83" spans="2:24">
      <c r="B83" t="s">
        <v>72</v>
      </c>
    </row>
    <row r="85" spans="2:24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>
      <c r="B87" s="987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987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Error</v>
      </c>
      <c r="V87" s="164" t="str" cm="1">
        <f t="array" aca="1" ref="V87" ca="1">_xll.d.TestUtils_IsTrue(_xll.d.Formatting_Equal(D87,P87))</f>
        <v>Error</v>
      </c>
      <c r="W87" s="164" t="str" cm="1">
        <f t="array" aca="1" ref="W87" ca="1">_xll.d.TestUtils_IsTrue(_xll.d.Formatting_Equal(E87,Q87))</f>
        <v>Error</v>
      </c>
      <c r="X87" s="164" t="str" cm="1">
        <f t="array" aca="1" ref="X87" ca="1">_xll.d.TestUtils_IsTrue(_xll.d.Formatting_Equal(F87,R87))</f>
        <v>Error</v>
      </c>
    </row>
    <row r="88" spans="2:24">
      <c r="B88" s="988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88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Error</v>
      </c>
      <c r="V88" s="164" t="str" cm="1">
        <f t="array" aca="1" ref="V88" ca="1">_xll.d.TestUtils_IsTrue(_xll.d.Formatting_Equal(D88,P88))</f>
        <v>Error</v>
      </c>
      <c r="W88" s="164" t="str" cm="1">
        <f t="array" aca="1" ref="W88" ca="1">_xll.d.TestUtils_IsTrue(_xll.d.Formatting_Equal(E88,Q88))</f>
        <v>Error</v>
      </c>
      <c r="X88" s="164" t="str" cm="1">
        <f t="array" aca="1" ref="X88" ca="1">_xll.d.TestUtils_IsTrue(_xll.d.Formatting_Equal(F88,R88))</f>
        <v>Error</v>
      </c>
    </row>
    <row r="89" spans="2:24">
      <c r="B89" s="988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988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Error</v>
      </c>
      <c r="W89" s="164" t="str" cm="1">
        <f t="array" aca="1" ref="W89" ca="1">_xll.d.TestUtils_IsTrue(_xll.d.Formatting_Equal(E89,Q89))</f>
        <v>Error</v>
      </c>
      <c r="X89" s="164" t="str" cm="1">
        <f t="array" aca="1" ref="X89" ca="1">_xll.d.TestUtils_IsTrue(_xll.d.Formatting_Equal(F89,R89))</f>
        <v>Error</v>
      </c>
    </row>
    <row r="90" spans="2:24">
      <c r="B90" s="988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988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Error</v>
      </c>
      <c r="U90" s="164" t="str" cm="1">
        <f t="array" aca="1" ref="U90" ca="1">_xll.d.TestUtils_IsTrue(_xll.d.Formatting_Equal(C90,O90))</f>
        <v>Error</v>
      </c>
      <c r="V90" s="164" t="str" cm="1">
        <f t="array" aca="1" ref="V90" ca="1">_xll.d.TestUtils_IsTrue(_xll.d.Formatting_Equal(D90,P90))</f>
        <v>Error</v>
      </c>
      <c r="W90" s="164" t="str" cm="1">
        <f t="array" aca="1" ref="W90" ca="1">_xll.d.TestUtils_IsTrue(_xll.d.Formatting_Equal(E90,Q90))</f>
        <v>Error</v>
      </c>
      <c r="X90" s="164" t="str" cm="1">
        <f t="array" aca="1" ref="X90" ca="1">_xll.d.TestUtils_IsTrue(_xll.d.Formatting_Equal(F90,R90))</f>
        <v>Error</v>
      </c>
    </row>
    <row r="91" spans="2:24">
      <c r="B91" s="988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988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Error</v>
      </c>
      <c r="X91" s="164" t="str" cm="1">
        <f t="array" aca="1" ref="X91" ca="1">_xll.d.TestUtils_IsTrue(_xll.d.Formatting_Equal(F91,R91))</f>
        <v>Error</v>
      </c>
    </row>
    <row r="92" spans="2:24">
      <c r="B92" s="988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988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Error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Error</v>
      </c>
      <c r="X92" s="164" t="str" cm="1">
        <f t="array" aca="1" ref="X92" ca="1">_xll.d.TestUtils_IsTrue(_xll.d.Formatting_Equal(F92,R92))</f>
        <v>Error</v>
      </c>
    </row>
    <row r="93" spans="2:24">
      <c r="B93" s="988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988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Error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988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988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988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988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988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988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Error</v>
      </c>
    </row>
    <row r="97" spans="2:55">
      <c r="B97" s="988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988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Error</v>
      </c>
      <c r="W97" s="164" t="str" cm="1">
        <f t="array" aca="1" ref="W97" ca="1">_xll.d.TestUtils_IsTrue(_xll.d.Formatting_Equal(E97,Q97))</f>
        <v>Error</v>
      </c>
      <c r="X97" s="164" t="str" cm="1">
        <f t="array" aca="1" ref="X97" ca="1">_xll.d.TestUtils_IsTrue(_xll.d.Formatting_Equal(F97,R97))</f>
        <v>Error</v>
      </c>
    </row>
    <row r="98" spans="2:55">
      <c r="B98" s="988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88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Error</v>
      </c>
      <c r="W98" s="164" t="str" cm="1">
        <f t="array" aca="1" ref="W98" ca="1">_xll.d.TestUtils_IsTrue(_xll.d.Formatting_Equal(E98,Q98))</f>
        <v>Error</v>
      </c>
      <c r="X98" s="164" t="str" cm="1">
        <f t="array" aca="1" ref="X98" ca="1">_xll.d.TestUtils_IsTrue(_xll.d.Formatting_Equal(F98,R98))</f>
        <v>Error</v>
      </c>
    </row>
    <row r="99" spans="2:55">
      <c r="B99" s="988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88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Error</v>
      </c>
      <c r="V99" s="164" t="str" cm="1">
        <f t="array" aca="1" ref="V99" ca="1">_xll.d.TestUtils_IsTrue(_xll.d.Formatting_Equal(D99,P99))</f>
        <v>Error</v>
      </c>
      <c r="W99" s="164" t="str" cm="1">
        <f t="array" aca="1" ref="W99" ca="1">_xll.d.TestUtils_IsTrue(_xll.d.Formatting_Equal(E99,Q99))</f>
        <v>Error</v>
      </c>
      <c r="X99" s="164" t="str" cm="1">
        <f t="array" aca="1" ref="X99" ca="1">_xll.d.TestUtils_IsTrue(_xll.d.Formatting_Equal(F99,R99))</f>
        <v>Ok</v>
      </c>
    </row>
    <row r="100" spans="2:55">
      <c r="B100" s="988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988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88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988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Error</v>
      </c>
      <c r="U101" s="164" t="str" cm="1">
        <f t="array" aca="1" ref="U101" ca="1">_xll.d.TestUtils_IsTrue(_xll.d.Formatting_Equal(C101,O101))</f>
        <v>Error</v>
      </c>
      <c r="V101" s="164" t="str" cm="1">
        <f t="array" aca="1" ref="V101" ca="1">_xll.d.TestUtils_IsTrue(_xll.d.Formatting_Equal(D101,P101))</f>
        <v>Error</v>
      </c>
      <c r="W101" s="164" t="str" cm="1">
        <f t="array" aca="1" ref="W101" ca="1">_xll.d.TestUtils_IsTrue(_xll.d.Formatting_Equal(E101,Q101))</f>
        <v>Error</v>
      </c>
      <c r="X101" s="164" t="str" cm="1">
        <f t="array" aca="1" ref="X101" ca="1">_xll.d.TestUtils_IsTrue(_xll.d.Formatting_Equal(F101,R101))</f>
        <v>Error</v>
      </c>
    </row>
    <row r="102" spans="2:55">
      <c r="B102" s="988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988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Error</v>
      </c>
      <c r="V102" s="164" t="str" cm="1">
        <f t="array" aca="1" ref="V102" ca="1">_xll.d.TestUtils_IsTrue(_xll.d.Formatting_Equal(D102,P102))</f>
        <v>Error</v>
      </c>
      <c r="W102" s="164" t="str" cm="1">
        <f t="array" aca="1" ref="W102" ca="1">_xll.d.TestUtils_IsTrue(_xll.d.Formatting_Equal(E102,Q102))</f>
        <v>Error</v>
      </c>
      <c r="X102" s="164" t="str" cm="1">
        <f t="array" aca="1" ref="X102" ca="1">_xll.d.TestUtils_IsTrue(_xll.d.Formatting_Equal(F102,R102))</f>
        <v>Error</v>
      </c>
    </row>
    <row r="103" spans="2:55">
      <c r="B103" s="989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989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Error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107</v>
      </c>
      <c r="C108" s="164" t="str" cm="1">
        <f t="array" aca="1" ref="C108" ca="1">_xll.d.TestUtils_And(T123:X139)</f>
        <v>Error</v>
      </c>
    </row>
    <row r="110" spans="2:55">
      <c r="B110" s="50" t="s">
        <v>91</v>
      </c>
      <c r="C110" s="50" t="s">
        <v>30</v>
      </c>
    </row>
    <row r="111" spans="2:55">
      <c r="B111" s="81" t="s">
        <v>86</v>
      </c>
      <c r="C111" s="82" t="s">
        <v>102</v>
      </c>
    </row>
    <row r="112" spans="2:55">
      <c r="B112" s="75" t="s">
        <v>87</v>
      </c>
      <c r="C112" s="76" t="s">
        <v>0</v>
      </c>
    </row>
    <row r="113" spans="2:24">
      <c r="B113" s="77"/>
      <c r="C113" s="78" t="s">
        <v>88</v>
      </c>
    </row>
    <row r="114" spans="2:24">
      <c r="B114" s="79"/>
      <c r="C114" s="80" t="s">
        <v>89</v>
      </c>
    </row>
    <row r="115" spans="2:24">
      <c r="B115" s="145" t="s">
        <v>102</v>
      </c>
      <c r="C115" s="151">
        <v>0</v>
      </c>
    </row>
    <row r="116" spans="2:24">
      <c r="B116" s="145" t="s">
        <v>103</v>
      </c>
      <c r="C116" s="151">
        <v>2</v>
      </c>
    </row>
    <row r="117" spans="2:24">
      <c r="B117" s="132" t="s">
        <v>94</v>
      </c>
      <c r="C117" s="133"/>
    </row>
    <row r="119" spans="2:24">
      <c r="B119" t="s">
        <v>95</v>
      </c>
    </row>
    <row r="121" spans="2:24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990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91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Error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991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991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991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991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991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Error</v>
      </c>
      <c r="X129" s="164" t="str" cm="1">
        <f t="array" aca="1" ref="X129" ca="1">_xll.d.TestUtils_IsTrue(_xll.d.Formatting_Equal(F129,R129))</f>
        <v>Error</v>
      </c>
    </row>
    <row r="130" spans="2:5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991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Error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Error</v>
      </c>
      <c r="X130" s="164" t="str" cm="1">
        <f t="array" aca="1" ref="X130" ca="1">_xll.d.TestUtils_IsTrue(_xll.d.Formatting_Equal(F130,R130))</f>
        <v>Error</v>
      </c>
    </row>
    <row r="131" spans="2:5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991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Error</v>
      </c>
      <c r="X131" s="164" t="str" cm="1">
        <f t="array" aca="1" ref="X131" ca="1">_xll.d.TestUtils_IsTrue(_xll.d.Formatting_Equal(F131,R131))</f>
        <v>Error</v>
      </c>
    </row>
    <row r="132" spans="2:5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991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Error</v>
      </c>
      <c r="X132" s="164" t="str" cm="1">
        <f t="array" aca="1" ref="X132" ca="1">_xll.d.TestUtils_IsTrue(_xll.d.Formatting_Equal(F132,R132))</f>
        <v>Error</v>
      </c>
    </row>
    <row r="133" spans="2:5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991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Error</v>
      </c>
      <c r="X133" s="164" t="str" cm="1">
        <f t="array" aca="1" ref="X133" ca="1">_xll.d.TestUtils_IsTrue(_xll.d.Formatting_Equal(F133,R133))</f>
        <v>Error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91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Error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Error</v>
      </c>
      <c r="X134" s="164" t="str" cm="1">
        <f t="array" aca="1" ref="X134" ca="1">_xll.d.TestUtils_IsTrue(_xll.d.Formatting_Equal(F134,R134))</f>
        <v>Error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91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991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Error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991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991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991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107</v>
      </c>
      <c r="C144" s="164" t="str" cm="1">
        <f t="array" aca="1" ref="C144" ca="1">_xll.d.TestUtils_And(K157:L160)</f>
        <v>Ok</v>
      </c>
    </row>
    <row r="146" spans="2:12">
      <c r="B146" s="50" t="s">
        <v>91</v>
      </c>
      <c r="C146" s="50" t="s">
        <v>30</v>
      </c>
    </row>
    <row r="147" spans="2:12">
      <c r="B147" s="81" t="s">
        <v>86</v>
      </c>
      <c r="C147" s="82" t="s">
        <v>103</v>
      </c>
    </row>
    <row r="148" spans="2:12">
      <c r="B148" s="75" t="s">
        <v>87</v>
      </c>
      <c r="C148" s="76" t="s">
        <v>100</v>
      </c>
    </row>
    <row r="149" spans="2:12">
      <c r="B149" s="81" t="s">
        <v>102</v>
      </c>
      <c r="C149" s="150">
        <v>2</v>
      </c>
    </row>
    <row r="150" spans="2:12">
      <c r="B150" s="145" t="s">
        <v>103</v>
      </c>
      <c r="C150" s="151">
        <v>0</v>
      </c>
    </row>
    <row r="151" spans="2:12">
      <c r="B151" s="132" t="s">
        <v>94</v>
      </c>
      <c r="C151" s="133"/>
    </row>
    <row r="153" spans="2:12">
      <c r="B153" t="s">
        <v>141</v>
      </c>
    </row>
    <row r="155" spans="2:12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107</v>
      </c>
      <c r="C166" s="164" t="str" cm="1">
        <f t="array" aca="1" ref="C166" ca="1">_xll.d.TestUtils_And(K177:L181)</f>
        <v>Ok</v>
      </c>
    </row>
    <row r="168" spans="2:55">
      <c r="B168" s="50" t="s">
        <v>91</v>
      </c>
      <c r="C168" s="50" t="s">
        <v>30</v>
      </c>
    </row>
    <row r="169" spans="2:55">
      <c r="B169" s="81" t="s">
        <v>86</v>
      </c>
      <c r="C169" s="82" t="s">
        <v>103</v>
      </c>
    </row>
    <row r="170" spans="2:55">
      <c r="B170" s="75" t="s">
        <v>87</v>
      </c>
      <c r="C170" s="76" t="s">
        <v>100</v>
      </c>
    </row>
    <row r="171" spans="2:55">
      <c r="B171" s="132" t="s">
        <v>94</v>
      </c>
      <c r="C171" s="133"/>
    </row>
    <row r="173" spans="2:55">
      <c r="B173" t="s">
        <v>104</v>
      </c>
    </row>
    <row r="175" spans="2:5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107</v>
      </c>
      <c r="C186" s="164" t="str" cm="1">
        <f t="array" aca="1" ref="C186" ca="1">_xll.d.TestUtils_And(T197:X198)</f>
        <v>Ok</v>
      </c>
    </row>
    <row r="188" spans="2:55">
      <c r="B188" s="50" t="s">
        <v>91</v>
      </c>
      <c r="C188" s="50" t="s">
        <v>30</v>
      </c>
    </row>
    <row r="189" spans="2:55">
      <c r="B189" s="81" t="s">
        <v>86</v>
      </c>
      <c r="C189" s="82" t="s">
        <v>102</v>
      </c>
    </row>
    <row r="190" spans="2:55">
      <c r="B190" s="75" t="s">
        <v>87</v>
      </c>
      <c r="C190" s="76" t="s">
        <v>100</v>
      </c>
    </row>
    <row r="191" spans="2:55">
      <c r="B191" s="132" t="s">
        <v>94</v>
      </c>
      <c r="C191" s="133"/>
    </row>
    <row r="193" spans="2:55">
      <c r="B193" t="s">
        <v>104</v>
      </c>
    </row>
    <row r="195" spans="2:5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>
      <c r="B196" s="135"/>
      <c r="C196" s="135"/>
      <c r="L196" s="136"/>
      <c r="M196" s="136"/>
    </row>
    <row r="197" spans="2:55" ht="15" customHeight="1">
      <c r="B197" s="987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87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89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89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107</v>
      </c>
      <c r="C203" s="164" t="str" cm="1">
        <f t="array" aca="1" ref="C203" ca="1">_xll.d.TestUtils_And(T217:X223)</f>
        <v>Ok</v>
      </c>
    </row>
    <row r="205" spans="2:55">
      <c r="B205" s="50" t="s">
        <v>91</v>
      </c>
      <c r="C205" s="50" t="s">
        <v>30</v>
      </c>
    </row>
    <row r="206" spans="2:55">
      <c r="B206" s="75" t="s">
        <v>86</v>
      </c>
      <c r="C206" s="76" t="s">
        <v>222</v>
      </c>
    </row>
    <row r="207" spans="2:55">
      <c r="B207" s="77"/>
      <c r="C207" s="78" t="s">
        <v>102</v>
      </c>
    </row>
    <row r="208" spans="2:55">
      <c r="B208" s="81" t="s">
        <v>87</v>
      </c>
      <c r="C208" s="82" t="s">
        <v>88</v>
      </c>
    </row>
    <row r="209" spans="2:24">
      <c r="B209" s="145" t="s">
        <v>102</v>
      </c>
      <c r="C209" s="151">
        <v>2</v>
      </c>
    </row>
    <row r="210" spans="2:24">
      <c r="B210" s="145" t="s">
        <v>103</v>
      </c>
      <c r="C210" s="151">
        <v>2</v>
      </c>
    </row>
    <row r="211" spans="2:24">
      <c r="B211" s="132" t="s">
        <v>94</v>
      </c>
      <c r="C211" s="133"/>
    </row>
    <row r="213" spans="2:24">
      <c r="B213" t="s">
        <v>223</v>
      </c>
    </row>
    <row r="215" spans="2:24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>
      <c r="B216" s="135"/>
      <c r="C216" s="135"/>
      <c r="L216" s="136"/>
      <c r="M216" s="136"/>
    </row>
    <row r="217" spans="2:24">
      <c r="B217" s="136" t="s">
        <v>220</v>
      </c>
      <c r="C217" s="136"/>
      <c r="D217" s="121" t="s">
        <v>221</v>
      </c>
      <c r="E217" s="192"/>
      <c r="F217" s="122"/>
      <c r="H217" s="136" t="s">
        <v>220</v>
      </c>
      <c r="I217" s="293" t="s">
        <v>224</v>
      </c>
      <c r="J217" s="136" t="s">
        <v>221</v>
      </c>
      <c r="K217" s="136"/>
      <c r="L217" s="136"/>
      <c r="M217" s="136"/>
      <c r="N217" s="136" t="s">
        <v>220</v>
      </c>
      <c r="O217" s="293" t="s">
        <v>224</v>
      </c>
      <c r="P217" s="294" t="s">
        <v>221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224</v>
      </c>
      <c r="I218" s="293" t="s">
        <v>224</v>
      </c>
      <c r="J218" s="136">
        <v>0.75</v>
      </c>
      <c r="K218" s="136">
        <v>1</v>
      </c>
      <c r="L218" s="136">
        <v>1.25</v>
      </c>
      <c r="M218" s="136"/>
      <c r="N218" s="293" t="s">
        <v>224</v>
      </c>
      <c r="O218" s="293" t="s">
        <v>224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87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87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88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88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88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88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88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88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89"/>
      <c r="C223" s="290" t="s">
        <v>48</v>
      </c>
      <c r="D223" s="287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989"/>
      <c r="O223" s="292" t="s">
        <v>48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229</vt:i4>
      </vt:variant>
    </vt:vector>
  </HeadingPairs>
  <TitlesOfParts>
    <vt:vector size="25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2023-05-26T15:40:38Z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