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2A9CB82-F3E0-4D93-8AD4-408C01BFF126}" xr6:coauthVersionLast="47" xr6:coauthVersionMax="47" xr10:uidLastSave="{00000000-0000-0000-0000-000000000000}"/>
  <bookViews>
    <workbookView xWindow="-120" yWindow="-120" windowWidth="24240" windowHeight="13140" tabRatio="485" activeTab="3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Test Utils" sheetId="9" r:id="rId8"/>
    <sheet name="Table Formatting" sheetId="5" r:id="rId9"/>
  </sheets>
  <definedNames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31" i="9" l="1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V20" i="3"/>
  <c r="Y19" i="3" s="1"/>
  <c r="V19" i="3"/>
  <c r="R20" i="3"/>
  <c r="T22" i="3" s="1"/>
  <c r="S13" i="3"/>
  <c r="S14" i="3"/>
  <c r="R15" i="3"/>
  <c r="S15" i="3" s="1"/>
  <c r="R16" i="3"/>
  <c r="S16" i="3" s="1"/>
  <c r="R17" i="3"/>
  <c r="S17" i="3" s="1"/>
  <c r="R18" i="3"/>
  <c r="R12" i="3"/>
  <c r="S23" i="3" s="1"/>
  <c r="S24" i="3" s="1"/>
  <c r="I10" i="4"/>
  <c r="I15" i="4" s="1"/>
  <c r="G12" i="3"/>
  <c r="G14" i="3" s="1"/>
  <c r="H14" i="3" s="1"/>
  <c r="C62" i="2"/>
  <c r="E64" i="2"/>
  <c r="T18" i="3" a="1"/>
  <c r="S20" i="3" a="1"/>
  <c r="T15" i="3" a="1"/>
  <c r="W19" i="3" a="1"/>
  <c r="T20" i="3" a="1"/>
  <c r="T13" i="3" a="1"/>
  <c r="W20" i="3" a="1"/>
  <c r="T16" i="3" a="1"/>
  <c r="T19" i="3" a="1"/>
  <c r="T17" i="3" a="1"/>
  <c r="T14" i="3" a="1"/>
  <c r="Z20" i="3" a="1"/>
  <c r="T12" i="3" a="1"/>
  <c r="Z19" i="3" a="1"/>
  <c r="U230" i="9" a="1"/>
  <c r="R230" i="9" a="1"/>
  <c r="O230" i="9" a="1"/>
  <c r="C54" i="9" a="1"/>
  <c r="O142" i="9" a="1"/>
  <c r="O186" i="9" a="1"/>
  <c r="E120" i="9" a="1"/>
  <c r="L230" i="9" a="1"/>
  <c r="E98" i="9" a="1"/>
  <c r="O6" i="3" a="1"/>
  <c r="C208" i="9" a="1"/>
  <c r="O32" i="9" a="1"/>
  <c r="I230" i="9" a="1"/>
  <c r="E54" i="9" a="1"/>
  <c r="C164" i="9" a="1"/>
  <c r="J32" i="9" a="1"/>
  <c r="E142" i="9" a="1"/>
  <c r="F230" i="9" a="1"/>
  <c r="C120" i="9" a="1"/>
  <c r="E164" i="9" a="1"/>
  <c r="J54" i="9" a="1"/>
  <c r="C16" i="1" a="1"/>
  <c r="E76" i="9" a="1"/>
  <c r="C6" i="2" a="1"/>
  <c r="E32" i="9" a="1"/>
  <c r="J76" i="9" a="1"/>
  <c r="C230" i="9" a="1"/>
  <c r="O98" i="9" a="1"/>
  <c r="J186" i="9" a="1"/>
  <c r="O164" i="9" a="1"/>
  <c r="O54" i="9" a="1"/>
  <c r="E208" i="9" a="1"/>
  <c r="C76" i="9" a="1"/>
  <c r="C98" i="9" a="1"/>
  <c r="J164" i="9" a="1"/>
  <c r="J120" i="9" a="1"/>
  <c r="O208" i="9" a="1"/>
  <c r="E186" i="9" a="1"/>
  <c r="O76" i="9" a="1"/>
  <c r="D5" i="4" a="1"/>
  <c r="C142" i="9" a="1"/>
  <c r="C32" i="9" a="1"/>
  <c r="J98" i="9" a="1"/>
  <c r="J208" i="9" a="1"/>
  <c r="O120" i="9" a="1"/>
  <c r="J142" i="9" a="1"/>
  <c r="C186" i="9" a="1"/>
  <c r="I15" i="3" a="1"/>
  <c r="I16" i="3" a="1"/>
  <c r="I17" i="3" a="1"/>
  <c r="I14" i="3" a="1"/>
  <c r="I13" i="3" a="1"/>
  <c r="I12" i="3" a="1"/>
  <c r="D6" i="3" a="1"/>
  <c r="D4" i="4" a="1"/>
  <c r="W141" i="5" a="1"/>
  <c r="V108" i="5" a="1"/>
  <c r="V203" i="5" a="1"/>
  <c r="V135" i="5" a="1"/>
  <c r="U102" i="5" a="1"/>
  <c r="W143" i="5" a="1"/>
  <c r="U129" i="5" a="1"/>
  <c r="V105" i="5" a="1"/>
  <c r="BH69" i="5" a="1"/>
  <c r="T135" i="5" a="1"/>
  <c r="BJ71" i="5" a="1"/>
  <c r="BF68" i="5" a="1"/>
  <c r="K166" i="5" a="1"/>
  <c r="V132" i="5" a="1"/>
  <c r="T98" i="5" a="1"/>
  <c r="BF48" i="5" a="1"/>
  <c r="BK45" i="5" a="1"/>
  <c r="W134" i="5" a="1"/>
  <c r="BJ44" i="5" a="1"/>
  <c r="BK48" i="5" a="1"/>
  <c r="U94" i="5" a="1"/>
  <c r="BQ68" i="5" a="1"/>
  <c r="BS71" i="5" a="1"/>
  <c r="BG45" i="5" a="1"/>
  <c r="U132" i="5" a="1"/>
  <c r="BD70" i="5" a="1"/>
  <c r="BR44" i="5" a="1"/>
  <c r="BE45" i="5" a="1"/>
  <c r="BP48" i="5" a="1"/>
  <c r="BS72" i="5" a="1"/>
  <c r="BJ45" i="5" a="1"/>
  <c r="BI48" i="5" a="1"/>
  <c r="X138" i="5" a="1"/>
  <c r="L163" i="5" a="1"/>
  <c r="X92" i="5" a="1"/>
  <c r="BN45" i="5" a="1"/>
  <c r="V140" i="5" a="1"/>
  <c r="U107" i="5" a="1"/>
  <c r="U202" i="5" a="1"/>
  <c r="U134" i="5" a="1"/>
  <c r="T101" i="5" a="1"/>
  <c r="V142" i="5" a="1"/>
  <c r="T128" i="5" a="1"/>
  <c r="T103" i="5" a="1"/>
  <c r="T203" i="5" a="1"/>
  <c r="X133" i="5" a="1"/>
  <c r="BI70" i="5" a="1"/>
  <c r="BL48" i="5" a="1"/>
  <c r="K163" i="5" a="1"/>
  <c r="U131" i="5" a="1"/>
  <c r="X96" i="5" a="1"/>
  <c r="BE47" i="5" a="1"/>
  <c r="BL47" i="5" a="1"/>
  <c r="X129" i="5" a="1"/>
  <c r="BD48" i="5" a="1"/>
  <c r="BT47" i="5" a="1"/>
  <c r="V92" i="5" a="1"/>
  <c r="BQ48" i="5" a="1"/>
  <c r="BH71" i="5" a="1"/>
  <c r="BO44" i="5" a="1"/>
  <c r="W128" i="5" a="1"/>
  <c r="BI68" i="5" a="1"/>
  <c r="U138" i="5" a="1"/>
  <c r="BD44" i="5" a="1"/>
  <c r="BG48" i="5" a="1"/>
  <c r="BH72" i="5" a="1"/>
  <c r="U106" i="5" a="1"/>
  <c r="V104" i="5" a="1"/>
  <c r="BH47" i="5" a="1"/>
  <c r="U139" i="5" a="1"/>
  <c r="T106" i="5" a="1"/>
  <c r="K185" i="5" a="1"/>
  <c r="T133" i="5" a="1"/>
  <c r="X99" i="5" a="1"/>
  <c r="U141" i="5" a="1"/>
  <c r="T108" i="5" a="1"/>
  <c r="X101" i="5" a="1"/>
  <c r="K184" i="5" a="1"/>
  <c r="V131" i="5" a="1"/>
  <c r="BN69" i="5" a="1"/>
  <c r="BQ47" i="5" a="1"/>
  <c r="V144" i="5" a="1"/>
  <c r="T130" i="5" a="1"/>
  <c r="V94" i="5" a="1"/>
  <c r="BJ46" i="5" a="1"/>
  <c r="L165" i="5" a="1"/>
  <c r="V107" i="5" a="1"/>
  <c r="BI44" i="5" a="1"/>
  <c r="BJ47" i="5" a="1"/>
  <c r="BQ70" i="5" a="1"/>
  <c r="BP47" i="5" a="1"/>
  <c r="BP70" i="5" a="1"/>
  <c r="BF44" i="5" a="1"/>
  <c r="W202" i="5" a="1"/>
  <c r="W130" i="5" a="1"/>
  <c r="W106" i="5" a="1"/>
  <c r="BT44" i="5" a="1"/>
  <c r="W96" i="5" a="1"/>
  <c r="X203" i="5" a="1"/>
  <c r="T138" i="5" a="1"/>
  <c r="X104" i="5" a="1"/>
  <c r="K182" i="5" a="1"/>
  <c r="X131" i="5" a="1"/>
  <c r="W98" i="5" a="1"/>
  <c r="T140" i="5" a="1"/>
  <c r="X106" i="5" a="1"/>
  <c r="V99" i="5" a="1"/>
  <c r="L166" i="5" a="1"/>
  <c r="U130" i="5" a="1"/>
  <c r="X108" i="5" a="1"/>
  <c r="BK47" i="5" a="1"/>
  <c r="U143" i="5" a="1"/>
  <c r="X128" i="5" a="1"/>
  <c r="U93" i="5" a="1"/>
  <c r="BO45" i="5" a="1"/>
  <c r="X97" i="5" a="1"/>
  <c r="X94" i="5" a="1"/>
  <c r="U144" i="5" a="1"/>
  <c r="BS46" i="5" a="1"/>
  <c r="BF70" i="5" a="1"/>
  <c r="BG46" i="5" a="1"/>
  <c r="BS68" i="5" a="1"/>
  <c r="BM70" i="5" a="1"/>
  <c r="W99" i="5" a="1"/>
  <c r="BO46" i="5" a="1"/>
  <c r="X93" i="5" a="1"/>
  <c r="W105" i="5" a="1"/>
  <c r="BF47" i="5" a="1"/>
  <c r="BE71" i="5" a="1"/>
  <c r="X136" i="5" a="1"/>
  <c r="W95" i="5" a="1"/>
  <c r="BI46" i="5" a="1"/>
  <c r="BT72" i="5" a="1"/>
  <c r="W203" i="5" a="1"/>
  <c r="V202" i="5" a="1"/>
  <c r="W135" i="5" a="1"/>
  <c r="V102" i="5" a="1"/>
  <c r="X143" i="5" a="1"/>
  <c r="V129" i="5" a="1"/>
  <c r="U96" i="5" a="1"/>
  <c r="W137" i="5" a="1"/>
  <c r="U103" i="5" a="1"/>
  <c r="W94" i="5" a="1"/>
  <c r="W144" i="5" a="1"/>
  <c r="U104" i="5" a="1"/>
  <c r="T92" i="5" a="1"/>
  <c r="BD46" i="5" a="1"/>
  <c r="X140" i="5" a="1"/>
  <c r="V106" i="5" a="1"/>
  <c r="BD72" i="5" a="1"/>
  <c r="BM46" i="5" a="1"/>
  <c r="BO72" i="5" a="1"/>
  <c r="BR70" i="5" a="1"/>
  <c r="U100" i="5" a="1"/>
  <c r="BR45" i="5" a="1"/>
  <c r="BT68" i="5" a="1"/>
  <c r="V95" i="5" a="1"/>
  <c r="BS48" i="5" a="1"/>
  <c r="BF45" i="5" a="1"/>
  <c r="T94" i="5" a="1"/>
  <c r="BE44" i="5" a="1"/>
  <c r="BI72" i="5" a="1"/>
  <c r="W93" i="5" a="1"/>
  <c r="BE46" i="5" a="1"/>
  <c r="V101" i="5" a="1"/>
  <c r="BM47" i="5" a="1"/>
  <c r="BI47" i="5" a="1"/>
  <c r="BT45" i="5" a="1"/>
  <c r="BL44" i="5" a="1"/>
  <c r="BL71" i="5" a="1"/>
  <c r="T96" i="5" a="1"/>
  <c r="L185" i="5" a="1"/>
  <c r="V134" i="5" a="1"/>
  <c r="U101" i="5" a="1"/>
  <c r="W142" i="5" a="1"/>
  <c r="U128" i="5" a="1"/>
  <c r="T95" i="5" a="1"/>
  <c r="V136" i="5" a="1"/>
  <c r="T102" i="5" a="1"/>
  <c r="U92" i="5" a="1"/>
  <c r="V143" i="5" a="1"/>
  <c r="W100" i="5" a="1"/>
  <c r="BJ72" i="5" a="1"/>
  <c r="BI45" i="5" a="1"/>
  <c r="W139" i="5" a="1"/>
  <c r="U105" i="5" a="1"/>
  <c r="BO71" i="5" a="1"/>
  <c r="BL45" i="5" a="1"/>
  <c r="BF72" i="5" a="1"/>
  <c r="BG70" i="5" a="1"/>
  <c r="W92" i="5" a="1"/>
  <c r="BH45" i="5" a="1"/>
  <c r="BT48" i="5" a="1"/>
  <c r="BO68" i="5" a="1"/>
  <c r="BJ48" i="5" a="1"/>
  <c r="T93" i="5" a="1"/>
  <c r="BL72" i="5" a="1"/>
  <c r="BK70" i="5" a="1"/>
  <c r="BQ71" i="5" a="1"/>
  <c r="BF71" i="5" a="1"/>
  <c r="BM45" i="5" a="1"/>
  <c r="V98" i="5" a="1"/>
  <c r="BR46" i="5" a="1"/>
  <c r="BS44" i="5" a="1"/>
  <c r="BH68" i="5" a="1"/>
  <c r="BF69" i="5" a="1"/>
  <c r="X103" i="5" a="1"/>
  <c r="BN46" i="5" a="1"/>
  <c r="L182" i="5" a="1"/>
  <c r="U133" i="5" a="1"/>
  <c r="T100" i="5" a="1"/>
  <c r="V141" i="5" a="1"/>
  <c r="U108" i="5" a="1"/>
  <c r="U203" i="5" a="1"/>
  <c r="U135" i="5" a="1"/>
  <c r="X100" i="5" a="1"/>
  <c r="BK72" i="5" a="1"/>
  <c r="U142" i="5" a="1"/>
  <c r="U98" i="5" a="1"/>
  <c r="BI71" i="5" a="1"/>
  <c r="BN44" i="5" a="1"/>
  <c r="V138" i="5" a="1"/>
  <c r="T104" i="5" a="1"/>
  <c r="BT70" i="5" a="1"/>
  <c r="BN48" i="5" a="1"/>
  <c r="BP69" i="5" a="1"/>
  <c r="BO69" i="5" a="1"/>
  <c r="BN72" i="5" a="1"/>
  <c r="BQ44" i="5" a="1"/>
  <c r="BS47" i="5" a="1"/>
  <c r="BD47" i="5" a="1"/>
  <c r="BR47" i="5" a="1"/>
  <c r="BE68" i="5" a="1"/>
  <c r="BE70" i="5" a="1"/>
  <c r="BO48" i="5" a="1"/>
  <c r="BJ69" i="5" a="1"/>
  <c r="BL70" i="5" a="1"/>
  <c r="BD45" i="5" a="1"/>
  <c r="BR72" i="5" a="1"/>
  <c r="BG44" i="5" a="1"/>
  <c r="BK69" i="5" a="1"/>
  <c r="BR69" i="5" a="1"/>
  <c r="BP72" i="5" a="1"/>
  <c r="K165" i="5" a="1"/>
  <c r="T132" i="5" a="1"/>
  <c r="X98" i="5" a="1"/>
  <c r="U140" i="5" a="1"/>
  <c r="T107" i="5" a="1"/>
  <c r="T202" i="5" a="1"/>
  <c r="T134" i="5" a="1"/>
  <c r="T141" i="5" a="1"/>
  <c r="BP71" i="5" a="1"/>
  <c r="X139" i="5" a="1"/>
  <c r="X95" i="5" a="1"/>
  <c r="BN70" i="5" a="1"/>
  <c r="BH44" i="5" a="1"/>
  <c r="U137" i="5" a="1"/>
  <c r="X102" i="5" a="1"/>
  <c r="BH70" i="5" a="1"/>
  <c r="K183" i="5" a="1"/>
  <c r="BE69" i="5" a="1"/>
  <c r="T105" i="5" a="1"/>
  <c r="BT71" i="5" a="1"/>
  <c r="K162" i="5" a="1"/>
  <c r="X130" i="5" a="1"/>
  <c r="W97" i="5" a="1"/>
  <c r="T139" i="5" a="1"/>
  <c r="X105" i="5" a="1"/>
  <c r="L184" i="5" a="1"/>
  <c r="X132" i="5" a="1"/>
  <c r="W132" i="5" a="1"/>
  <c r="BD71" i="5" a="1"/>
  <c r="W138" i="5" a="1"/>
  <c r="V93" i="5" a="1"/>
  <c r="BS69" i="5" a="1"/>
  <c r="X202" i="5" a="1"/>
  <c r="T136" i="5" a="1"/>
  <c r="W101" i="5" a="1"/>
  <c r="BG69" i="5" a="1"/>
  <c r="X135" i="5" a="1"/>
  <c r="BD68" i="5" a="1"/>
  <c r="BQ69" i="5" a="1"/>
  <c r="BK71" i="5" a="1"/>
  <c r="T143" i="5" a="1"/>
  <c r="BQ45" i="5" a="1"/>
  <c r="BT46" i="5" a="1"/>
  <c r="BQ46" i="5" a="1"/>
  <c r="BJ70" i="5" a="1"/>
  <c r="V139" i="5" a="1"/>
  <c r="BS70" i="5" a="1"/>
  <c r="BH48" i="5" a="1"/>
  <c r="BI69" i="5" a="1"/>
  <c r="T137" i="5" a="1"/>
  <c r="BE48" i="5" a="1"/>
  <c r="BO47" i="5" a="1"/>
  <c r="L164" i="5" a="1"/>
  <c r="T142" i="5" a="1"/>
  <c r="BJ68" i="5" a="1"/>
  <c r="T144" i="5" a="1"/>
  <c r="W129" i="5" a="1"/>
  <c r="V96" i="5" a="1"/>
  <c r="X137" i="5" a="1"/>
  <c r="W104" i="5" a="1"/>
  <c r="K164" i="5" a="1"/>
  <c r="W131" i="5" a="1"/>
  <c r="T129" i="5" a="1"/>
  <c r="BO70" i="5" a="1"/>
  <c r="V137" i="5" a="1"/>
  <c r="BQ72" i="5" a="1"/>
  <c r="BM69" i="5" a="1"/>
  <c r="L186" i="5" a="1"/>
  <c r="X134" i="5" a="1"/>
  <c r="V100" i="5" a="1"/>
  <c r="BL68" i="5" a="1"/>
  <c r="BG72" i="5" a="1"/>
  <c r="BK46" i="5" a="1"/>
  <c r="BN47" i="5" a="1"/>
  <c r="BD69" i="5" a="1"/>
  <c r="V133" i="5" a="1"/>
  <c r="BP44" i="5" a="1"/>
  <c r="X141" i="5" a="1"/>
  <c r="BH46" i="5" a="1"/>
  <c r="BS45" i="5" a="1"/>
  <c r="W102" i="5" a="1"/>
  <c r="BL46" i="5" a="1"/>
  <c r="BG47" i="5" a="1"/>
  <c r="BP68" i="5" a="1"/>
  <c r="T131" i="5" a="1"/>
  <c r="BK44" i="5" a="1"/>
  <c r="BN71" i="5" a="1"/>
  <c r="W103" i="5" a="1"/>
  <c r="BP46" i="5" a="1"/>
  <c r="BM44" i="5" a="1"/>
  <c r="X142" i="5" a="1"/>
  <c r="V128" i="5" a="1"/>
  <c r="U95" i="5" a="1"/>
  <c r="W136" i="5" a="1"/>
  <c r="V103" i="5" a="1"/>
  <c r="X144" i="5" a="1"/>
  <c r="V130" i="5" a="1"/>
  <c r="X107" i="5" a="1"/>
  <c r="BT69" i="5" a="1"/>
  <c r="U136" i="5" a="1"/>
  <c r="BE72" i="5" a="1"/>
  <c r="BR68" i="5" a="1"/>
  <c r="L183" i="5" a="1"/>
  <c r="W133" i="5" a="1"/>
  <c r="U99" i="5" a="1"/>
  <c r="BR48" i="5" a="1"/>
  <c r="BM71" i="5" a="1"/>
  <c r="L162" i="5" a="1"/>
  <c r="BN68" i="5" a="1"/>
  <c r="BK68" i="5" a="1"/>
  <c r="U97" i="5" a="1"/>
  <c r="BG71" i="5" a="1"/>
  <c r="BM72" i="5" a="1"/>
  <c r="BP45" i="5" a="1"/>
  <c r="W140" i="5" a="1"/>
  <c r="BR71" i="5" a="1"/>
  <c r="BM48" i="5" a="1"/>
  <c r="BF46" i="5" a="1"/>
  <c r="BG68" i="5" a="1"/>
  <c r="W108" i="5" a="1"/>
  <c r="BM68" i="5" a="1"/>
  <c r="T99" i="5" a="1"/>
  <c r="V97" i="5" a="1"/>
  <c r="T97" i="5" a="1"/>
  <c r="W107" i="5" a="1"/>
  <c r="BL69" i="5" a="1"/>
  <c r="K186" i="5" a="1"/>
  <c r="I14" i="3" l="1"/>
  <c r="I17" i="3"/>
  <c r="I16" i="3"/>
  <c r="I15" i="3"/>
  <c r="I13" i="3"/>
  <c r="I12" i="3"/>
  <c r="D6" i="3"/>
  <c r="D4" i="4"/>
  <c r="BJ45" i="5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Y20" i="3"/>
  <c r="C16" i="1"/>
  <c r="M25" i="1"/>
  <c r="C6" i="2"/>
  <c r="T15" i="3"/>
  <c r="Z20" i="3"/>
  <c r="O6" i="3"/>
  <c r="W20" i="3"/>
  <c r="T12" i="3"/>
  <c r="T18" i="3"/>
  <c r="T20" i="3"/>
  <c r="T13" i="3"/>
  <c r="S20" i="3"/>
  <c r="T19" i="3"/>
  <c r="Z19" i="3"/>
  <c r="T14" i="3"/>
  <c r="T16" i="3"/>
  <c r="W19" i="3"/>
  <c r="T17" i="3"/>
  <c r="J22" i="1"/>
  <c r="M24" i="1"/>
  <c r="M23" i="1"/>
  <c r="M22" i="1"/>
  <c r="J24" i="1"/>
  <c r="J25" i="1"/>
  <c r="G31" i="1"/>
  <c r="S18" i="3"/>
  <c r="I12" i="4"/>
  <c r="J12" i="4" s="1"/>
  <c r="I14" i="4"/>
  <c r="J14" i="4" s="1"/>
  <c r="J15" i="4" s="1"/>
  <c r="D5" i="4"/>
  <c r="I11" i="4"/>
  <c r="J11" i="4" s="1"/>
  <c r="I13" i="4"/>
  <c r="J13" i="4" s="1"/>
  <c r="G15" i="3"/>
  <c r="H15" i="3" s="1"/>
  <c r="G16" i="3"/>
  <c r="H16" i="3" s="1"/>
  <c r="G13" i="3"/>
  <c r="H13" i="3" s="1"/>
  <c r="G17" i="3"/>
  <c r="E62" i="2"/>
  <c r="I31" i="1" a="1"/>
  <c r="K12" i="4" a="1"/>
  <c r="I35" i="1" a="1"/>
  <c r="I30" i="1" a="1"/>
  <c r="I36" i="1" a="1"/>
  <c r="D64" i="2" a="1"/>
  <c r="K11" i="4" a="1"/>
  <c r="I29" i="1" a="1"/>
  <c r="K13" i="4" a="1"/>
  <c r="D62" i="2" a="1"/>
  <c r="I37" i="1" a="1"/>
  <c r="I32" i="1" a="1"/>
  <c r="I34" i="1" a="1"/>
  <c r="I39" i="1" a="1"/>
  <c r="I38" i="1" a="1"/>
  <c r="K14" i="4" a="1"/>
  <c r="K10" i="4" a="1"/>
  <c r="I33" i="1" a="1"/>
  <c r="K15" i="4" a="1"/>
  <c r="O225" i="9" a="1"/>
  <c r="L225" i="9" a="1"/>
  <c r="I225" i="9" a="1"/>
  <c r="F225" i="9" a="1"/>
  <c r="R225" i="9" a="1"/>
  <c r="U225" i="9" a="1"/>
  <c r="C225" i="9" a="1"/>
  <c r="N22" i="1" a="1"/>
  <c r="F159" i="9" a="1"/>
  <c r="H31" i="1" a="1"/>
  <c r="H33" i="1" a="1"/>
  <c r="H30" i="1" a="1"/>
  <c r="H37" i="1" a="1"/>
  <c r="F27" i="9" a="1"/>
  <c r="C203" i="9" a="1"/>
  <c r="H17" i="2" a="1"/>
  <c r="K23" i="1" a="1"/>
  <c r="K137" i="9" a="1"/>
  <c r="N21" i="1" a="1"/>
  <c r="K25" i="1" a="1"/>
  <c r="C159" i="9" a="1"/>
  <c r="C115" i="9" a="1"/>
  <c r="P203" i="9" a="1"/>
  <c r="F93" i="9" a="1"/>
  <c r="K93" i="9" a="1"/>
  <c r="F115" i="9" a="1"/>
  <c r="K115" i="9" a="1"/>
  <c r="K24" i="1" a="1"/>
  <c r="C137" i="9" a="1"/>
  <c r="H29" i="1" a="1"/>
  <c r="N24" i="1" a="1"/>
  <c r="N23" i="1" a="1"/>
  <c r="K22" i="1" a="1"/>
  <c r="P49" i="9" a="1"/>
  <c r="P71" i="9" a="1"/>
  <c r="H34" i="1" a="1"/>
  <c r="P137" i="9" a="1"/>
  <c r="N25" i="1" a="1"/>
  <c r="K159" i="9" a="1"/>
  <c r="P27" i="9" a="1"/>
  <c r="C71" i="9" a="1"/>
  <c r="H39" i="1" a="1"/>
  <c r="Q19" i="1" a="1"/>
  <c r="F71" i="9" a="1"/>
  <c r="H35" i="1" a="1"/>
  <c r="H38" i="1" a="1"/>
  <c r="K21" i="1" a="1"/>
  <c r="P159" i="9" a="1"/>
  <c r="P115" i="9" a="1"/>
  <c r="K27" i="9" a="1"/>
  <c r="C27" i="9" a="1"/>
  <c r="K49" i="9" a="1"/>
  <c r="F49" i="9" a="1"/>
  <c r="K181" i="9" a="1"/>
  <c r="K203" i="9" a="1"/>
  <c r="H21" i="1" a="1"/>
  <c r="P181" i="9" a="1"/>
  <c r="H32" i="1" a="1"/>
  <c r="C181" i="9" a="1"/>
  <c r="K71" i="9" a="1"/>
  <c r="H36" i="1" a="1"/>
  <c r="C93" i="9" a="1"/>
  <c r="P93" i="9" a="1"/>
  <c r="C49" i="9" a="1"/>
  <c r="F203" i="9" a="1"/>
  <c r="F137" i="9" a="1"/>
  <c r="F181" i="9" a="1"/>
  <c r="C171" i="5" a="1"/>
  <c r="C29" i="5" a="1"/>
  <c r="C191" i="5" a="1"/>
  <c r="C77" i="5" a="1"/>
  <c r="C113" i="5" a="1"/>
  <c r="C53" i="5" a="1"/>
  <c r="C149" i="5" a="1"/>
  <c r="F225" i="9" l="1"/>
  <c r="C113" i="5"/>
  <c r="C10" i="5" s="1"/>
  <c r="C29" i="5"/>
  <c r="C7" i="5" s="1"/>
  <c r="C171" i="5"/>
  <c r="C12" i="5" s="1"/>
  <c r="I225" i="9"/>
  <c r="C77" i="5"/>
  <c r="C9" i="5" s="1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I30" i="1"/>
  <c r="I33" i="1"/>
  <c r="I31" i="1"/>
  <c r="I37" i="1"/>
  <c r="I34" i="1"/>
  <c r="I29" i="1"/>
  <c r="I32" i="1"/>
  <c r="I38" i="1"/>
  <c r="I35" i="1"/>
  <c r="I39" i="1"/>
  <c r="I36" i="1"/>
  <c r="H25" i="1"/>
  <c r="H21" i="1"/>
  <c r="H22" i="1"/>
  <c r="H23" i="1"/>
  <c r="H24" i="1"/>
  <c r="X20" i="3"/>
  <c r="Q19" i="1"/>
  <c r="U20" i="3"/>
  <c r="AA20" i="3"/>
  <c r="N25" i="1"/>
  <c r="N24" i="1"/>
  <c r="N23" i="1"/>
  <c r="N22" i="1"/>
  <c r="N21" i="1"/>
  <c r="K22" i="1"/>
  <c r="K23" i="1"/>
  <c r="K24" i="1"/>
  <c r="K25" i="1"/>
  <c r="K21" i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J15" i="3"/>
  <c r="K15" i="3" s="1"/>
  <c r="J16" i="3"/>
  <c r="K16" i="3" s="1"/>
  <c r="J14" i="3"/>
  <c r="K14" i="3" s="1"/>
  <c r="J12" i="3"/>
  <c r="K12" i="3" s="1"/>
  <c r="J13" i="3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I23" i="1" a="1"/>
  <c r="O23" i="1" a="1"/>
  <c r="O22" i="1" a="1"/>
  <c r="F62" i="2" a="1"/>
  <c r="L25" i="1" a="1"/>
  <c r="L24" i="1" a="1"/>
  <c r="G16" i="1" a="1"/>
  <c r="I25" i="1" a="1"/>
  <c r="I24" i="1" a="1"/>
  <c r="O24" i="1" a="1"/>
  <c r="L22" i="1" a="1"/>
  <c r="L23" i="1" a="1"/>
  <c r="I21" i="1" a="1"/>
  <c r="F64" i="2" a="1"/>
  <c r="S19" i="1" a="1"/>
  <c r="L21" i="1" a="1"/>
  <c r="O25" i="1" a="1"/>
  <c r="O21" i="1" a="1"/>
  <c r="I22" i="1" a="1"/>
  <c r="C219" i="9" a="1"/>
  <c r="C43" i="9" a="1"/>
  <c r="C109" i="9" a="1"/>
  <c r="C197" i="9" a="1"/>
  <c r="C87" i="9" a="1"/>
  <c r="C175" i="9" a="1"/>
  <c r="C65" i="9" a="1"/>
  <c r="C153" i="9" a="1"/>
  <c r="C131" i="9" a="1"/>
  <c r="G21" i="2" a="1"/>
  <c r="C21" i="9" a="1"/>
  <c r="C4" i="5" a="1"/>
  <c r="C4" i="5" l="1"/>
  <c r="C219" i="9"/>
  <c r="C16" i="9" s="1"/>
  <c r="C197" i="9"/>
  <c r="C15" i="9" s="1"/>
  <c r="C65" i="9"/>
  <c r="C9" i="9" s="1"/>
  <c r="C175" i="9"/>
  <c r="C14" i="9" s="1"/>
  <c r="C109" i="9"/>
  <c r="C21" i="9"/>
  <c r="C7" i="9" s="1"/>
  <c r="C87" i="9"/>
  <c r="C10" i="9" s="1"/>
  <c r="C153" i="9"/>
  <c r="C13" i="9" s="1"/>
  <c r="C131" i="9"/>
  <c r="C12" i="9" s="1"/>
  <c r="C43" i="9"/>
  <c r="C8" i="9" s="1"/>
  <c r="C11" i="9"/>
  <c r="C16" i="8"/>
  <c r="L22" i="1"/>
  <c r="G16" i="1"/>
  <c r="C12" i="1" s="1"/>
  <c r="O25" i="1"/>
  <c r="O23" i="1"/>
  <c r="L21" i="1"/>
  <c r="S19" i="1"/>
  <c r="O24" i="1"/>
  <c r="L25" i="1"/>
  <c r="L24" i="1"/>
  <c r="I24" i="1"/>
  <c r="L23" i="1"/>
  <c r="I23" i="1"/>
  <c r="O21" i="1"/>
  <c r="I21" i="1"/>
  <c r="I22" i="1"/>
  <c r="O22" i="1"/>
  <c r="I25" i="1"/>
  <c r="J17" i="3"/>
  <c r="K17" i="3" s="1"/>
  <c r="G21" i="2"/>
  <c r="F62" i="2"/>
  <c r="F64" i="2"/>
  <c r="C58" i="2" a="1"/>
  <c r="C4" i="9" a="1"/>
  <c r="C4" i="9" l="1"/>
  <c r="C15" i="8" s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<sst xmlns="http://schemas.openxmlformats.org/spreadsheetml/2006/main" count="1421" uniqueCount="220">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</sst>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3" formatCode="[$€-2]#,##0.00"/>
    <numFmt numFmtId="174" formatCode="[$£-809]#,##0.00"/>
    <numFmt numFmtId="175" formatCode="[$₽-419]#,##0.00"/>
    <numFmt numFmtId="176" formatCode="[$R-1C09]#,##0.00"/>
  </numFmts>
  <fonts count="2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1" applyNumberFormat="0" applyFill="0" applyAlignment="0" applyProtection="0"/>
    <xf numFmtId="0" fontId="25" fillId="0" borderId="35" applyNumberFormat="0" applyFill="0" applyAlignment="0" applyProtection="0"/>
    <xf numFmtId="0" fontId="26" fillId="0" borderId="2" applyNumberFormat="0" applyFill="0" applyAlignment="0" applyProtection="0"/>
    <xf numFmtId="0" fontId="21" fillId="0" borderId="0" applyNumberFormat="0" applyFill="0" applyBorder="0" applyAlignment="0" applyProtection="0"/>
  </cellStyleXfs>
  <cellXfs count="286">
    <xf numFmtId="0" fontId="0" fillId="0" borderId="0" xfId="0"/>
    <xf numFmtId="14" fontId="0" fillId="0" borderId="0" xfId="0" applyNumberFormat="1"/>
    <xf numFmtId="0" fontId="4" fillId="0" borderId="1" xfId="1"/>
    <xf numFmtId="0" fontId="25" fillId="0" borderId="35" xfId="2"/>
    <xf numFmtId="0" fontId="26" fillId="0" borderId="2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7" fillId="3" borderId="5" xfId="0" applyFont="1" applyFill="1" applyBorder="1" applyAlignment="1">
      <alignment horizontal="centerContinuous" vertical="center"/>
    </xf>
    <xf numFmtId="0" fontId="7" fillId="3" borderId="6" xfId="0" applyFont="1" applyFill="1" applyBorder="1" applyAlignment="1">
      <alignment horizontal="centerContinuous" vertical="center"/>
    </xf>
    <xf numFmtId="4" fontId="6" fillId="0" borderId="10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right" vertical="center"/>
    </xf>
    <xf numFmtId="166" fontId="6" fillId="0" borderId="10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166" fontId="6" fillId="0" borderId="14" xfId="0" applyNumberFormat="1" applyFont="1" applyBorder="1" applyAlignment="1">
      <alignment horizontal="right" vertical="center"/>
    </xf>
    <xf numFmtId="167" fontId="6" fillId="0" borderId="11" xfId="0" applyNumberFormat="1" applyFont="1" applyBorder="1" applyAlignment="1">
      <alignment horizontal="right" vertical="center"/>
    </xf>
    <xf numFmtId="167" fontId="6" fillId="0" borderId="13" xfId="0" applyNumberFormat="1" applyFont="1" applyBorder="1" applyAlignment="1">
      <alignment horizontal="right" vertical="center"/>
    </xf>
    <xf numFmtId="167" fontId="6" fillId="0" borderId="15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Continuous" vertical="center"/>
    </xf>
    <xf numFmtId="0" fontId="7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7" fillId="3" borderId="7" xfId="0" applyFont="1" applyFill="1" applyBorder="1" applyAlignment="1">
      <alignment horizontal="centerContinuous" vertical="center"/>
    </xf>
    <xf numFmtId="4" fontId="6" fillId="0" borderId="16" xfId="0" applyNumberFormat="1" applyFont="1" applyBorder="1" applyAlignment="1">
      <alignment horizontal="right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1" xfId="0" applyNumberFormat="1" applyFont="1" applyBorder="1" applyAlignment="1">
      <alignment horizontal="right" vertical="center"/>
    </xf>
    <xf numFmtId="10" fontId="6" fillId="0" borderId="13" xfId="0" applyNumberFormat="1" applyFont="1" applyBorder="1" applyAlignment="1">
      <alignment horizontal="right" vertical="center"/>
    </xf>
    <xf numFmtId="10" fontId="6" fillId="0" borderId="15" xfId="0" applyNumberFormat="1" applyFont="1" applyBorder="1" applyAlignment="1">
      <alignment horizontal="right" vertical="center"/>
    </xf>
    <xf numFmtId="0" fontId="7" fillId="3" borderId="19" xfId="0" applyFont="1" applyFill="1" applyBorder="1" applyAlignment="1">
      <alignment horizontal="centerContinuous" vertical="center"/>
    </xf>
    <xf numFmtId="0" fontId="7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1" xfId="0" applyFont="1" applyFill="1" applyBorder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6" fillId="0" borderId="0" xfId="0" applyFont="1" applyFill="1" applyBorder="1"/>
    <xf numFmtId="167" fontId="6" fillId="0" borderId="16" xfId="0" applyNumberFormat="1" applyFont="1" applyBorder="1" applyAlignment="1">
      <alignment horizontal="right" vertical="center"/>
    </xf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0" fontId="7" fillId="3" borderId="28" xfId="0" applyFont="1" applyFill="1" applyBorder="1" applyAlignment="1">
      <alignment horizontal="centerContinuous" vertical="center"/>
    </xf>
    <xf numFmtId="0" fontId="7" fillId="3" borderId="29" xfId="0" applyFont="1" applyFill="1" applyBorder="1" applyAlignment="1">
      <alignment horizontal="centerContinuous" vertical="center"/>
    </xf>
    <xf numFmtId="0" fontId="7" fillId="4" borderId="30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4" fontId="6" fillId="0" borderId="0" xfId="0" applyNumberFormat="1" applyFont="1"/>
    <xf numFmtId="169" fontId="6" fillId="0" borderId="11" xfId="0" applyNumberFormat="1" applyFont="1" applyBorder="1" applyAlignment="1">
      <alignment horizontal="right" vertical="center"/>
    </xf>
    <xf numFmtId="169" fontId="6" fillId="0" borderId="13" xfId="0" applyNumberFormat="1" applyFont="1" applyBorder="1" applyAlignment="1">
      <alignment horizontal="right" vertical="center"/>
    </xf>
    <xf numFmtId="169" fontId="6" fillId="0" borderId="15" xfId="0" applyNumberFormat="1" applyFont="1" applyBorder="1" applyAlignment="1">
      <alignment horizontal="right" vertical="center"/>
    </xf>
    <xf numFmtId="0" fontId="7" fillId="4" borderId="32" xfId="0" applyFont="1" applyFill="1" applyBorder="1" applyAlignment="1">
      <alignment horizontal="center" vertical="center"/>
    </xf>
    <xf numFmtId="0" fontId="0" fillId="0" borderId="0" xfId="0" applyBorder="1"/>
    <xf numFmtId="170" fontId="6" fillId="0" borderId="0" xfId="0" applyNumberFormat="1" applyFont="1"/>
    <xf numFmtId="0" fontId="9" fillId="0" borderId="4" xfId="0" applyFont="1" applyBorder="1" applyAlignment="1">
      <alignment horizontal="centerContinuous"/>
    </xf>
    <xf numFmtId="171" fontId="6" fillId="0" borderId="16" xfId="0" applyNumberFormat="1" applyFont="1" applyBorder="1" applyAlignment="1">
      <alignment horizontal="right" vertical="center"/>
    </xf>
    <xf numFmtId="171" fontId="6" fillId="0" borderId="17" xfId="0" applyNumberFormat="1" applyFont="1" applyBorder="1" applyAlignment="1">
      <alignment horizontal="right" vertical="center"/>
    </xf>
    <xf numFmtId="171" fontId="6" fillId="0" borderId="18" xfId="0" applyNumberFormat="1" applyFont="1" applyBorder="1" applyAlignment="1">
      <alignment horizontal="right" vertical="center"/>
    </xf>
    <xf numFmtId="171" fontId="6" fillId="0" borderId="0" xfId="0" applyNumberFormat="1" applyFont="1" applyFill="1" applyBorder="1" applyAlignment="1">
      <alignment horizontal="right" vertical="center"/>
    </xf>
    <xf numFmtId="171" fontId="6" fillId="0" borderId="33" xfId="0" applyNumberFormat="1" applyFont="1" applyFill="1" applyBorder="1" applyAlignment="1">
      <alignment horizontal="right" vertical="center"/>
    </xf>
    <xf numFmtId="167" fontId="6" fillId="0" borderId="34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8" fillId="2" borderId="0" xfId="0" applyFont="1" applyFill="1" applyAlignment="1">
      <alignment horizontal="centerContinuous" vertical="center"/>
    </xf>
    <xf numFmtId="0" fontId="10" fillId="0" borderId="35" xfId="2" applyFont="1" applyBorder="1"/>
    <xf numFmtId="0" fontId="25" fillId="0" borderId="35" xfId="2" applyBorder="1"/>
    <xf numFmtId="0" fontId="12" fillId="0" borderId="0" xfId="0" applyFont="1"/>
    <xf numFmtId="0" fontId="13" fillId="0" borderId="0" xfId="0" applyFont="1"/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0" fontId="7" fillId="4" borderId="36" xfId="0" applyFont="1" applyFill="1" applyBorder="1" applyAlignment="1">
      <alignment horizontal="center" vertical="center"/>
    </xf>
    <xf numFmtId="0" fontId="7" fillId="4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0" fillId="0" borderId="26" xfId="0" applyBorder="1"/>
    <xf numFmtId="0" fontId="4" fillId="0" borderId="1" xfId="1" applyFont="1"/>
    <xf numFmtId="0" fontId="16" fillId="0" borderId="26" xfId="0" applyFont="1" applyBorder="1"/>
    <xf numFmtId="9" fontId="6" fillId="0" borderId="42" xfId="0" applyNumberFormat="1" applyFont="1" applyBorder="1" applyAlignment="1">
      <alignment horizontal="right"/>
    </xf>
    <xf numFmtId="9" fontId="6" fillId="0" borderId="44" xfId="0" applyNumberFormat="1" applyFont="1" applyBorder="1" applyAlignment="1">
      <alignment horizontal="right"/>
    </xf>
    <xf numFmtId="166" fontId="6" fillId="0" borderId="39" xfId="0" applyNumberFormat="1" applyFont="1" applyBorder="1"/>
    <xf numFmtId="166" fontId="6" fillId="0" borderId="41" xfId="0" applyNumberFormat="1" applyFont="1" applyBorder="1"/>
    <xf numFmtId="0" fontId="17" fillId="0" borderId="0" xfId="0" applyFont="1"/>
    <xf numFmtId="0" fontId="14" fillId="0" borderId="0" xfId="0" applyFont="1"/>
    <xf numFmtId="166" fontId="6" fillId="0" borderId="45" xfId="0" applyNumberFormat="1" applyFont="1" applyBorder="1"/>
    <xf numFmtId="166" fontId="6" fillId="0" borderId="46" xfId="0" applyNumberFormat="1" applyFont="1" applyBorder="1"/>
    <xf numFmtId="0" fontId="0" fillId="0" borderId="46" xfId="0" applyBorder="1"/>
    <xf numFmtId="9" fontId="6" fillId="0" borderId="46" xfId="0" applyNumberFormat="1" applyFont="1" applyBorder="1" applyAlignment="1">
      <alignment horizontal="right"/>
    </xf>
    <xf numFmtId="9" fontId="6" fillId="0" borderId="47" xfId="0" applyNumberFormat="1" applyFont="1" applyBorder="1" applyAlignment="1">
      <alignment horizontal="right"/>
    </xf>
    <xf numFmtId="0" fontId="18" fillId="5" borderId="0" xfId="0" applyFont="1" applyFill="1" applyBorder="1" applyAlignment="1">
      <alignment horizontal="left" vertical="center"/>
    </xf>
    <xf numFmtId="0" fontId="13" fillId="0" borderId="28" xfId="0" applyFont="1" applyBorder="1"/>
    <xf numFmtId="0" fontId="0" fillId="0" borderId="29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13" fillId="0" borderId="52" xfId="0" applyFont="1" applyBorder="1"/>
    <xf numFmtId="0" fontId="0" fillId="0" borderId="53" xfId="0" applyBorder="1"/>
    <xf numFmtId="4" fontId="18" fillId="5" borderId="0" xfId="0" applyNumberFormat="1" applyFont="1" applyFill="1" applyBorder="1" applyAlignment="1">
      <alignment horizontal="left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166" fontId="6" fillId="0" borderId="40" xfId="0" applyNumberFormat="1" applyFont="1" applyBorder="1"/>
    <xf numFmtId="166" fontId="6" fillId="0" borderId="42" xfId="0" applyNumberFormat="1" applyFont="1" applyBorder="1"/>
    <xf numFmtId="0" fontId="0" fillId="0" borderId="41" xfId="0" applyBorder="1"/>
    <xf numFmtId="0" fontId="0" fillId="0" borderId="42" xfId="0" applyBorder="1"/>
    <xf numFmtId="9" fontId="6" fillId="0" borderId="41" xfId="0" applyNumberFormat="1" applyFont="1" applyBorder="1" applyAlignment="1">
      <alignment horizontal="right"/>
    </xf>
    <xf numFmtId="9" fontId="6" fillId="0" borderId="43" xfId="0" applyNumberFormat="1" applyFont="1" applyBorder="1" applyAlignment="1">
      <alignment horizontal="right"/>
    </xf>
    <xf numFmtId="173" fontId="19" fillId="0" borderId="16" xfId="0" applyNumberFormat="1" applyFont="1" applyBorder="1" applyAlignment="1">
      <alignment horizontal="right" vertical="center"/>
    </xf>
    <xf numFmtId="173" fontId="19" fillId="0" borderId="17" xfId="0" applyNumberFormat="1" applyFont="1" applyBorder="1" applyAlignment="1">
      <alignment horizontal="right" vertical="center"/>
    </xf>
    <xf numFmtId="173" fontId="19" fillId="0" borderId="18" xfId="0" applyNumberFormat="1" applyFont="1" applyBorder="1" applyAlignment="1">
      <alignment horizontal="right" vertical="center"/>
    </xf>
    <xf numFmtId="174" fontId="19" fillId="0" borderId="16" xfId="0" applyNumberFormat="1" applyFont="1" applyBorder="1" applyAlignment="1">
      <alignment horizontal="right" vertical="center"/>
    </xf>
    <xf numFmtId="174" fontId="19" fillId="0" borderId="17" xfId="0" applyNumberFormat="1" applyFont="1" applyBorder="1" applyAlignment="1">
      <alignment horizontal="right" vertical="center"/>
    </xf>
    <xf numFmtId="174" fontId="19" fillId="0" borderId="18" xfId="0" applyNumberFormat="1" applyFont="1" applyBorder="1" applyAlignment="1">
      <alignment horizontal="right" vertical="center"/>
    </xf>
    <xf numFmtId="175" fontId="19" fillId="0" borderId="16" xfId="0" applyNumberFormat="1" applyFont="1" applyBorder="1" applyAlignment="1">
      <alignment horizontal="right" vertical="center"/>
    </xf>
    <xf numFmtId="175" fontId="19" fillId="0" borderId="17" xfId="0" applyNumberFormat="1" applyFont="1" applyBorder="1" applyAlignment="1">
      <alignment horizontal="right" vertical="center"/>
    </xf>
    <xf numFmtId="175" fontId="19" fillId="0" borderId="18" xfId="0" applyNumberFormat="1" applyFont="1" applyBorder="1" applyAlignment="1">
      <alignment horizontal="right" vertical="center"/>
    </xf>
    <xf numFmtId="176" fontId="19" fillId="0" borderId="16" xfId="0" applyNumberFormat="1" applyFont="1" applyBorder="1" applyAlignment="1">
      <alignment horizontal="right" vertical="center"/>
    </xf>
    <xf numFmtId="176" fontId="19" fillId="0" borderId="17" xfId="0" applyNumberFormat="1" applyFont="1" applyBorder="1" applyAlignment="1">
      <alignment horizontal="right" vertical="center"/>
    </xf>
    <xf numFmtId="176" fontId="19" fillId="0" borderId="18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0" fontId="3" fillId="0" borderId="18" xfId="0" applyNumberFormat="1" applyFont="1" applyBorder="1" applyAlignment="1">
      <alignment horizontal="right" vertical="center"/>
    </xf>
    <xf numFmtId="10" fontId="3" fillId="0" borderId="11" xfId="0" applyNumberFormat="1" applyFont="1" applyBorder="1" applyAlignment="1">
      <alignment horizontal="right" vertical="center"/>
    </xf>
    <xf numFmtId="10" fontId="3" fillId="0" borderId="13" xfId="0" applyNumberFormat="1" applyFont="1" applyBorder="1" applyAlignment="1">
      <alignment horizontal="right" vertical="center"/>
    </xf>
    <xf numFmtId="10" fontId="3" fillId="0" borderId="15" xfId="0" applyNumberFormat="1" applyFont="1" applyBorder="1" applyAlignment="1">
      <alignment horizontal="right" vertical="center"/>
    </xf>
    <xf numFmtId="166" fontId="3" fillId="0" borderId="10" xfId="0" applyNumberFormat="1" applyFont="1" applyBorder="1" applyAlignment="1">
      <alignment horizontal="right" vertical="center"/>
    </xf>
    <xf numFmtId="166" fontId="3" fillId="0" borderId="12" xfId="0" applyNumberFormat="1" applyFont="1" applyBorder="1" applyAlignment="1">
      <alignment horizontal="right" vertical="center"/>
    </xf>
    <xf numFmtId="166" fontId="3" fillId="0" borderId="14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6" fontId="3" fillId="0" borderId="18" xfId="0" applyNumberFormat="1" applyFont="1" applyBorder="1" applyAlignment="1">
      <alignment horizontal="right" vertical="center"/>
    </xf>
    <xf numFmtId="4" fontId="18" fillId="5" borderId="0" xfId="0" applyNumberFormat="1" applyFont="1" applyFill="1" applyBorder="1" applyAlignment="1">
      <alignment vertical="center"/>
    </xf>
    <xf numFmtId="3" fontId="18" fillId="5" borderId="0" xfId="0" applyNumberFormat="1" applyFont="1" applyFill="1" applyBorder="1" applyAlignment="1">
      <alignment vertical="center"/>
    </xf>
    <xf numFmtId="0" fontId="20" fillId="4" borderId="36" xfId="0" applyFont="1" applyFill="1" applyBorder="1" applyAlignment="1">
      <alignment horizontal="center" vertical="center"/>
    </xf>
    <xf numFmtId="0" fontId="20" fillId="4" borderId="38" xfId="0" applyFont="1" applyFill="1" applyBorder="1" applyAlignment="1">
      <alignment horizontal="center" vertical="center"/>
    </xf>
    <xf numFmtId="0" fontId="20" fillId="3" borderId="5" xfId="0" applyFont="1" applyFill="1" applyBorder="1" applyAlignment="1">
      <alignment horizontal="centerContinuous" vertical="center"/>
    </xf>
    <xf numFmtId="0" fontId="20" fillId="3" borderId="6" xfId="0" applyFont="1" applyFill="1" applyBorder="1" applyAlignment="1">
      <alignment horizontal="centerContinuous" vertical="center"/>
    </xf>
    <xf numFmtId="4" fontId="19" fillId="0" borderId="10" xfId="0" applyNumberFormat="1" applyFont="1" applyBorder="1" applyAlignment="1">
      <alignment horizontal="center" vertical="center"/>
    </xf>
    <xf numFmtId="4" fontId="19" fillId="0" borderId="11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4" fontId="19" fillId="0" borderId="15" xfId="0" applyNumberFormat="1" applyFont="1" applyBorder="1" applyAlignment="1">
      <alignment horizontal="center" vertical="center"/>
    </xf>
    <xf numFmtId="0" fontId="21" fillId="0" borderId="50" xfId="4" applyBorder="1" applyAlignment="1">
      <alignment horizontal="centerContinuous" vertical="center"/>
    </xf>
    <xf numFmtId="0" fontId="21" fillId="0" borderId="51" xfId="4" applyBorder="1" applyAlignment="1">
      <alignment horizontal="centerContinuous" vertical="center"/>
    </xf>
    <xf numFmtId="0" fontId="21" fillId="0" borderId="53" xfId="4" applyBorder="1" applyAlignment="1">
      <alignment horizontal="centerContinuous" vertical="center"/>
    </xf>
    <xf numFmtId="0" fontId="21" fillId="0" borderId="52" xfId="4" applyFill="1" applyBorder="1" applyAlignment="1">
      <alignment horizontal="centerContinuous"/>
    </xf>
    <xf numFmtId="0" fontId="21" fillId="0" borderId="53" xfId="4" applyFill="1" applyBorder="1" applyAlignment="1">
      <alignment horizontal="centerContinuous"/>
    </xf>
    <xf numFmtId="0" fontId="7" fillId="3" borderId="57" xfId="0" applyFont="1" applyFill="1" applyBorder="1" applyAlignment="1">
      <alignment horizontal="centerContinuous" vertical="center"/>
    </xf>
    <xf numFmtId="0" fontId="22" fillId="0" borderId="52" xfId="4" applyFont="1" applyFill="1" applyBorder="1" applyAlignment="1">
      <alignment horizontal="centerContinuous" vertical="center"/>
    </xf>
    <xf numFmtId="0" fontId="22" fillId="0" borderId="53" xfId="4" applyFont="1" applyFill="1" applyBorder="1" applyAlignment="1">
      <alignment horizontal="centerContinuous" vertical="center"/>
    </xf>
    <xf numFmtId="4" fontId="22" fillId="0" borderId="58" xfId="4" applyNumberFormat="1" applyFont="1" applyBorder="1" applyAlignment="1">
      <alignment horizontal="centerContinuous" vertical="center"/>
    </xf>
    <xf numFmtId="4" fontId="15" fillId="5" borderId="0" xfId="0" applyNumberFormat="1" applyFont="1" applyFill="1" applyBorder="1" applyAlignment="1">
      <alignment horizontal="left" vertical="center"/>
    </xf>
    <xf numFmtId="4" fontId="18" fillId="5" borderId="0" xfId="0" applyNumberFormat="1" applyFont="1" applyFill="1" applyBorder="1" applyAlignment="1">
      <alignment horizontal="left" vertical="center"/>
    </xf>
    <xf numFmtId="4" fontId="7" fillId="3" borderId="6" xfId="0" applyNumberFormat="1" applyFont="1" applyFill="1" applyBorder="1" applyAlignment="1">
      <alignment horizontal="centerContinuous" vertical="center"/>
    </xf>
    <xf numFmtId="4" fontId="7" fillId="4" borderId="38" xfId="0" applyNumberFormat="1" applyFont="1" applyFill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13" fillId="0" borderId="50" xfId="0" applyFont="1" applyBorder="1"/>
    <xf numFmtId="0" fontId="0" fillId="0" borderId="53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0" borderId="53" xfId="0" applyBorder="1" applyAlignment="1">
      <alignment horizontal="right"/>
    </xf>
    <xf numFmtId="0" fontId="0" fillId="0" borderId="51" xfId="0" applyBorder="1" applyAlignment="1">
      <alignment horizontal="right"/>
    </xf>
    <xf numFmtId="173" fontId="18" fillId="5" borderId="16" xfId="0" applyNumberFormat="1" applyFont="1" applyFill="1" applyBorder="1" applyAlignment="1">
      <alignment horizontal="right" vertical="center"/>
    </xf>
    <xf numFmtId="173" fontId="18" fillId="5" borderId="17" xfId="0" applyNumberFormat="1" applyFont="1" applyFill="1" applyBorder="1" applyAlignment="1">
      <alignment horizontal="right" vertical="center"/>
    </xf>
    <xf numFmtId="173" fontId="18" fillId="5" borderId="18" xfId="0" applyNumberFormat="1" applyFont="1" applyFill="1" applyBorder="1" applyAlignment="1">
      <alignment horizontal="right" vertical="center"/>
    </xf>
    <xf numFmtId="174" fontId="18" fillId="5" borderId="16" xfId="0" applyNumberFormat="1" applyFont="1" applyFill="1" applyBorder="1" applyAlignment="1">
      <alignment horizontal="right" vertical="center"/>
    </xf>
    <xf numFmtId="174" fontId="18" fillId="5" borderId="17" xfId="0" applyNumberFormat="1" applyFont="1" applyFill="1" applyBorder="1" applyAlignment="1">
      <alignment horizontal="right" vertical="center"/>
    </xf>
    <xf numFmtId="174" fontId="18" fillId="5" borderId="18" xfId="0" applyNumberFormat="1" applyFont="1" applyFill="1" applyBorder="1" applyAlignment="1">
      <alignment horizontal="right" vertical="center"/>
    </xf>
    <xf numFmtId="175" fontId="18" fillId="5" borderId="16" xfId="0" applyNumberFormat="1" applyFont="1" applyFill="1" applyBorder="1" applyAlignment="1">
      <alignment horizontal="right" vertical="center"/>
    </xf>
    <xf numFmtId="175" fontId="18" fillId="5" borderId="17" xfId="0" applyNumberFormat="1" applyFont="1" applyFill="1" applyBorder="1" applyAlignment="1">
      <alignment horizontal="right" vertical="center"/>
    </xf>
    <xf numFmtId="175" fontId="18" fillId="5" borderId="18" xfId="0" applyNumberFormat="1" applyFont="1" applyFill="1" applyBorder="1" applyAlignment="1">
      <alignment horizontal="right" vertical="center"/>
    </xf>
    <xf numFmtId="176" fontId="18" fillId="5" borderId="16" xfId="0" applyNumberFormat="1" applyFont="1" applyFill="1" applyBorder="1" applyAlignment="1">
      <alignment horizontal="right" vertical="center"/>
    </xf>
    <xf numFmtId="176" fontId="18" fillId="5" borderId="17" xfId="0" applyNumberFormat="1" applyFont="1" applyFill="1" applyBorder="1" applyAlignment="1">
      <alignment horizontal="right" vertical="center"/>
    </xf>
    <xf numFmtId="176" fontId="18" fillId="5" borderId="18" xfId="0" applyNumberFormat="1" applyFont="1" applyFill="1" applyBorder="1" applyAlignment="1">
      <alignment horizontal="right" vertical="center"/>
    </xf>
    <xf numFmtId="10" fontId="18" fillId="5" borderId="16" xfId="0" applyNumberFormat="1" applyFont="1" applyFill="1" applyBorder="1" applyAlignment="1">
      <alignment horizontal="right" vertical="center"/>
    </xf>
    <xf numFmtId="10" fontId="18" fillId="5" borderId="17" xfId="0" applyNumberFormat="1" applyFont="1" applyFill="1" applyBorder="1" applyAlignment="1">
      <alignment horizontal="right" vertical="center"/>
    </xf>
    <xf numFmtId="10" fontId="18" fillId="5" borderId="18" xfId="0" applyNumberFormat="1" applyFont="1" applyFill="1" applyBorder="1" applyAlignment="1">
      <alignment horizontal="right" vertical="center"/>
    </xf>
    <xf numFmtId="10" fontId="18" fillId="5" borderId="11" xfId="0" applyNumberFormat="1" applyFont="1" applyFill="1" applyBorder="1" applyAlignment="1">
      <alignment horizontal="right" vertical="center"/>
    </xf>
    <xf numFmtId="10" fontId="18" fillId="5" borderId="13" xfId="0" applyNumberFormat="1" applyFont="1" applyFill="1" applyBorder="1" applyAlignment="1">
      <alignment horizontal="right" vertical="center"/>
    </xf>
    <xf numFmtId="10" fontId="18" fillId="5" borderId="15" xfId="0" applyNumberFormat="1" applyFont="1" applyFill="1" applyBorder="1" applyAlignment="1">
      <alignment horizontal="right" vertical="center"/>
    </xf>
    <xf numFmtId="166" fontId="18" fillId="5" borderId="10" xfId="0" applyNumberFormat="1" applyFont="1" applyFill="1" applyBorder="1" applyAlignment="1">
      <alignment horizontal="right" vertical="center"/>
    </xf>
    <xf numFmtId="166" fontId="18" fillId="5" borderId="12" xfId="0" applyNumberFormat="1" applyFont="1" applyFill="1" applyBorder="1" applyAlignment="1">
      <alignment horizontal="right" vertical="center"/>
    </xf>
    <xf numFmtId="166" fontId="18" fillId="5" borderId="14" xfId="0" applyNumberFormat="1" applyFont="1" applyFill="1" applyBorder="1" applyAlignment="1">
      <alignment horizontal="right" vertical="center"/>
    </xf>
    <xf numFmtId="166" fontId="18" fillId="5" borderId="16" xfId="0" applyNumberFormat="1" applyFont="1" applyFill="1" applyBorder="1" applyAlignment="1">
      <alignment horizontal="right" vertical="center"/>
    </xf>
    <xf numFmtId="166" fontId="18" fillId="5" borderId="17" xfId="0" applyNumberFormat="1" applyFont="1" applyFill="1" applyBorder="1" applyAlignment="1">
      <alignment horizontal="right" vertical="center"/>
    </xf>
    <xf numFmtId="166" fontId="18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0" fillId="4" borderId="60" xfId="0" applyNumberFormat="1" applyFont="1" applyFill="1" applyBorder="1" applyAlignment="1">
      <alignment horizontal="center" vertical="center"/>
    </xf>
    <xf numFmtId="4" fontId="20" fillId="4" borderId="61" xfId="0" applyNumberFormat="1" applyFont="1" applyFill="1" applyBorder="1" applyAlignment="1">
      <alignment horizontal="center" vertical="center"/>
    </xf>
    <xf numFmtId="4" fontId="20" fillId="4" borderId="62" xfId="0" applyNumberFormat="1" applyFont="1" applyFill="1" applyBorder="1" applyAlignment="1">
      <alignment horizontal="center" vertical="center"/>
    </xf>
    <xf numFmtId="173" fontId="18" fillId="5" borderId="12" xfId="0" applyNumberFormat="1" applyFont="1" applyFill="1" applyBorder="1" applyAlignment="1">
      <alignment horizontal="right" vertical="center"/>
    </xf>
    <xf numFmtId="173" fontId="18" fillId="5" borderId="13" xfId="0" applyNumberFormat="1" applyFont="1" applyFill="1" applyBorder="1" applyAlignment="1">
      <alignment horizontal="right" vertical="center"/>
    </xf>
    <xf numFmtId="174" fontId="18" fillId="5" borderId="12" xfId="0" applyNumberFormat="1" applyFont="1" applyFill="1" applyBorder="1" applyAlignment="1">
      <alignment horizontal="right" vertical="center"/>
    </xf>
    <xf numFmtId="174" fontId="18" fillId="5" borderId="13" xfId="0" applyNumberFormat="1" applyFont="1" applyFill="1" applyBorder="1" applyAlignment="1">
      <alignment horizontal="right" vertical="center"/>
    </xf>
    <xf numFmtId="175" fontId="18" fillId="5" borderId="12" xfId="0" applyNumberFormat="1" applyFont="1" applyFill="1" applyBorder="1" applyAlignment="1">
      <alignment horizontal="right" vertical="center"/>
    </xf>
    <xf numFmtId="175" fontId="18" fillId="5" borderId="13" xfId="0" applyNumberFormat="1" applyFont="1" applyFill="1" applyBorder="1" applyAlignment="1">
      <alignment horizontal="right" vertical="center"/>
    </xf>
    <xf numFmtId="176" fontId="18" fillId="5" borderId="12" xfId="0" applyNumberFormat="1" applyFont="1" applyFill="1" applyBorder="1" applyAlignment="1">
      <alignment horizontal="right" vertical="center"/>
    </xf>
    <xf numFmtId="176" fontId="18" fillId="5" borderId="13" xfId="0" applyNumberFormat="1" applyFont="1" applyFill="1" applyBorder="1" applyAlignment="1">
      <alignment horizontal="right" vertical="center"/>
    </xf>
    <xf numFmtId="10" fontId="18" fillId="5" borderId="12" xfId="0" applyNumberFormat="1" applyFont="1" applyFill="1" applyBorder="1" applyAlignment="1">
      <alignment horizontal="right" vertical="center"/>
    </xf>
    <xf numFmtId="10" fontId="18" fillId="5" borderId="14" xfId="0" applyNumberFormat="1" applyFont="1" applyFill="1" applyBorder="1" applyAlignment="1">
      <alignment horizontal="right" vertical="center"/>
    </xf>
    <xf numFmtId="166" fontId="18" fillId="5" borderId="11" xfId="0" applyNumberFormat="1" applyFont="1" applyFill="1" applyBorder="1" applyAlignment="1">
      <alignment horizontal="right" vertical="center"/>
    </xf>
    <xf numFmtId="166" fontId="18" fillId="5" borderId="13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166" fontId="6" fillId="6" borderId="12" xfId="0" applyNumberFormat="1" applyFont="1" applyFill="1" applyBorder="1" applyAlignment="1">
      <alignment horizontal="right" vertical="center"/>
    </xf>
    <xf numFmtId="167" fontId="6" fillId="6" borderId="17" xfId="0" applyNumberFormat="1" applyFont="1" applyFill="1" applyBorder="1" applyAlignment="1">
      <alignment horizontal="right" vertical="center"/>
    </xf>
    <xf numFmtId="167" fontId="6" fillId="0" borderId="16" xfId="0" applyNumberFormat="1" applyFont="1" applyBorder="1" applyAlignment="1">
      <alignment horizontal="center" vertical="center"/>
    </xf>
    <xf numFmtId="0" fontId="7" fillId="4" borderId="37" xfId="0" applyFont="1" applyFill="1" applyBorder="1" applyAlignment="1">
      <alignment horizontal="centerContinuous" vertical="center"/>
    </xf>
    <xf numFmtId="0" fontId="7" fillId="4" borderId="38" xfId="0" applyFont="1" applyFill="1" applyBorder="1" applyAlignment="1">
      <alignment horizontal="centerContinuous" vertical="center"/>
    </xf>
    <xf numFmtId="167" fontId="6" fillId="0" borderId="63" xfId="0" applyNumberFormat="1" applyFont="1" applyBorder="1" applyAlignment="1">
      <alignment horizontal="center" vertical="center"/>
    </xf>
    <xf numFmtId="0" fontId="7" fillId="4" borderId="36" xfId="0" applyFont="1" applyFill="1" applyBorder="1" applyAlignment="1">
      <alignment horizontal="centerContinuous" vertical="center"/>
    </xf>
    <xf numFmtId="0" fontId="7" fillId="4" borderId="5" xfId="0" applyFont="1" applyFill="1" applyBorder="1" applyAlignment="1">
      <alignment horizontal="center" vertical="center"/>
    </xf>
    <xf numFmtId="4" fontId="23" fillId="7" borderId="52" xfId="0" applyNumberFormat="1" applyFont="1" applyFill="1" applyBorder="1" applyAlignment="1">
      <alignment horizontal="center" vertical="center"/>
    </xf>
    <xf numFmtId="4" fontId="23" fillId="7" borderId="64" xfId="0" applyNumberFormat="1" applyFont="1" applyFill="1" applyBorder="1" applyAlignment="1">
      <alignment horizontal="center" vertical="center"/>
    </xf>
    <xf numFmtId="4" fontId="23" fillId="7" borderId="65" xfId="0" applyNumberFormat="1" applyFont="1" applyFill="1" applyBorder="1" applyAlignment="1">
      <alignment horizontal="center" vertical="center"/>
    </xf>
    <xf numFmtId="4" fontId="23" fillId="7" borderId="66" xfId="0" applyNumberFormat="1" applyFont="1" applyFill="1" applyBorder="1" applyAlignment="1">
      <alignment horizontal="center" vertical="center"/>
    </xf>
    <xf numFmtId="169" fontId="6" fillId="0" borderId="63" xfId="0" applyNumberFormat="1" applyFont="1" applyBorder="1" applyAlignment="1">
      <alignment horizontal="right" vertical="center"/>
    </xf>
    <xf numFmtId="169" fontId="6" fillId="0" borderId="17" xfId="0" applyNumberFormat="1" applyFont="1" applyBorder="1" applyAlignment="1">
      <alignment horizontal="right" vertical="center"/>
    </xf>
    <xf numFmtId="169" fontId="6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7" fillId="4" borderId="21" xfId="0" applyNumberFormat="1" applyFont="1" applyFill="1" applyBorder="1" applyAlignment="1">
      <alignment horizontal="center" vertical="center"/>
    </xf>
    <xf numFmtId="4" fontId="7" fillId="4" borderId="22" xfId="0" applyNumberFormat="1" applyFont="1" applyFill="1" applyBorder="1" applyAlignment="1">
      <alignment horizontal="center" vertical="center"/>
    </xf>
    <xf numFmtId="4" fontId="7" fillId="4" borderId="23" xfId="0" applyNumberFormat="1" applyFont="1" applyFill="1" applyBorder="1" applyAlignment="1">
      <alignment horizontal="center" vertical="center"/>
    </xf>
    <xf numFmtId="0" fontId="21" fillId="0" borderId="0" xfId="4" applyAlignment="1">
      <alignment horizontal="center"/>
    </xf>
    <xf numFmtId="0" fontId="21" fillId="8" borderId="0" xfId="4" applyFill="1" applyBorder="1" applyAlignment="1">
      <alignment horizontal="centerContinuous" vertical="center"/>
    </xf>
    <xf numFmtId="0" fontId="7" fillId="3" borderId="67" xfId="0" applyFont="1" applyFill="1" applyBorder="1" applyAlignment="1">
      <alignment horizontal="centerContinuous" vertical="center"/>
    </xf>
    <xf numFmtId="0" fontId="24" fillId="3" borderId="68" xfId="0" applyFont="1" applyFill="1" applyBorder="1" applyAlignment="1">
      <alignment horizontal="center" vertical="center"/>
    </xf>
    <xf numFmtId="0" fontId="7" fillId="3" borderId="69" xfId="0" applyFont="1" applyFill="1" applyBorder="1" applyAlignment="1">
      <alignment horizontal="centerContinuous" vertical="center"/>
    </xf>
    <xf numFmtId="0" fontId="7" fillId="3" borderId="53" xfId="0" applyFont="1" applyFill="1" applyBorder="1" applyAlignment="1">
      <alignment horizontal="centerContinuous" vertical="center"/>
    </xf>
    <xf numFmtId="0" fontId="20" fillId="4" borderId="60" xfId="0" applyFont="1" applyFill="1" applyBorder="1" applyAlignment="1">
      <alignment horizontal="center" vertical="center"/>
    </xf>
    <xf numFmtId="0" fontId="20" fillId="4" borderId="62" xfId="0" applyFont="1" applyFill="1" applyBorder="1" applyAlignment="1">
      <alignment horizontal="center" vertical="center"/>
    </xf>
    <xf numFmtId="4" fontId="19" fillId="0" borderId="16" xfId="0" applyNumberFormat="1" applyFont="1" applyBorder="1" applyAlignment="1">
      <alignment horizontal="center" vertical="center"/>
    </xf>
    <xf numFmtId="4" fontId="19" fillId="0" borderId="18" xfId="0" applyNumberFormat="1" applyFont="1" applyBorder="1" applyAlignment="1">
      <alignment horizontal="center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4" borderId="37" xfId="0" applyFont="1" applyFill="1" applyBorder="1" applyAlignment="1">
      <alignment horizontal="center" vertical="center"/>
    </xf>
    <xf numFmtId="4" fontId="18" fillId="5" borderId="10" xfId="0" applyNumberFormat="1" applyFont="1" applyFill="1" applyBorder="1" applyAlignment="1">
      <alignment horizontal="center" vertical="center"/>
    </xf>
    <xf numFmtId="4" fontId="18" fillId="5" borderId="16" xfId="0" applyNumberFormat="1" applyFont="1" applyFill="1" applyBorder="1" applyAlignment="1">
      <alignment horizontal="center" vertical="center"/>
    </xf>
    <xf numFmtId="4" fontId="18" fillId="5" borderId="11" xfId="0" applyNumberFormat="1" applyFont="1" applyFill="1" applyBorder="1" applyAlignment="1">
      <alignment horizontal="center" vertical="center"/>
    </xf>
    <xf numFmtId="4" fontId="18" fillId="5" borderId="14" xfId="0" applyNumberFormat="1" applyFont="1" applyFill="1" applyBorder="1" applyAlignment="1">
      <alignment horizontal="center" vertical="center"/>
    </xf>
    <xf numFmtId="4" fontId="18" fillId="5" borderId="18" xfId="0" applyNumberFormat="1" applyFont="1" applyFill="1" applyBorder="1" applyAlignment="1">
      <alignment horizontal="center" vertical="center"/>
    </xf>
    <xf numFmtId="4" fontId="18" fillId="5" borderId="15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Continuous" vertical="center"/>
    </xf>
    <xf numFmtId="0" fontId="24" fillId="3" borderId="19" xfId="0" applyFont="1" applyFill="1" applyBorder="1" applyAlignment="1">
      <alignment horizontal="centerContinuous" vertical="center"/>
    </xf>
    <xf numFmtId="0" fontId="24" fillId="3" borderId="20" xfId="0" applyFont="1" applyFill="1" applyBorder="1" applyAlignment="1">
      <alignment horizontal="centerContinuous" vertical="center"/>
    </xf>
    <xf numFmtId="0" fontId="21" fillId="0" borderId="0" xfId="4" applyAlignment="1">
      <alignment horizontal="centerContinuous"/>
    </xf>
    <xf numFmtId="4" fontId="20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7" fillId="3" borderId="29" xfId="0" applyFont="1" applyFill="1" applyBorder="1" applyAlignment="1">
      <alignment horizontal="center" vertical="distributed" textRotation="90"/>
    </xf>
    <xf numFmtId="0" fontId="0" fillId="0" borderId="49" xfId="0" applyBorder="1" applyAlignment="1">
      <alignment horizontal="center" vertical="distributed"/>
    </xf>
    <xf numFmtId="0" fontId="20" fillId="3" borderId="5" xfId="0" applyFont="1" applyFill="1" applyBorder="1" applyAlignment="1">
      <alignment horizontal="center" vertical="center" textRotation="90" wrapText="1"/>
    </xf>
    <xf numFmtId="0" fontId="0" fillId="0" borderId="59" xfId="0" applyBorder="1" applyAlignment="1">
      <alignment horizontal="center" vertical="center" textRotation="90" wrapText="1"/>
    </xf>
    <xf numFmtId="166" fontId="1" fillId="0" borderId="10" xfId="0" applyNumberFormat="1" applyFont="1" applyBorder="1" applyAlignment="1">
      <alignment horizontal="right" vertical="center"/>
    </xf>
    <xf numFmtId="166" fontId="1" fillId="0" borderId="12" xfId="0" applyNumberFormat="1" applyFont="1" applyBorder="1" applyAlignment="1">
      <alignment horizontal="right" vertical="center"/>
    </xf>
    <xf numFmtId="166" fontId="1" fillId="0" borderId="14" xfId="0" applyNumberFormat="1" applyFont="1" applyBorder="1" applyAlignment="1">
      <alignment horizontal="right" vertical="center"/>
    </xf>
    <xf numFmtId="4" fontId="1" fillId="0" borderId="17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8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4" fontId="1" fillId="0" borderId="16" xfId="0" applyNumberFormat="1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47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136</v>
      </c>
      <c r="C2" s="3"/>
    </row>
    <row r="4" spans="2:3" x14ac:dyDescent="0.25">
      <c r="B4" s="267" t="s">
        <v>126</v>
      </c>
      <c r="C4" s="268"/>
    </row>
    <row r="5" spans="2:3" x14ac:dyDescent="0.25">
      <c r="B5" s="269" t="s">
        <v>189</v>
      </c>
      <c r="C5" s="269"/>
    </row>
    <row r="6" spans="2:3" x14ac:dyDescent="0.25">
      <c r="B6" s="269" t="s">
        <v>190</v>
      </c>
      <c r="C6" s="269"/>
    </row>
    <row r="8" spans="2:3" x14ac:dyDescent="0.25">
      <c r="B8" s="12" t="s">
        <v>172</v>
      </c>
      <c r="C8" s="169"/>
    </row>
    <row r="9" spans="2:3" x14ac:dyDescent="0.25">
      <c r="B9" s="248" t="s">
        <v>1</v>
      </c>
    </row>
    <row r="10" spans="2:3" x14ac:dyDescent="0.25">
      <c r="B10" t="s">
        <v>22</v>
      </c>
    </row>
    <row r="14" spans="2:3" x14ac:dyDescent="0.25">
      <c r="B14" s="12" t="s">
        <v>137</v>
      </c>
      <c r="C14" s="169"/>
    </row>
    <row r="15" spans="2:3" x14ac:dyDescent="0.25">
      <c r="B15" s="248" t="s">
        <v>140</v>
      </c>
      <c r="C15" s="209" t="str">
        <f>'Test Utils'!C4</f>
        <v>OK</v>
      </c>
    </row>
    <row r="16" spans="2:3" x14ac:dyDescent="0.25">
      <c r="B16" s="248" t="s">
        <v>92</v>
      </c>
      <c r="C16" s="209" t="str">
        <f ca="1">'Table Formatting'!C4</f>
        <v>ERROR</v>
      </c>
    </row>
    <row r="21" spans="5:5" x14ac:dyDescent="0.25">
      <c r="E21" s="209"/>
    </row>
  </sheetData>
  <conditionalFormatting sqref="C15">
    <cfRule type="cellIs" dxfId="146" priority="1" stopIfTrue="1" operator="equal">
      <formula>"OK"</formula>
    </cfRule>
    <cfRule type="cellIs" dxfId="145" priority="2" stopIfTrue="1" operator="equal">
      <formula>"ERROR"</formula>
    </cfRule>
  </conditionalFormatting>
  <conditionalFormatting sqref="C16">
    <cfRule type="cellIs" dxfId="144" priority="3" stopIfTrue="1" operator="equal">
      <formula>"OK"</formula>
    </cfRule>
    <cfRule type="cellIs" dxfId="143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128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04" zoomScaleNormal="145" workbookViewId="0">
      <selection activeCell="C17" sqref="C17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60" t="s">
        <v>173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8" t="s">
        <v>117</v>
      </c>
      <c r="C12" s="209" t="e">
        <f ca="1">G16</f>
        <v>#NAME?</v>
      </c>
    </row>
    <row r="14" spans="2:22" ht="18.75" x14ac:dyDescent="0.3">
      <c r="B14" s="79" t="s">
        <v>77</v>
      </c>
      <c r="C14" s="80"/>
      <c r="D14" s="80"/>
      <c r="F14" s="79" t="s">
        <v>117</v>
      </c>
      <c r="G14" s="80"/>
      <c r="H14" s="80"/>
      <c r="I14" s="80"/>
      <c r="J14" s="80"/>
      <c r="K14" s="80"/>
      <c r="L14" s="80"/>
      <c r="M14" s="80"/>
      <c r="N14" s="80"/>
      <c r="O14" s="80"/>
      <c r="Q14" s="79" t="s">
        <v>119</v>
      </c>
      <c r="R14" s="80"/>
      <c r="S14" s="80"/>
      <c r="T14" s="80"/>
      <c r="U14" s="80"/>
      <c r="V14" s="80"/>
    </row>
    <row r="16" spans="2:22" x14ac:dyDescent="0.25">
      <c r="B16" s="78" t="s">
        <v>3</v>
      </c>
      <c r="C16" s="70" t="str" cm="1">
        <f t="array" ref="C16">_xll.d.Curve_Create("ExampleCurve",B19:C22,B26:B31,C26:C31)</f>
        <v>DayCountConvention not set in parameters.</v>
      </c>
      <c r="D16" s="26"/>
      <c r="F16" s="60" t="s">
        <v>138</v>
      </c>
      <c r="G16" s="209" t="e" cm="1">
        <f t="array" aca="1" ref="G16" ca="1">_xll.d.Logic_And(I29:I39)</f>
        <v>#NAME?</v>
      </c>
    </row>
    <row r="17" spans="2:19" x14ac:dyDescent="0.25">
      <c r="Q17" s="27" t="s">
        <v>171</v>
      </c>
      <c r="R17" s="27"/>
      <c r="S17" s="27"/>
    </row>
    <row r="18" spans="2:19" x14ac:dyDescent="0.25">
      <c r="B18" s="12" t="s">
        <v>61</v>
      </c>
      <c r="C18" s="169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45" t="s">
        <v>88</v>
      </c>
      <c r="R18" s="246" t="s">
        <v>89</v>
      </c>
      <c r="S18" s="247" t="s">
        <v>90</v>
      </c>
    </row>
    <row r="19" spans="2:19" x14ac:dyDescent="0.25">
      <c r="B19" s="86" t="s">
        <v>32</v>
      </c>
      <c r="C19" s="170" t="s">
        <v>33</v>
      </c>
      <c r="F19" s="235"/>
      <c r="G19" s="234" t="s">
        <v>83</v>
      </c>
      <c r="H19" s="231"/>
      <c r="I19" s="232"/>
      <c r="J19" s="234" t="s">
        <v>84</v>
      </c>
      <c r="K19" s="231"/>
      <c r="L19" s="232"/>
      <c r="M19" s="234" t="s">
        <v>85</v>
      </c>
      <c r="N19" s="231"/>
      <c r="O19" s="232"/>
      <c r="Q19" s="243" t="e" cm="1">
        <f t="array" ref="Q19">_xll.d.Curve_GetZeroRates($C$16,$F21,"NACP")</f>
        <v>#VALUE!</v>
      </c>
      <c r="R19" s="244" t="s">
        <v>87</v>
      </c>
      <c r="S19" s="230" t="e" cm="1">
        <f t="array" aca="1" ref="S19" ca="1">_xll.d.Logic_Equal(Q19,R19)</f>
        <v>#NAME?</v>
      </c>
    </row>
    <row r="20" spans="2:19" x14ac:dyDescent="0.25">
      <c r="B20" s="171" t="s">
        <v>76</v>
      </c>
      <c r="C20" s="172" t="s">
        <v>73</v>
      </c>
      <c r="F20" s="236" t="s">
        <v>35</v>
      </c>
      <c r="G20" s="237" t="s">
        <v>78</v>
      </c>
      <c r="H20" s="238" t="s">
        <v>79</v>
      </c>
      <c r="I20" s="239" t="s">
        <v>90</v>
      </c>
      <c r="J20" s="237" t="s">
        <v>78</v>
      </c>
      <c r="K20" s="238" t="s">
        <v>79</v>
      </c>
      <c r="L20" s="239" t="s">
        <v>90</v>
      </c>
      <c r="M20" s="237" t="s">
        <v>78</v>
      </c>
      <c r="N20" s="238" t="s">
        <v>79</v>
      </c>
      <c r="O20" s="239" t="s">
        <v>90</v>
      </c>
    </row>
    <row r="21" spans="2:19" x14ac:dyDescent="0.25">
      <c r="B21" s="173" t="s">
        <v>74</v>
      </c>
      <c r="C21" s="174" t="s">
        <v>75</v>
      </c>
      <c r="E21" s="177"/>
      <c r="F21" s="18">
        <f>B27</f>
        <v>44593</v>
      </c>
      <c r="G21" s="240">
        <f>-LN(C27)/YEARFRAC($B$26,F21,3)</f>
        <v>0.11833459956542031</v>
      </c>
      <c r="H21" s="240" t="e">
        <f t="array" ref="H21:H25">_xll.d.Curve_GetZeroRates($C$16,F21:F25)</f>
        <v>#VALUE!</v>
      </c>
      <c r="I21" s="233" t="e" cm="1">
        <f t="array" aca="1" ref="I21" ca="1">_xll.d.Logic_Equal(G21,H21)</f>
        <v>#NAME?</v>
      </c>
      <c r="J21" s="240">
        <f>12*($C27^(-1/(12*YEARFRAC($B$26,$F21,3)))-1)</f>
        <v>0.11891998374379664</v>
      </c>
      <c r="K21" s="240" t="e" cm="1">
        <f t="array" ref="K21">_xll.d.Curve_GetZeroRates($C$16,$F21,"NACM")</f>
        <v>#VALUE!</v>
      </c>
      <c r="L21" s="233" t="e" cm="1">
        <f t="array" aca="1" ref="L21" ca="1">_xll.d.Logic_Equal(J21,K21)</f>
        <v>#NAME?</v>
      </c>
      <c r="M21" s="240">
        <f>4*($C27^(-1/(4*YEARFRAC($B$26,$F21,3)))-1)</f>
        <v>0.12010237358908604</v>
      </c>
      <c r="N21" s="240" t="e" cm="1">
        <f t="array" ref="N21">_xll.d.Curve_GetZeroRates($C$16,$F21,"NACQ")</f>
        <v>#VALUE!</v>
      </c>
      <c r="O21" s="233" t="e" cm="1">
        <f t="array" aca="1" ref="O21" ca="1">_xll.d.Logic_Equal(M21,N21)</f>
        <v>#NAME?</v>
      </c>
    </row>
    <row r="22" spans="2:19" x14ac:dyDescent="0.25">
      <c r="B22" s="175" t="s">
        <v>54</v>
      </c>
      <c r="C22" s="176" t="s">
        <v>91</v>
      </c>
      <c r="F22" s="18">
        <f>B28</f>
        <v>44621</v>
      </c>
      <c r="G22" s="241">
        <f>-LN(C28)/YEARFRAC($B$26,F22,3)</f>
        <v>0.12498285035414584</v>
      </c>
      <c r="H22" s="241" t="e">
        <v>#VALUE!</v>
      </c>
      <c r="I22" s="230" t="e" cm="1">
        <f t="array" aca="1" ref="I22" ca="1">_xll.d.Logic_Equal(G22,H22)</f>
        <v>#NAME?</v>
      </c>
      <c r="J22" s="241">
        <f>12*($C28^(-1/(12*YEARFRAC($B$26,$F22,3)))-1)</f>
        <v>0.12563597891789247</v>
      </c>
      <c r="K22" s="241" t="e" cm="1">
        <f t="array" ref="K22">_xll.d.Curve_GetZeroRates($C$16,$F22,"NACM")</f>
        <v>#VALUE!</v>
      </c>
      <c r="L22" s="230" t="e" cm="1">
        <f t="array" aca="1" ref="L22" ca="1">_xll.d.Logic_Equal(J22,K22)</f>
        <v>#NAME?</v>
      </c>
      <c r="M22" s="241">
        <f>4*($C28^(-1/(4*YEARFRAC($B$26,$F22,3)))-1)</f>
        <v>0.12695593600029031</v>
      </c>
      <c r="N22" s="241" t="e" cm="1">
        <f t="array" ref="N22">_xll.d.Curve_GetZeroRates($C$16,$F22,"NACQ")</f>
        <v>#VALUE!</v>
      </c>
      <c r="O22" s="230" t="e" cm="1">
        <f t="array" aca="1" ref="O22" ca="1">_xll.d.Logic_Equal(M22,N22)</f>
        <v>#NAME?</v>
      </c>
    </row>
    <row r="23" spans="2:19" x14ac:dyDescent="0.25">
      <c r="F23" s="18">
        <f>B29</f>
        <v>44652</v>
      </c>
      <c r="G23" s="241">
        <f>-LN(C29)/YEARFRAC($B$26,F23,3)</f>
        <v>0.12352900813242923</v>
      </c>
      <c r="H23" s="241" t="e">
        <v>#VALUE!</v>
      </c>
      <c r="I23" s="230" t="e" cm="1">
        <f t="array" aca="1" ref="I23" ca="1">_xll.d.Logic_Equal(G23,H23)</f>
        <v>#NAME?</v>
      </c>
      <c r="J23" s="241">
        <f>12*($C29^(-1/(12*YEARFRAC($B$26,$F23,3)))-1)</f>
        <v>0.12416700444279183</v>
      </c>
      <c r="K23" s="241" t="e" cm="1">
        <f t="array" ref="K23">_xll.d.Curve_GetZeroRates($C$16,$F23,"NACM")</f>
        <v>#VALUE!</v>
      </c>
      <c r="L23" s="230" t="e" cm="1">
        <f t="array" aca="1" ref="L23" ca="1">_xll.d.Logic_Equal(J23,K23)</f>
        <v>#NAME?</v>
      </c>
      <c r="M23" s="241">
        <f>4*($C29^(-1/(4*YEARFRAC($B$26,$F23,3)))-1)</f>
        <v>0.12545622286335512</v>
      </c>
      <c r="N23" s="241" t="e" cm="1">
        <f t="array" ref="N23">_xll.d.Curve_GetZeroRates($C$16,$F23,"NACQ")</f>
        <v>#VALUE!</v>
      </c>
      <c r="O23" s="230" t="e" cm="1">
        <f t="array" aca="1" ref="O23" ca="1">_xll.d.Logic_Equal(M23,N23)</f>
        <v>#NAME?</v>
      </c>
    </row>
    <row r="24" spans="2:19" x14ac:dyDescent="0.25">
      <c r="E24" s="10"/>
      <c r="F24" s="18">
        <f>B30</f>
        <v>44682</v>
      </c>
      <c r="G24" s="241">
        <f>-LN(C30)/YEARFRAC($B$26,F24,3)</f>
        <v>0.12416689999910947</v>
      </c>
      <c r="H24" s="241" t="e">
        <v>#VALUE!</v>
      </c>
      <c r="I24" s="230" t="e" cm="1">
        <f t="array" aca="1" ref="I24" ca="1">_xll.d.Logic_Equal(G24,H24)</f>
        <v>#NAME?</v>
      </c>
      <c r="J24" s="241">
        <f>12*($C30^(-1/(12*YEARFRAC($B$26,$F24,3)))-1)</f>
        <v>0.12481151386647849</v>
      </c>
      <c r="K24" s="241" t="e" cm="1">
        <f t="array" ref="K24">_xll.d.Curve_GetZeroRates($C$16,$F24,"NACM")</f>
        <v>#VALUE!</v>
      </c>
      <c r="L24" s="230" t="e" cm="1">
        <f t="array" aca="1" ref="L24" ca="1">_xll.d.Logic_Equal(J24,K24)</f>
        <v>#NAME?</v>
      </c>
      <c r="M24" s="241">
        <f>4*($C30^(-1/(4*YEARFRAC($B$26,$F24,3)))-1)</f>
        <v>0.12611417406740255</v>
      </c>
      <c r="N24" s="241" t="e" cm="1">
        <f t="array" ref="N24">_xll.d.Curve_GetZeroRates($C$16,$F24,"NACQ")</f>
        <v>#VALUE!</v>
      </c>
      <c r="O24" s="230" t="e" cm="1">
        <f t="array" aca="1" ref="O24" ca="1">_xll.d.Logic_Equal(M24,N24)</f>
        <v>#NAME?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42">
        <f>-LN(C31)/YEARFRAC($B$26,F25,3)</f>
        <v>0.11950895023574995</v>
      </c>
      <c r="H25" s="242" t="e">
        <v>#VALUE!</v>
      </c>
      <c r="I25" s="230" t="e" cm="1">
        <f t="array" aca="1" ref="I25" ca="1">_xll.d.Logic_Equal(G25,H25)</f>
        <v>#NAME?</v>
      </c>
      <c r="J25" s="242">
        <f>12*($C31^(-1/(12*YEARFRAC($B$26,$F25,3)))-1)</f>
        <v>0.12010603026150424</v>
      </c>
      <c r="K25" s="242" t="e" cm="1">
        <f t="array" ref="K25">_xll.d.Curve_GetZeroRates($C$16,$F25,"NACM")</f>
        <v>#VALUE!</v>
      </c>
      <c r="L25" s="230" t="e" cm="1">
        <f t="array" aca="1" ref="L25" ca="1">_xll.d.Logic_Equal(J25,K25)</f>
        <v>#NAME?</v>
      </c>
      <c r="M25" s="242">
        <f>4*($C31^(-1/(4*YEARFRAC($B$26,$F25,3)))-1)</f>
        <v>0.1213121624159994</v>
      </c>
      <c r="N25" s="242" t="e" cm="1">
        <f t="array" ref="N25">_xll.d.Curve_GetZeroRates($C$16,$F25,"NACQ")</f>
        <v>#VALUE!</v>
      </c>
      <c r="O25" s="230" t="e" cm="1">
        <f t="array" aca="1" ref="O25" ca="1">_xll.d.Logic_Equal(M25,N25)</f>
        <v>#NAME?</v>
      </c>
    </row>
    <row r="26" spans="2:19" x14ac:dyDescent="0.25">
      <c r="B26" s="17">
        <v>44562</v>
      </c>
      <c r="C26" s="83">
        <v>1</v>
      </c>
      <c r="E26" s="8"/>
    </row>
    <row r="27" spans="2:19" x14ac:dyDescent="0.25">
      <c r="B27" s="18">
        <v>44593</v>
      </c>
      <c r="C27" s="84">
        <v>0.99</v>
      </c>
      <c r="E27" s="8"/>
      <c r="F27" s="82" t="s">
        <v>2</v>
      </c>
      <c r="H27" s="81" t="s">
        <v>82</v>
      </c>
    </row>
    <row r="28" spans="2:19" x14ac:dyDescent="0.25">
      <c r="B28" s="18">
        <v>44621</v>
      </c>
      <c r="C28" s="84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84">
        <v>0.97</v>
      </c>
      <c r="F29" s="17">
        <f>B26</f>
        <v>44562</v>
      </c>
      <c r="G29" s="56">
        <v>1</v>
      </c>
      <c r="H29" s="56" t="e" cm="1">
        <f t="array" ref="H29">_xll.d.Curve_GetDiscountFactors($C$16,F29)</f>
        <v>#VALUE!</v>
      </c>
      <c r="I29" s="230" t="e" cm="1">
        <f t="array" aca="1" ref="I29" ca="1">_xll.d.Logic_Equal(G29,H29)</f>
        <v>#NAME?</v>
      </c>
    </row>
    <row r="30" spans="2:19" x14ac:dyDescent="0.25">
      <c r="B30" s="18">
        <v>44682</v>
      </c>
      <c r="C30" s="84">
        <v>0.96</v>
      </c>
      <c r="F30" s="228">
        <v>44576</v>
      </c>
      <c r="G30" s="229">
        <f>EXP((LN(C27)-LN(C26))/((B27-B26)/365)*((F30-B26)/365)+LN(C26))</f>
        <v>0.99547142371128639</v>
      </c>
      <c r="H30" s="229" t="e" cm="1">
        <f t="array" ref="H30">_xll.d.Curve_GetDiscountFactors($C$16,F30)</f>
        <v>#VALUE!</v>
      </c>
      <c r="I30" s="230" t="e" cm="1">
        <f t="array" aca="1" ref="I30" ca="1">_xll.d.Logic_Equal(G30,H30)</f>
        <v>#NAME?</v>
      </c>
    </row>
    <row r="31" spans="2:19" x14ac:dyDescent="0.25">
      <c r="B31" s="19">
        <v>46022</v>
      </c>
      <c r="C31" s="85">
        <v>0.62</v>
      </c>
      <c r="F31" s="18">
        <f>B27</f>
        <v>44593</v>
      </c>
      <c r="G31" s="57">
        <f>EXP((LN(C27)-LN(C26))/((B27-B26)/365)*((F31-B26)/365)+LN(C26))</f>
        <v>0.99</v>
      </c>
      <c r="H31" s="57" t="e" cm="1">
        <f t="array" ref="H31">_xll.d.Curve_GetDiscountFactors($C$16,F31)</f>
        <v>#VALUE!</v>
      </c>
      <c r="I31" s="230" t="e" cm="1">
        <f t="array" aca="1" ref="I31" ca="1">_xll.d.Logic_Equal(G31,H31)</f>
        <v>#NAME?</v>
      </c>
    </row>
    <row r="32" spans="2:19" x14ac:dyDescent="0.25">
      <c r="F32" s="228">
        <v>44607</v>
      </c>
      <c r="G32" s="229">
        <f>EXP((LN(C28)-LN(C27))/((B28-B27)/365)*((F32-B27)/365)+LN(C27))</f>
        <v>0.98498730956292024</v>
      </c>
      <c r="H32" s="229" t="e" cm="1">
        <f t="array" ref="H32">_xll.d.Curve_GetDiscountFactors($C$16,F32)</f>
        <v>#VALUE!</v>
      </c>
      <c r="I32" s="230" t="e" cm="1">
        <f t="array" aca="1" ref="I32" ca="1">_xll.d.Logic_Equal(G32,H32)</f>
        <v>#NAME?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t="e" cm="1">
        <f t="array" ref="H33">_xll.d.Curve_GetDiscountFactors($C$16,F33)</f>
        <v>#VALUE!</v>
      </c>
      <c r="I33" s="230" t="e" cm="1">
        <f t="array" aca="1" ref="I33" ca="1">_xll.d.Logic_Equal(G33,H33)</f>
        <v>#NAME?</v>
      </c>
    </row>
    <row r="34" spans="2:9" x14ac:dyDescent="0.25">
      <c r="F34" s="228">
        <v>44635</v>
      </c>
      <c r="G34" s="229">
        <f>EXP((LN(C29)-LN(C28))/((B29-B28)/365)*((F34-B28)/365)+LN(C28))</f>
        <v>0.97547116833738268</v>
      </c>
      <c r="H34" s="229" t="e" cm="1">
        <f t="array" ref="H34">_xll.d.Curve_GetDiscountFactors($C$16,F34)</f>
        <v>#VALUE!</v>
      </c>
      <c r="I34" s="230" t="e" cm="1">
        <f t="array" aca="1" ref="I34" ca="1">_xll.d.Logic_Equal(G34,H34)</f>
        <v>#NAME?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t="e" cm="1">
        <f t="array" ref="H35">_xll.d.Curve_GetDiscountFactors($C$16,F35)</f>
        <v>#VALUE!</v>
      </c>
      <c r="I35" s="230" t="e" cm="1">
        <f t="array" aca="1" ref="I35" ca="1">_xll.d.Logic_Equal(G35,H35)</f>
        <v>#NAME?</v>
      </c>
    </row>
    <row r="36" spans="2:9" x14ac:dyDescent="0.25">
      <c r="F36" s="228">
        <v>44666</v>
      </c>
      <c r="G36" s="229">
        <f>EXP((LN(C30)-LN(C29))/((B30-B29)/365)*((F36-B29)/365)+LN(C29))</f>
        <v>0.96532043596444328</v>
      </c>
      <c r="H36" s="229" t="e" cm="1">
        <f t="array" ref="H36">_xll.d.Curve_GetDiscountFactors($C$16,F36)</f>
        <v>#VALUE!</v>
      </c>
      <c r="I36" s="230" t="e" cm="1">
        <f t="array" aca="1" ref="I36" ca="1">_xll.d.Logic_Equal(G36,H36)</f>
        <v>#NAME?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t="e" cm="1">
        <f t="array" ref="H37">_xll.d.Curve_GetDiscountFactors($C$16,F37)</f>
        <v>#VALUE!</v>
      </c>
      <c r="I37" s="230" t="e" cm="1">
        <f t="array" aca="1" ref="I37" ca="1">_xll.d.Logic_Equal(G37,H37)</f>
        <v>#NAME?</v>
      </c>
    </row>
    <row r="38" spans="2:9" x14ac:dyDescent="0.25">
      <c r="E38" s="5"/>
      <c r="F38" s="228">
        <v>45107</v>
      </c>
      <c r="G38" s="229">
        <f>EXP((LN(C31)-LN(C30))/((B31-B30)/365)*((F38-B30)/365)+LN(C30))</f>
        <v>0.8356958461194135</v>
      </c>
      <c r="H38" s="229" t="e" cm="1">
        <f t="array" ref="H38">_xll.d.Curve_GetDiscountFactors($C$16,F38)</f>
        <v>#VALUE!</v>
      </c>
      <c r="I38" s="230" t="e" cm="1">
        <f t="array" aca="1" ref="I38" ca="1">_xll.d.Logic_Equal(G38,H38)</f>
        <v>#NAME?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t="e" cm="1">
        <f t="array" ref="H39">_xll.d.Curve_GetDiscountFactors($C$16,F39)</f>
        <v>#VALUE!</v>
      </c>
      <c r="I39" s="230" t="e" cm="1">
        <f t="array" aca="1" ref="I39" ca="1">_xll.d.Logic_Equal(G39,H39)</f>
        <v>#NAME?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42" priority="11" stopIfTrue="1" operator="equal">
      <formula>"OK"</formula>
    </cfRule>
    <cfRule type="cellIs" dxfId="141" priority="12" stopIfTrue="1" operator="equal">
      <formula>"ERROR"</formula>
    </cfRule>
  </conditionalFormatting>
  <conditionalFormatting sqref="G16">
    <cfRule type="cellIs" dxfId="140" priority="9" stopIfTrue="1" operator="equal">
      <formula>"OK"</formula>
    </cfRule>
    <cfRule type="cellIs" dxfId="139" priority="10" stopIfTrue="1" operator="equal">
      <formula>"ERROR"</formula>
    </cfRule>
  </conditionalFormatting>
  <conditionalFormatting sqref="C12">
    <cfRule type="cellIs" dxfId="138" priority="13" stopIfTrue="1" operator="equal">
      <formula>"OK"</formula>
    </cfRule>
    <cfRule type="cellIs" dxfId="137" priority="14" stopIfTrue="1" operator="equal">
      <formula>"ERROR"</formula>
    </cfRule>
  </conditionalFormatting>
  <conditionalFormatting sqref="I21:I25">
    <cfRule type="cellIs" dxfId="136" priority="7" stopIfTrue="1" operator="equal">
      <formula>"OK"</formula>
    </cfRule>
    <cfRule type="cellIs" dxfId="135" priority="8" stopIfTrue="1" operator="equal">
      <formula>"ERROR"</formula>
    </cfRule>
  </conditionalFormatting>
  <conditionalFormatting sqref="L21:L25">
    <cfRule type="cellIs" dxfId="134" priority="5" stopIfTrue="1" operator="equal">
      <formula>"OK"</formula>
    </cfRule>
    <cfRule type="cellIs" dxfId="133" priority="6" stopIfTrue="1" operator="equal">
      <formula>"ERROR"</formula>
    </cfRule>
  </conditionalFormatting>
  <conditionalFormatting sqref="O21:O25">
    <cfRule type="cellIs" dxfId="132" priority="3" stopIfTrue="1" operator="equal">
      <formula>"OK"</formula>
    </cfRule>
    <cfRule type="cellIs" dxfId="131" priority="4" stopIfTrue="1" operator="equal">
      <formula>"ERROR"</formula>
    </cfRule>
  </conditionalFormatting>
  <conditionalFormatting sqref="S19">
    <cfRule type="cellIs" dxfId="130" priority="1" stopIfTrue="1" operator="equal">
      <formula>"OK"</formula>
    </cfRule>
    <cfRule type="cellIs" dxfId="12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48"/>
  <sheetViews>
    <sheetView showGridLines="0" tabSelected="1" zoomScale="114" workbookViewId="0">
      <selection activeCell="H7" sqref="H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1" width="17.8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str" cm="1">
        <f t="array" ref="D6">_xll.d.Curve_SingleCurveBootstrap("ZARCurve",C12,B23:E28,B30:E33,B35:E38)</f>
        <v>@@ZARCurve::15:59:54</v>
      </c>
      <c r="E6" s="26"/>
      <c r="M6" s="47" t="s">
        <v>41</v>
      </c>
      <c r="N6" s="47"/>
      <c r="O6" s="70" t="e" cm="1">
        <f t="array" ref="O6">_xll.d.Curve_SingleCurveBootstrap("USDOIS",N12,M23:P25,M27:P48)</f>
        <v>#VALUE!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277">
        <f>C12</f>
        <v>44713</v>
      </c>
      <c r="H12" s="284">
        <v>1</v>
      </c>
      <c r="I12" s="284" t="e" cm="1">
        <f t="array" ref="I12">_xll.d.Curve_GetDiscountFactors($D$6,G12)</f>
        <v>#VALUE!</v>
      </c>
      <c r="J12" s="284" t="e">
        <f t="shared" ref="J12:J17" si="0">H12-I12</f>
        <v>#VALUE!</v>
      </c>
      <c r="K12" s="285" t="e">
        <f>J12/H12</f>
        <v>#VALUE!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t="e" cm="1">
        <f t="array" aca="1" ref="T12" ca="1">_xll.d.Curve_DF($O$6,R12)</f>
        <v>#NAME?</v>
      </c>
      <c r="U12" s="56" t="e">
        <f t="shared" ref="U12:U17" ca="1" si="1">S12-T12</f>
        <v>#NAME?</v>
      </c>
      <c r="V12" s="64" t="e">
        <f ca="1">U12/S12</f>
        <v>#NAME?</v>
      </c>
    </row>
    <row r="13" spans="2:22" x14ac:dyDescent="0.25">
      <c r="B13" s="42" t="s">
        <v>56</v>
      </c>
      <c r="C13" s="54" t="s">
        <v>47</v>
      </c>
      <c r="E13" s="63"/>
      <c r="F13" s="9"/>
      <c r="G13" s="278">
        <f>EDATE(G12,1)</f>
        <v>44743</v>
      </c>
      <c r="H13" s="280">
        <f>EXP(-D25*YEARFRAC($C$12,G13,3))</f>
        <v>0.99181450701087914</v>
      </c>
      <c r="I13" s="280" t="e" cm="1">
        <f t="array" ref="I13">_xll.d.Curve_GetDiscountFactors($D$6,G13)</f>
        <v>#VALUE!</v>
      </c>
      <c r="J13" s="280" t="e">
        <f t="shared" si="0"/>
        <v>#VALUE!</v>
      </c>
      <c r="K13" s="281" t="e">
        <f t="shared" ref="K13:K14" si="2">J13/H13</f>
        <v>#VALUE!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t="e" cm="1">
        <f t="array" aca="1" ref="T13" ca="1">_xll.d.Curve_DF($O$6,R13)</f>
        <v>#NAME?</v>
      </c>
      <c r="U13" s="57" t="e">
        <f t="shared" ca="1" si="1"/>
        <v>#NAME?</v>
      </c>
      <c r="V13" s="65" t="e">
        <f t="shared" ref="V13" ca="1" si="3">U13/S13</f>
        <v>#NAME?</v>
      </c>
    </row>
    <row r="14" spans="2:22" x14ac:dyDescent="0.25">
      <c r="E14" s="63"/>
      <c r="F14" s="9"/>
      <c r="G14" s="278">
        <f>EDATE(G12,2)</f>
        <v>44774</v>
      </c>
      <c r="H14" s="280">
        <f>EXP(-D26*YEARFRAC($C$12,G14,3))</f>
        <v>0.98342654747456371</v>
      </c>
      <c r="I14" s="280" t="e" cm="1">
        <f t="array" ref="I14">_xll.d.Curve_GetDiscountFactors($D$6,G14)</f>
        <v>#VALUE!</v>
      </c>
      <c r="J14" s="280" t="e">
        <f t="shared" si="0"/>
        <v>#VALUE!</v>
      </c>
      <c r="K14" s="281" t="e">
        <f t="shared" si="2"/>
        <v>#VALUE!</v>
      </c>
      <c r="P14" s="63"/>
      <c r="R14" s="18">
        <v>44685</v>
      </c>
      <c r="S14" s="57">
        <f>EXP(-O26*YEARFRAC($C$12,R14,3))</f>
        <v>1</v>
      </c>
      <c r="T14" s="72" t="e" cm="1">
        <f t="array" aca="1" ref="T14" ca="1">_xll.d.Curve_DF($O$6,R14)</f>
        <v>#NAME?</v>
      </c>
      <c r="U14" s="57" t="e">
        <f t="shared" ca="1" si="1"/>
        <v>#NAME?</v>
      </c>
      <c r="V14" s="65" t="e">
        <f t="shared" ref="V14:V15" ca="1" si="4">U14/S14</f>
        <v>#NAME?</v>
      </c>
    </row>
    <row r="15" spans="2:22" x14ac:dyDescent="0.25">
      <c r="F15" s="9"/>
      <c r="G15" s="278">
        <f>EDATE(G12,3)</f>
        <v>44805</v>
      </c>
      <c r="H15" s="280">
        <f>EXP(-D27*YEARFRAC($C$12,G15,3))</f>
        <v>0.97510952647028781</v>
      </c>
      <c r="I15" s="280" t="e" cm="1">
        <f t="array" ref="I15">_xll.d.Curve_GetDiscountFactors($D$6,G15)</f>
        <v>#VALUE!</v>
      </c>
      <c r="J15" s="280" t="e">
        <f t="shared" si="0"/>
        <v>#VALUE!</v>
      </c>
      <c r="K15" s="281" t="e">
        <f>J15/H15</f>
        <v>#VALUE!</v>
      </c>
      <c r="R15" s="18">
        <f>EDATE(R13,2)</f>
        <v>44716</v>
      </c>
      <c r="S15" s="57">
        <f>EXP(-O27*YEARFRAC($C$12,R15,3))</f>
        <v>1</v>
      </c>
      <c r="T15" s="72" t="e" cm="1">
        <f t="array" aca="1" ref="T15" ca="1">_xll.d.Curve_DF($O$6,R15)</f>
        <v>#NAME?</v>
      </c>
      <c r="U15" s="57" t="e">
        <f t="shared" ca="1" si="1"/>
        <v>#NAME?</v>
      </c>
      <c r="V15" s="65" t="e">
        <f t="shared" ca="1" si="4"/>
        <v>#NAME?</v>
      </c>
    </row>
    <row r="16" spans="2:22" x14ac:dyDescent="0.25">
      <c r="B16" s="60" t="s">
        <v>58</v>
      </c>
      <c r="C16" s="60"/>
      <c r="F16" s="9"/>
      <c r="G16" s="278">
        <f>EDATE(G12,6)</f>
        <v>44896</v>
      </c>
      <c r="H16" s="280">
        <f>EXP(-D28*YEARFRAC($C$12,G16,3))</f>
        <v>0.95109912802471741</v>
      </c>
      <c r="I16" s="280" t="e" cm="1">
        <f t="array" ref="I16">_xll.d.Curve_GetDiscountFactors($D$6,G16)</f>
        <v>#VALUE!</v>
      </c>
      <c r="J16" s="280" t="e">
        <f t="shared" si="0"/>
        <v>#VALUE!</v>
      </c>
      <c r="K16" s="281" t="e">
        <f>J16/H16</f>
        <v>#VALUE!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t="e" cm="1">
        <f t="array" aca="1" ref="T16" ca="1">_xll.d.Curve_DF($O$6,R16)</f>
        <v>#NAME?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279">
        <f>EDATE(G12,9)</f>
        <v>44986</v>
      </c>
      <c r="H17" s="282">
        <f>H16*EXP(-D32*YEARFRAC(G16,G17,3))</f>
        <v>0.92793413813861503</v>
      </c>
      <c r="I17" s="282" t="e" cm="1">
        <f t="array" ref="I17">_xll.d.Curve_GetDiscountFactors($D$6,G17)</f>
        <v>#VALUE!</v>
      </c>
      <c r="J17" s="282" t="e">
        <f t="shared" si="0"/>
        <v>#VALUE!</v>
      </c>
      <c r="K17" s="283" t="e">
        <f>J17/H17</f>
        <v>#VALUE!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t="e" cm="1">
        <f t="array" aca="1" ref="T17" ca="1">_xll.d.Curve_DF($O$6,R17)</f>
        <v>#NAME?</v>
      </c>
      <c r="U17" s="57" t="e">
        <f t="shared" ca="1" si="1"/>
        <v>#NAME?</v>
      </c>
      <c r="V17" s="65" t="e">
        <f ca="1">U17/S17</f>
        <v>#NAME?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t="e" cm="1">
        <f t="array" aca="1" ref="T18" ca="1">_xll.d.Curve_DF($O$6,R18)</f>
        <v>#NAME?</v>
      </c>
      <c r="U18" s="58" t="e">
        <f t="shared" ref="U18" ca="1" si="5">S18-T18</f>
        <v>#NAME?</v>
      </c>
      <c r="V18" s="66" t="e">
        <f ca="1">U18/S18</f>
        <v>#NAME?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t="e" cm="1">
        <f t="array" aca="1" ref="T19" ca="1">_xll.d.Curve_DF(O6,R13)</f>
        <v>#NAME?</v>
      </c>
      <c r="V19" s="8">
        <f>R13-1</f>
        <v>44654</v>
      </c>
      <c r="W19" t="e" cm="1">
        <f t="array" aca="1" ref="W19" ca="1">_xll.d.Curve_DF(O6,V19)</f>
        <v>#NAME?</v>
      </c>
      <c r="Y19" s="8">
        <f>V20-3</f>
        <v>44652</v>
      </c>
      <c r="Z19" t="e" cm="1">
        <f t="array" aca="1" ref="Z19" ca="1">_xll.d.Curve_DF(O6,Y19)</f>
        <v>#NAME?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t="e" cm="1">
        <f t="array" aca="1" ref="S20" ca="1">_xll.d.Curve_GetForwardRate(O6,R13,R20)</f>
        <v>#NAME?</v>
      </c>
      <c r="T20" s="74" t="e" cm="1">
        <f t="array" aca="1" ref="T20" ca="1">_xll.d.Curve_DF(O6,R20)</f>
        <v>#NAME?</v>
      </c>
      <c r="U20" s="76" t="e">
        <f ca="1">-LN(T20/T19)/T22</f>
        <v>#NAME?</v>
      </c>
      <c r="V20" s="8">
        <f>R13</f>
        <v>44655</v>
      </c>
      <c r="W20" t="e" cm="1">
        <f t="array" aca="1" ref="W20" ca="1">_xll.d.Curve_DF(O6,V20)</f>
        <v>#NAME?</v>
      </c>
      <c r="X20" s="77" t="e">
        <f ca="1">-LN(W20/W19)/T22</f>
        <v>#NAME?</v>
      </c>
      <c r="Y20" s="8">
        <f>V20</f>
        <v>44655</v>
      </c>
      <c r="Z20" t="e" cm="1">
        <f t="array" aca="1" ref="Z20" ca="1">_xll.d.Curve_DF(O6,Y20)</f>
        <v>#NAME?</v>
      </c>
      <c r="AA20" s="77" t="e">
        <f ca="1">-LN(Z20/Z19)/T22</f>
        <v>#NAME?</v>
      </c>
    </row>
    <row r="21" spans="2:27" x14ac:dyDescent="0.25">
      <c r="F21" s="9"/>
    </row>
    <row r="22" spans="2:27" x14ac:dyDescent="0.25">
      <c r="F22" s="9"/>
      <c r="T22">
        <f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topLeftCell="A4" zoomScale="114" workbookViewId="0">
      <selection activeCell="D4" sqref="D4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F5" sqref="F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90" t="s">
        <v>191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60" t="s">
        <v>173</v>
      </c>
      <c r="C4" s="209" t="str" cm="1">
        <f t="array" ref="C4">_xll.d.TestUtils_And(C7:C16)</f>
        <v>OK</v>
      </c>
    </row>
    <row r="6" spans="2:23" x14ac:dyDescent="0.25">
      <c r="B6" s="252" t="s">
        <v>10</v>
      </c>
      <c r="C6" s="253" t="s">
        <v>11</v>
      </c>
    </row>
    <row r="7" spans="2:23" x14ac:dyDescent="0.25">
      <c r="B7" s="266" t="s">
        <v>117</v>
      </c>
      <c r="C7" s="209" t="str">
        <f>C21</f>
        <v>OK</v>
      </c>
    </row>
    <row r="8" spans="2:23" x14ac:dyDescent="0.25">
      <c r="B8" s="266" t="s">
        <v>119</v>
      </c>
      <c r="C8" s="209" t="str">
        <f>C43</f>
        <v>OK</v>
      </c>
    </row>
    <row r="9" spans="2:23" x14ac:dyDescent="0.25">
      <c r="B9" s="266" t="s">
        <v>120</v>
      </c>
      <c r="C9" s="209" t="str">
        <f>C65</f>
        <v>OK</v>
      </c>
    </row>
    <row r="10" spans="2:23" x14ac:dyDescent="0.25">
      <c r="B10" s="266" t="s">
        <v>123</v>
      </c>
      <c r="C10" s="209" t="str">
        <f>C87</f>
        <v>OK</v>
      </c>
    </row>
    <row r="11" spans="2:23" x14ac:dyDescent="0.25">
      <c r="B11" s="266" t="s">
        <v>129</v>
      </c>
      <c r="C11" s="209" t="str">
        <f>C109</f>
        <v>OK</v>
      </c>
    </row>
    <row r="12" spans="2:23" x14ac:dyDescent="0.25">
      <c r="B12" s="266" t="s">
        <v>131</v>
      </c>
      <c r="C12" s="209" t="str">
        <f>C131</f>
        <v>OK</v>
      </c>
    </row>
    <row r="13" spans="2:23" x14ac:dyDescent="0.25">
      <c r="B13" s="266" t="s">
        <v>177</v>
      </c>
      <c r="C13" s="209" t="str">
        <f>C153</f>
        <v>OK</v>
      </c>
    </row>
    <row r="14" spans="2:23" x14ac:dyDescent="0.25">
      <c r="B14" s="266" t="s">
        <v>182</v>
      </c>
      <c r="C14" s="209" t="str">
        <f>C175</f>
        <v>OK</v>
      </c>
    </row>
    <row r="15" spans="2:23" x14ac:dyDescent="0.25">
      <c r="B15" s="266" t="s">
        <v>188</v>
      </c>
      <c r="C15" s="209" t="str">
        <f>C197</f>
        <v>OK</v>
      </c>
    </row>
    <row r="16" spans="2:23" x14ac:dyDescent="0.25">
      <c r="B16" s="266" t="s">
        <v>207</v>
      </c>
      <c r="C16" s="209" t="str">
        <f>C219</f>
        <v>OK</v>
      </c>
    </row>
    <row r="17" spans="2:23" x14ac:dyDescent="0.25">
      <c r="B17" s="266"/>
    </row>
    <row r="19" spans="2:23" ht="18.75" x14ac:dyDescent="0.3">
      <c r="B19" s="3" t="s">
        <v>117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60" t="s">
        <v>138</v>
      </c>
      <c r="C21" s="209" t="str" cm="1">
        <f t="array" ref="C21">_xll.d.TestUtils_And(C27,F27,K27,P27)</f>
        <v>OK</v>
      </c>
    </row>
    <row r="23" spans="2:23" x14ac:dyDescent="0.25">
      <c r="B23" t="s">
        <v>198</v>
      </c>
    </row>
    <row r="25" spans="2:23" ht="15.75" x14ac:dyDescent="0.25">
      <c r="B25" s="4" t="s">
        <v>142</v>
      </c>
      <c r="C25" s="4"/>
      <c r="E25" s="4" t="s">
        <v>143</v>
      </c>
      <c r="F25" s="4"/>
      <c r="G25" s="4"/>
      <c r="H25" s="4"/>
      <c r="J25" s="4" t="s">
        <v>144</v>
      </c>
      <c r="K25" s="4"/>
      <c r="L25" s="4"/>
      <c r="M25" s="4"/>
      <c r="O25" s="4" t="s">
        <v>159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60" t="s">
        <v>138</v>
      </c>
      <c r="C27" s="209" t="str" cm="1">
        <f t="array" ref="C27">_xll.d.TestUtils_IsTrue(C32="OK")</f>
        <v>OK</v>
      </c>
      <c r="E27" s="60" t="s">
        <v>138</v>
      </c>
      <c r="F27" s="209" t="str" cm="1">
        <f t="array" ref="F27">_xll.d.TestUtils_IsTrue(E32="OK")</f>
        <v>OK</v>
      </c>
      <c r="J27" s="60" t="s">
        <v>138</v>
      </c>
      <c r="K27" s="209" t="str" cm="1">
        <f t="array" ref="K27">_xll.d.TestUtils_IsTrue(J32="OK")</f>
        <v>OK</v>
      </c>
      <c r="O27" s="60" t="s">
        <v>138</v>
      </c>
      <c r="P27" s="209" t="str" cm="1">
        <f t="array" ref="P27">_xll.d.TestUtils_IsTrue(O32="OK")</f>
        <v>OK</v>
      </c>
    </row>
    <row r="29" spans="2:23" x14ac:dyDescent="0.25">
      <c r="B29" s="226" t="s">
        <v>147</v>
      </c>
      <c r="C29" s="210" t="s">
        <v>192</v>
      </c>
      <c r="E29" s="226" t="s">
        <v>147</v>
      </c>
      <c r="F29" s="210" t="s">
        <v>192</v>
      </c>
      <c r="J29" s="226" t="s">
        <v>147</v>
      </c>
      <c r="K29" s="210" t="s">
        <v>192</v>
      </c>
      <c r="O29" s="226" t="s">
        <v>147</v>
      </c>
      <c r="P29" s="210" t="s">
        <v>192</v>
      </c>
    </row>
    <row r="30" spans="2:23" x14ac:dyDescent="0.25">
      <c r="B30" s="210"/>
    </row>
    <row r="31" spans="2:23" x14ac:dyDescent="0.25">
      <c r="B31" s="227" t="s">
        <v>145</v>
      </c>
      <c r="C31" s="227" t="s">
        <v>146</v>
      </c>
      <c r="E31" s="227" t="s">
        <v>146</v>
      </c>
      <c r="J31" s="227" t="s">
        <v>146</v>
      </c>
      <c r="O31" s="227" t="s">
        <v>146</v>
      </c>
    </row>
    <row r="32" spans="2:23" x14ac:dyDescent="0.25">
      <c r="B32" s="210" t="s">
        <v>141</v>
      </c>
      <c r="C32" s="210" t="str" cm="1">
        <f t="array" ref="C32">_xll.d.TestUtils_And(B32:B35)</f>
        <v>OK</v>
      </c>
      <c r="E32" s="210" t="str" cm="1">
        <f t="array" ref="E32">_xll.d.TestUtils_And(E35:H35)</f>
        <v>OK</v>
      </c>
      <c r="J32" s="210" t="str" cm="1">
        <f t="array" ref="J32">_xll.d.TestUtils_And(J35:M38)</f>
        <v>OK</v>
      </c>
      <c r="O32" s="210" t="str" cm="1">
        <f t="array" ref="O32">_xll.d.TestUtils_And(O35,O37:Q37,S35:S38,U35:W38)</f>
        <v>OK</v>
      </c>
    </row>
    <row r="33" spans="2:23" x14ac:dyDescent="0.25">
      <c r="B33" s="210" t="s">
        <v>141</v>
      </c>
    </row>
    <row r="34" spans="2:23" x14ac:dyDescent="0.25">
      <c r="B34" s="210" t="s">
        <v>141</v>
      </c>
      <c r="E34" s="227" t="s">
        <v>145</v>
      </c>
      <c r="J34" s="82" t="s">
        <v>145</v>
      </c>
      <c r="O34" s="82" t="s">
        <v>145</v>
      </c>
    </row>
    <row r="35" spans="2:23" x14ac:dyDescent="0.25">
      <c r="B35" s="210" t="s">
        <v>141</v>
      </c>
      <c r="E35" s="210" t="s">
        <v>141</v>
      </c>
      <c r="F35" s="210" t="s">
        <v>141</v>
      </c>
      <c r="G35" s="210" t="s">
        <v>141</v>
      </c>
      <c r="H35" s="210" t="s">
        <v>141</v>
      </c>
      <c r="J35" s="210" t="s">
        <v>141</v>
      </c>
      <c r="K35" s="210" t="s">
        <v>141</v>
      </c>
      <c r="L35" s="210" t="s">
        <v>141</v>
      </c>
      <c r="M35" s="210" t="s">
        <v>141</v>
      </c>
      <c r="O35" s="210" t="s">
        <v>141</v>
      </c>
      <c r="R35" s="210"/>
      <c r="S35" s="210" t="s">
        <v>141</v>
      </c>
      <c r="U35" s="210" t="s">
        <v>141</v>
      </c>
      <c r="V35" s="210" t="s">
        <v>141</v>
      </c>
      <c r="W35" s="210" t="s">
        <v>141</v>
      </c>
    </row>
    <row r="36" spans="2:23" x14ac:dyDescent="0.25">
      <c r="J36" s="210" t="s">
        <v>141</v>
      </c>
      <c r="K36" s="210" t="s">
        <v>141</v>
      </c>
      <c r="L36" s="210" t="s">
        <v>141</v>
      </c>
      <c r="M36" s="210" t="s">
        <v>141</v>
      </c>
      <c r="S36" s="210" t="s">
        <v>141</v>
      </c>
      <c r="U36" s="210" t="s">
        <v>141</v>
      </c>
      <c r="V36" s="210" t="s">
        <v>141</v>
      </c>
      <c r="W36" s="210" t="s">
        <v>141</v>
      </c>
    </row>
    <row r="37" spans="2:23" x14ac:dyDescent="0.25">
      <c r="J37" s="210" t="s">
        <v>141</v>
      </c>
      <c r="K37" s="210" t="s">
        <v>141</v>
      </c>
      <c r="L37" s="210" t="s">
        <v>141</v>
      </c>
      <c r="M37" s="210" t="s">
        <v>141</v>
      </c>
      <c r="O37" s="210" t="s">
        <v>141</v>
      </c>
      <c r="P37" s="210" t="s">
        <v>141</v>
      </c>
      <c r="Q37" s="210" t="s">
        <v>141</v>
      </c>
      <c r="S37" s="210" t="s">
        <v>141</v>
      </c>
      <c r="U37" s="210" t="s">
        <v>141</v>
      </c>
      <c r="V37" s="210" t="s">
        <v>141</v>
      </c>
      <c r="W37" s="210" t="s">
        <v>141</v>
      </c>
    </row>
    <row r="38" spans="2:23" x14ac:dyDescent="0.25">
      <c r="C38" s="209"/>
      <c r="J38" s="210" t="s">
        <v>141</v>
      </c>
      <c r="K38" s="210" t="s">
        <v>141</v>
      </c>
      <c r="L38" s="210" t="s">
        <v>141</v>
      </c>
      <c r="M38" s="210" t="s">
        <v>141</v>
      </c>
      <c r="S38" s="210" t="s">
        <v>141</v>
      </c>
      <c r="U38" s="210" t="s">
        <v>141</v>
      </c>
      <c r="V38" s="210" t="s">
        <v>141</v>
      </c>
      <c r="W38" s="210" t="s">
        <v>141</v>
      </c>
    </row>
    <row r="39" spans="2:23" x14ac:dyDescent="0.25">
      <c r="C39" s="209"/>
    </row>
    <row r="41" spans="2:23" ht="18.75" x14ac:dyDescent="0.3">
      <c r="B41" s="3" t="s">
        <v>119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60" t="s">
        <v>138</v>
      </c>
      <c r="C43" s="209" t="str" cm="1">
        <f t="array" ref="C43">_xll.d.TestUtils_And(C49,F49,K49,P49)</f>
        <v>OK</v>
      </c>
    </row>
    <row r="45" spans="2:23" x14ac:dyDescent="0.25">
      <c r="B45" t="s">
        <v>199</v>
      </c>
    </row>
    <row r="47" spans="2:23" ht="15.75" x14ac:dyDescent="0.25">
      <c r="B47" s="4" t="s">
        <v>148</v>
      </c>
      <c r="C47" s="4"/>
      <c r="E47" s="4" t="s">
        <v>149</v>
      </c>
      <c r="F47" s="4"/>
      <c r="G47" s="4"/>
      <c r="H47" s="4"/>
      <c r="J47" s="4" t="s">
        <v>150</v>
      </c>
      <c r="K47" s="4"/>
      <c r="L47" s="4"/>
      <c r="M47" s="4"/>
      <c r="O47" s="4" t="s">
        <v>160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60" t="s">
        <v>138</v>
      </c>
      <c r="C49" s="209" t="str" cm="1">
        <f t="array" ref="C49">_xll.d.TestUtils_IsTrue(C54="ERROR")</f>
        <v>OK</v>
      </c>
      <c r="E49" s="60" t="s">
        <v>138</v>
      </c>
      <c r="F49" s="209" t="str" cm="1">
        <f t="array" ref="F49">_xll.d.TestUtils_IsTrue(E54="ERROR")</f>
        <v>OK</v>
      </c>
      <c r="J49" s="60" t="s">
        <v>138</v>
      </c>
      <c r="K49" s="209" t="str" cm="1">
        <f t="array" ref="K49">_xll.d.TestUtils_IsTrue(J54="ERROR")</f>
        <v>OK</v>
      </c>
      <c r="O49" s="60" t="s">
        <v>138</v>
      </c>
      <c r="P49" s="209" t="str" cm="1">
        <f t="array" ref="P49">_xll.d.TestUtils_IsTrue(O54="ERROR")</f>
        <v>OK</v>
      </c>
    </row>
    <row r="51" spans="2:23" x14ac:dyDescent="0.25">
      <c r="B51" s="226" t="s">
        <v>147</v>
      </c>
      <c r="C51" s="210" t="s">
        <v>192</v>
      </c>
      <c r="E51" s="226" t="s">
        <v>147</v>
      </c>
      <c r="F51" s="210" t="s">
        <v>192</v>
      </c>
      <c r="J51" s="226" t="s">
        <v>147</v>
      </c>
      <c r="K51" s="210" t="s">
        <v>192</v>
      </c>
      <c r="O51" s="226" t="s">
        <v>147</v>
      </c>
      <c r="P51" s="210" t="s">
        <v>192</v>
      </c>
    </row>
    <row r="52" spans="2:23" x14ac:dyDescent="0.25">
      <c r="B52" s="210"/>
    </row>
    <row r="53" spans="2:23" x14ac:dyDescent="0.25">
      <c r="B53" s="227" t="s">
        <v>145</v>
      </c>
      <c r="C53" s="227" t="s">
        <v>146</v>
      </c>
      <c r="E53" s="227" t="s">
        <v>146</v>
      </c>
      <c r="J53" s="227" t="s">
        <v>146</v>
      </c>
      <c r="O53" s="227" t="s">
        <v>146</v>
      </c>
    </row>
    <row r="54" spans="2:23" x14ac:dyDescent="0.25">
      <c r="B54" s="210" t="s">
        <v>141</v>
      </c>
      <c r="C54" s="210" t="str" cm="1">
        <f t="array" ref="C54">_xll.d.TestUtils_And(B54:B57)</f>
        <v>ERROR</v>
      </c>
      <c r="E54" s="210" t="str" cm="1">
        <f t="array" ref="E54">_xll.d.TestUtils_And(E57:H57)</f>
        <v>ERROR</v>
      </c>
      <c r="J54" s="210" t="str" cm="1">
        <f t="array" ref="J54">_xll.d.TestUtils_And(J57:M60)</f>
        <v>ERROR</v>
      </c>
      <c r="O54" s="210" t="str" cm="1">
        <f t="array" ref="O54">_xll.d.TestUtils_And(O57,O59:Q59,S57:S60,U57:W60)</f>
        <v>ERROR</v>
      </c>
    </row>
    <row r="55" spans="2:23" x14ac:dyDescent="0.25">
      <c r="B55" s="210" t="s">
        <v>141</v>
      </c>
    </row>
    <row r="56" spans="2:23" x14ac:dyDescent="0.25">
      <c r="B56" s="210" t="s">
        <v>151</v>
      </c>
      <c r="E56" s="227" t="s">
        <v>145</v>
      </c>
      <c r="J56" s="82" t="s">
        <v>145</v>
      </c>
      <c r="O56" s="82" t="s">
        <v>145</v>
      </c>
    </row>
    <row r="57" spans="2:23" x14ac:dyDescent="0.25">
      <c r="B57" s="210" t="s">
        <v>141</v>
      </c>
      <c r="E57" s="210" t="s">
        <v>141</v>
      </c>
      <c r="F57" s="210" t="s">
        <v>151</v>
      </c>
      <c r="G57" s="210" t="s">
        <v>141</v>
      </c>
      <c r="H57" s="210" t="s">
        <v>141</v>
      </c>
      <c r="J57" s="210" t="s">
        <v>141</v>
      </c>
      <c r="K57" s="210" t="s">
        <v>141</v>
      </c>
      <c r="L57" s="210" t="s">
        <v>141</v>
      </c>
      <c r="M57" s="210" t="s">
        <v>141</v>
      </c>
      <c r="O57" s="210" t="s">
        <v>141</v>
      </c>
      <c r="R57" s="210"/>
      <c r="S57" s="210" t="s">
        <v>141</v>
      </c>
      <c r="U57" s="210" t="s">
        <v>141</v>
      </c>
      <c r="V57" s="210" t="s">
        <v>141</v>
      </c>
      <c r="W57" s="210" t="s">
        <v>141</v>
      </c>
    </row>
    <row r="58" spans="2:23" x14ac:dyDescent="0.25">
      <c r="J58" s="210" t="s">
        <v>141</v>
      </c>
      <c r="K58" s="210" t="s">
        <v>141</v>
      </c>
      <c r="L58" s="210" t="s">
        <v>141</v>
      </c>
      <c r="M58" s="210" t="s">
        <v>141</v>
      </c>
      <c r="S58" s="210" t="s">
        <v>141</v>
      </c>
      <c r="U58" s="210" t="s">
        <v>141</v>
      </c>
      <c r="V58" s="210" t="s">
        <v>141</v>
      </c>
      <c r="W58" s="210" t="s">
        <v>141</v>
      </c>
    </row>
    <row r="59" spans="2:23" x14ac:dyDescent="0.25">
      <c r="J59" s="210" t="s">
        <v>141</v>
      </c>
      <c r="K59" s="210" t="s">
        <v>141</v>
      </c>
      <c r="L59" s="210" t="s">
        <v>151</v>
      </c>
      <c r="M59" s="210" t="s">
        <v>141</v>
      </c>
      <c r="O59" s="210" t="s">
        <v>141</v>
      </c>
      <c r="P59" s="210" t="s">
        <v>151</v>
      </c>
      <c r="Q59" s="210" t="s">
        <v>141</v>
      </c>
      <c r="S59" s="210" t="s">
        <v>141</v>
      </c>
      <c r="U59" s="210" t="s">
        <v>141</v>
      </c>
      <c r="V59" s="210" t="s">
        <v>141</v>
      </c>
      <c r="W59" s="210" t="s">
        <v>141</v>
      </c>
    </row>
    <row r="60" spans="2:23" x14ac:dyDescent="0.25">
      <c r="C60" s="209"/>
      <c r="J60" s="210" t="s">
        <v>141</v>
      </c>
      <c r="K60" s="210" t="s">
        <v>141</v>
      </c>
      <c r="L60" s="210" t="s">
        <v>141</v>
      </c>
      <c r="M60" s="210" t="s">
        <v>141</v>
      </c>
      <c r="S60" s="210" t="s">
        <v>141</v>
      </c>
      <c r="U60" s="210" t="s">
        <v>141</v>
      </c>
      <c r="V60" s="210" t="s">
        <v>141</v>
      </c>
      <c r="W60" s="210" t="s">
        <v>141</v>
      </c>
    </row>
    <row r="63" spans="2:23" ht="18.75" x14ac:dyDescent="0.3">
      <c r="B63" s="3" t="s">
        <v>120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60" t="s">
        <v>138</v>
      </c>
      <c r="C65" s="209" t="str" cm="1">
        <f t="array" ref="C65">_xll.d.TestUtils_And(C71,F71,K71,P71)</f>
        <v>OK</v>
      </c>
    </row>
    <row r="67" spans="2:23" x14ac:dyDescent="0.25">
      <c r="B67" t="s">
        <v>200</v>
      </c>
    </row>
    <row r="69" spans="2:23" s="68" customFormat="1" ht="15.75" x14ac:dyDescent="0.25">
      <c r="B69" s="4" t="s">
        <v>152</v>
      </c>
      <c r="C69" s="4"/>
      <c r="E69" s="4" t="s">
        <v>153</v>
      </c>
      <c r="F69" s="4"/>
      <c r="G69" s="4"/>
      <c r="H69" s="4"/>
      <c r="J69" s="4" t="s">
        <v>154</v>
      </c>
      <c r="K69" s="4"/>
      <c r="L69" s="4"/>
      <c r="M69" s="4"/>
      <c r="O69" s="4" t="s">
        <v>161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60" t="s">
        <v>138</v>
      </c>
      <c r="C71" s="209" t="str" cm="1">
        <f t="array" ref="C71">_xll.d.TestUtils_IsTrue(C76="WARNING")</f>
        <v>OK</v>
      </c>
      <c r="E71" s="60" t="s">
        <v>138</v>
      </c>
      <c r="F71" s="209" t="str" cm="1">
        <f t="array" ref="F71">_xll.d.TestUtils_IsTrue(E76="WARNING")</f>
        <v>OK</v>
      </c>
      <c r="J71" s="60" t="s">
        <v>138</v>
      </c>
      <c r="K71" s="209" t="str" cm="1">
        <f t="array" ref="K71">_xll.d.TestUtils_IsTrue(J76="WARNING")</f>
        <v>OK</v>
      </c>
      <c r="O71" s="60" t="s">
        <v>138</v>
      </c>
      <c r="P71" s="209" t="str" cm="1">
        <f t="array" ref="P71">_xll.d.TestUtils_IsTrue(O76="WARNING")</f>
        <v>OK</v>
      </c>
    </row>
    <row r="73" spans="2:23" x14ac:dyDescent="0.25">
      <c r="B73" s="226" t="s">
        <v>147</v>
      </c>
      <c r="C73" s="210" t="s">
        <v>192</v>
      </c>
      <c r="E73" s="226" t="s">
        <v>147</v>
      </c>
      <c r="F73" s="210" t="s">
        <v>192</v>
      </c>
      <c r="J73" s="226" t="s">
        <v>147</v>
      </c>
      <c r="K73" s="210" t="s">
        <v>192</v>
      </c>
      <c r="O73" s="226" t="s">
        <v>147</v>
      </c>
      <c r="P73" s="210" t="s">
        <v>192</v>
      </c>
    </row>
    <row r="74" spans="2:23" x14ac:dyDescent="0.25">
      <c r="B74" s="210"/>
    </row>
    <row r="75" spans="2:23" x14ac:dyDescent="0.25">
      <c r="B75" s="227" t="s">
        <v>145</v>
      </c>
      <c r="C75" s="227" t="s">
        <v>146</v>
      </c>
      <c r="E75" s="227" t="s">
        <v>146</v>
      </c>
      <c r="J75" s="227" t="s">
        <v>146</v>
      </c>
      <c r="O75" s="227" t="s">
        <v>146</v>
      </c>
    </row>
    <row r="76" spans="2:23" x14ac:dyDescent="0.25">
      <c r="B76" s="210" t="s">
        <v>141</v>
      </c>
      <c r="C76" s="210" t="str" cm="1">
        <f t="array" ref="C76">_xll.d.TestUtils_And(B76:B79)</f>
        <v>WARNING</v>
      </c>
      <c r="E76" s="210" t="str" cm="1">
        <f t="array" ref="E76">_xll.d.TestUtils_And(E79:H79)</f>
        <v>WARNING</v>
      </c>
      <c r="J76" s="210" t="str" cm="1">
        <f t="array" ref="J76">_xll.d.TestUtils_And(J79:M82)</f>
        <v>WARNING</v>
      </c>
      <c r="O76" s="210" t="str" cm="1">
        <f t="array" ref="O76">_xll.d.TestUtils_And(O79,O81:Q81,S79:S82,U79:W82)</f>
        <v>WARNING</v>
      </c>
    </row>
    <row r="77" spans="2:23" x14ac:dyDescent="0.25">
      <c r="B77" s="210" t="s">
        <v>141</v>
      </c>
    </row>
    <row r="78" spans="2:23" x14ac:dyDescent="0.25">
      <c r="B78" s="210" t="s">
        <v>155</v>
      </c>
      <c r="E78" s="227" t="s">
        <v>145</v>
      </c>
      <c r="J78" s="82" t="s">
        <v>145</v>
      </c>
      <c r="O78" s="82" t="s">
        <v>145</v>
      </c>
    </row>
    <row r="79" spans="2:23" x14ac:dyDescent="0.25">
      <c r="B79" s="210" t="s">
        <v>141</v>
      </c>
      <c r="E79" s="210" t="s">
        <v>141</v>
      </c>
      <c r="F79" s="210" t="s">
        <v>155</v>
      </c>
      <c r="G79" s="210" t="s">
        <v>141</v>
      </c>
      <c r="H79" s="210" t="s">
        <v>141</v>
      </c>
      <c r="J79" s="210" t="s">
        <v>141</v>
      </c>
      <c r="K79" s="210" t="s">
        <v>141</v>
      </c>
      <c r="L79" s="210" t="s">
        <v>141</v>
      </c>
      <c r="M79" s="210" t="s">
        <v>141</v>
      </c>
      <c r="O79" s="210" t="s">
        <v>141</v>
      </c>
      <c r="R79" s="210"/>
      <c r="S79" s="210" t="s">
        <v>141</v>
      </c>
      <c r="U79" s="210" t="s">
        <v>141</v>
      </c>
      <c r="V79" s="210" t="s">
        <v>141</v>
      </c>
      <c r="W79" s="210" t="s">
        <v>141</v>
      </c>
    </row>
    <row r="80" spans="2:23" x14ac:dyDescent="0.25">
      <c r="J80" s="210" t="s">
        <v>141</v>
      </c>
      <c r="K80" s="210" t="s">
        <v>141</v>
      </c>
      <c r="L80" s="210" t="s">
        <v>141</v>
      </c>
      <c r="M80" s="210" t="s">
        <v>141</v>
      </c>
      <c r="S80" s="210" t="s">
        <v>141</v>
      </c>
      <c r="U80" s="210" t="s">
        <v>141</v>
      </c>
      <c r="V80" s="210" t="s">
        <v>141</v>
      </c>
      <c r="W80" s="210" t="s">
        <v>141</v>
      </c>
    </row>
    <row r="81" spans="2:23" x14ac:dyDescent="0.25">
      <c r="J81" s="210" t="s">
        <v>141</v>
      </c>
      <c r="K81" s="210" t="s">
        <v>141</v>
      </c>
      <c r="L81" s="210" t="s">
        <v>155</v>
      </c>
      <c r="M81" s="210" t="s">
        <v>141</v>
      </c>
      <c r="O81" s="210" t="s">
        <v>141</v>
      </c>
      <c r="P81" s="210" t="s">
        <v>155</v>
      </c>
      <c r="Q81" s="210" t="s">
        <v>141</v>
      </c>
      <c r="S81" s="210" t="s">
        <v>141</v>
      </c>
      <c r="U81" s="210" t="s">
        <v>141</v>
      </c>
      <c r="V81" s="210" t="s">
        <v>141</v>
      </c>
      <c r="W81" s="210" t="s">
        <v>141</v>
      </c>
    </row>
    <row r="82" spans="2:23" x14ac:dyDescent="0.25">
      <c r="C82" s="209"/>
      <c r="J82" s="210" t="s">
        <v>141</v>
      </c>
      <c r="K82" s="210" t="s">
        <v>141</v>
      </c>
      <c r="L82" s="210" t="s">
        <v>141</v>
      </c>
      <c r="M82" s="210" t="s">
        <v>141</v>
      </c>
      <c r="S82" s="210" t="s">
        <v>141</v>
      </c>
      <c r="U82" s="210" t="s">
        <v>141</v>
      </c>
      <c r="V82" s="210" t="s">
        <v>141</v>
      </c>
      <c r="W82" s="210" t="s">
        <v>141</v>
      </c>
    </row>
    <row r="85" spans="2:23" ht="18.75" x14ac:dyDescent="0.3">
      <c r="B85" s="3" t="s">
        <v>123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60" t="s">
        <v>138</v>
      </c>
      <c r="C87" s="209" t="str" cm="1">
        <f t="array" ref="C87">_xll.d.TestUtils_And(C93,F93,K93,P93)</f>
        <v>OK</v>
      </c>
    </row>
    <row r="89" spans="2:23" x14ac:dyDescent="0.25">
      <c r="B89" t="s">
        <v>201</v>
      </c>
    </row>
    <row r="91" spans="2:23" ht="15.75" x14ac:dyDescent="0.25">
      <c r="B91" s="4" t="s">
        <v>156</v>
      </c>
      <c r="C91" s="4"/>
      <c r="E91" s="4" t="s">
        <v>157</v>
      </c>
      <c r="F91" s="4"/>
      <c r="G91" s="4"/>
      <c r="H91" s="4"/>
      <c r="J91" s="4" t="s">
        <v>158</v>
      </c>
      <c r="K91" s="4"/>
      <c r="L91" s="4"/>
      <c r="M91" s="4"/>
      <c r="O91" s="4" t="s">
        <v>162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60" t="s">
        <v>138</v>
      </c>
      <c r="C93" s="209" t="str" cm="1">
        <f t="array" ref="C93">_xll.d.TestUtils_IsTrue(C98="ERROR")</f>
        <v>OK</v>
      </c>
      <c r="E93" s="60" t="s">
        <v>138</v>
      </c>
      <c r="F93" s="209" t="str" cm="1">
        <f t="array" ref="F93">_xll.d.TestUtils_IsTrue(E98="ERROR")</f>
        <v>OK</v>
      </c>
      <c r="J93" s="60" t="s">
        <v>138</v>
      </c>
      <c r="K93" s="209" t="str" cm="1">
        <f t="array" ref="K93">_xll.d.TestUtils_IsTrue(J98="ERROR")</f>
        <v>OK</v>
      </c>
      <c r="O93" s="60" t="s">
        <v>138</v>
      </c>
      <c r="P93" s="209" t="str" cm="1">
        <f t="array" ref="P93">_xll.d.TestUtils_IsTrue(O98="ERROR")</f>
        <v>OK</v>
      </c>
    </row>
    <row r="95" spans="2:23" x14ac:dyDescent="0.25">
      <c r="B95" s="226" t="s">
        <v>147</v>
      </c>
      <c r="C95" s="210" t="s">
        <v>192</v>
      </c>
      <c r="E95" s="226" t="s">
        <v>147</v>
      </c>
      <c r="F95" s="210" t="s">
        <v>192</v>
      </c>
      <c r="J95" s="226" t="s">
        <v>147</v>
      </c>
      <c r="K95" s="210" t="s">
        <v>192</v>
      </c>
      <c r="O95" s="226" t="s">
        <v>147</v>
      </c>
      <c r="P95" s="210" t="s">
        <v>192</v>
      </c>
    </row>
    <row r="96" spans="2:23" x14ac:dyDescent="0.25">
      <c r="B96" s="210"/>
    </row>
    <row r="97" spans="2:23" x14ac:dyDescent="0.25">
      <c r="B97" s="227" t="s">
        <v>145</v>
      </c>
      <c r="C97" s="227" t="s">
        <v>146</v>
      </c>
      <c r="E97" s="227" t="s">
        <v>146</v>
      </c>
      <c r="J97" s="227" t="s">
        <v>146</v>
      </c>
      <c r="O97" s="227" t="s">
        <v>146</v>
      </c>
    </row>
    <row r="98" spans="2:23" x14ac:dyDescent="0.25">
      <c r="B98" s="210" t="s">
        <v>141</v>
      </c>
      <c r="C98" s="210" t="str" cm="1">
        <f t="array" ref="C98">_xll.d.TestUtils_And(B98:B101)</f>
        <v>ERROR</v>
      </c>
      <c r="E98" s="210" t="str" cm="1">
        <f t="array" ref="E98">_xll.d.TestUtils_And(E101:H101)</f>
        <v>ERROR</v>
      </c>
      <c r="J98" s="210" t="str" cm="1">
        <f t="array" ref="J98">_xll.d.TestUtils_And(J101:M104)</f>
        <v>ERROR</v>
      </c>
      <c r="O98" s="210" t="str" cm="1">
        <f t="array" ref="O98">_xll.d.TestUtils_And(O101,O103:Q103,S101:S104,U101:W104)</f>
        <v>ERROR</v>
      </c>
    </row>
    <row r="99" spans="2:23" x14ac:dyDescent="0.25">
      <c r="B99" s="210" t="s">
        <v>151</v>
      </c>
    </row>
    <row r="100" spans="2:23" x14ac:dyDescent="0.25">
      <c r="B100" s="210" t="s">
        <v>155</v>
      </c>
      <c r="E100" s="227" t="s">
        <v>145</v>
      </c>
      <c r="J100" s="82" t="s">
        <v>145</v>
      </c>
      <c r="O100" s="82" t="s">
        <v>145</v>
      </c>
    </row>
    <row r="101" spans="2:23" x14ac:dyDescent="0.25">
      <c r="B101" s="210" t="s">
        <v>141</v>
      </c>
      <c r="E101" s="210" t="s">
        <v>141</v>
      </c>
      <c r="F101" s="210" t="s">
        <v>155</v>
      </c>
      <c r="G101" s="210" t="s">
        <v>141</v>
      </c>
      <c r="H101" s="210" t="s">
        <v>151</v>
      </c>
      <c r="J101" s="210" t="s">
        <v>141</v>
      </c>
      <c r="K101" s="210" t="s">
        <v>141</v>
      </c>
      <c r="L101" s="210" t="s">
        <v>141</v>
      </c>
      <c r="M101" s="210" t="s">
        <v>141</v>
      </c>
      <c r="O101" s="210" t="s">
        <v>141</v>
      </c>
      <c r="R101" s="210"/>
      <c r="S101" s="210" t="s">
        <v>141</v>
      </c>
      <c r="U101" s="210" t="s">
        <v>141</v>
      </c>
      <c r="V101" s="210" t="s">
        <v>141</v>
      </c>
      <c r="W101" s="210" t="s">
        <v>141</v>
      </c>
    </row>
    <row r="102" spans="2:23" x14ac:dyDescent="0.25">
      <c r="J102" s="210" t="s">
        <v>141</v>
      </c>
      <c r="K102" s="210" t="s">
        <v>141</v>
      </c>
      <c r="L102" s="210" t="s">
        <v>141</v>
      </c>
      <c r="M102" s="210" t="s">
        <v>141</v>
      </c>
      <c r="S102" s="210" t="s">
        <v>141</v>
      </c>
      <c r="U102" s="210" t="s">
        <v>141</v>
      </c>
      <c r="V102" s="210" t="s">
        <v>141</v>
      </c>
      <c r="W102" s="210" t="s">
        <v>141</v>
      </c>
    </row>
    <row r="103" spans="2:23" x14ac:dyDescent="0.25">
      <c r="J103" s="210" t="s">
        <v>141</v>
      </c>
      <c r="K103" s="210" t="s">
        <v>141</v>
      </c>
      <c r="L103" s="210" t="s">
        <v>155</v>
      </c>
      <c r="M103" s="210" t="s">
        <v>141</v>
      </c>
      <c r="O103" s="210" t="s">
        <v>141</v>
      </c>
      <c r="P103" s="210" t="s">
        <v>155</v>
      </c>
      <c r="Q103" s="210" t="s">
        <v>141</v>
      </c>
      <c r="S103" s="210" t="s">
        <v>141</v>
      </c>
      <c r="U103" s="210" t="s">
        <v>151</v>
      </c>
      <c r="V103" s="210" t="s">
        <v>141</v>
      </c>
      <c r="W103" s="210" t="s">
        <v>141</v>
      </c>
    </row>
    <row r="104" spans="2:23" x14ac:dyDescent="0.25">
      <c r="C104" s="209"/>
      <c r="J104" s="210" t="s">
        <v>141</v>
      </c>
      <c r="K104" s="210" t="s">
        <v>141</v>
      </c>
      <c r="L104" s="210" t="s">
        <v>141</v>
      </c>
      <c r="M104" s="210" t="s">
        <v>151</v>
      </c>
      <c r="S104" s="210" t="s">
        <v>141</v>
      </c>
      <c r="U104" s="210" t="s">
        <v>141</v>
      </c>
      <c r="V104" s="210" t="s">
        <v>141</v>
      </c>
      <c r="W104" s="210" t="s">
        <v>141</v>
      </c>
    </row>
    <row r="107" spans="2:23" ht="18.75" x14ac:dyDescent="0.3">
      <c r="B107" s="3" t="s">
        <v>129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60" t="s">
        <v>138</v>
      </c>
      <c r="C109" s="209" t="str" cm="1">
        <f t="array" ref="C109">_xll.d.TestUtils_And(C115,F115,K115,P115)</f>
        <v>OK</v>
      </c>
    </row>
    <row r="111" spans="2:23" x14ac:dyDescent="0.25">
      <c r="B111" t="s">
        <v>202</v>
      </c>
    </row>
    <row r="113" spans="2:23" ht="15.75" x14ac:dyDescent="0.25">
      <c r="B113" s="4" t="s">
        <v>163</v>
      </c>
      <c r="C113" s="4"/>
      <c r="E113" s="4" t="s">
        <v>164</v>
      </c>
      <c r="F113" s="4"/>
      <c r="G113" s="4"/>
      <c r="H113" s="4"/>
      <c r="J113" s="4" t="s">
        <v>165</v>
      </c>
      <c r="K113" s="4"/>
      <c r="L113" s="4"/>
      <c r="M113" s="4"/>
      <c r="O113" s="4" t="s">
        <v>166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60" t="s">
        <v>138</v>
      </c>
      <c r="C115" s="209" t="str" cm="1">
        <f t="array" ref="C115">_xll.d.TestUtils_IsTrue(C120="ERROR")</f>
        <v>OK</v>
      </c>
      <c r="E115" s="60" t="s">
        <v>138</v>
      </c>
      <c r="F115" s="209" t="str" cm="1">
        <f t="array" ref="F115">_xll.d.TestUtils_IsTrue(E120="ERROR")</f>
        <v>OK</v>
      </c>
      <c r="J115" s="60" t="s">
        <v>138</v>
      </c>
      <c r="K115" s="209" t="str" cm="1">
        <f t="array" ref="K115">_xll.d.TestUtils_IsTrue(J120="ERROR")</f>
        <v>OK</v>
      </c>
      <c r="O115" s="60" t="s">
        <v>138</v>
      </c>
      <c r="P115" s="209" t="str" cm="1">
        <f t="array" ref="P115">_xll.d.TestUtils_IsTrue(O120="ERROR")</f>
        <v>OK</v>
      </c>
    </row>
    <row r="117" spans="2:23" x14ac:dyDescent="0.25">
      <c r="B117" s="226" t="s">
        <v>147</v>
      </c>
      <c r="C117" s="210" t="s">
        <v>193</v>
      </c>
      <c r="E117" s="226" t="s">
        <v>147</v>
      </c>
      <c r="F117" s="210" t="s">
        <v>193</v>
      </c>
      <c r="J117" s="226" t="s">
        <v>147</v>
      </c>
      <c r="K117" s="210" t="s">
        <v>193</v>
      </c>
      <c r="O117" s="226" t="s">
        <v>147</v>
      </c>
      <c r="P117" s="210" t="s">
        <v>193</v>
      </c>
    </row>
    <row r="118" spans="2:23" x14ac:dyDescent="0.25">
      <c r="B118" s="210"/>
    </row>
    <row r="119" spans="2:23" x14ac:dyDescent="0.25">
      <c r="B119" s="227" t="s">
        <v>145</v>
      </c>
      <c r="C119" s="227" t="s">
        <v>146</v>
      </c>
      <c r="E119" s="227" t="s">
        <v>146</v>
      </c>
      <c r="J119" s="227" t="s">
        <v>146</v>
      </c>
      <c r="O119" s="227" t="s">
        <v>146</v>
      </c>
    </row>
    <row r="120" spans="2:23" x14ac:dyDescent="0.25">
      <c r="B120" s="210" t="s">
        <v>151</v>
      </c>
      <c r="C120" s="210" t="str" cm="1">
        <f t="array" ref="C120">_xll.d.TestUtils_Or(B120:B123)</f>
        <v>ERROR</v>
      </c>
      <c r="E120" s="210" t="str" cm="1">
        <f t="array" ref="E120">_xll.d.TestUtils_Or(E123:H123)</f>
        <v>ERROR</v>
      </c>
      <c r="J120" s="210" t="str" cm="1">
        <f t="array" ref="J120">_xll.d.TestUtils_Or(J123:M126)</f>
        <v>ERROR</v>
      </c>
      <c r="O120" s="210" t="str" cm="1">
        <f t="array" ref="O120">_xll.d.TestUtils_Or(O123,O125:Q125,S123:S126,U123:W126)</f>
        <v>ERROR</v>
      </c>
    </row>
    <row r="121" spans="2:23" x14ac:dyDescent="0.25">
      <c r="B121" s="210" t="s">
        <v>151</v>
      </c>
    </row>
    <row r="122" spans="2:23" x14ac:dyDescent="0.25">
      <c r="B122" s="210" t="s">
        <v>151</v>
      </c>
      <c r="E122" s="227" t="s">
        <v>145</v>
      </c>
      <c r="J122" s="82" t="s">
        <v>145</v>
      </c>
      <c r="O122" s="82" t="s">
        <v>145</v>
      </c>
    </row>
    <row r="123" spans="2:23" x14ac:dyDescent="0.25">
      <c r="B123" s="210" t="s">
        <v>151</v>
      </c>
      <c r="E123" s="210" t="s">
        <v>151</v>
      </c>
      <c r="F123" s="210" t="s">
        <v>151</v>
      </c>
      <c r="G123" s="210" t="s">
        <v>151</v>
      </c>
      <c r="H123" s="210" t="s">
        <v>151</v>
      </c>
      <c r="J123" s="210" t="s">
        <v>151</v>
      </c>
      <c r="K123" s="210" t="s">
        <v>151</v>
      </c>
      <c r="L123" s="210" t="s">
        <v>151</v>
      </c>
      <c r="M123" s="210" t="s">
        <v>151</v>
      </c>
      <c r="O123" s="210" t="s">
        <v>151</v>
      </c>
      <c r="R123" s="210"/>
      <c r="S123" s="210" t="s">
        <v>151</v>
      </c>
      <c r="U123" s="210" t="s">
        <v>151</v>
      </c>
      <c r="V123" s="210" t="s">
        <v>151</v>
      </c>
      <c r="W123" s="210" t="s">
        <v>151</v>
      </c>
    </row>
    <row r="124" spans="2:23" x14ac:dyDescent="0.25">
      <c r="J124" s="210" t="s">
        <v>151</v>
      </c>
      <c r="K124" s="210" t="s">
        <v>151</v>
      </c>
      <c r="L124" s="210" t="s">
        <v>151</v>
      </c>
      <c r="M124" s="210" t="s">
        <v>151</v>
      </c>
      <c r="S124" s="210" t="s">
        <v>151</v>
      </c>
      <c r="U124" s="210" t="s">
        <v>151</v>
      </c>
      <c r="V124" s="210" t="s">
        <v>151</v>
      </c>
      <c r="W124" s="210" t="s">
        <v>151</v>
      </c>
    </row>
    <row r="125" spans="2:23" x14ac:dyDescent="0.25">
      <c r="J125" s="210" t="s">
        <v>151</v>
      </c>
      <c r="K125" s="210" t="s">
        <v>151</v>
      </c>
      <c r="L125" s="210" t="s">
        <v>151</v>
      </c>
      <c r="M125" s="210" t="s">
        <v>151</v>
      </c>
      <c r="O125" s="210" t="s">
        <v>151</v>
      </c>
      <c r="P125" s="210" t="s">
        <v>151</v>
      </c>
      <c r="Q125" s="210" t="s">
        <v>151</v>
      </c>
      <c r="S125" s="210" t="s">
        <v>151</v>
      </c>
      <c r="U125" s="210" t="s">
        <v>151</v>
      </c>
      <c r="V125" s="210" t="s">
        <v>151</v>
      </c>
      <c r="W125" s="210" t="s">
        <v>151</v>
      </c>
    </row>
    <row r="126" spans="2:23" x14ac:dyDescent="0.25">
      <c r="C126" s="209"/>
      <c r="J126" s="210" t="s">
        <v>151</v>
      </c>
      <c r="K126" s="210" t="s">
        <v>151</v>
      </c>
      <c r="L126" s="210" t="s">
        <v>151</v>
      </c>
      <c r="M126" s="210" t="s">
        <v>151</v>
      </c>
      <c r="S126" s="210" t="s">
        <v>151</v>
      </c>
      <c r="U126" s="210" t="s">
        <v>151</v>
      </c>
      <c r="V126" s="210" t="s">
        <v>151</v>
      </c>
      <c r="W126" s="210" t="s">
        <v>151</v>
      </c>
    </row>
    <row r="129" spans="2:23" ht="18.75" x14ac:dyDescent="0.3">
      <c r="B129" s="3" t="s">
        <v>131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60" t="s">
        <v>138</v>
      </c>
      <c r="C131" s="209" t="str" cm="1">
        <f t="array" ref="C131">_xll.d.TestUtils_And(C137,F137,K137,P137)</f>
        <v>OK</v>
      </c>
    </row>
    <row r="133" spans="2:23" x14ac:dyDescent="0.25">
      <c r="B133" t="s">
        <v>203</v>
      </c>
    </row>
    <row r="135" spans="2:23" ht="15.75" x14ac:dyDescent="0.25">
      <c r="B135" s="4" t="s">
        <v>170</v>
      </c>
      <c r="C135" s="4"/>
      <c r="E135" s="4" t="s">
        <v>167</v>
      </c>
      <c r="F135" s="4"/>
      <c r="G135" s="4"/>
      <c r="H135" s="4"/>
      <c r="J135" s="4" t="s">
        <v>168</v>
      </c>
      <c r="K135" s="4"/>
      <c r="L135" s="4"/>
      <c r="M135" s="4"/>
      <c r="O135" s="4" t="s">
        <v>169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60" t="s">
        <v>138</v>
      </c>
      <c r="C137" s="209" t="str" cm="1">
        <f t="array" ref="C137">_xll.d.TestUtils_IsTrue(C142="OK")</f>
        <v>OK</v>
      </c>
      <c r="E137" s="60" t="s">
        <v>138</v>
      </c>
      <c r="F137" s="209" t="str" cm="1">
        <f t="array" ref="F137">_xll.d.TestUtils_IsTrue(E142="OK")</f>
        <v>OK</v>
      </c>
      <c r="J137" s="60" t="s">
        <v>138</v>
      </c>
      <c r="K137" s="209" t="str" cm="1">
        <f t="array" ref="K137">_xll.d.TestUtils_IsTrue(J142="OK")</f>
        <v>OK</v>
      </c>
      <c r="O137" s="60" t="s">
        <v>138</v>
      </c>
      <c r="P137" s="209" t="str" cm="1">
        <f t="array" ref="P137">_xll.d.TestUtils_IsTrue(O142="OK")</f>
        <v>OK</v>
      </c>
    </row>
    <row r="139" spans="2:23" x14ac:dyDescent="0.25">
      <c r="B139" s="226" t="s">
        <v>147</v>
      </c>
      <c r="C139" s="210" t="s">
        <v>193</v>
      </c>
      <c r="E139" s="226" t="s">
        <v>147</v>
      </c>
      <c r="F139" s="210" t="s">
        <v>193</v>
      </c>
      <c r="J139" s="226" t="s">
        <v>147</v>
      </c>
      <c r="K139" s="210" t="s">
        <v>193</v>
      </c>
      <c r="O139" s="226" t="s">
        <v>147</v>
      </c>
      <c r="P139" s="210" t="s">
        <v>193</v>
      </c>
    </row>
    <row r="140" spans="2:23" x14ac:dyDescent="0.25">
      <c r="B140" s="210"/>
    </row>
    <row r="141" spans="2:23" x14ac:dyDescent="0.25">
      <c r="B141" s="227" t="s">
        <v>145</v>
      </c>
      <c r="C141" s="227" t="s">
        <v>146</v>
      </c>
      <c r="E141" s="227" t="s">
        <v>146</v>
      </c>
      <c r="J141" s="227" t="s">
        <v>146</v>
      </c>
      <c r="O141" s="227" t="s">
        <v>146</v>
      </c>
    </row>
    <row r="142" spans="2:23" x14ac:dyDescent="0.25">
      <c r="B142" s="210" t="s">
        <v>151</v>
      </c>
      <c r="C142" s="210" t="str" cm="1">
        <f t="array" ref="C142">_xll.d.TestUtils_Or(B142:B145)</f>
        <v>OK</v>
      </c>
      <c r="E142" s="210" t="str" cm="1">
        <f t="array" ref="E142">_xll.d.TestUtils_Or(E145:H145)</f>
        <v>OK</v>
      </c>
      <c r="J142" s="210" t="str" cm="1">
        <f t="array" ref="J142">_xll.d.TestUtils_Or(J145:M148)</f>
        <v>OK</v>
      </c>
      <c r="O142" s="210" t="str" cm="1">
        <f t="array" ref="O142">_xll.d.TestUtils_Or(O145,O147:Q147,S145:S148,U145:W148)</f>
        <v>OK</v>
      </c>
    </row>
    <row r="143" spans="2:23" x14ac:dyDescent="0.25">
      <c r="B143" s="210" t="s">
        <v>151</v>
      </c>
    </row>
    <row r="144" spans="2:23" x14ac:dyDescent="0.25">
      <c r="B144" s="210" t="s">
        <v>141</v>
      </c>
      <c r="E144" s="227" t="s">
        <v>145</v>
      </c>
      <c r="J144" s="82" t="s">
        <v>145</v>
      </c>
      <c r="O144" s="82" t="s">
        <v>145</v>
      </c>
    </row>
    <row r="145" spans="2:23" x14ac:dyDescent="0.25">
      <c r="B145" s="210" t="s">
        <v>151</v>
      </c>
      <c r="E145" s="210" t="s">
        <v>151</v>
      </c>
      <c r="F145" s="210" t="s">
        <v>141</v>
      </c>
      <c r="G145" t="s">
        <v>151</v>
      </c>
      <c r="H145" s="210" t="s">
        <v>151</v>
      </c>
      <c r="J145" s="210" t="s">
        <v>151</v>
      </c>
      <c r="K145" s="210" t="s">
        <v>151</v>
      </c>
      <c r="L145" s="210" t="s">
        <v>151</v>
      </c>
      <c r="M145" s="210" t="s">
        <v>141</v>
      </c>
      <c r="O145" s="210" t="s">
        <v>151</v>
      </c>
      <c r="R145" s="210"/>
      <c r="S145" s="210" t="s">
        <v>151</v>
      </c>
      <c r="U145" s="210" t="s">
        <v>151</v>
      </c>
      <c r="V145" s="210" t="s">
        <v>151</v>
      </c>
      <c r="W145" s="210" t="s">
        <v>151</v>
      </c>
    </row>
    <row r="146" spans="2:23" x14ac:dyDescent="0.25">
      <c r="J146" s="210" t="s">
        <v>151</v>
      </c>
      <c r="K146" s="210" t="s">
        <v>151</v>
      </c>
      <c r="L146" s="210" t="s">
        <v>151</v>
      </c>
      <c r="M146" s="210" t="s">
        <v>151</v>
      </c>
      <c r="S146" s="210" t="s">
        <v>151</v>
      </c>
      <c r="U146" s="210" t="s">
        <v>151</v>
      </c>
      <c r="V146" s="210" t="s">
        <v>151</v>
      </c>
      <c r="W146" s="210" t="s">
        <v>151</v>
      </c>
    </row>
    <row r="147" spans="2:23" x14ac:dyDescent="0.25">
      <c r="J147" s="210" t="s">
        <v>151</v>
      </c>
      <c r="K147" s="210" t="s">
        <v>151</v>
      </c>
      <c r="L147" s="210" t="s">
        <v>151</v>
      </c>
      <c r="M147" s="210" t="s">
        <v>151</v>
      </c>
      <c r="O147" s="210" t="s">
        <v>151</v>
      </c>
      <c r="P147" s="210" t="s">
        <v>151</v>
      </c>
      <c r="Q147" s="210" t="s">
        <v>141</v>
      </c>
      <c r="S147" s="210" t="s">
        <v>151</v>
      </c>
      <c r="U147" s="210" t="s">
        <v>151</v>
      </c>
      <c r="V147" s="210" t="s">
        <v>151</v>
      </c>
      <c r="W147" s="210" t="s">
        <v>151</v>
      </c>
    </row>
    <row r="148" spans="2:23" x14ac:dyDescent="0.25">
      <c r="J148" s="210" t="s">
        <v>151</v>
      </c>
      <c r="K148" s="210" t="s">
        <v>151</v>
      </c>
      <c r="L148" s="210" t="s">
        <v>151</v>
      </c>
      <c r="M148" s="210" t="s">
        <v>151</v>
      </c>
      <c r="S148" s="210" t="s">
        <v>141</v>
      </c>
      <c r="U148" s="210" t="s">
        <v>151</v>
      </c>
      <c r="V148" s="210" t="s">
        <v>151</v>
      </c>
      <c r="W148" s="210" t="s">
        <v>151</v>
      </c>
    </row>
    <row r="151" spans="2:23" ht="18.75" x14ac:dyDescent="0.3">
      <c r="B151" s="3" t="s">
        <v>177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60" t="s">
        <v>138</v>
      </c>
      <c r="C153" s="209" t="str" cm="1">
        <f t="array" ref="C153">_xll.d.TestUtils_And(C159,F159,K159,P159)</f>
        <v>OK</v>
      </c>
    </row>
    <row r="155" spans="2:23" x14ac:dyDescent="0.25">
      <c r="B155" t="s">
        <v>204</v>
      </c>
    </row>
    <row r="157" spans="2:23" ht="15.75" x14ac:dyDescent="0.25">
      <c r="B157" s="4" t="s">
        <v>178</v>
      </c>
      <c r="C157" s="4"/>
      <c r="E157" s="4" t="s">
        <v>179</v>
      </c>
      <c r="F157" s="4"/>
      <c r="G157" s="4"/>
      <c r="H157" s="4"/>
      <c r="J157" s="4" t="s">
        <v>180</v>
      </c>
      <c r="K157" s="4"/>
      <c r="L157" s="4"/>
      <c r="M157" s="4"/>
      <c r="O157" s="4" t="s">
        <v>181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60" t="s">
        <v>138</v>
      </c>
      <c r="C159" s="209" t="str" cm="1">
        <f t="array" ref="C159">_xll.d.TestUtils_IsTrue(C164="WARNING")</f>
        <v>OK</v>
      </c>
      <c r="E159" s="60" t="s">
        <v>138</v>
      </c>
      <c r="F159" s="209" t="str" cm="1">
        <f t="array" ref="F159">_xll.d.TestUtils_IsTrue(E164="WARNING")</f>
        <v>OK</v>
      </c>
      <c r="J159" s="60" t="s">
        <v>138</v>
      </c>
      <c r="K159" s="209" t="str" cm="1">
        <f t="array" ref="K159">_xll.d.TestUtils_IsTrue(J164="WARNING")</f>
        <v>OK</v>
      </c>
      <c r="O159" s="60" t="s">
        <v>138</v>
      </c>
      <c r="P159" s="209" t="str" cm="1">
        <f t="array" ref="P159">_xll.d.TestUtils_IsTrue(O164="WARNING")</f>
        <v>OK</v>
      </c>
    </row>
    <row r="161" spans="2:23" x14ac:dyDescent="0.25">
      <c r="B161" s="226" t="s">
        <v>147</v>
      </c>
      <c r="C161" s="210" t="s">
        <v>193</v>
      </c>
      <c r="E161" s="226" t="s">
        <v>147</v>
      </c>
      <c r="F161" s="210" t="s">
        <v>193</v>
      </c>
      <c r="J161" s="226" t="s">
        <v>147</v>
      </c>
      <c r="K161" s="210" t="s">
        <v>193</v>
      </c>
      <c r="O161" s="226" t="s">
        <v>147</v>
      </c>
      <c r="P161" s="210" t="s">
        <v>193</v>
      </c>
    </row>
    <row r="162" spans="2:23" x14ac:dyDescent="0.25">
      <c r="B162" s="210"/>
    </row>
    <row r="163" spans="2:23" x14ac:dyDescent="0.25">
      <c r="B163" s="227" t="s">
        <v>145</v>
      </c>
      <c r="C163" s="227" t="s">
        <v>146</v>
      </c>
      <c r="E163" s="227" t="s">
        <v>146</v>
      </c>
      <c r="J163" s="227" t="s">
        <v>146</v>
      </c>
      <c r="O163" s="227" t="s">
        <v>146</v>
      </c>
    </row>
    <row r="164" spans="2:23" x14ac:dyDescent="0.25">
      <c r="B164" s="210" t="s">
        <v>151</v>
      </c>
      <c r="C164" s="210" t="str" cm="1">
        <f t="array" ref="C164">_xll.d.TestUtils_Or(B164:B167)</f>
        <v>WARNING</v>
      </c>
      <c r="E164" s="210" t="str" cm="1">
        <f t="array" ref="E164">_xll.d.TestUtils_Or(E167:H167)</f>
        <v>WARNING</v>
      </c>
      <c r="J164" s="210" t="str" cm="1">
        <f t="array" ref="J164">_xll.d.TestUtils_Or(J167:M170)</f>
        <v>WARNING</v>
      </c>
      <c r="O164" s="210" t="str" cm="1">
        <f t="array" ref="O164">_xll.d.TestUtils_Or(O167,O169:Q169,S167:S170,U167:W170)</f>
        <v>WARNING</v>
      </c>
    </row>
    <row r="165" spans="2:23" x14ac:dyDescent="0.25">
      <c r="B165" s="210" t="s">
        <v>155</v>
      </c>
    </row>
    <row r="166" spans="2:23" x14ac:dyDescent="0.25">
      <c r="B166" s="210" t="s">
        <v>151</v>
      </c>
      <c r="E166" s="227" t="s">
        <v>145</v>
      </c>
      <c r="J166" s="82" t="s">
        <v>145</v>
      </c>
      <c r="O166" s="82" t="s">
        <v>145</v>
      </c>
    </row>
    <row r="167" spans="2:23" x14ac:dyDescent="0.25">
      <c r="B167" s="210" t="s">
        <v>151</v>
      </c>
      <c r="E167" s="210" t="s">
        <v>151</v>
      </c>
      <c r="F167" s="210" t="s">
        <v>151</v>
      </c>
      <c r="G167" s="210" t="s">
        <v>151</v>
      </c>
      <c r="H167" s="210" t="s">
        <v>155</v>
      </c>
      <c r="J167" s="210" t="s">
        <v>151</v>
      </c>
      <c r="K167" s="210" t="s">
        <v>151</v>
      </c>
      <c r="L167" s="210" t="s">
        <v>151</v>
      </c>
      <c r="M167" s="210" t="s">
        <v>151</v>
      </c>
      <c r="O167" s="210" t="s">
        <v>151</v>
      </c>
      <c r="R167" s="210"/>
      <c r="S167" s="210" t="s">
        <v>151</v>
      </c>
      <c r="U167" s="210" t="s">
        <v>151</v>
      </c>
      <c r="V167" s="210" t="s">
        <v>151</v>
      </c>
      <c r="W167" s="210" t="s">
        <v>151</v>
      </c>
    </row>
    <row r="168" spans="2:23" x14ac:dyDescent="0.25">
      <c r="J168" s="210" t="s">
        <v>151</v>
      </c>
      <c r="K168" s="210" t="s">
        <v>151</v>
      </c>
      <c r="L168" s="210" t="s">
        <v>151</v>
      </c>
      <c r="M168" s="210" t="s">
        <v>151</v>
      </c>
      <c r="S168" s="210" t="s">
        <v>151</v>
      </c>
      <c r="U168" s="210" t="s">
        <v>151</v>
      </c>
      <c r="V168" s="210" t="s">
        <v>151</v>
      </c>
      <c r="W168" s="210" t="s">
        <v>151</v>
      </c>
    </row>
    <row r="169" spans="2:23" x14ac:dyDescent="0.25">
      <c r="J169" s="210" t="s">
        <v>151</v>
      </c>
      <c r="K169" s="210" t="s">
        <v>155</v>
      </c>
      <c r="L169" s="210" t="s">
        <v>151</v>
      </c>
      <c r="M169" s="210" t="s">
        <v>151</v>
      </c>
      <c r="O169" s="210" t="s">
        <v>151</v>
      </c>
      <c r="P169" s="210" t="s">
        <v>151</v>
      </c>
      <c r="Q169" s="210" t="s">
        <v>155</v>
      </c>
      <c r="S169" s="210" t="s">
        <v>151</v>
      </c>
      <c r="U169" s="210" t="s">
        <v>151</v>
      </c>
      <c r="V169" s="210" t="s">
        <v>151</v>
      </c>
      <c r="W169" s="210" t="s">
        <v>151</v>
      </c>
    </row>
    <row r="170" spans="2:23" x14ac:dyDescent="0.25">
      <c r="J170" s="210" t="s">
        <v>151</v>
      </c>
      <c r="K170" s="210" t="s">
        <v>151</v>
      </c>
      <c r="L170" s="210" t="s">
        <v>151</v>
      </c>
      <c r="M170" s="210" t="s">
        <v>151</v>
      </c>
      <c r="S170" s="210" t="s">
        <v>151</v>
      </c>
      <c r="U170" s="210" t="s">
        <v>151</v>
      </c>
      <c r="V170" s="210" t="s">
        <v>151</v>
      </c>
      <c r="W170" s="210" t="s">
        <v>151</v>
      </c>
    </row>
    <row r="173" spans="2:23" ht="18.75" x14ac:dyDescent="0.3">
      <c r="B173" s="3" t="s">
        <v>182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60" t="s">
        <v>138</v>
      </c>
      <c r="C175" s="209" t="str" cm="1">
        <f t="array" ref="C175">_xll.d.TestUtils_And(C181,F181,K181,P181)</f>
        <v>OK</v>
      </c>
    </row>
    <row r="177" spans="2:23" x14ac:dyDescent="0.25">
      <c r="B177" t="s">
        <v>205</v>
      </c>
    </row>
    <row r="179" spans="2:23" ht="15.75" x14ac:dyDescent="0.25">
      <c r="B179" s="4" t="s">
        <v>186</v>
      </c>
      <c r="C179" s="4"/>
      <c r="E179" s="4" t="s">
        <v>183</v>
      </c>
      <c r="F179" s="4"/>
      <c r="G179" s="4"/>
      <c r="H179" s="4"/>
      <c r="J179" s="4" t="s">
        <v>184</v>
      </c>
      <c r="K179" s="4"/>
      <c r="L179" s="4"/>
      <c r="M179" s="4"/>
      <c r="O179" s="4" t="s">
        <v>185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60" t="s">
        <v>138</v>
      </c>
      <c r="C181" s="209" t="str" cm="1">
        <f t="array" ref="C181">_xll.d.TestUtils_IsTrue(C186="OK")</f>
        <v>OK</v>
      </c>
      <c r="E181" s="60" t="s">
        <v>138</v>
      </c>
      <c r="F181" s="209" t="str" cm="1">
        <f t="array" ref="F181">_xll.d.TestUtils_IsTrue(E186="OK")</f>
        <v>OK</v>
      </c>
      <c r="J181" s="60" t="s">
        <v>138</v>
      </c>
      <c r="K181" s="209" t="str" cm="1">
        <f t="array" ref="K181">_xll.d.TestUtils_IsTrue(J186="OK")</f>
        <v>OK</v>
      </c>
      <c r="O181" s="60" t="s">
        <v>138</v>
      </c>
      <c r="P181" s="209" t="str" cm="1">
        <f t="array" ref="P181">_xll.d.TestUtils_IsTrue(O186="OK")</f>
        <v>OK</v>
      </c>
    </row>
    <row r="183" spans="2:23" x14ac:dyDescent="0.25">
      <c r="B183" s="226" t="s">
        <v>147</v>
      </c>
      <c r="C183" s="210" t="s">
        <v>193</v>
      </c>
      <c r="E183" s="226" t="s">
        <v>147</v>
      </c>
      <c r="F183" s="210" t="s">
        <v>193</v>
      </c>
      <c r="J183" s="226" t="s">
        <v>147</v>
      </c>
      <c r="K183" s="210" t="s">
        <v>193</v>
      </c>
      <c r="O183" s="226" t="s">
        <v>147</v>
      </c>
      <c r="P183" s="210" t="s">
        <v>193</v>
      </c>
    </row>
    <row r="184" spans="2:23" x14ac:dyDescent="0.25">
      <c r="B184" s="210"/>
    </row>
    <row r="185" spans="2:23" x14ac:dyDescent="0.25">
      <c r="B185" s="227" t="s">
        <v>145</v>
      </c>
      <c r="C185" s="227" t="s">
        <v>146</v>
      </c>
      <c r="E185" s="227" t="s">
        <v>146</v>
      </c>
      <c r="J185" s="227" t="s">
        <v>146</v>
      </c>
      <c r="O185" s="227" t="s">
        <v>146</v>
      </c>
    </row>
    <row r="186" spans="2:23" x14ac:dyDescent="0.25">
      <c r="B186" s="210" t="s">
        <v>151</v>
      </c>
      <c r="C186" s="210" t="str" cm="1">
        <f t="array" ref="C186">_xll.d.TestUtils_Or(B186:B189)</f>
        <v>OK</v>
      </c>
      <c r="E186" s="210" t="str" cm="1">
        <f t="array" ref="E186">_xll.d.TestUtils_Or(E189:H189)</f>
        <v>OK</v>
      </c>
      <c r="J186" s="210" t="str" cm="1">
        <f t="array" ref="J186">_xll.d.TestUtils_Or(J189:M192)</f>
        <v>OK</v>
      </c>
      <c r="O186" s="210" t="str" cm="1">
        <f t="array" ref="O186">_xll.d.TestUtils_Or(O189,O191:Q191,S189:S192,U189:W192)</f>
        <v>OK</v>
      </c>
    </row>
    <row r="187" spans="2:23" x14ac:dyDescent="0.25">
      <c r="B187" s="210" t="s">
        <v>155</v>
      </c>
    </row>
    <row r="188" spans="2:23" x14ac:dyDescent="0.25">
      <c r="B188" s="210" t="s">
        <v>151</v>
      </c>
      <c r="E188" s="227" t="s">
        <v>145</v>
      </c>
      <c r="J188" s="82" t="s">
        <v>145</v>
      </c>
      <c r="O188" s="82" t="s">
        <v>145</v>
      </c>
    </row>
    <row r="189" spans="2:23" x14ac:dyDescent="0.25">
      <c r="B189" s="210" t="s">
        <v>141</v>
      </c>
      <c r="E189" s="210" t="s">
        <v>151</v>
      </c>
      <c r="F189" s="210" t="s">
        <v>141</v>
      </c>
      <c r="G189" s="210" t="s">
        <v>151</v>
      </c>
      <c r="H189" s="210" t="s">
        <v>155</v>
      </c>
      <c r="J189" s="210" t="s">
        <v>151</v>
      </c>
      <c r="K189" s="210" t="s">
        <v>151</v>
      </c>
      <c r="L189" s="210" t="s">
        <v>151</v>
      </c>
      <c r="M189" s="210" t="s">
        <v>151</v>
      </c>
      <c r="O189" s="210" t="s">
        <v>151</v>
      </c>
      <c r="R189" s="210"/>
      <c r="S189" s="210" t="s">
        <v>151</v>
      </c>
      <c r="U189" s="210" t="s">
        <v>151</v>
      </c>
      <c r="V189" s="210" t="s">
        <v>151</v>
      </c>
      <c r="W189" s="210" t="s">
        <v>151</v>
      </c>
    </row>
    <row r="190" spans="2:23" x14ac:dyDescent="0.25">
      <c r="J190" s="210" t="s">
        <v>151</v>
      </c>
      <c r="K190" s="210" t="s">
        <v>151</v>
      </c>
      <c r="L190" s="210" t="s">
        <v>141</v>
      </c>
      <c r="M190" s="210" t="s">
        <v>151</v>
      </c>
      <c r="S190" s="210" t="s">
        <v>151</v>
      </c>
      <c r="U190" s="210" t="s">
        <v>151</v>
      </c>
      <c r="V190" s="210" t="s">
        <v>141</v>
      </c>
      <c r="W190" s="210" t="s">
        <v>151</v>
      </c>
    </row>
    <row r="191" spans="2:23" x14ac:dyDescent="0.25">
      <c r="J191" s="210" t="s">
        <v>151</v>
      </c>
      <c r="K191" s="210" t="s">
        <v>155</v>
      </c>
      <c r="L191" s="210" t="s">
        <v>151</v>
      </c>
      <c r="M191" s="210" t="s">
        <v>151</v>
      </c>
      <c r="O191" s="210" t="s">
        <v>151</v>
      </c>
      <c r="P191" s="210" t="s">
        <v>151</v>
      </c>
      <c r="Q191" s="210" t="s">
        <v>155</v>
      </c>
      <c r="S191" s="210" t="s">
        <v>151</v>
      </c>
      <c r="U191" s="210" t="s">
        <v>151</v>
      </c>
      <c r="V191" s="210" t="s">
        <v>151</v>
      </c>
      <c r="W191" s="210" t="s">
        <v>151</v>
      </c>
    </row>
    <row r="192" spans="2:23" x14ac:dyDescent="0.25">
      <c r="J192" s="210" t="s">
        <v>151</v>
      </c>
      <c r="K192" s="210" t="s">
        <v>151</v>
      </c>
      <c r="L192" s="210" t="s">
        <v>151</v>
      </c>
      <c r="M192" s="210" t="s">
        <v>151</v>
      </c>
      <c r="S192" s="210" t="s">
        <v>151</v>
      </c>
      <c r="U192" s="210" t="s">
        <v>151</v>
      </c>
      <c r="V192" s="210" t="s">
        <v>151</v>
      </c>
      <c r="W192" s="210" t="s">
        <v>151</v>
      </c>
    </row>
    <row r="195" spans="2:23" ht="18.75" x14ac:dyDescent="0.3">
      <c r="B195" s="3" t="s">
        <v>188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60" t="s">
        <v>138</v>
      </c>
      <c r="C197" s="209" t="str" cm="1">
        <f t="array" ref="C197">_xll.d.TestUtils_And(C203,F203,K203,P203)</f>
        <v>OK</v>
      </c>
    </row>
    <row r="199" spans="2:23" x14ac:dyDescent="0.25">
      <c r="B199" t="s">
        <v>206</v>
      </c>
    </row>
    <row r="201" spans="2:23" ht="15.75" x14ac:dyDescent="0.25">
      <c r="B201" s="4" t="s">
        <v>194</v>
      </c>
      <c r="C201" s="4"/>
      <c r="E201" s="4" t="s">
        <v>195</v>
      </c>
      <c r="F201" s="4"/>
      <c r="G201" s="4"/>
      <c r="H201" s="4"/>
      <c r="J201" s="4" t="s">
        <v>196</v>
      </c>
      <c r="K201" s="4"/>
      <c r="L201" s="4"/>
      <c r="M201" s="4"/>
      <c r="O201" s="4" t="s">
        <v>197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60" t="s">
        <v>138</v>
      </c>
      <c r="C203" s="209" t="str" cm="1">
        <f t="array" ref="C203">_xll.d.TestUtils_IsTrue(C208="OK")</f>
        <v>OK</v>
      </c>
      <c r="E203" s="60" t="s">
        <v>138</v>
      </c>
      <c r="F203" s="209" t="str" cm="1">
        <f t="array" ref="F203">_xll.d.TestUtils_IsTrue(E208="OK")</f>
        <v>OK</v>
      </c>
      <c r="J203" s="60" t="s">
        <v>138</v>
      </c>
      <c r="K203" s="209" t="str" cm="1">
        <f t="array" ref="K203">_xll.d.TestUtils_IsTrue(J208="OK")</f>
        <v>OK</v>
      </c>
      <c r="O203" s="60" t="s">
        <v>138</v>
      </c>
      <c r="P203" s="209" t="str" cm="1">
        <f t="array" ref="P203">_xll.d.TestUtils_IsTrue(O208="OK")</f>
        <v>OK</v>
      </c>
    </row>
    <row r="205" spans="2:23" x14ac:dyDescent="0.25">
      <c r="B205" s="226" t="s">
        <v>147</v>
      </c>
      <c r="C205" s="210" t="s">
        <v>193</v>
      </c>
      <c r="E205" s="226" t="s">
        <v>147</v>
      </c>
      <c r="F205" s="210" t="s">
        <v>193</v>
      </c>
      <c r="J205" s="226" t="s">
        <v>147</v>
      </c>
      <c r="K205" s="210" t="s">
        <v>193</v>
      </c>
      <c r="O205" s="226" t="s">
        <v>147</v>
      </c>
      <c r="P205" s="210" t="s">
        <v>193</v>
      </c>
    </row>
    <row r="206" spans="2:23" x14ac:dyDescent="0.25">
      <c r="B206" s="210"/>
    </row>
    <row r="207" spans="2:23" x14ac:dyDescent="0.25">
      <c r="B207" s="227" t="s">
        <v>145</v>
      </c>
      <c r="C207" s="227" t="s">
        <v>146</v>
      </c>
      <c r="E207" s="227" t="s">
        <v>146</v>
      </c>
      <c r="J207" s="227" t="s">
        <v>146</v>
      </c>
      <c r="O207" s="227" t="s">
        <v>146</v>
      </c>
    </row>
    <row r="208" spans="2:23" x14ac:dyDescent="0.25">
      <c r="B208" s="210" t="s">
        <v>151</v>
      </c>
      <c r="C208" s="210" t="str">
        <f t="array" ref="C208:C211">_xll.d.TestUtils_Not(B208:B211)</f>
        <v>OK</v>
      </c>
      <c r="E208" s="210" t="str" cm="1">
        <f t="array" ref="E208">_xll.d.TestUtils_Or(E211:H211)</f>
        <v>OK</v>
      </c>
      <c r="J208" s="210" t="str" cm="1">
        <f t="array" ref="J208">_xll.d.TestUtils_Or(J211:M214)</f>
        <v>OK</v>
      </c>
      <c r="O208" s="210" t="str" cm="1">
        <f t="array" ref="O208">_xll.d.TestUtils_Or(O211,O213:Q213,S211:S214,U211:W214)</f>
        <v>OK</v>
      </c>
    </row>
    <row r="209" spans="2:23" x14ac:dyDescent="0.25">
      <c r="B209" s="210" t="s">
        <v>155</v>
      </c>
      <c r="C209" t="str">
        <v>WARNING</v>
      </c>
    </row>
    <row r="210" spans="2:23" x14ac:dyDescent="0.25">
      <c r="B210" s="210" t="s">
        <v>151</v>
      </c>
      <c r="C210" t="str">
        <v>OK</v>
      </c>
      <c r="E210" s="227" t="s">
        <v>145</v>
      </c>
      <c r="J210" s="82" t="s">
        <v>145</v>
      </c>
      <c r="O210" s="82" t="s">
        <v>145</v>
      </c>
    </row>
    <row r="211" spans="2:23" x14ac:dyDescent="0.25">
      <c r="B211" s="210" t="s">
        <v>141</v>
      </c>
      <c r="C211" t="str">
        <v>ERROR</v>
      </c>
      <c r="E211" s="210" t="s">
        <v>151</v>
      </c>
      <c r="F211" s="210" t="s">
        <v>141</v>
      </c>
      <c r="G211" s="210" t="s">
        <v>151</v>
      </c>
      <c r="H211" s="210" t="s">
        <v>155</v>
      </c>
      <c r="J211" s="210" t="s">
        <v>151</v>
      </c>
      <c r="K211" s="210" t="s">
        <v>151</v>
      </c>
      <c r="L211" s="210" t="s">
        <v>151</v>
      </c>
      <c r="M211" s="210" t="s">
        <v>151</v>
      </c>
      <c r="O211" s="210" t="s">
        <v>151</v>
      </c>
      <c r="R211" s="210"/>
      <c r="S211" s="210" t="s">
        <v>151</v>
      </c>
      <c r="U211" s="210" t="s">
        <v>151</v>
      </c>
      <c r="V211" s="210" t="s">
        <v>151</v>
      </c>
      <c r="W211" s="210" t="s">
        <v>151</v>
      </c>
    </row>
    <row r="212" spans="2:23" x14ac:dyDescent="0.25">
      <c r="J212" s="210" t="s">
        <v>151</v>
      </c>
      <c r="K212" s="210" t="s">
        <v>151</v>
      </c>
      <c r="L212" s="210" t="s">
        <v>141</v>
      </c>
      <c r="M212" s="210" t="s">
        <v>151</v>
      </c>
      <c r="S212" s="210" t="s">
        <v>151</v>
      </c>
      <c r="U212" s="210" t="s">
        <v>151</v>
      </c>
      <c r="V212" s="210" t="s">
        <v>141</v>
      </c>
      <c r="W212" s="210" t="s">
        <v>151</v>
      </c>
    </row>
    <row r="213" spans="2:23" x14ac:dyDescent="0.25">
      <c r="J213" s="210" t="s">
        <v>151</v>
      </c>
      <c r="K213" s="210" t="s">
        <v>155</v>
      </c>
      <c r="L213" s="210" t="s">
        <v>151</v>
      </c>
      <c r="M213" s="210" t="s">
        <v>151</v>
      </c>
      <c r="O213" s="210" t="s">
        <v>151</v>
      </c>
      <c r="P213" s="210" t="s">
        <v>151</v>
      </c>
      <c r="Q213" s="210" t="s">
        <v>155</v>
      </c>
      <c r="S213" s="210" t="s">
        <v>151</v>
      </c>
      <c r="U213" s="210" t="s">
        <v>151</v>
      </c>
      <c r="V213" s="210" t="s">
        <v>151</v>
      </c>
      <c r="W213" s="210" t="s">
        <v>151</v>
      </c>
    </row>
    <row r="214" spans="2:23" x14ac:dyDescent="0.25">
      <c r="J214" s="210" t="s">
        <v>151</v>
      </c>
      <c r="K214" s="210" t="s">
        <v>151</v>
      </c>
      <c r="L214" s="210" t="s">
        <v>151</v>
      </c>
      <c r="M214" s="210" t="s">
        <v>151</v>
      </c>
      <c r="S214" s="210" t="s">
        <v>151</v>
      </c>
      <c r="U214" s="210" t="s">
        <v>151</v>
      </c>
      <c r="V214" s="210" t="s">
        <v>151</v>
      </c>
      <c r="W214" s="210" t="s">
        <v>151</v>
      </c>
    </row>
    <row r="217" spans="2:23" ht="18.75" x14ac:dyDescent="0.3">
      <c r="B217" s="3" t="s">
        <v>207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60" t="s">
        <v>138</v>
      </c>
      <c r="C219" s="209" t="str" cm="1">
        <f t="array" ref="C219">_xll.d.TestUtils_And(C225,F225,I225,L225)</f>
        <v>OK</v>
      </c>
    </row>
    <row r="221" spans="2:23" x14ac:dyDescent="0.25">
      <c r="B221" t="s">
        <v>212</v>
      </c>
    </row>
    <row r="223" spans="2:23" ht="15.75" x14ac:dyDescent="0.25">
      <c r="B223" s="4" t="s">
        <v>208</v>
      </c>
      <c r="C223" s="4"/>
      <c r="E223" s="4" t="s">
        <v>209</v>
      </c>
      <c r="F223" s="4"/>
      <c r="H223" s="4" t="s">
        <v>210</v>
      </c>
      <c r="I223" s="4"/>
      <c r="K223" s="4" t="s">
        <v>211</v>
      </c>
      <c r="L223" s="4"/>
      <c r="N223" s="4" t="s">
        <v>215</v>
      </c>
      <c r="O223" s="4"/>
      <c r="Q223" s="4" t="s">
        <v>217</v>
      </c>
      <c r="R223" s="4"/>
      <c r="T223" s="4" t="s">
        <v>217</v>
      </c>
      <c r="U223" s="4"/>
    </row>
    <row r="225" spans="2:21" x14ac:dyDescent="0.25">
      <c r="B225" s="60" t="s">
        <v>138</v>
      </c>
      <c r="C225" s="209" t="str" cm="1">
        <f t="array" ref="C225">_xll.d.TestUtils_IsTrue(C230="ERROR")</f>
        <v>OK</v>
      </c>
      <c r="E225" s="60" t="s">
        <v>138</v>
      </c>
      <c r="F225" s="209" t="str" cm="1">
        <f t="array" ref="F225">_xll.d.TestUtils_IsTrue(F230="ERROR")</f>
        <v>OK</v>
      </c>
      <c r="H225" s="60" t="s">
        <v>138</v>
      </c>
      <c r="I225" s="209" t="str" cm="1">
        <f t="array" ref="I225">_xll.d.TestUtils_IsTrue(_xll.d.TestUtils_Or(I230:I233)="ERROR")</f>
        <v>OK</v>
      </c>
      <c r="K225" s="60" t="s">
        <v>138</v>
      </c>
      <c r="L225" s="209" t="str" cm="1">
        <f t="array" ref="L225">_xll.d.TestUtils_IsTrue(L230="ERROR")</f>
        <v>OK</v>
      </c>
      <c r="N225" s="60" t="s">
        <v>138</v>
      </c>
      <c r="O225" s="209" t="str" cm="1">
        <f t="array" ref="O225">_xll.d.TestUtils_IsTrue(O230="ERROR")</f>
        <v>OK</v>
      </c>
      <c r="Q225" s="60" t="s">
        <v>138</v>
      </c>
      <c r="R225" s="209" t="str" cm="1">
        <f t="array" ref="R225">_xll.d.TestUtils_IsTrue(R230="ERROR")</f>
        <v>OK</v>
      </c>
      <c r="T225" s="60" t="s">
        <v>138</v>
      </c>
      <c r="U225" s="209" t="str" cm="1">
        <f t="array" ref="U225">_xll.d.TestUtils_IsTrue(U230="ERROR")</f>
        <v>OK</v>
      </c>
    </row>
    <row r="227" spans="2:21" x14ac:dyDescent="0.25">
      <c r="B227" s="226" t="s">
        <v>147</v>
      </c>
      <c r="C227" s="210" t="s">
        <v>192</v>
      </c>
      <c r="E227" s="226" t="s">
        <v>147</v>
      </c>
      <c r="F227" s="210" t="s">
        <v>193</v>
      </c>
      <c r="H227" s="226" t="s">
        <v>147</v>
      </c>
      <c r="I227" s="210" t="s">
        <v>213</v>
      </c>
      <c r="K227" s="226" t="s">
        <v>147</v>
      </c>
      <c r="L227" s="210" t="s">
        <v>214</v>
      </c>
      <c r="N227" s="226" t="s">
        <v>147</v>
      </c>
      <c r="O227" s="210" t="s">
        <v>216</v>
      </c>
      <c r="Q227" s="226" t="s">
        <v>147</v>
      </c>
      <c r="R227" s="210" t="s">
        <v>218</v>
      </c>
      <c r="T227" s="226" t="s">
        <v>147</v>
      </c>
      <c r="U227" s="210" t="s">
        <v>219</v>
      </c>
    </row>
    <row r="228" spans="2:21" x14ac:dyDescent="0.25">
      <c r="B228" s="210"/>
    </row>
    <row r="229" spans="2:21" x14ac:dyDescent="0.25">
      <c r="B229" s="227" t="s">
        <v>145</v>
      </c>
      <c r="C229" s="227" t="s">
        <v>146</v>
      </c>
      <c r="E229" s="227" t="s">
        <v>145</v>
      </c>
      <c r="F229" s="227" t="s">
        <v>146</v>
      </c>
      <c r="H229" s="227" t="s">
        <v>145</v>
      </c>
      <c r="I229" s="227" t="s">
        <v>146</v>
      </c>
      <c r="K229" s="227" t="s">
        <v>145</v>
      </c>
      <c r="L229" s="227" t="s">
        <v>146</v>
      </c>
      <c r="N229" s="227" t="s">
        <v>145</v>
      </c>
      <c r="O229" s="227" t="s">
        <v>146</v>
      </c>
      <c r="Q229" s="227" t="s">
        <v>145</v>
      </c>
      <c r="R229" s="227" t="s">
        <v>146</v>
      </c>
      <c r="T229" s="227" t="s">
        <v>145</v>
      </c>
      <c r="U229" s="227" t="s">
        <v>146</v>
      </c>
    </row>
    <row r="230" spans="2:21" x14ac:dyDescent="0.25">
      <c r="B230" s="210" t="s">
        <v>141</v>
      </c>
      <c r="C230" s="210" t="str" cm="1">
        <f t="array" ref="C230">_xll.d.TestUtils_And(B230:B233)</f>
        <v>ERROR</v>
      </c>
      <c r="E230" s="210" t="s">
        <v>141</v>
      </c>
      <c r="F230" s="210" t="str" cm="1">
        <f t="array" ref="F230">_xll.d.TestUtils_Or(E230:E233)</f>
        <v>ERROR</v>
      </c>
      <c r="H230" s="210" t="s">
        <v>141</v>
      </c>
      <c r="I230" s="209" t="str">
        <f t="array" ref="I230:I233">_xll.d.TestUtils_Not(H230:H233)</f>
        <v>ERROR</v>
      </c>
      <c r="K230" s="210" t="e">
        <f>NA()</f>
        <v>#N/A</v>
      </c>
      <c r="L230" s="209" t="str" cm="1">
        <f t="array" ref="L230">_xll.d.TestUtils_IsTrue(K230)</f>
        <v>ERROR</v>
      </c>
      <c r="N230" s="210" t="e">
        <f>NA()</f>
        <v>#N/A</v>
      </c>
      <c r="O230" s="209" t="str" cm="1">
        <f t="array" ref="O230">_xll.d.TestUtils_IsFalse(N230)</f>
        <v>ERROR</v>
      </c>
      <c r="Q230" s="210">
        <v>10</v>
      </c>
      <c r="R230" s="209" t="str" cm="1">
        <f t="array" ref="R230">_xll.d.TestUtils_GreaterThan(Q230,Q231)</f>
        <v>ERROR</v>
      </c>
      <c r="T230" s="210">
        <v>10</v>
      </c>
      <c r="U230" s="209" t="str" cm="1">
        <f t="array" ref="U230">_xll.d.TestUtils_LessThan(T230,T231)</f>
        <v>ERROR</v>
      </c>
    </row>
    <row r="231" spans="2:21" x14ac:dyDescent="0.25">
      <c r="B231" s="210" t="s">
        <v>155</v>
      </c>
      <c r="E231" s="210" t="s">
        <v>155</v>
      </c>
      <c r="H231" s="210" t="s">
        <v>155</v>
      </c>
      <c r="I231" s="209" t="str">
        <v>ERROR</v>
      </c>
      <c r="K231" s="209"/>
      <c r="N231" s="209"/>
      <c r="Q231" t="e">
        <f>NA()</f>
        <v>#N/A</v>
      </c>
      <c r="T231" t="e">
        <f>NA()</f>
        <v>#N/A</v>
      </c>
    </row>
    <row r="232" spans="2:21" x14ac:dyDescent="0.25">
      <c r="B232" s="210" t="e">
        <f>NA()</f>
        <v>#N/A</v>
      </c>
      <c r="E232" s="210" t="e">
        <f>NA()</f>
        <v>#N/A</v>
      </c>
      <c r="H232" s="210" t="e">
        <f>NA()</f>
        <v>#N/A</v>
      </c>
      <c r="I232" s="209" t="str">
        <v>ERROR</v>
      </c>
      <c r="L232" s="209"/>
    </row>
    <row r="233" spans="2:21" x14ac:dyDescent="0.25">
      <c r="B233" s="210" t="s">
        <v>141</v>
      </c>
      <c r="E233" s="210" t="s">
        <v>141</v>
      </c>
      <c r="F233" s="210"/>
      <c r="H233" s="210" t="s">
        <v>141</v>
      </c>
      <c r="I233" s="209" t="str">
        <v>ERROR</v>
      </c>
      <c r="K233" s="210"/>
      <c r="L233" s="209"/>
    </row>
    <row r="234" spans="2:21" x14ac:dyDescent="0.25">
      <c r="H234" s="210"/>
      <c r="I234" s="210"/>
    </row>
    <row r="235" spans="2:21" x14ac:dyDescent="0.25">
      <c r="H235" s="210"/>
      <c r="I235" s="210"/>
      <c r="L235" s="210"/>
    </row>
    <row r="236" spans="2:21" x14ac:dyDescent="0.25">
      <c r="H236" s="210"/>
      <c r="I236" s="210"/>
    </row>
  </sheetData>
  <conditionalFormatting sqref="C4 C7:C12">
    <cfRule type="cellIs" dxfId="128" priority="52" stopIfTrue="1" operator="equal">
      <formula>"ERROR"</formula>
    </cfRule>
    <cfRule type="cellIs" dxfId="127" priority="53" stopIfTrue="1" operator="equal">
      <formula>"OK"</formula>
    </cfRule>
    <cfRule type="cellIs" dxfId="126" priority="54" stopIfTrue="1" operator="equal">
      <formula>"WARNING"</formula>
    </cfRule>
  </conditionalFormatting>
  <conditionalFormatting sqref="C27 F27 K27 P27">
    <cfRule type="cellIs" dxfId="125" priority="55" stopIfTrue="1" operator="equal">
      <formula>"ERROR"</formula>
    </cfRule>
    <cfRule type="cellIs" dxfId="124" priority="56" stopIfTrue="1" operator="equal">
      <formula>"OK"</formula>
    </cfRule>
    <cfRule type="cellIs" dxfId="123" priority="57" stopIfTrue="1" operator="equal">
      <formula>"WARNING"</formula>
    </cfRule>
  </conditionalFormatting>
  <conditionalFormatting sqref="C49 F49 K49 P49">
    <cfRule type="cellIs" dxfId="122" priority="58" stopIfTrue="1" operator="equal">
      <formula>"ERROR"</formula>
    </cfRule>
    <cfRule type="cellIs" dxfId="121" priority="59" stopIfTrue="1" operator="equal">
      <formula>"OK"</formula>
    </cfRule>
    <cfRule type="cellIs" dxfId="120" priority="60" stopIfTrue="1" operator="equal">
      <formula>"WARNING"</formula>
    </cfRule>
  </conditionalFormatting>
  <conditionalFormatting sqref="C71 F71 K71 P71">
    <cfRule type="cellIs" dxfId="119" priority="61" stopIfTrue="1" operator="equal">
      <formula>"ERROR"</formula>
    </cfRule>
    <cfRule type="cellIs" dxfId="118" priority="62" stopIfTrue="1" operator="equal">
      <formula>"OK"</formula>
    </cfRule>
    <cfRule type="cellIs" dxfId="117" priority="63" stopIfTrue="1" operator="equal">
      <formula>"WARNING"</formula>
    </cfRule>
  </conditionalFormatting>
  <conditionalFormatting sqref="C93 F93 K93 P93">
    <cfRule type="cellIs" dxfId="116" priority="64" stopIfTrue="1" operator="equal">
      <formula>"ERROR"</formula>
    </cfRule>
    <cfRule type="cellIs" dxfId="115" priority="65" stopIfTrue="1" operator="equal">
      <formula>"OK"</formula>
    </cfRule>
    <cfRule type="cellIs" dxfId="114" priority="66" stopIfTrue="1" operator="equal">
      <formula>"WARNING"</formula>
    </cfRule>
  </conditionalFormatting>
  <conditionalFormatting sqref="C115 F115 K115 P115">
    <cfRule type="cellIs" dxfId="113" priority="67" stopIfTrue="1" operator="equal">
      <formula>"ERROR"</formula>
    </cfRule>
  </conditionalFormatting>
  <conditionalFormatting sqref="C115 F115 K115 P115">
    <cfRule type="cellIs" dxfId="112" priority="68" stopIfTrue="1" operator="equal">
      <formula>"OK"</formula>
    </cfRule>
  </conditionalFormatting>
  <conditionalFormatting sqref="C115 F115 K115 P115">
    <cfRule type="cellIs" dxfId="111" priority="69" stopIfTrue="1" operator="equal">
      <formula>"WARNING"</formula>
    </cfRule>
  </conditionalFormatting>
  <conditionalFormatting sqref="C137 F137 K137 P137">
    <cfRule type="cellIs" dxfId="110" priority="70" stopIfTrue="1" operator="equal">
      <formula>"ERROR"</formula>
    </cfRule>
  </conditionalFormatting>
  <conditionalFormatting sqref="C137 F137 K137 P137">
    <cfRule type="cellIs" dxfId="109" priority="71" stopIfTrue="1" operator="equal">
      <formula>"OK"</formula>
    </cfRule>
  </conditionalFormatting>
  <conditionalFormatting sqref="C137 F137 K137 P137">
    <cfRule type="cellIs" dxfId="108" priority="72" stopIfTrue="1" operator="equal">
      <formula>"WARNING"</formula>
    </cfRule>
  </conditionalFormatting>
  <conditionalFormatting sqref="C159 F159 K159 P159">
    <cfRule type="cellIs" dxfId="107" priority="49" stopIfTrue="1" operator="equal">
      <formula>"ERROR"</formula>
    </cfRule>
  </conditionalFormatting>
  <conditionalFormatting sqref="C159 F159 K159 P159">
    <cfRule type="cellIs" dxfId="106" priority="50" stopIfTrue="1" operator="equal">
      <formula>"OK"</formula>
    </cfRule>
  </conditionalFormatting>
  <conditionalFormatting sqref="C159 F159 K159 P159">
    <cfRule type="cellIs" dxfId="105" priority="51" stopIfTrue="1" operator="equal">
      <formula>"WARNING"</formula>
    </cfRule>
  </conditionalFormatting>
  <conditionalFormatting sqref="C153">
    <cfRule type="cellIs" dxfId="104" priority="73" stopIfTrue="1" operator="equal">
      <formula>"ERROR"</formula>
    </cfRule>
  </conditionalFormatting>
  <conditionalFormatting sqref="C153">
    <cfRule type="cellIs" dxfId="103" priority="74" stopIfTrue="1" operator="equal">
      <formula>"OK"</formula>
    </cfRule>
  </conditionalFormatting>
  <conditionalFormatting sqref="C153">
    <cfRule type="cellIs" dxfId="102" priority="75" stopIfTrue="1" operator="equal">
      <formula>"WARNING"</formula>
    </cfRule>
  </conditionalFormatting>
  <conditionalFormatting sqref="C131">
    <cfRule type="cellIs" dxfId="101" priority="46" stopIfTrue="1" operator="equal">
      <formula>"ERROR"</formula>
    </cfRule>
  </conditionalFormatting>
  <conditionalFormatting sqref="C131">
    <cfRule type="cellIs" dxfId="100" priority="47" stopIfTrue="1" operator="equal">
      <formula>"OK"</formula>
    </cfRule>
  </conditionalFormatting>
  <conditionalFormatting sqref="C131">
    <cfRule type="cellIs" dxfId="99" priority="48" stopIfTrue="1" operator="equal">
      <formula>"WARNING"</formula>
    </cfRule>
  </conditionalFormatting>
  <conditionalFormatting sqref="C109">
    <cfRule type="cellIs" dxfId="98" priority="43" stopIfTrue="1" operator="equal">
      <formula>"ERROR"</formula>
    </cfRule>
  </conditionalFormatting>
  <conditionalFormatting sqref="C109">
    <cfRule type="cellIs" dxfId="97" priority="44" stopIfTrue="1" operator="equal">
      <formula>"OK"</formula>
    </cfRule>
  </conditionalFormatting>
  <conditionalFormatting sqref="C109">
    <cfRule type="cellIs" dxfId="96" priority="45" stopIfTrue="1" operator="equal">
      <formula>"WARNING"</formula>
    </cfRule>
  </conditionalFormatting>
  <conditionalFormatting sqref="C87">
    <cfRule type="cellIs" dxfId="95" priority="40" stopIfTrue="1" operator="equal">
      <formula>"ERROR"</formula>
    </cfRule>
  </conditionalFormatting>
  <conditionalFormatting sqref="C87">
    <cfRule type="cellIs" dxfId="94" priority="41" stopIfTrue="1" operator="equal">
      <formula>"OK"</formula>
    </cfRule>
  </conditionalFormatting>
  <conditionalFormatting sqref="C87">
    <cfRule type="cellIs" dxfId="93" priority="42" stopIfTrue="1" operator="equal">
      <formula>"WARNING"</formula>
    </cfRule>
  </conditionalFormatting>
  <conditionalFormatting sqref="C65">
    <cfRule type="cellIs" dxfId="92" priority="37" stopIfTrue="1" operator="equal">
      <formula>"ERROR"</formula>
    </cfRule>
  </conditionalFormatting>
  <conditionalFormatting sqref="C65">
    <cfRule type="cellIs" dxfId="91" priority="38" stopIfTrue="1" operator="equal">
      <formula>"OK"</formula>
    </cfRule>
  </conditionalFormatting>
  <conditionalFormatting sqref="C65">
    <cfRule type="cellIs" dxfId="90" priority="39" stopIfTrue="1" operator="equal">
      <formula>"WARNING"</formula>
    </cfRule>
  </conditionalFormatting>
  <conditionalFormatting sqref="C43">
    <cfRule type="cellIs" dxfId="89" priority="34" stopIfTrue="1" operator="equal">
      <formula>"ERROR"</formula>
    </cfRule>
  </conditionalFormatting>
  <conditionalFormatting sqref="C43">
    <cfRule type="cellIs" dxfId="88" priority="35" stopIfTrue="1" operator="equal">
      <formula>"OK"</formula>
    </cfRule>
  </conditionalFormatting>
  <conditionalFormatting sqref="C43">
    <cfRule type="cellIs" dxfId="87" priority="36" stopIfTrue="1" operator="equal">
      <formula>"WARNING"</formula>
    </cfRule>
  </conditionalFormatting>
  <conditionalFormatting sqref="C21">
    <cfRule type="cellIs" dxfId="86" priority="31" stopIfTrue="1" operator="equal">
      <formula>"ERROR"</formula>
    </cfRule>
  </conditionalFormatting>
  <conditionalFormatting sqref="C21">
    <cfRule type="cellIs" dxfId="85" priority="32" stopIfTrue="1" operator="equal">
      <formula>"OK"</formula>
    </cfRule>
  </conditionalFormatting>
  <conditionalFormatting sqref="C21">
    <cfRule type="cellIs" dxfId="84" priority="33" stopIfTrue="1" operator="equal">
      <formula>"WARNING"</formula>
    </cfRule>
  </conditionalFormatting>
  <conditionalFormatting sqref="C13:C15">
    <cfRule type="cellIs" dxfId="83" priority="76" stopIfTrue="1" operator="equal">
      <formula>"ERROR"</formula>
    </cfRule>
    <cfRule type="cellIs" dxfId="82" priority="77" stopIfTrue="1" operator="equal">
      <formula>"OK"</formula>
    </cfRule>
    <cfRule type="cellIs" dxfId="81" priority="78" stopIfTrue="1" operator="equal">
      <formula>"WARNING"</formula>
    </cfRule>
  </conditionalFormatting>
  <conditionalFormatting sqref="C181 F181 K181 P181">
    <cfRule type="cellIs" dxfId="80" priority="25" stopIfTrue="1" operator="equal">
      <formula>"ERROR"</formula>
    </cfRule>
  </conditionalFormatting>
  <conditionalFormatting sqref="C181 F181 K181 P181">
    <cfRule type="cellIs" dxfId="79" priority="26" stopIfTrue="1" operator="equal">
      <formula>"OK"</formula>
    </cfRule>
  </conditionalFormatting>
  <conditionalFormatting sqref="C181 F181 K181 P181">
    <cfRule type="cellIs" dxfId="78" priority="27" stopIfTrue="1" operator="equal">
      <formula>"WARNING"</formula>
    </cfRule>
  </conditionalFormatting>
  <conditionalFormatting sqref="C175">
    <cfRule type="cellIs" dxfId="77" priority="28" stopIfTrue="1" operator="equal">
      <formula>"ERROR"</formula>
    </cfRule>
  </conditionalFormatting>
  <conditionalFormatting sqref="C175">
    <cfRule type="cellIs" dxfId="76" priority="29" stopIfTrue="1" operator="equal">
      <formula>"OK"</formula>
    </cfRule>
  </conditionalFormatting>
  <conditionalFormatting sqref="C175">
    <cfRule type="cellIs" dxfId="75" priority="30" stopIfTrue="1" operator="equal">
      <formula>"WARNING"</formula>
    </cfRule>
  </conditionalFormatting>
  <conditionalFormatting sqref="C203 F203 K203 P203">
    <cfRule type="cellIs" dxfId="74" priority="19" stopIfTrue="1" operator="equal">
      <formula>"ERROR"</formula>
    </cfRule>
  </conditionalFormatting>
  <conditionalFormatting sqref="C203 F203 K203 P203">
    <cfRule type="cellIs" dxfId="73" priority="20" stopIfTrue="1" operator="equal">
      <formula>"OK"</formula>
    </cfRule>
  </conditionalFormatting>
  <conditionalFormatting sqref="C203 F203 K203 P203">
    <cfRule type="cellIs" dxfId="72" priority="21" stopIfTrue="1" operator="equal">
      <formula>"WARNING"</formula>
    </cfRule>
  </conditionalFormatting>
  <conditionalFormatting sqref="C197">
    <cfRule type="cellIs" dxfId="71" priority="22" stopIfTrue="1" operator="equal">
      <formula>"ERROR"</formula>
    </cfRule>
  </conditionalFormatting>
  <conditionalFormatting sqref="C197">
    <cfRule type="cellIs" dxfId="70" priority="23" stopIfTrue="1" operator="equal">
      <formula>"OK"</formula>
    </cfRule>
  </conditionalFormatting>
  <conditionalFormatting sqref="C197">
    <cfRule type="cellIs" dxfId="69" priority="24" stopIfTrue="1" operator="equal">
      <formula>"WARNING"</formula>
    </cfRule>
  </conditionalFormatting>
  <conditionalFormatting sqref="C225 F225 I225 L225">
    <cfRule type="cellIs" dxfId="68" priority="13" stopIfTrue="1" operator="equal">
      <formula>"ERROR"</formula>
    </cfRule>
  </conditionalFormatting>
  <conditionalFormatting sqref="C225 F225 I225 L225">
    <cfRule type="cellIs" dxfId="67" priority="14" stopIfTrue="1" operator="equal">
      <formula>"OK"</formula>
    </cfRule>
  </conditionalFormatting>
  <conditionalFormatting sqref="C225 F225 I225 L225">
    <cfRule type="cellIs" dxfId="66" priority="15" stopIfTrue="1" operator="equal">
      <formula>"WARNING"</formula>
    </cfRule>
  </conditionalFormatting>
  <conditionalFormatting sqref="C219">
    <cfRule type="cellIs" dxfId="65" priority="16" stopIfTrue="1" operator="equal">
      <formula>"ERROR"</formula>
    </cfRule>
  </conditionalFormatting>
  <conditionalFormatting sqref="C219">
    <cfRule type="cellIs" dxfId="64" priority="17" stopIfTrue="1" operator="equal">
      <formula>"OK"</formula>
    </cfRule>
  </conditionalFormatting>
  <conditionalFormatting sqref="C219">
    <cfRule type="cellIs" dxfId="63" priority="18" stopIfTrue="1" operator="equal">
      <formula>"WARNING"</formula>
    </cfRule>
  </conditionalFormatting>
  <conditionalFormatting sqref="O225">
    <cfRule type="cellIs" dxfId="62" priority="10" stopIfTrue="1" operator="equal">
      <formula>"ERROR"</formula>
    </cfRule>
  </conditionalFormatting>
  <conditionalFormatting sqref="O225">
    <cfRule type="cellIs" dxfId="61" priority="11" stopIfTrue="1" operator="equal">
      <formula>"OK"</formula>
    </cfRule>
  </conditionalFormatting>
  <conditionalFormatting sqref="O225">
    <cfRule type="cellIs" dxfId="60" priority="12" stopIfTrue="1" operator="equal">
      <formula>"WARNING"</formula>
    </cfRule>
  </conditionalFormatting>
  <conditionalFormatting sqref="C16">
    <cfRule type="cellIs" dxfId="59" priority="79" stopIfTrue="1" operator="equal">
      <formula>"ERROR"</formula>
    </cfRule>
    <cfRule type="cellIs" dxfId="58" priority="80" stopIfTrue="1" operator="equal">
      <formula>"OK"</formula>
    </cfRule>
    <cfRule type="cellIs" dxfId="57" priority="81" stopIfTrue="1" operator="equal">
      <formula>"WARNING"</formula>
    </cfRule>
  </conditionalFormatting>
  <conditionalFormatting sqref="R225">
    <cfRule type="cellIs" dxfId="56" priority="4" stopIfTrue="1" operator="equal">
      <formula>"ERROR"</formula>
    </cfRule>
  </conditionalFormatting>
  <conditionalFormatting sqref="R225">
    <cfRule type="cellIs" dxfId="55" priority="5" stopIfTrue="1" operator="equal">
      <formula>"OK"</formula>
    </cfRule>
  </conditionalFormatting>
  <conditionalFormatting sqref="R225">
    <cfRule type="cellIs" dxfId="54" priority="6" stopIfTrue="1" operator="equal">
      <formula>"WARNING"</formula>
    </cfRule>
  </conditionalFormatting>
  <conditionalFormatting sqref="U225">
    <cfRule type="cellIs" dxfId="53" priority="1" stopIfTrue="1" operator="equal">
      <formula>"ERROR"</formula>
    </cfRule>
  </conditionalFormatting>
  <conditionalFormatting sqref="U225">
    <cfRule type="cellIs" dxfId="52" priority="2" stopIfTrue="1" operator="equal">
      <formula>"OK"</formula>
    </cfRule>
  </conditionalFormatting>
  <conditionalFormatting sqref="U225">
    <cfRule type="cellIs" dxfId="51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03"/>
  <sheetViews>
    <sheetView showGridLines="0" topLeftCell="A13" zoomScaleNormal="100" workbookViewId="0">
      <selection activeCell="G18" sqref="G18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50" t="s">
        <v>175</v>
      </c>
      <c r="C4" s="251" t="str" cm="1">
        <f t="array" aca="1" ref="C4" ca="1">_xll.d.TestUtils_And(C7:C12)</f>
        <v>ERROR</v>
      </c>
      <c r="E4" s="163" t="s">
        <v>126</v>
      </c>
      <c r="F4" s="60"/>
    </row>
    <row r="5" spans="2:56" x14ac:dyDescent="0.25">
      <c r="E5" s="164" t="s">
        <v>125</v>
      </c>
      <c r="F5" s="165"/>
    </row>
    <row r="6" spans="2:56" x14ac:dyDescent="0.25">
      <c r="B6" s="252" t="s">
        <v>10</v>
      </c>
      <c r="C6" s="253" t="s">
        <v>11</v>
      </c>
      <c r="E6" s="166" t="s">
        <v>124</v>
      </c>
      <c r="F6" s="160"/>
    </row>
    <row r="7" spans="2:56" x14ac:dyDescent="0.25">
      <c r="B7" s="249" t="s">
        <v>117</v>
      </c>
      <c r="C7" s="209" t="str">
        <f ca="1">C29</f>
        <v>ERROR</v>
      </c>
    </row>
    <row r="8" spans="2:56" x14ac:dyDescent="0.25">
      <c r="B8" s="249" t="s">
        <v>119</v>
      </c>
      <c r="C8" s="209" t="str">
        <f ca="1">C53</f>
        <v>OK</v>
      </c>
    </row>
    <row r="9" spans="2:56" x14ac:dyDescent="0.25">
      <c r="B9" s="249" t="s">
        <v>120</v>
      </c>
      <c r="C9" s="209" t="str">
        <f ca="1">C77</f>
        <v>OK</v>
      </c>
    </row>
    <row r="10" spans="2:56" x14ac:dyDescent="0.25">
      <c r="B10" s="249" t="s">
        <v>123</v>
      </c>
      <c r="C10" s="209" t="str">
        <f ca="1">C113</f>
        <v>OK</v>
      </c>
    </row>
    <row r="11" spans="2:56" x14ac:dyDescent="0.25">
      <c r="B11" s="249" t="s">
        <v>129</v>
      </c>
      <c r="C11" s="209" t="str">
        <f ca="1">C149</f>
        <v>OK</v>
      </c>
    </row>
    <row r="12" spans="2:56" x14ac:dyDescent="0.25">
      <c r="B12" s="249" t="s">
        <v>131</v>
      </c>
      <c r="C12" s="209" t="str">
        <f ca="1">C171</f>
        <v>OK</v>
      </c>
    </row>
    <row r="13" spans="2:56" x14ac:dyDescent="0.25">
      <c r="B13" s="249" t="s">
        <v>177</v>
      </c>
      <c r="C13" s="209" t="str">
        <f ca="1">C191</f>
        <v>OK</v>
      </c>
    </row>
    <row r="16" spans="2:56" s="68" customFormat="1" x14ac:dyDescent="0.25">
      <c r="B16" s="68" t="s">
        <v>95</v>
      </c>
    </row>
    <row r="17" spans="2:72" x14ac:dyDescent="0.25">
      <c r="B17" t="s">
        <v>96</v>
      </c>
    </row>
    <row r="19" spans="2:72" x14ac:dyDescent="0.25">
      <c r="B19" t="s">
        <v>109</v>
      </c>
    </row>
    <row r="21" spans="2:72" x14ac:dyDescent="0.25">
      <c r="B21" s="96" t="s">
        <v>110</v>
      </c>
    </row>
    <row r="22" spans="2:72" x14ac:dyDescent="0.25">
      <c r="B22" s="97" t="s">
        <v>127</v>
      </c>
    </row>
    <row r="23" spans="2:72" x14ac:dyDescent="0.25">
      <c r="B23" s="97" t="s">
        <v>135</v>
      </c>
    </row>
    <row r="24" spans="2:72" x14ac:dyDescent="0.25">
      <c r="B24" s="97" t="s">
        <v>176</v>
      </c>
    </row>
    <row r="25" spans="2:72" x14ac:dyDescent="0.25">
      <c r="B25" s="97" t="s">
        <v>187</v>
      </c>
    </row>
    <row r="27" spans="2:72" ht="18.75" x14ac:dyDescent="0.3">
      <c r="B27" s="91" t="s">
        <v>117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</row>
    <row r="29" spans="2:72" x14ac:dyDescent="0.25">
      <c r="B29" s="60" t="s">
        <v>138</v>
      </c>
      <c r="C29" s="209" t="str" cm="1">
        <f t="array" aca="1" ref="C29" ca="1">_xll.d.TestUtils_And(BD44:BT48)</f>
        <v>ERROR</v>
      </c>
    </row>
    <row r="31" spans="2:72" x14ac:dyDescent="0.25">
      <c r="B31" s="60" t="s">
        <v>118</v>
      </c>
      <c r="C31" s="60" t="s">
        <v>33</v>
      </c>
    </row>
    <row r="32" spans="2:72" x14ac:dyDescent="0.25">
      <c r="B32" s="110" t="s">
        <v>113</v>
      </c>
      <c r="C32" s="179" t="s">
        <v>133</v>
      </c>
    </row>
    <row r="33" spans="2:72" x14ac:dyDescent="0.25">
      <c r="B33" s="104" t="s">
        <v>114</v>
      </c>
      <c r="C33" s="180" t="s">
        <v>0</v>
      </c>
    </row>
    <row r="34" spans="2:72" x14ac:dyDescent="0.25">
      <c r="B34" s="106"/>
      <c r="C34" s="181" t="s">
        <v>115</v>
      </c>
    </row>
    <row r="35" spans="2:72" x14ac:dyDescent="0.25">
      <c r="B35" s="108"/>
      <c r="C35" s="182" t="s">
        <v>116</v>
      </c>
    </row>
    <row r="36" spans="2:72" x14ac:dyDescent="0.25">
      <c r="B36" s="178" t="s">
        <v>132</v>
      </c>
      <c r="C36" s="184">
        <v>2</v>
      </c>
    </row>
    <row r="37" spans="2:72" x14ac:dyDescent="0.25">
      <c r="B37" s="178" t="s">
        <v>133</v>
      </c>
      <c r="C37" s="184">
        <v>0</v>
      </c>
    </row>
    <row r="38" spans="2:72" x14ac:dyDescent="0.25">
      <c r="B38" s="158" t="s">
        <v>121</v>
      </c>
      <c r="C38" s="159"/>
    </row>
    <row r="40" spans="2:72" x14ac:dyDescent="0.25">
      <c r="B40" t="s">
        <v>97</v>
      </c>
    </row>
    <row r="42" spans="2:72" x14ac:dyDescent="0.25">
      <c r="B42" s="82" t="s">
        <v>94</v>
      </c>
      <c r="T42" s="82" t="s">
        <v>111</v>
      </c>
      <c r="AL42" s="82" t="s">
        <v>112</v>
      </c>
      <c r="BD42" s="82" t="s">
        <v>139</v>
      </c>
    </row>
    <row r="44" spans="2:72" x14ac:dyDescent="0.25">
      <c r="B44" s="12" t="s">
        <v>99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103" t="s">
        <v>99</v>
      </c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L44" s="150" t="s">
        <v>99</v>
      </c>
      <c r="AM44" s="258"/>
      <c r="AN44" s="258"/>
      <c r="AO44" s="258"/>
      <c r="AP44" s="258"/>
      <c r="AQ44" s="258"/>
      <c r="AR44" s="258"/>
      <c r="AS44" s="258"/>
      <c r="AT44" s="258"/>
      <c r="AU44" s="258"/>
      <c r="AV44" s="258"/>
      <c r="AW44" s="258"/>
      <c r="AX44" s="258"/>
      <c r="AY44" s="258"/>
      <c r="AZ44" s="258"/>
      <c r="BA44" s="258"/>
      <c r="BB44" s="151"/>
      <c r="BD44" s="209" t="str" cm="1">
        <f t="array" aca="1" ref="BD44" ca="1">_xll.d.TestUtils_IsTrue(_xll.d.Formatting_Equal(B44,AL44))</f>
        <v>OK</v>
      </c>
      <c r="BE44" s="209" t="str" cm="1">
        <f t="array" aca="1" ref="BE44" ca="1">_xll.d.TestUtils_IsTrue(_xll.d.Formatting_Equal(C44,AM44))</f>
        <v>OK</v>
      </c>
      <c r="BF44" s="209" t="str" cm="1">
        <f t="array" aca="1" ref="BF44" ca="1">_xll.d.TestUtils_IsTrue(_xll.d.Formatting_Equal(D44,AN44))</f>
        <v>OK</v>
      </c>
      <c r="BG44" s="209" t="str" cm="1">
        <f t="array" aca="1" ref="BG44" ca="1">_xll.d.TestUtils_IsTrue(_xll.d.Formatting_Equal(E44,AO44))</f>
        <v>OK</v>
      </c>
      <c r="BH44" s="209" t="str" cm="1">
        <f t="array" aca="1" ref="BH44" ca="1">_xll.d.TestUtils_IsTrue(_xll.d.Formatting_Equal(F44,AP44))</f>
        <v>OK</v>
      </c>
      <c r="BI44" s="209" t="str" cm="1">
        <f t="array" aca="1" ref="BI44" ca="1">_xll.d.TestUtils_IsTrue(_xll.d.Formatting_Equal(G44,AQ44))</f>
        <v>OK</v>
      </c>
      <c r="BJ44" s="209" t="str" cm="1">
        <f t="array" aca="1" ref="BJ44" ca="1">_xll.d.TestUtils_IsTrue(_xll.d.Formatting_Equal(H44,AR44))</f>
        <v>OK</v>
      </c>
      <c r="BK44" s="209" t="str" cm="1">
        <f t="array" aca="1" ref="BK44" ca="1">_xll.d.TestUtils_IsTrue(_xll.d.Formatting_Equal(I44,AS44))</f>
        <v>OK</v>
      </c>
      <c r="BL44" s="209" t="str" cm="1">
        <f t="array" aca="1" ref="BL44" ca="1">_xll.d.TestUtils_IsTrue(_xll.d.Formatting_Equal(J44,AT44))</f>
        <v>OK</v>
      </c>
      <c r="BM44" s="209" t="str" cm="1">
        <f t="array" aca="1" ref="BM44" ca="1">_xll.d.TestUtils_IsTrue(_xll.d.Formatting_Equal(K44,AU44))</f>
        <v>OK</v>
      </c>
      <c r="BN44" s="209" t="str" cm="1">
        <f t="array" aca="1" ref="BN44" ca="1">_xll.d.TestUtils_IsTrue(_xll.d.Formatting_Equal(L44,AV44))</f>
        <v>ERROR</v>
      </c>
      <c r="BO44" s="209" t="str" cm="1">
        <f t="array" aca="1" ref="BO44" ca="1">_xll.d.TestUtils_IsTrue(_xll.d.Formatting_Equal(M44,AW44))</f>
        <v>ERROR</v>
      </c>
      <c r="BP44" s="209" t="str" cm="1">
        <f t="array" aca="1" ref="BP44" ca="1">_xll.d.TestUtils_IsTrue(_xll.d.Formatting_Equal(N44,AX44))</f>
        <v>ERROR</v>
      </c>
      <c r="BQ44" s="209" t="str" cm="1">
        <f t="array" aca="1" ref="BQ44" ca="1">_xll.d.TestUtils_IsTrue(_xll.d.Formatting_Equal(O44,AY44))</f>
        <v>ERROR</v>
      </c>
      <c r="BR44" s="209" t="str" cm="1">
        <f t="array" aca="1" ref="BR44" ca="1">_xll.d.TestUtils_IsTrue(_xll.d.Formatting_Equal(P44,AZ44))</f>
        <v>ERROR</v>
      </c>
      <c r="BS44" s="209" t="str" cm="1">
        <f t="array" aca="1" ref="BS44" ca="1">_xll.d.TestUtils_IsTrue(_xll.d.Formatting_Equal(Q44,BA44))</f>
        <v>OK</v>
      </c>
      <c r="BT44" s="209" t="str" cm="1">
        <f t="array" aca="1" ref="BT44" ca="1">_xll.d.TestUtils_IsTrue(_xll.d.Formatting_Equal(R44,BB44))</f>
        <v>OK</v>
      </c>
    </row>
    <row r="45" spans="2:72" x14ac:dyDescent="0.25">
      <c r="B45" s="86" t="s">
        <v>35</v>
      </c>
      <c r="C45" s="87" t="s">
        <v>0</v>
      </c>
      <c r="D45" s="87" t="s">
        <v>100</v>
      </c>
      <c r="E45" s="87" t="s">
        <v>101</v>
      </c>
      <c r="F45" s="87" t="s">
        <v>102</v>
      </c>
      <c r="G45" s="87" t="s">
        <v>103</v>
      </c>
      <c r="H45" s="87" t="s">
        <v>104</v>
      </c>
      <c r="I45" s="87" t="s">
        <v>83</v>
      </c>
      <c r="J45" s="87" t="s">
        <v>84</v>
      </c>
      <c r="K45" s="87" t="s">
        <v>85</v>
      </c>
      <c r="L45" s="87" t="s">
        <v>105</v>
      </c>
      <c r="M45" s="87" t="s">
        <v>25</v>
      </c>
      <c r="N45" s="87" t="s">
        <v>40</v>
      </c>
      <c r="O45" s="87" t="s">
        <v>106</v>
      </c>
      <c r="P45" s="87" t="s">
        <v>98</v>
      </c>
      <c r="Q45" s="87" t="s">
        <v>108</v>
      </c>
      <c r="R45" s="88" t="s">
        <v>107</v>
      </c>
      <c r="T45" s="103" t="s">
        <v>35</v>
      </c>
      <c r="U45" s="103" t="s">
        <v>0</v>
      </c>
      <c r="V45" s="103" t="s">
        <v>100</v>
      </c>
      <c r="W45" s="103" t="s">
        <v>101</v>
      </c>
      <c r="X45" s="103" t="s">
        <v>102</v>
      </c>
      <c r="Y45" s="103" t="s">
        <v>103</v>
      </c>
      <c r="Z45" s="103" t="s">
        <v>104</v>
      </c>
      <c r="AA45" s="103" t="s">
        <v>83</v>
      </c>
      <c r="AB45" s="103" t="s">
        <v>84</v>
      </c>
      <c r="AC45" s="103" t="s">
        <v>85</v>
      </c>
      <c r="AD45" s="103" t="s">
        <v>105</v>
      </c>
      <c r="AE45" s="103" t="s">
        <v>25</v>
      </c>
      <c r="AF45" s="103" t="s">
        <v>40</v>
      </c>
      <c r="AG45" s="103" t="s">
        <v>106</v>
      </c>
      <c r="AH45" s="103" t="s">
        <v>98</v>
      </c>
      <c r="AI45" s="103" t="s">
        <v>108</v>
      </c>
      <c r="AJ45" s="103" t="s">
        <v>107</v>
      </c>
      <c r="AL45" s="148" t="s">
        <v>35</v>
      </c>
      <c r="AM45" s="259" t="s">
        <v>0</v>
      </c>
      <c r="AN45" s="259" t="s">
        <v>100</v>
      </c>
      <c r="AO45" s="259" t="s">
        <v>101</v>
      </c>
      <c r="AP45" s="259" t="s">
        <v>102</v>
      </c>
      <c r="AQ45" s="259" t="s">
        <v>103</v>
      </c>
      <c r="AR45" s="259" t="s">
        <v>104</v>
      </c>
      <c r="AS45" s="259" t="s">
        <v>83</v>
      </c>
      <c r="AT45" s="259" t="s">
        <v>84</v>
      </c>
      <c r="AU45" s="259" t="s">
        <v>85</v>
      </c>
      <c r="AV45" s="259" t="s">
        <v>105</v>
      </c>
      <c r="AW45" s="259" t="s">
        <v>25</v>
      </c>
      <c r="AX45" s="259" t="s">
        <v>40</v>
      </c>
      <c r="AY45" s="259" t="s">
        <v>106</v>
      </c>
      <c r="AZ45" s="259" t="s">
        <v>98</v>
      </c>
      <c r="BA45" s="259" t="s">
        <v>108</v>
      </c>
      <c r="BB45" s="149" t="s">
        <v>107</v>
      </c>
      <c r="BD45" s="209" t="str" cm="1">
        <f t="array" aca="1" ref="BD45" ca="1">_xll.d.TestUtils_IsTrue(_xll.d.Formatting_Equal(B45,AL45))</f>
        <v>OK</v>
      </c>
      <c r="BE45" s="209" t="str" cm="1">
        <f t="array" aca="1" ref="BE45" ca="1">_xll.d.TestUtils_IsTrue(_xll.d.Formatting_Equal(C45,AM45))</f>
        <v>OK</v>
      </c>
      <c r="BF45" s="209" t="str" cm="1">
        <f t="array" aca="1" ref="BF45" ca="1">_xll.d.TestUtils_IsTrue(_xll.d.Formatting_Equal(D45,AN45))</f>
        <v>OK</v>
      </c>
      <c r="BG45" s="209" t="str" cm="1">
        <f t="array" aca="1" ref="BG45" ca="1">_xll.d.TestUtils_IsTrue(_xll.d.Formatting_Equal(E45,AO45))</f>
        <v>OK</v>
      </c>
      <c r="BH45" s="209" t="str" cm="1">
        <f t="array" aca="1" ref="BH45" ca="1">_xll.d.TestUtils_IsTrue(_xll.d.Formatting_Equal(F45,AP45))</f>
        <v>OK</v>
      </c>
      <c r="BI45" s="209" t="str" cm="1">
        <f t="array" aca="1" ref="BI45" ca="1">_xll.d.TestUtils_IsTrue(_xll.d.Formatting_Equal(G45,AQ45))</f>
        <v>OK</v>
      </c>
      <c r="BJ45" s="209" t="str" cm="1">
        <f t="array" aca="1" ref="BJ45" ca="1">_xll.d.TestUtils_IsTrue(_xll.d.Formatting_Equal(H45,AR45))</f>
        <v>OK</v>
      </c>
      <c r="BK45" s="209" t="str" cm="1">
        <f t="array" aca="1" ref="BK45" ca="1">_xll.d.TestUtils_IsTrue(_xll.d.Formatting_Equal(I45,AS45))</f>
        <v>OK</v>
      </c>
      <c r="BL45" s="209" t="str" cm="1">
        <f t="array" aca="1" ref="BL45" ca="1">_xll.d.TestUtils_IsTrue(_xll.d.Formatting_Equal(J45,AT45))</f>
        <v>OK</v>
      </c>
      <c r="BM45" s="209" t="str" cm="1">
        <f t="array" aca="1" ref="BM45" ca="1">_xll.d.TestUtils_IsTrue(_xll.d.Formatting_Equal(K45,AU45))</f>
        <v>OK</v>
      </c>
      <c r="BN45" s="209" t="str" cm="1">
        <f t="array" aca="1" ref="BN45" ca="1">_xll.d.TestUtils_IsTrue(_xll.d.Formatting_Equal(L45,AV45))</f>
        <v>ERROR</v>
      </c>
      <c r="BO45" s="209" t="str" cm="1">
        <f t="array" aca="1" ref="BO45" ca="1">_xll.d.TestUtils_IsTrue(_xll.d.Formatting_Equal(M45,AW45))</f>
        <v>ERROR</v>
      </c>
      <c r="BP45" s="209" t="str" cm="1">
        <f t="array" aca="1" ref="BP45" ca="1">_xll.d.TestUtils_IsTrue(_xll.d.Formatting_Equal(N45,AX45))</f>
        <v>ERROR</v>
      </c>
      <c r="BQ45" s="209" t="str" cm="1">
        <f t="array" aca="1" ref="BQ45" ca="1">_xll.d.TestUtils_IsTrue(_xll.d.Formatting_Equal(O45,AY45))</f>
        <v>ERROR</v>
      </c>
      <c r="BR45" s="209" t="str" cm="1">
        <f t="array" aca="1" ref="BR45" ca="1">_xll.d.TestUtils_IsTrue(_xll.d.Formatting_Equal(P45,AZ45))</f>
        <v>ERROR</v>
      </c>
      <c r="BS45" s="209" t="str" cm="1">
        <f t="array" aca="1" ref="BS45" ca="1">_xll.d.TestUtils_IsTrue(_xll.d.Formatting_Equal(Q45,BA45))</f>
        <v>OK</v>
      </c>
      <c r="BT45" s="209" t="str" cm="1">
        <f t="array" aca="1" ref="BT45" ca="1">_xll.d.TestUtils_IsTrue(_xll.d.Formatting_Equal(R45,BB45))</f>
        <v>OK</v>
      </c>
    </row>
    <row r="46" spans="2:72" x14ac:dyDescent="0.25">
      <c r="B46" s="140">
        <v>44562</v>
      </c>
      <c r="C46" s="143">
        <v>44562</v>
      </c>
      <c r="D46" s="122">
        <v>1000</v>
      </c>
      <c r="E46" s="125">
        <v>1000</v>
      </c>
      <c r="F46" s="128">
        <v>1000</v>
      </c>
      <c r="G46" s="131">
        <v>1000</v>
      </c>
      <c r="H46" s="134">
        <v>0.3</v>
      </c>
      <c r="I46" s="134">
        <v>0.3</v>
      </c>
      <c r="J46" s="134">
        <v>0.3</v>
      </c>
      <c r="K46" s="134">
        <v>0.3</v>
      </c>
      <c r="L46" s="134">
        <v>0.3</v>
      </c>
      <c r="M46" s="134">
        <v>0.3</v>
      </c>
      <c r="N46" s="134">
        <v>0.3</v>
      </c>
      <c r="O46" s="134">
        <v>0.3</v>
      </c>
      <c r="P46" s="134">
        <v>0.3</v>
      </c>
      <c r="Q46" s="134">
        <v>0.3</v>
      </c>
      <c r="R46" s="137">
        <v>0.3</v>
      </c>
      <c r="T46" s="103">
        <v>44562</v>
      </c>
      <c r="U46" s="103">
        <v>44562</v>
      </c>
      <c r="V46" s="103">
        <v>1000</v>
      </c>
      <c r="W46" s="103">
        <v>1000</v>
      </c>
      <c r="X46" s="103">
        <v>1000</v>
      </c>
      <c r="Y46" s="103">
        <v>1000</v>
      </c>
      <c r="Z46" s="103">
        <v>0.3</v>
      </c>
      <c r="AA46" s="103">
        <v>0.3</v>
      </c>
      <c r="AB46" s="103">
        <v>0.3</v>
      </c>
      <c r="AC46" s="103">
        <v>0.3</v>
      </c>
      <c r="AD46" s="103">
        <v>0.3</v>
      </c>
      <c r="AE46" s="103">
        <v>0.3</v>
      </c>
      <c r="AF46" s="103">
        <v>0.3</v>
      </c>
      <c r="AG46" s="103">
        <v>0.3</v>
      </c>
      <c r="AH46" s="103">
        <v>0.3</v>
      </c>
      <c r="AI46" s="103">
        <v>0.3</v>
      </c>
      <c r="AJ46" s="103">
        <v>0.3</v>
      </c>
      <c r="AL46" s="203">
        <v>44562</v>
      </c>
      <c r="AM46" s="206">
        <v>44562</v>
      </c>
      <c r="AN46" s="185">
        <v>1000</v>
      </c>
      <c r="AO46" s="188">
        <v>1000</v>
      </c>
      <c r="AP46" s="191">
        <v>1000</v>
      </c>
      <c r="AQ46" s="194">
        <v>1000</v>
      </c>
      <c r="AR46" s="197">
        <v>0.3</v>
      </c>
      <c r="AS46" s="197">
        <v>0.3</v>
      </c>
      <c r="AT46" s="197">
        <v>0.3</v>
      </c>
      <c r="AU46" s="197">
        <v>0.3</v>
      </c>
      <c r="AV46" s="197">
        <v>0.3</v>
      </c>
      <c r="AW46" s="197">
        <v>0.3</v>
      </c>
      <c r="AX46" s="197">
        <v>0.3</v>
      </c>
      <c r="AY46" s="197">
        <v>0.3</v>
      </c>
      <c r="AZ46" s="197">
        <v>0.3</v>
      </c>
      <c r="BA46" s="197">
        <v>0.3</v>
      </c>
      <c r="BB46" s="200">
        <v>0.3</v>
      </c>
      <c r="BD46" s="209" t="str" cm="1">
        <f t="array" aca="1" ref="BD46" ca="1">_xll.d.TestUtils_IsTrue(_xll.d.Formatting_Equal(B46,AL46))</f>
        <v>OK</v>
      </c>
      <c r="BE46" s="209" t="str" cm="1">
        <f t="array" aca="1" ref="BE46" ca="1">_xll.d.TestUtils_IsTrue(_xll.d.Formatting_Equal(C46,AM46))</f>
        <v>OK</v>
      </c>
      <c r="BF46" s="209" t="str" cm="1">
        <f t="array" aca="1" ref="BF46" ca="1">_xll.d.TestUtils_IsTrue(_xll.d.Formatting_Equal(D46,AN46))</f>
        <v>OK</v>
      </c>
      <c r="BG46" s="209" t="str" cm="1">
        <f t="array" aca="1" ref="BG46" ca="1">_xll.d.TestUtils_IsTrue(_xll.d.Formatting_Equal(E46,AO46))</f>
        <v>OK</v>
      </c>
      <c r="BH46" s="209" t="str" cm="1">
        <f t="array" aca="1" ref="BH46" ca="1">_xll.d.TestUtils_IsTrue(_xll.d.Formatting_Equal(F46,AP46))</f>
        <v>OK</v>
      </c>
      <c r="BI46" s="209" t="str" cm="1">
        <f t="array" aca="1" ref="BI46" ca="1">_xll.d.TestUtils_IsTrue(_xll.d.Formatting_Equal(G46,AQ46))</f>
        <v>OK</v>
      </c>
      <c r="BJ46" s="209" t="str" cm="1">
        <f t="array" aca="1" ref="BJ46" ca="1">_xll.d.TestUtils_IsTrue(_xll.d.Formatting_Equal(H46,AR46))</f>
        <v>OK</v>
      </c>
      <c r="BK46" s="209" t="str" cm="1">
        <f t="array" aca="1" ref="BK46" ca="1">_xll.d.TestUtils_IsTrue(_xll.d.Formatting_Equal(I46,AS46))</f>
        <v>OK</v>
      </c>
      <c r="BL46" s="209" t="str" cm="1">
        <f t="array" aca="1" ref="BL46" ca="1">_xll.d.TestUtils_IsTrue(_xll.d.Formatting_Equal(J46,AT46))</f>
        <v>OK</v>
      </c>
      <c r="BM46" s="209" t="str" cm="1">
        <f t="array" aca="1" ref="BM46" ca="1">_xll.d.TestUtils_IsTrue(_xll.d.Formatting_Equal(K46,AU46))</f>
        <v>OK</v>
      </c>
      <c r="BN46" s="209" t="str" cm="1">
        <f t="array" aca="1" ref="BN46" ca="1">_xll.d.TestUtils_IsTrue(_xll.d.Formatting_Equal(L46,AV46))</f>
        <v>ERROR</v>
      </c>
      <c r="BO46" s="209" t="str" cm="1">
        <f t="array" aca="1" ref="BO46" ca="1">_xll.d.TestUtils_IsTrue(_xll.d.Formatting_Equal(M46,AW46))</f>
        <v>ERROR</v>
      </c>
      <c r="BP46" s="209" t="str" cm="1">
        <f t="array" aca="1" ref="BP46" ca="1">_xll.d.TestUtils_IsTrue(_xll.d.Formatting_Equal(N46,AX46))</f>
        <v>ERROR</v>
      </c>
      <c r="BQ46" s="209" t="str" cm="1">
        <f t="array" aca="1" ref="BQ46" ca="1">_xll.d.TestUtils_IsTrue(_xll.d.Formatting_Equal(O46,AY46))</f>
        <v>ERROR</v>
      </c>
      <c r="BR46" s="209" t="str" cm="1">
        <f t="array" aca="1" ref="BR46" ca="1">_xll.d.TestUtils_IsTrue(_xll.d.Formatting_Equal(P46,AZ46))</f>
        <v>ERROR</v>
      </c>
      <c r="BS46" s="209" t="str" cm="1">
        <f t="array" aca="1" ref="BS46" ca="1">_xll.d.TestUtils_IsTrue(_xll.d.Formatting_Equal(Q46,BA46))</f>
        <v>OK</v>
      </c>
      <c r="BT46" s="209" t="str" cm="1">
        <f t="array" aca="1" ref="BT46" ca="1">_xll.d.TestUtils_IsTrue(_xll.d.Formatting_Equal(R46,BB46))</f>
        <v>OK</v>
      </c>
    </row>
    <row r="47" spans="2:72" x14ac:dyDescent="0.25">
      <c r="B47" s="141">
        <v>44593</v>
      </c>
      <c r="C47" s="144">
        <v>44593</v>
      </c>
      <c r="D47" s="123">
        <v>2000</v>
      </c>
      <c r="E47" s="126">
        <v>2000</v>
      </c>
      <c r="F47" s="129">
        <v>2000</v>
      </c>
      <c r="G47" s="132">
        <v>2000</v>
      </c>
      <c r="H47" s="135">
        <v>0.4</v>
      </c>
      <c r="I47" s="135">
        <v>0.4</v>
      </c>
      <c r="J47" s="135">
        <v>0.4</v>
      </c>
      <c r="K47" s="135">
        <v>0.4</v>
      </c>
      <c r="L47" s="135">
        <v>0.4</v>
      </c>
      <c r="M47" s="135">
        <v>0.4</v>
      </c>
      <c r="N47" s="135">
        <v>0.4</v>
      </c>
      <c r="O47" s="135">
        <v>0.4</v>
      </c>
      <c r="P47" s="135">
        <v>0.4</v>
      </c>
      <c r="Q47" s="135">
        <v>0.4</v>
      </c>
      <c r="R47" s="138">
        <v>0.4</v>
      </c>
      <c r="T47" s="103">
        <v>44593</v>
      </c>
      <c r="U47" s="103">
        <v>44593</v>
      </c>
      <c r="V47" s="103">
        <v>2000</v>
      </c>
      <c r="W47" s="103">
        <v>2000</v>
      </c>
      <c r="X47" s="103">
        <v>2000</v>
      </c>
      <c r="Y47" s="103">
        <v>2000</v>
      </c>
      <c r="Z47" s="103">
        <v>0.4</v>
      </c>
      <c r="AA47" s="103">
        <v>0.4</v>
      </c>
      <c r="AB47" s="103">
        <v>0.4</v>
      </c>
      <c r="AC47" s="103">
        <v>0.4</v>
      </c>
      <c r="AD47" s="103">
        <v>0.4</v>
      </c>
      <c r="AE47" s="103">
        <v>0.4</v>
      </c>
      <c r="AF47" s="103">
        <v>0.4</v>
      </c>
      <c r="AG47" s="103">
        <v>0.4</v>
      </c>
      <c r="AH47" s="103">
        <v>0.4</v>
      </c>
      <c r="AI47" s="103">
        <v>0.4</v>
      </c>
      <c r="AJ47" s="103">
        <v>0.4</v>
      </c>
      <c r="AL47" s="204">
        <v>44593</v>
      </c>
      <c r="AM47" s="207">
        <v>44593</v>
      </c>
      <c r="AN47" s="186">
        <v>2000</v>
      </c>
      <c r="AO47" s="189">
        <v>2000</v>
      </c>
      <c r="AP47" s="192">
        <v>2000</v>
      </c>
      <c r="AQ47" s="195">
        <v>2000</v>
      </c>
      <c r="AR47" s="198">
        <v>0.4</v>
      </c>
      <c r="AS47" s="198">
        <v>0.4</v>
      </c>
      <c r="AT47" s="198">
        <v>0.4</v>
      </c>
      <c r="AU47" s="198">
        <v>0.4</v>
      </c>
      <c r="AV47" s="198">
        <v>0.4</v>
      </c>
      <c r="AW47" s="198">
        <v>0.4</v>
      </c>
      <c r="AX47" s="198">
        <v>0.4</v>
      </c>
      <c r="AY47" s="198">
        <v>0.4</v>
      </c>
      <c r="AZ47" s="198">
        <v>0.4</v>
      </c>
      <c r="BA47" s="198">
        <v>0.4</v>
      </c>
      <c r="BB47" s="201">
        <v>0.4</v>
      </c>
      <c r="BD47" s="209" t="str" cm="1">
        <f t="array" aca="1" ref="BD47" ca="1">_xll.d.TestUtils_IsTrue(_xll.d.Formatting_Equal(B47,AL47))</f>
        <v>OK</v>
      </c>
      <c r="BE47" s="209" t="str" cm="1">
        <f t="array" aca="1" ref="BE47" ca="1">_xll.d.TestUtils_IsTrue(_xll.d.Formatting_Equal(C47,AM47))</f>
        <v>OK</v>
      </c>
      <c r="BF47" s="209" t="str" cm="1">
        <f t="array" aca="1" ref="BF47" ca="1">_xll.d.TestUtils_IsTrue(_xll.d.Formatting_Equal(D47,AN47))</f>
        <v>OK</v>
      </c>
      <c r="BG47" s="209" t="str" cm="1">
        <f t="array" aca="1" ref="BG47" ca="1">_xll.d.TestUtils_IsTrue(_xll.d.Formatting_Equal(E47,AO47))</f>
        <v>OK</v>
      </c>
      <c r="BH47" s="209" t="str" cm="1">
        <f t="array" aca="1" ref="BH47" ca="1">_xll.d.TestUtils_IsTrue(_xll.d.Formatting_Equal(F47,AP47))</f>
        <v>OK</v>
      </c>
      <c r="BI47" s="209" t="str" cm="1">
        <f t="array" aca="1" ref="BI47" ca="1">_xll.d.TestUtils_IsTrue(_xll.d.Formatting_Equal(G47,AQ47))</f>
        <v>OK</v>
      </c>
      <c r="BJ47" s="209" t="str" cm="1">
        <f t="array" aca="1" ref="BJ47" ca="1">_xll.d.TestUtils_IsTrue(_xll.d.Formatting_Equal(H47,AR47))</f>
        <v>OK</v>
      </c>
      <c r="BK47" s="209" t="str" cm="1">
        <f t="array" aca="1" ref="BK47" ca="1">_xll.d.TestUtils_IsTrue(_xll.d.Formatting_Equal(I47,AS47))</f>
        <v>OK</v>
      </c>
      <c r="BL47" s="209" t="str" cm="1">
        <f t="array" aca="1" ref="BL47" ca="1">_xll.d.TestUtils_IsTrue(_xll.d.Formatting_Equal(J47,AT47))</f>
        <v>OK</v>
      </c>
      <c r="BM47" s="209" t="str" cm="1">
        <f t="array" aca="1" ref="BM47" ca="1">_xll.d.TestUtils_IsTrue(_xll.d.Formatting_Equal(K47,AU47))</f>
        <v>OK</v>
      </c>
      <c r="BN47" s="209" t="str" cm="1">
        <f t="array" aca="1" ref="BN47" ca="1">_xll.d.TestUtils_IsTrue(_xll.d.Formatting_Equal(L47,AV47))</f>
        <v>ERROR</v>
      </c>
      <c r="BO47" s="209" t="str" cm="1">
        <f t="array" aca="1" ref="BO47" ca="1">_xll.d.TestUtils_IsTrue(_xll.d.Formatting_Equal(M47,AW47))</f>
        <v>ERROR</v>
      </c>
      <c r="BP47" s="209" t="str" cm="1">
        <f t="array" aca="1" ref="BP47" ca="1">_xll.d.TestUtils_IsTrue(_xll.d.Formatting_Equal(N47,AX47))</f>
        <v>ERROR</v>
      </c>
      <c r="BQ47" s="209" t="str" cm="1">
        <f t="array" aca="1" ref="BQ47" ca="1">_xll.d.TestUtils_IsTrue(_xll.d.Formatting_Equal(O47,AY47))</f>
        <v>ERROR</v>
      </c>
      <c r="BR47" s="209" t="str" cm="1">
        <f t="array" aca="1" ref="BR47" ca="1">_xll.d.TestUtils_IsTrue(_xll.d.Formatting_Equal(P47,AZ47))</f>
        <v>ERROR</v>
      </c>
      <c r="BS47" s="209" t="str" cm="1">
        <f t="array" aca="1" ref="BS47" ca="1">_xll.d.TestUtils_IsTrue(_xll.d.Formatting_Equal(Q47,BA47))</f>
        <v>OK</v>
      </c>
      <c r="BT47" s="209" t="str" cm="1">
        <f t="array" aca="1" ref="BT47" ca="1">_xll.d.TestUtils_IsTrue(_xll.d.Formatting_Equal(R47,BB47))</f>
        <v>OK</v>
      </c>
    </row>
    <row r="48" spans="2:72" x14ac:dyDescent="0.25">
      <c r="B48" s="142">
        <v>44621</v>
      </c>
      <c r="C48" s="145">
        <v>44621</v>
      </c>
      <c r="D48" s="124">
        <v>3000</v>
      </c>
      <c r="E48" s="127">
        <v>3000</v>
      </c>
      <c r="F48" s="130">
        <v>3000</v>
      </c>
      <c r="G48" s="133">
        <v>3000</v>
      </c>
      <c r="H48" s="136">
        <v>0.5</v>
      </c>
      <c r="I48" s="136">
        <v>0.5</v>
      </c>
      <c r="J48" s="136">
        <v>0.5</v>
      </c>
      <c r="K48" s="136">
        <v>0.5</v>
      </c>
      <c r="L48" s="136">
        <v>0.5</v>
      </c>
      <c r="M48" s="136">
        <v>0.5</v>
      </c>
      <c r="N48" s="136">
        <v>0.5</v>
      </c>
      <c r="O48" s="136">
        <v>0.5</v>
      </c>
      <c r="P48" s="136">
        <v>0.5</v>
      </c>
      <c r="Q48" s="136">
        <v>0.5</v>
      </c>
      <c r="R48" s="139">
        <v>0.5</v>
      </c>
      <c r="T48" s="103">
        <v>44621</v>
      </c>
      <c r="U48" s="103">
        <v>44621</v>
      </c>
      <c r="V48" s="103">
        <v>3000</v>
      </c>
      <c r="W48" s="103">
        <v>3000</v>
      </c>
      <c r="X48" s="103">
        <v>3000</v>
      </c>
      <c r="Y48" s="103">
        <v>3000</v>
      </c>
      <c r="Z48" s="103">
        <v>0.5</v>
      </c>
      <c r="AA48" s="103">
        <v>0.5</v>
      </c>
      <c r="AB48" s="103">
        <v>0.5</v>
      </c>
      <c r="AC48" s="103">
        <v>0.5</v>
      </c>
      <c r="AD48" s="103">
        <v>0.5</v>
      </c>
      <c r="AE48" s="103">
        <v>0.5</v>
      </c>
      <c r="AF48" s="103">
        <v>0.5</v>
      </c>
      <c r="AG48" s="103">
        <v>0.5</v>
      </c>
      <c r="AH48" s="103">
        <v>0.5</v>
      </c>
      <c r="AI48" s="103">
        <v>0.5</v>
      </c>
      <c r="AJ48" s="103">
        <v>0.5</v>
      </c>
      <c r="AL48" s="205">
        <v>44621</v>
      </c>
      <c r="AM48" s="208">
        <v>44621</v>
      </c>
      <c r="AN48" s="187">
        <v>3000</v>
      </c>
      <c r="AO48" s="190">
        <v>3000</v>
      </c>
      <c r="AP48" s="193">
        <v>3000</v>
      </c>
      <c r="AQ48" s="196">
        <v>3000</v>
      </c>
      <c r="AR48" s="199">
        <v>0.5</v>
      </c>
      <c r="AS48" s="199">
        <v>0.5</v>
      </c>
      <c r="AT48" s="199">
        <v>0.5</v>
      </c>
      <c r="AU48" s="199">
        <v>0.5</v>
      </c>
      <c r="AV48" s="199">
        <v>0.5</v>
      </c>
      <c r="AW48" s="199">
        <v>0.5</v>
      </c>
      <c r="AX48" s="199">
        <v>0.5</v>
      </c>
      <c r="AY48" s="199">
        <v>0.5</v>
      </c>
      <c r="AZ48" s="199">
        <v>0.5</v>
      </c>
      <c r="BA48" s="199">
        <v>0.5</v>
      </c>
      <c r="BB48" s="202">
        <v>0.5</v>
      </c>
      <c r="BD48" s="209" t="str" cm="1">
        <f t="array" aca="1" ref="BD48" ca="1">_xll.d.TestUtils_IsTrue(_xll.d.Formatting_Equal(B48,AL48))</f>
        <v>OK</v>
      </c>
      <c r="BE48" s="209" t="str" cm="1">
        <f t="array" aca="1" ref="BE48" ca="1">_xll.d.TestUtils_IsTrue(_xll.d.Formatting_Equal(C48,AM48))</f>
        <v>OK</v>
      </c>
      <c r="BF48" s="209" t="str" cm="1">
        <f t="array" aca="1" ref="BF48" ca="1">_xll.d.TestUtils_IsTrue(_xll.d.Formatting_Equal(D48,AN48))</f>
        <v>OK</v>
      </c>
      <c r="BG48" s="209" t="str" cm="1">
        <f t="array" aca="1" ref="BG48" ca="1">_xll.d.TestUtils_IsTrue(_xll.d.Formatting_Equal(E48,AO48))</f>
        <v>OK</v>
      </c>
      <c r="BH48" s="209" t="str" cm="1">
        <f t="array" aca="1" ref="BH48" ca="1">_xll.d.TestUtils_IsTrue(_xll.d.Formatting_Equal(F48,AP48))</f>
        <v>OK</v>
      </c>
      <c r="BI48" s="209" t="str" cm="1">
        <f t="array" aca="1" ref="BI48" ca="1">_xll.d.TestUtils_IsTrue(_xll.d.Formatting_Equal(G48,AQ48))</f>
        <v>OK</v>
      </c>
      <c r="BJ48" s="209" t="str" cm="1">
        <f t="array" aca="1" ref="BJ48" ca="1">_xll.d.TestUtils_IsTrue(_xll.d.Formatting_Equal(H48,AR48))</f>
        <v>OK</v>
      </c>
      <c r="BK48" s="209" t="str" cm="1">
        <f t="array" aca="1" ref="BK48" ca="1">_xll.d.TestUtils_IsTrue(_xll.d.Formatting_Equal(I48,AS48))</f>
        <v>OK</v>
      </c>
      <c r="BL48" s="209" t="str" cm="1">
        <f t="array" aca="1" ref="BL48" ca="1">_xll.d.TestUtils_IsTrue(_xll.d.Formatting_Equal(J48,AT48))</f>
        <v>OK</v>
      </c>
      <c r="BM48" s="209" t="str" cm="1">
        <f t="array" aca="1" ref="BM48" ca="1">_xll.d.TestUtils_IsTrue(_xll.d.Formatting_Equal(K48,AU48))</f>
        <v>OK</v>
      </c>
      <c r="BN48" s="209" t="str" cm="1">
        <f t="array" aca="1" ref="BN48" ca="1">_xll.d.TestUtils_IsTrue(_xll.d.Formatting_Equal(L48,AV48))</f>
        <v>ERROR</v>
      </c>
      <c r="BO48" s="209" t="str" cm="1">
        <f t="array" aca="1" ref="BO48" ca="1">_xll.d.TestUtils_IsTrue(_xll.d.Formatting_Equal(M48,AW48))</f>
        <v>ERROR</v>
      </c>
      <c r="BP48" s="209" t="str" cm="1">
        <f t="array" aca="1" ref="BP48" ca="1">_xll.d.TestUtils_IsTrue(_xll.d.Formatting_Equal(N48,AX48))</f>
        <v>ERROR</v>
      </c>
      <c r="BQ48" s="209" t="str" cm="1">
        <f t="array" aca="1" ref="BQ48" ca="1">_xll.d.TestUtils_IsTrue(_xll.d.Formatting_Equal(O48,AY48))</f>
        <v>ERROR</v>
      </c>
      <c r="BR48" s="209" t="str" cm="1">
        <f t="array" aca="1" ref="BR48" ca="1">_xll.d.TestUtils_IsTrue(_xll.d.Formatting_Equal(P48,AZ48))</f>
        <v>ERROR</v>
      </c>
      <c r="BS48" s="209" t="str" cm="1">
        <f t="array" aca="1" ref="BS48" ca="1">_xll.d.TestUtils_IsTrue(_xll.d.Formatting_Equal(Q48,BA48))</f>
        <v>OK</v>
      </c>
      <c r="BT48" s="209" t="str" cm="1">
        <f t="array" aca="1" ref="BT48" ca="1">_xll.d.TestUtils_IsTrue(_xll.d.Formatting_Equal(R48,BB48))</f>
        <v>OK</v>
      </c>
    </row>
    <row r="49" spans="2:72" x14ac:dyDescent="0.25"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</row>
    <row r="51" spans="2:72" ht="18.75" x14ac:dyDescent="0.3">
      <c r="B51" s="3" t="s">
        <v>119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60" t="s">
        <v>138</v>
      </c>
      <c r="C53" s="209" t="str" cm="1">
        <f t="array" aca="1" ref="C53" ca="1">_xll.d.TestUtils_And(BD68:BT72)</f>
        <v>OK</v>
      </c>
    </row>
    <row r="55" spans="2:72" x14ac:dyDescent="0.25">
      <c r="B55" s="60" t="s">
        <v>118</v>
      </c>
      <c r="C55" s="60" t="s">
        <v>33</v>
      </c>
    </row>
    <row r="56" spans="2:72" x14ac:dyDescent="0.25">
      <c r="B56" s="110" t="s">
        <v>113</v>
      </c>
      <c r="C56" s="111" t="s">
        <v>132</v>
      </c>
    </row>
    <row r="57" spans="2:72" x14ac:dyDescent="0.25">
      <c r="B57" s="104" t="s">
        <v>114</v>
      </c>
      <c r="C57" s="105" t="s">
        <v>0</v>
      </c>
    </row>
    <row r="58" spans="2:72" x14ac:dyDescent="0.25">
      <c r="B58" s="106"/>
      <c r="C58" s="107" t="s">
        <v>115</v>
      </c>
    </row>
    <row r="59" spans="2:72" x14ac:dyDescent="0.25">
      <c r="B59" s="108"/>
      <c r="C59" s="109" t="s">
        <v>116</v>
      </c>
    </row>
    <row r="60" spans="2:72" x14ac:dyDescent="0.25">
      <c r="B60" s="178" t="s">
        <v>132</v>
      </c>
      <c r="C60" s="184">
        <v>2</v>
      </c>
    </row>
    <row r="61" spans="2:72" x14ac:dyDescent="0.25">
      <c r="B61" s="178" t="s">
        <v>133</v>
      </c>
      <c r="C61" s="184">
        <v>0</v>
      </c>
    </row>
    <row r="62" spans="2:72" x14ac:dyDescent="0.25">
      <c r="B62" s="158" t="s">
        <v>121</v>
      </c>
      <c r="C62" s="159"/>
    </row>
    <row r="63" spans="2:72" x14ac:dyDescent="0.25">
      <c r="B63" s="68"/>
      <c r="C63" s="68"/>
    </row>
    <row r="64" spans="2:72" x14ac:dyDescent="0.25">
      <c r="B64" t="s">
        <v>122</v>
      </c>
      <c r="C64" s="68"/>
    </row>
    <row r="65" spans="2:72" x14ac:dyDescent="0.25">
      <c r="B65" s="68"/>
      <c r="C65" s="68"/>
    </row>
    <row r="66" spans="2:72" x14ac:dyDescent="0.25">
      <c r="B66" s="82" t="s">
        <v>94</v>
      </c>
      <c r="T66" s="82" t="s">
        <v>111</v>
      </c>
      <c r="AL66" s="82" t="s">
        <v>112</v>
      </c>
      <c r="BD66" s="82" t="s">
        <v>139</v>
      </c>
    </row>
    <row r="68" spans="2:72" x14ac:dyDescent="0.25">
      <c r="B68" s="103" t="s">
        <v>99</v>
      </c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T68" s="12" t="s">
        <v>99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67" t="s">
        <v>99</v>
      </c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D68" s="209" t="str" cm="1">
        <f t="array" aca="1" ref="BD68" ca="1">_xll.d.TestUtils_IsTrue(_xll.d.Formatting_Equal(B68,AL68))</f>
        <v>OK</v>
      </c>
      <c r="BE68" s="209" t="str" cm="1">
        <f t="array" aca="1" ref="BE68" ca="1">_xll.d.TestUtils_IsTrue(_xll.d.Formatting_Equal(C68,AM68))</f>
        <v>OK</v>
      </c>
      <c r="BF68" s="209" t="str" cm="1">
        <f t="array" aca="1" ref="BF68" ca="1">_xll.d.TestUtils_IsTrue(_xll.d.Formatting_Equal(D68,AN68))</f>
        <v>OK</v>
      </c>
      <c r="BG68" s="209" t="str" cm="1">
        <f t="array" aca="1" ref="BG68" ca="1">_xll.d.TestUtils_IsTrue(_xll.d.Formatting_Equal(E68,AO68))</f>
        <v>OK</v>
      </c>
      <c r="BH68" s="209" t="str" cm="1">
        <f t="array" aca="1" ref="BH68" ca="1">_xll.d.TestUtils_IsTrue(_xll.d.Formatting_Equal(F68,AP68))</f>
        <v>OK</v>
      </c>
      <c r="BI68" s="209" t="str" cm="1">
        <f t="array" aca="1" ref="BI68" ca="1">_xll.d.TestUtils_IsTrue(_xll.d.Formatting_Equal(G68,AQ68))</f>
        <v>OK</v>
      </c>
      <c r="BJ68" s="209" t="str" cm="1">
        <f t="array" aca="1" ref="BJ68" ca="1">_xll.d.TestUtils_IsTrue(_xll.d.Formatting_Equal(H68,AR68))</f>
        <v>OK</v>
      </c>
      <c r="BK68" s="209" t="str" cm="1">
        <f t="array" aca="1" ref="BK68" ca="1">_xll.d.TestUtils_IsTrue(_xll.d.Formatting_Equal(I68,AS68))</f>
        <v>OK</v>
      </c>
      <c r="BL68" s="209" t="str" cm="1">
        <f t="array" aca="1" ref="BL68" ca="1">_xll.d.TestUtils_IsTrue(_xll.d.Formatting_Equal(J68,AT68))</f>
        <v>OK</v>
      </c>
      <c r="BM68" s="209" t="str" cm="1">
        <f t="array" aca="1" ref="BM68" ca="1">_xll.d.TestUtils_IsTrue(_xll.d.Formatting_Equal(K68,AU68))</f>
        <v>OK</v>
      </c>
      <c r="BN68" s="209" t="str" cm="1">
        <f t="array" aca="1" ref="BN68" ca="1">_xll.d.TestUtils_IsTrue(_xll.d.Formatting_Equal(L68,AV68))</f>
        <v>OK</v>
      </c>
      <c r="BO68" s="209" t="str" cm="1">
        <f t="array" aca="1" ref="BO68" ca="1">_xll.d.TestUtils_IsTrue(_xll.d.Formatting_Equal(M68,AW68))</f>
        <v>OK</v>
      </c>
      <c r="BP68" s="209" t="str" cm="1">
        <f t="array" aca="1" ref="BP68" ca="1">_xll.d.TestUtils_IsTrue(_xll.d.Formatting_Equal(N68,AX68))</f>
        <v>OK</v>
      </c>
      <c r="BQ68" s="209" t="str" cm="1">
        <f t="array" aca="1" ref="BQ68" ca="1">_xll.d.TestUtils_IsTrue(_xll.d.Formatting_Equal(O68,AY68))</f>
        <v>OK</v>
      </c>
      <c r="BR68" s="209" t="str" cm="1">
        <f t="array" aca="1" ref="BR68" ca="1">_xll.d.TestUtils_IsTrue(_xll.d.Formatting_Equal(P68,AZ68))</f>
        <v>OK</v>
      </c>
      <c r="BS68" s="209" t="str" cm="1">
        <f t="array" aca="1" ref="BS68" ca="1">_xll.d.TestUtils_IsTrue(_xll.d.Formatting_Equal(Q68,BA68))</f>
        <v>OK</v>
      </c>
      <c r="BT68" s="209" t="str" cm="1">
        <f t="array" aca="1" ref="BT68" ca="1">_xll.d.TestUtils_IsTrue(_xll.d.Formatting_Equal(R68,BB68))</f>
        <v>OK</v>
      </c>
    </row>
    <row r="69" spans="2:72" x14ac:dyDescent="0.25">
      <c r="B69" s="103" t="s">
        <v>35</v>
      </c>
      <c r="C69" s="103" t="s">
        <v>0</v>
      </c>
      <c r="D69" s="103" t="s">
        <v>100</v>
      </c>
      <c r="E69" s="103" t="s">
        <v>101</v>
      </c>
      <c r="F69" s="103" t="s">
        <v>102</v>
      </c>
      <c r="G69" s="103" t="s">
        <v>103</v>
      </c>
      <c r="H69" s="103" t="s">
        <v>104</v>
      </c>
      <c r="I69" s="103" t="s">
        <v>83</v>
      </c>
      <c r="J69" s="103" t="s">
        <v>84</v>
      </c>
      <c r="K69" s="103" t="s">
        <v>85</v>
      </c>
      <c r="L69" s="103" t="s">
        <v>105</v>
      </c>
      <c r="M69" s="103" t="s">
        <v>25</v>
      </c>
      <c r="N69" s="103" t="s">
        <v>40</v>
      </c>
      <c r="O69" s="103" t="s">
        <v>106</v>
      </c>
      <c r="P69" s="103" t="s">
        <v>98</v>
      </c>
      <c r="Q69" s="103" t="s">
        <v>108</v>
      </c>
      <c r="R69" s="103" t="s">
        <v>107</v>
      </c>
      <c r="T69" s="86" t="s">
        <v>35</v>
      </c>
      <c r="U69" s="87" t="s">
        <v>0</v>
      </c>
      <c r="V69" s="87" t="s">
        <v>100</v>
      </c>
      <c r="W69" s="87" t="s">
        <v>101</v>
      </c>
      <c r="X69" s="87" t="s">
        <v>102</v>
      </c>
      <c r="Y69" s="87" t="s">
        <v>103</v>
      </c>
      <c r="Z69" s="87" t="s">
        <v>104</v>
      </c>
      <c r="AA69" s="87" t="s">
        <v>83</v>
      </c>
      <c r="AB69" s="87" t="s">
        <v>84</v>
      </c>
      <c r="AC69" s="87" t="s">
        <v>85</v>
      </c>
      <c r="AD69" s="87" t="s">
        <v>105</v>
      </c>
      <c r="AE69" s="87" t="s">
        <v>25</v>
      </c>
      <c r="AF69" s="87" t="s">
        <v>40</v>
      </c>
      <c r="AG69" s="87" t="s">
        <v>106</v>
      </c>
      <c r="AH69" s="87" t="s">
        <v>98</v>
      </c>
      <c r="AI69" s="87" t="s">
        <v>108</v>
      </c>
      <c r="AJ69" s="88" t="s">
        <v>107</v>
      </c>
      <c r="AL69" s="167" t="s">
        <v>35</v>
      </c>
      <c r="AM69" s="167" t="s">
        <v>0</v>
      </c>
      <c r="AN69" s="167" t="s">
        <v>100</v>
      </c>
      <c r="AO69" s="167" t="s">
        <v>101</v>
      </c>
      <c r="AP69" s="167" t="s">
        <v>102</v>
      </c>
      <c r="AQ69" s="167" t="s">
        <v>103</v>
      </c>
      <c r="AR69" s="167" t="s">
        <v>104</v>
      </c>
      <c r="AS69" s="167" t="s">
        <v>83</v>
      </c>
      <c r="AT69" s="167" t="s">
        <v>84</v>
      </c>
      <c r="AU69" s="167" t="s">
        <v>85</v>
      </c>
      <c r="AV69" s="167" t="s">
        <v>105</v>
      </c>
      <c r="AW69" s="167" t="s">
        <v>25</v>
      </c>
      <c r="AX69" s="167" t="s">
        <v>40</v>
      </c>
      <c r="AY69" s="167" t="s">
        <v>106</v>
      </c>
      <c r="AZ69" s="167" t="s">
        <v>98</v>
      </c>
      <c r="BA69" s="167" t="s">
        <v>108</v>
      </c>
      <c r="BB69" s="167" t="s">
        <v>107</v>
      </c>
      <c r="BD69" s="209" t="str" cm="1">
        <f t="array" aca="1" ref="BD69" ca="1">_xll.d.TestUtils_IsTrue(_xll.d.Formatting_Equal(B69,AL69))</f>
        <v>OK</v>
      </c>
      <c r="BE69" s="209" t="str" cm="1">
        <f t="array" aca="1" ref="BE69" ca="1">_xll.d.TestUtils_IsTrue(_xll.d.Formatting_Equal(C69,AM69))</f>
        <v>OK</v>
      </c>
      <c r="BF69" s="209" t="str" cm="1">
        <f t="array" aca="1" ref="BF69" ca="1">_xll.d.TestUtils_IsTrue(_xll.d.Formatting_Equal(D69,AN69))</f>
        <v>OK</v>
      </c>
      <c r="BG69" s="209" t="str" cm="1">
        <f t="array" aca="1" ref="BG69" ca="1">_xll.d.TestUtils_IsTrue(_xll.d.Formatting_Equal(E69,AO69))</f>
        <v>OK</v>
      </c>
      <c r="BH69" s="209" t="str" cm="1">
        <f t="array" aca="1" ref="BH69" ca="1">_xll.d.TestUtils_IsTrue(_xll.d.Formatting_Equal(F69,AP69))</f>
        <v>OK</v>
      </c>
      <c r="BI69" s="209" t="str" cm="1">
        <f t="array" aca="1" ref="BI69" ca="1">_xll.d.TestUtils_IsTrue(_xll.d.Formatting_Equal(G69,AQ69))</f>
        <v>OK</v>
      </c>
      <c r="BJ69" s="209" t="str" cm="1">
        <f t="array" aca="1" ref="BJ69" ca="1">_xll.d.TestUtils_IsTrue(_xll.d.Formatting_Equal(H69,AR69))</f>
        <v>OK</v>
      </c>
      <c r="BK69" s="209" t="str" cm="1">
        <f t="array" aca="1" ref="BK69" ca="1">_xll.d.TestUtils_IsTrue(_xll.d.Formatting_Equal(I69,AS69))</f>
        <v>OK</v>
      </c>
      <c r="BL69" s="209" t="str" cm="1">
        <f t="array" aca="1" ref="BL69" ca="1">_xll.d.TestUtils_IsTrue(_xll.d.Formatting_Equal(J69,AT69))</f>
        <v>OK</v>
      </c>
      <c r="BM69" s="209" t="str" cm="1">
        <f t="array" aca="1" ref="BM69" ca="1">_xll.d.TestUtils_IsTrue(_xll.d.Formatting_Equal(K69,AU69))</f>
        <v>OK</v>
      </c>
      <c r="BN69" s="209" t="str" cm="1">
        <f t="array" aca="1" ref="BN69" ca="1">_xll.d.TestUtils_IsTrue(_xll.d.Formatting_Equal(L69,AV69))</f>
        <v>OK</v>
      </c>
      <c r="BO69" s="209" t="str" cm="1">
        <f t="array" aca="1" ref="BO69" ca="1">_xll.d.TestUtils_IsTrue(_xll.d.Formatting_Equal(M69,AW69))</f>
        <v>OK</v>
      </c>
      <c r="BP69" s="209" t="str" cm="1">
        <f t="array" aca="1" ref="BP69" ca="1">_xll.d.TestUtils_IsTrue(_xll.d.Formatting_Equal(N69,AX69))</f>
        <v>OK</v>
      </c>
      <c r="BQ69" s="209" t="str" cm="1">
        <f t="array" aca="1" ref="BQ69" ca="1">_xll.d.TestUtils_IsTrue(_xll.d.Formatting_Equal(O69,AY69))</f>
        <v>OK</v>
      </c>
      <c r="BR69" s="209" t="str" cm="1">
        <f t="array" aca="1" ref="BR69" ca="1">_xll.d.TestUtils_IsTrue(_xll.d.Formatting_Equal(P69,AZ69))</f>
        <v>OK</v>
      </c>
      <c r="BS69" s="209" t="str" cm="1">
        <f t="array" aca="1" ref="BS69" ca="1">_xll.d.TestUtils_IsTrue(_xll.d.Formatting_Equal(Q69,BA69))</f>
        <v>OK</v>
      </c>
      <c r="BT69" s="209" t="str" cm="1">
        <f t="array" aca="1" ref="BT69" ca="1">_xll.d.TestUtils_IsTrue(_xll.d.Formatting_Equal(R69,BB69))</f>
        <v>OK</v>
      </c>
    </row>
    <row r="70" spans="2:72" x14ac:dyDescent="0.25">
      <c r="B70" s="103">
        <v>44562</v>
      </c>
      <c r="C70" s="103">
        <v>44562</v>
      </c>
      <c r="D70" s="103">
        <v>1000</v>
      </c>
      <c r="E70" s="103">
        <v>1000</v>
      </c>
      <c r="F70" s="103">
        <v>1000</v>
      </c>
      <c r="G70" s="103">
        <v>1000</v>
      </c>
      <c r="H70" s="103">
        <v>0.3</v>
      </c>
      <c r="I70" s="103">
        <v>0.3</v>
      </c>
      <c r="J70" s="103">
        <v>0.3</v>
      </c>
      <c r="K70" s="103">
        <v>0.3</v>
      </c>
      <c r="L70" s="103">
        <v>0.3</v>
      </c>
      <c r="M70" s="103">
        <v>0.3</v>
      </c>
      <c r="N70" s="103">
        <v>0.3</v>
      </c>
      <c r="O70" s="103">
        <v>0.3</v>
      </c>
      <c r="P70" s="103">
        <v>0.3</v>
      </c>
      <c r="Q70" s="103">
        <v>0.3</v>
      </c>
      <c r="R70" s="103">
        <v>0.3</v>
      </c>
      <c r="T70" s="140">
        <v>44562</v>
      </c>
      <c r="U70" s="143">
        <v>44562</v>
      </c>
      <c r="V70" s="122">
        <v>1000</v>
      </c>
      <c r="W70" s="125">
        <v>1000</v>
      </c>
      <c r="X70" s="128">
        <v>1000</v>
      </c>
      <c r="Y70" s="131">
        <v>1000</v>
      </c>
      <c r="Z70" s="134">
        <v>0.3</v>
      </c>
      <c r="AA70" s="134">
        <v>0.3</v>
      </c>
      <c r="AB70" s="134">
        <v>0.3</v>
      </c>
      <c r="AC70" s="134">
        <v>0.3</v>
      </c>
      <c r="AD70" s="134">
        <v>0.3</v>
      </c>
      <c r="AE70" s="134">
        <v>0.3</v>
      </c>
      <c r="AF70" s="134">
        <v>0.3</v>
      </c>
      <c r="AG70" s="134">
        <v>0.3</v>
      </c>
      <c r="AH70" s="134">
        <v>0.3</v>
      </c>
      <c r="AI70" s="134">
        <v>0.3</v>
      </c>
      <c r="AJ70" s="137">
        <v>0.3</v>
      </c>
      <c r="AL70" s="167">
        <v>44562</v>
      </c>
      <c r="AM70" s="167">
        <v>44562</v>
      </c>
      <c r="AN70" s="168">
        <v>1000</v>
      </c>
      <c r="AO70" s="168">
        <v>1000</v>
      </c>
      <c r="AP70" s="168">
        <v>1000</v>
      </c>
      <c r="AQ70" s="168">
        <v>1000</v>
      </c>
      <c r="AR70" s="167">
        <v>0.3</v>
      </c>
      <c r="AS70" s="167">
        <v>0.3</v>
      </c>
      <c r="AT70" s="167">
        <v>0.3</v>
      </c>
      <c r="AU70" s="167">
        <v>0.3</v>
      </c>
      <c r="AV70" s="167">
        <v>0.3</v>
      </c>
      <c r="AW70" s="167">
        <v>0.3</v>
      </c>
      <c r="AX70" s="167">
        <v>0.3</v>
      </c>
      <c r="AY70" s="167">
        <v>0.3</v>
      </c>
      <c r="AZ70" s="167">
        <v>0.3</v>
      </c>
      <c r="BA70" s="167">
        <v>0.3</v>
      </c>
      <c r="BB70" s="167">
        <v>0.3</v>
      </c>
      <c r="BD70" s="209" t="str" cm="1">
        <f t="array" aca="1" ref="BD70" ca="1">_xll.d.TestUtils_IsTrue(_xll.d.Formatting_Equal(B70,AL70))</f>
        <v>OK</v>
      </c>
      <c r="BE70" s="209" t="str" cm="1">
        <f t="array" aca="1" ref="BE70" ca="1">_xll.d.TestUtils_IsTrue(_xll.d.Formatting_Equal(C70,AM70))</f>
        <v>OK</v>
      </c>
      <c r="BF70" s="209" t="str" cm="1">
        <f t="array" aca="1" ref="BF70" ca="1">_xll.d.TestUtils_IsTrue(_xll.d.Formatting_Equal(D70,AN70))</f>
        <v>OK</v>
      </c>
      <c r="BG70" s="209" t="str" cm="1">
        <f t="array" aca="1" ref="BG70" ca="1">_xll.d.TestUtils_IsTrue(_xll.d.Formatting_Equal(E70,AO70))</f>
        <v>OK</v>
      </c>
      <c r="BH70" s="209" t="str" cm="1">
        <f t="array" aca="1" ref="BH70" ca="1">_xll.d.TestUtils_IsTrue(_xll.d.Formatting_Equal(F70,AP70))</f>
        <v>OK</v>
      </c>
      <c r="BI70" s="209" t="str" cm="1">
        <f t="array" aca="1" ref="BI70" ca="1">_xll.d.TestUtils_IsTrue(_xll.d.Formatting_Equal(G70,AQ70))</f>
        <v>OK</v>
      </c>
      <c r="BJ70" s="209" t="str" cm="1">
        <f t="array" aca="1" ref="BJ70" ca="1">_xll.d.TestUtils_IsTrue(_xll.d.Formatting_Equal(H70,AR70))</f>
        <v>OK</v>
      </c>
      <c r="BK70" s="209" t="str" cm="1">
        <f t="array" aca="1" ref="BK70" ca="1">_xll.d.TestUtils_IsTrue(_xll.d.Formatting_Equal(I70,AS70))</f>
        <v>OK</v>
      </c>
      <c r="BL70" s="209" t="str" cm="1">
        <f t="array" aca="1" ref="BL70" ca="1">_xll.d.TestUtils_IsTrue(_xll.d.Formatting_Equal(J70,AT70))</f>
        <v>OK</v>
      </c>
      <c r="BM70" s="209" t="str" cm="1">
        <f t="array" aca="1" ref="BM70" ca="1">_xll.d.TestUtils_IsTrue(_xll.d.Formatting_Equal(K70,AU70))</f>
        <v>OK</v>
      </c>
      <c r="BN70" s="209" t="str" cm="1">
        <f t="array" aca="1" ref="BN70" ca="1">_xll.d.TestUtils_IsTrue(_xll.d.Formatting_Equal(L70,AV70))</f>
        <v>OK</v>
      </c>
      <c r="BO70" s="209" t="str" cm="1">
        <f t="array" aca="1" ref="BO70" ca="1">_xll.d.TestUtils_IsTrue(_xll.d.Formatting_Equal(M70,AW70))</f>
        <v>OK</v>
      </c>
      <c r="BP70" s="209" t="str" cm="1">
        <f t="array" aca="1" ref="BP70" ca="1">_xll.d.TestUtils_IsTrue(_xll.d.Formatting_Equal(N70,AX70))</f>
        <v>OK</v>
      </c>
      <c r="BQ70" s="209" t="str" cm="1">
        <f t="array" aca="1" ref="BQ70" ca="1">_xll.d.TestUtils_IsTrue(_xll.d.Formatting_Equal(O70,AY70))</f>
        <v>OK</v>
      </c>
      <c r="BR70" s="209" t="str" cm="1">
        <f t="array" aca="1" ref="BR70" ca="1">_xll.d.TestUtils_IsTrue(_xll.d.Formatting_Equal(P70,AZ70))</f>
        <v>OK</v>
      </c>
      <c r="BS70" s="209" t="str" cm="1">
        <f t="array" aca="1" ref="BS70" ca="1">_xll.d.TestUtils_IsTrue(_xll.d.Formatting_Equal(Q70,BA70))</f>
        <v>OK</v>
      </c>
      <c r="BT70" s="209" t="str" cm="1">
        <f t="array" aca="1" ref="BT70" ca="1">_xll.d.TestUtils_IsTrue(_xll.d.Formatting_Equal(R70,BB70))</f>
        <v>OK</v>
      </c>
    </row>
    <row r="71" spans="2:72" x14ac:dyDescent="0.25">
      <c r="B71" s="103">
        <v>44593</v>
      </c>
      <c r="C71" s="103">
        <v>44593</v>
      </c>
      <c r="D71" s="103">
        <v>2000</v>
      </c>
      <c r="E71" s="103">
        <v>2000</v>
      </c>
      <c r="F71" s="103">
        <v>2000</v>
      </c>
      <c r="G71" s="103">
        <v>2000</v>
      </c>
      <c r="H71" s="103">
        <v>0.4</v>
      </c>
      <c r="I71" s="103">
        <v>0.4</v>
      </c>
      <c r="J71" s="103">
        <v>0.4</v>
      </c>
      <c r="K71" s="103">
        <v>0.4</v>
      </c>
      <c r="L71" s="103">
        <v>0.4</v>
      </c>
      <c r="M71" s="103">
        <v>0.4</v>
      </c>
      <c r="N71" s="103">
        <v>0.4</v>
      </c>
      <c r="O71" s="103">
        <v>0.4</v>
      </c>
      <c r="P71" s="103">
        <v>0.4</v>
      </c>
      <c r="Q71" s="103">
        <v>0.4</v>
      </c>
      <c r="R71" s="103">
        <v>0.4</v>
      </c>
      <c r="T71" s="141">
        <v>44593</v>
      </c>
      <c r="U71" s="144">
        <v>44593</v>
      </c>
      <c r="V71" s="123">
        <v>2000</v>
      </c>
      <c r="W71" s="126">
        <v>2000</v>
      </c>
      <c r="X71" s="129">
        <v>2000</v>
      </c>
      <c r="Y71" s="132">
        <v>2000</v>
      </c>
      <c r="Z71" s="135">
        <v>0.4</v>
      </c>
      <c r="AA71" s="135">
        <v>0.4</v>
      </c>
      <c r="AB71" s="135">
        <v>0.4</v>
      </c>
      <c r="AC71" s="135">
        <v>0.4</v>
      </c>
      <c r="AD71" s="135">
        <v>0.4</v>
      </c>
      <c r="AE71" s="135">
        <v>0.4</v>
      </c>
      <c r="AF71" s="135">
        <v>0.4</v>
      </c>
      <c r="AG71" s="135">
        <v>0.4</v>
      </c>
      <c r="AH71" s="135">
        <v>0.4</v>
      </c>
      <c r="AI71" s="135">
        <v>0.4</v>
      </c>
      <c r="AJ71" s="138">
        <v>0.4</v>
      </c>
      <c r="AL71" s="167">
        <v>44593</v>
      </c>
      <c r="AM71" s="167">
        <v>44593</v>
      </c>
      <c r="AN71" s="168">
        <v>2000</v>
      </c>
      <c r="AO71" s="168">
        <v>2000</v>
      </c>
      <c r="AP71" s="168">
        <v>2000</v>
      </c>
      <c r="AQ71" s="168">
        <v>2000</v>
      </c>
      <c r="AR71" s="167">
        <v>0.4</v>
      </c>
      <c r="AS71" s="167">
        <v>0.4</v>
      </c>
      <c r="AT71" s="167">
        <v>0.4</v>
      </c>
      <c r="AU71" s="167">
        <v>0.4</v>
      </c>
      <c r="AV71" s="167">
        <v>0.4</v>
      </c>
      <c r="AW71" s="167">
        <v>0.4</v>
      </c>
      <c r="AX71" s="167">
        <v>0.4</v>
      </c>
      <c r="AY71" s="167">
        <v>0.4</v>
      </c>
      <c r="AZ71" s="167">
        <v>0.4</v>
      </c>
      <c r="BA71" s="167">
        <v>0.4</v>
      </c>
      <c r="BB71" s="167">
        <v>0.4</v>
      </c>
      <c r="BD71" s="209" t="str" cm="1">
        <f t="array" aca="1" ref="BD71" ca="1">_xll.d.TestUtils_IsTrue(_xll.d.Formatting_Equal(B71,AL71))</f>
        <v>OK</v>
      </c>
      <c r="BE71" s="209" t="str" cm="1">
        <f t="array" aca="1" ref="BE71" ca="1">_xll.d.TestUtils_IsTrue(_xll.d.Formatting_Equal(C71,AM71))</f>
        <v>OK</v>
      </c>
      <c r="BF71" s="209" t="str" cm="1">
        <f t="array" aca="1" ref="BF71" ca="1">_xll.d.TestUtils_IsTrue(_xll.d.Formatting_Equal(D71,AN71))</f>
        <v>OK</v>
      </c>
      <c r="BG71" s="209" t="str" cm="1">
        <f t="array" aca="1" ref="BG71" ca="1">_xll.d.TestUtils_IsTrue(_xll.d.Formatting_Equal(E71,AO71))</f>
        <v>OK</v>
      </c>
      <c r="BH71" s="209" t="str" cm="1">
        <f t="array" aca="1" ref="BH71" ca="1">_xll.d.TestUtils_IsTrue(_xll.d.Formatting_Equal(F71,AP71))</f>
        <v>OK</v>
      </c>
      <c r="BI71" s="209" t="str" cm="1">
        <f t="array" aca="1" ref="BI71" ca="1">_xll.d.TestUtils_IsTrue(_xll.d.Formatting_Equal(G71,AQ71))</f>
        <v>OK</v>
      </c>
      <c r="BJ71" s="209" t="str" cm="1">
        <f t="array" aca="1" ref="BJ71" ca="1">_xll.d.TestUtils_IsTrue(_xll.d.Formatting_Equal(H71,AR71))</f>
        <v>OK</v>
      </c>
      <c r="BK71" s="209" t="str" cm="1">
        <f t="array" aca="1" ref="BK71" ca="1">_xll.d.TestUtils_IsTrue(_xll.d.Formatting_Equal(I71,AS71))</f>
        <v>OK</v>
      </c>
      <c r="BL71" s="209" t="str" cm="1">
        <f t="array" aca="1" ref="BL71" ca="1">_xll.d.TestUtils_IsTrue(_xll.d.Formatting_Equal(J71,AT71))</f>
        <v>OK</v>
      </c>
      <c r="BM71" s="209" t="str" cm="1">
        <f t="array" aca="1" ref="BM71" ca="1">_xll.d.TestUtils_IsTrue(_xll.d.Formatting_Equal(K71,AU71))</f>
        <v>OK</v>
      </c>
      <c r="BN71" s="209" t="str" cm="1">
        <f t="array" aca="1" ref="BN71" ca="1">_xll.d.TestUtils_IsTrue(_xll.d.Formatting_Equal(L71,AV71))</f>
        <v>OK</v>
      </c>
      <c r="BO71" s="209" t="str" cm="1">
        <f t="array" aca="1" ref="BO71" ca="1">_xll.d.TestUtils_IsTrue(_xll.d.Formatting_Equal(M71,AW71))</f>
        <v>OK</v>
      </c>
      <c r="BP71" s="209" t="str" cm="1">
        <f t="array" aca="1" ref="BP71" ca="1">_xll.d.TestUtils_IsTrue(_xll.d.Formatting_Equal(N71,AX71))</f>
        <v>OK</v>
      </c>
      <c r="BQ71" s="209" t="str" cm="1">
        <f t="array" aca="1" ref="BQ71" ca="1">_xll.d.TestUtils_IsTrue(_xll.d.Formatting_Equal(O71,AY71))</f>
        <v>OK</v>
      </c>
      <c r="BR71" s="209" t="str" cm="1">
        <f t="array" aca="1" ref="BR71" ca="1">_xll.d.TestUtils_IsTrue(_xll.d.Formatting_Equal(P71,AZ71))</f>
        <v>OK</v>
      </c>
      <c r="BS71" s="209" t="str" cm="1">
        <f t="array" aca="1" ref="BS71" ca="1">_xll.d.TestUtils_IsTrue(_xll.d.Formatting_Equal(Q71,BA71))</f>
        <v>OK</v>
      </c>
      <c r="BT71" s="209" t="str" cm="1">
        <f t="array" aca="1" ref="BT71" ca="1">_xll.d.TestUtils_IsTrue(_xll.d.Formatting_Equal(R71,BB71))</f>
        <v>OK</v>
      </c>
    </row>
    <row r="72" spans="2:72" x14ac:dyDescent="0.25">
      <c r="B72" s="103">
        <v>44621</v>
      </c>
      <c r="C72" s="103">
        <v>44621</v>
      </c>
      <c r="D72" s="103">
        <v>3000</v>
      </c>
      <c r="E72" s="103">
        <v>3000</v>
      </c>
      <c r="F72" s="103">
        <v>3000</v>
      </c>
      <c r="G72" s="103">
        <v>3000</v>
      </c>
      <c r="H72" s="103">
        <v>0.5</v>
      </c>
      <c r="I72" s="103">
        <v>0.5</v>
      </c>
      <c r="J72" s="103">
        <v>0.5</v>
      </c>
      <c r="K72" s="103">
        <v>0.5</v>
      </c>
      <c r="L72" s="103">
        <v>0.5</v>
      </c>
      <c r="M72" s="103">
        <v>0.5</v>
      </c>
      <c r="N72" s="103">
        <v>0.5</v>
      </c>
      <c r="O72" s="103">
        <v>0.5</v>
      </c>
      <c r="P72" s="103">
        <v>0.5</v>
      </c>
      <c r="Q72" s="103">
        <v>0.5</v>
      </c>
      <c r="R72" s="103">
        <v>0.5</v>
      </c>
      <c r="T72" s="142">
        <v>44621</v>
      </c>
      <c r="U72" s="145">
        <v>44621</v>
      </c>
      <c r="V72" s="124">
        <v>3000</v>
      </c>
      <c r="W72" s="127">
        <v>3000</v>
      </c>
      <c r="X72" s="130">
        <v>3000</v>
      </c>
      <c r="Y72" s="133">
        <v>3000</v>
      </c>
      <c r="Z72" s="136">
        <v>0.5</v>
      </c>
      <c r="AA72" s="136">
        <v>0.5</v>
      </c>
      <c r="AB72" s="136">
        <v>0.5</v>
      </c>
      <c r="AC72" s="136">
        <v>0.5</v>
      </c>
      <c r="AD72" s="136">
        <v>0.5</v>
      </c>
      <c r="AE72" s="136">
        <v>0.5</v>
      </c>
      <c r="AF72" s="136">
        <v>0.5</v>
      </c>
      <c r="AG72" s="136">
        <v>0.5</v>
      </c>
      <c r="AH72" s="136">
        <v>0.5</v>
      </c>
      <c r="AI72" s="136">
        <v>0.5</v>
      </c>
      <c r="AJ72" s="139">
        <v>0.5</v>
      </c>
      <c r="AL72" s="167">
        <v>44621</v>
      </c>
      <c r="AM72" s="167">
        <v>44621</v>
      </c>
      <c r="AN72" s="168">
        <v>3000</v>
      </c>
      <c r="AO72" s="168">
        <v>3000</v>
      </c>
      <c r="AP72" s="168">
        <v>3000</v>
      </c>
      <c r="AQ72" s="168">
        <v>3000</v>
      </c>
      <c r="AR72" s="167">
        <v>0.5</v>
      </c>
      <c r="AS72" s="167">
        <v>0.5</v>
      </c>
      <c r="AT72" s="167">
        <v>0.5</v>
      </c>
      <c r="AU72" s="167">
        <v>0.5</v>
      </c>
      <c r="AV72" s="167">
        <v>0.5</v>
      </c>
      <c r="AW72" s="167">
        <v>0.5</v>
      </c>
      <c r="AX72" s="167">
        <v>0.5</v>
      </c>
      <c r="AY72" s="167">
        <v>0.5</v>
      </c>
      <c r="AZ72" s="167">
        <v>0.5</v>
      </c>
      <c r="BA72" s="167">
        <v>0.5</v>
      </c>
      <c r="BB72" s="167">
        <v>0.5</v>
      </c>
      <c r="BD72" s="209" t="str" cm="1">
        <f t="array" aca="1" ref="BD72" ca="1">_xll.d.TestUtils_IsTrue(_xll.d.Formatting_Equal(B72,AL72))</f>
        <v>OK</v>
      </c>
      <c r="BE72" s="209" t="str" cm="1">
        <f t="array" aca="1" ref="BE72" ca="1">_xll.d.TestUtils_IsTrue(_xll.d.Formatting_Equal(C72,AM72))</f>
        <v>OK</v>
      </c>
      <c r="BF72" s="209" t="str" cm="1">
        <f t="array" aca="1" ref="BF72" ca="1">_xll.d.TestUtils_IsTrue(_xll.d.Formatting_Equal(D72,AN72))</f>
        <v>OK</v>
      </c>
      <c r="BG72" s="209" t="str" cm="1">
        <f t="array" aca="1" ref="BG72" ca="1">_xll.d.TestUtils_IsTrue(_xll.d.Formatting_Equal(E72,AO72))</f>
        <v>OK</v>
      </c>
      <c r="BH72" s="209" t="str" cm="1">
        <f t="array" aca="1" ref="BH72" ca="1">_xll.d.TestUtils_IsTrue(_xll.d.Formatting_Equal(F72,AP72))</f>
        <v>OK</v>
      </c>
      <c r="BI72" s="209" t="str" cm="1">
        <f t="array" aca="1" ref="BI72" ca="1">_xll.d.TestUtils_IsTrue(_xll.d.Formatting_Equal(G72,AQ72))</f>
        <v>OK</v>
      </c>
      <c r="BJ72" s="209" t="str" cm="1">
        <f t="array" aca="1" ref="BJ72" ca="1">_xll.d.TestUtils_IsTrue(_xll.d.Formatting_Equal(H72,AR72))</f>
        <v>OK</v>
      </c>
      <c r="BK72" s="209" t="str" cm="1">
        <f t="array" aca="1" ref="BK72" ca="1">_xll.d.TestUtils_IsTrue(_xll.d.Formatting_Equal(I72,AS72))</f>
        <v>OK</v>
      </c>
      <c r="BL72" s="209" t="str" cm="1">
        <f t="array" aca="1" ref="BL72" ca="1">_xll.d.TestUtils_IsTrue(_xll.d.Formatting_Equal(J72,AT72))</f>
        <v>OK</v>
      </c>
      <c r="BM72" s="209" t="str" cm="1">
        <f t="array" aca="1" ref="BM72" ca="1">_xll.d.TestUtils_IsTrue(_xll.d.Formatting_Equal(K72,AU72))</f>
        <v>OK</v>
      </c>
      <c r="BN72" s="209" t="str" cm="1">
        <f t="array" aca="1" ref="BN72" ca="1">_xll.d.TestUtils_IsTrue(_xll.d.Formatting_Equal(L72,AV72))</f>
        <v>OK</v>
      </c>
      <c r="BO72" s="209" t="str" cm="1">
        <f t="array" aca="1" ref="BO72" ca="1">_xll.d.TestUtils_IsTrue(_xll.d.Formatting_Equal(M72,AW72))</f>
        <v>OK</v>
      </c>
      <c r="BP72" s="209" t="str" cm="1">
        <f t="array" aca="1" ref="BP72" ca="1">_xll.d.TestUtils_IsTrue(_xll.d.Formatting_Equal(N72,AX72))</f>
        <v>OK</v>
      </c>
      <c r="BQ72" s="209" t="str" cm="1">
        <f t="array" aca="1" ref="BQ72" ca="1">_xll.d.TestUtils_IsTrue(_xll.d.Formatting_Equal(O72,AY72))</f>
        <v>OK</v>
      </c>
      <c r="BR72" s="209" t="str" cm="1">
        <f t="array" aca="1" ref="BR72" ca="1">_xll.d.TestUtils_IsTrue(_xll.d.Formatting_Equal(P72,AZ72))</f>
        <v>OK</v>
      </c>
      <c r="BS72" s="209" t="str" cm="1">
        <f t="array" aca="1" ref="BS72" ca="1">_xll.d.TestUtils_IsTrue(_xll.d.Formatting_Equal(Q72,BA72))</f>
        <v>OK</v>
      </c>
      <c r="BT72" s="209" t="str" cm="1">
        <f t="array" aca="1" ref="BT72" ca="1">_xll.d.TestUtils_IsTrue(_xll.d.Formatting_Equal(R72,BB72))</f>
        <v>OK</v>
      </c>
    </row>
    <row r="73" spans="2:72" x14ac:dyDescent="0.25">
      <c r="B73" s="68"/>
      <c r="C73" s="68"/>
    </row>
    <row r="74" spans="2:72" x14ac:dyDescent="0.25">
      <c r="B74" s="68"/>
      <c r="C74" s="68"/>
    </row>
    <row r="75" spans="2:72" ht="18.75" x14ac:dyDescent="0.3">
      <c r="B75" s="3" t="s">
        <v>120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60" t="s">
        <v>138</v>
      </c>
      <c r="C77" s="209" t="str" cm="1">
        <f t="array" aca="1" ref="C77" ca="1">_xll.d.TestUtils_And(T92:X108)</f>
        <v>OK</v>
      </c>
    </row>
    <row r="79" spans="2:72" x14ac:dyDescent="0.25">
      <c r="B79" s="60" t="s">
        <v>118</v>
      </c>
      <c r="C79" s="60" t="s">
        <v>33</v>
      </c>
    </row>
    <row r="80" spans="2:72" x14ac:dyDescent="0.25">
      <c r="B80" s="110" t="s">
        <v>113</v>
      </c>
      <c r="C80" s="111" t="s">
        <v>133</v>
      </c>
    </row>
    <row r="81" spans="2:24" x14ac:dyDescent="0.25">
      <c r="B81" s="104" t="s">
        <v>114</v>
      </c>
      <c r="C81" s="105" t="s">
        <v>0</v>
      </c>
    </row>
    <row r="82" spans="2:24" x14ac:dyDescent="0.25">
      <c r="B82" s="106"/>
      <c r="C82" s="107" t="s">
        <v>115</v>
      </c>
    </row>
    <row r="83" spans="2:24" x14ac:dyDescent="0.25">
      <c r="B83" s="108"/>
      <c r="C83" s="109" t="s">
        <v>116</v>
      </c>
    </row>
    <row r="84" spans="2:24" x14ac:dyDescent="0.25">
      <c r="B84" s="178" t="s">
        <v>132</v>
      </c>
      <c r="C84" s="184">
        <v>0</v>
      </c>
    </row>
    <row r="85" spans="2:24" x14ac:dyDescent="0.25">
      <c r="B85" s="178" t="s">
        <v>133</v>
      </c>
      <c r="C85" s="184">
        <v>2</v>
      </c>
    </row>
    <row r="86" spans="2:24" x14ac:dyDescent="0.25">
      <c r="B86" s="161" t="s">
        <v>121</v>
      </c>
      <c r="C86" s="160"/>
    </row>
    <row r="88" spans="2:24" x14ac:dyDescent="0.25">
      <c r="B88" t="s">
        <v>97</v>
      </c>
    </row>
    <row r="90" spans="2:24" x14ac:dyDescent="0.25">
      <c r="B90" s="82" t="s">
        <v>94</v>
      </c>
      <c r="H90" s="82" t="s">
        <v>111</v>
      </c>
      <c r="N90" s="82" t="s">
        <v>112</v>
      </c>
      <c r="T90" s="82" t="s">
        <v>139</v>
      </c>
    </row>
    <row r="92" spans="2:24" ht="15" customHeight="1" x14ac:dyDescent="0.25">
      <c r="B92" s="270" t="s">
        <v>99</v>
      </c>
      <c r="C92" s="211" t="s">
        <v>35</v>
      </c>
      <c r="D92" s="203">
        <v>44562</v>
      </c>
      <c r="E92" s="206">
        <v>44593</v>
      </c>
      <c r="F92" s="224">
        <v>44621</v>
      </c>
      <c r="H92" s="112" t="s">
        <v>99</v>
      </c>
      <c r="I92" s="112" t="s">
        <v>35</v>
      </c>
      <c r="J92" s="147">
        <v>44562</v>
      </c>
      <c r="K92" s="147">
        <v>44593</v>
      </c>
      <c r="L92" s="147">
        <v>44621</v>
      </c>
      <c r="N92" s="270" t="s">
        <v>99</v>
      </c>
      <c r="O92" s="211" t="s">
        <v>35</v>
      </c>
      <c r="P92" s="203">
        <v>44562</v>
      </c>
      <c r="Q92" s="206">
        <v>44593</v>
      </c>
      <c r="R92" s="224">
        <v>44621</v>
      </c>
      <c r="T92" s="209" t="str" cm="1">
        <f t="array" aca="1" ref="T92" ca="1">_xll.d.TestUtils_IsTrue(_xll.d.Formatting_Equal(B92,N92))</f>
        <v>OK</v>
      </c>
      <c r="U92" s="209" t="str" cm="1">
        <f t="array" aca="1" ref="U92" ca="1">_xll.d.TestUtils_IsTrue(_xll.d.Formatting_Equal(C92,O92))</f>
        <v>OK</v>
      </c>
      <c r="V92" s="209" t="str" cm="1">
        <f t="array" aca="1" ref="V92" ca="1">_xll.d.TestUtils_IsTrue(_xll.d.Formatting_Equal(D92,P92))</f>
        <v>OK</v>
      </c>
      <c r="W92" s="209" t="str" cm="1">
        <f t="array" aca="1" ref="W92" ca="1">_xll.d.TestUtils_IsTrue(_xll.d.Formatting_Equal(E92,Q92))</f>
        <v>OK</v>
      </c>
      <c r="X92" s="209" t="str" cm="1">
        <f t="array" aca="1" ref="X92" ca="1">_xll.d.TestUtils_IsTrue(_xll.d.Formatting_Equal(F92,R92))</f>
        <v>OK</v>
      </c>
    </row>
    <row r="93" spans="2:24" x14ac:dyDescent="0.25">
      <c r="B93" s="271"/>
      <c r="C93" s="212" t="s">
        <v>0</v>
      </c>
      <c r="D93" s="204">
        <v>44562</v>
      </c>
      <c r="E93" s="207">
        <v>44593</v>
      </c>
      <c r="F93" s="225">
        <v>44621</v>
      </c>
      <c r="H93" s="112"/>
      <c r="I93" s="112" t="s">
        <v>0</v>
      </c>
      <c r="J93" s="147">
        <v>44562</v>
      </c>
      <c r="K93" s="147">
        <v>44593</v>
      </c>
      <c r="L93" s="147">
        <v>44621</v>
      </c>
      <c r="N93" s="271"/>
      <c r="O93" s="212" t="s">
        <v>0</v>
      </c>
      <c r="P93" s="204">
        <v>44562</v>
      </c>
      <c r="Q93" s="207">
        <v>44593</v>
      </c>
      <c r="R93" s="225">
        <v>44621</v>
      </c>
      <c r="T93" s="209" t="str" cm="1">
        <f t="array" aca="1" ref="T93" ca="1">_xll.d.TestUtils_IsTrue(_xll.d.Formatting_Equal(B93,N93))</f>
        <v>OK</v>
      </c>
      <c r="U93" s="209" t="str" cm="1">
        <f t="array" aca="1" ref="U93" ca="1">_xll.d.TestUtils_IsTrue(_xll.d.Formatting_Equal(C93,O93))</f>
        <v>OK</v>
      </c>
      <c r="V93" s="209" t="str" cm="1">
        <f t="array" aca="1" ref="V93" ca="1">_xll.d.TestUtils_IsTrue(_xll.d.Formatting_Equal(D93,P93))</f>
        <v>OK</v>
      </c>
      <c r="W93" s="209" t="str" cm="1">
        <f t="array" aca="1" ref="W93" ca="1">_xll.d.TestUtils_IsTrue(_xll.d.Formatting_Equal(E93,Q93))</f>
        <v>OK</v>
      </c>
      <c r="X93" s="209" t="str" cm="1">
        <f t="array" aca="1" ref="X93" ca="1">_xll.d.TestUtils_IsTrue(_xll.d.Formatting_Equal(F93,R93))</f>
        <v>OK</v>
      </c>
    </row>
    <row r="94" spans="2:24" x14ac:dyDescent="0.25">
      <c r="B94" s="271"/>
      <c r="C94" s="212" t="s">
        <v>100</v>
      </c>
      <c r="D94" s="214">
        <v>1000</v>
      </c>
      <c r="E94" s="186">
        <v>2000</v>
      </c>
      <c r="F94" s="215">
        <v>3000</v>
      </c>
      <c r="H94" s="112"/>
      <c r="I94" s="112" t="s">
        <v>100</v>
      </c>
      <c r="J94" s="147">
        <v>1000</v>
      </c>
      <c r="K94" s="147">
        <v>2000</v>
      </c>
      <c r="L94" s="147">
        <v>3000</v>
      </c>
      <c r="N94" s="271"/>
      <c r="O94" s="212" t="s">
        <v>100</v>
      </c>
      <c r="P94" s="214">
        <v>1000</v>
      </c>
      <c r="Q94" s="186">
        <v>2000</v>
      </c>
      <c r="R94" s="215">
        <v>3000</v>
      </c>
      <c r="T94" s="209" t="str" cm="1">
        <f t="array" aca="1" ref="T94" ca="1">_xll.d.TestUtils_IsTrue(_xll.d.Formatting_Equal(B94,N94))</f>
        <v>OK</v>
      </c>
      <c r="U94" s="209" t="str" cm="1">
        <f t="array" aca="1" ref="U94" ca="1">_xll.d.TestUtils_IsTrue(_xll.d.Formatting_Equal(C94,O94))</f>
        <v>OK</v>
      </c>
      <c r="V94" s="209" t="str" cm="1">
        <f t="array" aca="1" ref="V94" ca="1">_xll.d.TestUtils_IsTrue(_xll.d.Formatting_Equal(D94,P94))</f>
        <v>OK</v>
      </c>
      <c r="W94" s="209" t="str" cm="1">
        <f t="array" aca="1" ref="W94" ca="1">_xll.d.TestUtils_IsTrue(_xll.d.Formatting_Equal(E94,Q94))</f>
        <v>OK</v>
      </c>
      <c r="X94" s="209" t="str" cm="1">
        <f t="array" aca="1" ref="X94" ca="1">_xll.d.TestUtils_IsTrue(_xll.d.Formatting_Equal(F94,R94))</f>
        <v>OK</v>
      </c>
    </row>
    <row r="95" spans="2:24" x14ac:dyDescent="0.25">
      <c r="B95" s="271"/>
      <c r="C95" s="212" t="s">
        <v>101</v>
      </c>
      <c r="D95" s="216">
        <v>1000</v>
      </c>
      <c r="E95" s="189">
        <v>2000</v>
      </c>
      <c r="F95" s="217">
        <v>3000</v>
      </c>
      <c r="H95" s="112"/>
      <c r="I95" s="112" t="s">
        <v>101</v>
      </c>
      <c r="J95" s="147">
        <v>1000</v>
      </c>
      <c r="K95" s="147">
        <v>2000</v>
      </c>
      <c r="L95" s="147">
        <v>3000</v>
      </c>
      <c r="N95" s="271"/>
      <c r="O95" s="212" t="s">
        <v>101</v>
      </c>
      <c r="P95" s="216">
        <v>1000</v>
      </c>
      <c r="Q95" s="189">
        <v>2000</v>
      </c>
      <c r="R95" s="217">
        <v>3000</v>
      </c>
      <c r="T95" s="209" t="str" cm="1">
        <f t="array" aca="1" ref="T95" ca="1">_xll.d.TestUtils_IsTrue(_xll.d.Formatting_Equal(B95,N95))</f>
        <v>OK</v>
      </c>
      <c r="U95" s="209" t="str" cm="1">
        <f t="array" aca="1" ref="U95" ca="1">_xll.d.TestUtils_IsTrue(_xll.d.Formatting_Equal(C95,O95))</f>
        <v>OK</v>
      </c>
      <c r="V95" s="209" t="str" cm="1">
        <f t="array" aca="1" ref="V95" ca="1">_xll.d.TestUtils_IsTrue(_xll.d.Formatting_Equal(D95,P95))</f>
        <v>OK</v>
      </c>
      <c r="W95" s="209" t="str" cm="1">
        <f t="array" aca="1" ref="W95" ca="1">_xll.d.TestUtils_IsTrue(_xll.d.Formatting_Equal(E95,Q95))</f>
        <v>OK</v>
      </c>
      <c r="X95" s="209" t="str" cm="1">
        <f t="array" aca="1" ref="X95" ca="1">_xll.d.TestUtils_IsTrue(_xll.d.Formatting_Equal(F95,R95))</f>
        <v>OK</v>
      </c>
    </row>
    <row r="96" spans="2:24" x14ac:dyDescent="0.25">
      <c r="B96" s="271"/>
      <c r="C96" s="212" t="s">
        <v>102</v>
      </c>
      <c r="D96" s="218">
        <v>1000</v>
      </c>
      <c r="E96" s="192">
        <v>2000</v>
      </c>
      <c r="F96" s="219">
        <v>3000</v>
      </c>
      <c r="H96" s="112"/>
      <c r="I96" s="112" t="s">
        <v>102</v>
      </c>
      <c r="J96" s="147">
        <v>1000</v>
      </c>
      <c r="K96" s="147">
        <v>2000</v>
      </c>
      <c r="L96" s="147">
        <v>3000</v>
      </c>
      <c r="N96" s="271"/>
      <c r="O96" s="212" t="s">
        <v>102</v>
      </c>
      <c r="P96" s="218">
        <v>1000</v>
      </c>
      <c r="Q96" s="192">
        <v>2000</v>
      </c>
      <c r="R96" s="219">
        <v>3000</v>
      </c>
      <c r="T96" s="209" t="str" cm="1">
        <f t="array" aca="1" ref="T96" ca="1">_xll.d.TestUtils_IsTrue(_xll.d.Formatting_Equal(B96,N96))</f>
        <v>OK</v>
      </c>
      <c r="U96" s="209" t="str" cm="1">
        <f t="array" aca="1" ref="U96" ca="1">_xll.d.TestUtils_IsTrue(_xll.d.Formatting_Equal(C96,O96))</f>
        <v>OK</v>
      </c>
      <c r="V96" s="209" t="str" cm="1">
        <f t="array" aca="1" ref="V96" ca="1">_xll.d.TestUtils_IsTrue(_xll.d.Formatting_Equal(D96,P96))</f>
        <v>OK</v>
      </c>
      <c r="W96" s="209" t="str" cm="1">
        <f t="array" aca="1" ref="W96" ca="1">_xll.d.TestUtils_IsTrue(_xll.d.Formatting_Equal(E96,Q96))</f>
        <v>OK</v>
      </c>
      <c r="X96" s="209" t="str" cm="1">
        <f t="array" aca="1" ref="X96" ca="1">_xll.d.TestUtils_IsTrue(_xll.d.Formatting_Equal(F96,R96))</f>
        <v>OK</v>
      </c>
    </row>
    <row r="97" spans="2:55" x14ac:dyDescent="0.25">
      <c r="B97" s="271"/>
      <c r="C97" s="212" t="s">
        <v>103</v>
      </c>
      <c r="D97" s="220">
        <v>1000</v>
      </c>
      <c r="E97" s="195">
        <v>2000</v>
      </c>
      <c r="F97" s="221">
        <v>3000</v>
      </c>
      <c r="H97" s="112"/>
      <c r="I97" s="112" t="s">
        <v>103</v>
      </c>
      <c r="J97" s="147">
        <v>1000</v>
      </c>
      <c r="K97" s="147">
        <v>2000</v>
      </c>
      <c r="L97" s="147">
        <v>3000</v>
      </c>
      <c r="N97" s="271"/>
      <c r="O97" s="212" t="s">
        <v>103</v>
      </c>
      <c r="P97" s="220">
        <v>1000</v>
      </c>
      <c r="Q97" s="195">
        <v>2000</v>
      </c>
      <c r="R97" s="221">
        <v>3000</v>
      </c>
      <c r="T97" s="209" t="str" cm="1">
        <f t="array" aca="1" ref="T97" ca="1">_xll.d.TestUtils_IsTrue(_xll.d.Formatting_Equal(B97,N97))</f>
        <v>OK</v>
      </c>
      <c r="U97" s="209" t="str" cm="1">
        <f t="array" aca="1" ref="U97" ca="1">_xll.d.TestUtils_IsTrue(_xll.d.Formatting_Equal(C97,O97))</f>
        <v>OK</v>
      </c>
      <c r="V97" s="209" t="str" cm="1">
        <f t="array" aca="1" ref="V97" ca="1">_xll.d.TestUtils_IsTrue(_xll.d.Formatting_Equal(D97,P97))</f>
        <v>OK</v>
      </c>
      <c r="W97" s="209" t="str" cm="1">
        <f t="array" aca="1" ref="W97" ca="1">_xll.d.TestUtils_IsTrue(_xll.d.Formatting_Equal(E97,Q97))</f>
        <v>OK</v>
      </c>
      <c r="X97" s="209" t="str" cm="1">
        <f t="array" aca="1" ref="X97" ca="1">_xll.d.TestUtils_IsTrue(_xll.d.Formatting_Equal(F97,R97))</f>
        <v>OK</v>
      </c>
    </row>
    <row r="98" spans="2:55" x14ac:dyDescent="0.25">
      <c r="B98" s="271"/>
      <c r="C98" s="212" t="s">
        <v>104</v>
      </c>
      <c r="D98" s="222">
        <v>0.3</v>
      </c>
      <c r="E98" s="198">
        <v>0.4</v>
      </c>
      <c r="F98" s="201">
        <v>0.5</v>
      </c>
      <c r="H98" s="112"/>
      <c r="I98" s="112" t="s">
        <v>104</v>
      </c>
      <c r="J98" s="146">
        <v>0.3</v>
      </c>
      <c r="K98" s="146">
        <v>0.4</v>
      </c>
      <c r="L98" s="146">
        <v>0.5</v>
      </c>
      <c r="N98" s="271"/>
      <c r="O98" s="212" t="s">
        <v>104</v>
      </c>
      <c r="P98" s="222">
        <v>0.3</v>
      </c>
      <c r="Q98" s="198">
        <v>0.4</v>
      </c>
      <c r="R98" s="201">
        <v>0.5</v>
      </c>
      <c r="T98" s="209" t="str" cm="1">
        <f t="array" aca="1" ref="T98" ca="1">_xll.d.TestUtils_IsTrue(_xll.d.Formatting_Equal(B98,N98))</f>
        <v>OK</v>
      </c>
      <c r="U98" s="209" t="str" cm="1">
        <f t="array" aca="1" ref="U98" ca="1">_xll.d.TestUtils_IsTrue(_xll.d.Formatting_Equal(C98,O98))</f>
        <v>OK</v>
      </c>
      <c r="V98" s="209" t="str" cm="1">
        <f t="array" aca="1" ref="V98" ca="1">_xll.d.TestUtils_IsTrue(_xll.d.Formatting_Equal(D98,P98))</f>
        <v>OK</v>
      </c>
      <c r="W98" s="209" t="str" cm="1">
        <f t="array" aca="1" ref="W98" ca="1">_xll.d.TestUtils_IsTrue(_xll.d.Formatting_Equal(E98,Q98))</f>
        <v>OK</v>
      </c>
      <c r="X98" s="209" t="str" cm="1">
        <f t="array" aca="1" ref="X98" ca="1">_xll.d.TestUtils_IsTrue(_xll.d.Formatting_Equal(F98,R98))</f>
        <v>OK</v>
      </c>
    </row>
    <row r="99" spans="2:55" x14ac:dyDescent="0.25">
      <c r="B99" s="271"/>
      <c r="C99" s="212" t="s">
        <v>83</v>
      </c>
      <c r="D99" s="222">
        <v>0.3</v>
      </c>
      <c r="E99" s="198">
        <v>0.4</v>
      </c>
      <c r="F99" s="201">
        <v>0.5</v>
      </c>
      <c r="H99" s="112"/>
      <c r="I99" s="112" t="s">
        <v>83</v>
      </c>
      <c r="J99" s="146">
        <v>0.3</v>
      </c>
      <c r="K99" s="146">
        <v>0.4</v>
      </c>
      <c r="L99" s="146">
        <v>0.5</v>
      </c>
      <c r="N99" s="271"/>
      <c r="O99" s="212" t="s">
        <v>83</v>
      </c>
      <c r="P99" s="222">
        <v>0.3</v>
      </c>
      <c r="Q99" s="198">
        <v>0.4</v>
      </c>
      <c r="R99" s="201">
        <v>0.5</v>
      </c>
      <c r="T99" s="209" t="str" cm="1">
        <f t="array" aca="1" ref="T99" ca="1">_xll.d.TestUtils_IsTrue(_xll.d.Formatting_Equal(B99,N99))</f>
        <v>OK</v>
      </c>
      <c r="U99" s="209" t="str" cm="1">
        <f t="array" aca="1" ref="U99" ca="1">_xll.d.TestUtils_IsTrue(_xll.d.Formatting_Equal(C99,O99))</f>
        <v>OK</v>
      </c>
      <c r="V99" s="209" t="str" cm="1">
        <f t="array" aca="1" ref="V99" ca="1">_xll.d.TestUtils_IsTrue(_xll.d.Formatting_Equal(D99,P99))</f>
        <v>OK</v>
      </c>
      <c r="W99" s="209" t="str" cm="1">
        <f t="array" aca="1" ref="W99" ca="1">_xll.d.TestUtils_IsTrue(_xll.d.Formatting_Equal(E99,Q99))</f>
        <v>OK</v>
      </c>
      <c r="X99" s="209" t="str" cm="1">
        <f t="array" aca="1" ref="X99" ca="1">_xll.d.TestUtils_IsTrue(_xll.d.Formatting_Equal(F99,R99))</f>
        <v>OK</v>
      </c>
    </row>
    <row r="100" spans="2:55" x14ac:dyDescent="0.25">
      <c r="B100" s="271"/>
      <c r="C100" s="212" t="s">
        <v>84</v>
      </c>
      <c r="D100" s="222">
        <v>0.3</v>
      </c>
      <c r="E100" s="198">
        <v>0.4</v>
      </c>
      <c r="F100" s="201">
        <v>0.5</v>
      </c>
      <c r="H100" s="112"/>
      <c r="I100" s="112" t="s">
        <v>84</v>
      </c>
      <c r="J100" s="146">
        <v>0.3</v>
      </c>
      <c r="K100" s="146">
        <v>0.4</v>
      </c>
      <c r="L100" s="146">
        <v>0.5</v>
      </c>
      <c r="N100" s="271"/>
      <c r="O100" s="212" t="s">
        <v>84</v>
      </c>
      <c r="P100" s="222">
        <v>0.3</v>
      </c>
      <c r="Q100" s="198">
        <v>0.4</v>
      </c>
      <c r="R100" s="201">
        <v>0.5</v>
      </c>
      <c r="T100" s="209" t="str" cm="1">
        <f t="array" aca="1" ref="T100" ca="1">_xll.d.TestUtils_IsTrue(_xll.d.Formatting_Equal(B100,N100))</f>
        <v>OK</v>
      </c>
      <c r="U100" s="209" t="str" cm="1">
        <f t="array" aca="1" ref="U100" ca="1">_xll.d.TestUtils_IsTrue(_xll.d.Formatting_Equal(C100,O100))</f>
        <v>OK</v>
      </c>
      <c r="V100" s="209" t="str" cm="1">
        <f t="array" aca="1" ref="V100" ca="1">_xll.d.TestUtils_IsTrue(_xll.d.Formatting_Equal(D100,P100))</f>
        <v>OK</v>
      </c>
      <c r="W100" s="209" t="str" cm="1">
        <f t="array" aca="1" ref="W100" ca="1">_xll.d.TestUtils_IsTrue(_xll.d.Formatting_Equal(E100,Q100))</f>
        <v>OK</v>
      </c>
      <c r="X100" s="209" t="str" cm="1">
        <f t="array" aca="1" ref="X100" ca="1">_xll.d.TestUtils_IsTrue(_xll.d.Formatting_Equal(F100,R100))</f>
        <v>OK</v>
      </c>
    </row>
    <row r="101" spans="2:55" x14ac:dyDescent="0.25">
      <c r="B101" s="271"/>
      <c r="C101" s="212" t="s">
        <v>85</v>
      </c>
      <c r="D101" s="222">
        <v>0.3</v>
      </c>
      <c r="E101" s="198">
        <v>0.4</v>
      </c>
      <c r="F101" s="201">
        <v>0.5</v>
      </c>
      <c r="H101" s="112"/>
      <c r="I101" s="112" t="s">
        <v>85</v>
      </c>
      <c r="J101" s="146">
        <v>0.3</v>
      </c>
      <c r="K101" s="146">
        <v>0.4</v>
      </c>
      <c r="L101" s="146">
        <v>0.5</v>
      </c>
      <c r="N101" s="271"/>
      <c r="O101" s="212" t="s">
        <v>85</v>
      </c>
      <c r="P101" s="222">
        <v>0.3</v>
      </c>
      <c r="Q101" s="198">
        <v>0.4</v>
      </c>
      <c r="R101" s="201">
        <v>0.5</v>
      </c>
      <c r="T101" s="209" t="str" cm="1">
        <f t="array" aca="1" ref="T101" ca="1">_xll.d.TestUtils_IsTrue(_xll.d.Formatting_Equal(B101,N101))</f>
        <v>OK</v>
      </c>
      <c r="U101" s="209" t="str" cm="1">
        <f t="array" aca="1" ref="U101" ca="1">_xll.d.TestUtils_IsTrue(_xll.d.Formatting_Equal(C101,O101))</f>
        <v>OK</v>
      </c>
      <c r="V101" s="209" t="str" cm="1">
        <f t="array" aca="1" ref="V101" ca="1">_xll.d.TestUtils_IsTrue(_xll.d.Formatting_Equal(D101,P101))</f>
        <v>OK</v>
      </c>
      <c r="W101" s="209" t="str" cm="1">
        <f t="array" aca="1" ref="W101" ca="1">_xll.d.TestUtils_IsTrue(_xll.d.Formatting_Equal(E101,Q101))</f>
        <v>OK</v>
      </c>
      <c r="X101" s="209" t="str" cm="1">
        <f t="array" aca="1" ref="X101" ca="1">_xll.d.TestUtils_IsTrue(_xll.d.Formatting_Equal(F101,R101))</f>
        <v>OK</v>
      </c>
    </row>
    <row r="102" spans="2:55" x14ac:dyDescent="0.25">
      <c r="B102" s="271"/>
      <c r="C102" s="212" t="s">
        <v>105</v>
      </c>
      <c r="D102" s="222">
        <v>0.3</v>
      </c>
      <c r="E102" s="198">
        <v>0.4</v>
      </c>
      <c r="F102" s="201">
        <v>0.5</v>
      </c>
      <c r="H102" s="112"/>
      <c r="I102" s="112" t="s">
        <v>105</v>
      </c>
      <c r="J102" s="146">
        <v>0.3</v>
      </c>
      <c r="K102" s="146">
        <v>0.4</v>
      </c>
      <c r="L102" s="146">
        <v>0.5</v>
      </c>
      <c r="N102" s="271"/>
      <c r="O102" s="212" t="s">
        <v>105</v>
      </c>
      <c r="P102" s="222">
        <v>0.3</v>
      </c>
      <c r="Q102" s="198">
        <v>0.4</v>
      </c>
      <c r="R102" s="201">
        <v>0.5</v>
      </c>
      <c r="T102" s="209" t="str" cm="1">
        <f t="array" aca="1" ref="T102" ca="1">_xll.d.TestUtils_IsTrue(_xll.d.Formatting_Equal(B102,N102))</f>
        <v>OK</v>
      </c>
      <c r="U102" s="209" t="str" cm="1">
        <f t="array" aca="1" ref="U102" ca="1">_xll.d.TestUtils_IsTrue(_xll.d.Formatting_Equal(C102,O102))</f>
        <v>OK</v>
      </c>
      <c r="V102" s="209" t="str" cm="1">
        <f t="array" aca="1" ref="V102" ca="1">_xll.d.TestUtils_IsTrue(_xll.d.Formatting_Equal(D102,P102))</f>
        <v>OK</v>
      </c>
      <c r="W102" s="209" t="str" cm="1">
        <f t="array" aca="1" ref="W102" ca="1">_xll.d.TestUtils_IsTrue(_xll.d.Formatting_Equal(E102,Q102))</f>
        <v>OK</v>
      </c>
      <c r="X102" s="209" t="str" cm="1">
        <f t="array" aca="1" ref="X102" ca="1">_xll.d.TestUtils_IsTrue(_xll.d.Formatting_Equal(F102,R102))</f>
        <v>OK</v>
      </c>
    </row>
    <row r="103" spans="2:55" x14ac:dyDescent="0.25">
      <c r="B103" s="271"/>
      <c r="C103" s="212" t="s">
        <v>25</v>
      </c>
      <c r="D103" s="222">
        <v>0.3</v>
      </c>
      <c r="E103" s="198">
        <v>0.4</v>
      </c>
      <c r="F103" s="201">
        <v>0.5</v>
      </c>
      <c r="H103" s="112"/>
      <c r="I103" s="112" t="s">
        <v>25</v>
      </c>
      <c r="J103" s="146">
        <v>0.3</v>
      </c>
      <c r="K103" s="146">
        <v>0.4</v>
      </c>
      <c r="L103" s="146">
        <v>0.5</v>
      </c>
      <c r="N103" s="271"/>
      <c r="O103" s="212" t="s">
        <v>25</v>
      </c>
      <c r="P103" s="222">
        <v>0.3</v>
      </c>
      <c r="Q103" s="198">
        <v>0.4</v>
      </c>
      <c r="R103" s="201">
        <v>0.5</v>
      </c>
      <c r="T103" s="209" t="str" cm="1">
        <f t="array" aca="1" ref="T103" ca="1">_xll.d.TestUtils_IsTrue(_xll.d.Formatting_Equal(B103,N103))</f>
        <v>OK</v>
      </c>
      <c r="U103" s="209" t="str" cm="1">
        <f t="array" aca="1" ref="U103" ca="1">_xll.d.TestUtils_IsTrue(_xll.d.Formatting_Equal(C103,O103))</f>
        <v>OK</v>
      </c>
      <c r="V103" s="209" t="str" cm="1">
        <f t="array" aca="1" ref="V103" ca="1">_xll.d.TestUtils_IsTrue(_xll.d.Formatting_Equal(D103,P103))</f>
        <v>OK</v>
      </c>
      <c r="W103" s="209" t="str" cm="1">
        <f t="array" aca="1" ref="W103" ca="1">_xll.d.TestUtils_IsTrue(_xll.d.Formatting_Equal(E103,Q103))</f>
        <v>OK</v>
      </c>
      <c r="X103" s="209" t="str" cm="1">
        <f t="array" aca="1" ref="X103" ca="1">_xll.d.TestUtils_IsTrue(_xll.d.Formatting_Equal(F103,R103))</f>
        <v>OK</v>
      </c>
    </row>
    <row r="104" spans="2:55" x14ac:dyDescent="0.25">
      <c r="B104" s="271"/>
      <c r="C104" s="212" t="s">
        <v>40</v>
      </c>
      <c r="D104" s="222">
        <v>0.3</v>
      </c>
      <c r="E104" s="198">
        <v>0.4</v>
      </c>
      <c r="F104" s="201">
        <v>0.5</v>
      </c>
      <c r="H104" s="112"/>
      <c r="I104" s="112" t="s">
        <v>40</v>
      </c>
      <c r="J104" s="146">
        <v>0.3</v>
      </c>
      <c r="K104" s="146">
        <v>0.4</v>
      </c>
      <c r="L104" s="146">
        <v>0.5</v>
      </c>
      <c r="N104" s="271"/>
      <c r="O104" s="212" t="s">
        <v>40</v>
      </c>
      <c r="P104" s="222">
        <v>0.3</v>
      </c>
      <c r="Q104" s="198">
        <v>0.4</v>
      </c>
      <c r="R104" s="201">
        <v>0.5</v>
      </c>
      <c r="T104" s="209" t="str" cm="1">
        <f t="array" aca="1" ref="T104" ca="1">_xll.d.TestUtils_IsTrue(_xll.d.Formatting_Equal(B104,N104))</f>
        <v>OK</v>
      </c>
      <c r="U104" s="209" t="str" cm="1">
        <f t="array" aca="1" ref="U104" ca="1">_xll.d.TestUtils_IsTrue(_xll.d.Formatting_Equal(C104,O104))</f>
        <v>OK</v>
      </c>
      <c r="V104" s="209" t="str" cm="1">
        <f t="array" aca="1" ref="V104" ca="1">_xll.d.TestUtils_IsTrue(_xll.d.Formatting_Equal(D104,P104))</f>
        <v>OK</v>
      </c>
      <c r="W104" s="209" t="str" cm="1">
        <f t="array" aca="1" ref="W104" ca="1">_xll.d.TestUtils_IsTrue(_xll.d.Formatting_Equal(E104,Q104))</f>
        <v>OK</v>
      </c>
      <c r="X104" s="209" t="str" cm="1">
        <f t="array" aca="1" ref="X104" ca="1">_xll.d.TestUtils_IsTrue(_xll.d.Formatting_Equal(F104,R104))</f>
        <v>OK</v>
      </c>
    </row>
    <row r="105" spans="2:55" x14ac:dyDescent="0.25">
      <c r="B105" s="271"/>
      <c r="C105" s="212" t="s">
        <v>106</v>
      </c>
      <c r="D105" s="222">
        <v>0.3</v>
      </c>
      <c r="E105" s="198">
        <v>0.4</v>
      </c>
      <c r="F105" s="201">
        <v>0.5</v>
      </c>
      <c r="H105" s="112"/>
      <c r="I105" s="112" t="s">
        <v>106</v>
      </c>
      <c r="J105" s="146">
        <v>0.3</v>
      </c>
      <c r="K105" s="146">
        <v>0.4</v>
      </c>
      <c r="L105" s="146">
        <v>0.5</v>
      </c>
      <c r="N105" s="271"/>
      <c r="O105" s="212" t="s">
        <v>106</v>
      </c>
      <c r="P105" s="222">
        <v>0.3</v>
      </c>
      <c r="Q105" s="198">
        <v>0.4</v>
      </c>
      <c r="R105" s="201">
        <v>0.5</v>
      </c>
      <c r="T105" s="209" t="str" cm="1">
        <f t="array" aca="1" ref="T105" ca="1">_xll.d.TestUtils_IsTrue(_xll.d.Formatting_Equal(B105,N105))</f>
        <v>OK</v>
      </c>
      <c r="U105" s="209" t="str" cm="1">
        <f t="array" aca="1" ref="U105" ca="1">_xll.d.TestUtils_IsTrue(_xll.d.Formatting_Equal(C105,O105))</f>
        <v>OK</v>
      </c>
      <c r="V105" s="209" t="str" cm="1">
        <f t="array" aca="1" ref="V105" ca="1">_xll.d.TestUtils_IsTrue(_xll.d.Formatting_Equal(D105,P105))</f>
        <v>OK</v>
      </c>
      <c r="W105" s="209" t="str" cm="1">
        <f t="array" aca="1" ref="W105" ca="1">_xll.d.TestUtils_IsTrue(_xll.d.Formatting_Equal(E105,Q105))</f>
        <v>OK</v>
      </c>
      <c r="X105" s="209" t="str" cm="1">
        <f t="array" aca="1" ref="X105" ca="1">_xll.d.TestUtils_IsTrue(_xll.d.Formatting_Equal(F105,R105))</f>
        <v>OK</v>
      </c>
    </row>
    <row r="106" spans="2:55" x14ac:dyDescent="0.25">
      <c r="B106" s="271"/>
      <c r="C106" s="212" t="s">
        <v>98</v>
      </c>
      <c r="D106" s="222">
        <v>0.3</v>
      </c>
      <c r="E106" s="198">
        <v>0.4</v>
      </c>
      <c r="F106" s="201">
        <v>0.5</v>
      </c>
      <c r="H106" s="112"/>
      <c r="I106" s="112" t="s">
        <v>98</v>
      </c>
      <c r="J106" s="146">
        <v>0.3</v>
      </c>
      <c r="K106" s="146">
        <v>0.4</v>
      </c>
      <c r="L106" s="146">
        <v>0.5</v>
      </c>
      <c r="N106" s="271"/>
      <c r="O106" s="212" t="s">
        <v>98</v>
      </c>
      <c r="P106" s="222">
        <v>0.3</v>
      </c>
      <c r="Q106" s="198">
        <v>0.4</v>
      </c>
      <c r="R106" s="201">
        <v>0.5</v>
      </c>
      <c r="T106" s="209" t="str" cm="1">
        <f t="array" aca="1" ref="T106" ca="1">_xll.d.TestUtils_IsTrue(_xll.d.Formatting_Equal(B106,N106))</f>
        <v>OK</v>
      </c>
      <c r="U106" s="209" t="str" cm="1">
        <f t="array" aca="1" ref="U106" ca="1">_xll.d.TestUtils_IsTrue(_xll.d.Formatting_Equal(C106,O106))</f>
        <v>OK</v>
      </c>
      <c r="V106" s="209" t="str" cm="1">
        <f t="array" aca="1" ref="V106" ca="1">_xll.d.TestUtils_IsTrue(_xll.d.Formatting_Equal(D106,P106))</f>
        <v>OK</v>
      </c>
      <c r="W106" s="209" t="str" cm="1">
        <f t="array" aca="1" ref="W106" ca="1">_xll.d.TestUtils_IsTrue(_xll.d.Formatting_Equal(E106,Q106))</f>
        <v>OK</v>
      </c>
      <c r="X106" s="209" t="str" cm="1">
        <f t="array" aca="1" ref="X106" ca="1">_xll.d.TestUtils_IsTrue(_xll.d.Formatting_Equal(F106,R106))</f>
        <v>OK</v>
      </c>
    </row>
    <row r="107" spans="2:55" x14ac:dyDescent="0.25">
      <c r="B107" s="271"/>
      <c r="C107" s="212" t="s">
        <v>108</v>
      </c>
      <c r="D107" s="222">
        <v>0.3</v>
      </c>
      <c r="E107" s="198">
        <v>0.4</v>
      </c>
      <c r="F107" s="201">
        <v>0.5</v>
      </c>
      <c r="H107" s="112"/>
      <c r="I107" s="112" t="s">
        <v>108</v>
      </c>
      <c r="J107" s="146">
        <v>0.3</v>
      </c>
      <c r="K107" s="146">
        <v>0.4</v>
      </c>
      <c r="L107" s="146">
        <v>0.5</v>
      </c>
      <c r="N107" s="271"/>
      <c r="O107" s="212" t="s">
        <v>108</v>
      </c>
      <c r="P107" s="222">
        <v>0.3</v>
      </c>
      <c r="Q107" s="198">
        <v>0.4</v>
      </c>
      <c r="R107" s="201">
        <v>0.5</v>
      </c>
      <c r="T107" s="209" t="str" cm="1">
        <f t="array" aca="1" ref="T107" ca="1">_xll.d.TestUtils_IsTrue(_xll.d.Formatting_Equal(B107,N107))</f>
        <v>OK</v>
      </c>
      <c r="U107" s="209" t="str" cm="1">
        <f t="array" aca="1" ref="U107" ca="1">_xll.d.TestUtils_IsTrue(_xll.d.Formatting_Equal(C107,O107))</f>
        <v>OK</v>
      </c>
      <c r="V107" s="209" t="str" cm="1">
        <f t="array" aca="1" ref="V107" ca="1">_xll.d.TestUtils_IsTrue(_xll.d.Formatting_Equal(D107,P107))</f>
        <v>OK</v>
      </c>
      <c r="W107" s="209" t="str" cm="1">
        <f t="array" aca="1" ref="W107" ca="1">_xll.d.TestUtils_IsTrue(_xll.d.Formatting_Equal(E107,Q107))</f>
        <v>OK</v>
      </c>
      <c r="X107" s="209" t="str" cm="1">
        <f t="array" aca="1" ref="X107" ca="1">_xll.d.TestUtils_IsTrue(_xll.d.Formatting_Equal(F107,R107))</f>
        <v>OK</v>
      </c>
    </row>
    <row r="108" spans="2:55" x14ac:dyDescent="0.25">
      <c r="B108" s="272"/>
      <c r="C108" s="213" t="s">
        <v>107</v>
      </c>
      <c r="D108" s="223">
        <v>0.3</v>
      </c>
      <c r="E108" s="199">
        <v>0.4</v>
      </c>
      <c r="F108" s="202">
        <v>0.5</v>
      </c>
      <c r="H108" s="112"/>
      <c r="I108" s="112" t="s">
        <v>107</v>
      </c>
      <c r="J108" s="146">
        <v>0.3</v>
      </c>
      <c r="K108" s="146">
        <v>0.4</v>
      </c>
      <c r="L108" s="146">
        <v>0.5</v>
      </c>
      <c r="N108" s="272"/>
      <c r="O108" s="213" t="s">
        <v>107</v>
      </c>
      <c r="P108" s="223">
        <v>0.3</v>
      </c>
      <c r="Q108" s="199">
        <v>0.4</v>
      </c>
      <c r="R108" s="202">
        <v>0.5</v>
      </c>
      <c r="T108" s="209" t="str" cm="1">
        <f t="array" aca="1" ref="T108" ca="1">_xll.d.TestUtils_IsTrue(_xll.d.Formatting_Equal(B108,N108))</f>
        <v>OK</v>
      </c>
      <c r="U108" s="209" t="str" cm="1">
        <f t="array" aca="1" ref="U108" ca="1">_xll.d.TestUtils_IsTrue(_xll.d.Formatting_Equal(C108,O108))</f>
        <v>OK</v>
      </c>
      <c r="V108" s="209" t="str" cm="1">
        <f t="array" aca="1" ref="V108" ca="1">_xll.d.TestUtils_IsTrue(_xll.d.Formatting_Equal(D108,P108))</f>
        <v>OK</v>
      </c>
      <c r="W108" s="209" t="str" cm="1">
        <f t="array" aca="1" ref="W108" ca="1">_xll.d.TestUtils_IsTrue(_xll.d.Formatting_Equal(E108,Q108))</f>
        <v>OK</v>
      </c>
      <c r="X108" s="209" t="str" cm="1">
        <f t="array" aca="1" ref="X108" ca="1">_xll.d.TestUtils_IsTrue(_xll.d.Formatting_Equal(F108,R108))</f>
        <v>OK</v>
      </c>
    </row>
    <row r="111" spans="2:55" ht="18.75" x14ac:dyDescent="0.3">
      <c r="B111" s="3" t="s">
        <v>123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60" t="s">
        <v>138</v>
      </c>
      <c r="C113" s="209" t="str" cm="1">
        <f t="array" aca="1" ref="C113" ca="1">_xll.d.TestUtils_And(T128:X144)</f>
        <v>OK</v>
      </c>
    </row>
    <row r="115" spans="2:24" x14ac:dyDescent="0.25">
      <c r="B115" s="60" t="s">
        <v>118</v>
      </c>
      <c r="C115" s="60" t="s">
        <v>33</v>
      </c>
    </row>
    <row r="116" spans="2:24" x14ac:dyDescent="0.25">
      <c r="B116" s="110" t="s">
        <v>113</v>
      </c>
      <c r="C116" s="111" t="s">
        <v>132</v>
      </c>
    </row>
    <row r="117" spans="2:24" x14ac:dyDescent="0.25">
      <c r="B117" s="104" t="s">
        <v>114</v>
      </c>
      <c r="C117" s="105" t="s">
        <v>0</v>
      </c>
    </row>
    <row r="118" spans="2:24" x14ac:dyDescent="0.25">
      <c r="B118" s="106"/>
      <c r="C118" s="107" t="s">
        <v>115</v>
      </c>
    </row>
    <row r="119" spans="2:24" x14ac:dyDescent="0.25">
      <c r="B119" s="108"/>
      <c r="C119" s="109" t="s">
        <v>116</v>
      </c>
    </row>
    <row r="120" spans="2:24" x14ac:dyDescent="0.25">
      <c r="B120" s="178" t="s">
        <v>132</v>
      </c>
      <c r="C120" s="184">
        <v>0</v>
      </c>
    </row>
    <row r="121" spans="2:24" x14ac:dyDescent="0.25">
      <c r="B121" s="178" t="s">
        <v>133</v>
      </c>
      <c r="C121" s="184">
        <v>2</v>
      </c>
    </row>
    <row r="122" spans="2:24" x14ac:dyDescent="0.25">
      <c r="B122" s="161" t="s">
        <v>121</v>
      </c>
      <c r="C122" s="162"/>
    </row>
    <row r="124" spans="2:24" x14ac:dyDescent="0.25">
      <c r="B124" t="s">
        <v>122</v>
      </c>
    </row>
    <row r="126" spans="2:24" x14ac:dyDescent="0.25">
      <c r="B126" s="82" t="s">
        <v>94</v>
      </c>
      <c r="H126" s="82" t="s">
        <v>111</v>
      </c>
      <c r="N126" s="82" t="s">
        <v>112</v>
      </c>
      <c r="T126" s="82" t="s">
        <v>139</v>
      </c>
    </row>
    <row r="128" spans="2:24" ht="15" customHeight="1" x14ac:dyDescent="0.25">
      <c r="B128" s="167" t="s">
        <v>99</v>
      </c>
      <c r="C128" s="167" t="s">
        <v>35</v>
      </c>
      <c r="D128" s="167">
        <v>44562</v>
      </c>
      <c r="E128" s="167">
        <v>44593</v>
      </c>
      <c r="F128" s="167">
        <v>44621</v>
      </c>
      <c r="H128" s="273" t="s">
        <v>99</v>
      </c>
      <c r="I128" s="113" t="s">
        <v>35</v>
      </c>
      <c r="J128" s="94">
        <v>44562</v>
      </c>
      <c r="K128" s="98">
        <v>44593</v>
      </c>
      <c r="L128" s="116">
        <v>44621</v>
      </c>
      <c r="N128" s="167" t="s">
        <v>99</v>
      </c>
      <c r="O128" s="167" t="s">
        <v>35</v>
      </c>
      <c r="P128" s="167">
        <v>44562</v>
      </c>
      <c r="Q128" s="167">
        <v>44593</v>
      </c>
      <c r="R128" s="167">
        <v>44621</v>
      </c>
      <c r="T128" s="209" t="str" cm="1">
        <f t="array" aca="1" ref="T128" ca="1">_xll.d.TestUtils_IsTrue(_xll.d.Formatting_Equal(B128,N128))</f>
        <v>OK</v>
      </c>
      <c r="U128" s="209" t="str" cm="1">
        <f t="array" aca="1" ref="U128" ca="1">_xll.d.TestUtils_IsTrue(_xll.d.Formatting_Equal(C128,O128))</f>
        <v>OK</v>
      </c>
      <c r="V128" s="209" t="str" cm="1">
        <f t="array" aca="1" ref="V128" ca="1">_xll.d.TestUtils_IsTrue(_xll.d.Formatting_Equal(D128,P128))</f>
        <v>OK</v>
      </c>
      <c r="W128" s="209" t="str" cm="1">
        <f t="array" aca="1" ref="W128" ca="1">_xll.d.TestUtils_IsTrue(_xll.d.Formatting_Equal(E128,Q128))</f>
        <v>OK</v>
      </c>
      <c r="X128" s="209" t="str" cm="1">
        <f t="array" aca="1" ref="X128" ca="1">_xll.d.TestUtils_IsTrue(_xll.d.Formatting_Equal(F128,R128))</f>
        <v>OK</v>
      </c>
    </row>
    <row r="129" spans="2:24" x14ac:dyDescent="0.25">
      <c r="B129" s="168"/>
      <c r="C129" s="167" t="s">
        <v>0</v>
      </c>
      <c r="D129" s="167">
        <v>44562</v>
      </c>
      <c r="E129" s="167">
        <v>44593</v>
      </c>
      <c r="F129" s="167">
        <v>44621</v>
      </c>
      <c r="H129" s="274"/>
      <c r="I129" s="114" t="s">
        <v>0</v>
      </c>
      <c r="J129" s="95">
        <v>44562</v>
      </c>
      <c r="K129" s="99">
        <v>44593</v>
      </c>
      <c r="L129" s="117">
        <v>44621</v>
      </c>
      <c r="N129" s="168"/>
      <c r="O129" s="167" t="s">
        <v>0</v>
      </c>
      <c r="P129" s="167">
        <v>44562</v>
      </c>
      <c r="Q129" s="167">
        <v>44593</v>
      </c>
      <c r="R129" s="167">
        <v>44621</v>
      </c>
      <c r="T129" s="209" t="str" cm="1">
        <f t="array" aca="1" ref="T129" ca="1">_xll.d.TestUtils_IsTrue(_xll.d.Formatting_Equal(B129,N129))</f>
        <v>OK</v>
      </c>
      <c r="U129" s="209" t="str" cm="1">
        <f t="array" aca="1" ref="U129" ca="1">_xll.d.TestUtils_IsTrue(_xll.d.Formatting_Equal(C129,O129))</f>
        <v>OK</v>
      </c>
      <c r="V129" s="209" t="str" cm="1">
        <f t="array" aca="1" ref="V129" ca="1">_xll.d.TestUtils_IsTrue(_xll.d.Formatting_Equal(D129,P129))</f>
        <v>OK</v>
      </c>
      <c r="W129" s="209" t="str" cm="1">
        <f t="array" aca="1" ref="W129" ca="1">_xll.d.TestUtils_IsTrue(_xll.d.Formatting_Equal(E129,Q129))</f>
        <v>OK</v>
      </c>
      <c r="X129" s="209" t="str" cm="1">
        <f t="array" aca="1" ref="X129" ca="1">_xll.d.TestUtils_IsTrue(_xll.d.Formatting_Equal(F129,R129))</f>
        <v>OK</v>
      </c>
    </row>
    <row r="130" spans="2:24" x14ac:dyDescent="0.25">
      <c r="B130" s="168"/>
      <c r="C130" s="167" t="s">
        <v>100</v>
      </c>
      <c r="D130" s="168">
        <v>1000</v>
      </c>
      <c r="E130" s="168">
        <v>2000</v>
      </c>
      <c r="F130" s="168">
        <v>3000</v>
      </c>
      <c r="H130" s="274"/>
      <c r="I130" s="114" t="s">
        <v>100</v>
      </c>
      <c r="J130" s="118">
        <v>1000</v>
      </c>
      <c r="K130" s="100">
        <v>2000</v>
      </c>
      <c r="L130" s="119">
        <v>3000</v>
      </c>
      <c r="N130" s="168"/>
      <c r="O130" s="167" t="s">
        <v>100</v>
      </c>
      <c r="P130" s="168">
        <v>1000</v>
      </c>
      <c r="Q130" s="168">
        <v>2000</v>
      </c>
      <c r="R130" s="168">
        <v>3000</v>
      </c>
      <c r="T130" s="209" t="str" cm="1">
        <f t="array" aca="1" ref="T130" ca="1">_xll.d.TestUtils_IsTrue(_xll.d.Formatting_Equal(B130,N130))</f>
        <v>OK</v>
      </c>
      <c r="U130" s="209" t="str" cm="1">
        <f t="array" aca="1" ref="U130" ca="1">_xll.d.TestUtils_IsTrue(_xll.d.Formatting_Equal(C130,O130))</f>
        <v>OK</v>
      </c>
      <c r="V130" s="209" t="str" cm="1">
        <f t="array" aca="1" ref="V130" ca="1">_xll.d.TestUtils_IsTrue(_xll.d.Formatting_Equal(D130,P130))</f>
        <v>OK</v>
      </c>
      <c r="W130" s="209" t="str" cm="1">
        <f t="array" aca="1" ref="W130" ca="1">_xll.d.TestUtils_IsTrue(_xll.d.Formatting_Equal(E130,Q130))</f>
        <v>OK</v>
      </c>
      <c r="X130" s="209" t="str" cm="1">
        <f t="array" aca="1" ref="X130" ca="1">_xll.d.TestUtils_IsTrue(_xll.d.Formatting_Equal(F130,R130))</f>
        <v>OK</v>
      </c>
    </row>
    <row r="131" spans="2:24" x14ac:dyDescent="0.25">
      <c r="B131" s="168"/>
      <c r="C131" s="167" t="s">
        <v>101</v>
      </c>
      <c r="D131" s="168">
        <v>1000</v>
      </c>
      <c r="E131" s="168">
        <v>2000</v>
      </c>
      <c r="F131" s="168">
        <v>3000</v>
      </c>
      <c r="H131" s="274"/>
      <c r="I131" s="114" t="s">
        <v>101</v>
      </c>
      <c r="J131" s="118">
        <v>1000</v>
      </c>
      <c r="K131" s="100">
        <v>2000</v>
      </c>
      <c r="L131" s="119">
        <v>3000</v>
      </c>
      <c r="N131" s="168"/>
      <c r="O131" s="167" t="s">
        <v>101</v>
      </c>
      <c r="P131" s="168">
        <v>1000</v>
      </c>
      <c r="Q131" s="168">
        <v>2000</v>
      </c>
      <c r="R131" s="168">
        <v>3000</v>
      </c>
      <c r="T131" s="209" t="str" cm="1">
        <f t="array" aca="1" ref="T131" ca="1">_xll.d.TestUtils_IsTrue(_xll.d.Formatting_Equal(B131,N131))</f>
        <v>OK</v>
      </c>
      <c r="U131" s="209" t="str" cm="1">
        <f t="array" aca="1" ref="U131" ca="1">_xll.d.TestUtils_IsTrue(_xll.d.Formatting_Equal(C131,O131))</f>
        <v>OK</v>
      </c>
      <c r="V131" s="209" t="str" cm="1">
        <f t="array" aca="1" ref="V131" ca="1">_xll.d.TestUtils_IsTrue(_xll.d.Formatting_Equal(D131,P131))</f>
        <v>OK</v>
      </c>
      <c r="W131" s="209" t="str" cm="1">
        <f t="array" aca="1" ref="W131" ca="1">_xll.d.TestUtils_IsTrue(_xll.d.Formatting_Equal(E131,Q131))</f>
        <v>OK</v>
      </c>
      <c r="X131" s="209" t="str" cm="1">
        <f t="array" aca="1" ref="X131" ca="1">_xll.d.TestUtils_IsTrue(_xll.d.Formatting_Equal(F131,R131))</f>
        <v>OK</v>
      </c>
    </row>
    <row r="132" spans="2:24" x14ac:dyDescent="0.25">
      <c r="B132" s="168"/>
      <c r="C132" s="167" t="s">
        <v>102</v>
      </c>
      <c r="D132" s="168">
        <v>1000</v>
      </c>
      <c r="E132" s="168">
        <v>2000</v>
      </c>
      <c r="F132" s="168">
        <v>3000</v>
      </c>
      <c r="H132" s="274"/>
      <c r="I132" s="114" t="s">
        <v>102</v>
      </c>
      <c r="J132" s="118">
        <v>1000</v>
      </c>
      <c r="K132" s="100">
        <v>2000</v>
      </c>
      <c r="L132" s="119">
        <v>3000</v>
      </c>
      <c r="N132" s="168"/>
      <c r="O132" s="167" t="s">
        <v>102</v>
      </c>
      <c r="P132" s="168">
        <v>1000</v>
      </c>
      <c r="Q132" s="168">
        <v>2000</v>
      </c>
      <c r="R132" s="168">
        <v>3000</v>
      </c>
      <c r="T132" s="209" t="str" cm="1">
        <f t="array" aca="1" ref="T132" ca="1">_xll.d.TestUtils_IsTrue(_xll.d.Formatting_Equal(B132,N132))</f>
        <v>OK</v>
      </c>
      <c r="U132" s="209" t="str" cm="1">
        <f t="array" aca="1" ref="U132" ca="1">_xll.d.TestUtils_IsTrue(_xll.d.Formatting_Equal(C132,O132))</f>
        <v>OK</v>
      </c>
      <c r="V132" s="209" t="str" cm="1">
        <f t="array" aca="1" ref="V132" ca="1">_xll.d.TestUtils_IsTrue(_xll.d.Formatting_Equal(D132,P132))</f>
        <v>OK</v>
      </c>
      <c r="W132" s="209" t="str" cm="1">
        <f t="array" aca="1" ref="W132" ca="1">_xll.d.TestUtils_IsTrue(_xll.d.Formatting_Equal(E132,Q132))</f>
        <v>OK</v>
      </c>
      <c r="X132" s="209" t="str" cm="1">
        <f t="array" aca="1" ref="X132" ca="1">_xll.d.TestUtils_IsTrue(_xll.d.Formatting_Equal(F132,R132))</f>
        <v>OK</v>
      </c>
    </row>
    <row r="133" spans="2:24" x14ac:dyDescent="0.25">
      <c r="B133" s="168"/>
      <c r="C133" s="167" t="s">
        <v>103</v>
      </c>
      <c r="D133" s="168">
        <v>1000</v>
      </c>
      <c r="E133" s="168">
        <v>2000</v>
      </c>
      <c r="F133" s="168">
        <v>3000</v>
      </c>
      <c r="H133" s="274"/>
      <c r="I133" s="114" t="s">
        <v>103</v>
      </c>
      <c r="J133" s="118">
        <v>1000</v>
      </c>
      <c r="K133" s="100">
        <v>2000</v>
      </c>
      <c r="L133" s="119">
        <v>3000</v>
      </c>
      <c r="N133" s="168"/>
      <c r="O133" s="167" t="s">
        <v>103</v>
      </c>
      <c r="P133" s="168">
        <v>1000</v>
      </c>
      <c r="Q133" s="168">
        <v>2000</v>
      </c>
      <c r="R133" s="168">
        <v>3000</v>
      </c>
      <c r="T133" s="209" t="str" cm="1">
        <f t="array" aca="1" ref="T133" ca="1">_xll.d.TestUtils_IsTrue(_xll.d.Formatting_Equal(B133,N133))</f>
        <v>OK</v>
      </c>
      <c r="U133" s="209" t="str" cm="1">
        <f t="array" aca="1" ref="U133" ca="1">_xll.d.TestUtils_IsTrue(_xll.d.Formatting_Equal(C133,O133))</f>
        <v>OK</v>
      </c>
      <c r="V133" s="209" t="str" cm="1">
        <f t="array" aca="1" ref="V133" ca="1">_xll.d.TestUtils_IsTrue(_xll.d.Formatting_Equal(D133,P133))</f>
        <v>OK</v>
      </c>
      <c r="W133" s="209" t="str" cm="1">
        <f t="array" aca="1" ref="W133" ca="1">_xll.d.TestUtils_IsTrue(_xll.d.Formatting_Equal(E133,Q133))</f>
        <v>OK</v>
      </c>
      <c r="X133" s="209" t="str" cm="1">
        <f t="array" aca="1" ref="X133" ca="1">_xll.d.TestUtils_IsTrue(_xll.d.Formatting_Equal(F133,R133))</f>
        <v>OK</v>
      </c>
    </row>
    <row r="134" spans="2:24" x14ac:dyDescent="0.25">
      <c r="B134" s="168"/>
      <c r="C134" s="167" t="s">
        <v>104</v>
      </c>
      <c r="D134" s="167">
        <v>0.3</v>
      </c>
      <c r="E134" s="167">
        <v>0.4</v>
      </c>
      <c r="F134" s="167">
        <v>0.5</v>
      </c>
      <c r="H134" s="274"/>
      <c r="I134" s="114" t="s">
        <v>104</v>
      </c>
      <c r="J134" s="120">
        <v>0.3</v>
      </c>
      <c r="K134" s="101">
        <v>0.4</v>
      </c>
      <c r="L134" s="92">
        <v>0.5</v>
      </c>
      <c r="N134" s="168"/>
      <c r="O134" s="167" t="s">
        <v>104</v>
      </c>
      <c r="P134" s="167">
        <v>0.3</v>
      </c>
      <c r="Q134" s="167">
        <v>0.4</v>
      </c>
      <c r="R134" s="167">
        <v>0.5</v>
      </c>
      <c r="T134" s="209" t="str" cm="1">
        <f t="array" aca="1" ref="T134" ca="1">_xll.d.TestUtils_IsTrue(_xll.d.Formatting_Equal(B134,N134))</f>
        <v>OK</v>
      </c>
      <c r="U134" s="209" t="str" cm="1">
        <f t="array" aca="1" ref="U134" ca="1">_xll.d.TestUtils_IsTrue(_xll.d.Formatting_Equal(C134,O134))</f>
        <v>OK</v>
      </c>
      <c r="V134" s="209" t="str" cm="1">
        <f t="array" aca="1" ref="V134" ca="1">_xll.d.TestUtils_IsTrue(_xll.d.Formatting_Equal(D134,P134))</f>
        <v>OK</v>
      </c>
      <c r="W134" s="209" t="str" cm="1">
        <f t="array" aca="1" ref="W134" ca="1">_xll.d.TestUtils_IsTrue(_xll.d.Formatting_Equal(E134,Q134))</f>
        <v>OK</v>
      </c>
      <c r="X134" s="209" t="str" cm="1">
        <f t="array" aca="1" ref="X134" ca="1">_xll.d.TestUtils_IsTrue(_xll.d.Formatting_Equal(F134,R134))</f>
        <v>OK</v>
      </c>
    </row>
    <row r="135" spans="2:24" x14ac:dyDescent="0.25">
      <c r="B135" s="168"/>
      <c r="C135" s="167" t="s">
        <v>83</v>
      </c>
      <c r="D135" s="167">
        <v>0.3</v>
      </c>
      <c r="E135" s="167">
        <v>0.4</v>
      </c>
      <c r="F135" s="167">
        <v>0.5</v>
      </c>
      <c r="H135" s="274"/>
      <c r="I135" s="114" t="s">
        <v>83</v>
      </c>
      <c r="J135" s="120">
        <v>0.3</v>
      </c>
      <c r="K135" s="101">
        <v>0.4</v>
      </c>
      <c r="L135" s="92">
        <v>0.5</v>
      </c>
      <c r="N135" s="168"/>
      <c r="O135" s="167" t="s">
        <v>83</v>
      </c>
      <c r="P135" s="167">
        <v>0.3</v>
      </c>
      <c r="Q135" s="167">
        <v>0.4</v>
      </c>
      <c r="R135" s="167">
        <v>0.5</v>
      </c>
      <c r="T135" s="209" t="str" cm="1">
        <f t="array" aca="1" ref="T135" ca="1">_xll.d.TestUtils_IsTrue(_xll.d.Formatting_Equal(B135,N135))</f>
        <v>OK</v>
      </c>
      <c r="U135" s="209" t="str" cm="1">
        <f t="array" aca="1" ref="U135" ca="1">_xll.d.TestUtils_IsTrue(_xll.d.Formatting_Equal(C135,O135))</f>
        <v>OK</v>
      </c>
      <c r="V135" s="209" t="str" cm="1">
        <f t="array" aca="1" ref="V135" ca="1">_xll.d.TestUtils_IsTrue(_xll.d.Formatting_Equal(D135,P135))</f>
        <v>OK</v>
      </c>
      <c r="W135" s="209" t="str" cm="1">
        <f t="array" aca="1" ref="W135" ca="1">_xll.d.TestUtils_IsTrue(_xll.d.Formatting_Equal(E135,Q135))</f>
        <v>OK</v>
      </c>
      <c r="X135" s="209" t="str" cm="1">
        <f t="array" aca="1" ref="X135" ca="1">_xll.d.TestUtils_IsTrue(_xll.d.Formatting_Equal(F135,R135))</f>
        <v>OK</v>
      </c>
    </row>
    <row r="136" spans="2:24" x14ac:dyDescent="0.25">
      <c r="B136" s="168"/>
      <c r="C136" s="167" t="s">
        <v>84</v>
      </c>
      <c r="D136" s="167">
        <v>0.3</v>
      </c>
      <c r="E136" s="167">
        <v>0.4</v>
      </c>
      <c r="F136" s="167">
        <v>0.5</v>
      </c>
      <c r="H136" s="274"/>
      <c r="I136" s="114" t="s">
        <v>84</v>
      </c>
      <c r="J136" s="120">
        <v>0.3</v>
      </c>
      <c r="K136" s="101">
        <v>0.4</v>
      </c>
      <c r="L136" s="92">
        <v>0.5</v>
      </c>
      <c r="N136" s="168"/>
      <c r="O136" s="167" t="s">
        <v>84</v>
      </c>
      <c r="P136" s="167">
        <v>0.3</v>
      </c>
      <c r="Q136" s="167">
        <v>0.4</v>
      </c>
      <c r="R136" s="167">
        <v>0.5</v>
      </c>
      <c r="T136" s="209" t="str" cm="1">
        <f t="array" aca="1" ref="T136" ca="1">_xll.d.TestUtils_IsTrue(_xll.d.Formatting_Equal(B136,N136))</f>
        <v>OK</v>
      </c>
      <c r="U136" s="209" t="str" cm="1">
        <f t="array" aca="1" ref="U136" ca="1">_xll.d.TestUtils_IsTrue(_xll.d.Formatting_Equal(C136,O136))</f>
        <v>OK</v>
      </c>
      <c r="V136" s="209" t="str" cm="1">
        <f t="array" aca="1" ref="V136" ca="1">_xll.d.TestUtils_IsTrue(_xll.d.Formatting_Equal(D136,P136))</f>
        <v>OK</v>
      </c>
      <c r="W136" s="209" t="str" cm="1">
        <f t="array" aca="1" ref="W136" ca="1">_xll.d.TestUtils_IsTrue(_xll.d.Formatting_Equal(E136,Q136))</f>
        <v>OK</v>
      </c>
      <c r="X136" s="209" t="str" cm="1">
        <f t="array" aca="1" ref="X136" ca="1">_xll.d.TestUtils_IsTrue(_xll.d.Formatting_Equal(F136,R136))</f>
        <v>OK</v>
      </c>
    </row>
    <row r="137" spans="2:24" x14ac:dyDescent="0.25">
      <c r="B137" s="168"/>
      <c r="C137" s="167" t="s">
        <v>85</v>
      </c>
      <c r="D137" s="167">
        <v>0.3</v>
      </c>
      <c r="E137" s="167">
        <v>0.4</v>
      </c>
      <c r="F137" s="167">
        <v>0.5</v>
      </c>
      <c r="H137" s="274"/>
      <c r="I137" s="114" t="s">
        <v>85</v>
      </c>
      <c r="J137" s="120">
        <v>0.3</v>
      </c>
      <c r="K137" s="101">
        <v>0.4</v>
      </c>
      <c r="L137" s="92">
        <v>0.5</v>
      </c>
      <c r="N137" s="168"/>
      <c r="O137" s="167" t="s">
        <v>85</v>
      </c>
      <c r="P137" s="167">
        <v>0.3</v>
      </c>
      <c r="Q137" s="167">
        <v>0.4</v>
      </c>
      <c r="R137" s="167">
        <v>0.5</v>
      </c>
      <c r="T137" s="209" t="str" cm="1">
        <f t="array" aca="1" ref="T137" ca="1">_xll.d.TestUtils_IsTrue(_xll.d.Formatting_Equal(B137,N137))</f>
        <v>OK</v>
      </c>
      <c r="U137" s="209" t="str" cm="1">
        <f t="array" aca="1" ref="U137" ca="1">_xll.d.TestUtils_IsTrue(_xll.d.Formatting_Equal(C137,O137))</f>
        <v>OK</v>
      </c>
      <c r="V137" s="209" t="str" cm="1">
        <f t="array" aca="1" ref="V137" ca="1">_xll.d.TestUtils_IsTrue(_xll.d.Formatting_Equal(D137,P137))</f>
        <v>OK</v>
      </c>
      <c r="W137" s="209" t="str" cm="1">
        <f t="array" aca="1" ref="W137" ca="1">_xll.d.TestUtils_IsTrue(_xll.d.Formatting_Equal(E137,Q137))</f>
        <v>OK</v>
      </c>
      <c r="X137" s="209" t="str" cm="1">
        <f t="array" aca="1" ref="X137" ca="1">_xll.d.TestUtils_IsTrue(_xll.d.Formatting_Equal(F137,R137))</f>
        <v>OK</v>
      </c>
    </row>
    <row r="138" spans="2:24" x14ac:dyDescent="0.25">
      <c r="B138" s="168"/>
      <c r="C138" s="167" t="s">
        <v>105</v>
      </c>
      <c r="D138" s="167">
        <v>0.3</v>
      </c>
      <c r="E138" s="167">
        <v>0.4</v>
      </c>
      <c r="F138" s="167">
        <v>0.5</v>
      </c>
      <c r="H138" s="274"/>
      <c r="I138" s="114" t="s">
        <v>105</v>
      </c>
      <c r="J138" s="120">
        <v>0.3</v>
      </c>
      <c r="K138" s="101">
        <v>0.4</v>
      </c>
      <c r="L138" s="92">
        <v>0.5</v>
      </c>
      <c r="N138" s="168"/>
      <c r="O138" s="167" t="s">
        <v>105</v>
      </c>
      <c r="P138" s="167">
        <v>0.3</v>
      </c>
      <c r="Q138" s="167">
        <v>0.4</v>
      </c>
      <c r="R138" s="167">
        <v>0.5</v>
      </c>
      <c r="T138" s="209" t="str" cm="1">
        <f t="array" aca="1" ref="T138" ca="1">_xll.d.TestUtils_IsTrue(_xll.d.Formatting_Equal(B138,N138))</f>
        <v>OK</v>
      </c>
      <c r="U138" s="209" t="str" cm="1">
        <f t="array" aca="1" ref="U138" ca="1">_xll.d.TestUtils_IsTrue(_xll.d.Formatting_Equal(C138,O138))</f>
        <v>OK</v>
      </c>
      <c r="V138" s="209" t="str" cm="1">
        <f t="array" aca="1" ref="V138" ca="1">_xll.d.TestUtils_IsTrue(_xll.d.Formatting_Equal(D138,P138))</f>
        <v>OK</v>
      </c>
      <c r="W138" s="209" t="str" cm="1">
        <f t="array" aca="1" ref="W138" ca="1">_xll.d.TestUtils_IsTrue(_xll.d.Formatting_Equal(E138,Q138))</f>
        <v>OK</v>
      </c>
      <c r="X138" s="209" t="str" cm="1">
        <f t="array" aca="1" ref="X138" ca="1">_xll.d.TestUtils_IsTrue(_xll.d.Formatting_Equal(F138,R138))</f>
        <v>OK</v>
      </c>
    </row>
    <row r="139" spans="2:24" x14ac:dyDescent="0.25">
      <c r="B139" s="168"/>
      <c r="C139" s="167" t="s">
        <v>25</v>
      </c>
      <c r="D139" s="167">
        <v>0.3</v>
      </c>
      <c r="E139" s="167">
        <v>0.4</v>
      </c>
      <c r="F139" s="167">
        <v>0.5</v>
      </c>
      <c r="H139" s="274"/>
      <c r="I139" s="114" t="s">
        <v>25</v>
      </c>
      <c r="J139" s="120">
        <v>0.3</v>
      </c>
      <c r="K139" s="101">
        <v>0.4</v>
      </c>
      <c r="L139" s="92">
        <v>0.5</v>
      </c>
      <c r="N139" s="168"/>
      <c r="O139" s="167" t="s">
        <v>25</v>
      </c>
      <c r="P139" s="167">
        <v>0.3</v>
      </c>
      <c r="Q139" s="167">
        <v>0.4</v>
      </c>
      <c r="R139" s="167">
        <v>0.5</v>
      </c>
      <c r="T139" s="209" t="str" cm="1">
        <f t="array" aca="1" ref="T139" ca="1">_xll.d.TestUtils_IsTrue(_xll.d.Formatting_Equal(B139,N139))</f>
        <v>OK</v>
      </c>
      <c r="U139" s="209" t="str" cm="1">
        <f t="array" aca="1" ref="U139" ca="1">_xll.d.TestUtils_IsTrue(_xll.d.Formatting_Equal(C139,O139))</f>
        <v>OK</v>
      </c>
      <c r="V139" s="209" t="str" cm="1">
        <f t="array" aca="1" ref="V139" ca="1">_xll.d.TestUtils_IsTrue(_xll.d.Formatting_Equal(D139,P139))</f>
        <v>OK</v>
      </c>
      <c r="W139" s="209" t="str" cm="1">
        <f t="array" aca="1" ref="W139" ca="1">_xll.d.TestUtils_IsTrue(_xll.d.Formatting_Equal(E139,Q139))</f>
        <v>OK</v>
      </c>
      <c r="X139" s="209" t="str" cm="1">
        <f t="array" aca="1" ref="X139" ca="1">_xll.d.TestUtils_IsTrue(_xll.d.Formatting_Equal(F139,R139))</f>
        <v>OK</v>
      </c>
    </row>
    <row r="140" spans="2:24" x14ac:dyDescent="0.25">
      <c r="B140" s="168"/>
      <c r="C140" s="167" t="s">
        <v>40</v>
      </c>
      <c r="D140" s="167">
        <v>0.3</v>
      </c>
      <c r="E140" s="167">
        <v>0.4</v>
      </c>
      <c r="F140" s="167">
        <v>0.5</v>
      </c>
      <c r="H140" s="274"/>
      <c r="I140" s="114" t="s">
        <v>40</v>
      </c>
      <c r="J140" s="120">
        <v>0.3</v>
      </c>
      <c r="K140" s="101">
        <v>0.4</v>
      </c>
      <c r="L140" s="92">
        <v>0.5</v>
      </c>
      <c r="N140" s="168"/>
      <c r="O140" s="167" t="s">
        <v>40</v>
      </c>
      <c r="P140" s="167">
        <v>0.3</v>
      </c>
      <c r="Q140" s="167">
        <v>0.4</v>
      </c>
      <c r="R140" s="167">
        <v>0.5</v>
      </c>
      <c r="T140" s="209" t="str" cm="1">
        <f t="array" aca="1" ref="T140" ca="1">_xll.d.TestUtils_IsTrue(_xll.d.Formatting_Equal(B140,N140))</f>
        <v>OK</v>
      </c>
      <c r="U140" s="209" t="str" cm="1">
        <f t="array" aca="1" ref="U140" ca="1">_xll.d.TestUtils_IsTrue(_xll.d.Formatting_Equal(C140,O140))</f>
        <v>OK</v>
      </c>
      <c r="V140" s="209" t="str" cm="1">
        <f t="array" aca="1" ref="V140" ca="1">_xll.d.TestUtils_IsTrue(_xll.d.Formatting_Equal(D140,P140))</f>
        <v>OK</v>
      </c>
      <c r="W140" s="209" t="str" cm="1">
        <f t="array" aca="1" ref="W140" ca="1">_xll.d.TestUtils_IsTrue(_xll.d.Formatting_Equal(E140,Q140))</f>
        <v>OK</v>
      </c>
      <c r="X140" s="209" t="str" cm="1">
        <f t="array" aca="1" ref="X140" ca="1">_xll.d.TestUtils_IsTrue(_xll.d.Formatting_Equal(F140,R140))</f>
        <v>OK</v>
      </c>
    </row>
    <row r="141" spans="2:24" x14ac:dyDescent="0.25">
      <c r="B141" s="168"/>
      <c r="C141" s="167" t="s">
        <v>106</v>
      </c>
      <c r="D141" s="167">
        <v>0.3</v>
      </c>
      <c r="E141" s="167">
        <v>0.4</v>
      </c>
      <c r="F141" s="167">
        <v>0.5</v>
      </c>
      <c r="H141" s="274"/>
      <c r="I141" s="114" t="s">
        <v>106</v>
      </c>
      <c r="J141" s="120">
        <v>0.3</v>
      </c>
      <c r="K141" s="101">
        <v>0.4</v>
      </c>
      <c r="L141" s="92">
        <v>0.5</v>
      </c>
      <c r="N141" s="168"/>
      <c r="O141" s="167" t="s">
        <v>106</v>
      </c>
      <c r="P141" s="167">
        <v>0.3</v>
      </c>
      <c r="Q141" s="167">
        <v>0.4</v>
      </c>
      <c r="R141" s="167">
        <v>0.5</v>
      </c>
      <c r="T141" s="209" t="str" cm="1">
        <f t="array" aca="1" ref="T141" ca="1">_xll.d.TestUtils_IsTrue(_xll.d.Formatting_Equal(B141,N141))</f>
        <v>OK</v>
      </c>
      <c r="U141" s="209" t="str" cm="1">
        <f t="array" aca="1" ref="U141" ca="1">_xll.d.TestUtils_IsTrue(_xll.d.Formatting_Equal(C141,O141))</f>
        <v>OK</v>
      </c>
      <c r="V141" s="209" t="str" cm="1">
        <f t="array" aca="1" ref="V141" ca="1">_xll.d.TestUtils_IsTrue(_xll.d.Formatting_Equal(D141,P141))</f>
        <v>OK</v>
      </c>
      <c r="W141" s="209" t="str" cm="1">
        <f t="array" aca="1" ref="W141" ca="1">_xll.d.TestUtils_IsTrue(_xll.d.Formatting_Equal(E141,Q141))</f>
        <v>OK</v>
      </c>
      <c r="X141" s="209" t="str" cm="1">
        <f t="array" aca="1" ref="X141" ca="1">_xll.d.TestUtils_IsTrue(_xll.d.Formatting_Equal(F141,R141))</f>
        <v>OK</v>
      </c>
    </row>
    <row r="142" spans="2:24" x14ac:dyDescent="0.25">
      <c r="B142" s="168"/>
      <c r="C142" s="167" t="s">
        <v>98</v>
      </c>
      <c r="D142" s="167">
        <v>0.3</v>
      </c>
      <c r="E142" s="167">
        <v>0.4</v>
      </c>
      <c r="F142" s="167">
        <v>0.5</v>
      </c>
      <c r="H142" s="274"/>
      <c r="I142" s="114" t="s">
        <v>98</v>
      </c>
      <c r="J142" s="120">
        <v>0.3</v>
      </c>
      <c r="K142" s="101">
        <v>0.4</v>
      </c>
      <c r="L142" s="92">
        <v>0.5</v>
      </c>
      <c r="N142" s="168"/>
      <c r="O142" s="167" t="s">
        <v>98</v>
      </c>
      <c r="P142" s="167">
        <v>0.3</v>
      </c>
      <c r="Q142" s="167">
        <v>0.4</v>
      </c>
      <c r="R142" s="167">
        <v>0.5</v>
      </c>
      <c r="T142" s="209" t="str" cm="1">
        <f t="array" aca="1" ref="T142" ca="1">_xll.d.TestUtils_IsTrue(_xll.d.Formatting_Equal(B142,N142))</f>
        <v>OK</v>
      </c>
      <c r="U142" s="209" t="str" cm="1">
        <f t="array" aca="1" ref="U142" ca="1">_xll.d.TestUtils_IsTrue(_xll.d.Formatting_Equal(C142,O142))</f>
        <v>OK</v>
      </c>
      <c r="V142" s="209" t="str" cm="1">
        <f t="array" aca="1" ref="V142" ca="1">_xll.d.TestUtils_IsTrue(_xll.d.Formatting_Equal(D142,P142))</f>
        <v>OK</v>
      </c>
      <c r="W142" s="209" t="str" cm="1">
        <f t="array" aca="1" ref="W142" ca="1">_xll.d.TestUtils_IsTrue(_xll.d.Formatting_Equal(E142,Q142))</f>
        <v>OK</v>
      </c>
      <c r="X142" s="209" t="str" cm="1">
        <f t="array" aca="1" ref="X142" ca="1">_xll.d.TestUtils_IsTrue(_xll.d.Formatting_Equal(F142,R142))</f>
        <v>OK</v>
      </c>
    </row>
    <row r="143" spans="2:24" x14ac:dyDescent="0.25">
      <c r="B143" s="168"/>
      <c r="C143" s="167" t="s">
        <v>108</v>
      </c>
      <c r="D143" s="167">
        <v>0.3</v>
      </c>
      <c r="E143" s="167">
        <v>0.4</v>
      </c>
      <c r="F143" s="167">
        <v>0.5</v>
      </c>
      <c r="H143" s="274"/>
      <c r="I143" s="114" t="s">
        <v>108</v>
      </c>
      <c r="J143" s="120">
        <v>0.3</v>
      </c>
      <c r="K143" s="101">
        <v>0.4</v>
      </c>
      <c r="L143" s="92">
        <v>0.5</v>
      </c>
      <c r="N143" s="168"/>
      <c r="O143" s="167" t="s">
        <v>108</v>
      </c>
      <c r="P143" s="167">
        <v>0.3</v>
      </c>
      <c r="Q143" s="167">
        <v>0.4</v>
      </c>
      <c r="R143" s="167">
        <v>0.5</v>
      </c>
      <c r="T143" s="209" t="str" cm="1">
        <f t="array" aca="1" ref="T143" ca="1">_xll.d.TestUtils_IsTrue(_xll.d.Formatting_Equal(B143,N143))</f>
        <v>OK</v>
      </c>
      <c r="U143" s="209" t="str" cm="1">
        <f t="array" aca="1" ref="U143" ca="1">_xll.d.TestUtils_IsTrue(_xll.d.Formatting_Equal(C143,O143))</f>
        <v>OK</v>
      </c>
      <c r="V143" s="209" t="str" cm="1">
        <f t="array" aca="1" ref="V143" ca="1">_xll.d.TestUtils_IsTrue(_xll.d.Formatting_Equal(D143,P143))</f>
        <v>OK</v>
      </c>
      <c r="W143" s="209" t="str" cm="1">
        <f t="array" aca="1" ref="W143" ca="1">_xll.d.TestUtils_IsTrue(_xll.d.Formatting_Equal(E143,Q143))</f>
        <v>OK</v>
      </c>
      <c r="X143" s="209" t="str" cm="1">
        <f t="array" aca="1" ref="X143" ca="1">_xll.d.TestUtils_IsTrue(_xll.d.Formatting_Equal(F143,R143))</f>
        <v>OK</v>
      </c>
    </row>
    <row r="144" spans="2:24" x14ac:dyDescent="0.25">
      <c r="B144" s="168"/>
      <c r="C144" s="167" t="s">
        <v>107</v>
      </c>
      <c r="D144" s="167">
        <v>0.3</v>
      </c>
      <c r="E144" s="167">
        <v>0.4</v>
      </c>
      <c r="F144" s="167">
        <v>0.5</v>
      </c>
      <c r="H144" s="274"/>
      <c r="I144" s="115" t="s">
        <v>107</v>
      </c>
      <c r="J144" s="121">
        <v>0.3</v>
      </c>
      <c r="K144" s="102">
        <v>0.4</v>
      </c>
      <c r="L144" s="93">
        <v>0.5</v>
      </c>
      <c r="N144" s="168"/>
      <c r="O144" s="167" t="s">
        <v>107</v>
      </c>
      <c r="P144" s="167">
        <v>0.3</v>
      </c>
      <c r="Q144" s="167">
        <v>0.4</v>
      </c>
      <c r="R144" s="167">
        <v>0.5</v>
      </c>
      <c r="T144" s="209" t="str" cm="1">
        <f t="array" aca="1" ref="T144" ca="1">_xll.d.TestUtils_IsTrue(_xll.d.Formatting_Equal(B144,N144))</f>
        <v>OK</v>
      </c>
      <c r="U144" s="209" t="str" cm="1">
        <f t="array" aca="1" ref="U144" ca="1">_xll.d.TestUtils_IsTrue(_xll.d.Formatting_Equal(C144,O144))</f>
        <v>OK</v>
      </c>
      <c r="V144" s="209" t="str" cm="1">
        <f t="array" aca="1" ref="V144" ca="1">_xll.d.TestUtils_IsTrue(_xll.d.Formatting_Equal(D144,P144))</f>
        <v>OK</v>
      </c>
      <c r="W144" s="209" t="str" cm="1">
        <f t="array" aca="1" ref="W144" ca="1">_xll.d.TestUtils_IsTrue(_xll.d.Formatting_Equal(E144,Q144))</f>
        <v>OK</v>
      </c>
      <c r="X144" s="209" t="str" cm="1">
        <f t="array" aca="1" ref="X144" ca="1">_xll.d.TestUtils_IsTrue(_xll.d.Formatting_Equal(F144,R144))</f>
        <v>OK</v>
      </c>
    </row>
    <row r="147" spans="2:55" ht="18.75" x14ac:dyDescent="0.3">
      <c r="B147" s="3" t="s">
        <v>129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60" t="s">
        <v>138</v>
      </c>
      <c r="C149" s="209" t="str" cm="1">
        <f t="array" aca="1" ref="C149" ca="1">_xll.d.TestUtils_And(K162:L165)</f>
        <v>OK</v>
      </c>
    </row>
    <row r="151" spans="2:55" x14ac:dyDescent="0.25">
      <c r="B151" s="60" t="s">
        <v>118</v>
      </c>
      <c r="C151" s="60" t="s">
        <v>33</v>
      </c>
    </row>
    <row r="152" spans="2:55" x14ac:dyDescent="0.25">
      <c r="B152" s="110" t="s">
        <v>113</v>
      </c>
      <c r="C152" s="111" t="s">
        <v>133</v>
      </c>
    </row>
    <row r="153" spans="2:55" x14ac:dyDescent="0.25">
      <c r="B153" s="104" t="s">
        <v>114</v>
      </c>
      <c r="C153" s="105" t="s">
        <v>130</v>
      </c>
    </row>
    <row r="154" spans="2:55" x14ac:dyDescent="0.25">
      <c r="B154" s="110" t="s">
        <v>132</v>
      </c>
      <c r="C154" s="183">
        <v>2</v>
      </c>
    </row>
    <row r="155" spans="2:55" x14ac:dyDescent="0.25">
      <c r="B155" s="178" t="s">
        <v>133</v>
      </c>
      <c r="C155" s="184">
        <v>0</v>
      </c>
    </row>
    <row r="156" spans="2:55" x14ac:dyDescent="0.25">
      <c r="B156" s="161" t="s">
        <v>121</v>
      </c>
      <c r="C156" s="162"/>
    </row>
    <row r="158" spans="2:55" x14ac:dyDescent="0.25">
      <c r="B158" t="s">
        <v>174</v>
      </c>
    </row>
    <row r="160" spans="2:55" x14ac:dyDescent="0.25">
      <c r="B160" s="82" t="s">
        <v>94</v>
      </c>
      <c r="E160" s="82" t="s">
        <v>111</v>
      </c>
      <c r="H160" s="82" t="s">
        <v>112</v>
      </c>
      <c r="K160" s="82" t="s">
        <v>139</v>
      </c>
    </row>
    <row r="162" spans="2:55" x14ac:dyDescent="0.25">
      <c r="B162" s="150" t="s">
        <v>58</v>
      </c>
      <c r="C162" s="151"/>
      <c r="E162" t="s">
        <v>58</v>
      </c>
      <c r="H162" s="150" t="s">
        <v>58</v>
      </c>
      <c r="I162" s="151"/>
      <c r="K162" s="209" t="str" cm="1">
        <f t="array" aca="1" ref="K162" ca="1">_xll.d.TestUtils_IsTrue(_xll.d.Formatting_Equal(B162,H162))</f>
        <v>OK</v>
      </c>
      <c r="L162" s="209" t="str" cm="1">
        <f t="array" aca="1" ref="L162" ca="1">_xll.d.TestUtils_IsTrue(_xll.d.Formatting_Equal(C162,I162))</f>
        <v>OK</v>
      </c>
    </row>
    <row r="163" spans="2:55" x14ac:dyDescent="0.25">
      <c r="B163" s="148" t="s">
        <v>32</v>
      </c>
      <c r="C163" s="149" t="s">
        <v>33</v>
      </c>
      <c r="E163" t="s">
        <v>32</v>
      </c>
      <c r="F163" t="s">
        <v>33</v>
      </c>
      <c r="H163" s="148" t="s">
        <v>32</v>
      </c>
      <c r="I163" s="149" t="s">
        <v>33</v>
      </c>
      <c r="K163" s="209" t="str" cm="1">
        <f t="array" aca="1" ref="K163" ca="1">_xll.d.TestUtils_IsTrue(_xll.d.Formatting_Equal(B163,H163))</f>
        <v>OK</v>
      </c>
      <c r="L163" s="209" t="str" cm="1">
        <f t="array" aca="1" ref="L163" ca="1">_xll.d.TestUtils_IsTrue(_xll.d.Formatting_Equal(C163,I163))</f>
        <v>OK</v>
      </c>
    </row>
    <row r="164" spans="2:55" x14ac:dyDescent="0.25">
      <c r="B164" s="152" t="s">
        <v>13</v>
      </c>
      <c r="C164" s="153" t="s">
        <v>47</v>
      </c>
      <c r="E164" t="s">
        <v>13</v>
      </c>
      <c r="F164" t="s">
        <v>47</v>
      </c>
      <c r="H164" s="152" t="s">
        <v>13</v>
      </c>
      <c r="I164" s="153" t="s">
        <v>47</v>
      </c>
      <c r="K164" s="209" t="str" cm="1">
        <f t="array" aca="1" ref="K164" ca="1">_xll.d.TestUtils_IsTrue(_xll.d.Formatting_Equal(B164,H164))</f>
        <v>OK</v>
      </c>
      <c r="L164" s="209" t="str" cm="1">
        <f t="array" aca="1" ref="L164" ca="1">_xll.d.TestUtils_IsTrue(_xll.d.Formatting_Equal(C164,I164))</f>
        <v>OK</v>
      </c>
    </row>
    <row r="165" spans="2:55" x14ac:dyDescent="0.25">
      <c r="B165" s="154" t="s">
        <v>36</v>
      </c>
      <c r="C165" s="155" t="s">
        <v>37</v>
      </c>
      <c r="E165" t="s">
        <v>36</v>
      </c>
      <c r="F165" t="s">
        <v>37</v>
      </c>
      <c r="H165" s="154" t="s">
        <v>36</v>
      </c>
      <c r="I165" s="155" t="s">
        <v>37</v>
      </c>
      <c r="K165" s="209" t="str" cm="1">
        <f t="array" aca="1" ref="K165" ca="1">_xll.d.TestUtils_IsTrue(_xll.d.Formatting_Equal(B165,H165))</f>
        <v>OK</v>
      </c>
      <c r="L165" s="209" t="str" cm="1">
        <f t="array" aca="1" ref="L165" ca="1">_xll.d.TestUtils_IsTrue(_xll.d.Formatting_Equal(C165,I165))</f>
        <v>OK</v>
      </c>
    </row>
    <row r="166" spans="2:55" x14ac:dyDescent="0.25">
      <c r="B166" s="156" t="s">
        <v>57</v>
      </c>
      <c r="C166" s="157" t="s">
        <v>26</v>
      </c>
      <c r="E166" t="s">
        <v>57</v>
      </c>
      <c r="F166" t="s">
        <v>26</v>
      </c>
      <c r="H166" s="156" t="s">
        <v>57</v>
      </c>
      <c r="I166" s="157" t="s">
        <v>26</v>
      </c>
      <c r="K166" s="209" t="str" cm="1">
        <f t="array" aca="1" ref="K166" ca="1">_xll.d.TestUtils_IsTrue(_xll.d.Formatting_Equal(B166,H166))</f>
        <v>OK</v>
      </c>
      <c r="L166" s="209" t="str" cm="1">
        <f t="array" aca="1" ref="L166" ca="1">_xll.d.TestUtils_IsTrue(_xll.d.Formatting_Equal(C166,I166))</f>
        <v>OK</v>
      </c>
    </row>
    <row r="169" spans="2:55" ht="18.75" x14ac:dyDescent="0.3">
      <c r="B169" s="3" t="s">
        <v>131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60" t="s">
        <v>138</v>
      </c>
      <c r="C171" s="209" t="str" cm="1">
        <f t="array" aca="1" ref="C171" ca="1">_xll.d.TestUtils_And(K182:L186)</f>
        <v>OK</v>
      </c>
    </row>
    <row r="173" spans="2:55" x14ac:dyDescent="0.25">
      <c r="B173" s="60" t="s">
        <v>118</v>
      </c>
      <c r="C173" s="60" t="s">
        <v>33</v>
      </c>
    </row>
    <row r="174" spans="2:55" x14ac:dyDescent="0.25">
      <c r="B174" s="110" t="s">
        <v>113</v>
      </c>
      <c r="C174" s="111" t="s">
        <v>133</v>
      </c>
    </row>
    <row r="175" spans="2:55" x14ac:dyDescent="0.25">
      <c r="B175" s="104" t="s">
        <v>114</v>
      </c>
      <c r="C175" s="105" t="s">
        <v>130</v>
      </c>
    </row>
    <row r="176" spans="2:55" x14ac:dyDescent="0.25">
      <c r="B176" s="161" t="s">
        <v>121</v>
      </c>
      <c r="C176" s="162"/>
    </row>
    <row r="178" spans="2:55" x14ac:dyDescent="0.25">
      <c r="B178" t="s">
        <v>134</v>
      </c>
    </row>
    <row r="180" spans="2:55" x14ac:dyDescent="0.25">
      <c r="B180" s="82" t="s">
        <v>94</v>
      </c>
      <c r="E180" s="82" t="s">
        <v>111</v>
      </c>
      <c r="H180" s="82" t="s">
        <v>112</v>
      </c>
      <c r="K180" s="82" t="s">
        <v>139</v>
      </c>
    </row>
    <row r="182" spans="2:55" x14ac:dyDescent="0.25">
      <c r="B182" s="167" t="s">
        <v>58</v>
      </c>
      <c r="C182" s="167"/>
      <c r="E182" s="150" t="s">
        <v>58</v>
      </c>
      <c r="F182" s="151"/>
      <c r="H182" s="168" t="s">
        <v>58</v>
      </c>
      <c r="I182" s="168"/>
      <c r="K182" s="209" t="str" cm="1">
        <f t="array" aca="1" ref="K182" ca="1">_xll.d.TestUtils_IsTrue(_xll.d.Formatting_Equal(B182,H182))</f>
        <v>OK</v>
      </c>
      <c r="L182" s="209" t="str" cm="1">
        <f t="array" aca="1" ref="L182" ca="1">_xll.d.TestUtils_IsTrue(_xll.d.Formatting_Equal(C182,I182))</f>
        <v>OK</v>
      </c>
    </row>
    <row r="183" spans="2:55" x14ac:dyDescent="0.25">
      <c r="B183" s="167" t="s">
        <v>32</v>
      </c>
      <c r="C183" s="167" t="s">
        <v>33</v>
      </c>
      <c r="E183" s="148" t="s">
        <v>32</v>
      </c>
      <c r="F183" s="149" t="s">
        <v>33</v>
      </c>
      <c r="H183" s="168" t="s">
        <v>32</v>
      </c>
      <c r="I183" s="168" t="s">
        <v>33</v>
      </c>
      <c r="K183" s="209" t="str" cm="1">
        <f t="array" aca="1" ref="K183" ca="1">_xll.d.TestUtils_IsTrue(_xll.d.Formatting_Equal(B183,H183))</f>
        <v>OK</v>
      </c>
      <c r="L183" s="209" t="str" cm="1">
        <f t="array" aca="1" ref="L183" ca="1">_xll.d.TestUtils_IsTrue(_xll.d.Formatting_Equal(C183,I183))</f>
        <v>OK</v>
      </c>
    </row>
    <row r="184" spans="2:55" x14ac:dyDescent="0.25">
      <c r="B184" s="167" t="s">
        <v>13</v>
      </c>
      <c r="C184" s="167" t="s">
        <v>47</v>
      </c>
      <c r="E184" s="152" t="s">
        <v>13</v>
      </c>
      <c r="F184" s="153" t="s">
        <v>47</v>
      </c>
      <c r="H184" s="168" t="s">
        <v>13</v>
      </c>
      <c r="I184" s="168" t="s">
        <v>47</v>
      </c>
      <c r="K184" s="209" t="str" cm="1">
        <f t="array" aca="1" ref="K184" ca="1">_xll.d.TestUtils_IsTrue(_xll.d.Formatting_Equal(B184,H184))</f>
        <v>OK</v>
      </c>
      <c r="L184" s="209" t="str" cm="1">
        <f t="array" aca="1" ref="L184" ca="1">_xll.d.TestUtils_IsTrue(_xll.d.Formatting_Equal(C184,I184))</f>
        <v>OK</v>
      </c>
    </row>
    <row r="185" spans="2:55" x14ac:dyDescent="0.25">
      <c r="B185" s="167" t="s">
        <v>36</v>
      </c>
      <c r="C185" s="167" t="s">
        <v>37</v>
      </c>
      <c r="E185" s="154" t="s">
        <v>36</v>
      </c>
      <c r="F185" s="155" t="s">
        <v>37</v>
      </c>
      <c r="H185" s="168" t="s">
        <v>36</v>
      </c>
      <c r="I185" s="168" t="s">
        <v>37</v>
      </c>
      <c r="K185" s="209" t="str" cm="1">
        <f t="array" aca="1" ref="K185" ca="1">_xll.d.TestUtils_IsTrue(_xll.d.Formatting_Equal(B185,H185))</f>
        <v>OK</v>
      </c>
      <c r="L185" s="209" t="str" cm="1">
        <f t="array" aca="1" ref="L185" ca="1">_xll.d.TestUtils_IsTrue(_xll.d.Formatting_Equal(C185,I185))</f>
        <v>OK</v>
      </c>
    </row>
    <row r="186" spans="2:55" x14ac:dyDescent="0.25">
      <c r="B186" s="167" t="s">
        <v>57</v>
      </c>
      <c r="C186" s="167" t="s">
        <v>26</v>
      </c>
      <c r="E186" s="156" t="s">
        <v>57</v>
      </c>
      <c r="F186" s="157" t="s">
        <v>26</v>
      </c>
      <c r="H186" s="168" t="s">
        <v>57</v>
      </c>
      <c r="I186" s="168" t="s">
        <v>26</v>
      </c>
      <c r="K186" s="209" t="str" cm="1">
        <f t="array" aca="1" ref="K186" ca="1">_xll.d.TestUtils_IsTrue(_xll.d.Formatting_Equal(B186,H186))</f>
        <v>OK</v>
      </c>
      <c r="L186" s="209" t="str" cm="1">
        <f t="array" aca="1" ref="L186" ca="1">_xll.d.TestUtils_IsTrue(_xll.d.Formatting_Equal(C186,I186))</f>
        <v>OK</v>
      </c>
    </row>
    <row r="189" spans="2:55" ht="18.75" x14ac:dyDescent="0.3">
      <c r="B189" s="3" t="s">
        <v>177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60" t="s">
        <v>138</v>
      </c>
      <c r="C191" s="209" t="str" cm="1">
        <f t="array" aca="1" ref="C191" ca="1">_xll.d.TestUtils_And(T202:X203)</f>
        <v>OK</v>
      </c>
    </row>
    <row r="193" spans="2:24" x14ac:dyDescent="0.25">
      <c r="B193" s="60" t="s">
        <v>118</v>
      </c>
      <c r="C193" s="60" t="s">
        <v>33</v>
      </c>
    </row>
    <row r="194" spans="2:24" x14ac:dyDescent="0.25">
      <c r="B194" s="110" t="s">
        <v>113</v>
      </c>
      <c r="C194" s="111" t="s">
        <v>132</v>
      </c>
    </row>
    <row r="195" spans="2:24" x14ac:dyDescent="0.25">
      <c r="B195" s="104" t="s">
        <v>114</v>
      </c>
      <c r="C195" s="105" t="s">
        <v>130</v>
      </c>
    </row>
    <row r="196" spans="2:24" x14ac:dyDescent="0.25">
      <c r="B196" s="161" t="s">
        <v>121</v>
      </c>
      <c r="C196" s="162"/>
    </row>
    <row r="198" spans="2:24" x14ac:dyDescent="0.25">
      <c r="B198" t="s">
        <v>134</v>
      </c>
    </row>
    <row r="200" spans="2:24" x14ac:dyDescent="0.25">
      <c r="B200" s="82" t="s">
        <v>94</v>
      </c>
      <c r="H200" s="82" t="s">
        <v>111</v>
      </c>
      <c r="N200" s="82" t="s">
        <v>112</v>
      </c>
      <c r="T200" s="82" t="s">
        <v>139</v>
      </c>
    </row>
    <row r="201" spans="2:24" x14ac:dyDescent="0.25">
      <c r="B201" s="167"/>
      <c r="C201" s="167"/>
      <c r="L201" s="168"/>
      <c r="M201" s="168"/>
    </row>
    <row r="202" spans="2:24" ht="15" customHeight="1" x14ac:dyDescent="0.25">
      <c r="B202" s="275" t="s">
        <v>58</v>
      </c>
      <c r="C202" s="254" t="s">
        <v>32</v>
      </c>
      <c r="D202" s="152" t="s">
        <v>13</v>
      </c>
      <c r="E202" s="256" t="s">
        <v>36</v>
      </c>
      <c r="F202" s="153" t="s">
        <v>57</v>
      </c>
      <c r="H202" s="168" t="s">
        <v>58</v>
      </c>
      <c r="I202" s="168" t="s">
        <v>32</v>
      </c>
      <c r="J202" s="168" t="s">
        <v>13</v>
      </c>
      <c r="K202" s="168" t="s">
        <v>36</v>
      </c>
      <c r="L202" s="168" t="s">
        <v>57</v>
      </c>
      <c r="N202" s="270" t="s">
        <v>58</v>
      </c>
      <c r="O202" s="211" t="s">
        <v>32</v>
      </c>
      <c r="P202" s="260" t="s">
        <v>13</v>
      </c>
      <c r="Q202" s="261" t="s">
        <v>36</v>
      </c>
      <c r="R202" s="262" t="s">
        <v>57</v>
      </c>
      <c r="T202" s="209" t="str" cm="1">
        <f t="array" aca="1" ref="T202" ca="1">_xll.d.TestUtils_IsTrue(_xll.d.Formatting_Equal(B202,N202))</f>
        <v>OK</v>
      </c>
      <c r="U202" s="209" t="str" cm="1">
        <f t="array" aca="1" ref="U202" ca="1">_xll.d.TestUtils_IsTrue(_xll.d.Formatting_Equal(C202,O202))</f>
        <v>OK</v>
      </c>
      <c r="V202" s="209" t="str" cm="1">
        <f t="array" aca="1" ref="V202" ca="1">_xll.d.TestUtils_IsTrue(_xll.d.Formatting_Equal(D202,P202))</f>
        <v>OK</v>
      </c>
      <c r="W202" s="209" t="str" cm="1">
        <f t="array" aca="1" ref="W202" ca="1">_xll.d.TestUtils_IsTrue(_xll.d.Formatting_Equal(E202,Q202))</f>
        <v>OK</v>
      </c>
      <c r="X202" s="209" t="str" cm="1">
        <f t="array" aca="1" ref="X202" ca="1">_xll.d.TestUtils_IsTrue(_xll.d.Formatting_Equal(F202,R202))</f>
        <v>OK</v>
      </c>
    </row>
    <row r="203" spans="2:24" x14ac:dyDescent="0.25">
      <c r="B203" s="276"/>
      <c r="C203" s="255" t="s">
        <v>33</v>
      </c>
      <c r="D203" s="156" t="s">
        <v>47</v>
      </c>
      <c r="E203" s="257" t="s">
        <v>37</v>
      </c>
      <c r="F203" s="157" t="s">
        <v>26</v>
      </c>
      <c r="H203" s="168"/>
      <c r="I203" s="168" t="s">
        <v>33</v>
      </c>
      <c r="J203" s="168" t="s">
        <v>47</v>
      </c>
      <c r="K203" s="168" t="s">
        <v>37</v>
      </c>
      <c r="L203" s="168" t="s">
        <v>26</v>
      </c>
      <c r="N203" s="272"/>
      <c r="O203" s="213" t="s">
        <v>33</v>
      </c>
      <c r="P203" s="263" t="s">
        <v>47</v>
      </c>
      <c r="Q203" s="264" t="s">
        <v>37</v>
      </c>
      <c r="R203" s="265" t="s">
        <v>26</v>
      </c>
      <c r="T203" s="209" t="str" cm="1">
        <f t="array" aca="1" ref="T203" ca="1">_xll.d.TestUtils_IsTrue(_xll.d.Formatting_Equal(B203,N203))</f>
        <v>OK</v>
      </c>
      <c r="U203" s="209" t="str" cm="1">
        <f t="array" aca="1" ref="U203" ca="1">_xll.d.TestUtils_IsTrue(_xll.d.Formatting_Equal(C203,O203))</f>
        <v>OK</v>
      </c>
      <c r="V203" s="209" t="str" cm="1">
        <f t="array" aca="1" ref="V203" ca="1">_xll.d.TestUtils_IsTrue(_xll.d.Formatting_Equal(D203,P203))</f>
        <v>OK</v>
      </c>
      <c r="W203" s="209" t="str" cm="1">
        <f t="array" aca="1" ref="W203" ca="1">_xll.d.TestUtils_IsTrue(_xll.d.Formatting_Equal(E203,Q203))</f>
        <v>OK</v>
      </c>
      <c r="X203" s="209" t="str" cm="1">
        <f t="array" aca="1" ref="X203" ca="1">_xll.d.TestUtils_IsTrue(_xll.d.Formatting_Equal(F203,R203))</f>
        <v>OK</v>
      </c>
    </row>
  </sheetData>
  <mergeCells count="5">
    <mergeCell ref="B92:B108"/>
    <mergeCell ref="H128:H144"/>
    <mergeCell ref="N92:N108"/>
    <mergeCell ref="B202:B203"/>
    <mergeCell ref="N202:N203"/>
  </mergeCells>
  <conditionalFormatting sqref="C4">
    <cfRule type="cellIs" dxfId="50" priority="7" stopIfTrue="1" operator="equal">
      <formula>"ERROR"</formula>
    </cfRule>
    <cfRule type="cellIs" dxfId="49" priority="8" stopIfTrue="1" operator="equal">
      <formula>"OK"</formula>
    </cfRule>
    <cfRule type="cellIs" dxfId="48" priority="9" stopIfTrue="1" operator="equal">
      <formula>"WARNING"</formula>
    </cfRule>
  </conditionalFormatting>
  <conditionalFormatting sqref="C7:C12">
    <cfRule type="cellIs" dxfId="47" priority="10" stopIfTrue="1" operator="equal">
      <formula>"ERROR"</formula>
    </cfRule>
    <cfRule type="cellIs" dxfId="46" priority="11" stopIfTrue="1" operator="equal">
      <formula>"OK"</formula>
    </cfRule>
    <cfRule type="cellIs" dxfId="45" priority="12" stopIfTrue="1" operator="equal">
      <formula>"WARNING"</formula>
    </cfRule>
  </conditionalFormatting>
  <conditionalFormatting sqref="C29">
    <cfRule type="cellIs" dxfId="44" priority="13" stopIfTrue="1" operator="equal">
      <formula>"ERROR"</formula>
    </cfRule>
    <cfRule type="cellIs" dxfId="43" priority="14" stopIfTrue="1" operator="equal">
      <formula>"OK"</formula>
    </cfRule>
    <cfRule type="cellIs" dxfId="42" priority="15" stopIfTrue="1" operator="equal">
      <formula>"WARNING"</formula>
    </cfRule>
  </conditionalFormatting>
  <conditionalFormatting sqref="BD44:BT48">
    <cfRule type="cellIs" dxfId="41" priority="16" stopIfTrue="1" operator="equal">
      <formula>"ERROR"</formula>
    </cfRule>
    <cfRule type="cellIs" dxfId="40" priority="17" stopIfTrue="1" operator="equal">
      <formula>"OK"</formula>
    </cfRule>
    <cfRule type="cellIs" dxfId="39" priority="18" stopIfTrue="1" operator="equal">
      <formula>"WARNING"</formula>
    </cfRule>
  </conditionalFormatting>
  <conditionalFormatting sqref="C53">
    <cfRule type="cellIs" dxfId="38" priority="19" stopIfTrue="1" operator="equal">
      <formula>"ERROR"</formula>
    </cfRule>
    <cfRule type="cellIs" dxfId="37" priority="20" stopIfTrue="1" operator="equal">
      <formula>"OK"</formula>
    </cfRule>
    <cfRule type="cellIs" dxfId="36" priority="21" stopIfTrue="1" operator="equal">
      <formula>"WARNING"</formula>
    </cfRule>
  </conditionalFormatting>
  <conditionalFormatting sqref="BD68:BT72">
    <cfRule type="cellIs" dxfId="35" priority="22" stopIfTrue="1" operator="equal">
      <formula>"ERROR"</formula>
    </cfRule>
    <cfRule type="cellIs" dxfId="34" priority="23" stopIfTrue="1" operator="equal">
      <formula>"OK"</formula>
    </cfRule>
    <cfRule type="cellIs" dxfId="33" priority="24" stopIfTrue="1" operator="equal">
      <formula>"WARNING"</formula>
    </cfRule>
  </conditionalFormatting>
  <conditionalFormatting sqref="C77">
    <cfRule type="cellIs" dxfId="32" priority="25" stopIfTrue="1" operator="equal">
      <formula>"ERROR"</formula>
    </cfRule>
    <cfRule type="cellIs" dxfId="31" priority="26" stopIfTrue="1" operator="equal">
      <formula>"OK"</formula>
    </cfRule>
    <cfRule type="cellIs" dxfId="30" priority="27" stopIfTrue="1" operator="equal">
      <formula>"WARNING"</formula>
    </cfRule>
  </conditionalFormatting>
  <conditionalFormatting sqref="T92:X108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C113">
    <cfRule type="cellIs" dxfId="26" priority="31" stopIfTrue="1" operator="equal">
      <formula>"ERROR"</formula>
    </cfRule>
    <cfRule type="cellIs" dxfId="25" priority="32" stopIfTrue="1" operator="equal">
      <formula>"OK"</formula>
    </cfRule>
    <cfRule type="cellIs" dxfId="24" priority="33" stopIfTrue="1" operator="equal">
      <formula>"WARNING"</formula>
    </cfRule>
  </conditionalFormatting>
  <conditionalFormatting sqref="T128:X144">
    <cfRule type="cellIs" dxfId="23" priority="34" stopIfTrue="1" operator="equal">
      <formula>"ERROR"</formula>
    </cfRule>
    <cfRule type="cellIs" dxfId="22" priority="35" stopIfTrue="1" operator="equal">
      <formula>"OK"</formula>
    </cfRule>
    <cfRule type="cellIs" dxfId="21" priority="36" stopIfTrue="1" operator="equal">
      <formula>"WARNING"</formula>
    </cfRule>
  </conditionalFormatting>
  <conditionalFormatting sqref="C149">
    <cfRule type="cellIs" dxfId="20" priority="37" stopIfTrue="1" operator="equal">
      <formula>"ERROR"</formula>
    </cfRule>
    <cfRule type="cellIs" dxfId="19" priority="38" stopIfTrue="1" operator="equal">
      <formula>"OK"</formula>
    </cfRule>
    <cfRule type="cellIs" dxfId="18" priority="39" stopIfTrue="1" operator="equal">
      <formula>"WARNING"</formula>
    </cfRule>
  </conditionalFormatting>
  <conditionalFormatting sqref="K162:L166">
    <cfRule type="cellIs" dxfId="17" priority="40" stopIfTrue="1" operator="equal">
      <formula>"ERROR"</formula>
    </cfRule>
    <cfRule type="cellIs" dxfId="16" priority="41" stopIfTrue="1" operator="equal">
      <formula>"OK"</formula>
    </cfRule>
    <cfRule type="cellIs" dxfId="15" priority="42" stopIfTrue="1" operator="equal">
      <formula>"WARNING"</formula>
    </cfRule>
  </conditionalFormatting>
  <conditionalFormatting sqref="K182:L186">
    <cfRule type="cellIs" dxfId="14" priority="43" stopIfTrue="1" operator="equal">
      <formula>"ERROR"</formula>
    </cfRule>
    <cfRule type="cellIs" dxfId="13" priority="44" stopIfTrue="1" operator="equal">
      <formula>"OK"</formula>
    </cfRule>
    <cfRule type="cellIs" dxfId="12" priority="45" stopIfTrue="1" operator="equal">
      <formula>"WARNING"</formula>
    </cfRule>
  </conditionalFormatting>
  <conditionalFormatting sqref="C171">
    <cfRule type="cellIs" dxfId="11" priority="46" stopIfTrue="1" operator="equal">
      <formula>"ERROR"</formula>
    </cfRule>
    <cfRule type="cellIs" dxfId="10" priority="47" stopIfTrue="1" operator="equal">
      <formula>"OK"</formula>
    </cfRule>
    <cfRule type="cellIs" dxfId="9" priority="48" stopIfTrue="1" operator="equal">
      <formula>"WARNING"</formula>
    </cfRule>
  </conditionalFormatting>
  <conditionalFormatting sqref="C191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02:X203">
    <cfRule type="cellIs" dxfId="5" priority="49" stopIfTrue="1" operator="equal">
      <formula>"ERROR"</formula>
    </cfRule>
    <cfRule type="cellIs" dxfId="4" priority="50" stopIfTrue="1" operator="equal">
      <formula>"OK"</formula>
    </cfRule>
    <cfRule type="cellIs" dxfId="3" priority="51" stopIfTrue="1" operator="equal">
      <formula>"WARNING"</formula>
    </cfRule>
  </conditionalFormatting>
  <conditionalFormatting sqref="C13">
    <cfRule type="cellIs" dxfId="2" priority="52" stopIfTrue="1" operator="equal">
      <formula>"ERROR"</formula>
    </cfRule>
    <cfRule type="cellIs" dxfId="1" priority="53" stopIfTrue="1" operator="equal">
      <formula>"OK"</formula>
    </cfRule>
    <cfRule type="cellIs" dxfId="0" priority="54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Test Utils</vt:lpstr>
      <vt:lpstr>Table Formatting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2022-08-02T14:01:24Z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